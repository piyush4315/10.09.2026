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Lists!$GB$4:INDEX(Lists!$GB$4:$GB$42,MAX(Lists!$GA$4:$GA$40)+2)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SUG_D_FULL">Lists!$Y$4:INDEX(Lists!$Y$4:$Y$42,MAX(Lists!$X$4:$X$40)+2)</definedName>
    <definedName name="SUG_B_DEP_FINAL">Lists!$GG$4:INDEX(Lists!$GG$4:$GG$42,MAX(Lists!$GF$4:$GF$40)+2)</definedName>
    <definedName name="SUG_B_DEP_LIVE">Lists!$GL$4:INDEX(Lists!$GL$4:$GL$42,MAX(Lists!$GK$4:$GK$40)+2)</definedName>
    <definedName name="SUGN_B_DEP">Lists!$GQ$4:INDEX(Lists!$GQ$4:$GQ$42,MAX(Lists!$GP$4:$GP$40)+2)</definedName>
    <definedName name="SUG_D_DEP_FINAL">Lists!$GV$4:INDEX(Lists!$GV$4:$GV$42,MAX(Lists!$GU$4:$GU$40)+2)</definedName>
    <definedName name="SUGN_D_DEP">Lists!$HA$4:INDEX(Lists!$HA$4:$HA$42,MAX(Lists!$GZ$4:$GZ$40)+2)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7">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xf numFmtId="0" fontId="10" fillId="0" borderId="0" applyAlignment="1" pivotButton="0" quotePrefix="0" xfId="0">
      <alignment vertical="center"/>
    </xf>
    <xf numFmtId="0" fontId="12" fillId="6" borderId="19" applyAlignment="1" pivotButton="0" quotePrefix="0" xfId="0">
      <alignment vertical="center"/>
    </xf>
  </cellXfs>
  <cellStyles count="1">
    <cellStyle name="Normal" xfId="0" builtinId="0"/>
  </cellStyles>
  <dxfs count="54">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
      <fill>
        <patternFill patternType="solid">
          <fgColor rgb="FFFFD966"/>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J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 hidden="1" width="13" customWidth="1" style="137" min="36" max="36"/>
  </cols>
  <sheetData>
    <row r="1" ht="15.75" customHeight="1" s="137">
      <c r="A1" s="165">
        <f>COUNTIF($AJ$4:$AJ$40,TRUE)&amp;" of 37"</f>
        <v/>
      </c>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166" t="n"/>
      <c r="B2" s="166" t="n"/>
      <c r="C2" s="166" t="n"/>
      <c r="D2" s="166" t="n"/>
      <c r="E2" s="166" t="n"/>
      <c r="F2" s="166" t="n"/>
      <c r="G2" s="166" t="n"/>
      <c r="H2" s="166" t="n"/>
      <c r="I2" s="166" t="n"/>
      <c r="J2" s="166" t="n"/>
      <c r="K2" s="166" t="n"/>
      <c r="L2" s="166" t="n"/>
      <c r="M2" s="166" t="n"/>
      <c r="N2" s="166" t="n"/>
      <c r="O2" s="166" t="n"/>
      <c r="P2" s="166" t="n"/>
      <c r="Q2" s="166" t="n"/>
      <c r="R2" s="166" t="n"/>
      <c r="S2" s="166" t="n"/>
      <c r="T2" s="166" t="n"/>
      <c r="U2" s="166" t="n"/>
      <c r="V2" s="166" t="n"/>
      <c r="W2" s="166" t="n"/>
      <c r="X2" s="166" t="n"/>
      <c r="Y2" s="166" t="n"/>
      <c r="Z2" s="166" t="n"/>
      <c r="AA2" s="166" t="n"/>
      <c r="AB2" s="166" t="n"/>
      <c r="AC2" s="166" t="n"/>
      <c r="AD2" s="166" t="n"/>
      <c r="AE2" s="166" t="n"/>
      <c r="AF2" s="166" t="n"/>
      <c r="AG2" s="166" t="n"/>
      <c r="AH2" s="166"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
      </c>
      <c r="J4" s="14">
        <f>+H4+I4</f>
        <v/>
      </c>
      <c r="K4" s="14">
        <f>ROUND((H4+I4)*2%,0)</f>
        <v/>
      </c>
      <c r="L4" s="15">
        <f>H4*0.1%</f>
        <v/>
      </c>
      <c r="M4" s="15">
        <f>H4*2.25%*118%</f>
        <v/>
      </c>
      <c r="N4" s="16">
        <f>H4*2.25%*2%</f>
        <v/>
      </c>
      <c r="O4" s="15">
        <f>M4-N4</f>
        <v/>
      </c>
      <c r="P4" s="15">
        <f>ROUND(O4+L4,0)</f>
        <v/>
      </c>
      <c r="Q4" s="17" t="n">
        <v>0.02</v>
      </c>
      <c r="R4" s="15">
        <f>ROUND(H4*Q4,0)</f>
        <v/>
      </c>
      <c r="S4" s="14">
        <f>ROUND(H4*117.65%-R4,0)</f>
        <v/>
      </c>
      <c r="T4" s="15">
        <f>ROUND(H4*25%,0)</f>
        <v/>
      </c>
      <c r="U4" s="18" t="n">
        <v>197522</v>
      </c>
      <c r="V4" s="15" t="inlineStr">
        <is>
          <t>24.08.2026</t>
        </is>
      </c>
      <c r="W4" s="15">
        <f>ROUND(H4*92.65%-R4,0)</f>
        <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
      </c>
      <c r="AD4" s="19">
        <f>S4-AC4</f>
        <v/>
      </c>
      <c r="AE4" s="20">
        <f>IF(AD4="","",IF(AD4&lt;=5,"SETTLED","OUTSTANDING"))</f>
        <v/>
      </c>
      <c r="AF4" s="20" t="inlineStr">
        <is>
          <t>DR2640100029</t>
        </is>
      </c>
      <c r="AG4" s="21" t="n">
        <v>1800003271</v>
      </c>
      <c r="AH4" s="22" t="inlineStr">
        <is>
          <t>24.08.2026</t>
        </is>
      </c>
      <c r="AJ4">
        <f>AND(IF($A$2="",TRUE,ISNUMBER(SEARCH($A$2,$A4))),IF($B$2="",TRUE,ISNUMBER(SEARCH($B$2,$B4))),IF($C$2="",TRUE,ISNUMBER(SEARCH($C$2,$C4))),IF($D$2="",TRUE,ISNUMBER(SEARCH($D$2,$D4))),IF($E$2="",TRUE,ISNUMBER(SEARCH($E$2,$E4))),IF($F$2="",TRUE,ISNUMBER(SEARCH($F$2,$F4))),IF($G$2="",TRUE,ISNUMBER(SEARCH($G$2,$G4))),IF($H$2="",TRUE,ISNUMBER(SEARCH($H$2,$H4))),IF($I$2="",TRUE,ISNUMBER(SEARCH($I$2,$I4))),IF($J$2="",TRUE,ISNUMBER(SEARCH($J$2,$J4))),IF($K$2="",TRUE,ISNUMBER(SEARCH($K$2,$K4))),IF($L$2="",TRUE,ISNUMBER(SEARCH($L$2,$L4))),IF($M$2="",TRUE,ISNUMBER(SEARCH($M$2,$M4))),IF($N$2="",TRUE,ISNUMBER(SEARCH($N$2,$N4))),IF($O$2="",TRUE,ISNUMBER(SEARCH($O$2,$O4))),IF($P$2="",TRUE,ISNUMBER(SEARCH($P$2,$P4))),IF($Q$2="",TRUE,ISNUMBER(SEARCH($Q$2,$Q4))),IF($R$2="",TRUE,ISNUMBER(SEARCH($R$2,$R4))),IF($S$2="",TRUE,ISNUMBER(SEARCH($S$2,$S4))),IF($T$2="",TRUE,ISNUMBER(SEARCH($T$2,$T4))),IF($U$2="",TRUE,ISNUMBER(SEARCH($U$2,$U4))),IF($V$2="",TRUE,ISNUMBER(SEARCH($V$2,$V4))),IF($W$2="",TRUE,ISNUMBER(SEARCH($W$2,$W4))),IF($X$2="",TRUE,ISNUMBER(SEARCH($X$2,$X4))),IF($Y$2="",TRUE,ISNUMBER(SEARCH($Y$2,$Y4))),IF($Z$2="",TRUE,ISNUMBER(SEARCH($Z$2,$Z4))),IF($AA$2="",TRUE,ISNUMBER(SEARCH($AA$2,$AA4))),IF($AB$2="",TRUE,ISNUMBER(SEARCH($AB$2,$AB4))),IF($AC$2="",TRUE,ISNUMBER(SEARCH($AC$2,$AC4))),IF($AD$2="",TRUE,ISNUMBER(SEARCH($AD$2,$AD4))),IF($AE$2="",TRUE,ISNUMBER(SEARCH($AE$2,$AE4))),IF($AF$2="",TRUE,ISNUMBER(SEARCH($AF$2,$AF4))),IF($AG$2="",TRUE,ISNUMBER(SEARCH($AG$2,$AG4))),IF($AH$2="",TRUE,ISNUMBER(SEARCH($AH$2,$AH4))))</f>
        <v/>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
      </c>
      <c r="J5" s="152">
        <f>+H5+I5</f>
        <v/>
      </c>
      <c r="K5" s="152">
        <f>ROUND((H5+I5)*2%,0)</f>
        <v/>
      </c>
      <c r="L5" s="153">
        <f>H5*0.1%</f>
        <v/>
      </c>
      <c r="M5" s="153">
        <f>H5*2.25%*118%</f>
        <v/>
      </c>
      <c r="N5" s="154">
        <f>H5*2.25%*2%</f>
        <v/>
      </c>
      <c r="O5" s="153">
        <f>M5-N5</f>
        <v/>
      </c>
      <c r="P5" s="153">
        <f>ROUND(O5+L5,0)</f>
        <v/>
      </c>
      <c r="Q5" s="155" t="n">
        <v>0</v>
      </c>
      <c r="R5" s="153">
        <f>ROUND(H5*Q5,0)</f>
        <v/>
      </c>
      <c r="S5" s="152">
        <f>ROUND(H5*117.65%-R5,0)</f>
        <v/>
      </c>
      <c r="T5" s="153">
        <f>ROUND(H5*25%,0)</f>
        <v/>
      </c>
      <c r="U5" s="156">
        <f>+T5</f>
        <v/>
      </c>
      <c r="V5" s="153" t="inlineStr">
        <is>
          <t>13.08.2026</t>
        </is>
      </c>
      <c r="W5" s="153">
        <f>ROUND(H5*92.65%-R5,0)</f>
        <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
      </c>
      <c r="AD5" s="157">
        <f>S5-AC5</f>
        <v/>
      </c>
      <c r="AE5" s="153">
        <f>IF(AD5="","",IF(AD5&lt;=5,"SETTLED","OUTSTANDING"))</f>
        <v/>
      </c>
      <c r="AF5" s="153" t="inlineStr">
        <is>
          <t>DR2640100030</t>
        </is>
      </c>
      <c r="AG5" s="158" t="n">
        <v>1800003302</v>
      </c>
      <c r="AH5" s="159" t="inlineStr">
        <is>
          <t>27.08.2026</t>
        </is>
      </c>
      <c r="AJ5">
        <f>AND(IF($A$2="",TRUE,ISNUMBER(SEARCH($A$2,$A5))),IF($B$2="",TRUE,ISNUMBER(SEARCH($B$2,$B5))),IF($C$2="",TRUE,ISNUMBER(SEARCH($C$2,$C5))),IF($D$2="",TRUE,ISNUMBER(SEARCH($D$2,$D5))),IF($E$2="",TRUE,ISNUMBER(SEARCH($E$2,$E5))),IF($F$2="",TRUE,ISNUMBER(SEARCH($F$2,$F5))),IF($G$2="",TRUE,ISNUMBER(SEARCH($G$2,$G5))),IF($H$2="",TRUE,ISNUMBER(SEARCH($H$2,$H5))),IF($I$2="",TRUE,ISNUMBER(SEARCH($I$2,$I5))),IF($J$2="",TRUE,ISNUMBER(SEARCH($J$2,$J5))),IF($K$2="",TRUE,ISNUMBER(SEARCH($K$2,$K5))),IF($L$2="",TRUE,ISNUMBER(SEARCH($L$2,$L5))),IF($M$2="",TRUE,ISNUMBER(SEARCH($M$2,$M5))),IF($N$2="",TRUE,ISNUMBER(SEARCH($N$2,$N5))),IF($O$2="",TRUE,ISNUMBER(SEARCH($O$2,$O5))),IF($P$2="",TRUE,ISNUMBER(SEARCH($P$2,$P5))),IF($Q$2="",TRUE,ISNUMBER(SEARCH($Q$2,$Q5))),IF($R$2="",TRUE,ISNUMBER(SEARCH($R$2,$R5))),IF($S$2="",TRUE,ISNUMBER(SEARCH($S$2,$S5))),IF($T$2="",TRUE,ISNUMBER(SEARCH($T$2,$T5))),IF($U$2="",TRUE,ISNUMBER(SEARCH($U$2,$U5))),IF($V$2="",TRUE,ISNUMBER(SEARCH($V$2,$V5))),IF($W$2="",TRUE,ISNUMBER(SEARCH($W$2,$W5))),IF($X$2="",TRUE,ISNUMBER(SEARCH($X$2,$X5))),IF($Y$2="",TRUE,ISNUMBER(SEARCH($Y$2,$Y5))),IF($Z$2="",TRUE,ISNUMBER(SEARCH($Z$2,$Z5))),IF($AA$2="",TRUE,ISNUMBER(SEARCH($AA$2,$AA5))),IF($AB$2="",TRUE,ISNUMBER(SEARCH($AB$2,$AB5))),IF($AC$2="",TRUE,ISNUMBER(SEARCH($AC$2,$AC5))),IF($AD$2="",TRUE,ISNUMBER(SEARCH($AD$2,$AD5))),IF($AE$2="",TRUE,ISNUMBER(SEARCH($AE$2,$AE5))),IF($AF$2="",TRUE,ISNUMBER(SEARCH($AF$2,$AF5))),IF($AG$2="",TRUE,ISNUMBER(SEARCH($AG$2,$AG5))),IF($AH$2="",TRUE,ISNUMBER(SEARCH($AH$2,$AH5))))</f>
        <v/>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
      </c>
      <c r="J6" s="27">
        <f>+H6+I6</f>
        <v/>
      </c>
      <c r="K6" s="27">
        <f>ROUND((H6+I6)*2%,0)</f>
        <v/>
      </c>
      <c r="L6" s="28">
        <f>H6*0.1%</f>
        <v/>
      </c>
      <c r="M6" s="28">
        <f>H6*2.25%*118%</f>
        <v/>
      </c>
      <c r="N6" s="29">
        <f>H6*2.25%*2%</f>
        <v/>
      </c>
      <c r="O6" s="28">
        <f>M6-N6</f>
        <v/>
      </c>
      <c r="P6" s="28">
        <f>ROUND(O6+L6,0)</f>
        <v/>
      </c>
      <c r="Q6" s="30" t="n">
        <v>0</v>
      </c>
      <c r="R6" s="28">
        <f>ROUND(H6*Q6,0)</f>
        <v/>
      </c>
      <c r="S6" s="27">
        <f>ROUND(H6*117.65%-R6,0)</f>
        <v/>
      </c>
      <c r="T6" s="28">
        <f>ROUND(H6*25%,0)</f>
        <v/>
      </c>
      <c r="U6" s="31" t="n">
        <v>10192</v>
      </c>
      <c r="V6" s="28" t="inlineStr">
        <is>
          <t>11.08.2026</t>
        </is>
      </c>
      <c r="W6" s="28">
        <f>ROUND(H6*92.65%-R6,0)</f>
        <v/>
      </c>
      <c r="X6" s="28">
        <f>+W6+R6</f>
        <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
      </c>
      <c r="AD6" s="19">
        <f>S6-AC6</f>
        <v/>
      </c>
      <c r="AE6" s="20">
        <f>IF(AD6="","",IF(AD6&lt;=5,"SETTLED","OUTSTANDING"))</f>
        <v/>
      </c>
      <c r="AF6" s="20" t="inlineStr">
        <is>
          <t>DR2640100047</t>
        </is>
      </c>
      <c r="AG6" s="21" t="n">
        <v>1800003346</v>
      </c>
      <c r="AH6" s="22" t="inlineStr">
        <is>
          <t>27.08.2026</t>
        </is>
      </c>
      <c r="AJ6">
        <f>AND(IF($A$2="",TRUE,ISNUMBER(SEARCH($A$2,$A6))),IF($B$2="",TRUE,ISNUMBER(SEARCH($B$2,$B6))),IF($C$2="",TRUE,ISNUMBER(SEARCH($C$2,$C6))),IF($D$2="",TRUE,ISNUMBER(SEARCH($D$2,$D6))),IF($E$2="",TRUE,ISNUMBER(SEARCH($E$2,$E6))),IF($F$2="",TRUE,ISNUMBER(SEARCH($F$2,$F6))),IF($G$2="",TRUE,ISNUMBER(SEARCH($G$2,$G6))),IF($H$2="",TRUE,ISNUMBER(SEARCH($H$2,$H6))),IF($I$2="",TRUE,ISNUMBER(SEARCH($I$2,$I6))),IF($J$2="",TRUE,ISNUMBER(SEARCH($J$2,$J6))),IF($K$2="",TRUE,ISNUMBER(SEARCH($K$2,$K6))),IF($L$2="",TRUE,ISNUMBER(SEARCH($L$2,$L6))),IF($M$2="",TRUE,ISNUMBER(SEARCH($M$2,$M6))),IF($N$2="",TRUE,ISNUMBER(SEARCH($N$2,$N6))),IF($O$2="",TRUE,ISNUMBER(SEARCH($O$2,$O6))),IF($P$2="",TRUE,ISNUMBER(SEARCH($P$2,$P6))),IF($Q$2="",TRUE,ISNUMBER(SEARCH($Q$2,$Q6))),IF($R$2="",TRUE,ISNUMBER(SEARCH($R$2,$R6))),IF($S$2="",TRUE,ISNUMBER(SEARCH($S$2,$S6))),IF($T$2="",TRUE,ISNUMBER(SEARCH($T$2,$T6))),IF($U$2="",TRUE,ISNUMBER(SEARCH($U$2,$U6))),IF($V$2="",TRUE,ISNUMBER(SEARCH($V$2,$V6))),IF($W$2="",TRUE,ISNUMBER(SEARCH($W$2,$W6))),IF($X$2="",TRUE,ISNUMBER(SEARCH($X$2,$X6))),IF($Y$2="",TRUE,ISNUMBER(SEARCH($Y$2,$Y6))),IF($Z$2="",TRUE,ISNUMBER(SEARCH($Z$2,$Z6))),IF($AA$2="",TRUE,ISNUMBER(SEARCH($AA$2,$AA6))),IF($AB$2="",TRUE,ISNUMBER(SEARCH($AB$2,$AB6))),IF($AC$2="",TRUE,ISNUMBER(SEARCH($AC$2,$AC6))),IF($AD$2="",TRUE,ISNUMBER(SEARCH($AD$2,$AD6))),IF($AE$2="",TRUE,ISNUMBER(SEARCH($AE$2,$AE6))),IF($AF$2="",TRUE,ISNUMBER(SEARCH($AF$2,$AF6))),IF($AG$2="",TRUE,ISNUMBER(SEARCH($AG$2,$AG6))),IF($AH$2="",TRUE,ISNUMBER(SEARCH($AH$2,$AH6))))</f>
        <v/>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
      </c>
      <c r="J7" s="152">
        <f>+H7+I7</f>
        <v/>
      </c>
      <c r="K7" s="152">
        <f>ROUND((H7+I7)*2%,0)</f>
        <v/>
      </c>
      <c r="L7" s="153">
        <f>H7*0.1%</f>
        <v/>
      </c>
      <c r="M7" s="153">
        <f>H7*2.25%*118%</f>
        <v/>
      </c>
      <c r="N7" s="154">
        <f>H7*2.25%*2%</f>
        <v/>
      </c>
      <c r="O7" s="153">
        <f>M7-N7</f>
        <v/>
      </c>
      <c r="P7" s="153">
        <f>ROUND(O7+L7,0)</f>
        <v/>
      </c>
      <c r="Q7" s="155" t="n">
        <v>0</v>
      </c>
      <c r="R7" s="153">
        <f>ROUND(H7*Q7,0)</f>
        <v/>
      </c>
      <c r="S7" s="152">
        <f>ROUND(H7*117.65%-R7,0)</f>
        <v/>
      </c>
      <c r="T7" s="153">
        <f>ROUND(H7*25%,0)</f>
        <v/>
      </c>
      <c r="U7" s="156" t="n">
        <v>49500</v>
      </c>
      <c r="V7" s="153" t="inlineStr">
        <is>
          <t>11.08.2026</t>
        </is>
      </c>
      <c r="W7" s="153">
        <f>ROUND(H7*92.65%-R7,0)</f>
        <v/>
      </c>
      <c r="X7" s="153">
        <f>+W7+R7-1</f>
        <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
      </c>
      <c r="AD7" s="157">
        <f>S7-AC7</f>
        <v/>
      </c>
      <c r="AE7" s="153">
        <f>IF(AD7="","",IF(AD7&lt;=5,"SETTLED","OUTSTANDING"))</f>
        <v/>
      </c>
      <c r="AF7" s="153" t="inlineStr">
        <is>
          <t>DR2640100048</t>
        </is>
      </c>
      <c r="AG7" s="158" t="n">
        <v>1800003347</v>
      </c>
      <c r="AH7" s="159" t="inlineStr">
        <is>
          <t>27.08.2026</t>
        </is>
      </c>
      <c r="AJ7">
        <f>AND(IF($A$2="",TRUE,ISNUMBER(SEARCH($A$2,$A7))),IF($B$2="",TRUE,ISNUMBER(SEARCH($B$2,$B7))),IF($C$2="",TRUE,ISNUMBER(SEARCH($C$2,$C7))),IF($D$2="",TRUE,ISNUMBER(SEARCH($D$2,$D7))),IF($E$2="",TRUE,ISNUMBER(SEARCH($E$2,$E7))),IF($F$2="",TRUE,ISNUMBER(SEARCH($F$2,$F7))),IF($G$2="",TRUE,ISNUMBER(SEARCH($G$2,$G7))),IF($H$2="",TRUE,ISNUMBER(SEARCH($H$2,$H7))),IF($I$2="",TRUE,ISNUMBER(SEARCH($I$2,$I7))),IF($J$2="",TRUE,ISNUMBER(SEARCH($J$2,$J7))),IF($K$2="",TRUE,ISNUMBER(SEARCH($K$2,$K7))),IF($L$2="",TRUE,ISNUMBER(SEARCH($L$2,$L7))),IF($M$2="",TRUE,ISNUMBER(SEARCH($M$2,$M7))),IF($N$2="",TRUE,ISNUMBER(SEARCH($N$2,$N7))),IF($O$2="",TRUE,ISNUMBER(SEARCH($O$2,$O7))),IF($P$2="",TRUE,ISNUMBER(SEARCH($P$2,$P7))),IF($Q$2="",TRUE,ISNUMBER(SEARCH($Q$2,$Q7))),IF($R$2="",TRUE,ISNUMBER(SEARCH($R$2,$R7))),IF($S$2="",TRUE,ISNUMBER(SEARCH($S$2,$S7))),IF($T$2="",TRUE,ISNUMBER(SEARCH($T$2,$T7))),IF($U$2="",TRUE,ISNUMBER(SEARCH($U$2,$U7))),IF($V$2="",TRUE,ISNUMBER(SEARCH($V$2,$V7))),IF($W$2="",TRUE,ISNUMBER(SEARCH($W$2,$W7))),IF($X$2="",TRUE,ISNUMBER(SEARCH($X$2,$X7))),IF($Y$2="",TRUE,ISNUMBER(SEARCH($Y$2,$Y7))),IF($Z$2="",TRUE,ISNUMBER(SEARCH($Z$2,$Z7))),IF($AA$2="",TRUE,ISNUMBER(SEARCH($AA$2,$AA7))),IF($AB$2="",TRUE,ISNUMBER(SEARCH($AB$2,$AB7))),IF($AC$2="",TRUE,ISNUMBER(SEARCH($AC$2,$AC7))),IF($AD$2="",TRUE,ISNUMBER(SEARCH($AD$2,$AD7))),IF($AE$2="",TRUE,ISNUMBER(SEARCH($AE$2,$AE7))),IF($AF$2="",TRUE,ISNUMBER(SEARCH($AF$2,$AF7))),IF($AG$2="",TRUE,ISNUMBER(SEARCH($AG$2,$AG7))),IF($AH$2="",TRUE,ISNUMBER(SEARCH($AH$2,$AH7))))</f>
        <v/>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
      </c>
      <c r="J8" s="27">
        <f>+H8+I8</f>
        <v/>
      </c>
      <c r="K8" s="27">
        <f>ROUND((H8+I8)*2%,0)</f>
        <v/>
      </c>
      <c r="L8" s="28">
        <f>H8*0.1%</f>
        <v/>
      </c>
      <c r="M8" s="28">
        <f>H8*2.25%*118%</f>
        <v/>
      </c>
      <c r="N8" s="29">
        <f>H8*2.25%*2%</f>
        <v/>
      </c>
      <c r="O8" s="28">
        <f>M8-N8</f>
        <v/>
      </c>
      <c r="P8" s="28">
        <f>ROUND(O8+L8,0)</f>
        <v/>
      </c>
      <c r="Q8" s="30" t="n">
        <v>0.02</v>
      </c>
      <c r="R8" s="28">
        <f>ROUND(H8*Q8,0)</f>
        <v/>
      </c>
      <c r="S8" s="27">
        <f>ROUND(H8*117.65%-R8,0)</f>
        <v/>
      </c>
      <c r="T8" s="28">
        <f>ROUND(H8*25%,0)</f>
        <v/>
      </c>
      <c r="U8" s="31">
        <f>+T8</f>
        <v/>
      </c>
      <c r="V8" s="28" t="inlineStr">
        <is>
          <t>14.08.2026</t>
        </is>
      </c>
      <c r="W8" s="28">
        <f>ROUND(H8*92.65%-R8,0)</f>
        <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
      </c>
      <c r="AD8" s="19">
        <f>S8-AC8</f>
        <v/>
      </c>
      <c r="AE8" s="20">
        <f>IF(AD8="","",IF(AD8&lt;=5,"SETTLED","OUTSTANDING"))</f>
        <v/>
      </c>
      <c r="AF8" s="20" t="inlineStr">
        <is>
          <t>DR2640100045</t>
        </is>
      </c>
      <c r="AG8" s="21" t="n">
        <v>1800003315</v>
      </c>
      <c r="AH8" s="22" t="inlineStr">
        <is>
          <t>27.08.2026</t>
        </is>
      </c>
      <c r="AJ8">
        <f>AND(IF($A$2="",TRUE,ISNUMBER(SEARCH($A$2,$A8))),IF($B$2="",TRUE,ISNUMBER(SEARCH($B$2,$B8))),IF($C$2="",TRUE,ISNUMBER(SEARCH($C$2,$C8))),IF($D$2="",TRUE,ISNUMBER(SEARCH($D$2,$D8))),IF($E$2="",TRUE,ISNUMBER(SEARCH($E$2,$E8))),IF($F$2="",TRUE,ISNUMBER(SEARCH($F$2,$F8))),IF($G$2="",TRUE,ISNUMBER(SEARCH($G$2,$G8))),IF($H$2="",TRUE,ISNUMBER(SEARCH($H$2,$H8))),IF($I$2="",TRUE,ISNUMBER(SEARCH($I$2,$I8))),IF($J$2="",TRUE,ISNUMBER(SEARCH($J$2,$J8))),IF($K$2="",TRUE,ISNUMBER(SEARCH($K$2,$K8))),IF($L$2="",TRUE,ISNUMBER(SEARCH($L$2,$L8))),IF($M$2="",TRUE,ISNUMBER(SEARCH($M$2,$M8))),IF($N$2="",TRUE,ISNUMBER(SEARCH($N$2,$N8))),IF($O$2="",TRUE,ISNUMBER(SEARCH($O$2,$O8))),IF($P$2="",TRUE,ISNUMBER(SEARCH($P$2,$P8))),IF($Q$2="",TRUE,ISNUMBER(SEARCH($Q$2,$Q8))),IF($R$2="",TRUE,ISNUMBER(SEARCH($R$2,$R8))),IF($S$2="",TRUE,ISNUMBER(SEARCH($S$2,$S8))),IF($T$2="",TRUE,ISNUMBER(SEARCH($T$2,$T8))),IF($U$2="",TRUE,ISNUMBER(SEARCH($U$2,$U8))),IF($V$2="",TRUE,ISNUMBER(SEARCH($V$2,$V8))),IF($W$2="",TRUE,ISNUMBER(SEARCH($W$2,$W8))),IF($X$2="",TRUE,ISNUMBER(SEARCH($X$2,$X8))),IF($Y$2="",TRUE,ISNUMBER(SEARCH($Y$2,$Y8))),IF($Z$2="",TRUE,ISNUMBER(SEARCH($Z$2,$Z8))),IF($AA$2="",TRUE,ISNUMBER(SEARCH($AA$2,$AA8))),IF($AB$2="",TRUE,ISNUMBER(SEARCH($AB$2,$AB8))),IF($AC$2="",TRUE,ISNUMBER(SEARCH($AC$2,$AC8))),IF($AD$2="",TRUE,ISNUMBER(SEARCH($AD$2,$AD8))),IF($AE$2="",TRUE,ISNUMBER(SEARCH($AE$2,$AE8))),IF($AF$2="",TRUE,ISNUMBER(SEARCH($AF$2,$AF8))),IF($AG$2="",TRUE,ISNUMBER(SEARCH($AG$2,$AG8))),IF($AH$2="",TRUE,ISNUMBER(SEARCH($AH$2,$AH8))))</f>
        <v/>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
      </c>
      <c r="J9" s="152">
        <f>+H9+I9</f>
        <v/>
      </c>
      <c r="K9" s="152">
        <f>ROUND((H9+I9)*2%,0)</f>
        <v/>
      </c>
      <c r="L9" s="153">
        <f>H9*0.1%</f>
        <v/>
      </c>
      <c r="M9" s="153">
        <f>H9*2.25%*118%</f>
        <v/>
      </c>
      <c r="N9" s="154">
        <f>H9*2.25%*2%</f>
        <v/>
      </c>
      <c r="O9" s="153">
        <f>M9-N9</f>
        <v/>
      </c>
      <c r="P9" s="153">
        <f>ROUND(O9+L9,0)</f>
        <v/>
      </c>
      <c r="Q9" s="155" t="n">
        <v>0</v>
      </c>
      <c r="R9" s="153">
        <f>ROUND(H9*Q9,0)</f>
        <v/>
      </c>
      <c r="S9" s="152">
        <f>ROUND(H9*117.65%-R9,0)</f>
        <v/>
      </c>
      <c r="T9" s="153">
        <f>ROUND(H9*25%,0)</f>
        <v/>
      </c>
      <c r="U9" s="156">
        <f>+T9</f>
        <v/>
      </c>
      <c r="V9" s="153" t="inlineStr">
        <is>
          <t>13.08.2026</t>
        </is>
      </c>
      <c r="W9" s="153">
        <f>ROUND(H9*92.65%-R9,0)</f>
        <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
      </c>
      <c r="AD9" s="157">
        <f>S9-AC9</f>
        <v/>
      </c>
      <c r="AE9" s="153">
        <f>IF(AD9="","",IF(AD9&lt;=5,"SETTLED","OUTSTANDING"))</f>
        <v/>
      </c>
      <c r="AF9" s="153" t="inlineStr">
        <is>
          <t>DR2640100023</t>
        </is>
      </c>
      <c r="AG9" s="158" t="n">
        <v>1800003194</v>
      </c>
      <c r="AH9" s="159" t="inlineStr">
        <is>
          <t>17.08.2026</t>
        </is>
      </c>
      <c r="AJ9">
        <f>AND(IF($A$2="",TRUE,ISNUMBER(SEARCH($A$2,$A9))),IF($B$2="",TRUE,ISNUMBER(SEARCH($B$2,$B9))),IF($C$2="",TRUE,ISNUMBER(SEARCH($C$2,$C9))),IF($D$2="",TRUE,ISNUMBER(SEARCH($D$2,$D9))),IF($E$2="",TRUE,ISNUMBER(SEARCH($E$2,$E9))),IF($F$2="",TRUE,ISNUMBER(SEARCH($F$2,$F9))),IF($G$2="",TRUE,ISNUMBER(SEARCH($G$2,$G9))),IF($H$2="",TRUE,ISNUMBER(SEARCH($H$2,$H9))),IF($I$2="",TRUE,ISNUMBER(SEARCH($I$2,$I9))),IF($J$2="",TRUE,ISNUMBER(SEARCH($J$2,$J9))),IF($K$2="",TRUE,ISNUMBER(SEARCH($K$2,$K9))),IF($L$2="",TRUE,ISNUMBER(SEARCH($L$2,$L9))),IF($M$2="",TRUE,ISNUMBER(SEARCH($M$2,$M9))),IF($N$2="",TRUE,ISNUMBER(SEARCH($N$2,$N9))),IF($O$2="",TRUE,ISNUMBER(SEARCH($O$2,$O9))),IF($P$2="",TRUE,ISNUMBER(SEARCH($P$2,$P9))),IF($Q$2="",TRUE,ISNUMBER(SEARCH($Q$2,$Q9))),IF($R$2="",TRUE,ISNUMBER(SEARCH($R$2,$R9))),IF($S$2="",TRUE,ISNUMBER(SEARCH($S$2,$S9))),IF($T$2="",TRUE,ISNUMBER(SEARCH($T$2,$T9))),IF($U$2="",TRUE,ISNUMBER(SEARCH($U$2,$U9))),IF($V$2="",TRUE,ISNUMBER(SEARCH($V$2,$V9))),IF($W$2="",TRUE,ISNUMBER(SEARCH($W$2,$W9))),IF($X$2="",TRUE,ISNUMBER(SEARCH($X$2,$X9))),IF($Y$2="",TRUE,ISNUMBER(SEARCH($Y$2,$Y9))),IF($Z$2="",TRUE,ISNUMBER(SEARCH($Z$2,$Z9))),IF($AA$2="",TRUE,ISNUMBER(SEARCH($AA$2,$AA9))),IF($AB$2="",TRUE,ISNUMBER(SEARCH($AB$2,$AB9))),IF($AC$2="",TRUE,ISNUMBER(SEARCH($AC$2,$AC9))),IF($AD$2="",TRUE,ISNUMBER(SEARCH($AD$2,$AD9))),IF($AE$2="",TRUE,ISNUMBER(SEARCH($AE$2,$AE9))),IF($AF$2="",TRUE,ISNUMBER(SEARCH($AF$2,$AF9))),IF($AG$2="",TRUE,ISNUMBER(SEARCH($AG$2,$AG9))),IF($AH$2="",TRUE,ISNUMBER(SEARCH($AH$2,$AH9))))</f>
        <v/>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
      </c>
      <c r="J10" s="27">
        <f>+H10+I10</f>
        <v/>
      </c>
      <c r="K10" s="27">
        <f>ROUND((H10+I10)*2%,0)</f>
        <v/>
      </c>
      <c r="L10" s="28">
        <f>H10*0.1%</f>
        <v/>
      </c>
      <c r="M10" s="28">
        <f>H10*2.25%*118%</f>
        <v/>
      </c>
      <c r="N10" s="29">
        <f>H10*2.25%*2%</f>
        <v/>
      </c>
      <c r="O10" s="28">
        <f>M10-N10</f>
        <v/>
      </c>
      <c r="P10" s="28">
        <f>ROUND(O10+L10,0)</f>
        <v/>
      </c>
      <c r="Q10" s="30" t="n">
        <v>0</v>
      </c>
      <c r="R10" s="28">
        <f>ROUND(H10*Q10,0)</f>
        <v/>
      </c>
      <c r="S10" s="27">
        <f>ROUND(H10*117.65%-R10,0)</f>
        <v/>
      </c>
      <c r="T10" s="28">
        <f>ROUND(H10*25%,0)</f>
        <v/>
      </c>
      <c r="U10" s="31">
        <f>+T10</f>
        <v/>
      </c>
      <c r="V10" s="28" t="inlineStr">
        <is>
          <t>13.08.2026</t>
        </is>
      </c>
      <c r="W10" s="28">
        <f>ROUND(H10*92.65%-R10,0)</f>
        <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
      </c>
      <c r="AD10" s="19">
        <f>S10-AC10</f>
        <v/>
      </c>
      <c r="AE10" s="20">
        <f>IF(AD10="","",IF(AD10&lt;=5,"SETTLED","OUTSTANDING"))</f>
        <v/>
      </c>
      <c r="AF10" s="20" t="inlineStr">
        <is>
          <t>DR2640100031</t>
        </is>
      </c>
      <c r="AG10" s="21" t="n">
        <v>1800003303</v>
      </c>
      <c r="AH10" s="22" t="inlineStr">
        <is>
          <t>27.08.2026</t>
        </is>
      </c>
      <c r="AJ10">
        <f>AND(IF($A$2="",TRUE,ISNUMBER(SEARCH($A$2,$A10))),IF($B$2="",TRUE,ISNUMBER(SEARCH($B$2,$B10))),IF($C$2="",TRUE,ISNUMBER(SEARCH($C$2,$C10))),IF($D$2="",TRUE,ISNUMBER(SEARCH($D$2,$D10))),IF($E$2="",TRUE,ISNUMBER(SEARCH($E$2,$E10))),IF($F$2="",TRUE,ISNUMBER(SEARCH($F$2,$F10))),IF($G$2="",TRUE,ISNUMBER(SEARCH($G$2,$G10))),IF($H$2="",TRUE,ISNUMBER(SEARCH($H$2,$H10))),IF($I$2="",TRUE,ISNUMBER(SEARCH($I$2,$I10))),IF($J$2="",TRUE,ISNUMBER(SEARCH($J$2,$J10))),IF($K$2="",TRUE,ISNUMBER(SEARCH($K$2,$K10))),IF($L$2="",TRUE,ISNUMBER(SEARCH($L$2,$L10))),IF($M$2="",TRUE,ISNUMBER(SEARCH($M$2,$M10))),IF($N$2="",TRUE,ISNUMBER(SEARCH($N$2,$N10))),IF($O$2="",TRUE,ISNUMBER(SEARCH($O$2,$O10))),IF($P$2="",TRUE,ISNUMBER(SEARCH($P$2,$P10))),IF($Q$2="",TRUE,ISNUMBER(SEARCH($Q$2,$Q10))),IF($R$2="",TRUE,ISNUMBER(SEARCH($R$2,$R10))),IF($S$2="",TRUE,ISNUMBER(SEARCH($S$2,$S10))),IF($T$2="",TRUE,ISNUMBER(SEARCH($T$2,$T10))),IF($U$2="",TRUE,ISNUMBER(SEARCH($U$2,$U10))),IF($V$2="",TRUE,ISNUMBER(SEARCH($V$2,$V10))),IF($W$2="",TRUE,ISNUMBER(SEARCH($W$2,$W10))),IF($X$2="",TRUE,ISNUMBER(SEARCH($X$2,$X10))),IF($Y$2="",TRUE,ISNUMBER(SEARCH($Y$2,$Y10))),IF($Z$2="",TRUE,ISNUMBER(SEARCH($Z$2,$Z10))),IF($AA$2="",TRUE,ISNUMBER(SEARCH($AA$2,$AA10))),IF($AB$2="",TRUE,ISNUMBER(SEARCH($AB$2,$AB10))),IF($AC$2="",TRUE,ISNUMBER(SEARCH($AC$2,$AC10))),IF($AD$2="",TRUE,ISNUMBER(SEARCH($AD$2,$AD10))),IF($AE$2="",TRUE,ISNUMBER(SEARCH($AE$2,$AE10))),IF($AF$2="",TRUE,ISNUMBER(SEARCH($AF$2,$AF10))),IF($AG$2="",TRUE,ISNUMBER(SEARCH($AG$2,$AG10))),IF($AH$2="",TRUE,ISNUMBER(SEARCH($AH$2,$AH10))))</f>
        <v/>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
      </c>
      <c r="J11" s="152">
        <f>+H11+I11</f>
        <v/>
      </c>
      <c r="K11" s="152">
        <f>ROUND((H11+I11)*2%,0)</f>
        <v/>
      </c>
      <c r="L11" s="153">
        <f>H11*0.1%</f>
        <v/>
      </c>
      <c r="M11" s="153">
        <f>H11*2.25%*118%</f>
        <v/>
      </c>
      <c r="N11" s="154">
        <f>H11*2.25%*2%</f>
        <v/>
      </c>
      <c r="O11" s="153">
        <f>M11-N11</f>
        <v/>
      </c>
      <c r="P11" s="153">
        <f>ROUND(O11+L11,0)</f>
        <v/>
      </c>
      <c r="Q11" s="155" t="n">
        <v>0</v>
      </c>
      <c r="R11" s="153">
        <f>ROUND(H11*Q11,0)</f>
        <v/>
      </c>
      <c r="S11" s="152">
        <f>ROUND(H11*117.65%-R11,0)</f>
        <v/>
      </c>
      <c r="T11" s="153">
        <f>ROUND(H11*25%,0)</f>
        <v/>
      </c>
      <c r="U11" s="156">
        <f>+T11</f>
        <v/>
      </c>
      <c r="V11" s="153" t="inlineStr">
        <is>
          <t>13.08.2026</t>
        </is>
      </c>
      <c r="W11" s="153">
        <f>ROUND(H11*92.65%-R11,0)</f>
        <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
      </c>
      <c r="AD11" s="157">
        <f>S11-AC11</f>
        <v/>
      </c>
      <c r="AE11" s="153">
        <f>IF(AD11="","",IF(AD11&lt;=5,"SETTLED","OUTSTANDING"))</f>
        <v/>
      </c>
      <c r="AF11" s="153" t="inlineStr">
        <is>
          <t>DR2640100032</t>
        </is>
      </c>
      <c r="AG11" s="158" t="n">
        <v>1800003304</v>
      </c>
      <c r="AH11" s="159" t="inlineStr">
        <is>
          <t>27.08.2026</t>
        </is>
      </c>
      <c r="AJ11">
        <f>AND(IF($A$2="",TRUE,ISNUMBER(SEARCH($A$2,$A11))),IF($B$2="",TRUE,ISNUMBER(SEARCH($B$2,$B11))),IF($C$2="",TRUE,ISNUMBER(SEARCH($C$2,$C11))),IF($D$2="",TRUE,ISNUMBER(SEARCH($D$2,$D11))),IF($E$2="",TRUE,ISNUMBER(SEARCH($E$2,$E11))),IF($F$2="",TRUE,ISNUMBER(SEARCH($F$2,$F11))),IF($G$2="",TRUE,ISNUMBER(SEARCH($G$2,$G11))),IF($H$2="",TRUE,ISNUMBER(SEARCH($H$2,$H11))),IF($I$2="",TRUE,ISNUMBER(SEARCH($I$2,$I11))),IF($J$2="",TRUE,ISNUMBER(SEARCH($J$2,$J11))),IF($K$2="",TRUE,ISNUMBER(SEARCH($K$2,$K11))),IF($L$2="",TRUE,ISNUMBER(SEARCH($L$2,$L11))),IF($M$2="",TRUE,ISNUMBER(SEARCH($M$2,$M11))),IF($N$2="",TRUE,ISNUMBER(SEARCH($N$2,$N11))),IF($O$2="",TRUE,ISNUMBER(SEARCH($O$2,$O11))),IF($P$2="",TRUE,ISNUMBER(SEARCH($P$2,$P11))),IF($Q$2="",TRUE,ISNUMBER(SEARCH($Q$2,$Q11))),IF($R$2="",TRUE,ISNUMBER(SEARCH($R$2,$R11))),IF($S$2="",TRUE,ISNUMBER(SEARCH($S$2,$S11))),IF($T$2="",TRUE,ISNUMBER(SEARCH($T$2,$T11))),IF($U$2="",TRUE,ISNUMBER(SEARCH($U$2,$U11))),IF($V$2="",TRUE,ISNUMBER(SEARCH($V$2,$V11))),IF($W$2="",TRUE,ISNUMBER(SEARCH($W$2,$W11))),IF($X$2="",TRUE,ISNUMBER(SEARCH($X$2,$X11))),IF($Y$2="",TRUE,ISNUMBER(SEARCH($Y$2,$Y11))),IF($Z$2="",TRUE,ISNUMBER(SEARCH($Z$2,$Z11))),IF($AA$2="",TRUE,ISNUMBER(SEARCH($AA$2,$AA11))),IF($AB$2="",TRUE,ISNUMBER(SEARCH($AB$2,$AB11))),IF($AC$2="",TRUE,ISNUMBER(SEARCH($AC$2,$AC11))),IF($AD$2="",TRUE,ISNUMBER(SEARCH($AD$2,$AD11))),IF($AE$2="",TRUE,ISNUMBER(SEARCH($AE$2,$AE11))),IF($AF$2="",TRUE,ISNUMBER(SEARCH($AF$2,$AF11))),IF($AG$2="",TRUE,ISNUMBER(SEARCH($AG$2,$AG11))),IF($AH$2="",TRUE,ISNUMBER(SEARCH($AH$2,$AH11))))</f>
        <v/>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
      </c>
      <c r="J12" s="27">
        <f>+H12+I12</f>
        <v/>
      </c>
      <c r="K12" s="27">
        <f>ROUND((H12+I12)*2%,0)</f>
        <v/>
      </c>
      <c r="L12" s="28">
        <f>H12*0.1%</f>
        <v/>
      </c>
      <c r="M12" s="28">
        <f>H12*2.25%*118%</f>
        <v/>
      </c>
      <c r="N12" s="29">
        <f>H12*2.25%*2%</f>
        <v/>
      </c>
      <c r="O12" s="28">
        <f>M12-N12</f>
        <v/>
      </c>
      <c r="P12" s="28">
        <f>ROUND(O12+L12,0)</f>
        <v/>
      </c>
      <c r="Q12" s="30" t="n">
        <v>0</v>
      </c>
      <c r="R12" s="28">
        <f>ROUND(H12*Q12,0)</f>
        <v/>
      </c>
      <c r="S12" s="27">
        <f>ROUND(H12*117.65%-R12,0)</f>
        <v/>
      </c>
      <c r="T12" s="28">
        <f>ROUND(H12*25%,0)</f>
        <v/>
      </c>
      <c r="U12" s="31">
        <f>+T12</f>
        <v/>
      </c>
      <c r="V12" s="28" t="inlineStr">
        <is>
          <t>13.08.2026</t>
        </is>
      </c>
      <c r="W12" s="28">
        <f>ROUND(H12*92.65%-R12,0)</f>
        <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
      </c>
      <c r="AD12" s="19">
        <f>S12-AC12</f>
        <v/>
      </c>
      <c r="AE12" s="20">
        <f>IF(AD12="","",IF(AD12&lt;=5,"SETTLED","OUTSTANDING"))</f>
        <v/>
      </c>
      <c r="AF12" s="20" t="inlineStr">
        <is>
          <t>DR2640100033</t>
        </is>
      </c>
      <c r="AG12" s="21" t="n">
        <v>1800003305</v>
      </c>
      <c r="AH12" s="22" t="inlineStr">
        <is>
          <t>27.08.2026</t>
        </is>
      </c>
      <c r="AJ12">
        <f>AND(IF($A$2="",TRUE,ISNUMBER(SEARCH($A$2,$A12))),IF($B$2="",TRUE,ISNUMBER(SEARCH($B$2,$B12))),IF($C$2="",TRUE,ISNUMBER(SEARCH($C$2,$C12))),IF($D$2="",TRUE,ISNUMBER(SEARCH($D$2,$D12))),IF($E$2="",TRUE,ISNUMBER(SEARCH($E$2,$E12))),IF($F$2="",TRUE,ISNUMBER(SEARCH($F$2,$F12))),IF($G$2="",TRUE,ISNUMBER(SEARCH($G$2,$G12))),IF($H$2="",TRUE,ISNUMBER(SEARCH($H$2,$H12))),IF($I$2="",TRUE,ISNUMBER(SEARCH($I$2,$I12))),IF($J$2="",TRUE,ISNUMBER(SEARCH($J$2,$J12))),IF($K$2="",TRUE,ISNUMBER(SEARCH($K$2,$K12))),IF($L$2="",TRUE,ISNUMBER(SEARCH($L$2,$L12))),IF($M$2="",TRUE,ISNUMBER(SEARCH($M$2,$M12))),IF($N$2="",TRUE,ISNUMBER(SEARCH($N$2,$N12))),IF($O$2="",TRUE,ISNUMBER(SEARCH($O$2,$O12))),IF($P$2="",TRUE,ISNUMBER(SEARCH($P$2,$P12))),IF($Q$2="",TRUE,ISNUMBER(SEARCH($Q$2,$Q12))),IF($R$2="",TRUE,ISNUMBER(SEARCH($R$2,$R12))),IF($S$2="",TRUE,ISNUMBER(SEARCH($S$2,$S12))),IF($T$2="",TRUE,ISNUMBER(SEARCH($T$2,$T12))),IF($U$2="",TRUE,ISNUMBER(SEARCH($U$2,$U12))),IF($V$2="",TRUE,ISNUMBER(SEARCH($V$2,$V12))),IF($W$2="",TRUE,ISNUMBER(SEARCH($W$2,$W12))),IF($X$2="",TRUE,ISNUMBER(SEARCH($X$2,$X12))),IF($Y$2="",TRUE,ISNUMBER(SEARCH($Y$2,$Y12))),IF($Z$2="",TRUE,ISNUMBER(SEARCH($Z$2,$Z12))),IF($AA$2="",TRUE,ISNUMBER(SEARCH($AA$2,$AA12))),IF($AB$2="",TRUE,ISNUMBER(SEARCH($AB$2,$AB12))),IF($AC$2="",TRUE,ISNUMBER(SEARCH($AC$2,$AC12))),IF($AD$2="",TRUE,ISNUMBER(SEARCH($AD$2,$AD12))),IF($AE$2="",TRUE,ISNUMBER(SEARCH($AE$2,$AE12))),IF($AF$2="",TRUE,ISNUMBER(SEARCH($AF$2,$AF12))),IF($AG$2="",TRUE,ISNUMBER(SEARCH($AG$2,$AG12))),IF($AH$2="",TRUE,ISNUMBER(SEARCH($AH$2,$AH12))))</f>
        <v/>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
      </c>
      <c r="J13" s="152">
        <f>+H13+I13</f>
        <v/>
      </c>
      <c r="K13" s="152">
        <f>ROUND((H13+I13)*2%,0)</f>
        <v/>
      </c>
      <c r="L13" s="153">
        <f>H13*0.1%</f>
        <v/>
      </c>
      <c r="M13" s="153">
        <f>H13*2.25%*118%</f>
        <v/>
      </c>
      <c r="N13" s="154">
        <f>H13*2.25%*2%</f>
        <v/>
      </c>
      <c r="O13" s="153">
        <f>M13-N13</f>
        <v/>
      </c>
      <c r="P13" s="153">
        <f>ROUND(O13+L13,0)</f>
        <v/>
      </c>
      <c r="Q13" s="155" t="n">
        <v>0</v>
      </c>
      <c r="R13" s="153">
        <f>ROUND(H13*Q13,0)</f>
        <v/>
      </c>
      <c r="S13" s="152">
        <f>ROUND(H13*117.65%-R13,0)</f>
        <v/>
      </c>
      <c r="T13" s="153">
        <f>ROUND(H13*25%,0)</f>
        <v/>
      </c>
      <c r="U13" s="156" t="n">
        <v>4375</v>
      </c>
      <c r="V13" s="153" t="inlineStr">
        <is>
          <t>11.08.2026</t>
        </is>
      </c>
      <c r="W13" s="153">
        <f>ROUND(H13*92.65%-R13,0)</f>
        <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
      </c>
      <c r="AD13" s="157">
        <f>S13-AC13</f>
        <v/>
      </c>
      <c r="AE13" s="153">
        <f>IF(AD13="","",IF(AD13&lt;=5,"SETTLED","OUTSTANDING"))</f>
        <v/>
      </c>
      <c r="AF13" s="153" t="inlineStr">
        <is>
          <t>DR2640100018</t>
        </is>
      </c>
      <c r="AG13" s="158" t="n">
        <v>1800003156</v>
      </c>
      <c r="AH13" s="159" t="inlineStr">
        <is>
          <t>14.08.2026</t>
        </is>
      </c>
      <c r="AJ13">
        <f>AND(IF($A$2="",TRUE,ISNUMBER(SEARCH($A$2,$A13))),IF($B$2="",TRUE,ISNUMBER(SEARCH($B$2,$B13))),IF($C$2="",TRUE,ISNUMBER(SEARCH($C$2,$C13))),IF($D$2="",TRUE,ISNUMBER(SEARCH($D$2,$D13))),IF($E$2="",TRUE,ISNUMBER(SEARCH($E$2,$E13))),IF($F$2="",TRUE,ISNUMBER(SEARCH($F$2,$F13))),IF($G$2="",TRUE,ISNUMBER(SEARCH($G$2,$G13))),IF($H$2="",TRUE,ISNUMBER(SEARCH($H$2,$H13))),IF($I$2="",TRUE,ISNUMBER(SEARCH($I$2,$I13))),IF($J$2="",TRUE,ISNUMBER(SEARCH($J$2,$J13))),IF($K$2="",TRUE,ISNUMBER(SEARCH($K$2,$K13))),IF($L$2="",TRUE,ISNUMBER(SEARCH($L$2,$L13))),IF($M$2="",TRUE,ISNUMBER(SEARCH($M$2,$M13))),IF($N$2="",TRUE,ISNUMBER(SEARCH($N$2,$N13))),IF($O$2="",TRUE,ISNUMBER(SEARCH($O$2,$O13))),IF($P$2="",TRUE,ISNUMBER(SEARCH($P$2,$P13))),IF($Q$2="",TRUE,ISNUMBER(SEARCH($Q$2,$Q13))),IF($R$2="",TRUE,ISNUMBER(SEARCH($R$2,$R13))),IF($S$2="",TRUE,ISNUMBER(SEARCH($S$2,$S13))),IF($T$2="",TRUE,ISNUMBER(SEARCH($T$2,$T13))),IF($U$2="",TRUE,ISNUMBER(SEARCH($U$2,$U13))),IF($V$2="",TRUE,ISNUMBER(SEARCH($V$2,$V13))),IF($W$2="",TRUE,ISNUMBER(SEARCH($W$2,$W13))),IF($X$2="",TRUE,ISNUMBER(SEARCH($X$2,$X13))),IF($Y$2="",TRUE,ISNUMBER(SEARCH($Y$2,$Y13))),IF($Z$2="",TRUE,ISNUMBER(SEARCH($Z$2,$Z13))),IF($AA$2="",TRUE,ISNUMBER(SEARCH($AA$2,$AA13))),IF($AB$2="",TRUE,ISNUMBER(SEARCH($AB$2,$AB13))),IF($AC$2="",TRUE,ISNUMBER(SEARCH($AC$2,$AC13))),IF($AD$2="",TRUE,ISNUMBER(SEARCH($AD$2,$AD13))),IF($AE$2="",TRUE,ISNUMBER(SEARCH($AE$2,$AE13))),IF($AF$2="",TRUE,ISNUMBER(SEARCH($AF$2,$AF13))),IF($AG$2="",TRUE,ISNUMBER(SEARCH($AG$2,$AG13))),IF($AH$2="",TRUE,ISNUMBER(SEARCH($AH$2,$AH13))))</f>
        <v/>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
      </c>
      <c r="J14" s="27">
        <f>+H14+I14</f>
        <v/>
      </c>
      <c r="K14" s="27">
        <f>ROUND((H14+I14)*2%,0)</f>
        <v/>
      </c>
      <c r="L14" s="28">
        <f>H14*0.1%</f>
        <v/>
      </c>
      <c r="M14" s="28">
        <f>H14*2.25%*118%</f>
        <v/>
      </c>
      <c r="N14" s="29">
        <f>H14*2.25%*2%</f>
        <v/>
      </c>
      <c r="O14" s="28">
        <f>M14-N14</f>
        <v/>
      </c>
      <c r="P14" s="28">
        <f>ROUND(O14+L14,0)</f>
        <v/>
      </c>
      <c r="Q14" s="30" t="n">
        <v>0</v>
      </c>
      <c r="R14" s="28">
        <f>ROUND(H14*Q14,0)</f>
        <v/>
      </c>
      <c r="S14" s="27">
        <f>ROUND(H14*117.65%-R14,0)</f>
        <v/>
      </c>
      <c r="T14" s="28">
        <f>ROUND(H14*25%,0)</f>
        <v/>
      </c>
      <c r="U14" s="31">
        <f>+T14</f>
        <v/>
      </c>
      <c r="V14" s="28" t="inlineStr">
        <is>
          <t>13.08.2026</t>
        </is>
      </c>
      <c r="W14" s="28">
        <f>ROUND(H14*92.65%-R14,0)</f>
        <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
      </c>
      <c r="AD14" s="19">
        <f>S14-AC14</f>
        <v/>
      </c>
      <c r="AE14" s="20">
        <f>IF(AD14="","",IF(AD14&lt;=5,"SETTLED","OUTSTANDING"))</f>
        <v/>
      </c>
      <c r="AF14" s="20" t="inlineStr">
        <is>
          <t>DR2640100024</t>
        </is>
      </c>
      <c r="AG14" s="21" t="n">
        <v>1800003196</v>
      </c>
      <c r="AH14" s="22" t="inlineStr">
        <is>
          <t>17.08.2026</t>
        </is>
      </c>
      <c r="AJ14">
        <f>AND(IF($A$2="",TRUE,ISNUMBER(SEARCH($A$2,$A14))),IF($B$2="",TRUE,ISNUMBER(SEARCH($B$2,$B14))),IF($C$2="",TRUE,ISNUMBER(SEARCH($C$2,$C14))),IF($D$2="",TRUE,ISNUMBER(SEARCH($D$2,$D14))),IF($E$2="",TRUE,ISNUMBER(SEARCH($E$2,$E14))),IF($F$2="",TRUE,ISNUMBER(SEARCH($F$2,$F14))),IF($G$2="",TRUE,ISNUMBER(SEARCH($G$2,$G14))),IF($H$2="",TRUE,ISNUMBER(SEARCH($H$2,$H14))),IF($I$2="",TRUE,ISNUMBER(SEARCH($I$2,$I14))),IF($J$2="",TRUE,ISNUMBER(SEARCH($J$2,$J14))),IF($K$2="",TRUE,ISNUMBER(SEARCH($K$2,$K14))),IF($L$2="",TRUE,ISNUMBER(SEARCH($L$2,$L14))),IF($M$2="",TRUE,ISNUMBER(SEARCH($M$2,$M14))),IF($N$2="",TRUE,ISNUMBER(SEARCH($N$2,$N14))),IF($O$2="",TRUE,ISNUMBER(SEARCH($O$2,$O14))),IF($P$2="",TRUE,ISNUMBER(SEARCH($P$2,$P14))),IF($Q$2="",TRUE,ISNUMBER(SEARCH($Q$2,$Q14))),IF($R$2="",TRUE,ISNUMBER(SEARCH($R$2,$R14))),IF($S$2="",TRUE,ISNUMBER(SEARCH($S$2,$S14))),IF($T$2="",TRUE,ISNUMBER(SEARCH($T$2,$T14))),IF($U$2="",TRUE,ISNUMBER(SEARCH($U$2,$U14))),IF($V$2="",TRUE,ISNUMBER(SEARCH($V$2,$V14))),IF($W$2="",TRUE,ISNUMBER(SEARCH($W$2,$W14))),IF($X$2="",TRUE,ISNUMBER(SEARCH($X$2,$X14))),IF($Y$2="",TRUE,ISNUMBER(SEARCH($Y$2,$Y14))),IF($Z$2="",TRUE,ISNUMBER(SEARCH($Z$2,$Z14))),IF($AA$2="",TRUE,ISNUMBER(SEARCH($AA$2,$AA14))),IF($AB$2="",TRUE,ISNUMBER(SEARCH($AB$2,$AB14))),IF($AC$2="",TRUE,ISNUMBER(SEARCH($AC$2,$AC14))),IF($AD$2="",TRUE,ISNUMBER(SEARCH($AD$2,$AD14))),IF($AE$2="",TRUE,ISNUMBER(SEARCH($AE$2,$AE14))),IF($AF$2="",TRUE,ISNUMBER(SEARCH($AF$2,$AF14))),IF($AG$2="",TRUE,ISNUMBER(SEARCH($AG$2,$AG14))),IF($AH$2="",TRUE,ISNUMBER(SEARCH($AH$2,$AH14))))</f>
        <v/>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
      </c>
      <c r="J15" s="152">
        <f>+H15+I15</f>
        <v/>
      </c>
      <c r="K15" s="152">
        <f>ROUND((H15+I15)*2%,0)</f>
        <v/>
      </c>
      <c r="L15" s="153">
        <f>H15*0.1%</f>
        <v/>
      </c>
      <c r="M15" s="153">
        <f>H15*2.25%*118%</f>
        <v/>
      </c>
      <c r="N15" s="154">
        <f>H15*2.25%*2%</f>
        <v/>
      </c>
      <c r="O15" s="153">
        <f>M15-N15</f>
        <v/>
      </c>
      <c r="P15" s="153">
        <f>ROUND(O15+L15,0)</f>
        <v/>
      </c>
      <c r="Q15" s="155" t="n">
        <v>0</v>
      </c>
      <c r="R15" s="153">
        <f>ROUND(H15*Q15,0)</f>
        <v/>
      </c>
      <c r="S15" s="152">
        <f>ROUND(H15*117.65%-R15,0)</f>
        <v/>
      </c>
      <c r="T15" s="153">
        <f>ROUND(H15*25%,0)</f>
        <v/>
      </c>
      <c r="U15" s="156" t="n">
        <v>33938</v>
      </c>
      <c r="V15" s="153" t="inlineStr">
        <is>
          <t>14.08.2026</t>
        </is>
      </c>
      <c r="W15" s="153">
        <f>ROUND(H15*92.65%-R15,0)</f>
        <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
      </c>
      <c r="AD15" s="157">
        <f>S15-AC15</f>
        <v/>
      </c>
      <c r="AE15" s="153">
        <f>IF(AD15="","",IF(AD15&lt;=5,"SETTLED","OUTSTANDING"))</f>
        <v/>
      </c>
      <c r="AF15" s="153" t="inlineStr">
        <is>
          <t>DR2640100026</t>
        </is>
      </c>
      <c r="AG15" s="158" t="n">
        <v>1800003247</v>
      </c>
      <c r="AH15" s="159" t="inlineStr">
        <is>
          <t>20.08.2026</t>
        </is>
      </c>
      <c r="AJ15">
        <f>AND(IF($A$2="",TRUE,ISNUMBER(SEARCH($A$2,$A15))),IF($B$2="",TRUE,ISNUMBER(SEARCH($B$2,$B15))),IF($C$2="",TRUE,ISNUMBER(SEARCH($C$2,$C15))),IF($D$2="",TRUE,ISNUMBER(SEARCH($D$2,$D15))),IF($E$2="",TRUE,ISNUMBER(SEARCH($E$2,$E15))),IF($F$2="",TRUE,ISNUMBER(SEARCH($F$2,$F15))),IF($G$2="",TRUE,ISNUMBER(SEARCH($G$2,$G15))),IF($H$2="",TRUE,ISNUMBER(SEARCH($H$2,$H15))),IF($I$2="",TRUE,ISNUMBER(SEARCH($I$2,$I15))),IF($J$2="",TRUE,ISNUMBER(SEARCH($J$2,$J15))),IF($K$2="",TRUE,ISNUMBER(SEARCH($K$2,$K15))),IF($L$2="",TRUE,ISNUMBER(SEARCH($L$2,$L15))),IF($M$2="",TRUE,ISNUMBER(SEARCH($M$2,$M15))),IF($N$2="",TRUE,ISNUMBER(SEARCH($N$2,$N15))),IF($O$2="",TRUE,ISNUMBER(SEARCH($O$2,$O15))),IF($P$2="",TRUE,ISNUMBER(SEARCH($P$2,$P15))),IF($Q$2="",TRUE,ISNUMBER(SEARCH($Q$2,$Q15))),IF($R$2="",TRUE,ISNUMBER(SEARCH($R$2,$R15))),IF($S$2="",TRUE,ISNUMBER(SEARCH($S$2,$S15))),IF($T$2="",TRUE,ISNUMBER(SEARCH($T$2,$T15))),IF($U$2="",TRUE,ISNUMBER(SEARCH($U$2,$U15))),IF($V$2="",TRUE,ISNUMBER(SEARCH($V$2,$V15))),IF($W$2="",TRUE,ISNUMBER(SEARCH($W$2,$W15))),IF($X$2="",TRUE,ISNUMBER(SEARCH($X$2,$X15))),IF($Y$2="",TRUE,ISNUMBER(SEARCH($Y$2,$Y15))),IF($Z$2="",TRUE,ISNUMBER(SEARCH($Z$2,$Z15))),IF($AA$2="",TRUE,ISNUMBER(SEARCH($AA$2,$AA15))),IF($AB$2="",TRUE,ISNUMBER(SEARCH($AB$2,$AB15))),IF($AC$2="",TRUE,ISNUMBER(SEARCH($AC$2,$AC15))),IF($AD$2="",TRUE,ISNUMBER(SEARCH($AD$2,$AD15))),IF($AE$2="",TRUE,ISNUMBER(SEARCH($AE$2,$AE15))),IF($AF$2="",TRUE,ISNUMBER(SEARCH($AF$2,$AF15))),IF($AG$2="",TRUE,ISNUMBER(SEARCH($AG$2,$AG15))),IF($AH$2="",TRUE,ISNUMBER(SEARCH($AH$2,$AH15))))</f>
        <v/>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
      </c>
      <c r="J16" s="27">
        <f>+H16+I16</f>
        <v/>
      </c>
      <c r="K16" s="27">
        <f>ROUND((H16+I16)*2%,0)</f>
        <v/>
      </c>
      <c r="L16" s="28">
        <f>H16*0.1%</f>
        <v/>
      </c>
      <c r="M16" s="28">
        <f>H16*2.25%*118%</f>
        <v/>
      </c>
      <c r="N16" s="29">
        <f>H16*2.25%*2%</f>
        <v/>
      </c>
      <c r="O16" s="28">
        <f>M16-N16</f>
        <v/>
      </c>
      <c r="P16" s="28">
        <f>ROUND(O16+L16,0)</f>
        <v/>
      </c>
      <c r="Q16" s="30" t="n">
        <v>0</v>
      </c>
      <c r="R16" s="28">
        <f>ROUND(H16*Q16,0)</f>
        <v/>
      </c>
      <c r="S16" s="27">
        <f>ROUND(H16*117.65%-R16,0)</f>
        <v/>
      </c>
      <c r="T16" s="28">
        <f>ROUND(H16*25%,0)</f>
        <v/>
      </c>
      <c r="U16" s="31" t="n">
        <v>3850</v>
      </c>
      <c r="V16" s="28" t="inlineStr">
        <is>
          <t>11.08.2026</t>
        </is>
      </c>
      <c r="W16" s="28">
        <f>ROUND(H16*92.65%-R16,0)</f>
        <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
      </c>
      <c r="AD16" s="19">
        <f>S16-AC16</f>
        <v/>
      </c>
      <c r="AE16" s="20">
        <f>IF(AD16="","",IF(AD16&lt;=5,"SETTLED","OUTSTANDING"))</f>
        <v/>
      </c>
      <c r="AF16" s="20" t="inlineStr">
        <is>
          <t>DR2640100019</t>
        </is>
      </c>
      <c r="AG16" s="21" t="n">
        <v>1800003157</v>
      </c>
      <c r="AH16" s="22" t="inlineStr">
        <is>
          <t>14.08.2026</t>
        </is>
      </c>
      <c r="AJ16">
        <f>AND(IF($A$2="",TRUE,ISNUMBER(SEARCH($A$2,$A16))),IF($B$2="",TRUE,ISNUMBER(SEARCH($B$2,$B16))),IF($C$2="",TRUE,ISNUMBER(SEARCH($C$2,$C16))),IF($D$2="",TRUE,ISNUMBER(SEARCH($D$2,$D16))),IF($E$2="",TRUE,ISNUMBER(SEARCH($E$2,$E16))),IF($F$2="",TRUE,ISNUMBER(SEARCH($F$2,$F16))),IF($G$2="",TRUE,ISNUMBER(SEARCH($G$2,$G16))),IF($H$2="",TRUE,ISNUMBER(SEARCH($H$2,$H16))),IF($I$2="",TRUE,ISNUMBER(SEARCH($I$2,$I16))),IF($J$2="",TRUE,ISNUMBER(SEARCH($J$2,$J16))),IF($K$2="",TRUE,ISNUMBER(SEARCH($K$2,$K16))),IF($L$2="",TRUE,ISNUMBER(SEARCH($L$2,$L16))),IF($M$2="",TRUE,ISNUMBER(SEARCH($M$2,$M16))),IF($N$2="",TRUE,ISNUMBER(SEARCH($N$2,$N16))),IF($O$2="",TRUE,ISNUMBER(SEARCH($O$2,$O16))),IF($P$2="",TRUE,ISNUMBER(SEARCH($P$2,$P16))),IF($Q$2="",TRUE,ISNUMBER(SEARCH($Q$2,$Q16))),IF($R$2="",TRUE,ISNUMBER(SEARCH($R$2,$R16))),IF($S$2="",TRUE,ISNUMBER(SEARCH($S$2,$S16))),IF($T$2="",TRUE,ISNUMBER(SEARCH($T$2,$T16))),IF($U$2="",TRUE,ISNUMBER(SEARCH($U$2,$U16))),IF($V$2="",TRUE,ISNUMBER(SEARCH($V$2,$V16))),IF($W$2="",TRUE,ISNUMBER(SEARCH($W$2,$W16))),IF($X$2="",TRUE,ISNUMBER(SEARCH($X$2,$X16))),IF($Y$2="",TRUE,ISNUMBER(SEARCH($Y$2,$Y16))),IF($Z$2="",TRUE,ISNUMBER(SEARCH($Z$2,$Z16))),IF($AA$2="",TRUE,ISNUMBER(SEARCH($AA$2,$AA16))),IF($AB$2="",TRUE,ISNUMBER(SEARCH($AB$2,$AB16))),IF($AC$2="",TRUE,ISNUMBER(SEARCH($AC$2,$AC16))),IF($AD$2="",TRUE,ISNUMBER(SEARCH($AD$2,$AD16))),IF($AE$2="",TRUE,ISNUMBER(SEARCH($AE$2,$AE16))),IF($AF$2="",TRUE,ISNUMBER(SEARCH($AF$2,$AF16))),IF($AG$2="",TRUE,ISNUMBER(SEARCH($AG$2,$AG16))),IF($AH$2="",TRUE,ISNUMBER(SEARCH($AH$2,$AH16))))</f>
        <v/>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
      </c>
      <c r="J17" s="152">
        <f>+H17+I17</f>
        <v/>
      </c>
      <c r="K17" s="152">
        <f>ROUND((H17+I17)*2%,0)</f>
        <v/>
      </c>
      <c r="L17" s="153">
        <f>H17*0.1%</f>
        <v/>
      </c>
      <c r="M17" s="153">
        <f>H17*2.25%*118%</f>
        <v/>
      </c>
      <c r="N17" s="154">
        <f>H17*2.25%*2%</f>
        <v/>
      </c>
      <c r="O17" s="153">
        <f>M17-N17</f>
        <v/>
      </c>
      <c r="P17" s="153">
        <f>ROUND(O17+L17,0)</f>
        <v/>
      </c>
      <c r="Q17" s="155" t="n">
        <v>0</v>
      </c>
      <c r="R17" s="153">
        <f>ROUND(H17*Q17,0)</f>
        <v/>
      </c>
      <c r="S17" s="152">
        <f>ROUND(H17*117.65%-R17,0)</f>
        <v/>
      </c>
      <c r="T17" s="153">
        <f>ROUND(H17*25%,0)</f>
        <v/>
      </c>
      <c r="U17" s="156" t="n">
        <v>17750</v>
      </c>
      <c r="V17" s="153" t="inlineStr">
        <is>
          <t>11.08.2026</t>
        </is>
      </c>
      <c r="W17" s="153">
        <f>ROUND(H17*92.65%-R17,0)</f>
        <v/>
      </c>
      <c r="X17" s="153">
        <f>+W17</f>
        <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
      </c>
      <c r="AD17" s="157">
        <f>S17-AC17</f>
        <v/>
      </c>
      <c r="AE17" s="153">
        <f>IF(AD17="","",IF(AD17&lt;=5,"SETTLED","OUTSTANDING"))</f>
        <v/>
      </c>
      <c r="AF17" s="153" t="inlineStr">
        <is>
          <t>DR2640100020</t>
        </is>
      </c>
      <c r="AG17" s="158" t="n">
        <v>1800003158</v>
      </c>
      <c r="AH17" s="159" t="inlineStr">
        <is>
          <t>14.08.2026</t>
        </is>
      </c>
      <c r="AJ17">
        <f>AND(IF($A$2="",TRUE,ISNUMBER(SEARCH($A$2,$A17))),IF($B$2="",TRUE,ISNUMBER(SEARCH($B$2,$B17))),IF($C$2="",TRUE,ISNUMBER(SEARCH($C$2,$C17))),IF($D$2="",TRUE,ISNUMBER(SEARCH($D$2,$D17))),IF($E$2="",TRUE,ISNUMBER(SEARCH($E$2,$E17))),IF($F$2="",TRUE,ISNUMBER(SEARCH($F$2,$F17))),IF($G$2="",TRUE,ISNUMBER(SEARCH($G$2,$G17))),IF($H$2="",TRUE,ISNUMBER(SEARCH($H$2,$H17))),IF($I$2="",TRUE,ISNUMBER(SEARCH($I$2,$I17))),IF($J$2="",TRUE,ISNUMBER(SEARCH($J$2,$J17))),IF($K$2="",TRUE,ISNUMBER(SEARCH($K$2,$K17))),IF($L$2="",TRUE,ISNUMBER(SEARCH($L$2,$L17))),IF($M$2="",TRUE,ISNUMBER(SEARCH($M$2,$M17))),IF($N$2="",TRUE,ISNUMBER(SEARCH($N$2,$N17))),IF($O$2="",TRUE,ISNUMBER(SEARCH($O$2,$O17))),IF($P$2="",TRUE,ISNUMBER(SEARCH($P$2,$P17))),IF($Q$2="",TRUE,ISNUMBER(SEARCH($Q$2,$Q17))),IF($R$2="",TRUE,ISNUMBER(SEARCH($R$2,$R17))),IF($S$2="",TRUE,ISNUMBER(SEARCH($S$2,$S17))),IF($T$2="",TRUE,ISNUMBER(SEARCH($T$2,$T17))),IF($U$2="",TRUE,ISNUMBER(SEARCH($U$2,$U17))),IF($V$2="",TRUE,ISNUMBER(SEARCH($V$2,$V17))),IF($W$2="",TRUE,ISNUMBER(SEARCH($W$2,$W17))),IF($X$2="",TRUE,ISNUMBER(SEARCH($X$2,$X17))),IF($Y$2="",TRUE,ISNUMBER(SEARCH($Y$2,$Y17))),IF($Z$2="",TRUE,ISNUMBER(SEARCH($Z$2,$Z17))),IF($AA$2="",TRUE,ISNUMBER(SEARCH($AA$2,$AA17))),IF($AB$2="",TRUE,ISNUMBER(SEARCH($AB$2,$AB17))),IF($AC$2="",TRUE,ISNUMBER(SEARCH($AC$2,$AC17))),IF($AD$2="",TRUE,ISNUMBER(SEARCH($AD$2,$AD17))),IF($AE$2="",TRUE,ISNUMBER(SEARCH($AE$2,$AE17))),IF($AF$2="",TRUE,ISNUMBER(SEARCH($AF$2,$AF17))),IF($AG$2="",TRUE,ISNUMBER(SEARCH($AG$2,$AG17))),IF($AH$2="",TRUE,ISNUMBER(SEARCH($AH$2,$AH17))))</f>
        <v/>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
      </c>
      <c r="J18" s="27">
        <f>+H18+I18</f>
        <v/>
      </c>
      <c r="K18" s="27">
        <f>ROUND((H18+I18)*2%,0)</f>
        <v/>
      </c>
      <c r="L18" s="28">
        <f>H18*0.1%</f>
        <v/>
      </c>
      <c r="M18" s="28">
        <f>H18*2.25%*118%</f>
        <v/>
      </c>
      <c r="N18" s="29">
        <f>H18*2.25%*2%</f>
        <v/>
      </c>
      <c r="O18" s="28">
        <f>M18-N18</f>
        <v/>
      </c>
      <c r="P18" s="28">
        <f>ROUND(O18+L18,0)</f>
        <v/>
      </c>
      <c r="Q18" s="30" t="n">
        <v>0</v>
      </c>
      <c r="R18" s="28">
        <f>ROUND(H18*Q18,0)</f>
        <v/>
      </c>
      <c r="S18" s="27">
        <f>ROUND(H18*117.65%-R18,0)</f>
        <v/>
      </c>
      <c r="T18" s="28">
        <f>ROUND(H18*25%,0)</f>
        <v/>
      </c>
      <c r="U18" s="31">
        <f>+T18</f>
        <v/>
      </c>
      <c r="V18" s="28" t="inlineStr">
        <is>
          <t>13.08.2026</t>
        </is>
      </c>
      <c r="W18" s="28">
        <f>ROUND(H18*92.65%-R18,0)</f>
        <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
      </c>
      <c r="AD18" s="19">
        <f>S18-AC18</f>
        <v/>
      </c>
      <c r="AE18" s="20">
        <f>IF(AD18="","",IF(AD18&lt;=5,"SETTLED","OUTSTANDING"))</f>
        <v/>
      </c>
      <c r="AF18" s="20" t="inlineStr">
        <is>
          <t>DR2640100034</t>
        </is>
      </c>
      <c r="AG18" s="21" t="n">
        <v>1800003306</v>
      </c>
      <c r="AH18" s="22" t="inlineStr">
        <is>
          <t>27.08.2026</t>
        </is>
      </c>
      <c r="AJ18">
        <f>AND(IF($A$2="",TRUE,ISNUMBER(SEARCH($A$2,$A18))),IF($B$2="",TRUE,ISNUMBER(SEARCH($B$2,$B18))),IF($C$2="",TRUE,ISNUMBER(SEARCH($C$2,$C18))),IF($D$2="",TRUE,ISNUMBER(SEARCH($D$2,$D18))),IF($E$2="",TRUE,ISNUMBER(SEARCH($E$2,$E18))),IF($F$2="",TRUE,ISNUMBER(SEARCH($F$2,$F18))),IF($G$2="",TRUE,ISNUMBER(SEARCH($G$2,$G18))),IF($H$2="",TRUE,ISNUMBER(SEARCH($H$2,$H18))),IF($I$2="",TRUE,ISNUMBER(SEARCH($I$2,$I18))),IF($J$2="",TRUE,ISNUMBER(SEARCH($J$2,$J18))),IF($K$2="",TRUE,ISNUMBER(SEARCH($K$2,$K18))),IF($L$2="",TRUE,ISNUMBER(SEARCH($L$2,$L18))),IF($M$2="",TRUE,ISNUMBER(SEARCH($M$2,$M18))),IF($N$2="",TRUE,ISNUMBER(SEARCH($N$2,$N18))),IF($O$2="",TRUE,ISNUMBER(SEARCH($O$2,$O18))),IF($P$2="",TRUE,ISNUMBER(SEARCH($P$2,$P18))),IF($Q$2="",TRUE,ISNUMBER(SEARCH($Q$2,$Q18))),IF($R$2="",TRUE,ISNUMBER(SEARCH($R$2,$R18))),IF($S$2="",TRUE,ISNUMBER(SEARCH($S$2,$S18))),IF($T$2="",TRUE,ISNUMBER(SEARCH($T$2,$T18))),IF($U$2="",TRUE,ISNUMBER(SEARCH($U$2,$U18))),IF($V$2="",TRUE,ISNUMBER(SEARCH($V$2,$V18))),IF($W$2="",TRUE,ISNUMBER(SEARCH($W$2,$W18))),IF($X$2="",TRUE,ISNUMBER(SEARCH($X$2,$X18))),IF($Y$2="",TRUE,ISNUMBER(SEARCH($Y$2,$Y18))),IF($Z$2="",TRUE,ISNUMBER(SEARCH($Z$2,$Z18))),IF($AA$2="",TRUE,ISNUMBER(SEARCH($AA$2,$AA18))),IF($AB$2="",TRUE,ISNUMBER(SEARCH($AB$2,$AB18))),IF($AC$2="",TRUE,ISNUMBER(SEARCH($AC$2,$AC18))),IF($AD$2="",TRUE,ISNUMBER(SEARCH($AD$2,$AD18))),IF($AE$2="",TRUE,ISNUMBER(SEARCH($AE$2,$AE18))),IF($AF$2="",TRUE,ISNUMBER(SEARCH($AF$2,$AF18))),IF($AG$2="",TRUE,ISNUMBER(SEARCH($AG$2,$AG18))),IF($AH$2="",TRUE,ISNUMBER(SEARCH($AH$2,$AH18))))</f>
        <v/>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
      </c>
      <c r="J19" s="152">
        <f>+H19+I19</f>
        <v/>
      </c>
      <c r="K19" s="152">
        <f>ROUND((H19+I19)*2%,0)</f>
        <v/>
      </c>
      <c r="L19" s="153">
        <f>H19*0.1%</f>
        <v/>
      </c>
      <c r="M19" s="153">
        <f>H19*2.25%*118%</f>
        <v/>
      </c>
      <c r="N19" s="154">
        <f>H19*2.25%*2%</f>
        <v/>
      </c>
      <c r="O19" s="153">
        <f>M19-N19</f>
        <v/>
      </c>
      <c r="P19" s="153">
        <f>ROUND(O19+L19,0)</f>
        <v/>
      </c>
      <c r="Q19" s="155" t="n">
        <v>0</v>
      </c>
      <c r="R19" s="153">
        <f>ROUND(H19*Q19,0)</f>
        <v/>
      </c>
      <c r="S19" s="152">
        <f>ROUND(H19*117.65%-R19,0)</f>
        <v/>
      </c>
      <c r="T19" s="153">
        <f>ROUND(H19*25%,0)</f>
        <v/>
      </c>
      <c r="U19" s="156">
        <f>+T19</f>
        <v/>
      </c>
      <c r="V19" s="153" t="inlineStr">
        <is>
          <t>13.08.2026</t>
        </is>
      </c>
      <c r="W19" s="153">
        <f>ROUND(H19*92.65%-R19,0)</f>
        <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
      </c>
      <c r="AD19" s="157">
        <f>S19-AC19</f>
        <v/>
      </c>
      <c r="AE19" s="153">
        <f>IF(AD19="","",IF(AD19&lt;=5,"SETTLED","OUTSTANDING"))</f>
        <v/>
      </c>
      <c r="AF19" s="153" t="inlineStr">
        <is>
          <t>DR2640100035</t>
        </is>
      </c>
      <c r="AG19" s="158" t="n">
        <v>1800003307</v>
      </c>
      <c r="AH19" s="159" t="inlineStr">
        <is>
          <t>27.08.2026</t>
        </is>
      </c>
      <c r="AJ19">
        <f>AND(IF($A$2="",TRUE,ISNUMBER(SEARCH($A$2,$A19))),IF($B$2="",TRUE,ISNUMBER(SEARCH($B$2,$B19))),IF($C$2="",TRUE,ISNUMBER(SEARCH($C$2,$C19))),IF($D$2="",TRUE,ISNUMBER(SEARCH($D$2,$D19))),IF($E$2="",TRUE,ISNUMBER(SEARCH($E$2,$E19))),IF($F$2="",TRUE,ISNUMBER(SEARCH($F$2,$F19))),IF($G$2="",TRUE,ISNUMBER(SEARCH($G$2,$G19))),IF($H$2="",TRUE,ISNUMBER(SEARCH($H$2,$H19))),IF($I$2="",TRUE,ISNUMBER(SEARCH($I$2,$I19))),IF($J$2="",TRUE,ISNUMBER(SEARCH($J$2,$J19))),IF($K$2="",TRUE,ISNUMBER(SEARCH($K$2,$K19))),IF($L$2="",TRUE,ISNUMBER(SEARCH($L$2,$L19))),IF($M$2="",TRUE,ISNUMBER(SEARCH($M$2,$M19))),IF($N$2="",TRUE,ISNUMBER(SEARCH($N$2,$N19))),IF($O$2="",TRUE,ISNUMBER(SEARCH($O$2,$O19))),IF($P$2="",TRUE,ISNUMBER(SEARCH($P$2,$P19))),IF($Q$2="",TRUE,ISNUMBER(SEARCH($Q$2,$Q19))),IF($R$2="",TRUE,ISNUMBER(SEARCH($R$2,$R19))),IF($S$2="",TRUE,ISNUMBER(SEARCH($S$2,$S19))),IF($T$2="",TRUE,ISNUMBER(SEARCH($T$2,$T19))),IF($U$2="",TRUE,ISNUMBER(SEARCH($U$2,$U19))),IF($V$2="",TRUE,ISNUMBER(SEARCH($V$2,$V19))),IF($W$2="",TRUE,ISNUMBER(SEARCH($W$2,$W19))),IF($X$2="",TRUE,ISNUMBER(SEARCH($X$2,$X19))),IF($Y$2="",TRUE,ISNUMBER(SEARCH($Y$2,$Y19))),IF($Z$2="",TRUE,ISNUMBER(SEARCH($Z$2,$Z19))),IF($AA$2="",TRUE,ISNUMBER(SEARCH($AA$2,$AA19))),IF($AB$2="",TRUE,ISNUMBER(SEARCH($AB$2,$AB19))),IF($AC$2="",TRUE,ISNUMBER(SEARCH($AC$2,$AC19))),IF($AD$2="",TRUE,ISNUMBER(SEARCH($AD$2,$AD19))),IF($AE$2="",TRUE,ISNUMBER(SEARCH($AE$2,$AE19))),IF($AF$2="",TRUE,ISNUMBER(SEARCH($AF$2,$AF19))),IF($AG$2="",TRUE,ISNUMBER(SEARCH($AG$2,$AG19))),IF($AH$2="",TRUE,ISNUMBER(SEARCH($AH$2,$AH19))))</f>
        <v/>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
      </c>
      <c r="J20" s="27">
        <f>+H20+I20</f>
        <v/>
      </c>
      <c r="K20" s="27">
        <f>ROUND((H20+I20)*2%,0)</f>
        <v/>
      </c>
      <c r="L20" s="28">
        <f>H20*0.1%</f>
        <v/>
      </c>
      <c r="M20" s="28">
        <f>H20*2.25%*118%</f>
        <v/>
      </c>
      <c r="N20" s="29">
        <f>H20*2.25%*2%</f>
        <v/>
      </c>
      <c r="O20" s="28">
        <f>M20-N20</f>
        <v/>
      </c>
      <c r="P20" s="28">
        <f>ROUND(O20+L20,0)</f>
        <v/>
      </c>
      <c r="Q20" s="30" t="n">
        <v>0.02</v>
      </c>
      <c r="R20" s="28">
        <f>ROUND(H20*Q20,0)</f>
        <v/>
      </c>
      <c r="S20" s="27">
        <f>ROUND(H20*117.65%-R20,0)</f>
        <v/>
      </c>
      <c r="T20" s="28">
        <f>ROUND(H20*25%,0)</f>
        <v/>
      </c>
      <c r="U20" s="31" t="n">
        <v>291375</v>
      </c>
      <c r="V20" s="28" t="inlineStr">
        <is>
          <t>10.08.2026</t>
        </is>
      </c>
      <c r="W20" s="28">
        <f>ROUND(H20*92.65%-R20,0)</f>
        <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
      </c>
      <c r="AD20" s="19">
        <f>S20-AC20</f>
        <v/>
      </c>
      <c r="AE20" s="20">
        <f>IF(AD20="","",IF(AD20&lt;=5,"SETTLED","OUTSTANDING"))</f>
        <v/>
      </c>
      <c r="AF20" s="20" t="inlineStr">
        <is>
          <t>DR2640100017</t>
        </is>
      </c>
      <c r="AG20" s="21" t="n">
        <v>1800003065</v>
      </c>
      <c r="AH20" s="22" t="inlineStr">
        <is>
          <t>12.08.2026</t>
        </is>
      </c>
      <c r="AJ20">
        <f>AND(IF($A$2="",TRUE,ISNUMBER(SEARCH($A$2,$A20))),IF($B$2="",TRUE,ISNUMBER(SEARCH($B$2,$B20))),IF($C$2="",TRUE,ISNUMBER(SEARCH($C$2,$C20))),IF($D$2="",TRUE,ISNUMBER(SEARCH($D$2,$D20))),IF($E$2="",TRUE,ISNUMBER(SEARCH($E$2,$E20))),IF($F$2="",TRUE,ISNUMBER(SEARCH($F$2,$F20))),IF($G$2="",TRUE,ISNUMBER(SEARCH($G$2,$G20))),IF($H$2="",TRUE,ISNUMBER(SEARCH($H$2,$H20))),IF($I$2="",TRUE,ISNUMBER(SEARCH($I$2,$I20))),IF($J$2="",TRUE,ISNUMBER(SEARCH($J$2,$J20))),IF($K$2="",TRUE,ISNUMBER(SEARCH($K$2,$K20))),IF($L$2="",TRUE,ISNUMBER(SEARCH($L$2,$L20))),IF($M$2="",TRUE,ISNUMBER(SEARCH($M$2,$M20))),IF($N$2="",TRUE,ISNUMBER(SEARCH($N$2,$N20))),IF($O$2="",TRUE,ISNUMBER(SEARCH($O$2,$O20))),IF($P$2="",TRUE,ISNUMBER(SEARCH($P$2,$P20))),IF($Q$2="",TRUE,ISNUMBER(SEARCH($Q$2,$Q20))),IF($R$2="",TRUE,ISNUMBER(SEARCH($R$2,$R20))),IF($S$2="",TRUE,ISNUMBER(SEARCH($S$2,$S20))),IF($T$2="",TRUE,ISNUMBER(SEARCH($T$2,$T20))),IF($U$2="",TRUE,ISNUMBER(SEARCH($U$2,$U20))),IF($V$2="",TRUE,ISNUMBER(SEARCH($V$2,$V20))),IF($W$2="",TRUE,ISNUMBER(SEARCH($W$2,$W20))),IF($X$2="",TRUE,ISNUMBER(SEARCH($X$2,$X20))),IF($Y$2="",TRUE,ISNUMBER(SEARCH($Y$2,$Y20))),IF($Z$2="",TRUE,ISNUMBER(SEARCH($Z$2,$Z20))),IF($AA$2="",TRUE,ISNUMBER(SEARCH($AA$2,$AA20))),IF($AB$2="",TRUE,ISNUMBER(SEARCH($AB$2,$AB20))),IF($AC$2="",TRUE,ISNUMBER(SEARCH($AC$2,$AC20))),IF($AD$2="",TRUE,ISNUMBER(SEARCH($AD$2,$AD20))),IF($AE$2="",TRUE,ISNUMBER(SEARCH($AE$2,$AE20))),IF($AF$2="",TRUE,ISNUMBER(SEARCH($AF$2,$AF20))),IF($AG$2="",TRUE,ISNUMBER(SEARCH($AG$2,$AG20))),IF($AH$2="",TRUE,ISNUMBER(SEARCH($AH$2,$AH20))))</f>
        <v/>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
      </c>
      <c r="J21" s="152">
        <f>+H21+I21</f>
        <v/>
      </c>
      <c r="K21" s="152">
        <f>ROUND((H21+I21)*2%,0)</f>
        <v/>
      </c>
      <c r="L21" s="153">
        <f>H21*0.1%</f>
        <v/>
      </c>
      <c r="M21" s="153">
        <f>H21*2.25%*118%</f>
        <v/>
      </c>
      <c r="N21" s="154">
        <f>H21*2.25%*2%</f>
        <v/>
      </c>
      <c r="O21" s="153">
        <f>M21-N21</f>
        <v/>
      </c>
      <c r="P21" s="153">
        <f>ROUND(O21+L21,0)</f>
        <v/>
      </c>
      <c r="Q21" s="155" t="n">
        <v>0</v>
      </c>
      <c r="R21" s="153">
        <f>ROUND(H21*Q21,0)</f>
        <v/>
      </c>
      <c r="S21" s="152">
        <f>ROUND(H21*117.65%-R21,0)</f>
        <v/>
      </c>
      <c r="T21" s="153">
        <f>ROUND(H21*25%,0)</f>
        <v/>
      </c>
      <c r="U21" s="156">
        <f>+T21</f>
        <v/>
      </c>
      <c r="V21" s="153" t="inlineStr">
        <is>
          <t>14.08.2026</t>
        </is>
      </c>
      <c r="W21" s="153">
        <f>ROUND(H21*92.65%-R21,0)</f>
        <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
      </c>
      <c r="AD21" s="157">
        <f>S21-AC21</f>
        <v/>
      </c>
      <c r="AE21" s="153">
        <f>IF(AD21="","",IF(AD21&lt;=5,"SETTLED","OUTSTANDING"))</f>
        <v/>
      </c>
      <c r="AF21" s="153" t="inlineStr">
        <is>
          <t>DR2640100028</t>
        </is>
      </c>
      <c r="AG21" s="158" t="n">
        <v>1800003269</v>
      </c>
      <c r="AH21" s="159" t="inlineStr">
        <is>
          <t>24.08.2026</t>
        </is>
      </c>
      <c r="AJ21">
        <f>AND(IF($A$2="",TRUE,ISNUMBER(SEARCH($A$2,$A21))),IF($B$2="",TRUE,ISNUMBER(SEARCH($B$2,$B21))),IF($C$2="",TRUE,ISNUMBER(SEARCH($C$2,$C21))),IF($D$2="",TRUE,ISNUMBER(SEARCH($D$2,$D21))),IF($E$2="",TRUE,ISNUMBER(SEARCH($E$2,$E21))),IF($F$2="",TRUE,ISNUMBER(SEARCH($F$2,$F21))),IF($G$2="",TRUE,ISNUMBER(SEARCH($G$2,$G21))),IF($H$2="",TRUE,ISNUMBER(SEARCH($H$2,$H21))),IF($I$2="",TRUE,ISNUMBER(SEARCH($I$2,$I21))),IF($J$2="",TRUE,ISNUMBER(SEARCH($J$2,$J21))),IF($K$2="",TRUE,ISNUMBER(SEARCH($K$2,$K21))),IF($L$2="",TRUE,ISNUMBER(SEARCH($L$2,$L21))),IF($M$2="",TRUE,ISNUMBER(SEARCH($M$2,$M21))),IF($N$2="",TRUE,ISNUMBER(SEARCH($N$2,$N21))),IF($O$2="",TRUE,ISNUMBER(SEARCH($O$2,$O21))),IF($P$2="",TRUE,ISNUMBER(SEARCH($P$2,$P21))),IF($Q$2="",TRUE,ISNUMBER(SEARCH($Q$2,$Q21))),IF($R$2="",TRUE,ISNUMBER(SEARCH($R$2,$R21))),IF($S$2="",TRUE,ISNUMBER(SEARCH($S$2,$S21))),IF($T$2="",TRUE,ISNUMBER(SEARCH($T$2,$T21))),IF($U$2="",TRUE,ISNUMBER(SEARCH($U$2,$U21))),IF($V$2="",TRUE,ISNUMBER(SEARCH($V$2,$V21))),IF($W$2="",TRUE,ISNUMBER(SEARCH($W$2,$W21))),IF($X$2="",TRUE,ISNUMBER(SEARCH($X$2,$X21))),IF($Y$2="",TRUE,ISNUMBER(SEARCH($Y$2,$Y21))),IF($Z$2="",TRUE,ISNUMBER(SEARCH($Z$2,$Z21))),IF($AA$2="",TRUE,ISNUMBER(SEARCH($AA$2,$AA21))),IF($AB$2="",TRUE,ISNUMBER(SEARCH($AB$2,$AB21))),IF($AC$2="",TRUE,ISNUMBER(SEARCH($AC$2,$AC21))),IF($AD$2="",TRUE,ISNUMBER(SEARCH($AD$2,$AD21))),IF($AE$2="",TRUE,ISNUMBER(SEARCH($AE$2,$AE21))),IF($AF$2="",TRUE,ISNUMBER(SEARCH($AF$2,$AF21))),IF($AG$2="",TRUE,ISNUMBER(SEARCH($AG$2,$AG21))),IF($AH$2="",TRUE,ISNUMBER(SEARCH($AH$2,$AH21))))</f>
        <v/>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
      </c>
      <c r="J22" s="27">
        <f>+H22+I22</f>
        <v/>
      </c>
      <c r="K22" s="27">
        <f>ROUND((H22+I22)*2%,0)</f>
        <v/>
      </c>
      <c r="L22" s="28">
        <f>H22*0.1%</f>
        <v/>
      </c>
      <c r="M22" s="28">
        <f>H22*2.25%*118%</f>
        <v/>
      </c>
      <c r="N22" s="29">
        <f>H22*2.25%*2%</f>
        <v/>
      </c>
      <c r="O22" s="28">
        <f>M22-N22</f>
        <v/>
      </c>
      <c r="P22" s="28">
        <f>ROUND(O22+L22,0)</f>
        <v/>
      </c>
      <c r="Q22" s="30" t="n">
        <v>0</v>
      </c>
      <c r="R22" s="28">
        <f>ROUND(H22*Q22,0)</f>
        <v/>
      </c>
      <c r="S22" s="27">
        <f>ROUND(H22*117.65%-R22,0)</f>
        <v/>
      </c>
      <c r="T22" s="28">
        <f>ROUND(H22*25%,0)</f>
        <v/>
      </c>
      <c r="U22" s="31">
        <f>+T22</f>
        <v/>
      </c>
      <c r="V22" s="28" t="inlineStr">
        <is>
          <t>13.08.2026</t>
        </is>
      </c>
      <c r="W22" s="28">
        <f>ROUND(H22*92.65%-R22,0)</f>
        <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
      </c>
      <c r="AD22" s="19">
        <f>S22-AC22</f>
        <v/>
      </c>
      <c r="AE22" s="20">
        <f>IF(AD22="","",IF(AD22&lt;=5,"SETTLED","OUTSTANDING"))</f>
        <v/>
      </c>
      <c r="AF22" s="20" t="inlineStr">
        <is>
          <t>DR2640100044</t>
        </is>
      </c>
      <c r="AG22" s="21" t="n">
        <v>1800003308</v>
      </c>
      <c r="AH22" s="22" t="inlineStr">
        <is>
          <t>27.08.2026</t>
        </is>
      </c>
      <c r="AJ22">
        <f>AND(IF($A$2="",TRUE,ISNUMBER(SEARCH($A$2,$A22))),IF($B$2="",TRUE,ISNUMBER(SEARCH($B$2,$B22))),IF($C$2="",TRUE,ISNUMBER(SEARCH($C$2,$C22))),IF($D$2="",TRUE,ISNUMBER(SEARCH($D$2,$D22))),IF($E$2="",TRUE,ISNUMBER(SEARCH($E$2,$E22))),IF($F$2="",TRUE,ISNUMBER(SEARCH($F$2,$F22))),IF($G$2="",TRUE,ISNUMBER(SEARCH($G$2,$G22))),IF($H$2="",TRUE,ISNUMBER(SEARCH($H$2,$H22))),IF($I$2="",TRUE,ISNUMBER(SEARCH($I$2,$I22))),IF($J$2="",TRUE,ISNUMBER(SEARCH($J$2,$J22))),IF($K$2="",TRUE,ISNUMBER(SEARCH($K$2,$K22))),IF($L$2="",TRUE,ISNUMBER(SEARCH($L$2,$L22))),IF($M$2="",TRUE,ISNUMBER(SEARCH($M$2,$M22))),IF($N$2="",TRUE,ISNUMBER(SEARCH($N$2,$N22))),IF($O$2="",TRUE,ISNUMBER(SEARCH($O$2,$O22))),IF($P$2="",TRUE,ISNUMBER(SEARCH($P$2,$P22))),IF($Q$2="",TRUE,ISNUMBER(SEARCH($Q$2,$Q22))),IF($R$2="",TRUE,ISNUMBER(SEARCH($R$2,$R22))),IF($S$2="",TRUE,ISNUMBER(SEARCH($S$2,$S22))),IF($T$2="",TRUE,ISNUMBER(SEARCH($T$2,$T22))),IF($U$2="",TRUE,ISNUMBER(SEARCH($U$2,$U22))),IF($V$2="",TRUE,ISNUMBER(SEARCH($V$2,$V22))),IF($W$2="",TRUE,ISNUMBER(SEARCH($W$2,$W22))),IF($X$2="",TRUE,ISNUMBER(SEARCH($X$2,$X22))),IF($Y$2="",TRUE,ISNUMBER(SEARCH($Y$2,$Y22))),IF($Z$2="",TRUE,ISNUMBER(SEARCH($Z$2,$Z22))),IF($AA$2="",TRUE,ISNUMBER(SEARCH($AA$2,$AA22))),IF($AB$2="",TRUE,ISNUMBER(SEARCH($AB$2,$AB22))),IF($AC$2="",TRUE,ISNUMBER(SEARCH($AC$2,$AC22))),IF($AD$2="",TRUE,ISNUMBER(SEARCH($AD$2,$AD22))),IF($AE$2="",TRUE,ISNUMBER(SEARCH($AE$2,$AE22))),IF($AF$2="",TRUE,ISNUMBER(SEARCH($AF$2,$AF22))),IF($AG$2="",TRUE,ISNUMBER(SEARCH($AG$2,$AG22))),IF($AH$2="",TRUE,ISNUMBER(SEARCH($AH$2,$AH22))))</f>
        <v/>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
      </c>
      <c r="J23" s="152">
        <f>+H23+I23</f>
        <v/>
      </c>
      <c r="K23" s="152">
        <f>ROUND((H23+I23)*2%,0)</f>
        <v/>
      </c>
      <c r="L23" s="153">
        <f>H23*0.1%</f>
        <v/>
      </c>
      <c r="M23" s="153">
        <f>H23*2.25%*118%</f>
        <v/>
      </c>
      <c r="N23" s="154">
        <f>H23*2.25%*2%</f>
        <v/>
      </c>
      <c r="O23" s="153">
        <f>M23-N23</f>
        <v/>
      </c>
      <c r="P23" s="153">
        <f>ROUND(O23+L23,0)</f>
        <v/>
      </c>
      <c r="Q23" s="155" t="n">
        <v>0</v>
      </c>
      <c r="R23" s="153">
        <f>ROUND(H23*Q23,0)</f>
        <v/>
      </c>
      <c r="S23" s="152">
        <f>ROUND(H23*117.65%-R23,0)</f>
        <v/>
      </c>
      <c r="T23" s="153">
        <f>ROUND(H23*25%,0)</f>
        <v/>
      </c>
      <c r="U23" s="156" t="n">
        <v>15750</v>
      </c>
      <c r="V23" s="153" t="inlineStr">
        <is>
          <t>11.08.2026</t>
        </is>
      </c>
      <c r="W23" s="153">
        <f>ROUND(H23*92.65%-R23,0)</f>
        <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
      </c>
      <c r="AD23" s="157">
        <f>S23-AC23</f>
        <v/>
      </c>
      <c r="AE23" s="153">
        <f>IF(AD23="","",IF(AD23&lt;=5,"SETTLED","OUTSTANDING"))</f>
        <v/>
      </c>
      <c r="AF23" s="153" t="inlineStr">
        <is>
          <t>DR2640100021</t>
        </is>
      </c>
      <c r="AG23" s="158" t="n">
        <v>1800003160</v>
      </c>
      <c r="AH23" s="159" t="inlineStr">
        <is>
          <t>14.08.2026</t>
        </is>
      </c>
      <c r="AJ23">
        <f>AND(IF($A$2="",TRUE,ISNUMBER(SEARCH($A$2,$A23))),IF($B$2="",TRUE,ISNUMBER(SEARCH($B$2,$B23))),IF($C$2="",TRUE,ISNUMBER(SEARCH($C$2,$C23))),IF($D$2="",TRUE,ISNUMBER(SEARCH($D$2,$D23))),IF($E$2="",TRUE,ISNUMBER(SEARCH($E$2,$E23))),IF($F$2="",TRUE,ISNUMBER(SEARCH($F$2,$F23))),IF($G$2="",TRUE,ISNUMBER(SEARCH($G$2,$G23))),IF($H$2="",TRUE,ISNUMBER(SEARCH($H$2,$H23))),IF($I$2="",TRUE,ISNUMBER(SEARCH($I$2,$I23))),IF($J$2="",TRUE,ISNUMBER(SEARCH($J$2,$J23))),IF($K$2="",TRUE,ISNUMBER(SEARCH($K$2,$K23))),IF($L$2="",TRUE,ISNUMBER(SEARCH($L$2,$L23))),IF($M$2="",TRUE,ISNUMBER(SEARCH($M$2,$M23))),IF($N$2="",TRUE,ISNUMBER(SEARCH($N$2,$N23))),IF($O$2="",TRUE,ISNUMBER(SEARCH($O$2,$O23))),IF($P$2="",TRUE,ISNUMBER(SEARCH($P$2,$P23))),IF($Q$2="",TRUE,ISNUMBER(SEARCH($Q$2,$Q23))),IF($R$2="",TRUE,ISNUMBER(SEARCH($R$2,$R23))),IF($S$2="",TRUE,ISNUMBER(SEARCH($S$2,$S23))),IF($T$2="",TRUE,ISNUMBER(SEARCH($T$2,$T23))),IF($U$2="",TRUE,ISNUMBER(SEARCH($U$2,$U23))),IF($V$2="",TRUE,ISNUMBER(SEARCH($V$2,$V23))),IF($W$2="",TRUE,ISNUMBER(SEARCH($W$2,$W23))),IF($X$2="",TRUE,ISNUMBER(SEARCH($X$2,$X23))),IF($Y$2="",TRUE,ISNUMBER(SEARCH($Y$2,$Y23))),IF($Z$2="",TRUE,ISNUMBER(SEARCH($Z$2,$Z23))),IF($AA$2="",TRUE,ISNUMBER(SEARCH($AA$2,$AA23))),IF($AB$2="",TRUE,ISNUMBER(SEARCH($AB$2,$AB23))),IF($AC$2="",TRUE,ISNUMBER(SEARCH($AC$2,$AC23))),IF($AD$2="",TRUE,ISNUMBER(SEARCH($AD$2,$AD23))),IF($AE$2="",TRUE,ISNUMBER(SEARCH($AE$2,$AE23))),IF($AF$2="",TRUE,ISNUMBER(SEARCH($AF$2,$AF23))),IF($AG$2="",TRUE,ISNUMBER(SEARCH($AG$2,$AG23))),IF($AH$2="",TRUE,ISNUMBER(SEARCH($AH$2,$AH23))))</f>
        <v/>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
      </c>
      <c r="J24" s="27">
        <f>+H24+I24</f>
        <v/>
      </c>
      <c r="K24" s="27">
        <f>ROUND((H24+I24)*2%,0)</f>
        <v/>
      </c>
      <c r="L24" s="28">
        <f>H24*0.1%</f>
        <v/>
      </c>
      <c r="M24" s="28">
        <f>H24*2.25%*118%</f>
        <v/>
      </c>
      <c r="N24" s="29">
        <f>H24*2.25%*2%</f>
        <v/>
      </c>
      <c r="O24" s="28">
        <f>M24-N24</f>
        <v/>
      </c>
      <c r="P24" s="28">
        <f>ROUND(O24+L24,0)</f>
        <v/>
      </c>
      <c r="Q24" s="30" t="n">
        <v>0</v>
      </c>
      <c r="R24" s="28">
        <f>ROUND(H24*Q24,0)</f>
        <v/>
      </c>
      <c r="S24" s="27">
        <f>ROUND(H24*117.65%-R24,0)</f>
        <v/>
      </c>
      <c r="T24" s="28">
        <f>ROUND(H24*25%,0)</f>
        <v/>
      </c>
      <c r="U24" s="31">
        <f>+T24</f>
        <v/>
      </c>
      <c r="V24" s="28" t="inlineStr">
        <is>
          <t>13.08.2026</t>
        </is>
      </c>
      <c r="W24" s="28">
        <f>ROUND(H24*92.65%-R24,0)</f>
        <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
      </c>
      <c r="AD24" s="19">
        <f>S24-AC24</f>
        <v/>
      </c>
      <c r="AE24" s="20">
        <f>IF(AD24="","",IF(AD24&lt;=5,"SETTLED","OUTSTANDING"))</f>
        <v/>
      </c>
      <c r="AF24" s="20" t="inlineStr">
        <is>
          <t>DR2640100036</t>
        </is>
      </c>
      <c r="AG24" s="21" t="n">
        <v>1800003309</v>
      </c>
      <c r="AH24" s="22" t="inlineStr">
        <is>
          <t>27.08.2026</t>
        </is>
      </c>
      <c r="AJ24">
        <f>AND(IF($A$2="",TRUE,ISNUMBER(SEARCH($A$2,$A24))),IF($B$2="",TRUE,ISNUMBER(SEARCH($B$2,$B24))),IF($C$2="",TRUE,ISNUMBER(SEARCH($C$2,$C24))),IF($D$2="",TRUE,ISNUMBER(SEARCH($D$2,$D24))),IF($E$2="",TRUE,ISNUMBER(SEARCH($E$2,$E24))),IF($F$2="",TRUE,ISNUMBER(SEARCH($F$2,$F24))),IF($G$2="",TRUE,ISNUMBER(SEARCH($G$2,$G24))),IF($H$2="",TRUE,ISNUMBER(SEARCH($H$2,$H24))),IF($I$2="",TRUE,ISNUMBER(SEARCH($I$2,$I24))),IF($J$2="",TRUE,ISNUMBER(SEARCH($J$2,$J24))),IF($K$2="",TRUE,ISNUMBER(SEARCH($K$2,$K24))),IF($L$2="",TRUE,ISNUMBER(SEARCH($L$2,$L24))),IF($M$2="",TRUE,ISNUMBER(SEARCH($M$2,$M24))),IF($N$2="",TRUE,ISNUMBER(SEARCH($N$2,$N24))),IF($O$2="",TRUE,ISNUMBER(SEARCH($O$2,$O24))),IF($P$2="",TRUE,ISNUMBER(SEARCH($P$2,$P24))),IF($Q$2="",TRUE,ISNUMBER(SEARCH($Q$2,$Q24))),IF($R$2="",TRUE,ISNUMBER(SEARCH($R$2,$R24))),IF($S$2="",TRUE,ISNUMBER(SEARCH($S$2,$S24))),IF($T$2="",TRUE,ISNUMBER(SEARCH($T$2,$T24))),IF($U$2="",TRUE,ISNUMBER(SEARCH($U$2,$U24))),IF($V$2="",TRUE,ISNUMBER(SEARCH($V$2,$V24))),IF($W$2="",TRUE,ISNUMBER(SEARCH($W$2,$W24))),IF($X$2="",TRUE,ISNUMBER(SEARCH($X$2,$X24))),IF($Y$2="",TRUE,ISNUMBER(SEARCH($Y$2,$Y24))),IF($Z$2="",TRUE,ISNUMBER(SEARCH($Z$2,$Z24))),IF($AA$2="",TRUE,ISNUMBER(SEARCH($AA$2,$AA24))),IF($AB$2="",TRUE,ISNUMBER(SEARCH($AB$2,$AB24))),IF($AC$2="",TRUE,ISNUMBER(SEARCH($AC$2,$AC24))),IF($AD$2="",TRUE,ISNUMBER(SEARCH($AD$2,$AD24))),IF($AE$2="",TRUE,ISNUMBER(SEARCH($AE$2,$AE24))),IF($AF$2="",TRUE,ISNUMBER(SEARCH($AF$2,$AF24))),IF($AG$2="",TRUE,ISNUMBER(SEARCH($AG$2,$AG24))),IF($AH$2="",TRUE,ISNUMBER(SEARCH($AH$2,$AH24))))</f>
        <v/>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
      </c>
      <c r="J25" s="152">
        <f>+H25+I25</f>
        <v/>
      </c>
      <c r="K25" s="152">
        <f>ROUND((H25+I25)*2%,0)</f>
        <v/>
      </c>
      <c r="L25" s="153">
        <f>H25*0.1%</f>
        <v/>
      </c>
      <c r="M25" s="153">
        <f>H25*2.25%*118%</f>
        <v/>
      </c>
      <c r="N25" s="154">
        <f>H25*2.25%*2%</f>
        <v/>
      </c>
      <c r="O25" s="153">
        <f>M25-N25</f>
        <v/>
      </c>
      <c r="P25" s="153">
        <f>ROUND(O25+L25,0)</f>
        <v/>
      </c>
      <c r="Q25" s="155" t="n">
        <v>0</v>
      </c>
      <c r="R25" s="153">
        <f>ROUND(H25*Q25,0)</f>
        <v/>
      </c>
      <c r="S25" s="152">
        <f>ROUND(H25*117.65%-R25,0)</f>
        <v/>
      </c>
      <c r="T25" s="153">
        <f>ROUND(H25*25%,0)</f>
        <v/>
      </c>
      <c r="U25" s="156" t="n">
        <v>129250</v>
      </c>
      <c r="V25" s="153" t="inlineStr">
        <is>
          <t>14.08.2026</t>
        </is>
      </c>
      <c r="W25" s="153">
        <f>ROUND(H25*92.65%-R25,0)</f>
        <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
      </c>
      <c r="AD25" s="157">
        <f>S25-AC25</f>
        <v/>
      </c>
      <c r="AE25" s="153">
        <f>IF(AD25="","",IF(AD25&lt;=5,"SETTLED","OUTSTANDING"))</f>
        <v/>
      </c>
      <c r="AF25" s="153" t="inlineStr">
        <is>
          <t>DR2640100042</t>
        </is>
      </c>
      <c r="AG25" s="158" t="n">
        <v>1800003317</v>
      </c>
      <c r="AH25" s="159" t="inlineStr">
        <is>
          <t>27.08.2026</t>
        </is>
      </c>
      <c r="AJ25">
        <f>AND(IF($A$2="",TRUE,ISNUMBER(SEARCH($A$2,$A25))),IF($B$2="",TRUE,ISNUMBER(SEARCH($B$2,$B25))),IF($C$2="",TRUE,ISNUMBER(SEARCH($C$2,$C25))),IF($D$2="",TRUE,ISNUMBER(SEARCH($D$2,$D25))),IF($E$2="",TRUE,ISNUMBER(SEARCH($E$2,$E25))),IF($F$2="",TRUE,ISNUMBER(SEARCH($F$2,$F25))),IF($G$2="",TRUE,ISNUMBER(SEARCH($G$2,$G25))),IF($H$2="",TRUE,ISNUMBER(SEARCH($H$2,$H25))),IF($I$2="",TRUE,ISNUMBER(SEARCH($I$2,$I25))),IF($J$2="",TRUE,ISNUMBER(SEARCH($J$2,$J25))),IF($K$2="",TRUE,ISNUMBER(SEARCH($K$2,$K25))),IF($L$2="",TRUE,ISNUMBER(SEARCH($L$2,$L25))),IF($M$2="",TRUE,ISNUMBER(SEARCH($M$2,$M25))),IF($N$2="",TRUE,ISNUMBER(SEARCH($N$2,$N25))),IF($O$2="",TRUE,ISNUMBER(SEARCH($O$2,$O25))),IF($P$2="",TRUE,ISNUMBER(SEARCH($P$2,$P25))),IF($Q$2="",TRUE,ISNUMBER(SEARCH($Q$2,$Q25))),IF($R$2="",TRUE,ISNUMBER(SEARCH($R$2,$R25))),IF($S$2="",TRUE,ISNUMBER(SEARCH($S$2,$S25))),IF($T$2="",TRUE,ISNUMBER(SEARCH($T$2,$T25))),IF($U$2="",TRUE,ISNUMBER(SEARCH($U$2,$U25))),IF($V$2="",TRUE,ISNUMBER(SEARCH($V$2,$V25))),IF($W$2="",TRUE,ISNUMBER(SEARCH($W$2,$W25))),IF($X$2="",TRUE,ISNUMBER(SEARCH($X$2,$X25))),IF($Y$2="",TRUE,ISNUMBER(SEARCH($Y$2,$Y25))),IF($Z$2="",TRUE,ISNUMBER(SEARCH($Z$2,$Z25))),IF($AA$2="",TRUE,ISNUMBER(SEARCH($AA$2,$AA25))),IF($AB$2="",TRUE,ISNUMBER(SEARCH($AB$2,$AB25))),IF($AC$2="",TRUE,ISNUMBER(SEARCH($AC$2,$AC25))),IF($AD$2="",TRUE,ISNUMBER(SEARCH($AD$2,$AD25))),IF($AE$2="",TRUE,ISNUMBER(SEARCH($AE$2,$AE25))),IF($AF$2="",TRUE,ISNUMBER(SEARCH($AF$2,$AF25))),IF($AG$2="",TRUE,ISNUMBER(SEARCH($AG$2,$AG25))),IF($AH$2="",TRUE,ISNUMBER(SEARCH($AH$2,$AH25))))</f>
        <v/>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
      </c>
      <c r="J26" s="27">
        <f>+H26+I26</f>
        <v/>
      </c>
      <c r="K26" s="27">
        <f>ROUND((H26+I26)*2%,0)</f>
        <v/>
      </c>
      <c r="L26" s="28">
        <f>H26*0.1%</f>
        <v/>
      </c>
      <c r="M26" s="28">
        <f>H26*2.25%*118%</f>
        <v/>
      </c>
      <c r="N26" s="29">
        <f>H26*2.25%*2%</f>
        <v/>
      </c>
      <c r="O26" s="28">
        <f>M26-N26</f>
        <v/>
      </c>
      <c r="P26" s="28">
        <f>ROUND(O26+L26,0)</f>
        <v/>
      </c>
      <c r="Q26" s="30" t="n">
        <v>0</v>
      </c>
      <c r="R26" s="28">
        <f>ROUND(H26*Q26,0)</f>
        <v/>
      </c>
      <c r="S26" s="27">
        <f>ROUND(H26*117.65%-R26,0)</f>
        <v/>
      </c>
      <c r="T26" s="28">
        <f>ROUND(H26*25%,0)</f>
        <v/>
      </c>
      <c r="U26" s="31">
        <f>+T26</f>
        <v/>
      </c>
      <c r="V26" s="28" t="inlineStr">
        <is>
          <t>13.08.2026</t>
        </is>
      </c>
      <c r="W26" s="28">
        <f>ROUND(H26*92.65%-R26,0)</f>
        <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
      </c>
      <c r="AD26" s="19">
        <f>S26-AC26</f>
        <v/>
      </c>
      <c r="AE26" s="20">
        <f>IF(AD26="","",IF(AD26&lt;=5,"SETTLED","OUTSTANDING"))</f>
        <v/>
      </c>
      <c r="AF26" s="20" t="inlineStr">
        <is>
          <t>DR2640100037</t>
        </is>
      </c>
      <c r="AG26" s="21" t="n">
        <v>1800003310</v>
      </c>
      <c r="AH26" s="22" t="inlineStr">
        <is>
          <t>27.08.2026</t>
        </is>
      </c>
      <c r="AJ26">
        <f>AND(IF($A$2="",TRUE,ISNUMBER(SEARCH($A$2,$A26))),IF($B$2="",TRUE,ISNUMBER(SEARCH($B$2,$B26))),IF($C$2="",TRUE,ISNUMBER(SEARCH($C$2,$C26))),IF($D$2="",TRUE,ISNUMBER(SEARCH($D$2,$D26))),IF($E$2="",TRUE,ISNUMBER(SEARCH($E$2,$E26))),IF($F$2="",TRUE,ISNUMBER(SEARCH($F$2,$F26))),IF($G$2="",TRUE,ISNUMBER(SEARCH($G$2,$G26))),IF($H$2="",TRUE,ISNUMBER(SEARCH($H$2,$H26))),IF($I$2="",TRUE,ISNUMBER(SEARCH($I$2,$I26))),IF($J$2="",TRUE,ISNUMBER(SEARCH($J$2,$J26))),IF($K$2="",TRUE,ISNUMBER(SEARCH($K$2,$K26))),IF($L$2="",TRUE,ISNUMBER(SEARCH($L$2,$L26))),IF($M$2="",TRUE,ISNUMBER(SEARCH($M$2,$M26))),IF($N$2="",TRUE,ISNUMBER(SEARCH($N$2,$N26))),IF($O$2="",TRUE,ISNUMBER(SEARCH($O$2,$O26))),IF($P$2="",TRUE,ISNUMBER(SEARCH($P$2,$P26))),IF($Q$2="",TRUE,ISNUMBER(SEARCH($Q$2,$Q26))),IF($R$2="",TRUE,ISNUMBER(SEARCH($R$2,$R26))),IF($S$2="",TRUE,ISNUMBER(SEARCH($S$2,$S26))),IF($T$2="",TRUE,ISNUMBER(SEARCH($T$2,$T26))),IF($U$2="",TRUE,ISNUMBER(SEARCH($U$2,$U26))),IF($V$2="",TRUE,ISNUMBER(SEARCH($V$2,$V26))),IF($W$2="",TRUE,ISNUMBER(SEARCH($W$2,$W26))),IF($X$2="",TRUE,ISNUMBER(SEARCH($X$2,$X26))),IF($Y$2="",TRUE,ISNUMBER(SEARCH($Y$2,$Y26))),IF($Z$2="",TRUE,ISNUMBER(SEARCH($Z$2,$Z26))),IF($AA$2="",TRUE,ISNUMBER(SEARCH($AA$2,$AA26))),IF($AB$2="",TRUE,ISNUMBER(SEARCH($AB$2,$AB26))),IF($AC$2="",TRUE,ISNUMBER(SEARCH($AC$2,$AC26))),IF($AD$2="",TRUE,ISNUMBER(SEARCH($AD$2,$AD26))),IF($AE$2="",TRUE,ISNUMBER(SEARCH($AE$2,$AE26))),IF($AF$2="",TRUE,ISNUMBER(SEARCH($AF$2,$AF26))),IF($AG$2="",TRUE,ISNUMBER(SEARCH($AG$2,$AG26))),IF($AH$2="",TRUE,ISNUMBER(SEARCH($AH$2,$AH26))))</f>
        <v/>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
      </c>
      <c r="J27" s="152">
        <f>+H27+I27</f>
        <v/>
      </c>
      <c r="K27" s="152">
        <f>ROUND((H27+I27)*2%,0)</f>
        <v/>
      </c>
      <c r="L27" s="153">
        <f>H27*0.1%</f>
        <v/>
      </c>
      <c r="M27" s="153">
        <f>H27*2.25%*118%</f>
        <v/>
      </c>
      <c r="N27" s="154">
        <f>H27*2.25%*2%</f>
        <v/>
      </c>
      <c r="O27" s="153">
        <f>M27-N27</f>
        <v/>
      </c>
      <c r="P27" s="153">
        <f>ROUND(O27+L27,0)</f>
        <v/>
      </c>
      <c r="Q27" s="155" t="n">
        <v>0.02</v>
      </c>
      <c r="R27" s="153">
        <f>ROUND(H27*Q27,0)</f>
        <v/>
      </c>
      <c r="S27" s="152">
        <f>ROUND(H27*117.65%-R27,0)</f>
        <v/>
      </c>
      <c r="T27" s="153">
        <f>ROUND(H27*25%,0)</f>
        <v/>
      </c>
      <c r="U27" s="156" t="n">
        <v>137350</v>
      </c>
      <c r="V27" s="153" t="inlineStr">
        <is>
          <t>14.08.2026</t>
        </is>
      </c>
      <c r="W27" s="153">
        <f>ROUND(H27*92.65%-R27,0)</f>
        <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
      </c>
      <c r="AD27" s="157">
        <f>S27-AC27</f>
        <v/>
      </c>
      <c r="AE27" s="153">
        <f>IF(AD27="","",IF(AD27&lt;=5,"SETTLED","OUTSTANDING"))</f>
        <v/>
      </c>
      <c r="AF27" s="153" t="n"/>
      <c r="AG27" s="158" t="n"/>
      <c r="AH27" s="159" t="n"/>
      <c r="AJ27">
        <f>AND(IF($A$2="",TRUE,ISNUMBER(SEARCH($A$2,$A27))),IF($B$2="",TRUE,ISNUMBER(SEARCH($B$2,$B27))),IF($C$2="",TRUE,ISNUMBER(SEARCH($C$2,$C27))),IF($D$2="",TRUE,ISNUMBER(SEARCH($D$2,$D27))),IF($E$2="",TRUE,ISNUMBER(SEARCH($E$2,$E27))),IF($F$2="",TRUE,ISNUMBER(SEARCH($F$2,$F27))),IF($G$2="",TRUE,ISNUMBER(SEARCH($G$2,$G27))),IF($H$2="",TRUE,ISNUMBER(SEARCH($H$2,$H27))),IF($I$2="",TRUE,ISNUMBER(SEARCH($I$2,$I27))),IF($J$2="",TRUE,ISNUMBER(SEARCH($J$2,$J27))),IF($K$2="",TRUE,ISNUMBER(SEARCH($K$2,$K27))),IF($L$2="",TRUE,ISNUMBER(SEARCH($L$2,$L27))),IF($M$2="",TRUE,ISNUMBER(SEARCH($M$2,$M27))),IF($N$2="",TRUE,ISNUMBER(SEARCH($N$2,$N27))),IF($O$2="",TRUE,ISNUMBER(SEARCH($O$2,$O27))),IF($P$2="",TRUE,ISNUMBER(SEARCH($P$2,$P27))),IF($Q$2="",TRUE,ISNUMBER(SEARCH($Q$2,$Q27))),IF($R$2="",TRUE,ISNUMBER(SEARCH($R$2,$R27))),IF($S$2="",TRUE,ISNUMBER(SEARCH($S$2,$S27))),IF($T$2="",TRUE,ISNUMBER(SEARCH($T$2,$T27))),IF($U$2="",TRUE,ISNUMBER(SEARCH($U$2,$U27))),IF($V$2="",TRUE,ISNUMBER(SEARCH($V$2,$V27))),IF($W$2="",TRUE,ISNUMBER(SEARCH($W$2,$W27))),IF($X$2="",TRUE,ISNUMBER(SEARCH($X$2,$X27))),IF($Y$2="",TRUE,ISNUMBER(SEARCH($Y$2,$Y27))),IF($Z$2="",TRUE,ISNUMBER(SEARCH($Z$2,$Z27))),IF($AA$2="",TRUE,ISNUMBER(SEARCH($AA$2,$AA27))),IF($AB$2="",TRUE,ISNUMBER(SEARCH($AB$2,$AB27))),IF($AC$2="",TRUE,ISNUMBER(SEARCH($AC$2,$AC27))),IF($AD$2="",TRUE,ISNUMBER(SEARCH($AD$2,$AD27))),IF($AE$2="",TRUE,ISNUMBER(SEARCH($AE$2,$AE27))),IF($AF$2="",TRUE,ISNUMBER(SEARCH($AF$2,$AF27))),IF($AG$2="",TRUE,ISNUMBER(SEARCH($AG$2,$AG27))),IF($AH$2="",TRUE,ISNUMBER(SEARCH($AH$2,$AH27))))</f>
        <v/>
      </c>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
      </c>
      <c r="J28" s="27">
        <f>+H28+I28</f>
        <v/>
      </c>
      <c r="K28" s="27">
        <f>ROUND((H28+I28)*2%,0)</f>
        <v/>
      </c>
      <c r="L28" s="28">
        <f>H28*0.1%</f>
        <v/>
      </c>
      <c r="M28" s="28">
        <f>H28*2.25%*118%</f>
        <v/>
      </c>
      <c r="N28" s="29">
        <f>H28*2.25%*2%</f>
        <v/>
      </c>
      <c r="O28" s="28">
        <f>M28-N28</f>
        <v/>
      </c>
      <c r="P28" s="28">
        <f>ROUND(O28+L28,0)</f>
        <v/>
      </c>
      <c r="Q28" s="30" t="n">
        <v>0</v>
      </c>
      <c r="R28" s="28">
        <f>ROUND(H28*Q28,0)</f>
        <v/>
      </c>
      <c r="S28" s="27">
        <f>ROUND(H28*117.65%-R28,0)</f>
        <v/>
      </c>
      <c r="T28" s="28">
        <f>ROUND(H28*25%,0)</f>
        <v/>
      </c>
      <c r="U28" s="31" t="n">
        <v>6638</v>
      </c>
      <c r="V28" s="28" t="inlineStr">
        <is>
          <t>14.08.2026</t>
        </is>
      </c>
      <c r="W28" s="28">
        <f>ROUND(H28*92.65%-R28,0)</f>
        <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
      </c>
      <c r="AD28" s="19">
        <f>S28-AC28</f>
        <v/>
      </c>
      <c r="AE28" s="20">
        <f>IF(AD28="","",IF(AD28&lt;=5,"SETTLED","OUTSTANDING"))</f>
        <v/>
      </c>
      <c r="AF28" s="20" t="inlineStr">
        <is>
          <t>DR2640100043</t>
        </is>
      </c>
      <c r="AG28" s="21" t="n">
        <v>1800003318</v>
      </c>
      <c r="AH28" s="22" t="inlineStr">
        <is>
          <t>27.08.2026</t>
        </is>
      </c>
      <c r="AJ28">
        <f>AND(IF($A$2="",TRUE,ISNUMBER(SEARCH($A$2,$A28))),IF($B$2="",TRUE,ISNUMBER(SEARCH($B$2,$B28))),IF($C$2="",TRUE,ISNUMBER(SEARCH($C$2,$C28))),IF($D$2="",TRUE,ISNUMBER(SEARCH($D$2,$D28))),IF($E$2="",TRUE,ISNUMBER(SEARCH($E$2,$E28))),IF($F$2="",TRUE,ISNUMBER(SEARCH($F$2,$F28))),IF($G$2="",TRUE,ISNUMBER(SEARCH($G$2,$G28))),IF($H$2="",TRUE,ISNUMBER(SEARCH($H$2,$H28))),IF($I$2="",TRUE,ISNUMBER(SEARCH($I$2,$I28))),IF($J$2="",TRUE,ISNUMBER(SEARCH($J$2,$J28))),IF($K$2="",TRUE,ISNUMBER(SEARCH($K$2,$K28))),IF($L$2="",TRUE,ISNUMBER(SEARCH($L$2,$L28))),IF($M$2="",TRUE,ISNUMBER(SEARCH($M$2,$M28))),IF($N$2="",TRUE,ISNUMBER(SEARCH($N$2,$N28))),IF($O$2="",TRUE,ISNUMBER(SEARCH($O$2,$O28))),IF($P$2="",TRUE,ISNUMBER(SEARCH($P$2,$P28))),IF($Q$2="",TRUE,ISNUMBER(SEARCH($Q$2,$Q28))),IF($R$2="",TRUE,ISNUMBER(SEARCH($R$2,$R28))),IF($S$2="",TRUE,ISNUMBER(SEARCH($S$2,$S28))),IF($T$2="",TRUE,ISNUMBER(SEARCH($T$2,$T28))),IF($U$2="",TRUE,ISNUMBER(SEARCH($U$2,$U28))),IF($V$2="",TRUE,ISNUMBER(SEARCH($V$2,$V28))),IF($W$2="",TRUE,ISNUMBER(SEARCH($W$2,$W28))),IF($X$2="",TRUE,ISNUMBER(SEARCH($X$2,$X28))),IF($Y$2="",TRUE,ISNUMBER(SEARCH($Y$2,$Y28))),IF($Z$2="",TRUE,ISNUMBER(SEARCH($Z$2,$Z28))),IF($AA$2="",TRUE,ISNUMBER(SEARCH($AA$2,$AA28))),IF($AB$2="",TRUE,ISNUMBER(SEARCH($AB$2,$AB28))),IF($AC$2="",TRUE,ISNUMBER(SEARCH($AC$2,$AC28))),IF($AD$2="",TRUE,ISNUMBER(SEARCH($AD$2,$AD28))),IF($AE$2="",TRUE,ISNUMBER(SEARCH($AE$2,$AE28))),IF($AF$2="",TRUE,ISNUMBER(SEARCH($AF$2,$AF28))),IF($AG$2="",TRUE,ISNUMBER(SEARCH($AG$2,$AG28))),IF($AH$2="",TRUE,ISNUMBER(SEARCH($AH$2,$AH28))))</f>
        <v/>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
      </c>
      <c r="J29" s="152">
        <f>+H29+I29</f>
        <v/>
      </c>
      <c r="K29" s="152">
        <f>ROUND((H29+I29)*2%,0)</f>
        <v/>
      </c>
      <c r="L29" s="153">
        <f>H29*0.1%</f>
        <v/>
      </c>
      <c r="M29" s="153">
        <f>H29*2.25%*118%</f>
        <v/>
      </c>
      <c r="N29" s="154">
        <f>H29*2.25%*2%</f>
        <v/>
      </c>
      <c r="O29" s="153">
        <f>M29-N29</f>
        <v/>
      </c>
      <c r="P29" s="153">
        <f>ROUND(O29+L29,0)</f>
        <v/>
      </c>
      <c r="Q29" s="155" t="n">
        <v>0</v>
      </c>
      <c r="R29" s="153">
        <f>ROUND(H29*Q29,0)</f>
        <v/>
      </c>
      <c r="S29" s="152">
        <f>ROUND(H29*117.65%-R29,0)</f>
        <v/>
      </c>
      <c r="T29" s="153">
        <f>ROUND(H29*25%,0)</f>
        <v/>
      </c>
      <c r="U29" s="156" t="n">
        <v>67502</v>
      </c>
      <c r="V29" s="153" t="inlineStr">
        <is>
          <t>11.08.2026</t>
        </is>
      </c>
      <c r="W29" s="153">
        <f>ROUND(H29*92.65%-R29,0)</f>
        <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
      </c>
      <c r="AD29" s="157">
        <f>S29-AC29</f>
        <v/>
      </c>
      <c r="AE29" s="153">
        <f>IF(AD29="","",IF(AD29&lt;=5,"SETTLED","OUTSTANDING"))</f>
        <v/>
      </c>
      <c r="AF29" s="153" t="n"/>
      <c r="AG29" s="158" t="n"/>
      <c r="AH29" s="159" t="n"/>
      <c r="AJ29">
        <f>AND(IF($A$2="",TRUE,ISNUMBER(SEARCH($A$2,$A29))),IF($B$2="",TRUE,ISNUMBER(SEARCH($B$2,$B29))),IF($C$2="",TRUE,ISNUMBER(SEARCH($C$2,$C29))),IF($D$2="",TRUE,ISNUMBER(SEARCH($D$2,$D29))),IF($E$2="",TRUE,ISNUMBER(SEARCH($E$2,$E29))),IF($F$2="",TRUE,ISNUMBER(SEARCH($F$2,$F29))),IF($G$2="",TRUE,ISNUMBER(SEARCH($G$2,$G29))),IF($H$2="",TRUE,ISNUMBER(SEARCH($H$2,$H29))),IF($I$2="",TRUE,ISNUMBER(SEARCH($I$2,$I29))),IF($J$2="",TRUE,ISNUMBER(SEARCH($J$2,$J29))),IF($K$2="",TRUE,ISNUMBER(SEARCH($K$2,$K29))),IF($L$2="",TRUE,ISNUMBER(SEARCH($L$2,$L29))),IF($M$2="",TRUE,ISNUMBER(SEARCH($M$2,$M29))),IF($N$2="",TRUE,ISNUMBER(SEARCH($N$2,$N29))),IF($O$2="",TRUE,ISNUMBER(SEARCH($O$2,$O29))),IF($P$2="",TRUE,ISNUMBER(SEARCH($P$2,$P29))),IF($Q$2="",TRUE,ISNUMBER(SEARCH($Q$2,$Q29))),IF($R$2="",TRUE,ISNUMBER(SEARCH($R$2,$R29))),IF($S$2="",TRUE,ISNUMBER(SEARCH($S$2,$S29))),IF($T$2="",TRUE,ISNUMBER(SEARCH($T$2,$T29))),IF($U$2="",TRUE,ISNUMBER(SEARCH($U$2,$U29))),IF($V$2="",TRUE,ISNUMBER(SEARCH($V$2,$V29))),IF($W$2="",TRUE,ISNUMBER(SEARCH($W$2,$W29))),IF($X$2="",TRUE,ISNUMBER(SEARCH($X$2,$X29))),IF($Y$2="",TRUE,ISNUMBER(SEARCH($Y$2,$Y29))),IF($Z$2="",TRUE,ISNUMBER(SEARCH($Z$2,$Z29))),IF($AA$2="",TRUE,ISNUMBER(SEARCH($AA$2,$AA29))),IF($AB$2="",TRUE,ISNUMBER(SEARCH($AB$2,$AB29))),IF($AC$2="",TRUE,ISNUMBER(SEARCH($AC$2,$AC29))),IF($AD$2="",TRUE,ISNUMBER(SEARCH($AD$2,$AD29))),IF($AE$2="",TRUE,ISNUMBER(SEARCH($AE$2,$AE29))),IF($AF$2="",TRUE,ISNUMBER(SEARCH($AF$2,$AF29))),IF($AG$2="",TRUE,ISNUMBER(SEARCH($AG$2,$AG29))),IF($AH$2="",TRUE,ISNUMBER(SEARCH($AH$2,$AH29))))</f>
        <v/>
      </c>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
      </c>
      <c r="J30" s="27">
        <f>+H30+I30</f>
        <v/>
      </c>
      <c r="K30" s="27">
        <f>ROUND((H30+I30)*2%,0)</f>
        <v/>
      </c>
      <c r="L30" s="28">
        <f>H30*0.1%</f>
        <v/>
      </c>
      <c r="M30" s="28">
        <f>H30*2.25%*118%</f>
        <v/>
      </c>
      <c r="N30" s="29">
        <f>H30*2.25%*2%</f>
        <v/>
      </c>
      <c r="O30" s="28">
        <f>M30-N30</f>
        <v/>
      </c>
      <c r="P30" s="28">
        <f>ROUND(O30+L30,0)</f>
        <v/>
      </c>
      <c r="Q30" s="30" t="n">
        <v>0</v>
      </c>
      <c r="R30" s="28">
        <f>ROUND(H30*Q30,0)</f>
        <v/>
      </c>
      <c r="S30" s="27">
        <f>ROUND(H30*117.65%-R30,0)</f>
        <v/>
      </c>
      <c r="T30" s="28">
        <f>ROUND(H30*25%,0)</f>
        <v/>
      </c>
      <c r="U30" s="31">
        <f>+T30</f>
        <v/>
      </c>
      <c r="V30" s="28" t="inlineStr">
        <is>
          <t>13.08.2026</t>
        </is>
      </c>
      <c r="W30" s="28">
        <f>ROUND(H30*92.65%-R30,0)</f>
        <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
      </c>
      <c r="AD30" s="19">
        <f>S30-AC30</f>
        <v/>
      </c>
      <c r="AE30" s="20">
        <f>IF(AD30="","",IF(AD30&lt;=5,"SETTLED","OUTSTANDING"))</f>
        <v/>
      </c>
      <c r="AF30" s="20" t="inlineStr">
        <is>
          <t>DR2640100038</t>
        </is>
      </c>
      <c r="AG30" s="21" t="n">
        <v>1800003311</v>
      </c>
      <c r="AH30" s="22" t="inlineStr">
        <is>
          <t>27.08.2026</t>
        </is>
      </c>
      <c r="AJ30">
        <f>AND(IF($A$2="",TRUE,ISNUMBER(SEARCH($A$2,$A30))),IF($B$2="",TRUE,ISNUMBER(SEARCH($B$2,$B30))),IF($C$2="",TRUE,ISNUMBER(SEARCH($C$2,$C30))),IF($D$2="",TRUE,ISNUMBER(SEARCH($D$2,$D30))),IF($E$2="",TRUE,ISNUMBER(SEARCH($E$2,$E30))),IF($F$2="",TRUE,ISNUMBER(SEARCH($F$2,$F30))),IF($G$2="",TRUE,ISNUMBER(SEARCH($G$2,$G30))),IF($H$2="",TRUE,ISNUMBER(SEARCH($H$2,$H30))),IF($I$2="",TRUE,ISNUMBER(SEARCH($I$2,$I30))),IF($J$2="",TRUE,ISNUMBER(SEARCH($J$2,$J30))),IF($K$2="",TRUE,ISNUMBER(SEARCH($K$2,$K30))),IF($L$2="",TRUE,ISNUMBER(SEARCH($L$2,$L30))),IF($M$2="",TRUE,ISNUMBER(SEARCH($M$2,$M30))),IF($N$2="",TRUE,ISNUMBER(SEARCH($N$2,$N30))),IF($O$2="",TRUE,ISNUMBER(SEARCH($O$2,$O30))),IF($P$2="",TRUE,ISNUMBER(SEARCH($P$2,$P30))),IF($Q$2="",TRUE,ISNUMBER(SEARCH($Q$2,$Q30))),IF($R$2="",TRUE,ISNUMBER(SEARCH($R$2,$R30))),IF($S$2="",TRUE,ISNUMBER(SEARCH($S$2,$S30))),IF($T$2="",TRUE,ISNUMBER(SEARCH($T$2,$T30))),IF($U$2="",TRUE,ISNUMBER(SEARCH($U$2,$U30))),IF($V$2="",TRUE,ISNUMBER(SEARCH($V$2,$V30))),IF($W$2="",TRUE,ISNUMBER(SEARCH($W$2,$W30))),IF($X$2="",TRUE,ISNUMBER(SEARCH($X$2,$X30))),IF($Y$2="",TRUE,ISNUMBER(SEARCH($Y$2,$Y30))),IF($Z$2="",TRUE,ISNUMBER(SEARCH($Z$2,$Z30))),IF($AA$2="",TRUE,ISNUMBER(SEARCH($AA$2,$AA30))),IF($AB$2="",TRUE,ISNUMBER(SEARCH($AB$2,$AB30))),IF($AC$2="",TRUE,ISNUMBER(SEARCH($AC$2,$AC30))),IF($AD$2="",TRUE,ISNUMBER(SEARCH($AD$2,$AD30))),IF($AE$2="",TRUE,ISNUMBER(SEARCH($AE$2,$AE30))),IF($AF$2="",TRUE,ISNUMBER(SEARCH($AF$2,$AF30))),IF($AG$2="",TRUE,ISNUMBER(SEARCH($AG$2,$AG30))),IF($AH$2="",TRUE,ISNUMBER(SEARCH($AH$2,$AH30))))</f>
        <v/>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
      </c>
      <c r="J31" s="152">
        <f>+H31+I31</f>
        <v/>
      </c>
      <c r="K31" s="152">
        <f>ROUND((H31+I31)*2%,0)</f>
        <v/>
      </c>
      <c r="L31" s="153">
        <f>H31*0.1%</f>
        <v/>
      </c>
      <c r="M31" s="153">
        <f>H31*2.25%*118%</f>
        <v/>
      </c>
      <c r="N31" s="154">
        <f>H31*2.25%*2%</f>
        <v/>
      </c>
      <c r="O31" s="153">
        <f>M31-N31</f>
        <v/>
      </c>
      <c r="P31" s="153">
        <f>ROUND(O31+L31,0)</f>
        <v/>
      </c>
      <c r="Q31" s="155" t="n">
        <v>0</v>
      </c>
      <c r="R31" s="153">
        <f>ROUND(H31*Q31,0)</f>
        <v/>
      </c>
      <c r="S31" s="152">
        <f>ROUND(H31*117.65%-R31,0)</f>
        <v/>
      </c>
      <c r="T31" s="153">
        <f>ROUND(H31*25%,0)</f>
        <v/>
      </c>
      <c r="U31" s="156" t="n">
        <v>51758</v>
      </c>
      <c r="V31" s="153" t="inlineStr">
        <is>
          <t>11.08.2026</t>
        </is>
      </c>
      <c r="W31" s="153">
        <f>ROUND(H31*92.65%-R31,0)</f>
        <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
      </c>
      <c r="AD31" s="157">
        <f>S31-AC31</f>
        <v/>
      </c>
      <c r="AE31" s="153">
        <f>IF(AD31="","",IF(AD31&lt;=5,"SETTLED","OUTSTANDING"))</f>
        <v/>
      </c>
      <c r="AF31" s="153" t="inlineStr">
        <is>
          <t>DR2640100041</t>
        </is>
      </c>
      <c r="AG31" s="158" t="n">
        <v>1800003316</v>
      </c>
      <c r="AH31" s="159" t="inlineStr">
        <is>
          <t>27.08.2026</t>
        </is>
      </c>
      <c r="AJ31">
        <f>AND(IF($A$2="",TRUE,ISNUMBER(SEARCH($A$2,$A31))),IF($B$2="",TRUE,ISNUMBER(SEARCH($B$2,$B31))),IF($C$2="",TRUE,ISNUMBER(SEARCH($C$2,$C31))),IF($D$2="",TRUE,ISNUMBER(SEARCH($D$2,$D31))),IF($E$2="",TRUE,ISNUMBER(SEARCH($E$2,$E31))),IF($F$2="",TRUE,ISNUMBER(SEARCH($F$2,$F31))),IF($G$2="",TRUE,ISNUMBER(SEARCH($G$2,$G31))),IF($H$2="",TRUE,ISNUMBER(SEARCH($H$2,$H31))),IF($I$2="",TRUE,ISNUMBER(SEARCH($I$2,$I31))),IF($J$2="",TRUE,ISNUMBER(SEARCH($J$2,$J31))),IF($K$2="",TRUE,ISNUMBER(SEARCH($K$2,$K31))),IF($L$2="",TRUE,ISNUMBER(SEARCH($L$2,$L31))),IF($M$2="",TRUE,ISNUMBER(SEARCH($M$2,$M31))),IF($N$2="",TRUE,ISNUMBER(SEARCH($N$2,$N31))),IF($O$2="",TRUE,ISNUMBER(SEARCH($O$2,$O31))),IF($P$2="",TRUE,ISNUMBER(SEARCH($P$2,$P31))),IF($Q$2="",TRUE,ISNUMBER(SEARCH($Q$2,$Q31))),IF($R$2="",TRUE,ISNUMBER(SEARCH($R$2,$R31))),IF($S$2="",TRUE,ISNUMBER(SEARCH($S$2,$S31))),IF($T$2="",TRUE,ISNUMBER(SEARCH($T$2,$T31))),IF($U$2="",TRUE,ISNUMBER(SEARCH($U$2,$U31))),IF($V$2="",TRUE,ISNUMBER(SEARCH($V$2,$V31))),IF($W$2="",TRUE,ISNUMBER(SEARCH($W$2,$W31))),IF($X$2="",TRUE,ISNUMBER(SEARCH($X$2,$X31))),IF($Y$2="",TRUE,ISNUMBER(SEARCH($Y$2,$Y31))),IF($Z$2="",TRUE,ISNUMBER(SEARCH($Z$2,$Z31))),IF($AA$2="",TRUE,ISNUMBER(SEARCH($AA$2,$AA31))),IF($AB$2="",TRUE,ISNUMBER(SEARCH($AB$2,$AB31))),IF($AC$2="",TRUE,ISNUMBER(SEARCH($AC$2,$AC31))),IF($AD$2="",TRUE,ISNUMBER(SEARCH($AD$2,$AD31))),IF($AE$2="",TRUE,ISNUMBER(SEARCH($AE$2,$AE31))),IF($AF$2="",TRUE,ISNUMBER(SEARCH($AF$2,$AF31))),IF($AG$2="",TRUE,ISNUMBER(SEARCH($AG$2,$AG31))),IF($AH$2="",TRUE,ISNUMBER(SEARCH($AH$2,$AH31))))</f>
        <v/>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
      </c>
      <c r="J32" s="27">
        <f>+H32+I32</f>
        <v/>
      </c>
      <c r="K32" s="27">
        <f>ROUND((H32+I32)*2%,0)</f>
        <v/>
      </c>
      <c r="L32" s="28">
        <f>H32*0.1%</f>
        <v/>
      </c>
      <c r="M32" s="28">
        <f>H32*2.25%*118%</f>
        <v/>
      </c>
      <c r="N32" s="29">
        <f>H32*2.25%*2%</f>
        <v/>
      </c>
      <c r="O32" s="28">
        <f>M32-N32</f>
        <v/>
      </c>
      <c r="P32" s="28">
        <f>ROUND(O32+L32,0)</f>
        <v/>
      </c>
      <c r="Q32" s="30" t="n">
        <v>0</v>
      </c>
      <c r="R32" s="28">
        <f>ROUND(H32*Q32,0)</f>
        <v/>
      </c>
      <c r="S32" s="27">
        <f>ROUND(H32*117.65%-R32,0)</f>
        <v/>
      </c>
      <c r="T32" s="28">
        <f>ROUND(H32*25%,0)</f>
        <v/>
      </c>
      <c r="U32" s="31">
        <f>+T32</f>
        <v/>
      </c>
      <c r="V32" s="28" t="inlineStr">
        <is>
          <t>13.08.2026</t>
        </is>
      </c>
      <c r="W32" s="28">
        <f>ROUND(H32*92.65%-R32,0)</f>
        <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
      </c>
      <c r="AD32" s="19">
        <f>S32-AC32</f>
        <v/>
      </c>
      <c r="AE32" s="20">
        <f>IF(AD32="","",IF(AD32&lt;=5,"SETTLED","OUTSTANDING"))</f>
        <v/>
      </c>
      <c r="AF32" s="20" t="inlineStr">
        <is>
          <t>DR2640100039</t>
        </is>
      </c>
      <c r="AG32" s="21" t="n">
        <v>1800003312</v>
      </c>
      <c r="AH32" s="22" t="inlineStr">
        <is>
          <t>27.08.2026</t>
        </is>
      </c>
      <c r="AJ32">
        <f>AND(IF($A$2="",TRUE,ISNUMBER(SEARCH($A$2,$A32))),IF($B$2="",TRUE,ISNUMBER(SEARCH($B$2,$B32))),IF($C$2="",TRUE,ISNUMBER(SEARCH($C$2,$C32))),IF($D$2="",TRUE,ISNUMBER(SEARCH($D$2,$D32))),IF($E$2="",TRUE,ISNUMBER(SEARCH($E$2,$E32))),IF($F$2="",TRUE,ISNUMBER(SEARCH($F$2,$F32))),IF($G$2="",TRUE,ISNUMBER(SEARCH($G$2,$G32))),IF($H$2="",TRUE,ISNUMBER(SEARCH($H$2,$H32))),IF($I$2="",TRUE,ISNUMBER(SEARCH($I$2,$I32))),IF($J$2="",TRUE,ISNUMBER(SEARCH($J$2,$J32))),IF($K$2="",TRUE,ISNUMBER(SEARCH($K$2,$K32))),IF($L$2="",TRUE,ISNUMBER(SEARCH($L$2,$L32))),IF($M$2="",TRUE,ISNUMBER(SEARCH($M$2,$M32))),IF($N$2="",TRUE,ISNUMBER(SEARCH($N$2,$N32))),IF($O$2="",TRUE,ISNUMBER(SEARCH($O$2,$O32))),IF($P$2="",TRUE,ISNUMBER(SEARCH($P$2,$P32))),IF($Q$2="",TRUE,ISNUMBER(SEARCH($Q$2,$Q32))),IF($R$2="",TRUE,ISNUMBER(SEARCH($R$2,$R32))),IF($S$2="",TRUE,ISNUMBER(SEARCH($S$2,$S32))),IF($T$2="",TRUE,ISNUMBER(SEARCH($T$2,$T32))),IF($U$2="",TRUE,ISNUMBER(SEARCH($U$2,$U32))),IF($V$2="",TRUE,ISNUMBER(SEARCH($V$2,$V32))),IF($W$2="",TRUE,ISNUMBER(SEARCH($W$2,$W32))),IF($X$2="",TRUE,ISNUMBER(SEARCH($X$2,$X32))),IF($Y$2="",TRUE,ISNUMBER(SEARCH($Y$2,$Y32))),IF($Z$2="",TRUE,ISNUMBER(SEARCH($Z$2,$Z32))),IF($AA$2="",TRUE,ISNUMBER(SEARCH($AA$2,$AA32))),IF($AB$2="",TRUE,ISNUMBER(SEARCH($AB$2,$AB32))),IF($AC$2="",TRUE,ISNUMBER(SEARCH($AC$2,$AC32))),IF($AD$2="",TRUE,ISNUMBER(SEARCH($AD$2,$AD32))),IF($AE$2="",TRUE,ISNUMBER(SEARCH($AE$2,$AE32))),IF($AF$2="",TRUE,ISNUMBER(SEARCH($AF$2,$AF32))),IF($AG$2="",TRUE,ISNUMBER(SEARCH($AG$2,$AG32))),IF($AH$2="",TRUE,ISNUMBER(SEARCH($AH$2,$AH32))))</f>
        <v/>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
      </c>
      <c r="J33" s="152">
        <f>+H33+I33</f>
        <v/>
      </c>
      <c r="K33" s="152">
        <f>ROUND((H33+I33)*2%,0)</f>
        <v/>
      </c>
      <c r="L33" s="153">
        <f>H33*0.1%</f>
        <v/>
      </c>
      <c r="M33" s="153">
        <f>H33*2.25%*118%</f>
        <v/>
      </c>
      <c r="N33" s="154">
        <f>H33*2.25%*2%</f>
        <v/>
      </c>
      <c r="O33" s="153">
        <f>M33-N33</f>
        <v/>
      </c>
      <c r="P33" s="153">
        <f>ROUND(O33+L33,0)</f>
        <v/>
      </c>
      <c r="Q33" s="155" t="n">
        <v>0</v>
      </c>
      <c r="R33" s="153">
        <f>ROUND(H33*Q33,0)</f>
        <v/>
      </c>
      <c r="S33" s="152">
        <f>ROUND(H33*117.65%-R33,0)</f>
        <v/>
      </c>
      <c r="T33" s="153">
        <f>ROUND(H33*25%,0)</f>
        <v/>
      </c>
      <c r="U33" s="156">
        <f>+T33</f>
        <v/>
      </c>
      <c r="V33" s="153" t="inlineStr">
        <is>
          <t>13.08.2026</t>
        </is>
      </c>
      <c r="W33" s="153">
        <f>ROUND(H33*92.65%-R33,0)</f>
        <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
      </c>
      <c r="AD33" s="157">
        <f>S33-AC33</f>
        <v/>
      </c>
      <c r="AE33" s="153">
        <f>IF(AD33="","",IF(AD33&lt;=5,"SETTLED","OUTSTANDING"))</f>
        <v/>
      </c>
      <c r="AF33" s="153" t="inlineStr">
        <is>
          <t>DR2640100046</t>
        </is>
      </c>
      <c r="AG33" s="158" t="n">
        <v>1800003313</v>
      </c>
      <c r="AH33" s="159" t="inlineStr">
        <is>
          <t>27.08.2026</t>
        </is>
      </c>
      <c r="AJ33">
        <f>AND(IF($A$2="",TRUE,ISNUMBER(SEARCH($A$2,$A33))),IF($B$2="",TRUE,ISNUMBER(SEARCH($B$2,$B33))),IF($C$2="",TRUE,ISNUMBER(SEARCH($C$2,$C33))),IF($D$2="",TRUE,ISNUMBER(SEARCH($D$2,$D33))),IF($E$2="",TRUE,ISNUMBER(SEARCH($E$2,$E33))),IF($F$2="",TRUE,ISNUMBER(SEARCH($F$2,$F33))),IF($G$2="",TRUE,ISNUMBER(SEARCH($G$2,$G33))),IF($H$2="",TRUE,ISNUMBER(SEARCH($H$2,$H33))),IF($I$2="",TRUE,ISNUMBER(SEARCH($I$2,$I33))),IF($J$2="",TRUE,ISNUMBER(SEARCH($J$2,$J33))),IF($K$2="",TRUE,ISNUMBER(SEARCH($K$2,$K33))),IF($L$2="",TRUE,ISNUMBER(SEARCH($L$2,$L33))),IF($M$2="",TRUE,ISNUMBER(SEARCH($M$2,$M33))),IF($N$2="",TRUE,ISNUMBER(SEARCH($N$2,$N33))),IF($O$2="",TRUE,ISNUMBER(SEARCH($O$2,$O33))),IF($P$2="",TRUE,ISNUMBER(SEARCH($P$2,$P33))),IF($Q$2="",TRUE,ISNUMBER(SEARCH($Q$2,$Q33))),IF($R$2="",TRUE,ISNUMBER(SEARCH($R$2,$R33))),IF($S$2="",TRUE,ISNUMBER(SEARCH($S$2,$S33))),IF($T$2="",TRUE,ISNUMBER(SEARCH($T$2,$T33))),IF($U$2="",TRUE,ISNUMBER(SEARCH($U$2,$U33))),IF($V$2="",TRUE,ISNUMBER(SEARCH($V$2,$V33))),IF($W$2="",TRUE,ISNUMBER(SEARCH($W$2,$W33))),IF($X$2="",TRUE,ISNUMBER(SEARCH($X$2,$X33))),IF($Y$2="",TRUE,ISNUMBER(SEARCH($Y$2,$Y33))),IF($Z$2="",TRUE,ISNUMBER(SEARCH($Z$2,$Z33))),IF($AA$2="",TRUE,ISNUMBER(SEARCH($AA$2,$AA33))),IF($AB$2="",TRUE,ISNUMBER(SEARCH($AB$2,$AB33))),IF($AC$2="",TRUE,ISNUMBER(SEARCH($AC$2,$AC33))),IF($AD$2="",TRUE,ISNUMBER(SEARCH($AD$2,$AD33))),IF($AE$2="",TRUE,ISNUMBER(SEARCH($AE$2,$AE33))),IF($AF$2="",TRUE,ISNUMBER(SEARCH($AF$2,$AF33))),IF($AG$2="",TRUE,ISNUMBER(SEARCH($AG$2,$AG33))),IF($AH$2="",TRUE,ISNUMBER(SEARCH($AH$2,$AH33))))</f>
        <v/>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
      </c>
      <c r="J34" s="27">
        <f>+H34+I34</f>
        <v/>
      </c>
      <c r="K34" s="27">
        <f>ROUND((H34+I34)*2%,0)</f>
        <v/>
      </c>
      <c r="L34" s="28">
        <f>H34*0.1%</f>
        <v/>
      </c>
      <c r="M34" s="28">
        <f>H34*2.25%*118%</f>
        <v/>
      </c>
      <c r="N34" s="29">
        <f>H34*2.25%*2%</f>
        <v/>
      </c>
      <c r="O34" s="28">
        <f>M34-N34</f>
        <v/>
      </c>
      <c r="P34" s="28">
        <f>ROUND(O34+L34,0)</f>
        <v/>
      </c>
      <c r="Q34" s="30" t="n">
        <v>0</v>
      </c>
      <c r="R34" s="28">
        <f>ROUND(H34*Q34,0)</f>
        <v/>
      </c>
      <c r="S34" s="27">
        <f>ROUND(H34*117.65%-R34,0)</f>
        <v/>
      </c>
      <c r="T34" s="28">
        <f>ROUND(H34*25%,0)</f>
        <v/>
      </c>
      <c r="U34" s="31" t="n">
        <v>5265</v>
      </c>
      <c r="V34" s="28" t="inlineStr">
        <is>
          <t>11.08.2026</t>
        </is>
      </c>
      <c r="W34" s="28">
        <f>ROUND(H34*92.65%-R34,0)</f>
        <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
      </c>
      <c r="AD34" s="19">
        <f>S34-AC34</f>
        <v/>
      </c>
      <c r="AE34" s="20">
        <f>IF(AD34="","",IF(AD34&lt;=5,"SETTLED","OUTSTANDING"))</f>
        <v/>
      </c>
      <c r="AF34" s="20" t="inlineStr">
        <is>
          <t>DR2640100022</t>
        </is>
      </c>
      <c r="AG34" s="21" t="n">
        <v>1800003161</v>
      </c>
      <c r="AH34" s="22" t="inlineStr">
        <is>
          <t>14.08.2026</t>
        </is>
      </c>
      <c r="AJ34">
        <f>AND(IF($A$2="",TRUE,ISNUMBER(SEARCH($A$2,$A34))),IF($B$2="",TRUE,ISNUMBER(SEARCH($B$2,$B34))),IF($C$2="",TRUE,ISNUMBER(SEARCH($C$2,$C34))),IF($D$2="",TRUE,ISNUMBER(SEARCH($D$2,$D34))),IF($E$2="",TRUE,ISNUMBER(SEARCH($E$2,$E34))),IF($F$2="",TRUE,ISNUMBER(SEARCH($F$2,$F34))),IF($G$2="",TRUE,ISNUMBER(SEARCH($G$2,$G34))),IF($H$2="",TRUE,ISNUMBER(SEARCH($H$2,$H34))),IF($I$2="",TRUE,ISNUMBER(SEARCH($I$2,$I34))),IF($J$2="",TRUE,ISNUMBER(SEARCH($J$2,$J34))),IF($K$2="",TRUE,ISNUMBER(SEARCH($K$2,$K34))),IF($L$2="",TRUE,ISNUMBER(SEARCH($L$2,$L34))),IF($M$2="",TRUE,ISNUMBER(SEARCH($M$2,$M34))),IF($N$2="",TRUE,ISNUMBER(SEARCH($N$2,$N34))),IF($O$2="",TRUE,ISNUMBER(SEARCH($O$2,$O34))),IF($P$2="",TRUE,ISNUMBER(SEARCH($P$2,$P34))),IF($Q$2="",TRUE,ISNUMBER(SEARCH($Q$2,$Q34))),IF($R$2="",TRUE,ISNUMBER(SEARCH($R$2,$R34))),IF($S$2="",TRUE,ISNUMBER(SEARCH($S$2,$S34))),IF($T$2="",TRUE,ISNUMBER(SEARCH($T$2,$T34))),IF($U$2="",TRUE,ISNUMBER(SEARCH($U$2,$U34))),IF($V$2="",TRUE,ISNUMBER(SEARCH($V$2,$V34))),IF($W$2="",TRUE,ISNUMBER(SEARCH($W$2,$W34))),IF($X$2="",TRUE,ISNUMBER(SEARCH($X$2,$X34))),IF($Y$2="",TRUE,ISNUMBER(SEARCH($Y$2,$Y34))),IF($Z$2="",TRUE,ISNUMBER(SEARCH($Z$2,$Z34))),IF($AA$2="",TRUE,ISNUMBER(SEARCH($AA$2,$AA34))),IF($AB$2="",TRUE,ISNUMBER(SEARCH($AB$2,$AB34))),IF($AC$2="",TRUE,ISNUMBER(SEARCH($AC$2,$AC34))),IF($AD$2="",TRUE,ISNUMBER(SEARCH($AD$2,$AD34))),IF($AE$2="",TRUE,ISNUMBER(SEARCH($AE$2,$AE34))),IF($AF$2="",TRUE,ISNUMBER(SEARCH($AF$2,$AF34))),IF($AG$2="",TRUE,ISNUMBER(SEARCH($AG$2,$AG34))),IF($AH$2="",TRUE,ISNUMBER(SEARCH($AH$2,$AH34))))</f>
        <v/>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
      </c>
      <c r="J35" s="152">
        <f>+H35+I35</f>
        <v/>
      </c>
      <c r="K35" s="152">
        <f>ROUND((H35+I35)*2%,0)</f>
        <v/>
      </c>
      <c r="L35" s="153">
        <f>H35*0.1%</f>
        <v/>
      </c>
      <c r="M35" s="153">
        <f>H35*2.25%*118%</f>
        <v/>
      </c>
      <c r="N35" s="154">
        <f>H35*2.25%*2%</f>
        <v/>
      </c>
      <c r="O35" s="153">
        <f>M35-N35</f>
        <v/>
      </c>
      <c r="P35" s="153">
        <f>ROUND(O35+L35,0)</f>
        <v/>
      </c>
      <c r="Q35" s="155" t="n">
        <v>0</v>
      </c>
      <c r="R35" s="153">
        <f>ROUND(H35*Q35,0)</f>
        <v/>
      </c>
      <c r="S35" s="152">
        <f>ROUND(H35*117.65%-R35,0)</f>
        <v/>
      </c>
      <c r="T35" s="153">
        <f>ROUND(H35*25%,0)</f>
        <v/>
      </c>
      <c r="U35" s="156" t="n">
        <v>21413</v>
      </c>
      <c r="V35" s="153" t="inlineStr">
        <is>
          <t>14.08.2026</t>
        </is>
      </c>
      <c r="W35" s="153">
        <f>ROUND(H35*92.65%-R35,0)</f>
        <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
      </c>
      <c r="AD35" s="157">
        <f>S35-AC35</f>
        <v/>
      </c>
      <c r="AE35" s="153">
        <f>IF(AD35="","",IF(AD35&lt;=5,"SETTLED","OUTSTANDING"))</f>
        <v/>
      </c>
      <c r="AF35" s="153" t="inlineStr">
        <is>
          <t>DR2640100027</t>
        </is>
      </c>
      <c r="AG35" s="158" t="n">
        <v>1800003248</v>
      </c>
      <c r="AH35" s="159" t="inlineStr">
        <is>
          <t>20.08.2026</t>
        </is>
      </c>
      <c r="AJ35">
        <f>AND(IF($A$2="",TRUE,ISNUMBER(SEARCH($A$2,$A35))),IF($B$2="",TRUE,ISNUMBER(SEARCH($B$2,$B35))),IF($C$2="",TRUE,ISNUMBER(SEARCH($C$2,$C35))),IF($D$2="",TRUE,ISNUMBER(SEARCH($D$2,$D35))),IF($E$2="",TRUE,ISNUMBER(SEARCH($E$2,$E35))),IF($F$2="",TRUE,ISNUMBER(SEARCH($F$2,$F35))),IF($G$2="",TRUE,ISNUMBER(SEARCH($G$2,$G35))),IF($H$2="",TRUE,ISNUMBER(SEARCH($H$2,$H35))),IF($I$2="",TRUE,ISNUMBER(SEARCH($I$2,$I35))),IF($J$2="",TRUE,ISNUMBER(SEARCH($J$2,$J35))),IF($K$2="",TRUE,ISNUMBER(SEARCH($K$2,$K35))),IF($L$2="",TRUE,ISNUMBER(SEARCH($L$2,$L35))),IF($M$2="",TRUE,ISNUMBER(SEARCH($M$2,$M35))),IF($N$2="",TRUE,ISNUMBER(SEARCH($N$2,$N35))),IF($O$2="",TRUE,ISNUMBER(SEARCH($O$2,$O35))),IF($P$2="",TRUE,ISNUMBER(SEARCH($P$2,$P35))),IF($Q$2="",TRUE,ISNUMBER(SEARCH($Q$2,$Q35))),IF($R$2="",TRUE,ISNUMBER(SEARCH($R$2,$R35))),IF($S$2="",TRUE,ISNUMBER(SEARCH($S$2,$S35))),IF($T$2="",TRUE,ISNUMBER(SEARCH($T$2,$T35))),IF($U$2="",TRUE,ISNUMBER(SEARCH($U$2,$U35))),IF($V$2="",TRUE,ISNUMBER(SEARCH($V$2,$V35))),IF($W$2="",TRUE,ISNUMBER(SEARCH($W$2,$W35))),IF($X$2="",TRUE,ISNUMBER(SEARCH($X$2,$X35))),IF($Y$2="",TRUE,ISNUMBER(SEARCH($Y$2,$Y35))),IF($Z$2="",TRUE,ISNUMBER(SEARCH($Z$2,$Z35))),IF($AA$2="",TRUE,ISNUMBER(SEARCH($AA$2,$AA35))),IF($AB$2="",TRUE,ISNUMBER(SEARCH($AB$2,$AB35))),IF($AC$2="",TRUE,ISNUMBER(SEARCH($AC$2,$AC35))),IF($AD$2="",TRUE,ISNUMBER(SEARCH($AD$2,$AD35))),IF($AE$2="",TRUE,ISNUMBER(SEARCH($AE$2,$AE35))),IF($AF$2="",TRUE,ISNUMBER(SEARCH($AF$2,$AF35))),IF($AG$2="",TRUE,ISNUMBER(SEARCH($AG$2,$AG35))),IF($AH$2="",TRUE,ISNUMBER(SEARCH($AH$2,$AH35))))</f>
        <v/>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
      </c>
      <c r="J36" s="27">
        <f>+H36+I36</f>
        <v/>
      </c>
      <c r="K36" s="27">
        <f>ROUND((H36+I36)*2%,0)</f>
        <v/>
      </c>
      <c r="L36" s="28">
        <f>H36*0.1%</f>
        <v/>
      </c>
      <c r="M36" s="28">
        <f>H36*2.25%*118%</f>
        <v/>
      </c>
      <c r="N36" s="29">
        <f>H36*2.25%*2%</f>
        <v/>
      </c>
      <c r="O36" s="28">
        <f>M36-N36</f>
        <v/>
      </c>
      <c r="P36" s="28">
        <f>ROUND(O36+L36,0)</f>
        <v/>
      </c>
      <c r="Q36" s="30" t="n">
        <v>0</v>
      </c>
      <c r="R36" s="28">
        <f>ROUND(H36*Q36,0)</f>
        <v/>
      </c>
      <c r="S36" s="27">
        <f>ROUND(H36*117.65%-R36,0)</f>
        <v/>
      </c>
      <c r="T36" s="28">
        <f>ROUND(H36*25%,0)</f>
        <v/>
      </c>
      <c r="U36" s="31" t="n">
        <v>13500</v>
      </c>
      <c r="V36" s="28" t="inlineStr">
        <is>
          <t>11.08.2026</t>
        </is>
      </c>
      <c r="W36" s="28">
        <f>ROUND(H36*92.65%-R36,0)</f>
        <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
      </c>
      <c r="AD36" s="19">
        <f>S36-AC36</f>
        <v/>
      </c>
      <c r="AE36" s="20">
        <f>IF(AD36="","",IF(AD36&lt;=5,"SETTLED","OUTSTANDING"))</f>
        <v/>
      </c>
      <c r="AF36" s="20" t="n"/>
      <c r="AG36" s="21" t="n"/>
      <c r="AH36" s="22" t="n"/>
      <c r="AJ36">
        <f>AND(IF($A$2="",TRUE,ISNUMBER(SEARCH($A$2,$A36))),IF($B$2="",TRUE,ISNUMBER(SEARCH($B$2,$B36))),IF($C$2="",TRUE,ISNUMBER(SEARCH($C$2,$C36))),IF($D$2="",TRUE,ISNUMBER(SEARCH($D$2,$D36))),IF($E$2="",TRUE,ISNUMBER(SEARCH($E$2,$E36))),IF($F$2="",TRUE,ISNUMBER(SEARCH($F$2,$F36))),IF($G$2="",TRUE,ISNUMBER(SEARCH($G$2,$G36))),IF($H$2="",TRUE,ISNUMBER(SEARCH($H$2,$H36))),IF($I$2="",TRUE,ISNUMBER(SEARCH($I$2,$I36))),IF($J$2="",TRUE,ISNUMBER(SEARCH($J$2,$J36))),IF($K$2="",TRUE,ISNUMBER(SEARCH($K$2,$K36))),IF($L$2="",TRUE,ISNUMBER(SEARCH($L$2,$L36))),IF($M$2="",TRUE,ISNUMBER(SEARCH($M$2,$M36))),IF($N$2="",TRUE,ISNUMBER(SEARCH($N$2,$N36))),IF($O$2="",TRUE,ISNUMBER(SEARCH($O$2,$O36))),IF($P$2="",TRUE,ISNUMBER(SEARCH($P$2,$P36))),IF($Q$2="",TRUE,ISNUMBER(SEARCH($Q$2,$Q36))),IF($R$2="",TRUE,ISNUMBER(SEARCH($R$2,$R36))),IF($S$2="",TRUE,ISNUMBER(SEARCH($S$2,$S36))),IF($T$2="",TRUE,ISNUMBER(SEARCH($T$2,$T36))),IF($U$2="",TRUE,ISNUMBER(SEARCH($U$2,$U36))),IF($V$2="",TRUE,ISNUMBER(SEARCH($V$2,$V36))),IF($W$2="",TRUE,ISNUMBER(SEARCH($W$2,$W36))),IF($X$2="",TRUE,ISNUMBER(SEARCH($X$2,$X36))),IF($Y$2="",TRUE,ISNUMBER(SEARCH($Y$2,$Y36))),IF($Z$2="",TRUE,ISNUMBER(SEARCH($Z$2,$Z36))),IF($AA$2="",TRUE,ISNUMBER(SEARCH($AA$2,$AA36))),IF($AB$2="",TRUE,ISNUMBER(SEARCH($AB$2,$AB36))),IF($AC$2="",TRUE,ISNUMBER(SEARCH($AC$2,$AC36))),IF($AD$2="",TRUE,ISNUMBER(SEARCH($AD$2,$AD36))),IF($AE$2="",TRUE,ISNUMBER(SEARCH($AE$2,$AE36))),IF($AF$2="",TRUE,ISNUMBER(SEARCH($AF$2,$AF36))),IF($AG$2="",TRUE,ISNUMBER(SEARCH($AG$2,$AG36))),IF($AH$2="",TRUE,ISNUMBER(SEARCH($AH$2,$AH36))))</f>
        <v/>
      </c>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
      </c>
      <c r="J37" s="152">
        <f>+H37+I37</f>
        <v/>
      </c>
      <c r="K37" s="152">
        <f>ROUND((H37+I37)*2%,0)</f>
        <v/>
      </c>
      <c r="L37" s="153">
        <f>H37*0.1%</f>
        <v/>
      </c>
      <c r="M37" s="153">
        <f>H37*2.25%*118%</f>
        <v/>
      </c>
      <c r="N37" s="154">
        <f>H37*2.25%*2%</f>
        <v/>
      </c>
      <c r="O37" s="153">
        <f>M37-N37</f>
        <v/>
      </c>
      <c r="P37" s="153">
        <f>ROUND(O37+L37,0)</f>
        <v/>
      </c>
      <c r="Q37" s="155" t="n">
        <v>0</v>
      </c>
      <c r="R37" s="153">
        <f>ROUND(H37*Q37,0)</f>
        <v/>
      </c>
      <c r="S37" s="152">
        <f>ROUND(H37*117.65%-R37,0)</f>
        <v/>
      </c>
      <c r="T37" s="153">
        <f>ROUND(H37*25%,0)</f>
        <v/>
      </c>
      <c r="U37" s="156">
        <f>+T37</f>
        <v/>
      </c>
      <c r="V37" s="153" t="inlineStr">
        <is>
          <t>13.08.2026</t>
        </is>
      </c>
      <c r="W37" s="153">
        <f>ROUND(H37*92.65%-R37,0)</f>
        <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
      </c>
      <c r="AD37" s="157">
        <f>S37-AC37</f>
        <v/>
      </c>
      <c r="AE37" s="153">
        <f>IF(AD37="","",IF(AD37&lt;=5,"SETTLED","OUTSTANDING"))</f>
        <v/>
      </c>
      <c r="AF37" s="153" t="inlineStr">
        <is>
          <t>DR2640100040</t>
        </is>
      </c>
      <c r="AG37" s="158" t="n">
        <v>1800003314</v>
      </c>
      <c r="AH37" s="159" t="inlineStr">
        <is>
          <t>27.08.2026</t>
        </is>
      </c>
      <c r="AJ37">
        <f>AND(IF($A$2="",TRUE,ISNUMBER(SEARCH($A$2,$A37))),IF($B$2="",TRUE,ISNUMBER(SEARCH($B$2,$B37))),IF($C$2="",TRUE,ISNUMBER(SEARCH($C$2,$C37))),IF($D$2="",TRUE,ISNUMBER(SEARCH($D$2,$D37))),IF($E$2="",TRUE,ISNUMBER(SEARCH($E$2,$E37))),IF($F$2="",TRUE,ISNUMBER(SEARCH($F$2,$F37))),IF($G$2="",TRUE,ISNUMBER(SEARCH($G$2,$G37))),IF($H$2="",TRUE,ISNUMBER(SEARCH($H$2,$H37))),IF($I$2="",TRUE,ISNUMBER(SEARCH($I$2,$I37))),IF($J$2="",TRUE,ISNUMBER(SEARCH($J$2,$J37))),IF($K$2="",TRUE,ISNUMBER(SEARCH($K$2,$K37))),IF($L$2="",TRUE,ISNUMBER(SEARCH($L$2,$L37))),IF($M$2="",TRUE,ISNUMBER(SEARCH($M$2,$M37))),IF($N$2="",TRUE,ISNUMBER(SEARCH($N$2,$N37))),IF($O$2="",TRUE,ISNUMBER(SEARCH($O$2,$O37))),IF($P$2="",TRUE,ISNUMBER(SEARCH($P$2,$P37))),IF($Q$2="",TRUE,ISNUMBER(SEARCH($Q$2,$Q37))),IF($R$2="",TRUE,ISNUMBER(SEARCH($R$2,$R37))),IF($S$2="",TRUE,ISNUMBER(SEARCH($S$2,$S37))),IF($T$2="",TRUE,ISNUMBER(SEARCH($T$2,$T37))),IF($U$2="",TRUE,ISNUMBER(SEARCH($U$2,$U37))),IF($V$2="",TRUE,ISNUMBER(SEARCH($V$2,$V37))),IF($W$2="",TRUE,ISNUMBER(SEARCH($W$2,$W37))),IF($X$2="",TRUE,ISNUMBER(SEARCH($X$2,$X37))),IF($Y$2="",TRUE,ISNUMBER(SEARCH($Y$2,$Y37))),IF($Z$2="",TRUE,ISNUMBER(SEARCH($Z$2,$Z37))),IF($AA$2="",TRUE,ISNUMBER(SEARCH($AA$2,$AA37))),IF($AB$2="",TRUE,ISNUMBER(SEARCH($AB$2,$AB37))),IF($AC$2="",TRUE,ISNUMBER(SEARCH($AC$2,$AC37))),IF($AD$2="",TRUE,ISNUMBER(SEARCH($AD$2,$AD37))),IF($AE$2="",TRUE,ISNUMBER(SEARCH($AE$2,$AE37))),IF($AF$2="",TRUE,ISNUMBER(SEARCH($AF$2,$AF37))),IF($AG$2="",TRUE,ISNUMBER(SEARCH($AG$2,$AG37))),IF($AH$2="",TRUE,ISNUMBER(SEARCH($AH$2,$AH37))))</f>
        <v/>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
      </c>
      <c r="J38" s="27">
        <f>+H38+I38</f>
        <v/>
      </c>
      <c r="K38" s="27">
        <f>ROUND((H38+I38)*2%,0)</f>
        <v/>
      </c>
      <c r="L38" s="28">
        <f>H38*0.1%</f>
        <v/>
      </c>
      <c r="M38" s="28">
        <f>H38*2.25%*118%</f>
        <v/>
      </c>
      <c r="N38" s="29">
        <f>H38*2.25%*2%</f>
        <v/>
      </c>
      <c r="O38" s="28">
        <f>M38-N38</f>
        <v/>
      </c>
      <c r="P38" s="28">
        <f>ROUND(O38+L38,0)</f>
        <v/>
      </c>
      <c r="Q38" s="30" t="n">
        <v>0</v>
      </c>
      <c r="R38" s="28">
        <f>ROUND(H38*Q38,0)</f>
        <v/>
      </c>
      <c r="S38" s="27">
        <f>ROUND(H38*117.65%-R38,0)</f>
        <v/>
      </c>
      <c r="T38" s="28">
        <f>ROUND(H38*25%,0)</f>
        <v/>
      </c>
      <c r="U38" s="31" t="n">
        <v>52501</v>
      </c>
      <c r="V38" s="28" t="inlineStr">
        <is>
          <t>17.08.2026</t>
        </is>
      </c>
      <c r="W38" s="28">
        <f>ROUND(H38*92.65%-R38,0)</f>
        <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
      </c>
      <c r="AD38" s="19">
        <f>S38-AC38</f>
        <v/>
      </c>
      <c r="AE38" s="20">
        <f>IF(AD38="","",IF(AD38&lt;=5,"SETTLED","OUTSTANDING"))</f>
        <v/>
      </c>
      <c r="AF38" s="20" t="inlineStr">
        <is>
          <t>DR2640100025</t>
        </is>
      </c>
      <c r="AG38" s="21" t="n">
        <v>1800003226</v>
      </c>
      <c r="AH38" s="22" t="inlineStr">
        <is>
          <t>19.08.2026</t>
        </is>
      </c>
      <c r="AJ38">
        <f>AND(IF($A$2="",TRUE,ISNUMBER(SEARCH($A$2,$A38))),IF($B$2="",TRUE,ISNUMBER(SEARCH($B$2,$B38))),IF($C$2="",TRUE,ISNUMBER(SEARCH($C$2,$C38))),IF($D$2="",TRUE,ISNUMBER(SEARCH($D$2,$D38))),IF($E$2="",TRUE,ISNUMBER(SEARCH($E$2,$E38))),IF($F$2="",TRUE,ISNUMBER(SEARCH($F$2,$F38))),IF($G$2="",TRUE,ISNUMBER(SEARCH($G$2,$G38))),IF($H$2="",TRUE,ISNUMBER(SEARCH($H$2,$H38))),IF($I$2="",TRUE,ISNUMBER(SEARCH($I$2,$I38))),IF($J$2="",TRUE,ISNUMBER(SEARCH($J$2,$J38))),IF($K$2="",TRUE,ISNUMBER(SEARCH($K$2,$K38))),IF($L$2="",TRUE,ISNUMBER(SEARCH($L$2,$L38))),IF($M$2="",TRUE,ISNUMBER(SEARCH($M$2,$M38))),IF($N$2="",TRUE,ISNUMBER(SEARCH($N$2,$N38))),IF($O$2="",TRUE,ISNUMBER(SEARCH($O$2,$O38))),IF($P$2="",TRUE,ISNUMBER(SEARCH($P$2,$P38))),IF($Q$2="",TRUE,ISNUMBER(SEARCH($Q$2,$Q38))),IF($R$2="",TRUE,ISNUMBER(SEARCH($R$2,$R38))),IF($S$2="",TRUE,ISNUMBER(SEARCH($S$2,$S38))),IF($T$2="",TRUE,ISNUMBER(SEARCH($T$2,$T38))),IF($U$2="",TRUE,ISNUMBER(SEARCH($U$2,$U38))),IF($V$2="",TRUE,ISNUMBER(SEARCH($V$2,$V38))),IF($W$2="",TRUE,ISNUMBER(SEARCH($W$2,$W38))),IF($X$2="",TRUE,ISNUMBER(SEARCH($X$2,$X38))),IF($Y$2="",TRUE,ISNUMBER(SEARCH($Y$2,$Y38))),IF($Z$2="",TRUE,ISNUMBER(SEARCH($Z$2,$Z38))),IF($AA$2="",TRUE,ISNUMBER(SEARCH($AA$2,$AA38))),IF($AB$2="",TRUE,ISNUMBER(SEARCH($AB$2,$AB38))),IF($AC$2="",TRUE,ISNUMBER(SEARCH($AC$2,$AC38))),IF($AD$2="",TRUE,ISNUMBER(SEARCH($AD$2,$AD38))),IF($AE$2="",TRUE,ISNUMBER(SEARCH($AE$2,$AE38))),IF($AF$2="",TRUE,ISNUMBER(SEARCH($AF$2,$AF38))),IF($AG$2="",TRUE,ISNUMBER(SEARCH($AG$2,$AG38))),IF($AH$2="",TRUE,ISNUMBER(SEARCH($AH$2,$AH38))))</f>
        <v/>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
      </c>
      <c r="J39" s="152">
        <f>+H39+I39</f>
        <v/>
      </c>
      <c r="K39" s="152">
        <f>ROUND((H39+I39)*2%,0)</f>
        <v/>
      </c>
      <c r="L39" s="153">
        <f>H39*0.1%</f>
        <v/>
      </c>
      <c r="M39" s="153">
        <f>H39*2.25%*118%</f>
        <v/>
      </c>
      <c r="N39" s="154">
        <f>H39*2.25%*2%</f>
        <v/>
      </c>
      <c r="O39" s="153">
        <f>M39-N39</f>
        <v/>
      </c>
      <c r="P39" s="153">
        <f>ROUND(O39+L39,0)</f>
        <v/>
      </c>
      <c r="Q39" s="155" t="n">
        <v>0</v>
      </c>
      <c r="R39" s="153">
        <f>ROUND(H39*Q39,0)</f>
        <v/>
      </c>
      <c r="S39" s="152">
        <f>ROUND(H39*117.65%-R39,0)</f>
        <v/>
      </c>
      <c r="T39" s="153">
        <f>ROUND(H39*25%,0)</f>
        <v/>
      </c>
      <c r="U39" s="156" t="n">
        <v>7503</v>
      </c>
      <c r="V39" s="153" t="inlineStr">
        <is>
          <t>14.08.2026</t>
        </is>
      </c>
      <c r="W39" s="153">
        <f>ROUND(H39*92.65%-R39,0)</f>
        <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
      </c>
      <c r="AD39" s="157">
        <f>S39-AC39</f>
        <v/>
      </c>
      <c r="AE39" s="153">
        <f>IF(AD39="","",IF(AD39&lt;=5,"SETTLED","OUTSTANDING"))</f>
        <v/>
      </c>
      <c r="AF39" s="153" t="n"/>
      <c r="AG39" s="158" t="n"/>
      <c r="AH39" s="159" t="n"/>
      <c r="AJ39">
        <f>AND(IF($A$2="",TRUE,ISNUMBER(SEARCH($A$2,$A39))),IF($B$2="",TRUE,ISNUMBER(SEARCH($B$2,$B39))),IF($C$2="",TRUE,ISNUMBER(SEARCH($C$2,$C39))),IF($D$2="",TRUE,ISNUMBER(SEARCH($D$2,$D39))),IF($E$2="",TRUE,ISNUMBER(SEARCH($E$2,$E39))),IF($F$2="",TRUE,ISNUMBER(SEARCH($F$2,$F39))),IF($G$2="",TRUE,ISNUMBER(SEARCH($G$2,$G39))),IF($H$2="",TRUE,ISNUMBER(SEARCH($H$2,$H39))),IF($I$2="",TRUE,ISNUMBER(SEARCH($I$2,$I39))),IF($J$2="",TRUE,ISNUMBER(SEARCH($J$2,$J39))),IF($K$2="",TRUE,ISNUMBER(SEARCH($K$2,$K39))),IF($L$2="",TRUE,ISNUMBER(SEARCH($L$2,$L39))),IF($M$2="",TRUE,ISNUMBER(SEARCH($M$2,$M39))),IF($N$2="",TRUE,ISNUMBER(SEARCH($N$2,$N39))),IF($O$2="",TRUE,ISNUMBER(SEARCH($O$2,$O39))),IF($P$2="",TRUE,ISNUMBER(SEARCH($P$2,$P39))),IF($Q$2="",TRUE,ISNUMBER(SEARCH($Q$2,$Q39))),IF($R$2="",TRUE,ISNUMBER(SEARCH($R$2,$R39))),IF($S$2="",TRUE,ISNUMBER(SEARCH($S$2,$S39))),IF($T$2="",TRUE,ISNUMBER(SEARCH($T$2,$T39))),IF($U$2="",TRUE,ISNUMBER(SEARCH($U$2,$U39))),IF($V$2="",TRUE,ISNUMBER(SEARCH($V$2,$V39))),IF($W$2="",TRUE,ISNUMBER(SEARCH($W$2,$W39))),IF($X$2="",TRUE,ISNUMBER(SEARCH($X$2,$X39))),IF($Y$2="",TRUE,ISNUMBER(SEARCH($Y$2,$Y39))),IF($Z$2="",TRUE,ISNUMBER(SEARCH($Z$2,$Z39))),IF($AA$2="",TRUE,ISNUMBER(SEARCH($AA$2,$AA39))),IF($AB$2="",TRUE,ISNUMBER(SEARCH($AB$2,$AB39))),IF($AC$2="",TRUE,ISNUMBER(SEARCH($AC$2,$AC39))),IF($AD$2="",TRUE,ISNUMBER(SEARCH($AD$2,$AD39))),IF($AE$2="",TRUE,ISNUMBER(SEARCH($AE$2,$AE39))),IF($AF$2="",TRUE,ISNUMBER(SEARCH($AF$2,$AF39))),IF($AG$2="",TRUE,ISNUMBER(SEARCH($AG$2,$AG39))),IF($AH$2="",TRUE,ISNUMBER(SEARCH($AH$2,$AH39))))</f>
        <v/>
      </c>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
      </c>
      <c r="J40" s="36">
        <f>+H40+I40</f>
        <v/>
      </c>
      <c r="K40" s="36">
        <f>ROUND((H40+I40)*2%,0)</f>
        <v/>
      </c>
      <c r="L40" s="37">
        <f>H40*0.1%</f>
        <v/>
      </c>
      <c r="M40" s="37">
        <f>H40*2.25%*118%</f>
        <v/>
      </c>
      <c r="N40" s="38">
        <f>H40*2.25%*2%</f>
        <v/>
      </c>
      <c r="O40" s="37">
        <f>M40-N40</f>
        <v/>
      </c>
      <c r="P40" s="37">
        <f>ROUND(O40+L40,0)</f>
        <v/>
      </c>
      <c r="Q40" s="39" t="n">
        <v>0</v>
      </c>
      <c r="R40" s="37">
        <f>ROUND(H40*Q40,0)</f>
        <v/>
      </c>
      <c r="S40" s="36">
        <f>ROUND(H40*117.65%-R40,0)</f>
        <v/>
      </c>
      <c r="T40" s="37">
        <f>ROUND(H40*25%,0)</f>
        <v/>
      </c>
      <c r="U40" s="40" t="n">
        <v>30002</v>
      </c>
      <c r="V40" s="37" t="inlineStr">
        <is>
          <t>14.08.2026</t>
        </is>
      </c>
      <c r="W40" s="37">
        <f>ROUND(H40*92.65%-R40,0)</f>
        <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
      </c>
      <c r="AD40" s="19">
        <f>S40-AC40</f>
        <v/>
      </c>
      <c r="AE40" s="20">
        <f>IF(AD40="","",IF(AD40&lt;=5,"SETTLED","OUTSTANDING"))</f>
        <v/>
      </c>
      <c r="AF40" s="20" t="n"/>
      <c r="AG40" s="21" t="n"/>
      <c r="AH40" s="22" t="n"/>
      <c r="AJ40">
        <f>AND(IF($A$2="",TRUE,ISNUMBER(SEARCH($A$2,$A40))),IF($B$2="",TRUE,ISNUMBER(SEARCH($B$2,$B40))),IF($C$2="",TRUE,ISNUMBER(SEARCH($C$2,$C40))),IF($D$2="",TRUE,ISNUMBER(SEARCH($D$2,$D40))),IF($E$2="",TRUE,ISNUMBER(SEARCH($E$2,$E40))),IF($F$2="",TRUE,ISNUMBER(SEARCH($F$2,$F40))),IF($G$2="",TRUE,ISNUMBER(SEARCH($G$2,$G40))),IF($H$2="",TRUE,ISNUMBER(SEARCH($H$2,$H40))),IF($I$2="",TRUE,ISNUMBER(SEARCH($I$2,$I40))),IF($J$2="",TRUE,ISNUMBER(SEARCH($J$2,$J40))),IF($K$2="",TRUE,ISNUMBER(SEARCH($K$2,$K40))),IF($L$2="",TRUE,ISNUMBER(SEARCH($L$2,$L40))),IF($M$2="",TRUE,ISNUMBER(SEARCH($M$2,$M40))),IF($N$2="",TRUE,ISNUMBER(SEARCH($N$2,$N40))),IF($O$2="",TRUE,ISNUMBER(SEARCH($O$2,$O40))),IF($P$2="",TRUE,ISNUMBER(SEARCH($P$2,$P40))),IF($Q$2="",TRUE,ISNUMBER(SEARCH($Q$2,$Q40))),IF($R$2="",TRUE,ISNUMBER(SEARCH($R$2,$R40))),IF($S$2="",TRUE,ISNUMBER(SEARCH($S$2,$S40))),IF($T$2="",TRUE,ISNUMBER(SEARCH($T$2,$T40))),IF($U$2="",TRUE,ISNUMBER(SEARCH($U$2,$U40))),IF($V$2="",TRUE,ISNUMBER(SEARCH($V$2,$V40))),IF($W$2="",TRUE,ISNUMBER(SEARCH($W$2,$W40))),IF($X$2="",TRUE,ISNUMBER(SEARCH($X$2,$X40))),IF($Y$2="",TRUE,ISNUMBER(SEARCH($Y$2,$Y40))),IF($Z$2="",TRUE,ISNUMBER(SEARCH($Z$2,$Z40))),IF($AA$2="",TRUE,ISNUMBER(SEARCH($AA$2,$AA40))),IF($AB$2="",TRUE,ISNUMBER(SEARCH($AB$2,$AB40))),IF($AC$2="",TRUE,ISNUMBER(SEARCH($AC$2,$AC40))),IF($AD$2="",TRUE,ISNUMBER(SEARCH($AD$2,$AD40))),IF($AE$2="",TRUE,ISNUMBER(SEARCH($AE$2,$AE40))),IF($AF$2="",TRUE,ISNUMBER(SEARCH($AF$2,$AF40))),IF($AG$2="",TRUE,ISNUMBER(SEARCH($AG$2,$AG40))),IF($AH$2="",TRUE,ISNUMBER(SEARCH($AH$2,$AH40))))</f>
        <v/>
      </c>
    </row>
    <row r="41" ht="14.25" customHeight="1" s="137">
      <c r="A41" s="160" t="n"/>
      <c r="B41" s="161" t="n"/>
      <c r="C41" s="161" t="n"/>
      <c r="D41" s="161" t="n"/>
      <c r="E41" s="161" t="n"/>
      <c r="F41" s="161" t="n"/>
      <c r="G41" s="161" t="n"/>
      <c r="H41" s="162">
        <f>SUM(H4:H40)</f>
        <v/>
      </c>
      <c r="I41" s="162">
        <f>SUM(I4:I40)</f>
        <v/>
      </c>
      <c r="J41" s="162">
        <f>SUM(J4:J40)</f>
        <v/>
      </c>
      <c r="K41" s="162">
        <f>SUM(K4:K40)</f>
        <v/>
      </c>
      <c r="L41" s="162">
        <f>SUM(L4:L40)</f>
        <v/>
      </c>
      <c r="M41" s="162">
        <f>SUM(M4:M40)</f>
        <v/>
      </c>
      <c r="N41" s="162">
        <f>SUM(N4:N40)</f>
        <v/>
      </c>
      <c r="O41" s="162">
        <f>SUM(O4:O40)</f>
        <v/>
      </c>
      <c r="P41" s="162">
        <f>SUM(P4:P40)</f>
        <v/>
      </c>
      <c r="Q41" s="163" t="n"/>
      <c r="R41" s="163">
        <f>SUM(R4:R40)</f>
        <v/>
      </c>
      <c r="S41" s="162">
        <f>SUM(S4:S40)</f>
        <v/>
      </c>
      <c r="T41" s="162">
        <f>SUM(T4:T40)</f>
        <v/>
      </c>
      <c r="U41" s="162">
        <f>SUM(U4:U40)</f>
        <v/>
      </c>
      <c r="V41" s="163" t="n"/>
      <c r="W41" s="162">
        <f>SUM(W4:W40)</f>
        <v/>
      </c>
      <c r="X41" s="162">
        <f>SUM(X4:X40)</f>
        <v/>
      </c>
      <c r="Y41" s="163" t="n"/>
      <c r="Z41" s="163">
        <f>SUM(Z4:Z40)</f>
        <v/>
      </c>
      <c r="AA41" s="163">
        <f>SUM(AA4:AA40)</f>
        <v/>
      </c>
      <c r="AB41" s="163" t="n"/>
      <c r="AC41" s="163">
        <f>SUM(AC4:AC40)</f>
        <v/>
      </c>
      <c r="AD41" s="162">
        <f>SUM(AD4:AD40)</f>
        <v/>
      </c>
      <c r="AE41" s="162">
        <f>IF(AD41="","",IF(AD41&lt;=5,"SETTLED","OUTSTANDING"))</f>
        <v/>
      </c>
      <c r="AF41" s="161" t="n"/>
      <c r="AG41" s="161" t="n"/>
      <c r="AH41" s="164" t="n"/>
    </row>
    <row r="42" ht="15" customHeight="1" s="137">
      <c r="A42" s="46" t="n"/>
      <c r="B42" s="47" t="n"/>
      <c r="C42" s="47" t="n"/>
      <c r="D42" s="47" t="n"/>
      <c r="E42" s="47" t="n"/>
      <c r="F42" s="47" t="n"/>
      <c r="G42" s="47" t="n"/>
      <c r="H42" s="48">
        <f>+H41</f>
        <v/>
      </c>
      <c r="I42" s="48">
        <f>ROUND(H42*18%,0)</f>
        <v/>
      </c>
      <c r="J42" s="48">
        <f>+H42+I42</f>
        <v/>
      </c>
      <c r="K42" s="48">
        <f>ROUND((H42+I42)*2%,0)</f>
        <v/>
      </c>
      <c r="L42" s="49">
        <f>ROUND(H42*0.1%,0)</f>
        <v/>
      </c>
      <c r="M42" s="49">
        <f>ROUND(H42*2.25%*118%,0)</f>
        <v/>
      </c>
      <c r="N42" s="50">
        <f>ROUND(H42*2.25%*2%,0)</f>
        <v/>
      </c>
      <c r="O42" s="49">
        <f>ROUND(M42-N42,0)</f>
        <v/>
      </c>
      <c r="P42" s="49">
        <f>ROUND(O42+L42,0)</f>
        <v/>
      </c>
      <c r="Q42" s="49" t="n"/>
      <c r="R42" s="49">
        <f>+R41</f>
        <v/>
      </c>
      <c r="S42" s="48">
        <f>H42*117.65%-R42</f>
        <v/>
      </c>
      <c r="T42" s="51" t="n"/>
      <c r="U42" s="51">
        <f>+T41-U41</f>
        <v/>
      </c>
      <c r="V42" s="52" t="n"/>
      <c r="W42" s="53" t="n"/>
      <c r="X42" s="53">
        <f>+W41-X41</f>
        <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conditionalFormatting sqref="A4:AH40">
    <cfRule type="expression" priority="4" dxfId="53">
      <formula>$AJ4=1</formula>
    </cfRule>
  </conditionalFormatting>
  <dataValidations count="34">
    <dataValidation sqref="A2" showDropDown="0" showInputMessage="0" showErrorMessage="0" allowBlank="0" type="list">
      <formula1>=SUG_F</formula1>
    </dataValidation>
    <dataValidation sqref="B2" showDropDown="0" showInputMessage="0" showErrorMessage="0" allowBlank="0" type="list">
      <formula1>=SUG_D_DEP_FINAL</formula1>
    </dataValidation>
    <dataValidation sqref="C2" showDropDown="0" showInputMessage="0" showErrorMessage="0" allowBlank="0" type="list">
      <formula1>=SUG_H</formula1>
    </dataValidation>
    <dataValidation sqref="D2" showDropDown="0" showInputMessage="0" showErrorMessage="0" allowBlank="0" type="list">
      <formula1>=SUG_E</formula1>
    </dataValidation>
    <dataValidation sqref="E2" showDropDown="0" showInputMessage="0" showErrorMessage="0" allowBlank="0" type="list">
      <formula1>=SUG_G</formula1>
    </dataValidation>
    <dataValidation sqref="F2" showDropDown="0" showInputMessage="0" showErrorMessage="0" allowBlank="0" type="list">
      <formula1>=SUG_B_DEP_FINAL</formula1>
    </dataValidation>
    <dataValidation sqref="G2" showDropDown="0" showInputMessage="0" showErrorMessage="0" allowBlank="0" type="list">
      <formula1>=SUG_C</formula1>
    </dataValidation>
    <dataValidation sqref="H2" showDropDown="0" showInputMessage="0" showErrorMessage="0" allowBlank="0" type="list">
      <formula1>=SUG_I</formula1>
    </dataValidation>
    <dataValidation sqref="I2" showDropDown="0" showInputMessage="0" showErrorMessage="0" allowBlank="0" type="list">
      <formula1>=SUG_J</formula1>
    </dataValidation>
    <dataValidation sqref="J2" showDropDown="0" showInputMessage="0" showErrorMessage="0" allowBlank="0" type="list">
      <formula1>=SUG_K</formula1>
    </dataValidation>
    <dataValidation sqref="K2" showDropDown="0" showInputMessage="0" showErrorMessage="0" allowBlank="0" type="list">
      <formula1>=SUG_L</formula1>
    </dataValidation>
    <dataValidation sqref="L2" showDropDown="0" showInputMessage="0" showErrorMessage="0" allowBlank="0" type="list">
      <formula1>=SUG_M</formula1>
    </dataValidation>
    <dataValidation sqref="M2" showDropDown="0" showInputMessage="0" showErrorMessage="0" allowBlank="0" type="list">
      <formula1>=SUG_N</formula1>
    </dataValidation>
    <dataValidation sqref="N2" showDropDown="0" showInputMessage="0" showErrorMessage="0" allowBlank="0" type="list">
      <formula1>=SUG_O</formula1>
    </dataValidation>
    <dataValidation sqref="O2" showDropDown="0" showInputMessage="0" showErrorMessage="0" allowBlank="0" type="list">
      <formula1>=SUG_P</formula1>
    </dataValidation>
    <dataValidation sqref="P2" showDropDown="0" showInputMessage="0" showErrorMessage="0" allowBlank="0" type="list">
      <formula1>=SUG_Q</formula1>
    </dataValidation>
    <dataValidation sqref="Q2" showDropDown="0" showInputMessage="0" showErrorMessage="0" allowBlank="0" type="list">
      <formula1>=SUG_R</formula1>
    </dataValidation>
    <dataValidation sqref="R2" showDropDown="0" showInputMessage="0" showErrorMessage="0" allowBlank="0" type="list">
      <formula1>=SUG_S</formula1>
    </dataValidation>
    <dataValidation sqref="S2" showDropDown="0" showInputMessage="0" showErrorMessage="0" allowBlank="0" type="list">
      <formula1>=SUG_T</formula1>
    </dataValidation>
    <dataValidation sqref="T2" showDropDown="0" showInputMessage="0" showErrorMessage="0" allowBlank="0" type="list">
      <formula1>=SUG_U</formula1>
    </dataValidation>
    <dataValidation sqref="U2" showDropDown="0" showInputMessage="0" showErrorMessage="0" allowBlank="0" type="list">
      <formula1>=SUG_V</formula1>
    </dataValidation>
    <dataValidation sqref="V2" showDropDown="0" showInputMessage="0" showErrorMessage="0" allowBlank="0" type="list">
      <formula1>=SUG_W</formula1>
    </dataValidation>
    <dataValidation sqref="W2" showDropDown="0" showInputMessage="0" showErrorMessage="0" allowBlank="0" type="list">
      <formula1>=SUG_X</formula1>
    </dataValidation>
    <dataValidation sqref="X2" showDropDown="0" showInputMessage="0" showErrorMessage="0" allowBlank="0" type="list">
      <formula1>=SUG_Y</formula1>
    </dataValidation>
    <dataValidation sqref="Y2" showDropDown="0" showInputMessage="0" showErrorMessage="0" allowBlank="0" type="list">
      <formula1>=SUG_Z</formula1>
    </dataValidation>
    <dataValidation sqref="Z2" showDropDown="0" showInputMessage="0" showErrorMessage="0" allowBlank="0" type="list">
      <formula1>=SUG_AA</formula1>
    </dataValidation>
    <dataValidation sqref="AA2" showDropDown="0" showInputMessage="0" showErrorMessage="0" allowBlank="0" type="list">
      <formula1>=SUG_AB</formula1>
    </dataValidation>
    <dataValidation sqref="AB2" showDropDown="0" showInputMessage="0" showErrorMessage="0" allowBlank="0" type="list">
      <formula1>=SUG_AC</formula1>
    </dataValidation>
    <dataValidation sqref="AC2" showDropDown="0" showInputMessage="0" showErrorMessage="0" allowBlank="0" type="list">
      <formula1>=SUG_AD</formula1>
    </dataValidation>
    <dataValidation sqref="AD2" showDropDown="0" showInputMessage="0" showErrorMessage="0" allowBlank="0" type="list">
      <formula1>=SUG_AE</formula1>
    </dataValidation>
    <dataValidation sqref="AE2" showDropDown="0" showInputMessage="0" showErrorMessage="0" allowBlank="0" type="list">
      <formula1>=SUG_AI</formula1>
    </dataValidation>
    <dataValidation sqref="AF2" showDropDown="0" showInputMessage="0" showErrorMessage="0" allowBlank="0" type="list">
      <formula1>=SUG_AF</formula1>
    </dataValidation>
    <dataValidation sqref="AG2" showDropDown="0" showInputMessage="0" showErrorMessage="0" allowBlank="0" type="list">
      <formula1>=SUG_AG</formula1>
    </dataValidation>
    <dataValidation sqref="AH2" showDropDown="0" showInputMessage="0" showErrorMessage="0" allowBlank="0" type="list">
      <formula1>=SUG_AH</formula1>
    </dataValidation>
  </dataValidations>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 PILOT — the Lot Name dropdown (D4) now narrows to lots matching your other search cells and the search box; all other dropdowns still list everything.</t>
        </is>
      </c>
    </row>
    <row r="3" ht="30" customHeight="1" s="137">
      <c r="A3" s="59" t="inlineStr">
        <is>
          <t>🔍  SEARCH  ▸</t>
        </is>
      </c>
      <c r="B3" s="144" t="n"/>
      <c r="C3" s="146" t="n"/>
      <c r="D3" s="147" t="n"/>
      <c r="E3" s="60" t="inlineStr">
        <is>
          <t>SEARCH IN  ▸</t>
        </is>
      </c>
      <c r="F3" s="61" t="inlineStr">
        <is>
          <t>Lot No. + Buyer + Name</t>
        </is>
      </c>
      <c r="G3" s="60" t="inlineStr">
        <is>
          <t>MATCHES  ▸</t>
        </is>
      </c>
      <c r="H3" s="62">
        <f>SUM($AM$5:$AM$41)&amp;" of 37"</f>
        <v/>
      </c>
      <c r="I3" s="145">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f>IF($B$3="","type in B3…",AL$41&amp;" match(es)")</f>
        <v/>
      </c>
      <c r="AO4" t="inlineStr">
        <is>
          <t>Lot No. + Buyer + Name</t>
        </is>
      </c>
      <c r="AQ4">
        <f>SUBSTITUTE(SUBSTITUTE($B$3,"&amp;","+"),"/",",")</f>
        <v/>
      </c>
      <c r="AR4">
        <f>$AQ$4</f>
        <v/>
      </c>
      <c r="AS4">
        <f>IF(OR($AR$4="",$AR$5=99999),"",MID($AR$4,$AR$5+1,99999))</f>
        <v/>
      </c>
      <c r="AT4">
        <f>IF(OR($AS$4="",$AS$5=99999),"",MID($AS$4,$AS$5+1,99999))</f>
        <v/>
      </c>
      <c r="AU4">
        <f>IF(OR($AT$4="",$AT$5=99999),"",MID($AT$4,$AT$5+1,99999))</f>
        <v/>
      </c>
      <c r="AV4">
        <f>IF(OR($AU$4="",$AU$5=99999),"",MID($AU$4,$AU$5+1,99999))</f>
        <v/>
      </c>
      <c r="AW4">
        <f>IF(OR($AV$4="",$AV$5=99999),"",MID($AV$4,$AV$5+1,99999))</f>
        <v/>
      </c>
      <c r="AX4">
        <f>IF(OR($AW$4="",$AW$5=99999),"",MID($AW$4,$AW$5+1,99999))</f>
        <v/>
      </c>
      <c r="AY4">
        <f>IF(OR($AX$4="",$AX$5=99999),"",MID($AX$4,$AX$5+1,99999))</f>
        <v/>
      </c>
      <c r="BD4">
        <f>COUNTIF($AZ$5:$AZ$41,1)</f>
        <v/>
      </c>
      <c r="BE4" t="n">
        <v>5</v>
      </c>
      <c r="BF4">
        <f>IF($BD4=0,0,$BE4+$BD4)</f>
        <v/>
      </c>
      <c r="BG4">
        <f>IF($BD12=0,$BE12,$BF12+1)</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f>IF($B$3="",IF(ROW()=5,"— type above —",""),IF(ROW()-4&gt;AL$41,"",INDEX('Final Calculation Sheet'!$F$4:$F$40,MATCH(ROW()-4,$AL$5:$AL$41,0))&amp;" — "&amp;INDEX('Final Calculation Sheet'!$G$4:$G$40,MATCH(ROW()-4,$AL$5:$AL$41,0))))</f>
        <v/>
      </c>
      <c r="AK5" s="66">
        <f>IF($F$3="Lot No.",'Final Calculation Sheet'!$F$4,IF($F$3="Buyer",'Final Calculation Sheet'!$G$4,IF($F$3="Lot Name",'Final Calculation Sheet'!$B$4,IF($F$3="Bid Sheet",'Final Calculation Sheet'!$D$4,IF($F$3="Unit",'Final Calculation Sheet'!$E$4,'Final Calculation Sheet'!$F$4&amp;" "&amp;'Final Calculation Sheet'!$G$4&amp;" "&amp;'Final Calculation Sheet'!$B$4)))))</f>
        <v/>
      </c>
      <c r="AL5" s="66">
        <f>IF($B$3="",0,--(SUMPRODUCT(--($AR$6:$AY$6&lt;&gt;""),--ISNUMBER(SEARCH($AR$6:$AY$6,$AK5)))&gt;0))</f>
        <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AN5" s="66" t="n"/>
      <c r="AO5" s="66" t="inlineStr">
        <is>
          <t>Lot No.</t>
        </is>
      </c>
      <c r="AP5" s="66" t="n"/>
      <c r="AQ5" s="66" t="n"/>
      <c r="AR5" s="66">
        <f>IF($AR$4="",99999,MIN(IFERROR(FIND(",",$AR$4),99999),IFERROR(FIND("+",$AR$4),99999)))</f>
        <v/>
      </c>
      <c r="AS5" s="66">
        <f>IF($AS$4="",99999,MIN(IFERROR(FIND(",",$AS$4),99999),IFERROR(FIND("+",$AS$4),99999)))</f>
        <v/>
      </c>
      <c r="AT5" s="66">
        <f>IF($AT$4="",99999,MIN(IFERROR(FIND(",",$AT$4),99999),IFERROR(FIND("+",$AT$4),99999)))</f>
        <v/>
      </c>
      <c r="AU5" s="66">
        <f>IF($AU$4="",99999,MIN(IFERROR(FIND(",",$AU$4),99999),IFERROR(FIND("+",$AU$4),99999)))</f>
        <v/>
      </c>
      <c r="AV5" s="66">
        <f>IF($AV$4="",99999,MIN(IFERROR(FIND(",",$AV$4),99999),IFERROR(FIND("+",$AV$4),99999)))</f>
        <v/>
      </c>
      <c r="AW5" s="66">
        <f>IF($AW$4="",99999,MIN(IFERROR(FIND(",",$AW$4),99999),IFERROR(FIND("+",$AW$4),99999)))</f>
        <v/>
      </c>
      <c r="AX5" s="66">
        <f>IF($AX$4="",99999,MIN(IFERROR(FIND(",",$AX$4),99999),IFERROR(FIND("+",$AX$4),99999)))</f>
        <v/>
      </c>
      <c r="AY5" s="66">
        <f>IF($AY$4="",99999,MIN(IFERROR(FIND(",",$AY$4),99999),IFERROR(FIND("+",$AY$4),99999)))</f>
        <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
      </c>
      <c r="BA5" s="66">
        <f>SUMPRODUCT(($AZ$5:$AZ$41=$AZ5)*($BC$5:$BC$41&lt;$BC5))+1</f>
        <v/>
      </c>
      <c r="BB5" s="66">
        <f>IF(INDEX($BF$4:$BF$13,$AZ5)=0,0,INDEX($BE$4:$BE$13,$AZ5)+$BA5-1)</f>
        <v/>
      </c>
      <c r="BC5" s="66" t="n">
        <v>4</v>
      </c>
      <c r="BD5" s="66">
        <f>COUNTIF($AZ$5:$AZ$41,2)</f>
        <v/>
      </c>
      <c r="BE5" s="66">
        <f>IF($BD4=0,$BE4,$BF4+1)</f>
        <v/>
      </c>
      <c r="BF5" s="66">
        <f>IF($BD5=0,0,$BE5+$BD5)</f>
        <v/>
      </c>
      <c r="BG5" s="66">
        <f>IF($BD13=0,$BE13,$BF13+1)</f>
        <v/>
      </c>
      <c r="BH5" s="66">
        <f>IFERROR(MATCH(5,$BF$4:$BF$13,0),0)</f>
        <v/>
      </c>
      <c r="BI5" s="66">
        <f>IF(5=$BG$5,1,0)</f>
        <v/>
      </c>
      <c r="BJ5" s="66">
        <f>IF(OR($BH5&gt;0,$BI5=1,$BL5=1),0,IFERROR(INDEX($BC$5:$BC$41,MATCH(5,$BB$5:$BB$41,0)),0))</f>
        <v/>
      </c>
      <c r="BK5" s="66">
        <f>IF($BJ5&gt;0,IF(INDEX($AZ$5:$AZ$41,MATCH(5,$BB$5:$BB$41,0))=10,1,0),IF($BH5=10,1,0))</f>
        <v/>
      </c>
      <c r="BL5" s="66">
        <f>IF(5=$BG$4,1,0)</f>
        <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
      </c>
    </row>
    <row r="6" ht="15" customHeight="1" s="137">
      <c r="A6" s="67">
        <f>IF($BJ5&gt;0,INDEX($BA$5:$BA$41,MATCH(5,$BB$5:$BB$41,0)),IF(OR($BI5=1,$BL5=1,$BH5&gt;0),"∑",""))</f>
        <v/>
      </c>
      <c r="B6" s="76">
        <f>IF($BJ5&gt;0,IF(INDEX('Final Calculation Sheet'!$F$4:$F$40,$BJ5-3)="","",INDEX('Final Calculation Sheet'!$F$4:$F$40,$BJ5-3)),"")</f>
        <v/>
      </c>
      <c r="C6" s="76">
        <f>IF($BJ5&gt;0,IF(INDEX('Final Calculation Sheet'!$G$4:$G$40,$BJ5-3)="","",INDEX('Final Calculation Sheet'!$G$4:$G$40,$BJ5-3)),IF(OR($BI5=1,$BL5=1,$BH5&gt;0),IF($BI5=1,37,IF($BL5=1,37-INDEX($BD$4:$BD$13,10),INDEX($BD$4:$BD$13,$BH5)))&amp;" lot(s)",""))</f>
        <v/>
      </c>
      <c r="D6" s="80">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6" s="80">
        <f>IF($BJ5&gt;0,IF(INDEX('Final Calculation Sheet'!$D$4:$D$40,$BJ5-3)="","",INDEX('Final Calculation Sheet'!$D$4:$D$40,$BJ5-3)),IF(OR($BI5=1,$BL5=1,$BH5&gt;0),"–",""))</f>
        <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
      </c>
      <c r="G6" s="80">
        <f>IF($BJ5&gt;0,IF(INDEX('Final Calculation Sheet'!$E$4:$E$40,$BJ5-3)="","",INDEX('Final Calculation Sheet'!$E$4:$E$40,$BJ5-3)),IF(OR($BI5=1,$BL5=1,$BH5&gt;0),"–",""))</f>
        <v/>
      </c>
      <c r="H6" s="70">
        <f>IF($BJ5&gt;0,IF(INDEX('Final Calculation Sheet'!$C$4:$C$40,$BJ5-3)="","",INDEX('Final Calculation Sheet'!$C$4:$C$40,$BJ5-3)),IF(OR($BI5=1,$BL5=1,$BH5&gt;0),"–",""))</f>
        <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
      </c>
      <c r="R6" s="72">
        <f>IF($BJ5&gt;0,IF(INDEX('Final Calculation Sheet'!$Q$4:$Q$40,$BJ5-3)="","",INDEX('Final Calculation Sheet'!$Q$4:$Q$40,$BJ5-3)),IF(OR($BI5=1,$BL5=1,$BH5&gt;0),"–",""))</f>
        <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
      </c>
      <c r="W6" s="70">
        <f>IF($BJ5&gt;0,IF(INDEX('Final Calculation Sheet'!$V$4:$V$40,$BJ5-3)="","",INDEX('Final Calculation Sheet'!$V$4:$V$40,$BJ5-3)),IF(OR($BI5=1,$BL5=1,$BH5&gt;0),"–",""))</f>
        <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
      </c>
      <c r="Z6" s="70">
        <f>IF($BJ5&gt;0,IF(INDEX('Final Calculation Sheet'!$Y$4:$Y$40,$BJ5-3)="","",INDEX('Final Calculation Sheet'!$Y$4:$Y$40,$BJ5-3)),IF(OR($BI5=1,$BL5=1,$BH5&gt;0),"–",""))</f>
        <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
      </c>
      <c r="AB6" s="70">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f>IF($B$3="",IF(ROW()=5,"— type above —",""),IF(ROW()-4&gt;AL$41,"",INDEX('Final Calculation Sheet'!$F$4:$F$40,MATCH(ROW()-4,$AL$5:$AL$41,0))&amp;" — "&amp;INDEX('Final Calculation Sheet'!$G$4:$G$40,MATCH(ROW()-4,$AL$5:$AL$41,0))))</f>
        <v/>
      </c>
      <c r="AK6">
        <f>IF($F$3="Lot No.",'Final Calculation Sheet'!$F$5,IF($F$3="Buyer",'Final Calculation Sheet'!$G$5,IF($F$3="Lot Name",'Final Calculation Sheet'!$B$5,IF($F$3="Bid Sheet",'Final Calculation Sheet'!$D$5,IF($F$3="Unit",'Final Calculation Sheet'!$E$5,'Final Calculation Sheet'!$F$5&amp;" "&amp;'Final Calculation Sheet'!$G$5&amp;" "&amp;'Final Calculation Sheet'!$B$5)))))</f>
        <v/>
      </c>
      <c r="AL6">
        <f>AL5+IF($B$3="",0,--(SUMPRODUCT(--($AR$6:$AY$6&lt;&gt;""),--ISNUMBER(SEARCH($AR$6:$AY$6,$AK6)))&gt;0))</f>
        <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
      </c>
      <c r="AO6" t="inlineStr">
        <is>
          <t>Buyer</t>
        </is>
      </c>
      <c r="AR6">
        <f>IF($AR$4="","",IF($AR$5=99999,TRIM($AR$4),TRIM(LEFT($AR$4,$AR$5-1))))</f>
        <v/>
      </c>
      <c r="AS6">
        <f>IF($AS$4="","",IF($AS$5=99999,TRIM($AS$4),TRIM(LEFT($AS$4,$AS$5-1))))</f>
        <v/>
      </c>
      <c r="AT6">
        <f>IF($AT$4="","",IF($AT$5=99999,TRIM($AT$4),TRIM(LEFT($AT$4,$AT$5-1))))</f>
        <v/>
      </c>
      <c r="AU6">
        <f>IF($AU$4="","",IF($AU$5=99999,TRIM($AU$4),TRIM(LEFT($AU$4,$AU$5-1))))</f>
        <v/>
      </c>
      <c r="AV6">
        <f>IF($AV$4="","",IF($AV$5=99999,TRIM($AV$4),TRIM(LEFT($AV$4,$AV$5-1))))</f>
        <v/>
      </c>
      <c r="AW6">
        <f>IF($AW$4="","",IF($AW$5=99999,TRIM($AW$4),TRIM(LEFT($AW$4,$AW$5-1))))</f>
        <v/>
      </c>
      <c r="AX6">
        <f>IF($AX$4="","",IF($AX$5=99999,TRIM($AX$4),TRIM(LEFT($AX$4,$AX$5-1))))</f>
        <v/>
      </c>
      <c r="AY6">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
      </c>
      <c r="BA6">
        <f>SUMPRODUCT(($AZ$5:$AZ$41=$AZ6)*($BC$5:$BC$41&lt;$BC6))+1</f>
        <v/>
      </c>
      <c r="BB6">
        <f>IF(INDEX($BF$4:$BF$13,$AZ6)=0,0,INDEX($BE$4:$BE$13,$AZ6)+$BA6-1)</f>
        <v/>
      </c>
      <c r="BC6" t="n">
        <v>5</v>
      </c>
      <c r="BD6">
        <f>COUNTIF($AZ$5:$AZ$41,3)</f>
        <v/>
      </c>
      <c r="BE6">
        <f>IF($BD5=0,$BE5,$BF5+1)</f>
        <v/>
      </c>
      <c r="BF6">
        <f>IF($BD6=0,0,$BE6+$BD6)</f>
        <v/>
      </c>
      <c r="BH6">
        <f>IFERROR(MATCH(6,$BF$4:$BF$13,0),0)</f>
        <v/>
      </c>
      <c r="BI6">
        <f>IF(6=$BG$5,1,0)</f>
        <v/>
      </c>
      <c r="BJ6">
        <f>IF(OR($BH6&gt;0,$BI6=1,$BL6=1),0,IFERROR(INDEX($BC$5:$BC$41,MATCH(6,$BB$5:$BB$41,0)),0))</f>
        <v/>
      </c>
      <c r="BK6">
        <f>IF($BJ6&gt;0,IF(INDEX($AZ$5:$AZ$41,MATCH(6,$BB$5:$BB$41,0))=10,1,0),IF($BH6=10,1,0))</f>
        <v/>
      </c>
      <c r="BL6">
        <f>IF(6=$BG$4,1,0)</f>
        <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
      </c>
    </row>
    <row r="7" ht="15" customHeight="1" s="137">
      <c r="A7" s="67">
        <f>IF($BJ6&gt;0,INDEX($BA$5:$BA$41,MATCH(6,$BB$5:$BB$41,0)),IF(OR($BI6=1,$BL6=1,$BH6&gt;0),"∑",""))</f>
        <v/>
      </c>
      <c r="B7" s="76">
        <f>IF($BJ6&gt;0,IF(INDEX('Final Calculation Sheet'!$F$4:$F$40,$BJ6-3)="","",INDEX('Final Calculation Sheet'!$F$4:$F$40,$BJ6-3)),"")</f>
        <v/>
      </c>
      <c r="C7" s="76">
        <f>IF($BJ6&gt;0,IF(INDEX('Final Calculation Sheet'!$G$4:$G$40,$BJ6-3)="","",INDEX('Final Calculation Sheet'!$G$4:$G$40,$BJ6-3)),IF(OR($BI6=1,$BL6=1,$BH6&gt;0),IF($BI6=1,37,IF($BL6=1,37-INDEX($BD$4:$BD$13,10),INDEX($BD$4:$BD$13,$BH6)))&amp;" lot(s)",""))</f>
        <v/>
      </c>
      <c r="D7" s="80">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7" s="80">
        <f>IF($BJ6&gt;0,IF(INDEX('Final Calculation Sheet'!$D$4:$D$40,$BJ6-3)="","",INDEX('Final Calculation Sheet'!$D$4:$D$40,$BJ6-3)),IF(OR($BI6=1,$BL6=1,$BH6&gt;0),"–",""))</f>
        <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
      </c>
      <c r="G7" s="80">
        <f>IF($BJ6&gt;0,IF(INDEX('Final Calculation Sheet'!$E$4:$E$40,$BJ6-3)="","",INDEX('Final Calculation Sheet'!$E$4:$E$40,$BJ6-3)),IF(OR($BI6=1,$BL6=1,$BH6&gt;0),"–",""))</f>
        <v/>
      </c>
      <c r="H7" s="70">
        <f>IF($BJ6&gt;0,IF(INDEX('Final Calculation Sheet'!$C$4:$C$40,$BJ6-3)="","",INDEX('Final Calculation Sheet'!$C$4:$C$40,$BJ6-3)),IF(OR($BI6=1,$BL6=1,$BH6&gt;0),"–",""))</f>
        <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
      </c>
      <c r="R7" s="72">
        <f>IF($BJ6&gt;0,IF(INDEX('Final Calculation Sheet'!$Q$4:$Q$40,$BJ6-3)="","",INDEX('Final Calculation Sheet'!$Q$4:$Q$40,$BJ6-3)),IF(OR($BI6=1,$BL6=1,$BH6&gt;0),"–",""))</f>
        <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
      </c>
      <c r="W7" s="70">
        <f>IF($BJ6&gt;0,IF(INDEX('Final Calculation Sheet'!$V$4:$V$40,$BJ6-3)="","",INDEX('Final Calculation Sheet'!$V$4:$V$40,$BJ6-3)),IF(OR($BI6=1,$BL6=1,$BH6&gt;0),"–",""))</f>
        <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
      </c>
      <c r="Z7" s="70">
        <f>IF($BJ6&gt;0,IF(INDEX('Final Calculation Sheet'!$Y$4:$Y$40,$BJ6-3)="","",INDEX('Final Calculation Sheet'!$Y$4:$Y$40,$BJ6-3)),IF(OR($BI6=1,$BL6=1,$BH6&gt;0),"–",""))</f>
        <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
      </c>
      <c r="AB7" s="70">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f>IF($B$3="",IF(ROW()=5,"— type above —",""),IF(ROW()-4&gt;AL$41,"",INDEX('Final Calculation Sheet'!$F$4:$F$40,MATCH(ROW()-4,$AL$5:$AL$41,0))&amp;" — "&amp;INDEX('Final Calculation Sheet'!$G$4:$G$40,MATCH(ROW()-4,$AL$5:$AL$41,0))))</f>
        <v/>
      </c>
      <c r="AK7">
        <f>IF($F$3="Lot No.",'Final Calculation Sheet'!$F$6,IF($F$3="Buyer",'Final Calculation Sheet'!$G$6,IF($F$3="Lot Name",'Final Calculation Sheet'!$B$6,IF($F$3="Bid Sheet",'Final Calculation Sheet'!$D$6,IF($F$3="Unit",'Final Calculation Sheet'!$E$6,'Final Calculation Sheet'!$F$6&amp;" "&amp;'Final Calculation Sheet'!$G$6&amp;" "&amp;'Final Calculation Sheet'!$B$6)))))</f>
        <v/>
      </c>
      <c r="AL7">
        <f>AL6+IF($B$3="",0,--(SUMPRODUCT(--($AR$6:$AY$6&lt;&gt;""),--ISNUMBER(SEARCH($AR$6:$AY$6,$AK7)))&gt;0))</f>
        <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
      </c>
      <c r="AO7" t="inlineStr">
        <is>
          <t>Lot Name</t>
        </is>
      </c>
      <c r="AR7">
        <f>IF($AR$4="","",IF($AR$5=99999,"",MID($AR$4,$AR$5,1)))</f>
        <v/>
      </c>
      <c r="AS7">
        <f>IF($AS$4="","",IF($AS$5=99999,"",MID($AS$4,$AS$5,1)))</f>
        <v/>
      </c>
      <c r="AT7">
        <f>IF($AT$4="","",IF($AT$5=99999,"",MID($AT$4,$AT$5,1)))</f>
        <v/>
      </c>
      <c r="AU7">
        <f>IF($AU$4="","",IF($AU$5=99999,"",MID($AU$4,$AU$5,1)))</f>
        <v/>
      </c>
      <c r="AV7">
        <f>IF($AV$4="","",IF($AV$5=99999,"",MID($AV$4,$AV$5,1)))</f>
        <v/>
      </c>
      <c r="AW7">
        <f>IF($AW$4="","",IF($AW$5=99999,"",MID($AW$4,$AW$5,1)))</f>
        <v/>
      </c>
      <c r="AX7">
        <f>IF($AX$4="","",IF($AX$5=99999,"",MID($AX$4,$AX$5,1)))</f>
        <v/>
      </c>
      <c r="AY7">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
      </c>
      <c r="BA7">
        <f>SUMPRODUCT(($AZ$5:$AZ$41=$AZ7)*($BC$5:$BC$41&lt;$BC7))+1</f>
        <v/>
      </c>
      <c r="BB7">
        <f>IF(INDEX($BF$4:$BF$13,$AZ7)=0,0,INDEX($BE$4:$BE$13,$AZ7)+$BA7-1)</f>
        <v/>
      </c>
      <c r="BC7" t="n">
        <v>6</v>
      </c>
      <c r="BD7">
        <f>COUNTIF($AZ$5:$AZ$41,4)</f>
        <v/>
      </c>
      <c r="BE7">
        <f>IF($BD6=0,$BE6,$BF6+1)</f>
        <v/>
      </c>
      <c r="BF7">
        <f>IF($BD7=0,0,$BE7+$BD7)</f>
        <v/>
      </c>
      <c r="BH7">
        <f>IFERROR(MATCH(7,$BF$4:$BF$13,0),0)</f>
        <v/>
      </c>
      <c r="BI7">
        <f>IF(7=$BG$5,1,0)</f>
        <v/>
      </c>
      <c r="BJ7">
        <f>IF(OR($BH7&gt;0,$BI7=1,$BL7=1),0,IFERROR(INDEX($BC$5:$BC$41,MATCH(7,$BB$5:$BB$41,0)),0))</f>
        <v/>
      </c>
      <c r="BK7">
        <f>IF($BJ7&gt;0,IF(INDEX($AZ$5:$AZ$41,MATCH(7,$BB$5:$BB$41,0))=10,1,0),IF($BH7=10,1,0))</f>
        <v/>
      </c>
      <c r="BL7">
        <f>IF(7=$BG$4,1,0)</f>
        <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
      </c>
    </row>
    <row r="8" ht="15" customHeight="1" s="137">
      <c r="A8" s="67">
        <f>IF($BJ7&gt;0,INDEX($BA$5:$BA$41,MATCH(7,$BB$5:$BB$41,0)),IF(OR($BI7=1,$BL7=1,$BH7&gt;0),"∑",""))</f>
        <v/>
      </c>
      <c r="B8" s="76">
        <f>IF($BJ7&gt;0,IF(INDEX('Final Calculation Sheet'!$F$4:$F$40,$BJ7-3)="","",INDEX('Final Calculation Sheet'!$F$4:$F$40,$BJ7-3)),"")</f>
        <v/>
      </c>
      <c r="C8" s="76">
        <f>IF($BJ7&gt;0,IF(INDEX('Final Calculation Sheet'!$G$4:$G$40,$BJ7-3)="","",INDEX('Final Calculation Sheet'!$G$4:$G$40,$BJ7-3)),IF(OR($BI7=1,$BL7=1,$BH7&gt;0),IF($BI7=1,37,IF($BL7=1,37-INDEX($BD$4:$BD$13,10),INDEX($BD$4:$BD$13,$BH7)))&amp;" lot(s)",""))</f>
        <v/>
      </c>
      <c r="D8" s="80">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8" s="80">
        <f>IF($BJ7&gt;0,IF(INDEX('Final Calculation Sheet'!$D$4:$D$40,$BJ7-3)="","",INDEX('Final Calculation Sheet'!$D$4:$D$40,$BJ7-3)),IF(OR($BI7=1,$BL7=1,$BH7&gt;0),"–",""))</f>
        <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
      </c>
      <c r="G8" s="80">
        <f>IF($BJ7&gt;0,IF(INDEX('Final Calculation Sheet'!$E$4:$E$40,$BJ7-3)="","",INDEX('Final Calculation Sheet'!$E$4:$E$40,$BJ7-3)),IF(OR($BI7=1,$BL7=1,$BH7&gt;0),"–",""))</f>
        <v/>
      </c>
      <c r="H8" s="70">
        <f>IF($BJ7&gt;0,IF(INDEX('Final Calculation Sheet'!$C$4:$C$40,$BJ7-3)="","",INDEX('Final Calculation Sheet'!$C$4:$C$40,$BJ7-3)),IF(OR($BI7=1,$BL7=1,$BH7&gt;0),"–",""))</f>
        <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
      </c>
      <c r="R8" s="72">
        <f>IF($BJ7&gt;0,IF(INDEX('Final Calculation Sheet'!$Q$4:$Q$40,$BJ7-3)="","",INDEX('Final Calculation Sheet'!$Q$4:$Q$40,$BJ7-3)),IF(OR($BI7=1,$BL7=1,$BH7&gt;0),"–",""))</f>
        <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
      </c>
      <c r="W8" s="70">
        <f>IF($BJ7&gt;0,IF(INDEX('Final Calculation Sheet'!$V$4:$V$40,$BJ7-3)="","",INDEX('Final Calculation Sheet'!$V$4:$V$40,$BJ7-3)),IF(OR($BI7=1,$BL7=1,$BH7&gt;0),"–",""))</f>
        <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
      </c>
      <c r="Z8" s="70">
        <f>IF($BJ7&gt;0,IF(INDEX('Final Calculation Sheet'!$Y$4:$Y$40,$BJ7-3)="","",INDEX('Final Calculation Sheet'!$Y$4:$Y$40,$BJ7-3)),IF(OR($BI7=1,$BL7=1,$BH7&gt;0),"–",""))</f>
        <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
      </c>
      <c r="AB8" s="70">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f>IF($B$3="",IF(ROW()=5,"— type above —",""),IF(ROW()-4&gt;AL$41,"",INDEX('Final Calculation Sheet'!$F$4:$F$40,MATCH(ROW()-4,$AL$5:$AL$41,0))&amp;" — "&amp;INDEX('Final Calculation Sheet'!$G$4:$G$40,MATCH(ROW()-4,$AL$5:$AL$41,0))))</f>
        <v/>
      </c>
      <c r="AK8">
        <f>IF($F$3="Lot No.",'Final Calculation Sheet'!$F$7,IF($F$3="Buyer",'Final Calculation Sheet'!$G$7,IF($F$3="Lot Name",'Final Calculation Sheet'!$B$7,IF($F$3="Bid Sheet",'Final Calculation Sheet'!$D$7,IF($F$3="Unit",'Final Calculation Sheet'!$E$7,'Final Calculation Sheet'!$F$7&amp;" "&amp;'Final Calculation Sheet'!$G$7&amp;" "&amp;'Final Calculation Sheet'!$B$7)))))</f>
        <v/>
      </c>
      <c r="AL8">
        <f>AL7+IF($B$3="",0,--(SUMPRODUCT(--($AR$6:$AY$6&lt;&gt;""),--ISNUMBER(SEARCH($AR$6:$AY$6,$AK8)))&gt;0))</f>
        <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
      </c>
      <c r="AO8" t="inlineStr">
        <is>
          <t>Bid Sheet</t>
        </is>
      </c>
      <c r="AR8" t="n">
        <v>1</v>
      </c>
      <c r="AS8">
        <f>IF($AR$7="+",$AR$8+1,$AR$8)</f>
        <v/>
      </c>
      <c r="AT8">
        <f>IF($AS$7="+",$AS$8+1,$AS$8)</f>
        <v/>
      </c>
      <c r="AU8">
        <f>IF($AT$7="+",$AT$8+1,$AT$8)</f>
        <v/>
      </c>
      <c r="AV8">
        <f>IF($AU$7="+",$AU$8+1,$AU$8)</f>
        <v/>
      </c>
      <c r="AW8">
        <f>IF($AV$7="+",$AV$8+1,$AV$8)</f>
        <v/>
      </c>
      <c r="AX8">
        <f>IF($AW$7="+",$AW$8+1,$AW$8)</f>
        <v/>
      </c>
      <c r="AY8">
        <f>IF($AX$7="+",$AX$8+1,$AX$8)</f>
        <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
      </c>
      <c r="BA8">
        <f>SUMPRODUCT(($AZ$5:$AZ$41=$AZ8)*($BC$5:$BC$41&lt;$BC8))+1</f>
        <v/>
      </c>
      <c r="BB8">
        <f>IF(INDEX($BF$4:$BF$13,$AZ8)=0,0,INDEX($BE$4:$BE$13,$AZ8)+$BA8-1)</f>
        <v/>
      </c>
      <c r="BC8" t="n">
        <v>7</v>
      </c>
      <c r="BD8">
        <f>COUNTIF($AZ$5:$AZ$41,5)</f>
        <v/>
      </c>
      <c r="BE8">
        <f>IF($BD7=0,$BE7,$BF7+1)</f>
        <v/>
      </c>
      <c r="BF8">
        <f>IF($BD8=0,0,$BE8+$BD8)</f>
        <v/>
      </c>
      <c r="BH8">
        <f>IFERROR(MATCH(8,$BF$4:$BF$13,0),0)</f>
        <v/>
      </c>
      <c r="BI8">
        <f>IF(8=$BG$5,1,0)</f>
        <v/>
      </c>
      <c r="BJ8">
        <f>IF(OR($BH8&gt;0,$BI8=1,$BL8=1),0,IFERROR(INDEX($BC$5:$BC$41,MATCH(8,$BB$5:$BB$41,0)),0))</f>
        <v/>
      </c>
      <c r="BK8">
        <f>IF($BJ8&gt;0,IF(INDEX($AZ$5:$AZ$41,MATCH(8,$BB$5:$BB$41,0))=10,1,0),IF($BH8=10,1,0))</f>
        <v/>
      </c>
      <c r="BL8">
        <f>IF(8=$BG$4,1,0)</f>
        <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
      </c>
    </row>
    <row r="9" ht="15" customHeight="1" s="137">
      <c r="A9" s="67">
        <f>IF($BJ8&gt;0,INDEX($BA$5:$BA$41,MATCH(8,$BB$5:$BB$41,0)),IF(OR($BI8=1,$BL8=1,$BH8&gt;0),"∑",""))</f>
        <v/>
      </c>
      <c r="B9" s="76">
        <f>IF($BJ8&gt;0,IF(INDEX('Final Calculation Sheet'!$F$4:$F$40,$BJ8-3)="","",INDEX('Final Calculation Sheet'!$F$4:$F$40,$BJ8-3)),"")</f>
        <v/>
      </c>
      <c r="C9" s="76">
        <f>IF($BJ8&gt;0,IF(INDEX('Final Calculation Sheet'!$G$4:$G$40,$BJ8-3)="","",INDEX('Final Calculation Sheet'!$G$4:$G$40,$BJ8-3)),IF(OR($BI8=1,$BL8=1,$BH8&gt;0),IF($BI8=1,37,IF($BL8=1,37-INDEX($BD$4:$BD$13,10),INDEX($BD$4:$BD$13,$BH8)))&amp;" lot(s)",""))</f>
        <v/>
      </c>
      <c r="D9" s="80">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9" s="80">
        <f>IF($BJ8&gt;0,IF(INDEX('Final Calculation Sheet'!$D$4:$D$40,$BJ8-3)="","",INDEX('Final Calculation Sheet'!$D$4:$D$40,$BJ8-3)),IF(OR($BI8=1,$BL8=1,$BH8&gt;0),"–",""))</f>
        <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
      </c>
      <c r="G9" s="80">
        <f>IF($BJ8&gt;0,IF(INDEX('Final Calculation Sheet'!$E$4:$E$40,$BJ8-3)="","",INDEX('Final Calculation Sheet'!$E$4:$E$40,$BJ8-3)),IF(OR($BI8=1,$BL8=1,$BH8&gt;0),"–",""))</f>
        <v/>
      </c>
      <c r="H9" s="70">
        <f>IF($BJ8&gt;0,IF(INDEX('Final Calculation Sheet'!$C$4:$C$40,$BJ8-3)="","",INDEX('Final Calculation Sheet'!$C$4:$C$40,$BJ8-3)),IF(OR($BI8=1,$BL8=1,$BH8&gt;0),"–",""))</f>
        <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
      </c>
      <c r="R9" s="72">
        <f>IF($BJ8&gt;0,IF(INDEX('Final Calculation Sheet'!$Q$4:$Q$40,$BJ8-3)="","",INDEX('Final Calculation Sheet'!$Q$4:$Q$40,$BJ8-3)),IF(OR($BI8=1,$BL8=1,$BH8&gt;0),"–",""))</f>
        <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
      </c>
      <c r="W9" s="70">
        <f>IF($BJ8&gt;0,IF(INDEX('Final Calculation Sheet'!$V$4:$V$40,$BJ8-3)="","",INDEX('Final Calculation Sheet'!$V$4:$V$40,$BJ8-3)),IF(OR($BI8=1,$BL8=1,$BH8&gt;0),"–",""))</f>
        <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
      </c>
      <c r="Z9" s="70">
        <f>IF($BJ8&gt;0,IF(INDEX('Final Calculation Sheet'!$Y$4:$Y$40,$BJ8-3)="","",INDEX('Final Calculation Sheet'!$Y$4:$Y$40,$BJ8-3)),IF(OR($BI8=1,$BL8=1,$BH8&gt;0),"–",""))</f>
        <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
      </c>
      <c r="AB9" s="70">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f>IF($B$3="",IF(ROW()=5,"— type above —",""),IF(ROW()-4&gt;AL$41,"",INDEX('Final Calculation Sheet'!$F$4:$F$40,MATCH(ROW()-4,$AL$5:$AL$41,0))&amp;" — "&amp;INDEX('Final Calculation Sheet'!$G$4:$G$40,MATCH(ROW()-4,$AL$5:$AL$41,0))))</f>
        <v/>
      </c>
      <c r="AK9">
        <f>IF($F$3="Lot No.",'Final Calculation Sheet'!$F$8,IF($F$3="Buyer",'Final Calculation Sheet'!$G$8,IF($F$3="Lot Name",'Final Calculation Sheet'!$B$8,IF($F$3="Bid Sheet",'Final Calculation Sheet'!$D$8,IF($F$3="Unit",'Final Calculation Sheet'!$E$8,'Final Calculation Sheet'!$F$8&amp;" "&amp;'Final Calculation Sheet'!$G$8&amp;" "&amp;'Final Calculation Sheet'!$B$8)))))</f>
        <v/>
      </c>
      <c r="AL9">
        <f>AL8+IF($B$3="",0,--(SUMPRODUCT(--($AR$6:$AY$6&lt;&gt;""),--ISNUMBER(SEARCH($AR$6:$AY$6,$AK9)))&gt;0))</f>
        <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
      </c>
      <c r="AO9" t="inlineStr">
        <is>
          <t>Unit</t>
        </is>
      </c>
      <c r="AR9">
        <f>IF($AR$6="",0,$AR$8)</f>
        <v/>
      </c>
      <c r="AS9">
        <f>IF($AS$6="",0,$AS$8)</f>
        <v/>
      </c>
      <c r="AT9">
        <f>IF($AT$6="",0,$AT$8)</f>
        <v/>
      </c>
      <c r="AU9">
        <f>IF($AU$6="",0,$AU$8)</f>
        <v/>
      </c>
      <c r="AV9">
        <f>IF($AV$6="",0,$AV$8)</f>
        <v/>
      </c>
      <c r="AW9">
        <f>IF($AW$6="",0,$AW$8)</f>
        <v/>
      </c>
      <c r="AX9">
        <f>IF($AX$6="",0,$AX$8)</f>
        <v/>
      </c>
      <c r="AY9">
        <f>IF($AY$6="",0,$AY$8)</f>
        <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
      </c>
      <c r="BA9">
        <f>SUMPRODUCT(($AZ$5:$AZ$41=$AZ9)*($BC$5:$BC$41&lt;$BC9))+1</f>
        <v/>
      </c>
      <c r="BB9">
        <f>IF(INDEX($BF$4:$BF$13,$AZ9)=0,0,INDEX($BE$4:$BE$13,$AZ9)+$BA9-1)</f>
        <v/>
      </c>
      <c r="BC9" t="n">
        <v>8</v>
      </c>
      <c r="BD9">
        <f>COUNTIF($AZ$5:$AZ$41,6)</f>
        <v/>
      </c>
      <c r="BE9">
        <f>IF($BD8=0,$BE8,$BF8+1)</f>
        <v/>
      </c>
      <c r="BF9">
        <f>IF($BD9=0,0,$BE9+$BD9)</f>
        <v/>
      </c>
      <c r="BH9">
        <f>IFERROR(MATCH(9,$BF$4:$BF$13,0),0)</f>
        <v/>
      </c>
      <c r="BI9">
        <f>IF(9=$BG$5,1,0)</f>
        <v/>
      </c>
      <c r="BJ9">
        <f>IF(OR($BH9&gt;0,$BI9=1,$BL9=1),0,IFERROR(INDEX($BC$5:$BC$41,MATCH(9,$BB$5:$BB$41,0)),0))</f>
        <v/>
      </c>
      <c r="BK9">
        <f>IF($BJ9&gt;0,IF(INDEX($AZ$5:$AZ$41,MATCH(9,$BB$5:$BB$41,0))=10,1,0),IF($BH9=10,1,0))</f>
        <v/>
      </c>
      <c r="BL9">
        <f>IF(9=$BG$4,1,0)</f>
        <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
      </c>
    </row>
    <row r="10" ht="15" customHeight="1" s="137">
      <c r="A10" s="67">
        <f>IF($BJ9&gt;0,INDEX($BA$5:$BA$41,MATCH(9,$BB$5:$BB$41,0)),IF(OR($BI9=1,$BL9=1,$BH9&gt;0),"∑",""))</f>
        <v/>
      </c>
      <c r="B10" s="76">
        <f>IF($BJ9&gt;0,IF(INDEX('Final Calculation Sheet'!$F$4:$F$40,$BJ9-3)="","",INDEX('Final Calculation Sheet'!$F$4:$F$40,$BJ9-3)),"")</f>
        <v/>
      </c>
      <c r="C10" s="76">
        <f>IF($BJ9&gt;0,IF(INDEX('Final Calculation Sheet'!$G$4:$G$40,$BJ9-3)="","",INDEX('Final Calculation Sheet'!$G$4:$G$40,$BJ9-3)),IF(OR($BI9=1,$BL9=1,$BH9&gt;0),IF($BI9=1,37,IF($BL9=1,37-INDEX($BD$4:$BD$13,10),INDEX($BD$4:$BD$13,$BH9)))&amp;" lot(s)",""))</f>
        <v/>
      </c>
      <c r="D10" s="80">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10" s="80">
        <f>IF($BJ9&gt;0,IF(INDEX('Final Calculation Sheet'!$D$4:$D$40,$BJ9-3)="","",INDEX('Final Calculation Sheet'!$D$4:$D$40,$BJ9-3)),IF(OR($BI9=1,$BL9=1,$BH9&gt;0),"–",""))</f>
        <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
      </c>
      <c r="G10" s="80">
        <f>IF($BJ9&gt;0,IF(INDEX('Final Calculation Sheet'!$E$4:$E$40,$BJ9-3)="","",INDEX('Final Calculation Sheet'!$E$4:$E$40,$BJ9-3)),IF(OR($BI9=1,$BL9=1,$BH9&gt;0),"–",""))</f>
        <v/>
      </c>
      <c r="H10" s="70">
        <f>IF($BJ9&gt;0,IF(INDEX('Final Calculation Sheet'!$C$4:$C$40,$BJ9-3)="","",INDEX('Final Calculation Sheet'!$C$4:$C$40,$BJ9-3)),IF(OR($BI9=1,$BL9=1,$BH9&gt;0),"–",""))</f>
        <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
      </c>
      <c r="R10" s="72">
        <f>IF($BJ9&gt;0,IF(INDEX('Final Calculation Sheet'!$Q$4:$Q$40,$BJ9-3)="","",INDEX('Final Calculation Sheet'!$Q$4:$Q$40,$BJ9-3)),IF(OR($BI9=1,$BL9=1,$BH9&gt;0),"–",""))</f>
        <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
      </c>
      <c r="W10" s="70">
        <f>IF($BJ9&gt;0,IF(INDEX('Final Calculation Sheet'!$V$4:$V$40,$BJ9-3)="","",INDEX('Final Calculation Sheet'!$V$4:$V$40,$BJ9-3)),IF(OR($BI9=1,$BL9=1,$BH9&gt;0),"–",""))</f>
        <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
      </c>
      <c r="Z10" s="70">
        <f>IF($BJ9&gt;0,IF(INDEX('Final Calculation Sheet'!$Y$4:$Y$40,$BJ9-3)="","",INDEX('Final Calculation Sheet'!$Y$4:$Y$40,$BJ9-3)),IF(OR($BI9=1,$BL9=1,$BH9&gt;0),"–",""))</f>
        <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
      </c>
      <c r="AB10" s="70">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f>IF($B$3="",IF(ROW()=5,"— type above —",""),IF(ROW()-4&gt;AL$41,"",INDEX('Final Calculation Sheet'!$F$4:$F$40,MATCH(ROW()-4,$AL$5:$AL$41,0))&amp;" — "&amp;INDEX('Final Calculation Sheet'!$G$4:$G$40,MATCH(ROW()-4,$AL$5:$AL$41,0))))</f>
        <v/>
      </c>
      <c r="AK10">
        <f>IF($F$3="Lot No.",'Final Calculation Sheet'!$F$9,IF($F$3="Buyer",'Final Calculation Sheet'!$G$9,IF($F$3="Lot Name",'Final Calculation Sheet'!$B$9,IF($F$3="Bid Sheet",'Final Calculation Sheet'!$D$9,IF($F$3="Unit",'Final Calculation Sheet'!$E$9,'Final Calculation Sheet'!$F$9&amp;" "&amp;'Final Calculation Sheet'!$G$9&amp;" "&amp;'Final Calculation Sheet'!$B$9)))))</f>
        <v/>
      </c>
      <c r="AL10">
        <f>AL9+IF($B$3="",0,--(SUMPRODUCT(--($AR$6:$AY$6&lt;&gt;""),--ISNUMBER(SEARCH($AR$6:$AY$6,$AK10)))&gt;0))</f>
        <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
      </c>
      <c r="BA10">
        <f>SUMPRODUCT(($AZ$5:$AZ$41=$AZ10)*($BC$5:$BC$41&lt;$BC10))+1</f>
        <v/>
      </c>
      <c r="BB10">
        <f>IF(INDEX($BF$4:$BF$13,$AZ10)=0,0,INDEX($BE$4:$BE$13,$AZ10)+$BA10-1)</f>
        <v/>
      </c>
      <c r="BC10" t="n">
        <v>9</v>
      </c>
      <c r="BD10">
        <f>COUNTIF($AZ$5:$AZ$41,7)</f>
        <v/>
      </c>
      <c r="BE10">
        <f>IF($BD9=0,$BE9,$BF9+1)</f>
        <v/>
      </c>
      <c r="BF10">
        <f>IF($BD10=0,0,$BE10+$BD10)</f>
        <v/>
      </c>
      <c r="BH10">
        <f>IFERROR(MATCH(10,$BF$4:$BF$13,0),0)</f>
        <v/>
      </c>
      <c r="BI10">
        <f>IF(10=$BG$5,1,0)</f>
        <v/>
      </c>
      <c r="BJ10">
        <f>IF(OR($BH10&gt;0,$BI10=1,$BL10=1),0,IFERROR(INDEX($BC$5:$BC$41,MATCH(10,$BB$5:$BB$41,0)),0))</f>
        <v/>
      </c>
      <c r="BK10">
        <f>IF($BJ10&gt;0,IF(INDEX($AZ$5:$AZ$41,MATCH(10,$BB$5:$BB$41,0))=10,1,0),IF($BH10=10,1,0))</f>
        <v/>
      </c>
      <c r="BL10">
        <f>IF(10=$BG$4,1,0)</f>
        <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
      </c>
    </row>
    <row r="11" ht="15" customHeight="1" s="137">
      <c r="A11" s="67">
        <f>IF($BJ10&gt;0,INDEX($BA$5:$BA$41,MATCH(10,$BB$5:$BB$41,0)),IF(OR($BI10=1,$BL10=1,$BH10&gt;0),"∑",""))</f>
        <v/>
      </c>
      <c r="B11" s="76">
        <f>IF($BJ10&gt;0,IF(INDEX('Final Calculation Sheet'!$F$4:$F$40,$BJ10-3)="","",INDEX('Final Calculation Sheet'!$F$4:$F$40,$BJ10-3)),"")</f>
        <v/>
      </c>
      <c r="C11" s="76">
        <f>IF($BJ10&gt;0,IF(INDEX('Final Calculation Sheet'!$G$4:$G$40,$BJ10-3)="","",INDEX('Final Calculation Sheet'!$G$4:$G$40,$BJ10-3)),IF(OR($BI10=1,$BL10=1,$BH10&gt;0),IF($BI10=1,37,IF($BL10=1,37-INDEX($BD$4:$BD$13,10),INDEX($BD$4:$BD$13,$BH10)))&amp;" lot(s)",""))</f>
        <v/>
      </c>
      <c r="D11" s="80">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11" s="80">
        <f>IF($BJ10&gt;0,IF(INDEX('Final Calculation Sheet'!$D$4:$D$40,$BJ10-3)="","",INDEX('Final Calculation Sheet'!$D$4:$D$40,$BJ10-3)),IF(OR($BI10=1,$BL10=1,$BH10&gt;0),"–",""))</f>
        <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11" s="80">
        <f>IF($BJ10&gt;0,IF(INDEX('Final Calculation Sheet'!$E$4:$E$40,$BJ10-3)="","",INDEX('Final Calculation Sheet'!$E$4:$E$40,$BJ10-3)),IF(OR($BI10=1,$BL10=1,$BH10&gt;0),"–",""))</f>
        <v/>
      </c>
      <c r="H11" s="70">
        <f>IF($BJ10&gt;0,IF(INDEX('Final Calculation Sheet'!$C$4:$C$40,$BJ10-3)="","",INDEX('Final Calculation Sheet'!$C$4:$C$40,$BJ10-3)),IF(OR($BI10=1,$BL10=1,$BH10&gt;0),"–",""))</f>
        <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11" s="72">
        <f>IF($BJ10&gt;0,IF(INDEX('Final Calculation Sheet'!$Q$4:$Q$40,$BJ10-3)="","",INDEX('Final Calculation Sheet'!$Q$4:$Q$40,$BJ10-3)),IF(OR($BI10=1,$BL10=1,$BH10&gt;0),"–",""))</f>
        <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11" s="70">
        <f>IF($BJ10&gt;0,IF(INDEX('Final Calculation Sheet'!$V$4:$V$40,$BJ10-3)="","",INDEX('Final Calculation Sheet'!$V$4:$V$40,$BJ10-3)),IF(OR($BI10=1,$BL10=1,$BH10&gt;0),"–",""))</f>
        <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11" s="70">
        <f>IF($BJ10&gt;0,IF(INDEX('Final Calculation Sheet'!$Y$4:$Y$40,$BJ10-3)="","",INDEX('Final Calculation Sheet'!$Y$4:$Y$40,$BJ10-3)),IF(OR($BI10=1,$BL10=1,$BH10&gt;0),"–",""))</f>
        <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11" s="70">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f>IF($B$3="",IF(ROW()=5,"— type above —",""),IF(ROW()-4&gt;AL$41,"",INDEX('Final Calculation Sheet'!$F$4:$F$40,MATCH(ROW()-4,$AL$5:$AL$41,0))&amp;" — "&amp;INDEX('Final Calculation Sheet'!$G$4:$G$40,MATCH(ROW()-4,$AL$5:$AL$41,0))))</f>
        <v/>
      </c>
      <c r="AK11">
        <f>IF($F$3="Lot No.",'Final Calculation Sheet'!$F$10,IF($F$3="Buyer",'Final Calculation Sheet'!$G$10,IF($F$3="Lot Name",'Final Calculation Sheet'!$B$10,IF($F$3="Bid Sheet",'Final Calculation Sheet'!$D$10,IF($F$3="Unit",'Final Calculation Sheet'!$E$10,'Final Calculation Sheet'!$F$10&amp;" "&amp;'Final Calculation Sheet'!$G$10&amp;" "&amp;'Final Calculation Sheet'!$B$10)))))</f>
        <v/>
      </c>
      <c r="AL11">
        <f>AL10+IF($B$3="",0,--(SUMPRODUCT(--($AR$6:$AY$6&lt;&gt;""),--ISNUMBER(SEARCH($AR$6:$AY$6,$AK11)))&gt;0))</f>
        <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
      </c>
      <c r="BA11">
        <f>SUMPRODUCT(($AZ$5:$AZ$41=$AZ11)*($BC$5:$BC$41&lt;$BC11))+1</f>
        <v/>
      </c>
      <c r="BB11">
        <f>IF(INDEX($BF$4:$BF$13,$AZ11)=0,0,INDEX($BE$4:$BE$13,$AZ11)+$BA11-1)</f>
        <v/>
      </c>
      <c r="BC11" t="n">
        <v>10</v>
      </c>
      <c r="BD11">
        <f>COUNTIF($AZ$5:$AZ$41,8)</f>
        <v/>
      </c>
      <c r="BE11">
        <f>IF($BD10=0,$BE10,$BF10+1)</f>
        <v/>
      </c>
      <c r="BF11">
        <f>IF($BD11=0,0,$BE11+$BD11)</f>
        <v/>
      </c>
      <c r="BH11">
        <f>IFERROR(MATCH(11,$BF$4:$BF$13,0),0)</f>
        <v/>
      </c>
      <c r="BI11">
        <f>IF(11=$BG$5,1,0)</f>
        <v/>
      </c>
      <c r="BJ11">
        <f>IF(OR($BH11&gt;0,$BI11=1,$BL11=1),0,IFERROR(INDEX($BC$5:$BC$41,MATCH(11,$BB$5:$BB$41,0)),0))</f>
        <v/>
      </c>
      <c r="BK11">
        <f>IF($BJ11&gt;0,IF(INDEX($AZ$5:$AZ$41,MATCH(11,$BB$5:$BB$41,0))=10,1,0),IF($BH11=10,1,0))</f>
        <v/>
      </c>
      <c r="BL11">
        <f>IF(11=$BG$4,1,0)</f>
        <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
      </c>
    </row>
    <row r="12" ht="15" customHeight="1" s="137">
      <c r="A12" s="67">
        <f>IF($BJ11&gt;0,INDEX($BA$5:$BA$41,MATCH(11,$BB$5:$BB$41,0)),IF(OR($BI11=1,$BL11=1,$BH11&gt;0),"∑",""))</f>
        <v/>
      </c>
      <c r="B12" s="76">
        <f>IF($BJ11&gt;0,IF(INDEX('Final Calculation Sheet'!$F$4:$F$40,$BJ11-3)="","",INDEX('Final Calculation Sheet'!$F$4:$F$40,$BJ11-3)),"")</f>
        <v/>
      </c>
      <c r="C12" s="76">
        <f>IF($BJ11&gt;0,IF(INDEX('Final Calculation Sheet'!$G$4:$G$40,$BJ11-3)="","",INDEX('Final Calculation Sheet'!$G$4:$G$40,$BJ11-3)),IF(OR($BI11=1,$BL11=1,$BH11&gt;0),IF($BI11=1,37,IF($BL11=1,37-INDEX($BD$4:$BD$13,10),INDEX($BD$4:$BD$13,$BH11)))&amp;" lot(s)",""))</f>
        <v/>
      </c>
      <c r="D12" s="80">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12" s="80">
        <f>IF($BJ11&gt;0,IF(INDEX('Final Calculation Sheet'!$D$4:$D$40,$BJ11-3)="","",INDEX('Final Calculation Sheet'!$D$4:$D$40,$BJ11-3)),IF(OR($BI11=1,$BL11=1,$BH11&gt;0),"–",""))</f>
        <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12" s="80">
        <f>IF($BJ11&gt;0,IF(INDEX('Final Calculation Sheet'!$E$4:$E$40,$BJ11-3)="","",INDEX('Final Calculation Sheet'!$E$4:$E$40,$BJ11-3)),IF(OR($BI11=1,$BL11=1,$BH11&gt;0),"–",""))</f>
        <v/>
      </c>
      <c r="H12" s="70">
        <f>IF($BJ11&gt;0,IF(INDEX('Final Calculation Sheet'!$C$4:$C$40,$BJ11-3)="","",INDEX('Final Calculation Sheet'!$C$4:$C$40,$BJ11-3)),IF(OR($BI11=1,$BL11=1,$BH11&gt;0),"–",""))</f>
        <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12" s="72">
        <f>IF($BJ11&gt;0,IF(INDEX('Final Calculation Sheet'!$Q$4:$Q$40,$BJ11-3)="","",INDEX('Final Calculation Sheet'!$Q$4:$Q$40,$BJ11-3)),IF(OR($BI11=1,$BL11=1,$BH11&gt;0),"–",""))</f>
        <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12" s="70">
        <f>IF($BJ11&gt;0,IF(INDEX('Final Calculation Sheet'!$V$4:$V$40,$BJ11-3)="","",INDEX('Final Calculation Sheet'!$V$4:$V$40,$BJ11-3)),IF(OR($BI11=1,$BL11=1,$BH11&gt;0),"–",""))</f>
        <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12" s="70">
        <f>IF($BJ11&gt;0,IF(INDEX('Final Calculation Sheet'!$Y$4:$Y$40,$BJ11-3)="","",INDEX('Final Calculation Sheet'!$Y$4:$Y$40,$BJ11-3)),IF(OR($BI11=1,$BL11=1,$BH11&gt;0),"–",""))</f>
        <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12" s="70">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f>IF($B$3="",IF(ROW()=5,"— type above —",""),IF(ROW()-4&gt;AL$41,"",INDEX('Final Calculation Sheet'!$F$4:$F$40,MATCH(ROW()-4,$AL$5:$AL$41,0))&amp;" — "&amp;INDEX('Final Calculation Sheet'!$G$4:$G$40,MATCH(ROW()-4,$AL$5:$AL$41,0))))</f>
        <v/>
      </c>
      <c r="AK12">
        <f>IF($F$3="Lot No.",'Final Calculation Sheet'!$F$11,IF($F$3="Buyer",'Final Calculation Sheet'!$G$11,IF($F$3="Lot Name",'Final Calculation Sheet'!$B$11,IF($F$3="Bid Sheet",'Final Calculation Sheet'!$D$11,IF($F$3="Unit",'Final Calculation Sheet'!$E$11,'Final Calculation Sheet'!$F$11&amp;" "&amp;'Final Calculation Sheet'!$G$11&amp;" "&amp;'Final Calculation Sheet'!$B$11)))))</f>
        <v/>
      </c>
      <c r="AL12">
        <f>AL11+IF($B$3="",0,--(SUMPRODUCT(--($AR$6:$AY$6&lt;&gt;""),--ISNUMBER(SEARCH($AR$6:$AY$6,$AK12)))&gt;0))</f>
        <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
      </c>
      <c r="BA12">
        <f>SUMPRODUCT(($AZ$5:$AZ$41=$AZ12)*($BC$5:$BC$41&lt;$BC12))+1</f>
        <v/>
      </c>
      <c r="BB12">
        <f>IF(INDEX($BF$4:$BF$13,$AZ12)=0,0,INDEX($BE$4:$BE$13,$AZ12)+$BA12-1)</f>
        <v/>
      </c>
      <c r="BC12" t="n">
        <v>11</v>
      </c>
      <c r="BD12">
        <f>COUNTIF($AZ$5:$AZ$41,9)</f>
        <v/>
      </c>
      <c r="BE12">
        <f>IF($BD11=0,$BE11,$BF11+1)</f>
        <v/>
      </c>
      <c r="BF12">
        <f>IF($BD12=0,0,$BE12+$BD12)</f>
        <v/>
      </c>
      <c r="BH12">
        <f>IFERROR(MATCH(12,$BF$4:$BF$13,0),0)</f>
        <v/>
      </c>
      <c r="BI12">
        <f>IF(12=$BG$5,1,0)</f>
        <v/>
      </c>
      <c r="BJ12">
        <f>IF(OR($BH12&gt;0,$BI12=1,$BL12=1),0,IFERROR(INDEX($BC$5:$BC$41,MATCH(12,$BB$5:$BB$41,0)),0))</f>
        <v/>
      </c>
      <c r="BK12">
        <f>IF($BJ12&gt;0,IF(INDEX($AZ$5:$AZ$41,MATCH(12,$BB$5:$BB$41,0))=10,1,0),IF($BH12=10,1,0))</f>
        <v/>
      </c>
      <c r="BL12">
        <f>IF(12=$BG$4,1,0)</f>
        <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
      </c>
    </row>
    <row r="13" ht="15" customHeight="1" s="137">
      <c r="A13" s="67">
        <f>IF($BJ12&gt;0,INDEX($BA$5:$BA$41,MATCH(12,$BB$5:$BB$41,0)),IF(OR($BI12=1,$BL12=1,$BH12&gt;0),"∑",""))</f>
        <v/>
      </c>
      <c r="B13" s="76">
        <f>IF($BJ12&gt;0,IF(INDEX('Final Calculation Sheet'!$F$4:$F$40,$BJ12-3)="","",INDEX('Final Calculation Sheet'!$F$4:$F$40,$BJ12-3)),"")</f>
        <v/>
      </c>
      <c r="C13" s="76">
        <f>IF($BJ12&gt;0,IF(INDEX('Final Calculation Sheet'!$G$4:$G$40,$BJ12-3)="","",INDEX('Final Calculation Sheet'!$G$4:$G$40,$BJ12-3)),IF(OR($BI12=1,$BL12=1,$BH12&gt;0),IF($BI12=1,37,IF($BL12=1,37-INDEX($BD$4:$BD$13,10),INDEX($BD$4:$BD$13,$BH12)))&amp;" lot(s)",""))</f>
        <v/>
      </c>
      <c r="D13" s="80">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13" s="80">
        <f>IF($BJ12&gt;0,IF(INDEX('Final Calculation Sheet'!$D$4:$D$40,$BJ12-3)="","",INDEX('Final Calculation Sheet'!$D$4:$D$40,$BJ12-3)),IF(OR($BI12=1,$BL12=1,$BH12&gt;0),"–",""))</f>
        <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13" s="80">
        <f>IF($BJ12&gt;0,IF(INDEX('Final Calculation Sheet'!$E$4:$E$40,$BJ12-3)="","",INDEX('Final Calculation Sheet'!$E$4:$E$40,$BJ12-3)),IF(OR($BI12=1,$BL12=1,$BH12&gt;0),"–",""))</f>
        <v/>
      </c>
      <c r="H13" s="70">
        <f>IF($BJ12&gt;0,IF(INDEX('Final Calculation Sheet'!$C$4:$C$40,$BJ12-3)="","",INDEX('Final Calculation Sheet'!$C$4:$C$40,$BJ12-3)),IF(OR($BI12=1,$BL12=1,$BH12&gt;0),"–",""))</f>
        <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13" s="72">
        <f>IF($BJ12&gt;0,IF(INDEX('Final Calculation Sheet'!$Q$4:$Q$40,$BJ12-3)="","",INDEX('Final Calculation Sheet'!$Q$4:$Q$40,$BJ12-3)),IF(OR($BI12=1,$BL12=1,$BH12&gt;0),"–",""))</f>
        <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13" s="70">
        <f>IF($BJ12&gt;0,IF(INDEX('Final Calculation Sheet'!$V$4:$V$40,$BJ12-3)="","",INDEX('Final Calculation Sheet'!$V$4:$V$40,$BJ12-3)),IF(OR($BI12=1,$BL12=1,$BH12&gt;0),"–",""))</f>
        <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13" s="70">
        <f>IF($BJ12&gt;0,IF(INDEX('Final Calculation Sheet'!$Y$4:$Y$40,$BJ12-3)="","",INDEX('Final Calculation Sheet'!$Y$4:$Y$40,$BJ12-3)),IF(OR($BI12=1,$BL12=1,$BH12&gt;0),"–",""))</f>
        <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13" s="70">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f>IF($F$3="Lot No.",'Final Calculation Sheet'!$F$12,IF($F$3="Buyer",'Final Calculation Sheet'!$G$12,IF($F$3="Lot Name",'Final Calculation Sheet'!$B$12,IF($F$3="Bid Sheet",'Final Calculation Sheet'!$D$12,IF($F$3="Unit",'Final Calculation Sheet'!$E$12,'Final Calculation Sheet'!$F$12&amp;" "&amp;'Final Calculation Sheet'!$G$12&amp;" "&amp;'Final Calculation Sheet'!$B$12)))))</f>
        <v/>
      </c>
      <c r="AL13">
        <f>AL12+IF($B$3="",0,--(SUMPRODUCT(--($AR$6:$AY$6&lt;&gt;""),--ISNUMBER(SEARCH($AR$6:$AY$6,$AK13)))&gt;0))</f>
        <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
      </c>
      <c r="BA13">
        <f>SUMPRODUCT(($AZ$5:$AZ$41=$AZ13)*($BC$5:$BC$41&lt;$BC13))+1</f>
        <v/>
      </c>
      <c r="BB13">
        <f>IF(INDEX($BF$4:$BF$13,$AZ13)=0,0,INDEX($BE$4:$BE$13,$AZ13)+$BA13-1)</f>
        <v/>
      </c>
      <c r="BC13" t="n">
        <v>12</v>
      </c>
      <c r="BD13">
        <f>COUNTIF($AZ$5:$AZ$41,10)</f>
        <v/>
      </c>
      <c r="BE13">
        <f>$BG$4+1</f>
        <v/>
      </c>
      <c r="BF13">
        <f>IF($BD13=0,0,$BE13+$BD13)</f>
        <v/>
      </c>
      <c r="BH13">
        <f>IFERROR(MATCH(13,$BF$4:$BF$13,0),0)</f>
        <v/>
      </c>
      <c r="BI13">
        <f>IF(13=$BG$5,1,0)</f>
        <v/>
      </c>
      <c r="BJ13">
        <f>IF(OR($BH13&gt;0,$BI13=1,$BL13=1),0,IFERROR(INDEX($BC$5:$BC$41,MATCH(13,$BB$5:$BB$41,0)),0))</f>
        <v/>
      </c>
      <c r="BK13">
        <f>IF($BJ13&gt;0,IF(INDEX($AZ$5:$AZ$41,MATCH(13,$BB$5:$BB$41,0))=10,1,0),IF($BH13=10,1,0))</f>
        <v/>
      </c>
      <c r="BL13">
        <f>IF(13=$BG$4,1,0)</f>
        <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
      </c>
    </row>
    <row r="14" ht="15" customHeight="1" s="137">
      <c r="A14" s="67">
        <f>IF($BJ13&gt;0,INDEX($BA$5:$BA$41,MATCH(13,$BB$5:$BB$41,0)),IF(OR($BI13=1,$BL13=1,$BH13&gt;0),"∑",""))</f>
        <v/>
      </c>
      <c r="B14" s="76">
        <f>IF($BJ13&gt;0,IF(INDEX('Final Calculation Sheet'!$F$4:$F$40,$BJ13-3)="","",INDEX('Final Calculation Sheet'!$F$4:$F$40,$BJ13-3)),"")</f>
        <v/>
      </c>
      <c r="C14" s="76">
        <f>IF($BJ13&gt;0,IF(INDEX('Final Calculation Sheet'!$G$4:$G$40,$BJ13-3)="","",INDEX('Final Calculation Sheet'!$G$4:$G$40,$BJ13-3)),IF(OR($BI13=1,$BL13=1,$BH13&gt;0),IF($BI13=1,37,IF($BL13=1,37-INDEX($BD$4:$BD$13,10),INDEX($BD$4:$BD$13,$BH13)))&amp;" lot(s)",""))</f>
        <v/>
      </c>
      <c r="D14" s="8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4" s="80">
        <f>IF($BJ13&gt;0,IF(INDEX('Final Calculation Sheet'!$D$4:$D$40,$BJ13-3)="","",INDEX('Final Calculation Sheet'!$D$4:$D$40,$BJ13-3)),IF(OR($BI13=1,$BL13=1,$BH13&gt;0),"–",""))</f>
        <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4" s="80">
        <f>IF($BJ13&gt;0,IF(INDEX('Final Calculation Sheet'!$E$4:$E$40,$BJ13-3)="","",INDEX('Final Calculation Sheet'!$E$4:$E$40,$BJ13-3)),IF(OR($BI13=1,$BL13=1,$BH13&gt;0),"–",""))</f>
        <v/>
      </c>
      <c r="H14" s="70">
        <f>IF($BJ13&gt;0,IF(INDEX('Final Calculation Sheet'!$C$4:$C$40,$BJ13-3)="","",INDEX('Final Calculation Sheet'!$C$4:$C$40,$BJ13-3)),IF(OR($BI13=1,$BL13=1,$BH13&gt;0),"–",""))</f>
        <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4" s="72">
        <f>IF($BJ13&gt;0,IF(INDEX('Final Calculation Sheet'!$Q$4:$Q$40,$BJ13-3)="","",INDEX('Final Calculation Sheet'!$Q$4:$Q$40,$BJ13-3)),IF(OR($BI13=1,$BL13=1,$BH13&gt;0),"–",""))</f>
        <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4" s="70">
        <f>IF($BJ13&gt;0,IF(INDEX('Final Calculation Sheet'!$V$4:$V$40,$BJ13-3)="","",INDEX('Final Calculation Sheet'!$V$4:$V$40,$BJ13-3)),IF(OR($BI13=1,$BL13=1,$BH13&gt;0),"–",""))</f>
        <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4" s="70">
        <f>IF($BJ13&gt;0,IF(INDEX('Final Calculation Sheet'!$Y$4:$Y$40,$BJ13-3)="","",INDEX('Final Calculation Sheet'!$Y$4:$Y$40,$BJ13-3)),IF(OR($BI13=1,$BL13=1,$BH13&gt;0),"–",""))</f>
        <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4" s="7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f>IF($F$3="Lot No.",'Final Calculation Sheet'!$F$13,IF($F$3="Buyer",'Final Calculation Sheet'!$G$13,IF($F$3="Lot Name",'Final Calculation Sheet'!$B$13,IF($F$3="Bid Sheet",'Final Calculation Sheet'!$D$13,IF($F$3="Unit",'Final Calculation Sheet'!$E$13,'Final Calculation Sheet'!$F$13&amp;" "&amp;'Final Calculation Sheet'!$G$13&amp;" "&amp;'Final Calculation Sheet'!$B$13)))))</f>
        <v/>
      </c>
      <c r="AL14">
        <f>AL13+IF($B$3="",0,--(SUMPRODUCT(--($AR$6:$AY$6&lt;&gt;""),--ISNUMBER(SEARCH($AR$6:$AY$6,$AK14)))&gt;0))</f>
        <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
      </c>
      <c r="BA14">
        <f>SUMPRODUCT(($AZ$5:$AZ$41=$AZ14)*($BC$5:$BC$41&lt;$BC14))+1</f>
        <v/>
      </c>
      <c r="BB14">
        <f>IF(INDEX($BF$4:$BF$13,$AZ14)=0,0,INDEX($BE$4:$BE$13,$AZ14)+$BA14-1)</f>
        <v/>
      </c>
      <c r="BC14" t="n">
        <v>13</v>
      </c>
      <c r="BH14">
        <f>IFERROR(MATCH(14,$BF$4:$BF$13,0),0)</f>
        <v/>
      </c>
      <c r="BI14">
        <f>IF(14=$BG$5,1,0)</f>
        <v/>
      </c>
      <c r="BJ14">
        <f>IF(OR($BH14&gt;0,$BI14=1,$BL14=1),0,IFERROR(INDEX($BC$5:$BC$41,MATCH(14,$BB$5:$BB$41,0)),0))</f>
        <v/>
      </c>
      <c r="BK14">
        <f>IF($BJ14&gt;0,IF(INDEX($AZ$5:$AZ$41,MATCH(14,$BB$5:$BB$41,0))=10,1,0),IF($BH14=10,1,0))</f>
        <v/>
      </c>
      <c r="BL14">
        <f>IF(14=$BG$4,1,0)</f>
        <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
      </c>
    </row>
    <row r="15" ht="15" customHeight="1" s="137">
      <c r="A15" s="67">
        <f>IF($BJ14&gt;0,INDEX($BA$5:$BA$41,MATCH(14,$BB$5:$BB$41,0)),IF(OR($BI14=1,$BL14=1,$BH14&gt;0),"∑",""))</f>
        <v/>
      </c>
      <c r="B15" s="76">
        <f>IF($BJ14&gt;0,IF(INDEX('Final Calculation Sheet'!$F$4:$F$40,$BJ14-3)="","",INDEX('Final Calculation Sheet'!$F$4:$F$40,$BJ14-3)),"")</f>
        <v/>
      </c>
      <c r="C15" s="76">
        <f>IF($BJ14&gt;0,IF(INDEX('Final Calculation Sheet'!$G$4:$G$40,$BJ14-3)="","",INDEX('Final Calculation Sheet'!$G$4:$G$40,$BJ14-3)),IF(OR($BI14=1,$BL14=1,$BH14&gt;0),IF($BI14=1,37,IF($BL14=1,37-INDEX($BD$4:$BD$13,10),INDEX($BD$4:$BD$13,$BH14)))&amp;" lot(s)",""))</f>
        <v/>
      </c>
      <c r="D15" s="80">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5" s="80">
        <f>IF($BJ14&gt;0,IF(INDEX('Final Calculation Sheet'!$D$4:$D$40,$BJ14-3)="","",INDEX('Final Calculation Sheet'!$D$4:$D$40,$BJ14-3)),IF(OR($BI14=1,$BL14=1,$BH14&gt;0),"–",""))</f>
        <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5" s="80">
        <f>IF($BJ14&gt;0,IF(INDEX('Final Calculation Sheet'!$E$4:$E$40,$BJ14-3)="","",INDEX('Final Calculation Sheet'!$E$4:$E$40,$BJ14-3)),IF(OR($BI14=1,$BL14=1,$BH14&gt;0),"–",""))</f>
        <v/>
      </c>
      <c r="H15" s="70">
        <f>IF($BJ14&gt;0,IF(INDEX('Final Calculation Sheet'!$C$4:$C$40,$BJ14-3)="","",INDEX('Final Calculation Sheet'!$C$4:$C$40,$BJ14-3)),IF(OR($BI14=1,$BL14=1,$BH14&gt;0),"–",""))</f>
        <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5" s="72">
        <f>IF($BJ14&gt;0,IF(INDEX('Final Calculation Sheet'!$Q$4:$Q$40,$BJ14-3)="","",INDEX('Final Calculation Sheet'!$Q$4:$Q$40,$BJ14-3)),IF(OR($BI14=1,$BL14=1,$BH14&gt;0),"–",""))</f>
        <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5" s="70">
        <f>IF($BJ14&gt;0,IF(INDEX('Final Calculation Sheet'!$V$4:$V$40,$BJ14-3)="","",INDEX('Final Calculation Sheet'!$V$4:$V$40,$BJ14-3)),IF(OR($BI14=1,$BL14=1,$BH14&gt;0),"–",""))</f>
        <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5" s="70">
        <f>IF($BJ14&gt;0,IF(INDEX('Final Calculation Sheet'!$Y$4:$Y$40,$BJ14-3)="","",INDEX('Final Calculation Sheet'!$Y$4:$Y$40,$BJ14-3)),IF(OR($BI14=1,$BL14=1,$BH14&gt;0),"–",""))</f>
        <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5" s="70">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f>IF($F$3="Lot No.",'Final Calculation Sheet'!$F$14,IF($F$3="Buyer",'Final Calculation Sheet'!$G$14,IF($F$3="Lot Name",'Final Calculation Sheet'!$B$14,IF($F$3="Bid Sheet",'Final Calculation Sheet'!$D$14,IF($F$3="Unit",'Final Calculation Sheet'!$E$14,'Final Calculation Sheet'!$F$14&amp;" "&amp;'Final Calculation Sheet'!$G$14&amp;" "&amp;'Final Calculation Sheet'!$B$14)))))</f>
        <v/>
      </c>
      <c r="AL15">
        <f>AL14+IF($B$3="",0,--(SUMPRODUCT(--($AR$6:$AY$6&lt;&gt;""),--ISNUMBER(SEARCH($AR$6:$AY$6,$AK15)))&gt;0))</f>
        <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
      </c>
      <c r="BA15">
        <f>SUMPRODUCT(($AZ$5:$AZ$41=$AZ15)*($BC$5:$BC$41&lt;$BC15))+1</f>
        <v/>
      </c>
      <c r="BB15">
        <f>IF(INDEX($BF$4:$BF$13,$AZ15)=0,0,INDEX($BE$4:$BE$13,$AZ15)+$BA15-1)</f>
        <v/>
      </c>
      <c r="BC15" t="n">
        <v>14</v>
      </c>
      <c r="BH15">
        <f>IFERROR(MATCH(15,$BF$4:$BF$13,0),0)</f>
        <v/>
      </c>
      <c r="BI15">
        <f>IF(15=$BG$5,1,0)</f>
        <v/>
      </c>
      <c r="BJ15">
        <f>IF(OR($BH15&gt;0,$BI15=1,$BL15=1),0,IFERROR(INDEX($BC$5:$BC$41,MATCH(15,$BB$5:$BB$41,0)),0))</f>
        <v/>
      </c>
      <c r="BK15">
        <f>IF($BJ15&gt;0,IF(INDEX($AZ$5:$AZ$41,MATCH(15,$BB$5:$BB$41,0))=10,1,0),IF($BH15=10,1,0))</f>
        <v/>
      </c>
      <c r="BL15">
        <f>IF(15=$BG$4,1,0)</f>
        <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
      </c>
    </row>
    <row r="16" ht="15" customHeight="1" s="137">
      <c r="A16" s="67">
        <f>IF($BJ15&gt;0,INDEX($BA$5:$BA$41,MATCH(15,$BB$5:$BB$41,0)),IF(OR($BI15=1,$BL15=1,$BH15&gt;0),"∑",""))</f>
        <v/>
      </c>
      <c r="B16" s="76">
        <f>IF($BJ15&gt;0,IF(INDEX('Final Calculation Sheet'!$F$4:$F$40,$BJ15-3)="","",INDEX('Final Calculation Sheet'!$F$4:$F$40,$BJ15-3)),"")</f>
        <v/>
      </c>
      <c r="C16" s="76">
        <f>IF($BJ15&gt;0,IF(INDEX('Final Calculation Sheet'!$G$4:$G$40,$BJ15-3)="","",INDEX('Final Calculation Sheet'!$G$4:$G$40,$BJ15-3)),IF(OR($BI15=1,$BL15=1,$BH15&gt;0),IF($BI15=1,37,IF($BL15=1,37-INDEX($BD$4:$BD$13,10),INDEX($BD$4:$BD$13,$BH15)))&amp;" lot(s)",""))</f>
        <v/>
      </c>
      <c r="D16" s="80">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6" s="80">
        <f>IF($BJ15&gt;0,IF(INDEX('Final Calculation Sheet'!$D$4:$D$40,$BJ15-3)="","",INDEX('Final Calculation Sheet'!$D$4:$D$40,$BJ15-3)),IF(OR($BI15=1,$BL15=1,$BH15&gt;0),"–",""))</f>
        <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6" s="80">
        <f>IF($BJ15&gt;0,IF(INDEX('Final Calculation Sheet'!$E$4:$E$40,$BJ15-3)="","",INDEX('Final Calculation Sheet'!$E$4:$E$40,$BJ15-3)),IF(OR($BI15=1,$BL15=1,$BH15&gt;0),"–",""))</f>
        <v/>
      </c>
      <c r="H16" s="70">
        <f>IF($BJ15&gt;0,IF(INDEX('Final Calculation Sheet'!$C$4:$C$40,$BJ15-3)="","",INDEX('Final Calculation Sheet'!$C$4:$C$40,$BJ15-3)),IF(OR($BI15=1,$BL15=1,$BH15&gt;0),"–",""))</f>
        <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6" s="72">
        <f>IF($BJ15&gt;0,IF(INDEX('Final Calculation Sheet'!$Q$4:$Q$40,$BJ15-3)="","",INDEX('Final Calculation Sheet'!$Q$4:$Q$40,$BJ15-3)),IF(OR($BI15=1,$BL15=1,$BH15&gt;0),"–",""))</f>
        <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6" s="70">
        <f>IF($BJ15&gt;0,IF(INDEX('Final Calculation Sheet'!$V$4:$V$40,$BJ15-3)="","",INDEX('Final Calculation Sheet'!$V$4:$V$40,$BJ15-3)),IF(OR($BI15=1,$BL15=1,$BH15&gt;0),"–",""))</f>
        <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6" s="70">
        <f>IF($BJ15&gt;0,IF(INDEX('Final Calculation Sheet'!$Y$4:$Y$40,$BJ15-3)="","",INDEX('Final Calculation Sheet'!$Y$4:$Y$40,$BJ15-3)),IF(OR($BI15=1,$BL15=1,$BH15&gt;0),"–",""))</f>
        <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6" s="70">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f>IF($F$3="Lot No.",'Final Calculation Sheet'!$F$15,IF($F$3="Buyer",'Final Calculation Sheet'!$G$15,IF($F$3="Lot Name",'Final Calculation Sheet'!$B$15,IF($F$3="Bid Sheet",'Final Calculation Sheet'!$D$15,IF($F$3="Unit",'Final Calculation Sheet'!$E$15,'Final Calculation Sheet'!$F$15&amp;" "&amp;'Final Calculation Sheet'!$G$15&amp;" "&amp;'Final Calculation Sheet'!$B$15)))))</f>
        <v/>
      </c>
      <c r="AL16">
        <f>AL15+IF($B$3="",0,--(SUMPRODUCT(--($AR$6:$AY$6&lt;&gt;""),--ISNUMBER(SEARCH($AR$6:$AY$6,$AK16)))&gt;0))</f>
        <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
      </c>
      <c r="BA16">
        <f>SUMPRODUCT(($AZ$5:$AZ$41=$AZ16)*($BC$5:$BC$41&lt;$BC16))+1</f>
        <v/>
      </c>
      <c r="BB16">
        <f>IF(INDEX($BF$4:$BF$13,$AZ16)=0,0,INDEX($BE$4:$BE$13,$AZ16)+$BA16-1)</f>
        <v/>
      </c>
      <c r="BC16" t="n">
        <v>15</v>
      </c>
      <c r="BH16">
        <f>IFERROR(MATCH(16,$BF$4:$BF$13,0),0)</f>
        <v/>
      </c>
      <c r="BI16">
        <f>IF(16=$BG$5,1,0)</f>
        <v/>
      </c>
      <c r="BJ16">
        <f>IF(OR($BH16&gt;0,$BI16=1,$BL16=1),0,IFERROR(INDEX($BC$5:$BC$41,MATCH(16,$BB$5:$BB$41,0)),0))</f>
        <v/>
      </c>
      <c r="BK16">
        <f>IF($BJ16&gt;0,IF(INDEX($AZ$5:$AZ$41,MATCH(16,$BB$5:$BB$41,0))=10,1,0),IF($BH16=10,1,0))</f>
        <v/>
      </c>
      <c r="BL16">
        <f>IF(16=$BG$4,1,0)</f>
        <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
      </c>
    </row>
    <row r="17" ht="15" customHeight="1" s="137">
      <c r="A17" s="67">
        <f>IF($BJ16&gt;0,INDEX($BA$5:$BA$41,MATCH(16,$BB$5:$BB$41,0)),IF(OR($BI16=1,$BL16=1,$BH16&gt;0),"∑",""))</f>
        <v/>
      </c>
      <c r="B17" s="76">
        <f>IF($BJ16&gt;0,IF(INDEX('Final Calculation Sheet'!$F$4:$F$40,$BJ16-3)="","",INDEX('Final Calculation Sheet'!$F$4:$F$40,$BJ16-3)),"")</f>
        <v/>
      </c>
      <c r="C17" s="76">
        <f>IF($BJ16&gt;0,IF(INDEX('Final Calculation Sheet'!$G$4:$G$40,$BJ16-3)="","",INDEX('Final Calculation Sheet'!$G$4:$G$40,$BJ16-3)),IF(OR($BI16=1,$BL16=1,$BH16&gt;0),IF($BI16=1,37,IF($BL16=1,37-INDEX($BD$4:$BD$13,10),INDEX($BD$4:$BD$13,$BH16)))&amp;" lot(s)",""))</f>
        <v/>
      </c>
      <c r="D17" s="80">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7" s="80">
        <f>IF($BJ16&gt;0,IF(INDEX('Final Calculation Sheet'!$D$4:$D$40,$BJ16-3)="","",INDEX('Final Calculation Sheet'!$D$4:$D$40,$BJ16-3)),IF(OR($BI16=1,$BL16=1,$BH16&gt;0),"–",""))</f>
        <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7" s="80">
        <f>IF($BJ16&gt;0,IF(INDEX('Final Calculation Sheet'!$E$4:$E$40,$BJ16-3)="","",INDEX('Final Calculation Sheet'!$E$4:$E$40,$BJ16-3)),IF(OR($BI16=1,$BL16=1,$BH16&gt;0),"–",""))</f>
        <v/>
      </c>
      <c r="H17" s="70">
        <f>IF($BJ16&gt;0,IF(INDEX('Final Calculation Sheet'!$C$4:$C$40,$BJ16-3)="","",INDEX('Final Calculation Sheet'!$C$4:$C$40,$BJ16-3)),IF(OR($BI16=1,$BL16=1,$BH16&gt;0),"–",""))</f>
        <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7" s="72">
        <f>IF($BJ16&gt;0,IF(INDEX('Final Calculation Sheet'!$Q$4:$Q$40,$BJ16-3)="","",INDEX('Final Calculation Sheet'!$Q$4:$Q$40,$BJ16-3)),IF(OR($BI16=1,$BL16=1,$BH16&gt;0),"–",""))</f>
        <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7" s="70">
        <f>IF($BJ16&gt;0,IF(INDEX('Final Calculation Sheet'!$V$4:$V$40,$BJ16-3)="","",INDEX('Final Calculation Sheet'!$V$4:$V$40,$BJ16-3)),IF(OR($BI16=1,$BL16=1,$BH16&gt;0),"–",""))</f>
        <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7" s="70">
        <f>IF($BJ16&gt;0,IF(INDEX('Final Calculation Sheet'!$Y$4:$Y$40,$BJ16-3)="","",INDEX('Final Calculation Sheet'!$Y$4:$Y$40,$BJ16-3)),IF(OR($BI16=1,$BL16=1,$BH16&gt;0),"–",""))</f>
        <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7" s="70">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f>IF($F$3="Lot No.",'Final Calculation Sheet'!$F$16,IF($F$3="Buyer",'Final Calculation Sheet'!$G$16,IF($F$3="Lot Name",'Final Calculation Sheet'!$B$16,IF($F$3="Bid Sheet",'Final Calculation Sheet'!$D$16,IF($F$3="Unit",'Final Calculation Sheet'!$E$16,'Final Calculation Sheet'!$F$16&amp;" "&amp;'Final Calculation Sheet'!$G$16&amp;" "&amp;'Final Calculation Sheet'!$B$16)))))</f>
        <v/>
      </c>
      <c r="AL17">
        <f>AL16+IF($B$3="",0,--(SUMPRODUCT(--($AR$6:$AY$6&lt;&gt;""),--ISNUMBER(SEARCH($AR$6:$AY$6,$AK17)))&gt;0))</f>
        <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
      </c>
      <c r="BA17">
        <f>SUMPRODUCT(($AZ$5:$AZ$41=$AZ17)*($BC$5:$BC$41&lt;$BC17))+1</f>
        <v/>
      </c>
      <c r="BB17">
        <f>IF(INDEX($BF$4:$BF$13,$AZ17)=0,0,INDEX($BE$4:$BE$13,$AZ17)+$BA17-1)</f>
        <v/>
      </c>
      <c r="BC17" t="n">
        <v>16</v>
      </c>
      <c r="BH17">
        <f>IFERROR(MATCH(17,$BF$4:$BF$13,0),0)</f>
        <v/>
      </c>
      <c r="BI17">
        <f>IF(17=$BG$5,1,0)</f>
        <v/>
      </c>
      <c r="BJ17">
        <f>IF(OR($BH17&gt;0,$BI17=1,$BL17=1),0,IFERROR(INDEX($BC$5:$BC$41,MATCH(17,$BB$5:$BB$41,0)),0))</f>
        <v/>
      </c>
      <c r="BK17">
        <f>IF($BJ17&gt;0,IF(INDEX($AZ$5:$AZ$41,MATCH(17,$BB$5:$BB$41,0))=10,1,0),IF($BH17=10,1,0))</f>
        <v/>
      </c>
      <c r="BL17">
        <f>IF(17=$BG$4,1,0)</f>
        <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
      </c>
    </row>
    <row r="18" ht="15" customHeight="1" s="137">
      <c r="A18" s="67">
        <f>IF($BJ17&gt;0,INDEX($BA$5:$BA$41,MATCH(17,$BB$5:$BB$41,0)),IF(OR($BI17=1,$BL17=1,$BH17&gt;0),"∑",""))</f>
        <v/>
      </c>
      <c r="B18" s="76">
        <f>IF($BJ17&gt;0,IF(INDEX('Final Calculation Sheet'!$F$4:$F$40,$BJ17-3)="","",INDEX('Final Calculation Sheet'!$F$4:$F$40,$BJ17-3)),"")</f>
        <v/>
      </c>
      <c r="C18" s="76">
        <f>IF($BJ17&gt;0,IF(INDEX('Final Calculation Sheet'!$G$4:$G$40,$BJ17-3)="","",INDEX('Final Calculation Sheet'!$G$4:$G$40,$BJ17-3)),IF(OR($BI17=1,$BL17=1,$BH17&gt;0),IF($BI17=1,37,IF($BL17=1,37-INDEX($BD$4:$BD$13,10),INDEX($BD$4:$BD$13,$BH17)))&amp;" lot(s)",""))</f>
        <v/>
      </c>
      <c r="D18" s="80">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8" s="80">
        <f>IF($BJ17&gt;0,IF(INDEX('Final Calculation Sheet'!$D$4:$D$40,$BJ17-3)="","",INDEX('Final Calculation Sheet'!$D$4:$D$40,$BJ17-3)),IF(OR($BI17=1,$BL17=1,$BH17&gt;0),"–",""))</f>
        <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8" s="80">
        <f>IF($BJ17&gt;0,IF(INDEX('Final Calculation Sheet'!$E$4:$E$40,$BJ17-3)="","",INDEX('Final Calculation Sheet'!$E$4:$E$40,$BJ17-3)),IF(OR($BI17=1,$BL17=1,$BH17&gt;0),"–",""))</f>
        <v/>
      </c>
      <c r="H18" s="70">
        <f>IF($BJ17&gt;0,IF(INDEX('Final Calculation Sheet'!$C$4:$C$40,$BJ17-3)="","",INDEX('Final Calculation Sheet'!$C$4:$C$40,$BJ17-3)),IF(OR($BI17=1,$BL17=1,$BH17&gt;0),"–",""))</f>
        <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8" s="72">
        <f>IF($BJ17&gt;0,IF(INDEX('Final Calculation Sheet'!$Q$4:$Q$40,$BJ17-3)="","",INDEX('Final Calculation Sheet'!$Q$4:$Q$40,$BJ17-3)),IF(OR($BI17=1,$BL17=1,$BH17&gt;0),"–",""))</f>
        <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8" s="70">
        <f>IF($BJ17&gt;0,IF(INDEX('Final Calculation Sheet'!$V$4:$V$40,$BJ17-3)="","",INDEX('Final Calculation Sheet'!$V$4:$V$40,$BJ17-3)),IF(OR($BI17=1,$BL17=1,$BH17&gt;0),"–",""))</f>
        <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8" s="70">
        <f>IF($BJ17&gt;0,IF(INDEX('Final Calculation Sheet'!$Y$4:$Y$40,$BJ17-3)="","",INDEX('Final Calculation Sheet'!$Y$4:$Y$40,$BJ17-3)),IF(OR($BI17=1,$BL17=1,$BH17&gt;0),"–",""))</f>
        <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8" s="70">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f>IF($F$3="Lot No.",'Final Calculation Sheet'!$F$17,IF($F$3="Buyer",'Final Calculation Sheet'!$G$17,IF($F$3="Lot Name",'Final Calculation Sheet'!$B$17,IF($F$3="Bid Sheet",'Final Calculation Sheet'!$D$17,IF($F$3="Unit",'Final Calculation Sheet'!$E$17,'Final Calculation Sheet'!$F$17&amp;" "&amp;'Final Calculation Sheet'!$G$17&amp;" "&amp;'Final Calculation Sheet'!$B$17)))))</f>
        <v/>
      </c>
      <c r="AL18">
        <f>AL17+IF($B$3="",0,--(SUMPRODUCT(--($AR$6:$AY$6&lt;&gt;""),--ISNUMBER(SEARCH($AR$6:$AY$6,$AK18)))&gt;0))</f>
        <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
      </c>
      <c r="BA18">
        <f>SUMPRODUCT(($AZ$5:$AZ$41=$AZ18)*($BC$5:$BC$41&lt;$BC18))+1</f>
        <v/>
      </c>
      <c r="BB18">
        <f>IF(INDEX($BF$4:$BF$13,$AZ18)=0,0,INDEX($BE$4:$BE$13,$AZ18)+$BA18-1)</f>
        <v/>
      </c>
      <c r="BC18" t="n">
        <v>17</v>
      </c>
      <c r="BH18">
        <f>IFERROR(MATCH(18,$BF$4:$BF$13,0),0)</f>
        <v/>
      </c>
      <c r="BI18">
        <f>IF(18=$BG$5,1,0)</f>
        <v/>
      </c>
      <c r="BJ18">
        <f>IF(OR($BH18&gt;0,$BI18=1,$BL18=1),0,IFERROR(INDEX($BC$5:$BC$41,MATCH(18,$BB$5:$BB$41,0)),0))</f>
        <v/>
      </c>
      <c r="BK18">
        <f>IF($BJ18&gt;0,IF(INDEX($AZ$5:$AZ$41,MATCH(18,$BB$5:$BB$41,0))=10,1,0),IF($BH18=10,1,0))</f>
        <v/>
      </c>
      <c r="BL18">
        <f>IF(18=$BG$4,1,0)</f>
        <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
      </c>
    </row>
    <row r="19" ht="15" customHeight="1" s="137">
      <c r="A19" s="67">
        <f>IF($BJ18&gt;0,INDEX($BA$5:$BA$41,MATCH(18,$BB$5:$BB$41,0)),IF(OR($BI18=1,$BL18=1,$BH18&gt;0),"∑",""))</f>
        <v/>
      </c>
      <c r="B19" s="76">
        <f>IF($BJ18&gt;0,IF(INDEX('Final Calculation Sheet'!$F$4:$F$40,$BJ18-3)="","",INDEX('Final Calculation Sheet'!$F$4:$F$40,$BJ18-3)),"")</f>
        <v/>
      </c>
      <c r="C19" s="76">
        <f>IF($BJ18&gt;0,IF(INDEX('Final Calculation Sheet'!$G$4:$G$40,$BJ18-3)="","",INDEX('Final Calculation Sheet'!$G$4:$G$40,$BJ18-3)),IF(OR($BI18=1,$BL18=1,$BH18&gt;0),IF($BI18=1,37,IF($BL18=1,37-INDEX($BD$4:$BD$13,10),INDEX($BD$4:$BD$13,$BH18)))&amp;" lot(s)",""))</f>
        <v/>
      </c>
      <c r="D19" s="80">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9" s="80">
        <f>IF($BJ18&gt;0,IF(INDEX('Final Calculation Sheet'!$D$4:$D$40,$BJ18-3)="","",INDEX('Final Calculation Sheet'!$D$4:$D$40,$BJ18-3)),IF(OR($BI18=1,$BL18=1,$BH18&gt;0),"–",""))</f>
        <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9" s="80">
        <f>IF($BJ18&gt;0,IF(INDEX('Final Calculation Sheet'!$E$4:$E$40,$BJ18-3)="","",INDEX('Final Calculation Sheet'!$E$4:$E$40,$BJ18-3)),IF(OR($BI18=1,$BL18=1,$BH18&gt;0),"–",""))</f>
        <v/>
      </c>
      <c r="H19" s="70">
        <f>IF($BJ18&gt;0,IF(INDEX('Final Calculation Sheet'!$C$4:$C$40,$BJ18-3)="","",INDEX('Final Calculation Sheet'!$C$4:$C$40,$BJ18-3)),IF(OR($BI18=1,$BL18=1,$BH18&gt;0),"–",""))</f>
        <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9" s="72">
        <f>IF($BJ18&gt;0,IF(INDEX('Final Calculation Sheet'!$Q$4:$Q$40,$BJ18-3)="","",INDEX('Final Calculation Sheet'!$Q$4:$Q$40,$BJ18-3)),IF(OR($BI18=1,$BL18=1,$BH18&gt;0),"–",""))</f>
        <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9" s="70">
        <f>IF($BJ18&gt;0,IF(INDEX('Final Calculation Sheet'!$V$4:$V$40,$BJ18-3)="","",INDEX('Final Calculation Sheet'!$V$4:$V$40,$BJ18-3)),IF(OR($BI18=1,$BL18=1,$BH18&gt;0),"–",""))</f>
        <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9" s="70">
        <f>IF($BJ18&gt;0,IF(INDEX('Final Calculation Sheet'!$Y$4:$Y$40,$BJ18-3)="","",INDEX('Final Calculation Sheet'!$Y$4:$Y$40,$BJ18-3)),IF(OR($BI18=1,$BL18=1,$BH18&gt;0),"–",""))</f>
        <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9" s="70">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f>IF($F$3="Lot No.",'Final Calculation Sheet'!$F$18,IF($F$3="Buyer",'Final Calculation Sheet'!$G$18,IF($F$3="Lot Name",'Final Calculation Sheet'!$B$18,IF($F$3="Bid Sheet",'Final Calculation Sheet'!$D$18,IF($F$3="Unit",'Final Calculation Sheet'!$E$18,'Final Calculation Sheet'!$F$18&amp;" "&amp;'Final Calculation Sheet'!$G$18&amp;" "&amp;'Final Calculation Sheet'!$B$18)))))</f>
        <v/>
      </c>
      <c r="AL19">
        <f>AL18+IF($B$3="",0,--(SUMPRODUCT(--($AR$6:$AY$6&lt;&gt;""),--ISNUMBER(SEARCH($AR$6:$AY$6,$AK19)))&gt;0))</f>
        <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
      </c>
      <c r="BA19">
        <f>SUMPRODUCT(($AZ$5:$AZ$41=$AZ19)*($BC$5:$BC$41&lt;$BC19))+1</f>
        <v/>
      </c>
      <c r="BB19">
        <f>IF(INDEX($BF$4:$BF$13,$AZ19)=0,0,INDEX($BE$4:$BE$13,$AZ19)+$BA19-1)</f>
        <v/>
      </c>
      <c r="BC19" t="n">
        <v>18</v>
      </c>
      <c r="BH19">
        <f>IFERROR(MATCH(19,$BF$4:$BF$13,0),0)</f>
        <v/>
      </c>
      <c r="BI19">
        <f>IF(19=$BG$5,1,0)</f>
        <v/>
      </c>
      <c r="BJ19">
        <f>IF(OR($BH19&gt;0,$BI19=1,$BL19=1),0,IFERROR(INDEX($BC$5:$BC$41,MATCH(19,$BB$5:$BB$41,0)),0))</f>
        <v/>
      </c>
      <c r="BK19">
        <f>IF($BJ19&gt;0,IF(INDEX($AZ$5:$AZ$41,MATCH(19,$BB$5:$BB$41,0))=10,1,0),IF($BH19=10,1,0))</f>
        <v/>
      </c>
      <c r="BL19">
        <f>IF(19=$BG$4,1,0)</f>
        <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
      </c>
    </row>
    <row r="20" ht="15" customHeight="1" s="137">
      <c r="A20" s="67">
        <f>IF($BJ19&gt;0,INDEX($BA$5:$BA$41,MATCH(19,$BB$5:$BB$41,0)),IF(OR($BI19=1,$BL19=1,$BH19&gt;0),"∑",""))</f>
        <v/>
      </c>
      <c r="B20" s="76">
        <f>IF($BJ19&gt;0,IF(INDEX('Final Calculation Sheet'!$F$4:$F$40,$BJ19-3)="","",INDEX('Final Calculation Sheet'!$F$4:$F$40,$BJ19-3)),"")</f>
        <v/>
      </c>
      <c r="C20" s="76">
        <f>IF($BJ19&gt;0,IF(INDEX('Final Calculation Sheet'!$G$4:$G$40,$BJ19-3)="","",INDEX('Final Calculation Sheet'!$G$4:$G$40,$BJ19-3)),IF(OR($BI19=1,$BL19=1,$BH19&gt;0),IF($BI19=1,37,IF($BL19=1,37-INDEX($BD$4:$BD$13,10),INDEX($BD$4:$BD$13,$BH19)))&amp;" lot(s)",""))</f>
        <v/>
      </c>
      <c r="D20" s="80">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20" s="80">
        <f>IF($BJ19&gt;0,IF(INDEX('Final Calculation Sheet'!$D$4:$D$40,$BJ19-3)="","",INDEX('Final Calculation Sheet'!$D$4:$D$40,$BJ19-3)),IF(OR($BI19=1,$BL19=1,$BH19&gt;0),"–",""))</f>
        <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20" s="80">
        <f>IF($BJ19&gt;0,IF(INDEX('Final Calculation Sheet'!$E$4:$E$40,$BJ19-3)="","",INDEX('Final Calculation Sheet'!$E$4:$E$40,$BJ19-3)),IF(OR($BI19=1,$BL19=1,$BH19&gt;0),"–",""))</f>
        <v/>
      </c>
      <c r="H20" s="70">
        <f>IF($BJ19&gt;0,IF(INDEX('Final Calculation Sheet'!$C$4:$C$40,$BJ19-3)="","",INDEX('Final Calculation Sheet'!$C$4:$C$40,$BJ19-3)),IF(OR($BI19=1,$BL19=1,$BH19&gt;0),"–",""))</f>
        <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20" s="72">
        <f>IF($BJ19&gt;0,IF(INDEX('Final Calculation Sheet'!$Q$4:$Q$40,$BJ19-3)="","",INDEX('Final Calculation Sheet'!$Q$4:$Q$40,$BJ19-3)),IF(OR($BI19=1,$BL19=1,$BH19&gt;0),"–",""))</f>
        <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20" s="70">
        <f>IF($BJ19&gt;0,IF(INDEX('Final Calculation Sheet'!$V$4:$V$40,$BJ19-3)="","",INDEX('Final Calculation Sheet'!$V$4:$V$40,$BJ19-3)),IF(OR($BI19=1,$BL19=1,$BH19&gt;0),"–",""))</f>
        <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20" s="70">
        <f>IF($BJ19&gt;0,IF(INDEX('Final Calculation Sheet'!$Y$4:$Y$40,$BJ19-3)="","",INDEX('Final Calculation Sheet'!$Y$4:$Y$40,$BJ19-3)),IF(OR($BI19=1,$BL19=1,$BH19&gt;0),"–",""))</f>
        <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20" s="70">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f>IF($F$3="Lot No.",'Final Calculation Sheet'!$F$19,IF($F$3="Buyer",'Final Calculation Sheet'!$G$19,IF($F$3="Lot Name",'Final Calculation Sheet'!$B$19,IF($F$3="Bid Sheet",'Final Calculation Sheet'!$D$19,IF($F$3="Unit",'Final Calculation Sheet'!$E$19,'Final Calculation Sheet'!$F$19&amp;" "&amp;'Final Calculation Sheet'!$G$19&amp;" "&amp;'Final Calculation Sheet'!$B$19)))))</f>
        <v/>
      </c>
      <c r="AL20">
        <f>AL19+IF($B$3="",0,--(SUMPRODUCT(--($AR$6:$AY$6&lt;&gt;""),--ISNUMBER(SEARCH($AR$6:$AY$6,$AK20)))&gt;0))</f>
        <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
      </c>
      <c r="BA20">
        <f>SUMPRODUCT(($AZ$5:$AZ$41=$AZ20)*($BC$5:$BC$41&lt;$BC20))+1</f>
        <v/>
      </c>
      <c r="BB20">
        <f>IF(INDEX($BF$4:$BF$13,$AZ20)=0,0,INDEX($BE$4:$BE$13,$AZ20)+$BA20-1)</f>
        <v/>
      </c>
      <c r="BC20" t="n">
        <v>19</v>
      </c>
      <c r="BH20">
        <f>IFERROR(MATCH(20,$BF$4:$BF$13,0),0)</f>
        <v/>
      </c>
      <c r="BI20">
        <f>IF(20=$BG$5,1,0)</f>
        <v/>
      </c>
      <c r="BJ20">
        <f>IF(OR($BH20&gt;0,$BI20=1,$BL20=1),0,IFERROR(INDEX($BC$5:$BC$41,MATCH(20,$BB$5:$BB$41,0)),0))</f>
        <v/>
      </c>
      <c r="BK20">
        <f>IF($BJ20&gt;0,IF(INDEX($AZ$5:$AZ$41,MATCH(20,$BB$5:$BB$41,0))=10,1,0),IF($BH20=10,1,0))</f>
        <v/>
      </c>
      <c r="BL20">
        <f>IF(20=$BG$4,1,0)</f>
        <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
      </c>
    </row>
    <row r="21" ht="15" customHeight="1" s="137">
      <c r="A21" s="67">
        <f>IF($BJ20&gt;0,INDEX($BA$5:$BA$41,MATCH(20,$BB$5:$BB$41,0)),IF(OR($BI20=1,$BL20=1,$BH20&gt;0),"∑",""))</f>
        <v/>
      </c>
      <c r="B21" s="76">
        <f>IF($BJ20&gt;0,IF(INDEX('Final Calculation Sheet'!$F$4:$F$40,$BJ20-3)="","",INDEX('Final Calculation Sheet'!$F$4:$F$40,$BJ20-3)),"")</f>
        <v/>
      </c>
      <c r="C21" s="76">
        <f>IF($BJ20&gt;0,IF(INDEX('Final Calculation Sheet'!$G$4:$G$40,$BJ20-3)="","",INDEX('Final Calculation Sheet'!$G$4:$G$40,$BJ20-3)),IF(OR($BI20=1,$BL20=1,$BH20&gt;0),IF($BI20=1,37,IF($BL20=1,37-INDEX($BD$4:$BD$13,10),INDEX($BD$4:$BD$13,$BH20)))&amp;" lot(s)",""))</f>
        <v/>
      </c>
      <c r="D21" s="80">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21" s="80">
        <f>IF($BJ20&gt;0,IF(INDEX('Final Calculation Sheet'!$D$4:$D$40,$BJ20-3)="","",INDEX('Final Calculation Sheet'!$D$4:$D$40,$BJ20-3)),IF(OR($BI20=1,$BL20=1,$BH20&gt;0),"–",""))</f>
        <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21" s="80">
        <f>IF($BJ20&gt;0,IF(INDEX('Final Calculation Sheet'!$E$4:$E$40,$BJ20-3)="","",INDEX('Final Calculation Sheet'!$E$4:$E$40,$BJ20-3)),IF(OR($BI20=1,$BL20=1,$BH20&gt;0),"–",""))</f>
        <v/>
      </c>
      <c r="H21" s="70">
        <f>IF($BJ20&gt;0,IF(INDEX('Final Calculation Sheet'!$C$4:$C$40,$BJ20-3)="","",INDEX('Final Calculation Sheet'!$C$4:$C$40,$BJ20-3)),IF(OR($BI20=1,$BL20=1,$BH20&gt;0),"–",""))</f>
        <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21" s="72">
        <f>IF($BJ20&gt;0,IF(INDEX('Final Calculation Sheet'!$Q$4:$Q$40,$BJ20-3)="","",INDEX('Final Calculation Sheet'!$Q$4:$Q$40,$BJ20-3)),IF(OR($BI20=1,$BL20=1,$BH20&gt;0),"–",""))</f>
        <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21" s="70">
        <f>IF($BJ20&gt;0,IF(INDEX('Final Calculation Sheet'!$V$4:$V$40,$BJ20-3)="","",INDEX('Final Calculation Sheet'!$V$4:$V$40,$BJ20-3)),IF(OR($BI20=1,$BL20=1,$BH20&gt;0),"–",""))</f>
        <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21" s="70">
        <f>IF($BJ20&gt;0,IF(INDEX('Final Calculation Sheet'!$Y$4:$Y$40,$BJ20-3)="","",INDEX('Final Calculation Sheet'!$Y$4:$Y$40,$BJ20-3)),IF(OR($BI20=1,$BL20=1,$BH20&gt;0),"–",""))</f>
        <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21" s="70">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f>IF($F$3="Lot No.",'Final Calculation Sheet'!$F$20,IF($F$3="Buyer",'Final Calculation Sheet'!$G$20,IF($F$3="Lot Name",'Final Calculation Sheet'!$B$20,IF($F$3="Bid Sheet",'Final Calculation Sheet'!$D$20,IF($F$3="Unit",'Final Calculation Sheet'!$E$20,'Final Calculation Sheet'!$F$20&amp;" "&amp;'Final Calculation Sheet'!$G$20&amp;" "&amp;'Final Calculation Sheet'!$B$20)))))</f>
        <v/>
      </c>
      <c r="AL21">
        <f>AL20+IF($B$3="",0,--(SUMPRODUCT(--($AR$6:$AY$6&lt;&gt;""),--ISNUMBER(SEARCH($AR$6:$AY$6,$AK21)))&gt;0))</f>
        <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
      </c>
      <c r="BA21">
        <f>SUMPRODUCT(($AZ$5:$AZ$41=$AZ21)*($BC$5:$BC$41&lt;$BC21))+1</f>
        <v/>
      </c>
      <c r="BB21">
        <f>IF(INDEX($BF$4:$BF$13,$AZ21)=0,0,INDEX($BE$4:$BE$13,$AZ21)+$BA21-1)</f>
        <v/>
      </c>
      <c r="BC21" t="n">
        <v>20</v>
      </c>
      <c r="BH21">
        <f>IFERROR(MATCH(21,$BF$4:$BF$13,0),0)</f>
        <v/>
      </c>
      <c r="BI21">
        <f>IF(21=$BG$5,1,0)</f>
        <v/>
      </c>
      <c r="BJ21">
        <f>IF(OR($BH21&gt;0,$BI21=1,$BL21=1),0,IFERROR(INDEX($BC$5:$BC$41,MATCH(21,$BB$5:$BB$41,0)),0))</f>
        <v/>
      </c>
      <c r="BK21">
        <f>IF($BJ21&gt;0,IF(INDEX($AZ$5:$AZ$41,MATCH(21,$BB$5:$BB$41,0))=10,1,0),IF($BH21=10,1,0))</f>
        <v/>
      </c>
      <c r="BL21">
        <f>IF(21=$BG$4,1,0)</f>
        <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
      </c>
    </row>
    <row r="22" ht="15" customHeight="1" s="137">
      <c r="A22" s="67">
        <f>IF($BJ21&gt;0,INDEX($BA$5:$BA$41,MATCH(21,$BB$5:$BB$41,0)),IF(OR($BI21=1,$BL21=1,$BH21&gt;0),"∑",""))</f>
        <v/>
      </c>
      <c r="B22" s="76">
        <f>IF($BJ21&gt;0,IF(INDEX('Final Calculation Sheet'!$F$4:$F$40,$BJ21-3)="","",INDEX('Final Calculation Sheet'!$F$4:$F$40,$BJ21-3)),"")</f>
        <v/>
      </c>
      <c r="C22" s="76">
        <f>IF($BJ21&gt;0,IF(INDEX('Final Calculation Sheet'!$G$4:$G$40,$BJ21-3)="","",INDEX('Final Calculation Sheet'!$G$4:$G$40,$BJ21-3)),IF(OR($BI21=1,$BL21=1,$BH21&gt;0),IF($BI21=1,37,IF($BL21=1,37-INDEX($BD$4:$BD$13,10),INDEX($BD$4:$BD$13,$BH21)))&amp;" lot(s)",""))</f>
        <v/>
      </c>
      <c r="D22" s="80">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22" s="80">
        <f>IF($BJ21&gt;0,IF(INDEX('Final Calculation Sheet'!$D$4:$D$40,$BJ21-3)="","",INDEX('Final Calculation Sheet'!$D$4:$D$40,$BJ21-3)),IF(OR($BI21=1,$BL21=1,$BH21&gt;0),"–",""))</f>
        <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22" s="80">
        <f>IF($BJ21&gt;0,IF(INDEX('Final Calculation Sheet'!$E$4:$E$40,$BJ21-3)="","",INDEX('Final Calculation Sheet'!$E$4:$E$40,$BJ21-3)),IF(OR($BI21=1,$BL21=1,$BH21&gt;0),"–",""))</f>
        <v/>
      </c>
      <c r="H22" s="70">
        <f>IF($BJ21&gt;0,IF(INDEX('Final Calculation Sheet'!$C$4:$C$40,$BJ21-3)="","",INDEX('Final Calculation Sheet'!$C$4:$C$40,$BJ21-3)),IF(OR($BI21=1,$BL21=1,$BH21&gt;0),"–",""))</f>
        <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22" s="72">
        <f>IF($BJ21&gt;0,IF(INDEX('Final Calculation Sheet'!$Q$4:$Q$40,$BJ21-3)="","",INDEX('Final Calculation Sheet'!$Q$4:$Q$40,$BJ21-3)),IF(OR($BI21=1,$BL21=1,$BH21&gt;0),"–",""))</f>
        <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22" s="70">
        <f>IF($BJ21&gt;0,IF(INDEX('Final Calculation Sheet'!$V$4:$V$40,$BJ21-3)="","",INDEX('Final Calculation Sheet'!$V$4:$V$40,$BJ21-3)),IF(OR($BI21=1,$BL21=1,$BH21&gt;0),"–",""))</f>
        <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22" s="70">
        <f>IF($BJ21&gt;0,IF(INDEX('Final Calculation Sheet'!$Y$4:$Y$40,$BJ21-3)="","",INDEX('Final Calculation Sheet'!$Y$4:$Y$40,$BJ21-3)),IF(OR($BI21=1,$BL21=1,$BH21&gt;0),"–",""))</f>
        <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22" s="70">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f>IF($F$3="Lot No.",'Final Calculation Sheet'!$F$21,IF($F$3="Buyer",'Final Calculation Sheet'!$G$21,IF($F$3="Lot Name",'Final Calculation Sheet'!$B$21,IF($F$3="Bid Sheet",'Final Calculation Sheet'!$D$21,IF($F$3="Unit",'Final Calculation Sheet'!$E$21,'Final Calculation Sheet'!$F$21&amp;" "&amp;'Final Calculation Sheet'!$G$21&amp;" "&amp;'Final Calculation Sheet'!$B$21)))))</f>
        <v/>
      </c>
      <c r="AL22">
        <f>AL21+IF($B$3="",0,--(SUMPRODUCT(--($AR$6:$AY$6&lt;&gt;""),--ISNUMBER(SEARCH($AR$6:$AY$6,$AK22)))&gt;0))</f>
        <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
      </c>
      <c r="BA22">
        <f>SUMPRODUCT(($AZ$5:$AZ$41=$AZ22)*($BC$5:$BC$41&lt;$BC22))+1</f>
        <v/>
      </c>
      <c r="BB22">
        <f>IF(INDEX($BF$4:$BF$13,$AZ22)=0,0,INDEX($BE$4:$BE$13,$AZ22)+$BA22-1)</f>
        <v/>
      </c>
      <c r="BC22" t="n">
        <v>21</v>
      </c>
      <c r="BH22">
        <f>IFERROR(MATCH(22,$BF$4:$BF$13,0),0)</f>
        <v/>
      </c>
      <c r="BI22">
        <f>IF(22=$BG$5,1,0)</f>
        <v/>
      </c>
      <c r="BJ22">
        <f>IF(OR($BH22&gt;0,$BI22=1,$BL22=1),0,IFERROR(INDEX($BC$5:$BC$41,MATCH(22,$BB$5:$BB$41,0)),0))</f>
        <v/>
      </c>
      <c r="BK22">
        <f>IF($BJ22&gt;0,IF(INDEX($AZ$5:$AZ$41,MATCH(22,$BB$5:$BB$41,0))=10,1,0),IF($BH22=10,1,0))</f>
        <v/>
      </c>
      <c r="BL22">
        <f>IF(22=$BG$4,1,0)</f>
        <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
      </c>
    </row>
    <row r="23" ht="15" customHeight="1" s="137">
      <c r="A23" s="67">
        <f>IF($BJ22&gt;0,INDEX($BA$5:$BA$41,MATCH(22,$BB$5:$BB$41,0)),IF(OR($BI22=1,$BL22=1,$BH22&gt;0),"∑",""))</f>
        <v/>
      </c>
      <c r="B23" s="76">
        <f>IF($BJ22&gt;0,IF(INDEX('Final Calculation Sheet'!$F$4:$F$40,$BJ22-3)="","",INDEX('Final Calculation Sheet'!$F$4:$F$40,$BJ22-3)),"")</f>
        <v/>
      </c>
      <c r="C23" s="76">
        <f>IF($BJ22&gt;0,IF(INDEX('Final Calculation Sheet'!$G$4:$G$40,$BJ22-3)="","",INDEX('Final Calculation Sheet'!$G$4:$G$40,$BJ22-3)),IF(OR($BI22=1,$BL22=1,$BH22&gt;0),IF($BI22=1,37,IF($BL22=1,37-INDEX($BD$4:$BD$13,10),INDEX($BD$4:$BD$13,$BH22)))&amp;" lot(s)",""))</f>
        <v/>
      </c>
      <c r="D23" s="80">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23" s="80">
        <f>IF($BJ22&gt;0,IF(INDEX('Final Calculation Sheet'!$D$4:$D$40,$BJ22-3)="","",INDEX('Final Calculation Sheet'!$D$4:$D$40,$BJ22-3)),IF(OR($BI22=1,$BL22=1,$BH22&gt;0),"–",""))</f>
        <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23" s="80">
        <f>IF($BJ22&gt;0,IF(INDEX('Final Calculation Sheet'!$E$4:$E$40,$BJ22-3)="","",INDEX('Final Calculation Sheet'!$E$4:$E$40,$BJ22-3)),IF(OR($BI22=1,$BL22=1,$BH22&gt;0),"–",""))</f>
        <v/>
      </c>
      <c r="H23" s="70">
        <f>IF($BJ22&gt;0,IF(INDEX('Final Calculation Sheet'!$C$4:$C$40,$BJ22-3)="","",INDEX('Final Calculation Sheet'!$C$4:$C$40,$BJ22-3)),IF(OR($BI22=1,$BL22=1,$BH22&gt;0),"–",""))</f>
        <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23" s="72">
        <f>IF($BJ22&gt;0,IF(INDEX('Final Calculation Sheet'!$Q$4:$Q$40,$BJ22-3)="","",INDEX('Final Calculation Sheet'!$Q$4:$Q$40,$BJ22-3)),IF(OR($BI22=1,$BL22=1,$BH22&gt;0),"–",""))</f>
        <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23" s="70">
        <f>IF($BJ22&gt;0,IF(INDEX('Final Calculation Sheet'!$V$4:$V$40,$BJ22-3)="","",INDEX('Final Calculation Sheet'!$V$4:$V$40,$BJ22-3)),IF(OR($BI22=1,$BL22=1,$BH22&gt;0),"–",""))</f>
        <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23" s="70">
        <f>IF($BJ22&gt;0,IF(INDEX('Final Calculation Sheet'!$Y$4:$Y$40,$BJ22-3)="","",INDEX('Final Calculation Sheet'!$Y$4:$Y$40,$BJ22-3)),IF(OR($BI22=1,$BL22=1,$BH22&gt;0),"–",""))</f>
        <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23" s="70">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f>IF($F$3="Lot No.",'Final Calculation Sheet'!$F$22,IF($F$3="Buyer",'Final Calculation Sheet'!$G$22,IF($F$3="Lot Name",'Final Calculation Sheet'!$B$22,IF($F$3="Bid Sheet",'Final Calculation Sheet'!$D$22,IF($F$3="Unit",'Final Calculation Sheet'!$E$22,'Final Calculation Sheet'!$F$22&amp;" "&amp;'Final Calculation Sheet'!$G$22&amp;" "&amp;'Final Calculation Sheet'!$B$22)))))</f>
        <v/>
      </c>
      <c r="AL23">
        <f>AL22+IF($B$3="",0,--(SUMPRODUCT(--($AR$6:$AY$6&lt;&gt;""),--ISNUMBER(SEARCH($AR$6:$AY$6,$AK23)))&gt;0))</f>
        <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
      </c>
      <c r="BA23">
        <f>SUMPRODUCT(($AZ$5:$AZ$41=$AZ23)*($BC$5:$BC$41&lt;$BC23))+1</f>
        <v/>
      </c>
      <c r="BB23">
        <f>IF(INDEX($BF$4:$BF$13,$AZ23)=0,0,INDEX($BE$4:$BE$13,$AZ23)+$BA23-1)</f>
        <v/>
      </c>
      <c r="BC23" t="n">
        <v>22</v>
      </c>
      <c r="BH23">
        <f>IFERROR(MATCH(23,$BF$4:$BF$13,0),0)</f>
        <v/>
      </c>
      <c r="BI23">
        <f>IF(23=$BG$5,1,0)</f>
        <v/>
      </c>
      <c r="BJ23">
        <f>IF(OR($BH23&gt;0,$BI23=1,$BL23=1),0,IFERROR(INDEX($BC$5:$BC$41,MATCH(23,$BB$5:$BB$41,0)),0))</f>
        <v/>
      </c>
      <c r="BK23">
        <f>IF($BJ23&gt;0,IF(INDEX($AZ$5:$AZ$41,MATCH(23,$BB$5:$BB$41,0))=10,1,0),IF($BH23=10,1,0))</f>
        <v/>
      </c>
      <c r="BL23">
        <f>IF(23=$BG$4,1,0)</f>
        <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
      </c>
    </row>
    <row r="24" ht="15" customHeight="1" s="137">
      <c r="A24" s="67">
        <f>IF($BJ23&gt;0,INDEX($BA$5:$BA$41,MATCH(23,$BB$5:$BB$41,0)),IF(OR($BI23=1,$BL23=1,$BH23&gt;0),"∑",""))</f>
        <v/>
      </c>
      <c r="B24" s="76">
        <f>IF($BJ23&gt;0,IF(INDEX('Final Calculation Sheet'!$F$4:$F$40,$BJ23-3)="","",INDEX('Final Calculation Sheet'!$F$4:$F$40,$BJ23-3)),"")</f>
        <v/>
      </c>
      <c r="C24" s="76">
        <f>IF($BJ23&gt;0,IF(INDEX('Final Calculation Sheet'!$G$4:$G$40,$BJ23-3)="","",INDEX('Final Calculation Sheet'!$G$4:$G$40,$BJ23-3)),IF(OR($BI23=1,$BL23=1,$BH23&gt;0),IF($BI23=1,37,IF($BL23=1,37-INDEX($BD$4:$BD$13,10),INDEX($BD$4:$BD$13,$BH23)))&amp;" lot(s)",""))</f>
        <v/>
      </c>
      <c r="D24" s="8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4" s="80">
        <f>IF($BJ23&gt;0,IF(INDEX('Final Calculation Sheet'!$D$4:$D$40,$BJ23-3)="","",INDEX('Final Calculation Sheet'!$D$4:$D$40,$BJ23-3)),IF(OR($BI23=1,$BL23=1,$BH23&gt;0),"–",""))</f>
        <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4" s="80">
        <f>IF($BJ23&gt;0,IF(INDEX('Final Calculation Sheet'!$E$4:$E$40,$BJ23-3)="","",INDEX('Final Calculation Sheet'!$E$4:$E$40,$BJ23-3)),IF(OR($BI23=1,$BL23=1,$BH23&gt;0),"–",""))</f>
        <v/>
      </c>
      <c r="H24" s="70">
        <f>IF($BJ23&gt;0,IF(INDEX('Final Calculation Sheet'!$C$4:$C$40,$BJ23-3)="","",INDEX('Final Calculation Sheet'!$C$4:$C$40,$BJ23-3)),IF(OR($BI23=1,$BL23=1,$BH23&gt;0),"–",""))</f>
        <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4" s="72">
        <f>IF($BJ23&gt;0,IF(INDEX('Final Calculation Sheet'!$Q$4:$Q$40,$BJ23-3)="","",INDEX('Final Calculation Sheet'!$Q$4:$Q$40,$BJ23-3)),IF(OR($BI23=1,$BL23=1,$BH23&gt;0),"–",""))</f>
        <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4" s="70">
        <f>IF($BJ23&gt;0,IF(INDEX('Final Calculation Sheet'!$V$4:$V$40,$BJ23-3)="","",INDEX('Final Calculation Sheet'!$V$4:$V$40,$BJ23-3)),IF(OR($BI23=1,$BL23=1,$BH23&gt;0),"–",""))</f>
        <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4" s="70">
        <f>IF($BJ23&gt;0,IF(INDEX('Final Calculation Sheet'!$Y$4:$Y$40,$BJ23-3)="","",INDEX('Final Calculation Sheet'!$Y$4:$Y$40,$BJ23-3)),IF(OR($BI23=1,$BL23=1,$BH23&gt;0),"–",""))</f>
        <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4" s="7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f>IF($F$3="Lot No.",'Final Calculation Sheet'!$F$23,IF($F$3="Buyer",'Final Calculation Sheet'!$G$23,IF($F$3="Lot Name",'Final Calculation Sheet'!$B$23,IF($F$3="Bid Sheet",'Final Calculation Sheet'!$D$23,IF($F$3="Unit",'Final Calculation Sheet'!$E$23,'Final Calculation Sheet'!$F$23&amp;" "&amp;'Final Calculation Sheet'!$G$23&amp;" "&amp;'Final Calculation Sheet'!$B$23)))))</f>
        <v/>
      </c>
      <c r="AL24">
        <f>AL23+IF($B$3="",0,--(SUMPRODUCT(--($AR$6:$AY$6&lt;&gt;""),--ISNUMBER(SEARCH($AR$6:$AY$6,$AK24)))&gt;0))</f>
        <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
      </c>
      <c r="BA24">
        <f>SUMPRODUCT(($AZ$5:$AZ$41=$AZ24)*($BC$5:$BC$41&lt;$BC24))+1</f>
        <v/>
      </c>
      <c r="BB24">
        <f>IF(INDEX($BF$4:$BF$13,$AZ24)=0,0,INDEX($BE$4:$BE$13,$AZ24)+$BA24-1)</f>
        <v/>
      </c>
      <c r="BC24" t="n">
        <v>23</v>
      </c>
      <c r="BH24">
        <f>IFERROR(MATCH(24,$BF$4:$BF$13,0),0)</f>
        <v/>
      </c>
      <c r="BI24">
        <f>IF(24=$BG$5,1,0)</f>
        <v/>
      </c>
      <c r="BJ24">
        <f>IF(OR($BH24&gt;0,$BI24=1,$BL24=1),0,IFERROR(INDEX($BC$5:$BC$41,MATCH(24,$BB$5:$BB$41,0)),0))</f>
        <v/>
      </c>
      <c r="BK24">
        <f>IF($BJ24&gt;0,IF(INDEX($AZ$5:$AZ$41,MATCH(24,$BB$5:$BB$41,0))=10,1,0),IF($BH24=10,1,0))</f>
        <v/>
      </c>
      <c r="BL24">
        <f>IF(24=$BG$4,1,0)</f>
        <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
      </c>
    </row>
    <row r="25" ht="15" customHeight="1" s="137">
      <c r="A25" s="67">
        <f>IF($BJ24&gt;0,INDEX($BA$5:$BA$41,MATCH(24,$BB$5:$BB$41,0)),IF(OR($BI24=1,$BL24=1,$BH24&gt;0),"∑",""))</f>
        <v/>
      </c>
      <c r="B25" s="76">
        <f>IF($BJ24&gt;0,IF(INDEX('Final Calculation Sheet'!$F$4:$F$40,$BJ24-3)="","",INDEX('Final Calculation Sheet'!$F$4:$F$40,$BJ24-3)),"")</f>
        <v/>
      </c>
      <c r="C25" s="76">
        <f>IF($BJ24&gt;0,IF(INDEX('Final Calculation Sheet'!$G$4:$G$40,$BJ24-3)="","",INDEX('Final Calculation Sheet'!$G$4:$G$40,$BJ24-3)),IF(OR($BI24=1,$BL24=1,$BH24&gt;0),IF($BI24=1,37,IF($BL24=1,37-INDEX($BD$4:$BD$13,10),INDEX($BD$4:$BD$13,$BH24)))&amp;" lot(s)",""))</f>
        <v/>
      </c>
      <c r="D25" s="80">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5" s="80">
        <f>IF($BJ24&gt;0,IF(INDEX('Final Calculation Sheet'!$D$4:$D$40,$BJ24-3)="","",INDEX('Final Calculation Sheet'!$D$4:$D$40,$BJ24-3)),IF(OR($BI24=1,$BL24=1,$BH24&gt;0),"–",""))</f>
        <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5" s="80">
        <f>IF($BJ24&gt;0,IF(INDEX('Final Calculation Sheet'!$E$4:$E$40,$BJ24-3)="","",INDEX('Final Calculation Sheet'!$E$4:$E$40,$BJ24-3)),IF(OR($BI24=1,$BL24=1,$BH24&gt;0),"–",""))</f>
        <v/>
      </c>
      <c r="H25" s="70">
        <f>IF($BJ24&gt;0,IF(INDEX('Final Calculation Sheet'!$C$4:$C$40,$BJ24-3)="","",INDEX('Final Calculation Sheet'!$C$4:$C$40,$BJ24-3)),IF(OR($BI24=1,$BL24=1,$BH24&gt;0),"–",""))</f>
        <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5" s="72">
        <f>IF($BJ24&gt;0,IF(INDEX('Final Calculation Sheet'!$Q$4:$Q$40,$BJ24-3)="","",INDEX('Final Calculation Sheet'!$Q$4:$Q$40,$BJ24-3)),IF(OR($BI24=1,$BL24=1,$BH24&gt;0),"–",""))</f>
        <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5" s="70">
        <f>IF($BJ24&gt;0,IF(INDEX('Final Calculation Sheet'!$V$4:$V$40,$BJ24-3)="","",INDEX('Final Calculation Sheet'!$V$4:$V$40,$BJ24-3)),IF(OR($BI24=1,$BL24=1,$BH24&gt;0),"–",""))</f>
        <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5" s="70">
        <f>IF($BJ24&gt;0,IF(INDEX('Final Calculation Sheet'!$Y$4:$Y$40,$BJ24-3)="","",INDEX('Final Calculation Sheet'!$Y$4:$Y$40,$BJ24-3)),IF(OR($BI24=1,$BL24=1,$BH24&gt;0),"–",""))</f>
        <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5" s="70">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f>IF($F$3="Lot No.",'Final Calculation Sheet'!$F$24,IF($F$3="Buyer",'Final Calculation Sheet'!$G$24,IF($F$3="Lot Name",'Final Calculation Sheet'!$B$24,IF($F$3="Bid Sheet",'Final Calculation Sheet'!$D$24,IF($F$3="Unit",'Final Calculation Sheet'!$E$24,'Final Calculation Sheet'!$F$24&amp;" "&amp;'Final Calculation Sheet'!$G$24&amp;" "&amp;'Final Calculation Sheet'!$B$24)))))</f>
        <v/>
      </c>
      <c r="AL25">
        <f>AL24+IF($B$3="",0,--(SUMPRODUCT(--($AR$6:$AY$6&lt;&gt;""),--ISNUMBER(SEARCH($AR$6:$AY$6,$AK25)))&gt;0))</f>
        <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
      </c>
      <c r="BA25">
        <f>SUMPRODUCT(($AZ$5:$AZ$41=$AZ25)*($BC$5:$BC$41&lt;$BC25))+1</f>
        <v/>
      </c>
      <c r="BB25">
        <f>IF(INDEX($BF$4:$BF$13,$AZ25)=0,0,INDEX($BE$4:$BE$13,$AZ25)+$BA25-1)</f>
        <v/>
      </c>
      <c r="BC25" t="n">
        <v>24</v>
      </c>
      <c r="BH25">
        <f>IFERROR(MATCH(25,$BF$4:$BF$13,0),0)</f>
        <v/>
      </c>
      <c r="BI25">
        <f>IF(25=$BG$5,1,0)</f>
        <v/>
      </c>
      <c r="BJ25">
        <f>IF(OR($BH25&gt;0,$BI25=1,$BL25=1),0,IFERROR(INDEX($BC$5:$BC$41,MATCH(25,$BB$5:$BB$41,0)),0))</f>
        <v/>
      </c>
      <c r="BK25">
        <f>IF($BJ25&gt;0,IF(INDEX($AZ$5:$AZ$41,MATCH(25,$BB$5:$BB$41,0))=10,1,0),IF($BH25=10,1,0))</f>
        <v/>
      </c>
      <c r="BL25">
        <f>IF(25=$BG$4,1,0)</f>
        <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
      </c>
    </row>
    <row r="26" ht="15" customHeight="1" s="137">
      <c r="A26" s="67">
        <f>IF($BJ25&gt;0,INDEX($BA$5:$BA$41,MATCH(25,$BB$5:$BB$41,0)),IF(OR($BI25=1,$BL25=1,$BH25&gt;0),"∑",""))</f>
        <v/>
      </c>
      <c r="B26" s="76">
        <f>IF($BJ25&gt;0,IF(INDEX('Final Calculation Sheet'!$F$4:$F$40,$BJ25-3)="","",INDEX('Final Calculation Sheet'!$F$4:$F$40,$BJ25-3)),"")</f>
        <v/>
      </c>
      <c r="C26" s="76">
        <f>IF($BJ25&gt;0,IF(INDEX('Final Calculation Sheet'!$G$4:$G$40,$BJ25-3)="","",INDEX('Final Calculation Sheet'!$G$4:$G$40,$BJ25-3)),IF(OR($BI25=1,$BL25=1,$BH25&gt;0),IF($BI25=1,37,IF($BL25=1,37-INDEX($BD$4:$BD$13,10),INDEX($BD$4:$BD$13,$BH25)))&amp;" lot(s)",""))</f>
        <v/>
      </c>
      <c r="D26" s="80">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6" s="80">
        <f>IF($BJ25&gt;0,IF(INDEX('Final Calculation Sheet'!$D$4:$D$40,$BJ25-3)="","",INDEX('Final Calculation Sheet'!$D$4:$D$40,$BJ25-3)),IF(OR($BI25=1,$BL25=1,$BH25&gt;0),"–",""))</f>
        <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6" s="80">
        <f>IF($BJ25&gt;0,IF(INDEX('Final Calculation Sheet'!$E$4:$E$40,$BJ25-3)="","",INDEX('Final Calculation Sheet'!$E$4:$E$40,$BJ25-3)),IF(OR($BI25=1,$BL25=1,$BH25&gt;0),"–",""))</f>
        <v/>
      </c>
      <c r="H26" s="70">
        <f>IF($BJ25&gt;0,IF(INDEX('Final Calculation Sheet'!$C$4:$C$40,$BJ25-3)="","",INDEX('Final Calculation Sheet'!$C$4:$C$40,$BJ25-3)),IF(OR($BI25=1,$BL25=1,$BH25&gt;0),"–",""))</f>
        <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6" s="72">
        <f>IF($BJ25&gt;0,IF(INDEX('Final Calculation Sheet'!$Q$4:$Q$40,$BJ25-3)="","",INDEX('Final Calculation Sheet'!$Q$4:$Q$40,$BJ25-3)),IF(OR($BI25=1,$BL25=1,$BH25&gt;0),"–",""))</f>
        <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6" s="70">
        <f>IF($BJ25&gt;0,IF(INDEX('Final Calculation Sheet'!$V$4:$V$40,$BJ25-3)="","",INDEX('Final Calculation Sheet'!$V$4:$V$40,$BJ25-3)),IF(OR($BI25=1,$BL25=1,$BH25&gt;0),"–",""))</f>
        <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6" s="70">
        <f>IF($BJ25&gt;0,IF(INDEX('Final Calculation Sheet'!$Y$4:$Y$40,$BJ25-3)="","",INDEX('Final Calculation Sheet'!$Y$4:$Y$40,$BJ25-3)),IF(OR($BI25=1,$BL25=1,$BH25&gt;0),"–",""))</f>
        <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6" s="70">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f>IF($F$3="Lot No.",'Final Calculation Sheet'!$F$25,IF($F$3="Buyer",'Final Calculation Sheet'!$G$25,IF($F$3="Lot Name",'Final Calculation Sheet'!$B$25,IF($F$3="Bid Sheet",'Final Calculation Sheet'!$D$25,IF($F$3="Unit",'Final Calculation Sheet'!$E$25,'Final Calculation Sheet'!$F$25&amp;" "&amp;'Final Calculation Sheet'!$G$25&amp;" "&amp;'Final Calculation Sheet'!$B$25)))))</f>
        <v/>
      </c>
      <c r="AL26">
        <f>AL25+IF($B$3="",0,--(SUMPRODUCT(--($AR$6:$AY$6&lt;&gt;""),--ISNUMBER(SEARCH($AR$6:$AY$6,$AK26)))&gt;0))</f>
        <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
      </c>
      <c r="BA26">
        <f>SUMPRODUCT(($AZ$5:$AZ$41=$AZ26)*($BC$5:$BC$41&lt;$BC26))+1</f>
        <v/>
      </c>
      <c r="BB26">
        <f>IF(INDEX($BF$4:$BF$13,$AZ26)=0,0,INDEX($BE$4:$BE$13,$AZ26)+$BA26-1)</f>
        <v/>
      </c>
      <c r="BC26" t="n">
        <v>25</v>
      </c>
      <c r="BH26">
        <f>IFERROR(MATCH(26,$BF$4:$BF$13,0),0)</f>
        <v/>
      </c>
      <c r="BI26">
        <f>IF(26=$BG$5,1,0)</f>
        <v/>
      </c>
      <c r="BJ26">
        <f>IF(OR($BH26&gt;0,$BI26=1,$BL26=1),0,IFERROR(INDEX($BC$5:$BC$41,MATCH(26,$BB$5:$BB$41,0)),0))</f>
        <v/>
      </c>
      <c r="BK26">
        <f>IF($BJ26&gt;0,IF(INDEX($AZ$5:$AZ$41,MATCH(26,$BB$5:$BB$41,0))=10,1,0),IF($BH26=10,1,0))</f>
        <v/>
      </c>
      <c r="BL26">
        <f>IF(26=$BG$4,1,0)</f>
        <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
      </c>
    </row>
    <row r="27" ht="15" customHeight="1" s="137">
      <c r="A27" s="67">
        <f>IF($BJ26&gt;0,INDEX($BA$5:$BA$41,MATCH(26,$BB$5:$BB$41,0)),IF(OR($BI26=1,$BL26=1,$BH26&gt;0),"∑",""))</f>
        <v/>
      </c>
      <c r="B27" s="76">
        <f>IF($BJ26&gt;0,IF(INDEX('Final Calculation Sheet'!$F$4:$F$40,$BJ26-3)="","",INDEX('Final Calculation Sheet'!$F$4:$F$40,$BJ26-3)),"")</f>
        <v/>
      </c>
      <c r="C27" s="76">
        <f>IF($BJ26&gt;0,IF(INDEX('Final Calculation Sheet'!$G$4:$G$40,$BJ26-3)="","",INDEX('Final Calculation Sheet'!$G$4:$G$40,$BJ26-3)),IF(OR($BI26=1,$BL26=1,$BH26&gt;0),IF($BI26=1,37,IF($BL26=1,37-INDEX($BD$4:$BD$13,10),INDEX($BD$4:$BD$13,$BH26)))&amp;" lot(s)",""))</f>
        <v/>
      </c>
      <c r="D27" s="80">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7" s="80">
        <f>IF($BJ26&gt;0,IF(INDEX('Final Calculation Sheet'!$D$4:$D$40,$BJ26-3)="","",INDEX('Final Calculation Sheet'!$D$4:$D$40,$BJ26-3)),IF(OR($BI26=1,$BL26=1,$BH26&gt;0),"–",""))</f>
        <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7" s="80">
        <f>IF($BJ26&gt;0,IF(INDEX('Final Calculation Sheet'!$E$4:$E$40,$BJ26-3)="","",INDEX('Final Calculation Sheet'!$E$4:$E$40,$BJ26-3)),IF(OR($BI26=1,$BL26=1,$BH26&gt;0),"–",""))</f>
        <v/>
      </c>
      <c r="H27" s="70">
        <f>IF($BJ26&gt;0,IF(INDEX('Final Calculation Sheet'!$C$4:$C$40,$BJ26-3)="","",INDEX('Final Calculation Sheet'!$C$4:$C$40,$BJ26-3)),IF(OR($BI26=1,$BL26=1,$BH26&gt;0),"–",""))</f>
        <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7" s="72">
        <f>IF($BJ26&gt;0,IF(INDEX('Final Calculation Sheet'!$Q$4:$Q$40,$BJ26-3)="","",INDEX('Final Calculation Sheet'!$Q$4:$Q$40,$BJ26-3)),IF(OR($BI26=1,$BL26=1,$BH26&gt;0),"–",""))</f>
        <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7" s="70">
        <f>IF($BJ26&gt;0,IF(INDEX('Final Calculation Sheet'!$V$4:$V$40,$BJ26-3)="","",INDEX('Final Calculation Sheet'!$V$4:$V$40,$BJ26-3)),IF(OR($BI26=1,$BL26=1,$BH26&gt;0),"–",""))</f>
        <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7" s="70">
        <f>IF($BJ26&gt;0,IF(INDEX('Final Calculation Sheet'!$Y$4:$Y$40,$BJ26-3)="","",INDEX('Final Calculation Sheet'!$Y$4:$Y$40,$BJ26-3)),IF(OR($BI26=1,$BL26=1,$BH26&gt;0),"–",""))</f>
        <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7" s="70">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f>IF($F$3="Lot No.",'Final Calculation Sheet'!$F$26,IF($F$3="Buyer",'Final Calculation Sheet'!$G$26,IF($F$3="Lot Name",'Final Calculation Sheet'!$B$26,IF($F$3="Bid Sheet",'Final Calculation Sheet'!$D$26,IF($F$3="Unit",'Final Calculation Sheet'!$E$26,'Final Calculation Sheet'!$F$26&amp;" "&amp;'Final Calculation Sheet'!$G$26&amp;" "&amp;'Final Calculation Sheet'!$B$26)))))</f>
        <v/>
      </c>
      <c r="AL27">
        <f>AL26+IF($B$3="",0,--(SUMPRODUCT(--($AR$6:$AY$6&lt;&gt;""),--ISNUMBER(SEARCH($AR$6:$AY$6,$AK27)))&gt;0))</f>
        <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
      </c>
      <c r="BA27">
        <f>SUMPRODUCT(($AZ$5:$AZ$41=$AZ27)*($BC$5:$BC$41&lt;$BC27))+1</f>
        <v/>
      </c>
      <c r="BB27">
        <f>IF(INDEX($BF$4:$BF$13,$AZ27)=0,0,INDEX($BE$4:$BE$13,$AZ27)+$BA27-1)</f>
        <v/>
      </c>
      <c r="BC27" t="n">
        <v>26</v>
      </c>
      <c r="BH27">
        <f>IFERROR(MATCH(27,$BF$4:$BF$13,0),0)</f>
        <v/>
      </c>
      <c r="BI27">
        <f>IF(27=$BG$5,1,0)</f>
        <v/>
      </c>
      <c r="BJ27">
        <f>IF(OR($BH27&gt;0,$BI27=1,$BL27=1),0,IFERROR(INDEX($BC$5:$BC$41,MATCH(27,$BB$5:$BB$41,0)),0))</f>
        <v/>
      </c>
      <c r="BK27">
        <f>IF($BJ27&gt;0,IF(INDEX($AZ$5:$AZ$41,MATCH(27,$BB$5:$BB$41,0))=10,1,0),IF($BH27=10,1,0))</f>
        <v/>
      </c>
      <c r="BL27">
        <f>IF(27=$BG$4,1,0)</f>
        <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
      </c>
    </row>
    <row r="28" ht="15" customHeight="1" s="137">
      <c r="A28" s="67">
        <f>IF($BJ27&gt;0,INDEX($BA$5:$BA$41,MATCH(27,$BB$5:$BB$41,0)),IF(OR($BI27=1,$BL27=1,$BH27&gt;0),"∑",""))</f>
        <v/>
      </c>
      <c r="B28" s="76">
        <f>IF($BJ27&gt;0,IF(INDEX('Final Calculation Sheet'!$F$4:$F$40,$BJ27-3)="","",INDEX('Final Calculation Sheet'!$F$4:$F$40,$BJ27-3)),"")</f>
        <v/>
      </c>
      <c r="C28" s="76">
        <f>IF($BJ27&gt;0,IF(INDEX('Final Calculation Sheet'!$G$4:$G$40,$BJ27-3)="","",INDEX('Final Calculation Sheet'!$G$4:$G$40,$BJ27-3)),IF(OR($BI27=1,$BL27=1,$BH27&gt;0),IF($BI27=1,37,IF($BL27=1,37-INDEX($BD$4:$BD$13,10),INDEX($BD$4:$BD$13,$BH27)))&amp;" lot(s)",""))</f>
        <v/>
      </c>
      <c r="D28" s="80">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8" s="80">
        <f>IF($BJ27&gt;0,IF(INDEX('Final Calculation Sheet'!$D$4:$D$40,$BJ27-3)="","",INDEX('Final Calculation Sheet'!$D$4:$D$40,$BJ27-3)),IF(OR($BI27=1,$BL27=1,$BH27&gt;0),"–",""))</f>
        <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8" s="80">
        <f>IF($BJ27&gt;0,IF(INDEX('Final Calculation Sheet'!$E$4:$E$40,$BJ27-3)="","",INDEX('Final Calculation Sheet'!$E$4:$E$40,$BJ27-3)),IF(OR($BI27=1,$BL27=1,$BH27&gt;0),"–",""))</f>
        <v/>
      </c>
      <c r="H28" s="70">
        <f>IF($BJ27&gt;0,IF(INDEX('Final Calculation Sheet'!$C$4:$C$40,$BJ27-3)="","",INDEX('Final Calculation Sheet'!$C$4:$C$40,$BJ27-3)),IF(OR($BI27=1,$BL27=1,$BH27&gt;0),"–",""))</f>
        <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8" s="72">
        <f>IF($BJ27&gt;0,IF(INDEX('Final Calculation Sheet'!$Q$4:$Q$40,$BJ27-3)="","",INDEX('Final Calculation Sheet'!$Q$4:$Q$40,$BJ27-3)),IF(OR($BI27=1,$BL27=1,$BH27&gt;0),"–",""))</f>
        <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8" s="70">
        <f>IF($BJ27&gt;0,IF(INDEX('Final Calculation Sheet'!$V$4:$V$40,$BJ27-3)="","",INDEX('Final Calculation Sheet'!$V$4:$V$40,$BJ27-3)),IF(OR($BI27=1,$BL27=1,$BH27&gt;0),"–",""))</f>
        <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8" s="70">
        <f>IF($BJ27&gt;0,IF(INDEX('Final Calculation Sheet'!$Y$4:$Y$40,$BJ27-3)="","",INDEX('Final Calculation Sheet'!$Y$4:$Y$40,$BJ27-3)),IF(OR($BI27=1,$BL27=1,$BH27&gt;0),"–",""))</f>
        <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8" s="70">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f>IF($F$3="Lot No.",'Final Calculation Sheet'!$F$27,IF($F$3="Buyer",'Final Calculation Sheet'!$G$27,IF($F$3="Lot Name",'Final Calculation Sheet'!$B$27,IF($F$3="Bid Sheet",'Final Calculation Sheet'!$D$27,IF($F$3="Unit",'Final Calculation Sheet'!$E$27,'Final Calculation Sheet'!$F$27&amp;" "&amp;'Final Calculation Sheet'!$G$27&amp;" "&amp;'Final Calculation Sheet'!$B$27)))))</f>
        <v/>
      </c>
      <c r="AL28">
        <f>AL27+IF($B$3="",0,--(SUMPRODUCT(--($AR$6:$AY$6&lt;&gt;""),--ISNUMBER(SEARCH($AR$6:$AY$6,$AK28)))&gt;0))</f>
        <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
      </c>
      <c r="BA28">
        <f>SUMPRODUCT(($AZ$5:$AZ$41=$AZ28)*($BC$5:$BC$41&lt;$BC28))+1</f>
        <v/>
      </c>
      <c r="BB28">
        <f>IF(INDEX($BF$4:$BF$13,$AZ28)=0,0,INDEX($BE$4:$BE$13,$AZ28)+$BA28-1)</f>
        <v/>
      </c>
      <c r="BC28" t="n">
        <v>27</v>
      </c>
      <c r="BH28">
        <f>IFERROR(MATCH(28,$BF$4:$BF$13,0),0)</f>
        <v/>
      </c>
      <c r="BI28">
        <f>IF(28=$BG$5,1,0)</f>
        <v/>
      </c>
      <c r="BJ28">
        <f>IF(OR($BH28&gt;0,$BI28=1,$BL28=1),0,IFERROR(INDEX($BC$5:$BC$41,MATCH(28,$BB$5:$BB$41,0)),0))</f>
        <v/>
      </c>
      <c r="BK28">
        <f>IF($BJ28&gt;0,IF(INDEX($AZ$5:$AZ$41,MATCH(28,$BB$5:$BB$41,0))=10,1,0),IF($BH28=10,1,0))</f>
        <v/>
      </c>
      <c r="BL28">
        <f>IF(28=$BG$4,1,0)</f>
        <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
      </c>
    </row>
    <row r="29" ht="15" customHeight="1" s="137">
      <c r="A29" s="67">
        <f>IF($BJ28&gt;0,INDEX($BA$5:$BA$41,MATCH(28,$BB$5:$BB$41,0)),IF(OR($BI28=1,$BL28=1,$BH28&gt;0),"∑",""))</f>
        <v/>
      </c>
      <c r="B29" s="76">
        <f>IF($BJ28&gt;0,IF(INDEX('Final Calculation Sheet'!$F$4:$F$40,$BJ28-3)="","",INDEX('Final Calculation Sheet'!$F$4:$F$40,$BJ28-3)),"")</f>
        <v/>
      </c>
      <c r="C29" s="76">
        <f>IF($BJ28&gt;0,IF(INDEX('Final Calculation Sheet'!$G$4:$G$40,$BJ28-3)="","",INDEX('Final Calculation Sheet'!$G$4:$G$40,$BJ28-3)),IF(OR($BI28=1,$BL28=1,$BH28&gt;0),IF($BI28=1,37,IF($BL28=1,37-INDEX($BD$4:$BD$13,10),INDEX($BD$4:$BD$13,$BH28)))&amp;" lot(s)",""))</f>
        <v/>
      </c>
      <c r="D29" s="80">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9" s="80">
        <f>IF($BJ28&gt;0,IF(INDEX('Final Calculation Sheet'!$D$4:$D$40,$BJ28-3)="","",INDEX('Final Calculation Sheet'!$D$4:$D$40,$BJ28-3)),IF(OR($BI28=1,$BL28=1,$BH28&gt;0),"–",""))</f>
        <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9" s="80">
        <f>IF($BJ28&gt;0,IF(INDEX('Final Calculation Sheet'!$E$4:$E$40,$BJ28-3)="","",INDEX('Final Calculation Sheet'!$E$4:$E$40,$BJ28-3)),IF(OR($BI28=1,$BL28=1,$BH28&gt;0),"–",""))</f>
        <v/>
      </c>
      <c r="H29" s="70">
        <f>IF($BJ28&gt;0,IF(INDEX('Final Calculation Sheet'!$C$4:$C$40,$BJ28-3)="","",INDEX('Final Calculation Sheet'!$C$4:$C$40,$BJ28-3)),IF(OR($BI28=1,$BL28=1,$BH28&gt;0),"–",""))</f>
        <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9" s="72">
        <f>IF($BJ28&gt;0,IF(INDEX('Final Calculation Sheet'!$Q$4:$Q$40,$BJ28-3)="","",INDEX('Final Calculation Sheet'!$Q$4:$Q$40,$BJ28-3)),IF(OR($BI28=1,$BL28=1,$BH28&gt;0),"–",""))</f>
        <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9" s="70">
        <f>IF($BJ28&gt;0,IF(INDEX('Final Calculation Sheet'!$V$4:$V$40,$BJ28-3)="","",INDEX('Final Calculation Sheet'!$V$4:$V$40,$BJ28-3)),IF(OR($BI28=1,$BL28=1,$BH28&gt;0),"–",""))</f>
        <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9" s="70">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9" s="70">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f>IF($F$3="Lot No.",'Final Calculation Sheet'!$F$28,IF($F$3="Buyer",'Final Calculation Sheet'!$G$28,IF($F$3="Lot Name",'Final Calculation Sheet'!$B$28,IF($F$3="Bid Sheet",'Final Calculation Sheet'!$D$28,IF($F$3="Unit",'Final Calculation Sheet'!$E$28,'Final Calculation Sheet'!$F$28&amp;" "&amp;'Final Calculation Sheet'!$G$28&amp;" "&amp;'Final Calculation Sheet'!$B$28)))))</f>
        <v/>
      </c>
      <c r="AL29">
        <f>AL28+IF($B$3="",0,--(SUMPRODUCT(--($AR$6:$AY$6&lt;&gt;""),--ISNUMBER(SEARCH($AR$6:$AY$6,$AK29)))&gt;0))</f>
        <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
      </c>
      <c r="BA29">
        <f>SUMPRODUCT(($AZ$5:$AZ$41=$AZ29)*($BC$5:$BC$41&lt;$BC29))+1</f>
        <v/>
      </c>
      <c r="BB29">
        <f>IF(INDEX($BF$4:$BF$13,$AZ29)=0,0,INDEX($BE$4:$BE$13,$AZ29)+$BA29-1)</f>
        <v/>
      </c>
      <c r="BC29" t="n">
        <v>28</v>
      </c>
      <c r="BH29">
        <f>IFERROR(MATCH(29,$BF$4:$BF$13,0),0)</f>
        <v/>
      </c>
      <c r="BI29">
        <f>IF(29=$BG$5,1,0)</f>
        <v/>
      </c>
      <c r="BJ29">
        <f>IF(OR($BH29&gt;0,$BI29=1,$BL29=1),0,IFERROR(INDEX($BC$5:$BC$41,MATCH(29,$BB$5:$BB$41,0)),0))</f>
        <v/>
      </c>
      <c r="BK29">
        <f>IF($BJ29&gt;0,IF(INDEX($AZ$5:$AZ$41,MATCH(29,$BB$5:$BB$41,0))=10,1,0),IF($BH29=10,1,0))</f>
        <v/>
      </c>
      <c r="BL29">
        <f>IF(29=$BG$4,1,0)</f>
        <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
      </c>
    </row>
    <row r="30" ht="15" customHeight="1" s="137">
      <c r="A30" s="67">
        <f>IF($BJ29&gt;0,INDEX($BA$5:$BA$41,MATCH(29,$BB$5:$BB$41,0)),IF(OR($BI29=1,$BL29=1,$BH29&gt;0),"∑",""))</f>
        <v/>
      </c>
      <c r="B30" s="76">
        <f>IF($BJ29&gt;0,IF(INDEX('Final Calculation Sheet'!$F$4:$F$40,$BJ29-3)="","",INDEX('Final Calculation Sheet'!$F$4:$F$40,$BJ29-3)),"")</f>
        <v/>
      </c>
      <c r="C30" s="76">
        <f>IF($BJ29&gt;0,IF(INDEX('Final Calculation Sheet'!$G$4:$G$40,$BJ29-3)="","",INDEX('Final Calculation Sheet'!$G$4:$G$40,$BJ29-3)),IF(OR($BI29=1,$BL29=1,$BH29&gt;0),IF($BI29=1,37,IF($BL29=1,37-INDEX($BD$4:$BD$13,10),INDEX($BD$4:$BD$13,$BH29)))&amp;" lot(s)",""))</f>
        <v/>
      </c>
      <c r="D30" s="80">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30" s="80">
        <f>IF($BJ29&gt;0,IF(INDEX('Final Calculation Sheet'!$D$4:$D$40,$BJ29-3)="","",INDEX('Final Calculation Sheet'!$D$4:$D$40,$BJ29-3)),IF(OR($BI29=1,$BL29=1,$BH29&gt;0),"–",""))</f>
        <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30" s="80">
        <f>IF($BJ29&gt;0,IF(INDEX('Final Calculation Sheet'!$E$4:$E$40,$BJ29-3)="","",INDEX('Final Calculation Sheet'!$E$4:$E$40,$BJ29-3)),IF(OR($BI29=1,$BL29=1,$BH29&gt;0),"–",""))</f>
        <v/>
      </c>
      <c r="H30" s="70">
        <f>IF($BJ29&gt;0,IF(INDEX('Final Calculation Sheet'!$C$4:$C$40,$BJ29-3)="","",INDEX('Final Calculation Sheet'!$C$4:$C$40,$BJ29-3)),IF(OR($BI29=1,$BL29=1,$BH29&gt;0),"–",""))</f>
        <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30" s="72">
        <f>IF($BJ29&gt;0,IF(INDEX('Final Calculation Sheet'!$Q$4:$Q$40,$BJ29-3)="","",INDEX('Final Calculation Sheet'!$Q$4:$Q$40,$BJ29-3)),IF(OR($BI29=1,$BL29=1,$BH29&gt;0),"–",""))</f>
        <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30" s="70">
        <f>IF($BJ29&gt;0,IF(INDEX('Final Calculation Sheet'!$V$4:$V$40,$BJ29-3)="","",INDEX('Final Calculation Sheet'!$V$4:$V$40,$BJ29-3)),IF(OR($BI29=1,$BL29=1,$BH29&gt;0),"–",""))</f>
        <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30" s="70">
        <f>IF($BJ29&gt;0,IF(INDEX('Final Calculation Sheet'!$Y$4:$Y$40,$BJ29-3)="","",INDEX('Final Calculation Sheet'!$Y$4:$Y$40,$BJ29-3)),IF(OR($BI29=1,$BL29=1,$BH29&gt;0),"–",""))</f>
        <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30" s="70">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f>IF($F$3="Lot No.",'Final Calculation Sheet'!$F$29,IF($F$3="Buyer",'Final Calculation Sheet'!$G$29,IF($F$3="Lot Name",'Final Calculation Sheet'!$B$29,IF($F$3="Bid Sheet",'Final Calculation Sheet'!$D$29,IF($F$3="Unit",'Final Calculation Sheet'!$E$29,'Final Calculation Sheet'!$F$29&amp;" "&amp;'Final Calculation Sheet'!$G$29&amp;" "&amp;'Final Calculation Sheet'!$B$29)))))</f>
        <v/>
      </c>
      <c r="AL30">
        <f>AL29+IF($B$3="",0,--(SUMPRODUCT(--($AR$6:$AY$6&lt;&gt;""),--ISNUMBER(SEARCH($AR$6:$AY$6,$AK30)))&gt;0))</f>
        <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
      </c>
      <c r="BA30">
        <f>SUMPRODUCT(($AZ$5:$AZ$41=$AZ30)*($BC$5:$BC$41&lt;$BC30))+1</f>
        <v/>
      </c>
      <c r="BB30">
        <f>IF(INDEX($BF$4:$BF$13,$AZ30)=0,0,INDEX($BE$4:$BE$13,$AZ30)+$BA30-1)</f>
        <v/>
      </c>
      <c r="BC30" t="n">
        <v>29</v>
      </c>
      <c r="BH30">
        <f>IFERROR(MATCH(30,$BF$4:$BF$13,0),0)</f>
        <v/>
      </c>
      <c r="BI30">
        <f>IF(30=$BG$5,1,0)</f>
        <v/>
      </c>
      <c r="BJ30">
        <f>IF(OR($BH30&gt;0,$BI30=1,$BL30=1),0,IFERROR(INDEX($BC$5:$BC$41,MATCH(30,$BB$5:$BB$41,0)),0))</f>
        <v/>
      </c>
      <c r="BK30">
        <f>IF($BJ30&gt;0,IF(INDEX($AZ$5:$AZ$41,MATCH(30,$BB$5:$BB$41,0))=10,1,0),IF($BH30=10,1,0))</f>
        <v/>
      </c>
      <c r="BL30">
        <f>IF(30=$BG$4,1,0)</f>
        <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
      </c>
    </row>
    <row r="31" ht="15" customHeight="1" s="137">
      <c r="A31" s="67">
        <f>IF($BJ30&gt;0,INDEX($BA$5:$BA$41,MATCH(30,$BB$5:$BB$41,0)),IF(OR($BI30=1,$BL30=1,$BH30&gt;0),"∑",""))</f>
        <v/>
      </c>
      <c r="B31" s="76">
        <f>IF($BJ30&gt;0,IF(INDEX('Final Calculation Sheet'!$F$4:$F$40,$BJ30-3)="","",INDEX('Final Calculation Sheet'!$F$4:$F$40,$BJ30-3)),"")</f>
        <v/>
      </c>
      <c r="C31" s="76">
        <f>IF($BJ30&gt;0,IF(INDEX('Final Calculation Sheet'!$G$4:$G$40,$BJ30-3)="","",INDEX('Final Calculation Sheet'!$G$4:$G$40,$BJ30-3)),IF(OR($BI30=1,$BL30=1,$BH30&gt;0),IF($BI30=1,37,IF($BL30=1,37-INDEX($BD$4:$BD$13,10),INDEX($BD$4:$BD$13,$BH30)))&amp;" lot(s)",""))</f>
        <v/>
      </c>
      <c r="D31" s="80">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31" s="80">
        <f>IF($BJ30&gt;0,IF(INDEX('Final Calculation Sheet'!$D$4:$D$40,$BJ30-3)="","",INDEX('Final Calculation Sheet'!$D$4:$D$40,$BJ30-3)),IF(OR($BI30=1,$BL30=1,$BH30&gt;0),"–",""))</f>
        <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31" s="80">
        <f>IF($BJ30&gt;0,IF(INDEX('Final Calculation Sheet'!$E$4:$E$40,$BJ30-3)="","",INDEX('Final Calculation Sheet'!$E$4:$E$40,$BJ30-3)),IF(OR($BI30=1,$BL30=1,$BH30&gt;0),"–",""))</f>
        <v/>
      </c>
      <c r="H31" s="70">
        <f>IF($BJ30&gt;0,IF(INDEX('Final Calculation Sheet'!$C$4:$C$40,$BJ30-3)="","",INDEX('Final Calculation Sheet'!$C$4:$C$40,$BJ30-3)),IF(OR($BI30=1,$BL30=1,$BH30&gt;0),"–",""))</f>
        <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31" s="72">
        <f>IF($BJ30&gt;0,IF(INDEX('Final Calculation Sheet'!$Q$4:$Q$40,$BJ30-3)="","",INDEX('Final Calculation Sheet'!$Q$4:$Q$40,$BJ30-3)),IF(OR($BI30=1,$BL30=1,$BH30&gt;0),"–",""))</f>
        <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31" s="70">
        <f>IF($BJ30&gt;0,IF(INDEX('Final Calculation Sheet'!$V$4:$V$40,$BJ30-3)="","",INDEX('Final Calculation Sheet'!$V$4:$V$40,$BJ30-3)),IF(OR($BI30=1,$BL30=1,$BH30&gt;0),"–",""))</f>
        <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31" s="70">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31" s="70">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f>IF($F$3="Lot No.",'Final Calculation Sheet'!$F$30,IF($F$3="Buyer",'Final Calculation Sheet'!$G$30,IF($F$3="Lot Name",'Final Calculation Sheet'!$B$30,IF($F$3="Bid Sheet",'Final Calculation Sheet'!$D$30,IF($F$3="Unit",'Final Calculation Sheet'!$E$30,'Final Calculation Sheet'!$F$30&amp;" "&amp;'Final Calculation Sheet'!$G$30&amp;" "&amp;'Final Calculation Sheet'!$B$30)))))</f>
        <v/>
      </c>
      <c r="AL31">
        <f>AL30+IF($B$3="",0,--(SUMPRODUCT(--($AR$6:$AY$6&lt;&gt;""),--ISNUMBER(SEARCH($AR$6:$AY$6,$AK31)))&gt;0))</f>
        <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
      </c>
      <c r="BA31">
        <f>SUMPRODUCT(($AZ$5:$AZ$41=$AZ31)*($BC$5:$BC$41&lt;$BC31))+1</f>
        <v/>
      </c>
      <c r="BB31">
        <f>IF(INDEX($BF$4:$BF$13,$AZ31)=0,0,INDEX($BE$4:$BE$13,$AZ31)+$BA31-1)</f>
        <v/>
      </c>
      <c r="BC31" t="n">
        <v>30</v>
      </c>
      <c r="BH31">
        <f>IFERROR(MATCH(31,$BF$4:$BF$13,0),0)</f>
        <v/>
      </c>
      <c r="BI31">
        <f>IF(31=$BG$5,1,0)</f>
        <v/>
      </c>
      <c r="BJ31">
        <f>IF(OR($BH31&gt;0,$BI31=1,$BL31=1),0,IFERROR(INDEX($BC$5:$BC$41,MATCH(31,$BB$5:$BB$41,0)),0))</f>
        <v/>
      </c>
      <c r="BK31">
        <f>IF($BJ31&gt;0,IF(INDEX($AZ$5:$AZ$41,MATCH(31,$BB$5:$BB$41,0))=10,1,0),IF($BH31=10,1,0))</f>
        <v/>
      </c>
      <c r="BL31">
        <f>IF(31=$BG$4,1,0)</f>
        <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
      </c>
    </row>
    <row r="32" ht="15" customHeight="1" s="137">
      <c r="A32" s="67">
        <f>IF($BJ31&gt;0,INDEX($BA$5:$BA$41,MATCH(31,$BB$5:$BB$41,0)),IF(OR($BI31=1,$BL31=1,$BH31&gt;0),"∑",""))</f>
        <v/>
      </c>
      <c r="B32" s="76">
        <f>IF($BJ31&gt;0,IF(INDEX('Final Calculation Sheet'!$F$4:$F$40,$BJ31-3)="","",INDEX('Final Calculation Sheet'!$F$4:$F$40,$BJ31-3)),"")</f>
        <v/>
      </c>
      <c r="C32" s="76">
        <f>IF($BJ31&gt;0,IF(INDEX('Final Calculation Sheet'!$G$4:$G$40,$BJ31-3)="","",INDEX('Final Calculation Sheet'!$G$4:$G$40,$BJ31-3)),IF(OR($BI31=1,$BL31=1,$BH31&gt;0),IF($BI31=1,37,IF($BL31=1,37-INDEX($BD$4:$BD$13,10),INDEX($BD$4:$BD$13,$BH31)))&amp;" lot(s)",""))</f>
        <v/>
      </c>
      <c r="D32" s="80">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32" s="80">
        <f>IF($BJ31&gt;0,IF(INDEX('Final Calculation Sheet'!$D$4:$D$40,$BJ31-3)="","",INDEX('Final Calculation Sheet'!$D$4:$D$40,$BJ31-3)),IF(OR($BI31=1,$BL31=1,$BH31&gt;0),"–",""))</f>
        <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32" s="80">
        <f>IF($BJ31&gt;0,IF(INDEX('Final Calculation Sheet'!$E$4:$E$40,$BJ31-3)="","",INDEX('Final Calculation Sheet'!$E$4:$E$40,$BJ31-3)),IF(OR($BI31=1,$BL31=1,$BH31&gt;0),"–",""))</f>
        <v/>
      </c>
      <c r="H32" s="70">
        <f>IF($BJ31&gt;0,IF(INDEX('Final Calculation Sheet'!$C$4:$C$40,$BJ31-3)="","",INDEX('Final Calculation Sheet'!$C$4:$C$40,$BJ31-3)),IF(OR($BI31=1,$BL31=1,$BH31&gt;0),"–",""))</f>
        <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32" s="72">
        <f>IF($BJ31&gt;0,IF(INDEX('Final Calculation Sheet'!$Q$4:$Q$40,$BJ31-3)="","",INDEX('Final Calculation Sheet'!$Q$4:$Q$40,$BJ31-3)),IF(OR($BI31=1,$BL31=1,$BH31&gt;0),"–",""))</f>
        <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32" s="70">
        <f>IF($BJ31&gt;0,IF(INDEX('Final Calculation Sheet'!$V$4:$V$40,$BJ31-3)="","",INDEX('Final Calculation Sheet'!$V$4:$V$40,$BJ31-3)),IF(OR($BI31=1,$BL31=1,$BH31&gt;0),"–",""))</f>
        <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32" s="70">
        <f>IF($BJ31&gt;0,IF(INDEX('Final Calculation Sheet'!$Y$4:$Y$40,$BJ31-3)="","",INDEX('Final Calculation Sheet'!$Y$4:$Y$40,$BJ31-3)),IF(OR($BI31=1,$BL31=1,$BH31&gt;0),"–",""))</f>
        <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32" s="70">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f>IF($F$3="Lot No.",'Final Calculation Sheet'!$F$31,IF($F$3="Buyer",'Final Calculation Sheet'!$G$31,IF($F$3="Lot Name",'Final Calculation Sheet'!$B$31,IF($F$3="Bid Sheet",'Final Calculation Sheet'!$D$31,IF($F$3="Unit",'Final Calculation Sheet'!$E$31,'Final Calculation Sheet'!$F$31&amp;" "&amp;'Final Calculation Sheet'!$G$31&amp;" "&amp;'Final Calculation Sheet'!$B$31)))))</f>
        <v/>
      </c>
      <c r="AL32">
        <f>AL31+IF($B$3="",0,--(SUMPRODUCT(--($AR$6:$AY$6&lt;&gt;""),--ISNUMBER(SEARCH($AR$6:$AY$6,$AK32)))&gt;0))</f>
        <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
      </c>
      <c r="BA32">
        <f>SUMPRODUCT(($AZ$5:$AZ$41=$AZ32)*($BC$5:$BC$41&lt;$BC32))+1</f>
        <v/>
      </c>
      <c r="BB32">
        <f>IF(INDEX($BF$4:$BF$13,$AZ32)=0,0,INDEX($BE$4:$BE$13,$AZ32)+$BA32-1)</f>
        <v/>
      </c>
      <c r="BC32" t="n">
        <v>31</v>
      </c>
      <c r="BH32">
        <f>IFERROR(MATCH(32,$BF$4:$BF$13,0),0)</f>
        <v/>
      </c>
      <c r="BI32">
        <f>IF(32=$BG$5,1,0)</f>
        <v/>
      </c>
      <c r="BJ32">
        <f>IF(OR($BH32&gt;0,$BI32=1,$BL32=1),0,IFERROR(INDEX($BC$5:$BC$41,MATCH(32,$BB$5:$BB$41,0)),0))</f>
        <v/>
      </c>
      <c r="BK32">
        <f>IF($BJ32&gt;0,IF(INDEX($AZ$5:$AZ$41,MATCH(32,$BB$5:$BB$41,0))=10,1,0),IF($BH32=10,1,0))</f>
        <v/>
      </c>
      <c r="BL32">
        <f>IF(32=$BG$4,1,0)</f>
        <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
      </c>
    </row>
    <row r="33" ht="15" customHeight="1" s="137">
      <c r="A33" s="67">
        <f>IF($BJ32&gt;0,INDEX($BA$5:$BA$41,MATCH(32,$BB$5:$BB$41,0)),IF(OR($BI32=1,$BL32=1,$BH32&gt;0),"∑",""))</f>
        <v/>
      </c>
      <c r="B33" s="76">
        <f>IF($BJ32&gt;0,IF(INDEX('Final Calculation Sheet'!$F$4:$F$40,$BJ32-3)="","",INDEX('Final Calculation Sheet'!$F$4:$F$40,$BJ32-3)),"")</f>
        <v/>
      </c>
      <c r="C33" s="76">
        <f>IF($BJ32&gt;0,IF(INDEX('Final Calculation Sheet'!$G$4:$G$40,$BJ32-3)="","",INDEX('Final Calculation Sheet'!$G$4:$G$40,$BJ32-3)),IF(OR($BI32=1,$BL32=1,$BH32&gt;0),IF($BI32=1,37,IF($BL32=1,37-INDEX($BD$4:$BD$13,10),INDEX($BD$4:$BD$13,$BH32)))&amp;" lot(s)",""))</f>
        <v/>
      </c>
      <c r="D33" s="80">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33" s="80">
        <f>IF($BJ32&gt;0,IF(INDEX('Final Calculation Sheet'!$D$4:$D$40,$BJ32-3)="","",INDEX('Final Calculation Sheet'!$D$4:$D$40,$BJ32-3)),IF(OR($BI32=1,$BL32=1,$BH32&gt;0),"–",""))</f>
        <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33" s="80">
        <f>IF($BJ32&gt;0,IF(INDEX('Final Calculation Sheet'!$E$4:$E$40,$BJ32-3)="","",INDEX('Final Calculation Sheet'!$E$4:$E$40,$BJ32-3)),IF(OR($BI32=1,$BL32=1,$BH32&gt;0),"–",""))</f>
        <v/>
      </c>
      <c r="H33" s="70">
        <f>IF($BJ32&gt;0,IF(INDEX('Final Calculation Sheet'!$C$4:$C$40,$BJ32-3)="","",INDEX('Final Calculation Sheet'!$C$4:$C$40,$BJ32-3)),IF(OR($BI32=1,$BL32=1,$BH32&gt;0),"–",""))</f>
        <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33" s="72">
        <f>IF($BJ32&gt;0,IF(INDEX('Final Calculation Sheet'!$Q$4:$Q$40,$BJ32-3)="","",INDEX('Final Calculation Sheet'!$Q$4:$Q$40,$BJ32-3)),IF(OR($BI32=1,$BL32=1,$BH32&gt;0),"–",""))</f>
        <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33" s="70">
        <f>IF($BJ32&gt;0,IF(INDEX('Final Calculation Sheet'!$V$4:$V$40,$BJ32-3)="","",INDEX('Final Calculation Sheet'!$V$4:$V$40,$BJ32-3)),IF(OR($BI32=1,$BL32=1,$BH32&gt;0),"–",""))</f>
        <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33" s="70">
        <f>IF($BJ32&gt;0,IF(INDEX('Final Calculation Sheet'!$Y$4:$Y$40,$BJ32-3)="","",INDEX('Final Calculation Sheet'!$Y$4:$Y$40,$BJ32-3)),IF(OR($BI32=1,$BL32=1,$BH32&gt;0),"–",""))</f>
        <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33" s="70">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f>IF($F$3="Lot No.",'Final Calculation Sheet'!$F$32,IF($F$3="Buyer",'Final Calculation Sheet'!$G$32,IF($F$3="Lot Name",'Final Calculation Sheet'!$B$32,IF($F$3="Bid Sheet",'Final Calculation Sheet'!$D$32,IF($F$3="Unit",'Final Calculation Sheet'!$E$32,'Final Calculation Sheet'!$F$32&amp;" "&amp;'Final Calculation Sheet'!$G$32&amp;" "&amp;'Final Calculation Sheet'!$B$32)))))</f>
        <v/>
      </c>
      <c r="AL33">
        <f>AL32+IF($B$3="",0,--(SUMPRODUCT(--($AR$6:$AY$6&lt;&gt;""),--ISNUMBER(SEARCH($AR$6:$AY$6,$AK33)))&gt;0))</f>
        <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
      </c>
      <c r="BA33">
        <f>SUMPRODUCT(($AZ$5:$AZ$41=$AZ33)*($BC$5:$BC$41&lt;$BC33))+1</f>
        <v/>
      </c>
      <c r="BB33">
        <f>IF(INDEX($BF$4:$BF$13,$AZ33)=0,0,INDEX($BE$4:$BE$13,$AZ33)+$BA33-1)</f>
        <v/>
      </c>
      <c r="BC33" t="n">
        <v>32</v>
      </c>
      <c r="BH33">
        <f>IFERROR(MATCH(33,$BF$4:$BF$13,0),0)</f>
        <v/>
      </c>
      <c r="BI33">
        <f>IF(33=$BG$5,1,0)</f>
        <v/>
      </c>
      <c r="BJ33">
        <f>IF(OR($BH33&gt;0,$BI33=1,$BL33=1),0,IFERROR(INDEX($BC$5:$BC$41,MATCH(33,$BB$5:$BB$41,0)),0))</f>
        <v/>
      </c>
      <c r="BK33">
        <f>IF($BJ33&gt;0,IF(INDEX($AZ$5:$AZ$41,MATCH(33,$BB$5:$BB$41,0))=10,1,0),IF($BH33=10,1,0))</f>
        <v/>
      </c>
      <c r="BL33">
        <f>IF(33=$BG$4,1,0)</f>
        <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
      </c>
    </row>
    <row r="34" ht="15" customHeight="1" s="137">
      <c r="A34" s="67">
        <f>IF($BJ33&gt;0,INDEX($BA$5:$BA$41,MATCH(33,$BB$5:$BB$41,0)),IF(OR($BI33=1,$BL33=1,$BH33&gt;0),"∑",""))</f>
        <v/>
      </c>
      <c r="B34" s="76">
        <f>IF($BJ33&gt;0,IF(INDEX('Final Calculation Sheet'!$F$4:$F$40,$BJ33-3)="","",INDEX('Final Calculation Sheet'!$F$4:$F$40,$BJ33-3)),"")</f>
        <v/>
      </c>
      <c r="C34" s="76">
        <f>IF($BJ33&gt;0,IF(INDEX('Final Calculation Sheet'!$G$4:$G$40,$BJ33-3)="","",INDEX('Final Calculation Sheet'!$G$4:$G$40,$BJ33-3)),IF(OR($BI33=1,$BL33=1,$BH33&gt;0),IF($BI33=1,37,IF($BL33=1,37-INDEX($BD$4:$BD$13,10),INDEX($BD$4:$BD$13,$BH33)))&amp;" lot(s)",""))</f>
        <v/>
      </c>
      <c r="D34" s="8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4" s="80">
        <f>IF($BJ33&gt;0,IF(INDEX('Final Calculation Sheet'!$D$4:$D$40,$BJ33-3)="","",INDEX('Final Calculation Sheet'!$D$4:$D$40,$BJ33-3)),IF(OR($BI33=1,$BL33=1,$BH33&gt;0),"–",""))</f>
        <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4" s="80">
        <f>IF($BJ33&gt;0,IF(INDEX('Final Calculation Sheet'!$E$4:$E$40,$BJ33-3)="","",INDEX('Final Calculation Sheet'!$E$4:$E$40,$BJ33-3)),IF(OR($BI33=1,$BL33=1,$BH33&gt;0),"–",""))</f>
        <v/>
      </c>
      <c r="H34" s="70">
        <f>IF($BJ33&gt;0,IF(INDEX('Final Calculation Sheet'!$C$4:$C$40,$BJ33-3)="","",INDEX('Final Calculation Sheet'!$C$4:$C$40,$BJ33-3)),IF(OR($BI33=1,$BL33=1,$BH33&gt;0),"–",""))</f>
        <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4" s="72">
        <f>IF($BJ33&gt;0,IF(INDEX('Final Calculation Sheet'!$Q$4:$Q$40,$BJ33-3)="","",INDEX('Final Calculation Sheet'!$Q$4:$Q$40,$BJ33-3)),IF(OR($BI33=1,$BL33=1,$BH33&gt;0),"–",""))</f>
        <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4" s="70">
        <f>IF($BJ33&gt;0,IF(INDEX('Final Calculation Sheet'!$V$4:$V$40,$BJ33-3)="","",INDEX('Final Calculation Sheet'!$V$4:$V$40,$BJ33-3)),IF(OR($BI33=1,$BL33=1,$BH33&gt;0),"–",""))</f>
        <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4" s="70">
        <f>IF($BJ33&gt;0,IF(INDEX('Final Calculation Sheet'!$Y$4:$Y$40,$BJ33-3)="","",INDEX('Final Calculation Sheet'!$Y$4:$Y$40,$BJ33-3)),IF(OR($BI33=1,$BL33=1,$BH33&gt;0),"–",""))</f>
        <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4" s="7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f>IF($F$3="Lot No.",'Final Calculation Sheet'!$F$33,IF($F$3="Buyer",'Final Calculation Sheet'!$G$33,IF($F$3="Lot Name",'Final Calculation Sheet'!$B$33,IF($F$3="Bid Sheet",'Final Calculation Sheet'!$D$33,IF($F$3="Unit",'Final Calculation Sheet'!$E$33,'Final Calculation Sheet'!$F$33&amp;" "&amp;'Final Calculation Sheet'!$G$33&amp;" "&amp;'Final Calculation Sheet'!$B$33)))))</f>
        <v/>
      </c>
      <c r="AL34">
        <f>AL33+IF($B$3="",0,--(SUMPRODUCT(--($AR$6:$AY$6&lt;&gt;""),--ISNUMBER(SEARCH($AR$6:$AY$6,$AK34)))&gt;0))</f>
        <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
      </c>
      <c r="BA34">
        <f>SUMPRODUCT(($AZ$5:$AZ$41=$AZ34)*($BC$5:$BC$41&lt;$BC34))+1</f>
        <v/>
      </c>
      <c r="BB34">
        <f>IF(INDEX($BF$4:$BF$13,$AZ34)=0,0,INDEX($BE$4:$BE$13,$AZ34)+$BA34-1)</f>
        <v/>
      </c>
      <c r="BC34" t="n">
        <v>33</v>
      </c>
      <c r="BH34">
        <f>IFERROR(MATCH(34,$BF$4:$BF$13,0),0)</f>
        <v/>
      </c>
      <c r="BI34">
        <f>IF(34=$BG$5,1,0)</f>
        <v/>
      </c>
      <c r="BJ34">
        <f>IF(OR($BH34&gt;0,$BI34=1,$BL34=1),0,IFERROR(INDEX($BC$5:$BC$41,MATCH(34,$BB$5:$BB$41,0)),0))</f>
        <v/>
      </c>
      <c r="BK34">
        <f>IF($BJ34&gt;0,IF(INDEX($AZ$5:$AZ$41,MATCH(34,$BB$5:$BB$41,0))=10,1,0),IF($BH34=10,1,0))</f>
        <v/>
      </c>
      <c r="BL34">
        <f>IF(34=$BG$4,1,0)</f>
        <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
      </c>
    </row>
    <row r="35" ht="15" customHeight="1" s="137">
      <c r="A35" s="67">
        <f>IF($BJ34&gt;0,INDEX($BA$5:$BA$41,MATCH(34,$BB$5:$BB$41,0)),IF(OR($BI34=1,$BL34=1,$BH34&gt;0),"∑",""))</f>
        <v/>
      </c>
      <c r="B35" s="76">
        <f>IF($BJ34&gt;0,IF(INDEX('Final Calculation Sheet'!$F$4:$F$40,$BJ34-3)="","",INDEX('Final Calculation Sheet'!$F$4:$F$40,$BJ34-3)),"")</f>
        <v/>
      </c>
      <c r="C35" s="76">
        <f>IF($BJ34&gt;0,IF(INDEX('Final Calculation Sheet'!$G$4:$G$40,$BJ34-3)="","",INDEX('Final Calculation Sheet'!$G$4:$G$40,$BJ34-3)),IF(OR($BI34=1,$BL34=1,$BH34&gt;0),IF($BI34=1,37,IF($BL34=1,37-INDEX($BD$4:$BD$13,10),INDEX($BD$4:$BD$13,$BH34)))&amp;" lot(s)",""))</f>
        <v/>
      </c>
      <c r="D35" s="80">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5" s="80">
        <f>IF($BJ34&gt;0,IF(INDEX('Final Calculation Sheet'!$D$4:$D$40,$BJ34-3)="","",INDEX('Final Calculation Sheet'!$D$4:$D$40,$BJ34-3)),IF(OR($BI34=1,$BL34=1,$BH34&gt;0),"–",""))</f>
        <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5" s="80">
        <f>IF($BJ34&gt;0,IF(INDEX('Final Calculation Sheet'!$E$4:$E$40,$BJ34-3)="","",INDEX('Final Calculation Sheet'!$E$4:$E$40,$BJ34-3)),IF(OR($BI34=1,$BL34=1,$BH34&gt;0),"–",""))</f>
        <v/>
      </c>
      <c r="H35" s="70">
        <f>IF($BJ34&gt;0,IF(INDEX('Final Calculation Sheet'!$C$4:$C$40,$BJ34-3)="","",INDEX('Final Calculation Sheet'!$C$4:$C$40,$BJ34-3)),IF(OR($BI34=1,$BL34=1,$BH34&gt;0),"–",""))</f>
        <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5" s="72">
        <f>IF($BJ34&gt;0,IF(INDEX('Final Calculation Sheet'!$Q$4:$Q$40,$BJ34-3)="","",INDEX('Final Calculation Sheet'!$Q$4:$Q$40,$BJ34-3)),IF(OR($BI34=1,$BL34=1,$BH34&gt;0),"–",""))</f>
        <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5" s="70">
        <f>IF($BJ34&gt;0,IF(INDEX('Final Calculation Sheet'!$V$4:$V$40,$BJ34-3)="","",INDEX('Final Calculation Sheet'!$V$4:$V$40,$BJ34-3)),IF(OR($BI34=1,$BL34=1,$BH34&gt;0),"–",""))</f>
        <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5" s="70">
        <f>IF($BJ34&gt;0,IF(INDEX('Final Calculation Sheet'!$Y$4:$Y$40,$BJ34-3)="","",INDEX('Final Calculation Sheet'!$Y$4:$Y$40,$BJ34-3)),IF(OR($BI34=1,$BL34=1,$BH34&gt;0),"–",""))</f>
        <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5" s="70">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f>IF($F$3="Lot No.",'Final Calculation Sheet'!$F$34,IF($F$3="Buyer",'Final Calculation Sheet'!$G$34,IF($F$3="Lot Name",'Final Calculation Sheet'!$B$34,IF($F$3="Bid Sheet",'Final Calculation Sheet'!$D$34,IF($F$3="Unit",'Final Calculation Sheet'!$E$34,'Final Calculation Sheet'!$F$34&amp;" "&amp;'Final Calculation Sheet'!$G$34&amp;" "&amp;'Final Calculation Sheet'!$B$34)))))</f>
        <v/>
      </c>
      <c r="AL35">
        <f>AL34+IF($B$3="",0,--(SUMPRODUCT(--($AR$6:$AY$6&lt;&gt;""),--ISNUMBER(SEARCH($AR$6:$AY$6,$AK35)))&gt;0))</f>
        <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
      </c>
      <c r="BA35">
        <f>SUMPRODUCT(($AZ$5:$AZ$41=$AZ35)*($BC$5:$BC$41&lt;$BC35))+1</f>
        <v/>
      </c>
      <c r="BB35">
        <f>IF(INDEX($BF$4:$BF$13,$AZ35)=0,0,INDEX($BE$4:$BE$13,$AZ35)+$BA35-1)</f>
        <v/>
      </c>
      <c r="BC35" t="n">
        <v>34</v>
      </c>
      <c r="BH35">
        <f>IFERROR(MATCH(35,$BF$4:$BF$13,0),0)</f>
        <v/>
      </c>
      <c r="BI35">
        <f>IF(35=$BG$5,1,0)</f>
        <v/>
      </c>
      <c r="BJ35">
        <f>IF(OR($BH35&gt;0,$BI35=1,$BL35=1),0,IFERROR(INDEX($BC$5:$BC$41,MATCH(35,$BB$5:$BB$41,0)),0))</f>
        <v/>
      </c>
      <c r="BK35">
        <f>IF($BJ35&gt;0,IF(INDEX($AZ$5:$AZ$41,MATCH(35,$BB$5:$BB$41,0))=10,1,0),IF($BH35=10,1,0))</f>
        <v/>
      </c>
      <c r="BL35">
        <f>IF(35=$BG$4,1,0)</f>
        <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
      </c>
    </row>
    <row r="36" ht="15" customHeight="1" s="137">
      <c r="A36" s="67">
        <f>IF($BJ35&gt;0,INDEX($BA$5:$BA$41,MATCH(35,$BB$5:$BB$41,0)),IF(OR($BI35=1,$BL35=1,$BH35&gt;0),"∑",""))</f>
        <v/>
      </c>
      <c r="B36" s="76">
        <f>IF($BJ35&gt;0,IF(INDEX('Final Calculation Sheet'!$F$4:$F$40,$BJ35-3)="","",INDEX('Final Calculation Sheet'!$F$4:$F$40,$BJ35-3)),"")</f>
        <v/>
      </c>
      <c r="C36" s="76">
        <f>IF($BJ35&gt;0,IF(INDEX('Final Calculation Sheet'!$G$4:$G$40,$BJ35-3)="","",INDEX('Final Calculation Sheet'!$G$4:$G$40,$BJ35-3)),IF(OR($BI35=1,$BL35=1,$BH35&gt;0),IF($BI35=1,37,IF($BL35=1,37-INDEX($BD$4:$BD$13,10),INDEX($BD$4:$BD$13,$BH35)))&amp;" lot(s)",""))</f>
        <v/>
      </c>
      <c r="D36" s="80">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6" s="80">
        <f>IF($BJ35&gt;0,IF(INDEX('Final Calculation Sheet'!$D$4:$D$40,$BJ35-3)="","",INDEX('Final Calculation Sheet'!$D$4:$D$40,$BJ35-3)),IF(OR($BI35=1,$BL35=1,$BH35&gt;0),"–",""))</f>
        <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6" s="80">
        <f>IF($BJ35&gt;0,IF(INDEX('Final Calculation Sheet'!$E$4:$E$40,$BJ35-3)="","",INDEX('Final Calculation Sheet'!$E$4:$E$40,$BJ35-3)),IF(OR($BI35=1,$BL35=1,$BH35&gt;0),"–",""))</f>
        <v/>
      </c>
      <c r="H36" s="70">
        <f>IF($BJ35&gt;0,IF(INDEX('Final Calculation Sheet'!$C$4:$C$40,$BJ35-3)="","",INDEX('Final Calculation Sheet'!$C$4:$C$40,$BJ35-3)),IF(OR($BI35=1,$BL35=1,$BH35&gt;0),"–",""))</f>
        <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6" s="72">
        <f>IF($BJ35&gt;0,IF(INDEX('Final Calculation Sheet'!$Q$4:$Q$40,$BJ35-3)="","",INDEX('Final Calculation Sheet'!$Q$4:$Q$40,$BJ35-3)),IF(OR($BI35=1,$BL35=1,$BH35&gt;0),"–",""))</f>
        <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6" s="70">
        <f>IF($BJ35&gt;0,IF(INDEX('Final Calculation Sheet'!$V$4:$V$40,$BJ35-3)="","",INDEX('Final Calculation Sheet'!$V$4:$V$40,$BJ35-3)),IF(OR($BI35=1,$BL35=1,$BH35&gt;0),"–",""))</f>
        <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6" s="70">
        <f>IF($BJ35&gt;0,IF(INDEX('Final Calculation Sheet'!$Y$4:$Y$40,$BJ35-3)="","",INDEX('Final Calculation Sheet'!$Y$4:$Y$40,$BJ35-3)),IF(OR($BI35=1,$BL35=1,$BH35&gt;0),"–",""))</f>
        <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6" s="70">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f>IF($F$3="Lot No.",'Final Calculation Sheet'!$F$35,IF($F$3="Buyer",'Final Calculation Sheet'!$G$35,IF($F$3="Lot Name",'Final Calculation Sheet'!$B$35,IF($F$3="Bid Sheet",'Final Calculation Sheet'!$D$35,IF($F$3="Unit",'Final Calculation Sheet'!$E$35,'Final Calculation Sheet'!$F$35&amp;" "&amp;'Final Calculation Sheet'!$G$35&amp;" "&amp;'Final Calculation Sheet'!$B$35)))))</f>
        <v/>
      </c>
      <c r="AL36">
        <f>AL35+IF($B$3="",0,--(SUMPRODUCT(--($AR$6:$AY$6&lt;&gt;""),--ISNUMBER(SEARCH($AR$6:$AY$6,$AK36)))&gt;0))</f>
        <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
      </c>
      <c r="BA36">
        <f>SUMPRODUCT(($AZ$5:$AZ$41=$AZ36)*($BC$5:$BC$41&lt;$BC36))+1</f>
        <v/>
      </c>
      <c r="BB36">
        <f>IF(INDEX($BF$4:$BF$13,$AZ36)=0,0,INDEX($BE$4:$BE$13,$AZ36)+$BA36-1)</f>
        <v/>
      </c>
      <c r="BC36" t="n">
        <v>35</v>
      </c>
      <c r="BH36">
        <f>IFERROR(MATCH(36,$BF$4:$BF$13,0),0)</f>
        <v/>
      </c>
      <c r="BI36">
        <f>IF(36=$BG$5,1,0)</f>
        <v/>
      </c>
      <c r="BJ36">
        <f>IF(OR($BH36&gt;0,$BI36=1,$BL36=1),0,IFERROR(INDEX($BC$5:$BC$41,MATCH(36,$BB$5:$BB$41,0)),0))</f>
        <v/>
      </c>
      <c r="BK36">
        <f>IF($BJ36&gt;0,IF(INDEX($AZ$5:$AZ$41,MATCH(36,$BB$5:$BB$41,0))=10,1,0),IF($BH36=10,1,0))</f>
        <v/>
      </c>
      <c r="BL36">
        <f>IF(36=$BG$4,1,0)</f>
        <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
      </c>
    </row>
    <row r="37" ht="15" customHeight="1" s="137">
      <c r="A37" s="67">
        <f>IF($BJ36&gt;0,INDEX($BA$5:$BA$41,MATCH(36,$BB$5:$BB$41,0)),IF(OR($BI36=1,$BL36=1,$BH36&gt;0),"∑",""))</f>
        <v/>
      </c>
      <c r="B37" s="76">
        <f>IF($BJ36&gt;0,IF(INDEX('Final Calculation Sheet'!$F$4:$F$40,$BJ36-3)="","",INDEX('Final Calculation Sheet'!$F$4:$F$40,$BJ36-3)),"")</f>
        <v/>
      </c>
      <c r="C37" s="76">
        <f>IF($BJ36&gt;0,IF(INDEX('Final Calculation Sheet'!$G$4:$G$40,$BJ36-3)="","",INDEX('Final Calculation Sheet'!$G$4:$G$40,$BJ36-3)),IF(OR($BI36=1,$BL36=1,$BH36&gt;0),IF($BI36=1,37,IF($BL36=1,37-INDEX($BD$4:$BD$13,10),INDEX($BD$4:$BD$13,$BH36)))&amp;" lot(s)",""))</f>
        <v/>
      </c>
      <c r="D37" s="80">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7" s="80">
        <f>IF($BJ36&gt;0,IF(INDEX('Final Calculation Sheet'!$D$4:$D$40,$BJ36-3)="","",INDEX('Final Calculation Sheet'!$D$4:$D$40,$BJ36-3)),IF(OR($BI36=1,$BL36=1,$BH36&gt;0),"–",""))</f>
        <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7" s="80">
        <f>IF($BJ36&gt;0,IF(INDEX('Final Calculation Sheet'!$E$4:$E$40,$BJ36-3)="","",INDEX('Final Calculation Sheet'!$E$4:$E$40,$BJ36-3)),IF(OR($BI36=1,$BL36=1,$BH36&gt;0),"–",""))</f>
        <v/>
      </c>
      <c r="H37" s="70">
        <f>IF($BJ36&gt;0,IF(INDEX('Final Calculation Sheet'!$C$4:$C$40,$BJ36-3)="","",INDEX('Final Calculation Sheet'!$C$4:$C$40,$BJ36-3)),IF(OR($BI36=1,$BL36=1,$BH36&gt;0),"–",""))</f>
        <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7" s="72">
        <f>IF($BJ36&gt;0,IF(INDEX('Final Calculation Sheet'!$Q$4:$Q$40,$BJ36-3)="","",INDEX('Final Calculation Sheet'!$Q$4:$Q$40,$BJ36-3)),IF(OR($BI36=1,$BL36=1,$BH36&gt;0),"–",""))</f>
        <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7" s="70">
        <f>IF($BJ36&gt;0,IF(INDEX('Final Calculation Sheet'!$V$4:$V$40,$BJ36-3)="","",INDEX('Final Calculation Sheet'!$V$4:$V$40,$BJ36-3)),IF(OR($BI36=1,$BL36=1,$BH36&gt;0),"–",""))</f>
        <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7" s="70">
        <f>IF($BJ36&gt;0,IF(INDEX('Final Calculation Sheet'!$Y$4:$Y$40,$BJ36-3)="","",INDEX('Final Calculation Sheet'!$Y$4:$Y$40,$BJ36-3)),IF(OR($BI36=1,$BL36=1,$BH36&gt;0),"–",""))</f>
        <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7" s="70">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f>IF($F$3="Lot No.",'Final Calculation Sheet'!$F$36,IF($F$3="Buyer",'Final Calculation Sheet'!$G$36,IF($F$3="Lot Name",'Final Calculation Sheet'!$B$36,IF($F$3="Bid Sheet",'Final Calculation Sheet'!$D$36,IF($F$3="Unit",'Final Calculation Sheet'!$E$36,'Final Calculation Sheet'!$F$36&amp;" "&amp;'Final Calculation Sheet'!$G$36&amp;" "&amp;'Final Calculation Sheet'!$B$36)))))</f>
        <v/>
      </c>
      <c r="AL37">
        <f>AL36+IF($B$3="",0,--(SUMPRODUCT(--($AR$6:$AY$6&lt;&gt;""),--ISNUMBER(SEARCH($AR$6:$AY$6,$AK37)))&gt;0))</f>
        <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
      </c>
      <c r="BA37">
        <f>SUMPRODUCT(($AZ$5:$AZ$41=$AZ37)*($BC$5:$BC$41&lt;$BC37))+1</f>
        <v/>
      </c>
      <c r="BB37">
        <f>IF(INDEX($BF$4:$BF$13,$AZ37)=0,0,INDEX($BE$4:$BE$13,$AZ37)+$BA37-1)</f>
        <v/>
      </c>
      <c r="BC37" t="n">
        <v>36</v>
      </c>
      <c r="BH37">
        <f>IFERROR(MATCH(37,$BF$4:$BF$13,0),0)</f>
        <v/>
      </c>
      <c r="BI37">
        <f>IF(37=$BG$5,1,0)</f>
        <v/>
      </c>
      <c r="BJ37">
        <f>IF(OR($BH37&gt;0,$BI37=1,$BL37=1),0,IFERROR(INDEX($BC$5:$BC$41,MATCH(37,$BB$5:$BB$41,0)),0))</f>
        <v/>
      </c>
      <c r="BK37">
        <f>IF($BJ37&gt;0,IF(INDEX($AZ$5:$AZ$41,MATCH(37,$BB$5:$BB$41,0))=10,1,0),IF($BH37=10,1,0))</f>
        <v/>
      </c>
      <c r="BL37">
        <f>IF(37=$BG$4,1,0)</f>
        <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
      </c>
    </row>
    <row r="38" ht="15" customHeight="1" s="137">
      <c r="A38" s="67">
        <f>IF($BJ37&gt;0,INDEX($BA$5:$BA$41,MATCH(37,$BB$5:$BB$41,0)),IF(OR($BI37=1,$BL37=1,$BH37&gt;0),"∑",""))</f>
        <v/>
      </c>
      <c r="B38" s="76">
        <f>IF($BJ37&gt;0,IF(INDEX('Final Calculation Sheet'!$F$4:$F$40,$BJ37-3)="","",INDEX('Final Calculation Sheet'!$F$4:$F$40,$BJ37-3)),"")</f>
        <v/>
      </c>
      <c r="C38" s="76">
        <f>IF($BJ37&gt;0,IF(INDEX('Final Calculation Sheet'!$G$4:$G$40,$BJ37-3)="","",INDEX('Final Calculation Sheet'!$G$4:$G$40,$BJ37-3)),IF(OR($BI37=1,$BL37=1,$BH37&gt;0),IF($BI37=1,37,IF($BL37=1,37-INDEX($BD$4:$BD$13,10),INDEX($BD$4:$BD$13,$BH37)))&amp;" lot(s)",""))</f>
        <v/>
      </c>
      <c r="D38" s="80">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8" s="80">
        <f>IF($BJ37&gt;0,IF(INDEX('Final Calculation Sheet'!$D$4:$D$40,$BJ37-3)="","",INDEX('Final Calculation Sheet'!$D$4:$D$40,$BJ37-3)),IF(OR($BI37=1,$BL37=1,$BH37&gt;0),"–",""))</f>
        <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8" s="80">
        <f>IF($BJ37&gt;0,IF(INDEX('Final Calculation Sheet'!$E$4:$E$40,$BJ37-3)="","",INDEX('Final Calculation Sheet'!$E$4:$E$40,$BJ37-3)),IF(OR($BI37=1,$BL37=1,$BH37&gt;0),"–",""))</f>
        <v/>
      </c>
      <c r="H38" s="70">
        <f>IF($BJ37&gt;0,IF(INDEX('Final Calculation Sheet'!$C$4:$C$40,$BJ37-3)="","",INDEX('Final Calculation Sheet'!$C$4:$C$40,$BJ37-3)),IF(OR($BI37=1,$BL37=1,$BH37&gt;0),"–",""))</f>
        <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8" s="72">
        <f>IF($BJ37&gt;0,IF(INDEX('Final Calculation Sheet'!$Q$4:$Q$40,$BJ37-3)="","",INDEX('Final Calculation Sheet'!$Q$4:$Q$40,$BJ37-3)),IF(OR($BI37=1,$BL37=1,$BH37&gt;0),"–",""))</f>
        <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8" s="70">
        <f>IF($BJ37&gt;0,IF(INDEX('Final Calculation Sheet'!$V$4:$V$40,$BJ37-3)="","",INDEX('Final Calculation Sheet'!$V$4:$V$40,$BJ37-3)),IF(OR($BI37=1,$BL37=1,$BH37&gt;0),"–",""))</f>
        <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8" s="70">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8" s="70">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f>IF($F$3="Lot No.",'Final Calculation Sheet'!$F$37,IF($F$3="Buyer",'Final Calculation Sheet'!$G$37,IF($F$3="Lot Name",'Final Calculation Sheet'!$B$37,IF($F$3="Bid Sheet",'Final Calculation Sheet'!$D$37,IF($F$3="Unit",'Final Calculation Sheet'!$E$37,'Final Calculation Sheet'!$F$37&amp;" "&amp;'Final Calculation Sheet'!$G$37&amp;" "&amp;'Final Calculation Sheet'!$B$37)))))</f>
        <v/>
      </c>
      <c r="AL38">
        <f>AL37+IF($B$3="",0,--(SUMPRODUCT(--($AR$6:$AY$6&lt;&gt;""),--ISNUMBER(SEARCH($AR$6:$AY$6,$AK38)))&gt;0))</f>
        <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
      </c>
      <c r="BA38">
        <f>SUMPRODUCT(($AZ$5:$AZ$41=$AZ38)*($BC$5:$BC$41&lt;$BC38))+1</f>
        <v/>
      </c>
      <c r="BB38">
        <f>IF(INDEX($BF$4:$BF$13,$AZ38)=0,0,INDEX($BE$4:$BE$13,$AZ38)+$BA38-1)</f>
        <v/>
      </c>
      <c r="BC38" t="n">
        <v>37</v>
      </c>
      <c r="BH38">
        <f>IFERROR(MATCH(38,$BF$4:$BF$13,0),0)</f>
        <v/>
      </c>
      <c r="BI38">
        <f>IF(38=$BG$5,1,0)</f>
        <v/>
      </c>
      <c r="BJ38">
        <f>IF(OR($BH38&gt;0,$BI38=1,$BL38=1),0,IFERROR(INDEX($BC$5:$BC$41,MATCH(38,$BB$5:$BB$41,0)),0))</f>
        <v/>
      </c>
      <c r="BK38">
        <f>IF($BJ38&gt;0,IF(INDEX($AZ$5:$AZ$41,MATCH(38,$BB$5:$BB$41,0))=10,1,0),IF($BH38=10,1,0))</f>
        <v/>
      </c>
      <c r="BL38">
        <f>IF(38=$BG$4,1,0)</f>
        <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
      </c>
    </row>
    <row r="39" ht="15" customHeight="1" s="137">
      <c r="A39" s="67">
        <f>IF($BJ38&gt;0,INDEX($BA$5:$BA$41,MATCH(38,$BB$5:$BB$41,0)),IF(OR($BI38=1,$BL38=1,$BH38&gt;0),"∑",""))</f>
        <v/>
      </c>
      <c r="B39" s="76">
        <f>IF($BJ38&gt;0,IF(INDEX('Final Calculation Sheet'!$F$4:$F$40,$BJ38-3)="","",INDEX('Final Calculation Sheet'!$F$4:$F$40,$BJ38-3)),"")</f>
        <v/>
      </c>
      <c r="C39" s="76">
        <f>IF($BJ38&gt;0,IF(INDEX('Final Calculation Sheet'!$G$4:$G$40,$BJ38-3)="","",INDEX('Final Calculation Sheet'!$G$4:$G$40,$BJ38-3)),IF(OR($BI38=1,$BL38=1,$BH38&gt;0),IF($BI38=1,37,IF($BL38=1,37-INDEX($BD$4:$BD$13,10),INDEX($BD$4:$BD$13,$BH38)))&amp;" lot(s)",""))</f>
        <v/>
      </c>
      <c r="D39" s="80">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9" s="80">
        <f>IF($BJ38&gt;0,IF(INDEX('Final Calculation Sheet'!$D$4:$D$40,$BJ38-3)="","",INDEX('Final Calculation Sheet'!$D$4:$D$40,$BJ38-3)),IF(OR($BI38=1,$BL38=1,$BH38&gt;0),"–",""))</f>
        <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9" s="80">
        <f>IF($BJ38&gt;0,IF(INDEX('Final Calculation Sheet'!$E$4:$E$40,$BJ38-3)="","",INDEX('Final Calculation Sheet'!$E$4:$E$40,$BJ38-3)),IF(OR($BI38=1,$BL38=1,$BH38&gt;0),"–",""))</f>
        <v/>
      </c>
      <c r="H39" s="70">
        <f>IF($BJ38&gt;0,IF(INDEX('Final Calculation Sheet'!$C$4:$C$40,$BJ38-3)="","",INDEX('Final Calculation Sheet'!$C$4:$C$40,$BJ38-3)),IF(OR($BI38=1,$BL38=1,$BH38&gt;0),"–",""))</f>
        <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9" s="72">
        <f>IF($BJ38&gt;0,IF(INDEX('Final Calculation Sheet'!$Q$4:$Q$40,$BJ38-3)="","",INDEX('Final Calculation Sheet'!$Q$4:$Q$40,$BJ38-3)),IF(OR($BI38=1,$BL38=1,$BH38&gt;0),"–",""))</f>
        <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9" s="70">
        <f>IF($BJ38&gt;0,IF(INDEX('Final Calculation Sheet'!$V$4:$V$40,$BJ38-3)="","",INDEX('Final Calculation Sheet'!$V$4:$V$40,$BJ38-3)),IF(OR($BI38=1,$BL38=1,$BH38&gt;0),"–",""))</f>
        <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9" s="70">
        <f>IF($BJ38&gt;0,IF(INDEX('Final Calculation Sheet'!$Y$4:$Y$40,$BJ38-3)="","",INDEX('Final Calculation Sheet'!$Y$4:$Y$40,$BJ38-3)),IF(OR($BI38=1,$BL38=1,$BH38&gt;0),"–",""))</f>
        <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9" s="70">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f>IF($F$3="Lot No.",'Final Calculation Sheet'!$F$38,IF($F$3="Buyer",'Final Calculation Sheet'!$G$38,IF($F$3="Lot Name",'Final Calculation Sheet'!$B$38,IF($F$3="Bid Sheet",'Final Calculation Sheet'!$D$38,IF($F$3="Unit",'Final Calculation Sheet'!$E$38,'Final Calculation Sheet'!$F$38&amp;" "&amp;'Final Calculation Sheet'!$G$38&amp;" "&amp;'Final Calculation Sheet'!$B$38)))))</f>
        <v/>
      </c>
      <c r="AL39">
        <f>AL38+IF($B$3="",0,--(SUMPRODUCT(--($AR$6:$AY$6&lt;&gt;""),--ISNUMBER(SEARCH($AR$6:$AY$6,$AK39)))&gt;0))</f>
        <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
      </c>
      <c r="BA39">
        <f>SUMPRODUCT(($AZ$5:$AZ$41=$AZ39)*($BC$5:$BC$41&lt;$BC39))+1</f>
        <v/>
      </c>
      <c r="BB39">
        <f>IF(INDEX($BF$4:$BF$13,$AZ39)=0,0,INDEX($BE$4:$BE$13,$AZ39)+$BA39-1)</f>
        <v/>
      </c>
      <c r="BC39" t="n">
        <v>38</v>
      </c>
      <c r="BH39">
        <f>IFERROR(MATCH(39,$BF$4:$BF$13,0),0)</f>
        <v/>
      </c>
      <c r="BI39">
        <f>IF(39=$BG$5,1,0)</f>
        <v/>
      </c>
      <c r="BJ39">
        <f>IF(OR($BH39&gt;0,$BI39=1,$BL39=1),0,IFERROR(INDEX($BC$5:$BC$41,MATCH(39,$BB$5:$BB$41,0)),0))</f>
        <v/>
      </c>
      <c r="BK39">
        <f>IF($BJ39&gt;0,IF(INDEX($AZ$5:$AZ$41,MATCH(39,$BB$5:$BB$41,0))=10,1,0),IF($BH39=10,1,0))</f>
        <v/>
      </c>
      <c r="BL39">
        <f>IF(39=$BG$4,1,0)</f>
        <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
      </c>
    </row>
    <row r="40" ht="15" customHeight="1" s="137">
      <c r="A40" s="67">
        <f>IF($BJ39&gt;0,INDEX($BA$5:$BA$41,MATCH(39,$BB$5:$BB$41,0)),IF(OR($BI39=1,$BL39=1,$BH39&gt;0),"∑",""))</f>
        <v/>
      </c>
      <c r="B40" s="76">
        <f>IF($BJ39&gt;0,IF(INDEX('Final Calculation Sheet'!$F$4:$F$40,$BJ39-3)="","",INDEX('Final Calculation Sheet'!$F$4:$F$40,$BJ39-3)),"")</f>
        <v/>
      </c>
      <c r="C40" s="76">
        <f>IF($BJ39&gt;0,IF(INDEX('Final Calculation Sheet'!$G$4:$G$40,$BJ39-3)="","",INDEX('Final Calculation Sheet'!$G$4:$G$40,$BJ39-3)),IF(OR($BI39=1,$BL39=1,$BH39&gt;0),IF($BI39=1,37,IF($BL39=1,37-INDEX($BD$4:$BD$13,10),INDEX($BD$4:$BD$13,$BH39)))&amp;" lot(s)",""))</f>
        <v/>
      </c>
      <c r="D40" s="80">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40" s="80">
        <f>IF($BJ39&gt;0,IF(INDEX('Final Calculation Sheet'!$D$4:$D$40,$BJ39-3)="","",INDEX('Final Calculation Sheet'!$D$4:$D$40,$BJ39-3)),IF(OR($BI39=1,$BL39=1,$BH39&gt;0),"–",""))</f>
        <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40" s="80">
        <f>IF($BJ39&gt;0,IF(INDEX('Final Calculation Sheet'!$E$4:$E$40,$BJ39-3)="","",INDEX('Final Calculation Sheet'!$E$4:$E$40,$BJ39-3)),IF(OR($BI39=1,$BL39=1,$BH39&gt;0),"–",""))</f>
        <v/>
      </c>
      <c r="H40" s="70">
        <f>IF($BJ39&gt;0,IF(INDEX('Final Calculation Sheet'!$C$4:$C$40,$BJ39-3)="","",INDEX('Final Calculation Sheet'!$C$4:$C$40,$BJ39-3)),IF(OR($BI39=1,$BL39=1,$BH39&gt;0),"–",""))</f>
        <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40" s="72">
        <f>IF($BJ39&gt;0,IF(INDEX('Final Calculation Sheet'!$Q$4:$Q$40,$BJ39-3)="","",INDEX('Final Calculation Sheet'!$Q$4:$Q$40,$BJ39-3)),IF(OR($BI39=1,$BL39=1,$BH39&gt;0),"–",""))</f>
        <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40" s="70">
        <f>IF($BJ39&gt;0,IF(INDEX('Final Calculation Sheet'!$V$4:$V$40,$BJ39-3)="","",INDEX('Final Calculation Sheet'!$V$4:$V$40,$BJ39-3)),IF(OR($BI39=1,$BL39=1,$BH39&gt;0),"–",""))</f>
        <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40" s="70">
        <f>IF($BJ39&gt;0,IF(INDEX('Final Calculation Sheet'!$Y$4:$Y$40,$BJ39-3)="","",INDEX('Final Calculation Sheet'!$Y$4:$Y$40,$BJ39-3)),IF(OR($BI39=1,$BL39=1,$BH39&gt;0),"–",""))</f>
        <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40" s="70">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f>IF($F$3="Lot No.",'Final Calculation Sheet'!$F$39,IF($F$3="Buyer",'Final Calculation Sheet'!$G$39,IF($F$3="Lot Name",'Final Calculation Sheet'!$B$39,IF($F$3="Bid Sheet",'Final Calculation Sheet'!$D$39,IF($F$3="Unit",'Final Calculation Sheet'!$E$39,'Final Calculation Sheet'!$F$39&amp;" "&amp;'Final Calculation Sheet'!$G$39&amp;" "&amp;'Final Calculation Sheet'!$B$39)))))</f>
        <v/>
      </c>
      <c r="AL40">
        <f>AL39+IF($B$3="",0,--(SUMPRODUCT(--($AR$6:$AY$6&lt;&gt;""),--ISNUMBER(SEARCH($AR$6:$AY$6,$AK40)))&gt;0))</f>
        <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
      </c>
      <c r="BA40">
        <f>SUMPRODUCT(($AZ$5:$AZ$41=$AZ40)*($BC$5:$BC$41&lt;$BC40))+1</f>
        <v/>
      </c>
      <c r="BB40">
        <f>IF(INDEX($BF$4:$BF$13,$AZ40)=0,0,INDEX($BE$4:$BE$13,$AZ40)+$BA40-1)</f>
        <v/>
      </c>
      <c r="BC40" t="n">
        <v>39</v>
      </c>
      <c r="BH40">
        <f>IFERROR(MATCH(40,$BF$4:$BF$13,0),0)</f>
        <v/>
      </c>
      <c r="BI40">
        <f>IF(40=$BG$5,1,0)</f>
        <v/>
      </c>
      <c r="BJ40">
        <f>IF(OR($BH40&gt;0,$BI40=1,$BL40=1),0,IFERROR(INDEX($BC$5:$BC$41,MATCH(40,$BB$5:$BB$41,0)),0))</f>
        <v/>
      </c>
      <c r="BK40">
        <f>IF($BJ40&gt;0,IF(INDEX($AZ$5:$AZ$41,MATCH(40,$BB$5:$BB$41,0))=10,1,0),IF($BH40=10,1,0))</f>
        <v/>
      </c>
      <c r="BL40">
        <f>IF(40=$BG$4,1,0)</f>
        <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
      </c>
    </row>
    <row r="41" ht="15" customHeight="1" s="137">
      <c r="A41" s="67">
        <f>IF($BJ40&gt;0,INDEX($BA$5:$BA$41,MATCH(40,$BB$5:$BB$41,0)),IF(OR($BI40=1,$BL40=1,$BH40&gt;0),"∑",""))</f>
        <v/>
      </c>
      <c r="B41" s="76">
        <f>IF($BJ40&gt;0,IF(INDEX('Final Calculation Sheet'!$F$4:$F$40,$BJ40-3)="","",INDEX('Final Calculation Sheet'!$F$4:$F$40,$BJ40-3)),"")</f>
        <v/>
      </c>
      <c r="C41" s="76">
        <f>IF($BJ40&gt;0,IF(INDEX('Final Calculation Sheet'!$G$4:$G$40,$BJ40-3)="","",INDEX('Final Calculation Sheet'!$G$4:$G$40,$BJ40-3)),IF(OR($BI40=1,$BL40=1,$BH40&gt;0),IF($BI40=1,37,IF($BL40=1,37-INDEX($BD$4:$BD$13,10),INDEX($BD$4:$BD$13,$BH40)))&amp;" lot(s)",""))</f>
        <v/>
      </c>
      <c r="D41" s="80">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41" s="80">
        <f>IF($BJ40&gt;0,IF(INDEX('Final Calculation Sheet'!$D$4:$D$40,$BJ40-3)="","",INDEX('Final Calculation Sheet'!$D$4:$D$40,$BJ40-3)),IF(OR($BI40=1,$BL40=1,$BH40&gt;0),"–",""))</f>
        <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41" s="80">
        <f>IF($BJ40&gt;0,IF(INDEX('Final Calculation Sheet'!$E$4:$E$40,$BJ40-3)="","",INDEX('Final Calculation Sheet'!$E$4:$E$40,$BJ40-3)),IF(OR($BI40=1,$BL40=1,$BH40&gt;0),"–",""))</f>
        <v/>
      </c>
      <c r="H41" s="70">
        <f>IF($BJ40&gt;0,IF(INDEX('Final Calculation Sheet'!$C$4:$C$40,$BJ40-3)="","",INDEX('Final Calculation Sheet'!$C$4:$C$40,$BJ40-3)),IF(OR($BI40=1,$BL40=1,$BH40&gt;0),"–",""))</f>
        <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41" s="72">
        <f>IF($BJ40&gt;0,IF(INDEX('Final Calculation Sheet'!$Q$4:$Q$40,$BJ40-3)="","",INDEX('Final Calculation Sheet'!$Q$4:$Q$40,$BJ40-3)),IF(OR($BI40=1,$BL40=1,$BH40&gt;0),"–",""))</f>
        <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41" s="70">
        <f>IF($BJ40&gt;0,IF(INDEX('Final Calculation Sheet'!$V$4:$V$40,$BJ40-3)="","",INDEX('Final Calculation Sheet'!$V$4:$V$40,$BJ40-3)),IF(OR($BI40=1,$BL40=1,$BH40&gt;0),"–",""))</f>
        <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41" s="70">
        <f>IF($BJ40&gt;0,IF(INDEX('Final Calculation Sheet'!$Y$4:$Y$40,$BJ40-3)="","",INDEX('Final Calculation Sheet'!$Y$4:$Y$40,$BJ40-3)),IF(OR($BI40=1,$BL40=1,$BH40&gt;0),"–",""))</f>
        <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41" s="70">
        <f>IF($BJ40&gt;0,IF(INDEX('Final Calculation Sheet'!$AB$4:$AB$40,$BJ40-3)="","",INDEX('Final Calculation Sheet'!$AB$4:$AB$40,$BJ40-3)),IF(OR($BI40=1,$BL40=1,$BH40&gt;0),"–",""))</f>
        <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f>IF($F$3="Lot No.",'Final Calculation Sheet'!$F$40,IF($F$3="Buyer",'Final Calculation Sheet'!$G$40,IF($F$3="Lot Name",'Final Calculation Sheet'!$B$40,IF($F$3="Bid Sheet",'Final Calculation Sheet'!$D$40,IF($F$3="Unit",'Final Calculation Sheet'!$E$40,'Final Calculation Sheet'!$F$40&amp;" "&amp;'Final Calculation Sheet'!$G$40&amp;" "&amp;'Final Calculation Sheet'!$B$40)))))</f>
        <v/>
      </c>
      <c r="AL41">
        <f>AL40+IF($B$3="",0,--(SUMPRODUCT(--($AR$6:$AY$6&lt;&gt;""),--ISNUMBER(SEARCH($AR$6:$AY$6,$AK41)))&gt;0))</f>
        <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
      </c>
      <c r="BA41">
        <f>SUMPRODUCT(($AZ$5:$AZ$41=$AZ41)*($BC$5:$BC$41&lt;$BC41))+1</f>
        <v/>
      </c>
      <c r="BB41">
        <f>IF(INDEX($BF$4:$BF$13,$AZ41)=0,0,INDEX($BE$4:$BE$13,$AZ41)+$BA41-1)</f>
        <v/>
      </c>
      <c r="BC41" t="n">
        <v>40</v>
      </c>
      <c r="BH41">
        <f>IFERROR(MATCH(41,$BF$4:$BF$13,0),0)</f>
        <v/>
      </c>
      <c r="BI41">
        <f>IF(41=$BG$5,1,0)</f>
        <v/>
      </c>
      <c r="BJ41">
        <f>IF(OR($BH41&gt;0,$BI41=1,$BL41=1),0,IFERROR(INDEX($BC$5:$BC$41,MATCH(41,$BB$5:$BB$41,0)),0))</f>
        <v/>
      </c>
      <c r="BK41">
        <f>IF($BJ41&gt;0,IF(INDEX($AZ$5:$AZ$41,MATCH(41,$BB$5:$BB$41,0))=10,1,0),IF($BH41=10,1,0))</f>
        <v/>
      </c>
      <c r="BL41">
        <f>IF(41=$BG$4,1,0)</f>
        <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
      </c>
    </row>
    <row r="42" ht="15" customHeight="1" s="137">
      <c r="A42" s="67">
        <f>IF($BJ41&gt;0,INDEX($BA$5:$BA$41,MATCH(41,$BB$5:$BB$41,0)),IF(OR($BI41=1,$BL41=1,$BH41&gt;0),"∑",""))</f>
        <v/>
      </c>
      <c r="B42" s="76">
        <f>IF($BJ41&gt;0,IF(INDEX('Final Calculation Sheet'!$F$4:$F$40,$BJ41-3)="","",INDEX('Final Calculation Sheet'!$F$4:$F$40,$BJ41-3)),"")</f>
        <v/>
      </c>
      <c r="C42" s="76">
        <f>IF($BJ41&gt;0,IF(INDEX('Final Calculation Sheet'!$G$4:$G$40,$BJ41-3)="","",INDEX('Final Calculation Sheet'!$G$4:$G$40,$BJ41-3)),IF(OR($BI41=1,$BL41=1,$BH41&gt;0),IF($BI41=1,37,IF($BL41=1,37-INDEX($BD$4:$BD$13,10),INDEX($BD$4:$BD$13,$BH41)))&amp;" lot(s)",""))</f>
        <v/>
      </c>
      <c r="D42" s="80">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42" s="80">
        <f>IF($BJ41&gt;0,IF(INDEX('Final Calculation Sheet'!$D$4:$D$40,$BJ41-3)="","",INDEX('Final Calculation Sheet'!$D$4:$D$40,$BJ41-3)),IF(OR($BI41=1,$BL41=1,$BH41&gt;0),"–",""))</f>
        <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42" s="80">
        <f>IF($BJ41&gt;0,IF(INDEX('Final Calculation Sheet'!$E$4:$E$40,$BJ41-3)="","",INDEX('Final Calculation Sheet'!$E$4:$E$40,$BJ41-3)),IF(OR($BI41=1,$BL41=1,$BH41&gt;0),"–",""))</f>
        <v/>
      </c>
      <c r="H42" s="70">
        <f>IF($BJ41&gt;0,IF(INDEX('Final Calculation Sheet'!$C$4:$C$40,$BJ41-3)="","",INDEX('Final Calculation Sheet'!$C$4:$C$40,$BJ41-3)),IF(OR($BI41=1,$BL41=1,$BH41&gt;0),"–",""))</f>
        <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42" s="72">
        <f>IF($BJ41&gt;0,IF(INDEX('Final Calculation Sheet'!$Q$4:$Q$40,$BJ41-3)="","",INDEX('Final Calculation Sheet'!$Q$4:$Q$40,$BJ41-3)),IF(OR($BI41=1,$BL41=1,$BH41&gt;0),"–",""))</f>
        <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42" s="70">
        <f>IF($BJ41&gt;0,IF(INDEX('Final Calculation Sheet'!$V$4:$V$40,$BJ41-3)="","",INDEX('Final Calculation Sheet'!$V$4:$V$40,$BJ41-3)),IF(OR($BI41=1,$BL41=1,$BH41&gt;0),"–",""))</f>
        <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42" s="70">
        <f>IF($BJ41&gt;0,IF(INDEX('Final Calculation Sheet'!$Y$4:$Y$40,$BJ41-3)="","",INDEX('Final Calculation Sheet'!$Y$4:$Y$40,$BJ41-3)),IF(OR($BI41=1,$BL41=1,$BH41&gt;0),"–",""))</f>
        <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42" s="70">
        <f>IF($BJ41&gt;0,IF(INDEX('Final Calculation Sheet'!$AB$4:$AB$40,$BJ41-3)="","",INDEX('Final Calculation Sheet'!$AB$4:$AB$40,$BJ41-3)),IF(OR($BI41=1,$BL41=1,$BH41&gt;0),"–",""))</f>
        <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
      </c>
      <c r="BI42">
        <f>IF(42=$BG$5,1,0)</f>
        <v/>
      </c>
      <c r="BJ42">
        <f>IF(OR($BH42&gt;0,$BI42=1,$BL42=1),0,IFERROR(INDEX($BC$5:$BC$41,MATCH(42,$BB$5:$BB$41,0)),0))</f>
        <v/>
      </c>
      <c r="BK42">
        <f>IF($BJ42&gt;0,IF(INDEX($AZ$5:$AZ$41,MATCH(42,$BB$5:$BB$41,0))=10,1,0),IF($BH42=10,1,0))</f>
        <v/>
      </c>
      <c r="BL42">
        <f>IF(42=$BG$4,1,0)</f>
        <v/>
      </c>
    </row>
    <row r="43" ht="15" customHeight="1" s="137">
      <c r="A43" s="67">
        <f>IF($BJ42&gt;0,INDEX($BA$5:$BA$41,MATCH(42,$BB$5:$BB$41,0)),IF(OR($BI42=1,$BL42=1,$BH42&gt;0),"∑",""))</f>
        <v/>
      </c>
      <c r="B43" s="76">
        <f>IF($BJ42&gt;0,IF(INDEX('Final Calculation Sheet'!$F$4:$F$40,$BJ42-3)="","",INDEX('Final Calculation Sheet'!$F$4:$F$40,$BJ42-3)),"")</f>
        <v/>
      </c>
      <c r="C43" s="76">
        <f>IF($BJ42&gt;0,IF(INDEX('Final Calculation Sheet'!$G$4:$G$40,$BJ42-3)="","",INDEX('Final Calculation Sheet'!$G$4:$G$40,$BJ42-3)),IF(OR($BI42=1,$BL42=1,$BH42&gt;0),IF($BI42=1,37,IF($BL42=1,37-INDEX($BD$4:$BD$13,10),INDEX($BD$4:$BD$13,$BH42)))&amp;" lot(s)",""))</f>
        <v/>
      </c>
      <c r="D43" s="80">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
      </c>
      <c r="E43" s="80">
        <f>IF($BJ42&gt;0,IF(INDEX('Final Calculation Sheet'!$D$4:$D$40,$BJ42-3)="","",INDEX('Final Calculation Sheet'!$D$4:$D$40,$BJ42-3)),IF(OR($BI42=1,$BL42=1,$BH42&gt;0),"–",""))</f>
        <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
      </c>
      <c r="G43" s="80">
        <f>IF($BJ42&gt;0,IF(INDEX('Final Calculation Sheet'!$E$4:$E$40,$BJ42-3)="","",INDEX('Final Calculation Sheet'!$E$4:$E$40,$BJ42-3)),IF(OR($BI42=1,$BL42=1,$BH42&gt;0),"–",""))</f>
        <v/>
      </c>
      <c r="H43" s="70">
        <f>IF($BJ42&gt;0,IF(INDEX('Final Calculation Sheet'!$C$4:$C$40,$BJ42-3)="","",INDEX('Final Calculation Sheet'!$C$4:$C$40,$BJ42-3)),IF(OR($BI42=1,$BL42=1,$BH42&gt;0),"–",""))</f>
        <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
      </c>
      <c r="R43" s="72">
        <f>IF($BJ42&gt;0,IF(INDEX('Final Calculation Sheet'!$Q$4:$Q$40,$BJ42-3)="","",INDEX('Final Calculation Sheet'!$Q$4:$Q$40,$BJ42-3)),IF(OR($BI42=1,$BL42=1,$BH42&gt;0),"–",""))</f>
        <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
      </c>
      <c r="W43" s="70">
        <f>IF($BJ42&gt;0,IF(INDEX('Final Calculation Sheet'!$V$4:$V$40,$BJ42-3)="","",INDEX('Final Calculation Sheet'!$V$4:$V$40,$BJ42-3)),IF(OR($BI42=1,$BL42=1,$BH42&gt;0),"–",""))</f>
        <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
      </c>
      <c r="Z43" s="70">
        <f>IF($BJ42&gt;0,IF(INDEX('Final Calculation Sheet'!$Y$4:$Y$40,$BJ42-3)="","",INDEX('Final Calculation Sheet'!$Y$4:$Y$40,$BJ42-3)),IF(OR($BI42=1,$BL42=1,$BH42&gt;0),"–",""))</f>
        <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
      </c>
      <c r="AC43" s="70">
        <f>IF($BJ42&gt;0,IF(INDEX('Final Calculation Sheet'!$AB$4:$AB$40,$BJ42-3)="","",INDEX('Final Calculation Sheet'!$AB$4:$AB$40,$BJ42-3)),IF(OR($BI42=1,$BL42=1,$BH42&gt;0),"–",""))</f>
        <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
      </c>
      <c r="BI43">
        <f>IF(43=$BG$5,1,0)</f>
        <v/>
      </c>
      <c r="BJ43">
        <f>IF(OR($BH43&gt;0,$BI43=1,$BL43=1),0,IFERROR(INDEX($BC$5:$BC$41,MATCH(43,$BB$5:$BB$41,0)),0))</f>
        <v/>
      </c>
      <c r="BK43">
        <f>IF($BJ43&gt;0,IF(INDEX($AZ$5:$AZ$41,MATCH(43,$BB$5:$BB$41,0))=10,1,0),IF($BH43=10,1,0))</f>
        <v/>
      </c>
      <c r="BL43">
        <f>IF(43=$BG$4,1,0)</f>
        <v/>
      </c>
    </row>
    <row r="44" ht="15" customHeight="1" s="137">
      <c r="A44" s="67">
        <f>IF($BJ43&gt;0,INDEX($BA$5:$BA$41,MATCH(43,$BB$5:$BB$41,0)),IF(OR($BI43=1,$BL43=1,$BH43&gt;0),"∑",""))</f>
        <v/>
      </c>
      <c r="B44" s="76">
        <f>IF($BJ43&gt;0,IF(INDEX('Final Calculation Sheet'!$F$4:$F$40,$BJ43-3)="","",INDEX('Final Calculation Sheet'!$F$4:$F$40,$BJ43-3)),"")</f>
        <v/>
      </c>
      <c r="C44" s="76">
        <f>IF($BJ43&gt;0,IF(INDEX('Final Calculation Sheet'!$G$4:$G$40,$BJ43-3)="","",INDEX('Final Calculation Sheet'!$G$4:$G$40,$BJ43-3)),IF(OR($BI43=1,$BL43=1,$BH43&gt;0),IF($BI43=1,37,IF($BL43=1,37-INDEX($BD$4:$BD$13,10),INDEX($BD$4:$BD$13,$BH43)))&amp;" lot(s)",""))</f>
        <v/>
      </c>
      <c r="D44" s="80">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
      </c>
      <c r="E44" s="80">
        <f>IF($BJ43&gt;0,IF(INDEX('Final Calculation Sheet'!$D$4:$D$40,$BJ43-3)="","",INDEX('Final Calculation Sheet'!$D$4:$D$40,$BJ43-3)),IF(OR($BI43=1,$BL43=1,$BH43&gt;0),"–",""))</f>
        <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
      </c>
      <c r="G44" s="80">
        <f>IF($BJ43&gt;0,IF(INDEX('Final Calculation Sheet'!$E$4:$E$40,$BJ43-3)="","",INDEX('Final Calculation Sheet'!$E$4:$E$40,$BJ43-3)),IF(OR($BI43=1,$BL43=1,$BH43&gt;0),"–",""))</f>
        <v/>
      </c>
      <c r="H44" s="70">
        <f>IF($BJ43&gt;0,IF(INDEX('Final Calculation Sheet'!$C$4:$C$40,$BJ43-3)="","",INDEX('Final Calculation Sheet'!$C$4:$C$40,$BJ43-3)),IF(OR($BI43=1,$BL43=1,$BH43&gt;0),"–",""))</f>
        <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
      </c>
      <c r="R44" s="72">
        <f>IF($BJ43&gt;0,IF(INDEX('Final Calculation Sheet'!$Q$4:$Q$40,$BJ43-3)="","",INDEX('Final Calculation Sheet'!$Q$4:$Q$40,$BJ43-3)),IF(OR($BI43=1,$BL43=1,$BH43&gt;0),"–",""))</f>
        <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
      </c>
      <c r="W44" s="70">
        <f>IF($BJ43&gt;0,IF(INDEX('Final Calculation Sheet'!$V$4:$V$40,$BJ43-3)="","",INDEX('Final Calculation Sheet'!$V$4:$V$40,$BJ43-3)),IF(OR($BI43=1,$BL43=1,$BH43&gt;0),"–",""))</f>
        <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
      </c>
      <c r="Z44" s="70">
        <f>IF($BJ43&gt;0,IF(INDEX('Final Calculation Sheet'!$Y$4:$Y$40,$BJ43-3)="","",INDEX('Final Calculation Sheet'!$Y$4:$Y$40,$BJ43-3)),IF(OR($BI43=1,$BL43=1,$BH43&gt;0),"–",""))</f>
        <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
      </c>
      <c r="AC44" s="70">
        <f>IF($BJ43&gt;0,IF(INDEX('Final Calculation Sheet'!$AB$4:$AB$40,$BJ43-3)="","",INDEX('Final Calculation Sheet'!$AB$4:$AB$40,$BJ43-3)),IF(OR($BI43=1,$BL43=1,$BH43&gt;0),"–",""))</f>
        <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
      </c>
      <c r="BI44">
        <f>IF(44=$BG$5,1,0)</f>
        <v/>
      </c>
      <c r="BJ44">
        <f>IF(OR($BH44&gt;0,$BI44=1,$BL44=1),0,IFERROR(INDEX($BC$5:$BC$41,MATCH(44,$BB$5:$BB$41,0)),0))</f>
        <v/>
      </c>
      <c r="BK44">
        <f>IF($BJ44&gt;0,IF(INDEX($AZ$5:$AZ$41,MATCH(44,$BB$5:$BB$41,0))=10,1,0),IF($BH44=10,1,0))</f>
        <v/>
      </c>
      <c r="BL44">
        <f>IF(44=$BG$4,1,0)</f>
        <v/>
      </c>
    </row>
    <row r="45" ht="15" customHeight="1" s="137">
      <c r="A45" s="67">
        <f>IF($BJ44&gt;0,INDEX($BA$5:$BA$41,MATCH(44,$BB$5:$BB$41,0)),IF(OR($BI44=1,$BL44=1,$BH44&gt;0),"∑",""))</f>
        <v/>
      </c>
      <c r="B45" s="76">
        <f>IF($BJ44&gt;0,IF(INDEX('Final Calculation Sheet'!$F$4:$F$40,$BJ44-3)="","",INDEX('Final Calculation Sheet'!$F$4:$F$40,$BJ44-3)),"")</f>
        <v/>
      </c>
      <c r="C45" s="76">
        <f>IF($BJ44&gt;0,IF(INDEX('Final Calculation Sheet'!$G$4:$G$40,$BJ44-3)="","",INDEX('Final Calculation Sheet'!$G$4:$G$40,$BJ44-3)),IF(OR($BI44=1,$BL44=1,$BH44&gt;0),IF($BI44=1,37,IF($BL44=1,37-INDEX($BD$4:$BD$13,10),INDEX($BD$4:$BD$13,$BH44)))&amp;" lot(s)",""))</f>
        <v/>
      </c>
      <c r="D45" s="80">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
      </c>
      <c r="E45" s="80">
        <f>IF($BJ44&gt;0,IF(INDEX('Final Calculation Sheet'!$D$4:$D$40,$BJ44-3)="","",INDEX('Final Calculation Sheet'!$D$4:$D$40,$BJ44-3)),IF(OR($BI44=1,$BL44=1,$BH44&gt;0),"–",""))</f>
        <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
      </c>
      <c r="G45" s="80">
        <f>IF($BJ44&gt;0,IF(INDEX('Final Calculation Sheet'!$E$4:$E$40,$BJ44-3)="","",INDEX('Final Calculation Sheet'!$E$4:$E$40,$BJ44-3)),IF(OR($BI44=1,$BL44=1,$BH44&gt;0),"–",""))</f>
        <v/>
      </c>
      <c r="H45" s="70">
        <f>IF($BJ44&gt;0,IF(INDEX('Final Calculation Sheet'!$C$4:$C$40,$BJ44-3)="","",INDEX('Final Calculation Sheet'!$C$4:$C$40,$BJ44-3)),IF(OR($BI44=1,$BL44=1,$BH44&gt;0),"–",""))</f>
        <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
      </c>
      <c r="R45" s="72">
        <f>IF($BJ44&gt;0,IF(INDEX('Final Calculation Sheet'!$Q$4:$Q$40,$BJ44-3)="","",INDEX('Final Calculation Sheet'!$Q$4:$Q$40,$BJ44-3)),IF(OR($BI44=1,$BL44=1,$BH44&gt;0),"–",""))</f>
        <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
      </c>
      <c r="W45" s="70">
        <f>IF($BJ44&gt;0,IF(INDEX('Final Calculation Sheet'!$V$4:$V$40,$BJ44-3)="","",INDEX('Final Calculation Sheet'!$V$4:$V$40,$BJ44-3)),IF(OR($BI44=1,$BL44=1,$BH44&gt;0),"–",""))</f>
        <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
      </c>
      <c r="Z45" s="70">
        <f>IF($BJ44&gt;0,IF(INDEX('Final Calculation Sheet'!$Y$4:$Y$40,$BJ44-3)="","",INDEX('Final Calculation Sheet'!$Y$4:$Y$40,$BJ44-3)),IF(OR($BI44=1,$BL44=1,$BH44&gt;0),"–",""))</f>
        <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
      </c>
      <c r="AC45" s="70">
        <f>IF($BJ44&gt;0,IF(INDEX('Final Calculation Sheet'!$AB$4:$AB$40,$BJ44-3)="","",INDEX('Final Calculation Sheet'!$AB$4:$AB$40,$BJ44-3)),IF(OR($BI44=1,$BL44=1,$BH44&gt;0),"–",""))</f>
        <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
      </c>
      <c r="BI45">
        <f>IF(45=$BG$5,1,0)</f>
        <v/>
      </c>
      <c r="BJ45">
        <f>IF(OR($BH45&gt;0,$BI45=1,$BL45=1),0,IFERROR(INDEX($BC$5:$BC$41,MATCH(45,$BB$5:$BB$41,0)),0))</f>
        <v/>
      </c>
      <c r="BK45">
        <f>IF($BJ45&gt;0,IF(INDEX($AZ$5:$AZ$41,MATCH(45,$BB$5:$BB$41,0))=10,1,0),IF($BH45=10,1,0))</f>
        <v/>
      </c>
      <c r="BL45">
        <f>IF(45=$BG$4,1,0)</f>
        <v/>
      </c>
    </row>
    <row r="46" ht="15" customHeight="1" s="137">
      <c r="A46" s="67">
        <f>IF($BJ45&gt;0,INDEX($BA$5:$BA$41,MATCH(45,$BB$5:$BB$41,0)),IF(OR($BI45=1,$BL45=1,$BH45&gt;0),"∑",""))</f>
        <v/>
      </c>
      <c r="B46" s="76">
        <f>IF($BJ45&gt;0,IF(INDEX('Final Calculation Sheet'!$F$4:$F$40,$BJ45-3)="","",INDEX('Final Calculation Sheet'!$F$4:$F$40,$BJ45-3)),"")</f>
        <v/>
      </c>
      <c r="C46" s="76">
        <f>IF($BJ45&gt;0,IF(INDEX('Final Calculation Sheet'!$G$4:$G$40,$BJ45-3)="","",INDEX('Final Calculation Sheet'!$G$4:$G$40,$BJ45-3)),IF(OR($BI45=1,$BL45=1,$BH45&gt;0),IF($BI45=1,37,IF($BL45=1,37-INDEX($BD$4:$BD$13,10),INDEX($BD$4:$BD$13,$BH45)))&amp;" lot(s)",""))</f>
        <v/>
      </c>
      <c r="D46" s="80">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f>IF($BJ45&gt;0,IF(INDEX('Final Calculation Sheet'!$D$4:$D$40,$BJ45-3)="","",INDEX('Final Calculation Sheet'!$D$4:$D$40,$BJ45-3)),IF(OR($BI45=1,$BL45=1,$BH45&gt;0),"–",""))</f>
        <v/>
      </c>
      <c r="F46" s="80">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f>IF($BJ45&gt;0,IF(INDEX('Final Calculation Sheet'!$E$4:$E$40,$BJ45-3)="","",INDEX('Final Calculation Sheet'!$E$4:$E$40,$BJ45-3)),IF(OR($BI45=1,$BL45=1,$BH45&gt;0),"–",""))</f>
        <v/>
      </c>
      <c r="H46" s="70">
        <f>IF($BJ45&gt;0,IF(INDEX('Final Calculation Sheet'!$C$4:$C$40,$BJ45-3)="","",INDEX('Final Calculation Sheet'!$C$4:$C$40,$BJ45-3)),IF(OR($BI45=1,$BL45=1,$BH45&gt;0),"–",""))</f>
        <v/>
      </c>
      <c r="I46" s="70">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f>IF($BJ45&gt;0,IF(INDEX('Final Calculation Sheet'!$Q$4:$Q$40,$BJ45-3)="","",INDEX('Final Calculation Sheet'!$Q$4:$Q$40,$BJ45-3)),IF(OR($BI45=1,$BL45=1,$BH45&gt;0),"–",""))</f>
        <v/>
      </c>
      <c r="S46" s="70">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f>IF($BJ45&gt;0,IF(INDEX('Final Calculation Sheet'!$V$4:$V$40,$BJ45-3)="","",INDEX('Final Calculation Sheet'!$V$4:$V$40,$BJ45-3)),IF(OR($BI45=1,$BL45=1,$BH45&gt;0),"–",""))</f>
        <v/>
      </c>
      <c r="X46" s="70">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f>IF($BJ45&gt;0,IF(INDEX('Final Calculation Sheet'!$Y$4:$Y$40,$BJ45-3)="","",INDEX('Final Calculation Sheet'!$Y$4:$Y$40,$BJ45-3)),IF(OR($BI45=1,$BL45=1,$BH45&gt;0),"–",""))</f>
        <v/>
      </c>
      <c r="AA46" s="70">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f>IF($BJ45&gt;0,IF(INDEX('Final Calculation Sheet'!$AB$4:$AB$40,$BJ45-3)="","",INDEX('Final Calculation Sheet'!$AB$4:$AB$40,$BJ45-3)),IF(OR($BI45=1,$BL45=1,$BH45&gt;0),"–",""))</f>
        <v/>
      </c>
      <c r="AD46" s="70">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
      </c>
      <c r="BI46">
        <f>IF(46=$BG$5,1,0)</f>
        <v/>
      </c>
      <c r="BJ46">
        <f>IF(OR($BH46&gt;0,$BI46=1,$BL46=1),0,IFERROR(INDEX($BC$5:$BC$41,MATCH(46,$BB$5:$BB$41,0)),0))</f>
        <v/>
      </c>
      <c r="BK46">
        <f>IF($BJ46&gt;0,IF(INDEX($AZ$5:$AZ$41,MATCH(46,$BB$5:$BB$41,0))=10,1,0),IF($BH46=10,1,0))</f>
        <v/>
      </c>
      <c r="BL46">
        <f>IF(46=$BG$4,1,0)</f>
        <v/>
      </c>
    </row>
    <row r="47" ht="15" customHeight="1" s="137">
      <c r="A47" s="67">
        <f>IF($BJ46&gt;0,INDEX($BA$5:$BA$41,MATCH(46,$BB$5:$BB$41,0)),IF(OR($BI46=1,$BL46=1,$BH46&gt;0),"∑",""))</f>
        <v/>
      </c>
      <c r="B47" s="76">
        <f>IF($BJ46&gt;0,IF(INDEX('Final Calculation Sheet'!$F$4:$F$40,$BJ46-3)="","",INDEX('Final Calculation Sheet'!$F$4:$F$40,$BJ46-3)),"")</f>
        <v/>
      </c>
      <c r="C47" s="76">
        <f>IF($BJ46&gt;0,IF(INDEX('Final Calculation Sheet'!$G$4:$G$40,$BJ46-3)="","",INDEX('Final Calculation Sheet'!$G$4:$G$40,$BJ46-3)),IF(OR($BI46=1,$BL46=1,$BH46&gt;0),IF($BI46=1,37,IF($BL46=1,37-INDEX($BD$4:$BD$13,10),INDEX($BD$4:$BD$13,$BH46)))&amp;" lot(s)",""))</f>
        <v/>
      </c>
      <c r="D47" s="80">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f>IF($BJ46&gt;0,IF(INDEX('Final Calculation Sheet'!$D$4:$D$40,$BJ46-3)="","",INDEX('Final Calculation Sheet'!$D$4:$D$40,$BJ46-3)),IF(OR($BI46=1,$BL46=1,$BH46&gt;0),"–",""))</f>
        <v/>
      </c>
      <c r="F47" s="80">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f>IF($BJ46&gt;0,IF(INDEX('Final Calculation Sheet'!$E$4:$E$40,$BJ46-3)="","",INDEX('Final Calculation Sheet'!$E$4:$E$40,$BJ46-3)),IF(OR($BI46=1,$BL46=1,$BH46&gt;0),"–",""))</f>
        <v/>
      </c>
      <c r="H47" s="70">
        <f>IF($BJ46&gt;0,IF(INDEX('Final Calculation Sheet'!$C$4:$C$40,$BJ46-3)="","",INDEX('Final Calculation Sheet'!$C$4:$C$40,$BJ46-3)),IF(OR($BI46=1,$BL46=1,$BH46&gt;0),"–",""))</f>
        <v/>
      </c>
      <c r="I47" s="70">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f>IF($BJ46&gt;0,IF(INDEX('Final Calculation Sheet'!$Q$4:$Q$40,$BJ46-3)="","",INDEX('Final Calculation Sheet'!$Q$4:$Q$40,$BJ46-3)),IF(OR($BI46=1,$BL46=1,$BH46&gt;0),"–",""))</f>
        <v/>
      </c>
      <c r="S47" s="70">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f>IF($BJ46&gt;0,IF(INDEX('Final Calculation Sheet'!$V$4:$V$40,$BJ46-3)="","",INDEX('Final Calculation Sheet'!$V$4:$V$40,$BJ46-3)),IF(OR($BI46=1,$BL46=1,$BH46&gt;0),"–",""))</f>
        <v/>
      </c>
      <c r="X47" s="70">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f>IF($BJ46&gt;0,IF(INDEX('Final Calculation Sheet'!$Y$4:$Y$40,$BJ46-3)="","",INDEX('Final Calculation Sheet'!$Y$4:$Y$40,$BJ46-3)),IF(OR($BI46=1,$BL46=1,$BH46&gt;0),"–",""))</f>
        <v/>
      </c>
      <c r="AA47" s="70">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f>IF($BJ46&gt;0,IF(INDEX('Final Calculation Sheet'!$AB$4:$AB$40,$BJ46-3)="","",INDEX('Final Calculation Sheet'!$AB$4:$AB$40,$BJ46-3)),IF(OR($BI46=1,$BL46=1,$BH46&gt;0),"–",""))</f>
        <v/>
      </c>
      <c r="AD47" s="70">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
      </c>
      <c r="BI47">
        <f>IF(47=$BG$5,1,0)</f>
        <v/>
      </c>
      <c r="BJ47">
        <f>IF(OR($BH47&gt;0,$BI47=1,$BL47=1),0,IFERROR(INDEX($BC$5:$BC$41,MATCH(47,$BB$5:$BB$41,0)),0))</f>
        <v/>
      </c>
      <c r="BK47">
        <f>IF($BJ47&gt;0,IF(INDEX($AZ$5:$AZ$41,MATCH(47,$BB$5:$BB$41,0))=10,1,0),IF($BH47=10,1,0))</f>
        <v/>
      </c>
      <c r="BL47">
        <f>IF(47=$BG$4,1,0)</f>
        <v/>
      </c>
    </row>
    <row r="48" ht="15" customHeight="1" s="137">
      <c r="A48" s="67">
        <f>IF($BJ47&gt;0,INDEX($BA$5:$BA$41,MATCH(47,$BB$5:$BB$41,0)),IF(OR($BI47=1,$BL47=1,$BH47&gt;0),"∑",""))</f>
        <v/>
      </c>
      <c r="B48" s="76">
        <f>IF($BJ47&gt;0,IF(INDEX('Final Calculation Sheet'!$F$4:$F$40,$BJ47-3)="","",INDEX('Final Calculation Sheet'!$F$4:$F$40,$BJ47-3)),"")</f>
        <v/>
      </c>
      <c r="C48" s="76">
        <f>IF($BJ47&gt;0,IF(INDEX('Final Calculation Sheet'!$G$4:$G$40,$BJ47-3)="","",INDEX('Final Calculation Sheet'!$G$4:$G$40,$BJ47-3)),IF(OR($BI47=1,$BL47=1,$BH47&gt;0),IF($BI47=1,37,IF($BL47=1,37-INDEX($BD$4:$BD$13,10),INDEX($BD$4:$BD$13,$BH47)))&amp;" lot(s)",""))</f>
        <v/>
      </c>
      <c r="D48" s="80">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f>IF($BJ47&gt;0,IF(INDEX('Final Calculation Sheet'!$D$4:$D$40,$BJ47-3)="","",INDEX('Final Calculation Sheet'!$D$4:$D$40,$BJ47-3)),IF(OR($BI47=1,$BL47=1,$BH47&gt;0),"–",""))</f>
        <v/>
      </c>
      <c r="F48" s="80">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f>IF($BJ47&gt;0,IF(INDEX('Final Calculation Sheet'!$E$4:$E$40,$BJ47-3)="","",INDEX('Final Calculation Sheet'!$E$4:$E$40,$BJ47-3)),IF(OR($BI47=1,$BL47=1,$BH47&gt;0),"–",""))</f>
        <v/>
      </c>
      <c r="H48" s="70">
        <f>IF($BJ47&gt;0,IF(INDEX('Final Calculation Sheet'!$C$4:$C$40,$BJ47-3)="","",INDEX('Final Calculation Sheet'!$C$4:$C$40,$BJ47-3)),IF(OR($BI47=1,$BL47=1,$BH47&gt;0),"–",""))</f>
        <v/>
      </c>
      <c r="I48" s="70">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f>IF($BJ47&gt;0,IF(INDEX('Final Calculation Sheet'!$Q$4:$Q$40,$BJ47-3)="","",INDEX('Final Calculation Sheet'!$Q$4:$Q$40,$BJ47-3)),IF(OR($BI47=1,$BL47=1,$BH47&gt;0),"–",""))</f>
        <v/>
      </c>
      <c r="S48" s="70">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f>IF($BJ47&gt;0,IF(INDEX('Final Calculation Sheet'!$V$4:$V$40,$BJ47-3)="","",INDEX('Final Calculation Sheet'!$V$4:$V$40,$BJ47-3)),IF(OR($BI47=1,$BL47=1,$BH47&gt;0),"–",""))</f>
        <v/>
      </c>
      <c r="X48" s="70">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f>IF($BJ47&gt;0,IF(INDEX('Final Calculation Sheet'!$Y$4:$Y$40,$BJ47-3)="","",INDEX('Final Calculation Sheet'!$Y$4:$Y$40,$BJ47-3)),IF(OR($BI47=1,$BL47=1,$BH47&gt;0),"–",""))</f>
        <v/>
      </c>
      <c r="AA48" s="70">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f>IF($BJ47&gt;0,IF(INDEX('Final Calculation Sheet'!$AB$4:$AB$40,$BJ47-3)="","",INDEX('Final Calculation Sheet'!$AB$4:$AB$40,$BJ47-3)),IF(OR($BI47=1,$BL47=1,$BH47&gt;0),"–",""))</f>
        <v/>
      </c>
      <c r="AD48" s="70">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
      </c>
      <c r="BI48">
        <f>IF(48=$BG$5,1,0)</f>
        <v/>
      </c>
      <c r="BJ48">
        <f>IF(OR($BH48&gt;0,$BI48=1,$BL48=1),0,IFERROR(INDEX($BC$5:$BC$41,MATCH(48,$BB$5:$BB$41,0)),0))</f>
        <v/>
      </c>
      <c r="BK48">
        <f>IF($BJ48&gt;0,IF(INDEX($AZ$5:$AZ$41,MATCH(48,$BB$5:$BB$41,0))=10,1,0),IF($BH48=10,1,0))</f>
        <v/>
      </c>
      <c r="BL48">
        <f>IF(48=$BG$4,1,0)</f>
        <v/>
      </c>
    </row>
    <row r="49" ht="15" customHeight="1" s="137">
      <c r="A49" s="67">
        <f>IF($BJ48&gt;0,INDEX($BA$5:$BA$41,MATCH(48,$BB$5:$BB$41,0)),IF(OR($BI48=1,$BL48=1,$BH48&gt;0),"∑",""))</f>
        <v/>
      </c>
      <c r="B49" s="76">
        <f>IF($BJ48&gt;0,IF(INDEX('Final Calculation Sheet'!$F$4:$F$40,$BJ48-3)="","",INDEX('Final Calculation Sheet'!$F$4:$F$40,$BJ48-3)),"")</f>
        <v/>
      </c>
      <c r="C49" s="76">
        <f>IF($BJ48&gt;0,IF(INDEX('Final Calculation Sheet'!$G$4:$G$40,$BJ48-3)="","",INDEX('Final Calculation Sheet'!$G$4:$G$40,$BJ48-3)),IF(OR($BI48=1,$BL48=1,$BH48&gt;0),IF($BI48=1,37,IF($BL48=1,37-INDEX($BD$4:$BD$13,10),INDEX($BD$4:$BD$13,$BH48)))&amp;" lot(s)",""))</f>
        <v/>
      </c>
      <c r="D49" s="80">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f>IF($BJ48&gt;0,IF(INDEX('Final Calculation Sheet'!$D$4:$D$40,$BJ48-3)="","",INDEX('Final Calculation Sheet'!$D$4:$D$40,$BJ48-3)),IF(OR($BI48=1,$BL48=1,$BH48&gt;0),"–",""))</f>
        <v/>
      </c>
      <c r="F49" s="80">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f>IF($BJ48&gt;0,IF(INDEX('Final Calculation Sheet'!$E$4:$E$40,$BJ48-3)="","",INDEX('Final Calculation Sheet'!$E$4:$E$40,$BJ48-3)),IF(OR($BI48=1,$BL48=1,$BH48&gt;0),"–",""))</f>
        <v/>
      </c>
      <c r="H49" s="70">
        <f>IF($BJ48&gt;0,IF(INDEX('Final Calculation Sheet'!$C$4:$C$40,$BJ48-3)="","",INDEX('Final Calculation Sheet'!$C$4:$C$40,$BJ48-3)),IF(OR($BI48=1,$BL48=1,$BH48&gt;0),"–",""))</f>
        <v/>
      </c>
      <c r="I49" s="70">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f>IF($BJ48&gt;0,IF(INDEX('Final Calculation Sheet'!$Q$4:$Q$40,$BJ48-3)="","",INDEX('Final Calculation Sheet'!$Q$4:$Q$40,$BJ48-3)),IF(OR($BI48=1,$BL48=1,$BH48&gt;0),"–",""))</f>
        <v/>
      </c>
      <c r="S49" s="70">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f>IF($BJ48&gt;0,IF(INDEX('Final Calculation Sheet'!$V$4:$V$40,$BJ48-3)="","",INDEX('Final Calculation Sheet'!$V$4:$V$40,$BJ48-3)),IF(OR($BI48=1,$BL48=1,$BH48&gt;0),"–",""))</f>
        <v/>
      </c>
      <c r="X49" s="70">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f>IF($BJ48&gt;0,IF(INDEX('Final Calculation Sheet'!$Y$4:$Y$40,$BJ48-3)="","",INDEX('Final Calculation Sheet'!$Y$4:$Y$40,$BJ48-3)),IF(OR($BI48=1,$BL48=1,$BH48&gt;0),"–",""))</f>
        <v/>
      </c>
      <c r="AA49" s="70">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f>IF($BJ48&gt;0,IF(INDEX('Final Calculation Sheet'!$AB$4:$AB$40,$BJ48-3)="","",INDEX('Final Calculation Sheet'!$AB$4:$AB$40,$BJ48-3)),IF(OR($BI48=1,$BL48=1,$BH48&gt;0),"–",""))</f>
        <v/>
      </c>
      <c r="AD49" s="70">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
      </c>
      <c r="BI49">
        <f>IF(49=$BG$5,1,0)</f>
        <v/>
      </c>
      <c r="BJ49">
        <f>IF(OR($BH49&gt;0,$BI49=1,$BL49=1),0,IFERROR(INDEX($BC$5:$BC$41,MATCH(49,$BB$5:$BB$41,0)),0))</f>
        <v/>
      </c>
      <c r="BK49">
        <f>IF($BJ49&gt;0,IF(INDEX($AZ$5:$AZ$41,MATCH(49,$BB$5:$BB$41,0))=10,1,0),IF($BH49=10,1,0))</f>
        <v/>
      </c>
      <c r="BL49">
        <f>IF(49=$BG$4,1,0)</f>
        <v/>
      </c>
    </row>
    <row r="50" ht="15" customHeight="1" s="137">
      <c r="A50" s="67">
        <f>IF($BJ49&gt;0,INDEX($BA$5:$BA$41,MATCH(49,$BB$5:$BB$41,0)),IF(OR($BI49=1,$BL49=1,$BH49&gt;0),"∑",""))</f>
        <v/>
      </c>
      <c r="B50" s="76">
        <f>IF($BJ49&gt;0,IF(INDEX('Final Calculation Sheet'!$F$4:$F$40,$BJ49-3)="","",INDEX('Final Calculation Sheet'!$F$4:$F$40,$BJ49-3)),"")</f>
        <v/>
      </c>
      <c r="C50" s="76">
        <f>IF($BJ49&gt;0,IF(INDEX('Final Calculation Sheet'!$G$4:$G$40,$BJ49-3)="","",INDEX('Final Calculation Sheet'!$G$4:$G$40,$BJ49-3)),IF(OR($BI49=1,$BL49=1,$BH49&gt;0),IF($BI49=1,37,IF($BL49=1,37-INDEX($BD$4:$BD$13,10),INDEX($BD$4:$BD$13,$BH49)))&amp;" lot(s)",""))</f>
        <v/>
      </c>
      <c r="D50" s="80">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f>IF($BJ49&gt;0,IF(INDEX('Final Calculation Sheet'!$D$4:$D$40,$BJ49-3)="","",INDEX('Final Calculation Sheet'!$D$4:$D$40,$BJ49-3)),IF(OR($BI49=1,$BL49=1,$BH49&gt;0),"–",""))</f>
        <v/>
      </c>
      <c r="F50" s="80">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f>IF($BJ49&gt;0,IF(INDEX('Final Calculation Sheet'!$E$4:$E$40,$BJ49-3)="","",INDEX('Final Calculation Sheet'!$E$4:$E$40,$BJ49-3)),IF(OR($BI49=1,$BL49=1,$BH49&gt;0),"–",""))</f>
        <v/>
      </c>
      <c r="H50" s="70">
        <f>IF($BJ49&gt;0,IF(INDEX('Final Calculation Sheet'!$C$4:$C$40,$BJ49-3)="","",INDEX('Final Calculation Sheet'!$C$4:$C$40,$BJ49-3)),IF(OR($BI49=1,$BL49=1,$BH49&gt;0),"–",""))</f>
        <v/>
      </c>
      <c r="I50" s="70">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f>IF($BJ49&gt;0,IF(INDEX('Final Calculation Sheet'!$Q$4:$Q$40,$BJ49-3)="","",INDEX('Final Calculation Sheet'!$Q$4:$Q$40,$BJ49-3)),IF(OR($BI49=1,$BL49=1,$BH49&gt;0),"–",""))</f>
        <v/>
      </c>
      <c r="S50" s="70">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f>IF($BJ49&gt;0,IF(INDEX('Final Calculation Sheet'!$V$4:$V$40,$BJ49-3)="","",INDEX('Final Calculation Sheet'!$V$4:$V$40,$BJ49-3)),IF(OR($BI49=1,$BL49=1,$BH49&gt;0),"–",""))</f>
        <v/>
      </c>
      <c r="X50" s="70">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f>IF($BJ49&gt;0,IF(INDEX('Final Calculation Sheet'!$Y$4:$Y$40,$BJ49-3)="","",INDEX('Final Calculation Sheet'!$Y$4:$Y$40,$BJ49-3)),IF(OR($BI49=1,$BL49=1,$BH49&gt;0),"–",""))</f>
        <v/>
      </c>
      <c r="AA50" s="70">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f>IF($BJ49&gt;0,IF(INDEX('Final Calculation Sheet'!$AB$4:$AB$40,$BJ49-3)="","",INDEX('Final Calculation Sheet'!$AB$4:$AB$40,$BJ49-3)),IF(OR($BI49=1,$BL49=1,$BH49&gt;0),"–",""))</f>
        <v/>
      </c>
      <c r="AD50" s="70">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
      </c>
      <c r="BI50">
        <f>IF(50=$BG$5,1,0)</f>
        <v/>
      </c>
      <c r="BJ50">
        <f>IF(OR($BH50&gt;0,$BI50=1,$BL50=1),0,IFERROR(INDEX($BC$5:$BC$41,MATCH(50,$BB$5:$BB$41,0)),0))</f>
        <v/>
      </c>
      <c r="BK50">
        <f>IF($BJ50&gt;0,IF(INDEX($AZ$5:$AZ$41,MATCH(50,$BB$5:$BB$41,0))=10,1,0),IF($BH50=10,1,0))</f>
        <v/>
      </c>
      <c r="BL50">
        <f>IF(50=$BG$4,1,0)</f>
        <v/>
      </c>
    </row>
    <row r="51" ht="15" customHeight="1" s="137">
      <c r="A51" s="67">
        <f>IF($BJ50&gt;0,INDEX($BA$5:$BA$41,MATCH(50,$BB$5:$BB$41,0)),IF(OR($BI50=1,$BL50=1,$BH50&gt;0),"∑",""))</f>
        <v/>
      </c>
      <c r="B51" s="76">
        <f>IF($BJ50&gt;0,IF(INDEX('Final Calculation Sheet'!$F$4:$F$40,$BJ50-3)="","",INDEX('Final Calculation Sheet'!$F$4:$F$40,$BJ50-3)),"")</f>
        <v/>
      </c>
      <c r="C51" s="76">
        <f>IF($BJ50&gt;0,IF(INDEX('Final Calculation Sheet'!$G$4:$G$40,$BJ50-3)="","",INDEX('Final Calculation Sheet'!$G$4:$G$40,$BJ50-3)),IF(OR($BI50=1,$BL50=1,$BH50&gt;0),IF($BI50=1,37,IF($BL50=1,37-INDEX($BD$4:$BD$13,10),INDEX($BD$4:$BD$13,$BH50)))&amp;" lot(s)",""))</f>
        <v/>
      </c>
      <c r="D51" s="80">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f>IF($BJ50&gt;0,IF(INDEX('Final Calculation Sheet'!$D$4:$D$40,$BJ50-3)="","",INDEX('Final Calculation Sheet'!$D$4:$D$40,$BJ50-3)),IF(OR($BI50=1,$BL50=1,$BH50&gt;0),"–",""))</f>
        <v/>
      </c>
      <c r="F51" s="80">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f>IF($BJ50&gt;0,IF(INDEX('Final Calculation Sheet'!$E$4:$E$40,$BJ50-3)="","",INDEX('Final Calculation Sheet'!$E$4:$E$40,$BJ50-3)),IF(OR($BI50=1,$BL50=1,$BH50&gt;0),"–",""))</f>
        <v/>
      </c>
      <c r="H51" s="70">
        <f>IF($BJ50&gt;0,IF(INDEX('Final Calculation Sheet'!$C$4:$C$40,$BJ50-3)="","",INDEX('Final Calculation Sheet'!$C$4:$C$40,$BJ50-3)),IF(OR($BI50=1,$BL50=1,$BH50&gt;0),"–",""))</f>
        <v/>
      </c>
      <c r="I51" s="70">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f>IF($BJ50&gt;0,IF(INDEX('Final Calculation Sheet'!$Q$4:$Q$40,$BJ50-3)="","",INDEX('Final Calculation Sheet'!$Q$4:$Q$40,$BJ50-3)),IF(OR($BI50=1,$BL50=1,$BH50&gt;0),"–",""))</f>
        <v/>
      </c>
      <c r="S51" s="70">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f>IF($BJ50&gt;0,IF(INDEX('Final Calculation Sheet'!$V$4:$V$40,$BJ50-3)="","",INDEX('Final Calculation Sheet'!$V$4:$V$40,$BJ50-3)),IF(OR($BI50=1,$BL50=1,$BH50&gt;0),"–",""))</f>
        <v/>
      </c>
      <c r="X51" s="70">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f>IF($BJ50&gt;0,IF(INDEX('Final Calculation Sheet'!$Y$4:$Y$40,$BJ50-3)="","",INDEX('Final Calculation Sheet'!$Y$4:$Y$40,$BJ50-3)),IF(OR($BI50=1,$BL50=1,$BH50&gt;0),"–",""))</f>
        <v/>
      </c>
      <c r="AA51" s="70">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f>IF($BJ50&gt;0,IF(INDEX('Final Calculation Sheet'!$AB$4:$AB$40,$BJ50-3)="","",INDEX('Final Calculation Sheet'!$AB$4:$AB$40,$BJ50-3)),IF(OR($BI50=1,$BL50=1,$BH50&gt;0),"–",""))</f>
        <v/>
      </c>
      <c r="AD51" s="70">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
      </c>
      <c r="BI51">
        <f>IF(51=$BG$5,1,0)</f>
        <v/>
      </c>
      <c r="BJ51">
        <f>IF(OR($BH51&gt;0,$BI51=1,$BL51=1),0,IFERROR(INDEX($BC$5:$BC$41,MATCH(51,$BB$5:$BB$41,0)),0))</f>
        <v/>
      </c>
      <c r="BK51">
        <f>IF($BJ51&gt;0,IF(INDEX($AZ$5:$AZ$41,MATCH(51,$BB$5:$BB$41,0))=10,1,0),IF($BH51=10,1,0))</f>
        <v/>
      </c>
      <c r="BL51">
        <f>IF(51=$BG$4,1,0)</f>
        <v/>
      </c>
    </row>
    <row r="52" ht="15" customHeight="1" s="137">
      <c r="A52" s="67">
        <f>IF($BJ51&gt;0,INDEX($BA$5:$BA$41,MATCH(51,$BB$5:$BB$41,0)),IF(OR($BI51=1,$BL51=1,$BH51&gt;0),"∑",""))</f>
        <v/>
      </c>
      <c r="B52" s="76">
        <f>IF($BJ51&gt;0,IF(INDEX('Final Calculation Sheet'!$F$4:$F$40,$BJ51-3)="","",INDEX('Final Calculation Sheet'!$F$4:$F$40,$BJ51-3)),"")</f>
        <v/>
      </c>
      <c r="C52" s="76">
        <f>IF($BJ51&gt;0,IF(INDEX('Final Calculation Sheet'!$G$4:$G$40,$BJ51-3)="","",INDEX('Final Calculation Sheet'!$G$4:$G$40,$BJ51-3)),IF(OR($BI51=1,$BL51=1,$BH51&gt;0),IF($BI51=1,37,IF($BL51=1,37-INDEX($BD$4:$BD$13,10),INDEX($BD$4:$BD$13,$BH51)))&amp;" lot(s)",""))</f>
        <v/>
      </c>
      <c r="D52" s="80">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f>IF($BJ51&gt;0,IF(INDEX('Final Calculation Sheet'!$D$4:$D$40,$BJ51-3)="","",INDEX('Final Calculation Sheet'!$D$4:$D$40,$BJ51-3)),IF(OR($BI51=1,$BL51=1,$BH51&gt;0),"–",""))</f>
        <v/>
      </c>
      <c r="F52" s="80">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f>IF($BJ51&gt;0,IF(INDEX('Final Calculation Sheet'!$E$4:$E$40,$BJ51-3)="","",INDEX('Final Calculation Sheet'!$E$4:$E$40,$BJ51-3)),IF(OR($BI51=1,$BL51=1,$BH51&gt;0),"–",""))</f>
        <v/>
      </c>
      <c r="H52" s="70">
        <f>IF($BJ51&gt;0,IF(INDEX('Final Calculation Sheet'!$C$4:$C$40,$BJ51-3)="","",INDEX('Final Calculation Sheet'!$C$4:$C$40,$BJ51-3)),IF(OR($BI51=1,$BL51=1,$BH51&gt;0),"–",""))</f>
        <v/>
      </c>
      <c r="I52" s="70">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f>IF($BJ51&gt;0,IF(INDEX('Final Calculation Sheet'!$Q$4:$Q$40,$BJ51-3)="","",INDEX('Final Calculation Sheet'!$Q$4:$Q$40,$BJ51-3)),IF(OR($BI51=1,$BL51=1,$BH51&gt;0),"–",""))</f>
        <v/>
      </c>
      <c r="S52" s="70">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f>IF($BJ51&gt;0,IF(INDEX('Final Calculation Sheet'!$V$4:$V$40,$BJ51-3)="","",INDEX('Final Calculation Sheet'!$V$4:$V$40,$BJ51-3)),IF(OR($BI51=1,$BL51=1,$BH51&gt;0),"–",""))</f>
        <v/>
      </c>
      <c r="X52" s="70">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f>IF($BJ51&gt;0,IF(INDEX('Final Calculation Sheet'!$Y$4:$Y$40,$BJ51-3)="","",INDEX('Final Calculation Sheet'!$Y$4:$Y$40,$BJ51-3)),IF(OR($BI51=1,$BL51=1,$BH51&gt;0),"–",""))</f>
        <v/>
      </c>
      <c r="AA52" s="70">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f>IF($BJ51&gt;0,IF(INDEX('Final Calculation Sheet'!$AB$4:$AB$40,$BJ51-3)="","",INDEX('Final Calculation Sheet'!$AB$4:$AB$40,$BJ51-3)),IF(OR($BI51=1,$BL51=1,$BH51&gt;0),"–",""))</f>
        <v/>
      </c>
      <c r="AD52" s="70">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
      </c>
      <c r="BI52">
        <f>IF(52=$BG$5,1,0)</f>
        <v/>
      </c>
      <c r="BJ52">
        <f>IF(OR($BH52&gt;0,$BI52=1,$BL52=1),0,IFERROR(INDEX($BC$5:$BC$41,MATCH(52,$BB$5:$BB$41,0)),0))</f>
        <v/>
      </c>
      <c r="BK52">
        <f>IF($BJ52&gt;0,IF(INDEX($AZ$5:$AZ$41,MATCH(52,$BB$5:$BB$41,0))=10,1,0),IF($BH52=10,1,0))</f>
        <v/>
      </c>
      <c r="BL52">
        <f>IF(52=$BG$4,1,0)</f>
        <v/>
      </c>
    </row>
    <row r="53" ht="15" customHeight="1" s="137">
      <c r="A53" s="67">
        <f>IF($BJ52&gt;0,INDEX($BA$5:$BA$41,MATCH(52,$BB$5:$BB$41,0)),IF(OR($BI52=1,$BL52=1,$BH52&gt;0),"∑",""))</f>
        <v/>
      </c>
      <c r="B53" s="76">
        <f>IF($BJ52&gt;0,IF(INDEX('Final Calculation Sheet'!$F$4:$F$40,$BJ52-3)="","",INDEX('Final Calculation Sheet'!$F$4:$F$40,$BJ52-3)),"")</f>
        <v/>
      </c>
      <c r="C53" s="76">
        <f>IF($BJ52&gt;0,IF(INDEX('Final Calculation Sheet'!$G$4:$G$40,$BJ52-3)="","",INDEX('Final Calculation Sheet'!$G$4:$G$40,$BJ52-3)),IF(OR($BI52=1,$BL52=1,$BH52&gt;0),IF($BI52=1,37,IF($BL52=1,37-INDEX($BD$4:$BD$13,10),INDEX($BD$4:$BD$13,$BH52)))&amp;" lot(s)",""))</f>
        <v/>
      </c>
      <c r="D53" s="80">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f>IF($BJ52&gt;0,IF(INDEX('Final Calculation Sheet'!$D$4:$D$40,$BJ52-3)="","",INDEX('Final Calculation Sheet'!$D$4:$D$40,$BJ52-3)),IF(OR($BI52=1,$BL52=1,$BH52&gt;0),"–",""))</f>
        <v/>
      </c>
      <c r="F53" s="80">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f>IF($BJ52&gt;0,IF(INDEX('Final Calculation Sheet'!$E$4:$E$40,$BJ52-3)="","",INDEX('Final Calculation Sheet'!$E$4:$E$40,$BJ52-3)),IF(OR($BI52=1,$BL52=1,$BH52&gt;0),"–",""))</f>
        <v/>
      </c>
      <c r="H53" s="70">
        <f>IF($BJ52&gt;0,IF(INDEX('Final Calculation Sheet'!$C$4:$C$40,$BJ52-3)="","",INDEX('Final Calculation Sheet'!$C$4:$C$40,$BJ52-3)),IF(OR($BI52=1,$BL52=1,$BH52&gt;0),"–",""))</f>
        <v/>
      </c>
      <c r="I53" s="70">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f>IF($BJ52&gt;0,IF(INDEX('Final Calculation Sheet'!$Q$4:$Q$40,$BJ52-3)="","",INDEX('Final Calculation Sheet'!$Q$4:$Q$40,$BJ52-3)),IF(OR($BI52=1,$BL52=1,$BH52&gt;0),"–",""))</f>
        <v/>
      </c>
      <c r="S53" s="70">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f>IF($BJ52&gt;0,IF(INDEX('Final Calculation Sheet'!$V$4:$V$40,$BJ52-3)="","",INDEX('Final Calculation Sheet'!$V$4:$V$40,$BJ52-3)),IF(OR($BI52=1,$BL52=1,$BH52&gt;0),"–",""))</f>
        <v/>
      </c>
      <c r="X53" s="70">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f>IF($BJ52&gt;0,IF(INDEX('Final Calculation Sheet'!$Y$4:$Y$40,$BJ52-3)="","",INDEX('Final Calculation Sheet'!$Y$4:$Y$40,$BJ52-3)),IF(OR($BI52=1,$BL52=1,$BH52&gt;0),"–",""))</f>
        <v/>
      </c>
      <c r="AA53" s="70">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f>IF($BJ52&gt;0,IF(INDEX('Final Calculation Sheet'!$AB$4:$AB$40,$BJ52-3)="","",INDEX('Final Calculation Sheet'!$AB$4:$AB$40,$BJ52-3)),IF(OR($BI52=1,$BL52=1,$BH52&gt;0),"–",""))</f>
        <v/>
      </c>
      <c r="AD53" s="70">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
      </c>
      <c r="BI53">
        <f>IF(53=$BG$5,1,0)</f>
        <v/>
      </c>
      <c r="BJ53">
        <f>IF(OR($BH53&gt;0,$BI53=1,$BL53=1),0,IFERROR(INDEX($BC$5:$BC$41,MATCH(53,$BB$5:$BB$41,0)),0))</f>
        <v/>
      </c>
      <c r="BK53">
        <f>IF($BJ53&gt;0,IF(INDEX($AZ$5:$AZ$41,MATCH(53,$BB$5:$BB$41,0))=10,1,0),IF($BH53=10,1,0))</f>
        <v/>
      </c>
      <c r="BL53">
        <f>IF(53=$BG$4,1,0)</f>
        <v/>
      </c>
    </row>
    <row r="54" ht="15" customHeight="1" s="137">
      <c r="A54" s="67">
        <f>IF($BJ53&gt;0,INDEX($BA$5:$BA$41,MATCH(53,$BB$5:$BB$41,0)),IF(OR($BI53=1,$BL53=1,$BH53&gt;0),"∑",""))</f>
        <v/>
      </c>
      <c r="B54" s="76">
        <f>IF($BJ53&gt;0,IF(INDEX('Final Calculation Sheet'!$F$4:$F$40,$BJ53-3)="","",INDEX('Final Calculation Sheet'!$F$4:$F$40,$BJ53-3)),"")</f>
        <v/>
      </c>
      <c r="C54" s="76">
        <f>IF($BJ53&gt;0,IF(INDEX('Final Calculation Sheet'!$G$4:$G$40,$BJ53-3)="","",INDEX('Final Calculation Sheet'!$G$4:$G$40,$BJ53-3)),IF(OR($BI53=1,$BL53=1,$BH53&gt;0),IF($BI53=1,37,IF($BL53=1,37-INDEX($BD$4:$BD$13,10),INDEX($BD$4:$BD$13,$BH53)))&amp;" lot(s)",""))</f>
        <v/>
      </c>
      <c r="D54" s="80">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f>IF($BJ53&gt;0,IF(INDEX('Final Calculation Sheet'!$D$4:$D$40,$BJ53-3)="","",INDEX('Final Calculation Sheet'!$D$4:$D$40,$BJ53-3)),IF(OR($BI53=1,$BL53=1,$BH53&gt;0),"–",""))</f>
        <v/>
      </c>
      <c r="F54" s="80">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f>IF($BJ53&gt;0,IF(INDEX('Final Calculation Sheet'!$E$4:$E$40,$BJ53-3)="","",INDEX('Final Calculation Sheet'!$E$4:$E$40,$BJ53-3)),IF(OR($BI53=1,$BL53=1,$BH53&gt;0),"–",""))</f>
        <v/>
      </c>
      <c r="H54" s="70">
        <f>IF($BJ53&gt;0,IF(INDEX('Final Calculation Sheet'!$C$4:$C$40,$BJ53-3)="","",INDEX('Final Calculation Sheet'!$C$4:$C$40,$BJ53-3)),IF(OR($BI53=1,$BL53=1,$BH53&gt;0),"–",""))</f>
        <v/>
      </c>
      <c r="I54" s="70">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f>IF($BJ53&gt;0,IF(INDEX('Final Calculation Sheet'!$Q$4:$Q$40,$BJ53-3)="","",INDEX('Final Calculation Sheet'!$Q$4:$Q$40,$BJ53-3)),IF(OR($BI53=1,$BL53=1,$BH53&gt;0),"–",""))</f>
        <v/>
      </c>
      <c r="S54" s="70">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f>IF($BJ53&gt;0,IF(INDEX('Final Calculation Sheet'!$V$4:$V$40,$BJ53-3)="","",INDEX('Final Calculation Sheet'!$V$4:$V$40,$BJ53-3)),IF(OR($BI53=1,$BL53=1,$BH53&gt;0),"–",""))</f>
        <v/>
      </c>
      <c r="X54" s="70">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f>IF($BJ53&gt;0,IF(INDEX('Final Calculation Sheet'!$Y$4:$Y$40,$BJ53-3)="","",INDEX('Final Calculation Sheet'!$Y$4:$Y$40,$BJ53-3)),IF(OR($BI53=1,$BL53=1,$BH53&gt;0),"–",""))</f>
        <v/>
      </c>
      <c r="AA54" s="70">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f>IF($BJ53&gt;0,IF(INDEX('Final Calculation Sheet'!$AB$4:$AB$40,$BJ53-3)="","",INDEX('Final Calculation Sheet'!$AB$4:$AB$40,$BJ53-3)),IF(OR($BI53=1,$BL53=1,$BH53&gt;0),"–",""))</f>
        <v/>
      </c>
      <c r="AD54" s="70">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=SUG_B_DEP_LIVE</formula1>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
      </c>
      <c r="C3" s="59" t="inlineStr">
        <is>
          <t>LOTS  ▸</t>
        </is>
      </c>
      <c r="D3" s="62">
        <f>COUNTA('Final Calculation Sheet'!$G$4:$G$40)</f>
        <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
      </c>
      <c r="AN4">
        <f>IF(ROW()-3&gt;MAX($AM$4:$AM$42),"",INDEX(Lists!$O$4:$O$42,MATCH(ROW()-3,$AM$4:$AM$42,0)))</f>
        <v/>
      </c>
      <c r="AO4">
        <f>IF(AND(Lists!$T$4&lt;&gt;"",ISNUMBER(SEARCH($C$4,Lists!$T$4))),1,0)</f>
        <v/>
      </c>
      <c r="AP4">
        <f>IF(ROW()-3&gt;MAX($AO$4:$AO$42),"",INDEX(Lists!$T$4:$T$42,MATCH(ROW()-3,$AO$4:$AO$42,0)))</f>
        <v/>
      </c>
      <c r="AQ4">
        <f>IF(AND(Lists!$Y$4&lt;&gt;"",ISNUMBER(SEARCH($D$4,Lists!$Y$4))),1,0)</f>
        <v/>
      </c>
      <c r="AR4">
        <f>IF(ROW()-3&gt;MAX($AQ$4:$AQ$42),"",INDEX(Lists!$Y$4:$Y$42,MATCH(ROW()-3,$AQ$4:$AQ$42,0)))</f>
        <v/>
      </c>
      <c r="AS4">
        <f>IF(AND(Lists!$AD$4&lt;&gt;"",ISNUMBER(SEARCH($E$4,Lists!$AD$4))),1,0)</f>
        <v/>
      </c>
      <c r="AT4">
        <f>IF(ROW()-3&gt;MAX($AS$4:$AS$42),"",INDEX(Lists!$AD$4:$AD$42,MATCH(ROW()-3,$AS$4:$AS$42,0)))</f>
        <v/>
      </c>
      <c r="AU4">
        <f>IF(AND(Lists!$AI$4&lt;&gt;"",ISNUMBER(SEARCH($F$4,Lists!$AI$4))),1,0)</f>
        <v/>
      </c>
      <c r="AV4">
        <f>IF(ROW()-3&gt;MAX($AU$4:$AU$42),"",INDEX(Lists!$AI$4:$AI$42,MATCH(ROW()-3,$AU$4:$AU$42,0)))</f>
        <v/>
      </c>
      <c r="AW4">
        <f>IF(AND(Lists!$AN$4&lt;&gt;"",ISNUMBER(SEARCH($G$4,Lists!$AN$4))),1,0)</f>
        <v/>
      </c>
      <c r="AX4">
        <f>IF(ROW()-3&gt;MAX($AW$4:$AW$42),"",INDEX(Lists!$AN$4:$AN$42,MATCH(ROW()-3,$AW$4:$AW$42,0)))</f>
        <v/>
      </c>
      <c r="AY4">
        <f>IF(AND(Lists!$AS$4&lt;&gt;"",ISNUMBER(SEARCH($H$4,Lists!$AS$4))),1,0)</f>
        <v/>
      </c>
      <c r="AZ4">
        <f>IF(ROW()-3&gt;MAX($AY$4:$AY$42),"",INDEX(Lists!$AS$4:$AS$42,MATCH(ROW()-3,$AY$4:$AY$42,0)))</f>
        <v/>
      </c>
      <c r="BA4">
        <f>IF(AND(Lists!$AX$4&lt;&gt;"",ISNUMBER(SEARCH($I$4,Lists!$AX$4))),1,0)</f>
        <v/>
      </c>
      <c r="BB4">
        <f>IF(ROW()-3&gt;MAX($BA$4:$BA$42),"",INDEX(Lists!$AX$4:$AX$42,MATCH(ROW()-3,$BA$4:$BA$42,0)))</f>
        <v/>
      </c>
      <c r="BC4">
        <f>IF(AND(Lists!$BC$4&lt;&gt;"",ISNUMBER(SEARCH($J$4,Lists!$BC$4))),1,0)</f>
        <v/>
      </c>
      <c r="BD4">
        <f>IF(ROW()-3&gt;MAX($BC$4:$BC$42),"",INDEX(Lists!$BC$4:$BC$42,MATCH(ROW()-3,$BC$4:$BC$42,0)))</f>
        <v/>
      </c>
      <c r="BE4">
        <f>IF(AND(Lists!$BH$4&lt;&gt;"",ISNUMBER(SEARCH($K$4,Lists!$BH$4))),1,0)</f>
        <v/>
      </c>
      <c r="BF4">
        <f>IF(ROW()-3&gt;MAX($BE$4:$BE$42),"",INDEX(Lists!$BH$4:$BH$42,MATCH(ROW()-3,$BE$4:$BE$42,0)))</f>
        <v/>
      </c>
      <c r="BG4">
        <f>IF(AND(Lists!$BM$4&lt;&gt;"",ISNUMBER(SEARCH($L$4,Lists!$BM$4))),1,0)</f>
        <v/>
      </c>
      <c r="BH4">
        <f>IF(ROW()-3&gt;MAX($BG$4:$BG$42),"",INDEX(Lists!$BM$4:$BM$42,MATCH(ROW()-3,$BG$4:$BG$42,0)))</f>
        <v/>
      </c>
      <c r="BI4">
        <f>IF(AND(Lists!$BR$4&lt;&gt;"",ISNUMBER(SEARCH($M$4,Lists!$BR$4))),1,0)</f>
        <v/>
      </c>
      <c r="BJ4">
        <f>IF(ROW()-3&gt;MAX($BI$4:$BI$42),"",INDEX(Lists!$BR$4:$BR$42,MATCH(ROW()-3,$BI$4:$BI$42,0)))</f>
        <v/>
      </c>
      <c r="BK4">
        <f>IF(AND(Lists!$BW$4&lt;&gt;"",ISNUMBER(SEARCH($N$4,Lists!$BW$4))),1,0)</f>
        <v/>
      </c>
      <c r="BL4">
        <f>IF(ROW()-3&gt;MAX($BK$4:$BK$42),"",INDEX(Lists!$BW$4:$BW$42,MATCH(ROW()-3,$BK$4:$BK$42,0)))</f>
        <v/>
      </c>
      <c r="BM4">
        <f>IF(AND(Lists!$CB$4&lt;&gt;"",ISNUMBER(SEARCH($O$4,Lists!$CB$4))),1,0)</f>
        <v/>
      </c>
      <c r="BN4">
        <f>IF(ROW()-3&gt;MAX($BM$4:$BM$42),"",INDEX(Lists!$CB$4:$CB$42,MATCH(ROW()-3,$BM$4:$BM$42,0)))</f>
        <v/>
      </c>
      <c r="BO4">
        <f>IF(AND(Lists!$CG$4&lt;&gt;"",ISNUMBER(SEARCH($P$4,Lists!$CG$4))),1,0)</f>
        <v/>
      </c>
      <c r="BP4">
        <f>IF(ROW()-3&gt;MAX($BO$4:$BO$42),"",INDEX(Lists!$CG$4:$CG$42,MATCH(ROW()-3,$BO$4:$BO$42,0)))</f>
        <v/>
      </c>
      <c r="BQ4">
        <f>IF(AND(Lists!$CL$4&lt;&gt;"",ISNUMBER(SEARCH($Q$4,Lists!$CL$4))),1,0)</f>
        <v/>
      </c>
      <c r="BR4">
        <f>IF(ROW()-3&gt;MAX($BQ$4:$BQ$42),"",INDEX(Lists!$CL$4:$CL$42,MATCH(ROW()-3,$BQ$4:$BQ$42,0)))</f>
        <v/>
      </c>
      <c r="BS4">
        <f>IF(AND(Lists!$CQ$4&lt;&gt;"",ISNUMBER(SEARCH($R$4,Lists!$CQ$4))),1,0)</f>
        <v/>
      </c>
      <c r="BT4">
        <f>IF(ROW()-3&gt;MAX($BS$4:$BS$42),"",INDEX(Lists!$CQ$4:$CQ$42,MATCH(ROW()-3,$BS$4:$BS$42,0)))</f>
        <v/>
      </c>
      <c r="BU4">
        <f>IF(AND(Lists!$CV$4&lt;&gt;"",ISNUMBER(SEARCH($S$4,Lists!$CV$4))),1,0)</f>
        <v/>
      </c>
      <c r="BV4">
        <f>IF(ROW()-3&gt;MAX($BU$4:$BU$42),"",INDEX(Lists!$CV$4:$CV$42,MATCH(ROW()-3,$BU$4:$BU$42,0)))</f>
        <v/>
      </c>
      <c r="BW4">
        <f>IF(AND(Lists!$DA$4&lt;&gt;"",ISNUMBER(SEARCH($T$4,Lists!$DA$4))),1,0)</f>
        <v/>
      </c>
      <c r="BX4">
        <f>IF(ROW()-3&gt;MAX($BW$4:$BW$42),"",INDEX(Lists!$DA$4:$DA$42,MATCH(ROW()-3,$BW$4:$BW$42,0)))</f>
        <v/>
      </c>
      <c r="BY4">
        <f>IF(AND(Lists!$DF$4&lt;&gt;"",ISNUMBER(SEARCH($U$4,Lists!$DF$4))),1,0)</f>
        <v/>
      </c>
      <c r="BZ4">
        <f>IF(ROW()-3&gt;MAX($BY$4:$BY$42),"",INDEX(Lists!$DF$4:$DF$42,MATCH(ROW()-3,$BY$4:$BY$42,0)))</f>
        <v/>
      </c>
      <c r="CA4">
        <f>IF(AND(Lists!$DK$4&lt;&gt;"",ISNUMBER(SEARCH($V$4,Lists!$DK$4))),1,0)</f>
        <v/>
      </c>
      <c r="CB4">
        <f>IF(ROW()-3&gt;MAX($CA$4:$CA$42),"",INDEX(Lists!$DK$4:$DK$42,MATCH(ROW()-3,$CA$4:$CA$42,0)))</f>
        <v/>
      </c>
      <c r="CC4">
        <f>IF(AND(Lists!$DP$4&lt;&gt;"",ISNUMBER(SEARCH($W$4,Lists!$DP$4))),1,0)</f>
        <v/>
      </c>
      <c r="CD4">
        <f>IF(ROW()-3&gt;MAX($CC$4:$CC$42),"",INDEX(Lists!$DP$4:$DP$42,MATCH(ROW()-3,$CC$4:$CC$42,0)))</f>
        <v/>
      </c>
      <c r="CE4">
        <f>IF(AND(Lists!$DU$4&lt;&gt;"",ISNUMBER(SEARCH($X$4,Lists!$DU$4))),1,0)</f>
        <v/>
      </c>
      <c r="CF4">
        <f>IF(ROW()-3&gt;MAX($CE$4:$CE$42),"",INDEX(Lists!$DU$4:$DU$42,MATCH(ROW()-3,$CE$4:$CE$42,0)))</f>
        <v/>
      </c>
      <c r="CG4">
        <f>IF(AND(Lists!$DZ$4&lt;&gt;"",ISNUMBER(SEARCH($Y$4,Lists!$DZ$4))),1,0)</f>
        <v/>
      </c>
      <c r="CH4">
        <f>IF(ROW()-3&gt;MAX($CG$4:$CG$42),"",INDEX(Lists!$DZ$4:$DZ$42,MATCH(ROW()-3,$CG$4:$CG$42,0)))</f>
        <v/>
      </c>
      <c r="CI4">
        <f>IF(AND(Lists!$EE$4&lt;&gt;"",ISNUMBER(SEARCH($Z$4,Lists!$EE$4))),1,0)</f>
        <v/>
      </c>
      <c r="CJ4">
        <f>IF(ROW()-3&gt;MAX($CI$4:$CI$42),"",INDEX(Lists!$EE$4:$EE$42,MATCH(ROW()-3,$CI$4:$CI$42,0)))</f>
        <v/>
      </c>
      <c r="CK4">
        <f>IF(AND(Lists!$EJ$4&lt;&gt;"",ISNUMBER(SEARCH($AA$4,Lists!$EJ$4))),1,0)</f>
        <v/>
      </c>
      <c r="CL4">
        <f>IF(ROW()-3&gt;MAX($CK$4:$CK$42),"",INDEX(Lists!$EJ$4:$EJ$42,MATCH(ROW()-3,$CK$4:$CK$42,0)))</f>
        <v/>
      </c>
      <c r="CM4">
        <f>IF(AND(Lists!$EO$4&lt;&gt;"",ISNUMBER(SEARCH($AB$4,Lists!$EO$4))),1,0)</f>
        <v/>
      </c>
      <c r="CN4">
        <f>IF(ROW()-3&gt;MAX($CM$4:$CM$42),"",INDEX(Lists!$EO$4:$EO$42,MATCH(ROW()-3,$CM$4:$CM$42,0)))</f>
        <v/>
      </c>
      <c r="CO4">
        <f>IF(AND(Lists!$ET$4&lt;&gt;"",ISNUMBER(SEARCH($AC$4,Lists!$ET$4))),1,0)</f>
        <v/>
      </c>
      <c r="CP4">
        <f>IF(ROW()-3&gt;MAX($CO$4:$CO$42),"",INDEX(Lists!$ET$4:$ET$42,MATCH(ROW()-3,$CO$4:$CO$42,0)))</f>
        <v/>
      </c>
      <c r="CQ4">
        <f>IF(AND(Lists!$EY$4&lt;&gt;"",ISNUMBER(SEARCH($AD$4,Lists!$EY$4))),1,0)</f>
        <v/>
      </c>
      <c r="CR4">
        <f>IF(ROW()-3&gt;MAX($CQ$4:$CQ$42),"",INDEX(Lists!$EY$4:$EY$42,MATCH(ROW()-3,$CQ$4:$CQ$42,0)))</f>
        <v/>
      </c>
      <c r="CS4">
        <f>IF(AND(Lists!$FD$4&lt;&gt;"",ISNUMBER(SEARCH($AE$4,Lists!$FD$4))),1,0)</f>
        <v/>
      </c>
      <c r="CT4">
        <f>IF(ROW()-3&gt;MAX($CS$4:$CS$42),"",INDEX(Lists!$FD$4:$FD$42,MATCH(ROW()-3,$CS$4:$CS$42,0)))</f>
        <v/>
      </c>
      <c r="CU4">
        <f>IF(AND(Lists!$FI$4&lt;&gt;"",ISNUMBER(SEARCH($AG$4,Lists!$FI$4))),1,0)</f>
        <v/>
      </c>
      <c r="CV4">
        <f>IF(ROW()-3&gt;MAX($CU$4:$CU$42),"",INDEX(Lists!$FI$4:$FI$42,MATCH(ROW()-3,$CU$4:$CU$42,0)))</f>
        <v/>
      </c>
      <c r="CW4">
        <f>IF(AND(Lists!$FN$4&lt;&gt;"",ISNUMBER(SEARCH($AH$4,Lists!$FN$4))),1,0)</f>
        <v/>
      </c>
      <c r="CX4">
        <f>IF(ROW()-3&gt;MAX($CW$4:$CW$42),"",INDEX(Lists!$FN$4:$FN$42,MATCH(ROW()-3,$CW$4:$CW$42,0)))</f>
        <v/>
      </c>
      <c r="CY4">
        <f>IF(AND(Lists!$FS$4&lt;&gt;"",ISNUMBER(SEARCH($AI$4,Lists!$FS$4))),1,0)</f>
        <v/>
      </c>
      <c r="CZ4">
        <f>IF(ROW()-3&gt;MAX($CY$4:$CY$42),"",INDEX(Lists!$FS$4:$FS$42,MATCH(ROW()-3,$CY$4:$CY$42,0)))</f>
        <v/>
      </c>
      <c r="DA4">
        <f>IF(AND(Lists!$FX$4&lt;&gt;"",ISNUMBER(SEARCH($AF$4,Lists!$FX$4))),1,0)</f>
        <v/>
      </c>
      <c r="DB4">
        <f>IF(ROW()-3&gt;MAX($DA$4:$DA$42),"",INDEX(Lists!$FX$4:$FX$42,MATCH(ROW()-3,$DA$4:$DA$42,0)))</f>
        <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
      </c>
      <c r="AN5">
        <f>IF(ROW()-3&gt;MAX($AM$4:$AM$42),"",INDEX(Lists!$O$4:$O$42,MATCH(ROW()-3,$AM$4:$AM$42,0)))</f>
        <v/>
      </c>
      <c r="AO5">
        <f>AO4+IF(AND(Lists!$T$5&lt;&gt;"",ISNUMBER(SEARCH($C$4,Lists!$T$5))),1,0)</f>
        <v/>
      </c>
      <c r="AP5">
        <f>IF(ROW()-3&gt;MAX($AO$4:$AO$42),"",INDEX(Lists!$T$4:$T$42,MATCH(ROW()-3,$AO$4:$AO$42,0)))</f>
        <v/>
      </c>
      <c r="AQ5">
        <f>AQ4+IF(AND(Lists!$Y$5&lt;&gt;"",ISNUMBER(SEARCH($D$4,Lists!$Y$5))),1,0)</f>
        <v/>
      </c>
      <c r="AR5">
        <f>IF(ROW()-3&gt;MAX($AQ$4:$AQ$42),"",INDEX(Lists!$Y$4:$Y$42,MATCH(ROW()-3,$AQ$4:$AQ$42,0)))</f>
        <v/>
      </c>
      <c r="AS5">
        <f>AS4+IF(AND(Lists!$AD$5&lt;&gt;"",ISNUMBER(SEARCH($E$4,Lists!$AD$5))),1,0)</f>
        <v/>
      </c>
      <c r="AT5">
        <f>IF(ROW()-3&gt;MAX($AS$4:$AS$42),"",INDEX(Lists!$AD$4:$AD$42,MATCH(ROW()-3,$AS$4:$AS$42,0)))</f>
        <v/>
      </c>
      <c r="AU5">
        <f>AU4+IF(AND(Lists!$AI$5&lt;&gt;"",ISNUMBER(SEARCH($F$4,Lists!$AI$5))),1,0)</f>
        <v/>
      </c>
      <c r="AV5">
        <f>IF(ROW()-3&gt;MAX($AU$4:$AU$42),"",INDEX(Lists!$AI$4:$AI$42,MATCH(ROW()-3,$AU$4:$AU$42,0)))</f>
        <v/>
      </c>
      <c r="AW5">
        <f>AW4+IF(AND(Lists!$AN$5&lt;&gt;"",ISNUMBER(SEARCH($G$4,Lists!$AN$5))),1,0)</f>
        <v/>
      </c>
      <c r="AX5">
        <f>IF(ROW()-3&gt;MAX($AW$4:$AW$42),"",INDEX(Lists!$AN$4:$AN$42,MATCH(ROW()-3,$AW$4:$AW$42,0)))</f>
        <v/>
      </c>
      <c r="AY5">
        <f>AY4+IF(AND(Lists!$AS$5&lt;&gt;"",ISNUMBER(SEARCH($H$4,Lists!$AS$5))),1,0)</f>
        <v/>
      </c>
      <c r="AZ5">
        <f>IF(ROW()-3&gt;MAX($AY$4:$AY$42),"",INDEX(Lists!$AS$4:$AS$42,MATCH(ROW()-3,$AY$4:$AY$42,0)))</f>
        <v/>
      </c>
      <c r="BA5">
        <f>BA4+IF(AND(Lists!$AX$5&lt;&gt;"",ISNUMBER(SEARCH($I$4,Lists!$AX$5))),1,0)</f>
        <v/>
      </c>
      <c r="BB5">
        <f>IF(ROW()-3&gt;MAX($BA$4:$BA$42),"",INDEX(Lists!$AX$4:$AX$42,MATCH(ROW()-3,$BA$4:$BA$42,0)))</f>
        <v/>
      </c>
      <c r="BC5">
        <f>BC4+IF(AND(Lists!$BC$5&lt;&gt;"",ISNUMBER(SEARCH($J$4,Lists!$BC$5))),1,0)</f>
        <v/>
      </c>
      <c r="BD5">
        <f>IF(ROW()-3&gt;MAX($BC$4:$BC$42),"",INDEX(Lists!$BC$4:$BC$42,MATCH(ROW()-3,$BC$4:$BC$42,0)))</f>
        <v/>
      </c>
      <c r="BE5">
        <f>BE4+IF(AND(Lists!$BH$5&lt;&gt;"",ISNUMBER(SEARCH($K$4,Lists!$BH$5))),1,0)</f>
        <v/>
      </c>
      <c r="BF5">
        <f>IF(ROW()-3&gt;MAX($BE$4:$BE$42),"",INDEX(Lists!$BH$4:$BH$42,MATCH(ROW()-3,$BE$4:$BE$42,0)))</f>
        <v/>
      </c>
      <c r="BG5">
        <f>BG4+IF(AND(Lists!$BM$5&lt;&gt;"",ISNUMBER(SEARCH($L$4,Lists!$BM$5))),1,0)</f>
        <v/>
      </c>
      <c r="BH5">
        <f>IF(ROW()-3&gt;MAX($BG$4:$BG$42),"",INDEX(Lists!$BM$4:$BM$42,MATCH(ROW()-3,$BG$4:$BG$42,0)))</f>
        <v/>
      </c>
      <c r="BI5">
        <f>BI4+IF(AND(Lists!$BR$5&lt;&gt;"",ISNUMBER(SEARCH($M$4,Lists!$BR$5))),1,0)</f>
        <v/>
      </c>
      <c r="BJ5">
        <f>IF(ROW()-3&gt;MAX($BI$4:$BI$42),"",INDEX(Lists!$BR$4:$BR$42,MATCH(ROW()-3,$BI$4:$BI$42,0)))</f>
        <v/>
      </c>
      <c r="BK5">
        <f>BK4+IF(AND(Lists!$BW$5&lt;&gt;"",ISNUMBER(SEARCH($N$4,Lists!$BW$5))),1,0)</f>
        <v/>
      </c>
      <c r="BL5">
        <f>IF(ROW()-3&gt;MAX($BK$4:$BK$42),"",INDEX(Lists!$BW$4:$BW$42,MATCH(ROW()-3,$BK$4:$BK$42,0)))</f>
        <v/>
      </c>
      <c r="BM5">
        <f>BM4+IF(AND(Lists!$CB$5&lt;&gt;"",ISNUMBER(SEARCH($O$4,Lists!$CB$5))),1,0)</f>
        <v/>
      </c>
      <c r="BN5">
        <f>IF(ROW()-3&gt;MAX($BM$4:$BM$42),"",INDEX(Lists!$CB$4:$CB$42,MATCH(ROW()-3,$BM$4:$BM$42,0)))</f>
        <v/>
      </c>
      <c r="BO5">
        <f>BO4+IF(AND(Lists!$CG$5&lt;&gt;"",ISNUMBER(SEARCH($P$4,Lists!$CG$5))),1,0)</f>
        <v/>
      </c>
      <c r="BP5">
        <f>IF(ROW()-3&gt;MAX($BO$4:$BO$42),"",INDEX(Lists!$CG$4:$CG$42,MATCH(ROW()-3,$BO$4:$BO$42,0)))</f>
        <v/>
      </c>
      <c r="BQ5">
        <f>BQ4+IF(AND(Lists!$CL$5&lt;&gt;"",ISNUMBER(SEARCH($Q$4,Lists!$CL$5))),1,0)</f>
        <v/>
      </c>
      <c r="BR5">
        <f>IF(ROW()-3&gt;MAX($BQ$4:$BQ$42),"",INDEX(Lists!$CL$4:$CL$42,MATCH(ROW()-3,$BQ$4:$BQ$42,0)))</f>
        <v/>
      </c>
      <c r="BS5">
        <f>BS4+IF(AND(Lists!$CQ$5&lt;&gt;"",ISNUMBER(SEARCH($R$4,Lists!$CQ$5))),1,0)</f>
        <v/>
      </c>
      <c r="BT5">
        <f>IF(ROW()-3&gt;MAX($BS$4:$BS$42),"",INDEX(Lists!$CQ$4:$CQ$42,MATCH(ROW()-3,$BS$4:$BS$42,0)))</f>
        <v/>
      </c>
      <c r="BU5">
        <f>BU4+IF(AND(Lists!$CV$5&lt;&gt;"",ISNUMBER(SEARCH($S$4,Lists!$CV$5))),1,0)</f>
        <v/>
      </c>
      <c r="BV5">
        <f>IF(ROW()-3&gt;MAX($BU$4:$BU$42),"",INDEX(Lists!$CV$4:$CV$42,MATCH(ROW()-3,$BU$4:$BU$42,0)))</f>
        <v/>
      </c>
      <c r="BW5">
        <f>BW4+IF(AND(Lists!$DA$5&lt;&gt;"",ISNUMBER(SEARCH($T$4,Lists!$DA$5))),1,0)</f>
        <v/>
      </c>
      <c r="BX5">
        <f>IF(ROW()-3&gt;MAX($BW$4:$BW$42),"",INDEX(Lists!$DA$4:$DA$42,MATCH(ROW()-3,$BW$4:$BW$42,0)))</f>
        <v/>
      </c>
      <c r="BY5">
        <f>BY4+IF(AND(Lists!$DF$5&lt;&gt;"",ISNUMBER(SEARCH($U$4,Lists!$DF$5))),1,0)</f>
        <v/>
      </c>
      <c r="BZ5">
        <f>IF(ROW()-3&gt;MAX($BY$4:$BY$42),"",INDEX(Lists!$DF$4:$DF$42,MATCH(ROW()-3,$BY$4:$BY$42,0)))</f>
        <v/>
      </c>
      <c r="CA5">
        <f>CA4+IF(AND(Lists!$DK$5&lt;&gt;"",ISNUMBER(SEARCH($V$4,Lists!$DK$5))),1,0)</f>
        <v/>
      </c>
      <c r="CB5">
        <f>IF(ROW()-3&gt;MAX($CA$4:$CA$42),"",INDEX(Lists!$DK$4:$DK$42,MATCH(ROW()-3,$CA$4:$CA$42,0)))</f>
        <v/>
      </c>
      <c r="CC5">
        <f>CC4+IF(AND(Lists!$DP$5&lt;&gt;"",ISNUMBER(SEARCH($W$4,Lists!$DP$5))),1,0)</f>
        <v/>
      </c>
      <c r="CD5">
        <f>IF(ROW()-3&gt;MAX($CC$4:$CC$42),"",INDEX(Lists!$DP$4:$DP$42,MATCH(ROW()-3,$CC$4:$CC$42,0)))</f>
        <v/>
      </c>
      <c r="CE5">
        <f>CE4+IF(AND(Lists!$DU$5&lt;&gt;"",ISNUMBER(SEARCH($X$4,Lists!$DU$5))),1,0)</f>
        <v/>
      </c>
      <c r="CF5">
        <f>IF(ROW()-3&gt;MAX($CE$4:$CE$42),"",INDEX(Lists!$DU$4:$DU$42,MATCH(ROW()-3,$CE$4:$CE$42,0)))</f>
        <v/>
      </c>
      <c r="CG5">
        <f>CG4+IF(AND(Lists!$DZ$5&lt;&gt;"",ISNUMBER(SEARCH($Y$4,Lists!$DZ$5))),1,0)</f>
        <v/>
      </c>
      <c r="CH5">
        <f>IF(ROW()-3&gt;MAX($CG$4:$CG$42),"",INDEX(Lists!$DZ$4:$DZ$42,MATCH(ROW()-3,$CG$4:$CG$42,0)))</f>
        <v/>
      </c>
      <c r="CI5">
        <f>CI4+IF(AND(Lists!$EE$5&lt;&gt;"",ISNUMBER(SEARCH($Z$4,Lists!$EE$5))),1,0)</f>
        <v/>
      </c>
      <c r="CJ5">
        <f>IF(ROW()-3&gt;MAX($CI$4:$CI$42),"",INDEX(Lists!$EE$4:$EE$42,MATCH(ROW()-3,$CI$4:$CI$42,0)))</f>
        <v/>
      </c>
      <c r="CK5">
        <f>CK4+IF(AND(Lists!$EJ$5&lt;&gt;"",ISNUMBER(SEARCH($AA$4,Lists!$EJ$5))),1,0)</f>
        <v/>
      </c>
      <c r="CL5">
        <f>IF(ROW()-3&gt;MAX($CK$4:$CK$42),"",INDEX(Lists!$EJ$4:$EJ$42,MATCH(ROW()-3,$CK$4:$CK$42,0)))</f>
        <v/>
      </c>
      <c r="CM5">
        <f>CM4+IF(AND(Lists!$EO$5&lt;&gt;"",ISNUMBER(SEARCH($AB$4,Lists!$EO$5))),1,0)</f>
        <v/>
      </c>
      <c r="CN5">
        <f>IF(ROW()-3&gt;MAX($CM$4:$CM$42),"",INDEX(Lists!$EO$4:$EO$42,MATCH(ROW()-3,$CM$4:$CM$42,0)))</f>
        <v/>
      </c>
      <c r="CO5">
        <f>CO4+IF(AND(Lists!$ET$5&lt;&gt;"",ISNUMBER(SEARCH($AC$4,Lists!$ET$5))),1,0)</f>
        <v/>
      </c>
      <c r="CP5">
        <f>IF(ROW()-3&gt;MAX($CO$4:$CO$42),"",INDEX(Lists!$ET$4:$ET$42,MATCH(ROW()-3,$CO$4:$CO$42,0)))</f>
        <v/>
      </c>
      <c r="CQ5">
        <f>CQ4+IF(AND(Lists!$EY$5&lt;&gt;"",ISNUMBER(SEARCH($AD$4,Lists!$EY$5))),1,0)</f>
        <v/>
      </c>
      <c r="CR5">
        <f>IF(ROW()-3&gt;MAX($CQ$4:$CQ$42),"",INDEX(Lists!$EY$4:$EY$42,MATCH(ROW()-3,$CQ$4:$CQ$42,0)))</f>
        <v/>
      </c>
      <c r="CS5">
        <f>CS4+IF(AND(Lists!$FD$5&lt;&gt;"",ISNUMBER(SEARCH($AE$4,Lists!$FD$5))),1,0)</f>
        <v/>
      </c>
      <c r="CT5">
        <f>IF(ROW()-3&gt;MAX($CS$4:$CS$42),"",INDEX(Lists!$FD$4:$FD$42,MATCH(ROW()-3,$CS$4:$CS$42,0)))</f>
        <v/>
      </c>
      <c r="CU5">
        <f>CU4+IF(AND(Lists!$FI$5&lt;&gt;"",ISNUMBER(SEARCH($AG$4,Lists!$FI$5))),1,0)</f>
        <v/>
      </c>
      <c r="CV5">
        <f>IF(ROW()-3&gt;MAX($CU$4:$CU$42),"",INDEX(Lists!$FI$4:$FI$42,MATCH(ROW()-3,$CU$4:$CU$42,0)))</f>
        <v/>
      </c>
      <c r="CW5">
        <f>CW4+IF(AND(Lists!$FN$5&lt;&gt;"",ISNUMBER(SEARCH($AH$4,Lists!$FN$5))),1,0)</f>
        <v/>
      </c>
      <c r="CX5">
        <f>IF(ROW()-3&gt;MAX($CW$4:$CW$42),"",INDEX(Lists!$FN$4:$FN$42,MATCH(ROW()-3,$CW$4:$CW$42,0)))</f>
        <v/>
      </c>
      <c r="CY5">
        <f>CY4+IF(AND(Lists!$FS$5&lt;&gt;"",ISNUMBER(SEARCH($AI$4,Lists!$FS$5))),1,0)</f>
        <v/>
      </c>
      <c r="CZ5">
        <f>IF(ROW()-3&gt;MAX($CY$4:$CY$42),"",INDEX(Lists!$FS$4:$FS$42,MATCH(ROW()-3,$CY$4:$CY$42,0)))</f>
        <v/>
      </c>
      <c r="DA5">
        <f>DA4+IF(AND(Lists!$FX$5&lt;&gt;"",ISNUMBER(SEARCH($AF$4,Lists!$FX$5))),1,0)</f>
        <v/>
      </c>
      <c r="DB5">
        <f>IF(ROW()-3&gt;MAX($DA$4:$DA$42),"",INDEX(Lists!$FX$4:$FX$42,MATCH(ROW()-3,$DA$4:$DA$42,0)))</f>
        <v/>
      </c>
    </row>
    <row r="6" outlineLevel="1" ht="15" customHeight="1" s="137">
      <c r="A6" s="67" t="n">
        <v>1</v>
      </c>
      <c r="B6" s="76">
        <f>IF('Final Calculation Sheet'!$F$4="","",'Final Calculation Sheet'!$F$4)</f>
        <v/>
      </c>
      <c r="C6" s="76">
        <f>IF('Final Calculation Sheet'!$G$4="","",'Final Calculation Sheet'!$G$4)</f>
        <v/>
      </c>
      <c r="D6" s="80">
        <f>IF('Final Calculation Sheet'!$B$4="","",'Final Calculation Sheet'!$B$4)</f>
        <v/>
      </c>
      <c r="E6" s="80">
        <f>IF('Final Calculation Sheet'!$D$4="","",'Final Calculation Sheet'!$D$4)</f>
        <v/>
      </c>
      <c r="F6" s="80">
        <f>IF('Final Calculation Sheet'!$A$4="","",'Final Calculation Sheet'!$A$4)</f>
        <v/>
      </c>
      <c r="G6" s="80">
        <f>IF('Final Calculation Sheet'!$E$4="","",'Final Calculation Sheet'!$E$4)</f>
        <v/>
      </c>
      <c r="H6" s="70">
        <f>IF('Final Calculation Sheet'!$C$4="","",'Final Calculation Sheet'!$C$4)</f>
        <v/>
      </c>
      <c r="I6" s="70">
        <f>IF('Final Calculation Sheet'!$H$4="","",'Final Calculation Sheet'!$H$4)</f>
        <v/>
      </c>
      <c r="J6" s="70">
        <f>IF('Final Calculation Sheet'!$I$4="","",'Final Calculation Sheet'!$I$4)</f>
        <v/>
      </c>
      <c r="K6" s="70">
        <f>IF('Final Calculation Sheet'!$J$4="","",'Final Calculation Sheet'!$J$4)</f>
        <v/>
      </c>
      <c r="L6" s="70">
        <f>IF('Final Calculation Sheet'!$K$4="","",'Final Calculation Sheet'!$K$4)</f>
        <v/>
      </c>
      <c r="M6" s="70">
        <f>IF('Final Calculation Sheet'!$L$4="","",'Final Calculation Sheet'!$L$4)</f>
        <v/>
      </c>
      <c r="N6" s="70">
        <f>IF('Final Calculation Sheet'!$M$4="","",'Final Calculation Sheet'!$M$4)</f>
        <v/>
      </c>
      <c r="O6" s="71">
        <f>IF('Final Calculation Sheet'!$N$4="","",'Final Calculation Sheet'!$N$4)</f>
        <v/>
      </c>
      <c r="P6" s="70">
        <f>IF('Final Calculation Sheet'!$O$4="","",'Final Calculation Sheet'!$O$4)</f>
        <v/>
      </c>
      <c r="Q6" s="70">
        <f>IF('Final Calculation Sheet'!$P$4="","",'Final Calculation Sheet'!$P$4)</f>
        <v/>
      </c>
      <c r="R6" s="72">
        <f>IF('Final Calculation Sheet'!$Q$4="","",'Final Calculation Sheet'!$Q$4)</f>
        <v/>
      </c>
      <c r="S6" s="70">
        <f>IF('Final Calculation Sheet'!$R$4="","",'Final Calculation Sheet'!$R$4)</f>
        <v/>
      </c>
      <c r="T6" s="70">
        <f>IF('Final Calculation Sheet'!$S$4="","",'Final Calculation Sheet'!$S$4)</f>
        <v/>
      </c>
      <c r="U6" s="70">
        <f>IF('Final Calculation Sheet'!$T$4="","",'Final Calculation Sheet'!$T$4)</f>
        <v/>
      </c>
      <c r="V6" s="73">
        <f>IF('Final Calculation Sheet'!$U$4="","",'Final Calculation Sheet'!$U$4)</f>
        <v/>
      </c>
      <c r="W6" s="70">
        <f>IF('Final Calculation Sheet'!$V$4="","",'Final Calculation Sheet'!$V$4)</f>
        <v/>
      </c>
      <c r="X6" s="70">
        <f>IF('Final Calculation Sheet'!$W$4="","",'Final Calculation Sheet'!$W$4)</f>
        <v/>
      </c>
      <c r="Y6" s="70">
        <f>IF('Final Calculation Sheet'!$X$4="","",'Final Calculation Sheet'!$X$4)</f>
        <v/>
      </c>
      <c r="Z6" s="70">
        <f>IF('Final Calculation Sheet'!$Y$4="","",'Final Calculation Sheet'!$Y$4)</f>
        <v/>
      </c>
      <c r="AA6" s="70">
        <f>IF('Final Calculation Sheet'!$Z$4="","",'Final Calculation Sheet'!$Z$4)</f>
        <v/>
      </c>
      <c r="AB6" s="70">
        <f>IF('Final Calculation Sheet'!$AA$4="","",'Final Calculation Sheet'!$AA$4)</f>
        <v/>
      </c>
      <c r="AC6" s="70">
        <f>IF('Final Calculation Sheet'!$AB$4="","",'Final Calculation Sheet'!$AB$4)</f>
        <v/>
      </c>
      <c r="AD6" s="70">
        <f>IF('Final Calculation Sheet'!$AC$4="","",'Final Calculation Sheet'!$AC$4)</f>
        <v/>
      </c>
      <c r="AE6" s="70">
        <f>IF('Final Calculation Sheet'!$AD$4="","",'Final Calculation Sheet'!$AD$4)</f>
        <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
      </c>
      <c r="AK6">
        <f>IF(AJ6=1,COUNTIF(AJ$6:AJ6,1),"")</f>
        <v/>
      </c>
      <c r="AM6">
        <f>AM5+IF(AND(Lists!$O$6&lt;&gt;"",ISNUMBER(SEARCH($B$4,Lists!$O$6))),1,0)</f>
        <v/>
      </c>
      <c r="AN6">
        <f>IF(ROW()-3&gt;MAX($AM$4:$AM$42),"",INDEX(Lists!$O$4:$O$42,MATCH(ROW()-3,$AM$4:$AM$42,0)))</f>
        <v/>
      </c>
      <c r="AO6">
        <f>AO5+IF(AND(Lists!$T$6&lt;&gt;"",ISNUMBER(SEARCH($C$4,Lists!$T$6))),1,0)</f>
        <v/>
      </c>
      <c r="AP6">
        <f>IF(ROW()-3&gt;MAX($AO$4:$AO$42),"",INDEX(Lists!$T$4:$T$42,MATCH(ROW()-3,$AO$4:$AO$42,0)))</f>
        <v/>
      </c>
      <c r="AQ6">
        <f>AQ5+IF(AND(Lists!$Y$6&lt;&gt;"",ISNUMBER(SEARCH($D$4,Lists!$Y$6))),1,0)</f>
        <v/>
      </c>
      <c r="AR6">
        <f>IF(ROW()-3&gt;MAX($AQ$4:$AQ$42),"",INDEX(Lists!$Y$4:$Y$42,MATCH(ROW()-3,$AQ$4:$AQ$42,0)))</f>
        <v/>
      </c>
      <c r="AS6">
        <f>AS5+IF(AND(Lists!$AD$6&lt;&gt;"",ISNUMBER(SEARCH($E$4,Lists!$AD$6))),1,0)</f>
        <v/>
      </c>
      <c r="AT6">
        <f>IF(ROW()-3&gt;MAX($AS$4:$AS$42),"",INDEX(Lists!$AD$4:$AD$42,MATCH(ROW()-3,$AS$4:$AS$42,0)))</f>
        <v/>
      </c>
      <c r="AU6">
        <f>AU5+IF(AND(Lists!$AI$6&lt;&gt;"",ISNUMBER(SEARCH($F$4,Lists!$AI$6))),1,0)</f>
        <v/>
      </c>
      <c r="AV6">
        <f>IF(ROW()-3&gt;MAX($AU$4:$AU$42),"",INDEX(Lists!$AI$4:$AI$42,MATCH(ROW()-3,$AU$4:$AU$42,0)))</f>
        <v/>
      </c>
      <c r="AW6">
        <f>AW5+IF(AND(Lists!$AN$6&lt;&gt;"",ISNUMBER(SEARCH($G$4,Lists!$AN$6))),1,0)</f>
        <v/>
      </c>
      <c r="AX6">
        <f>IF(ROW()-3&gt;MAX($AW$4:$AW$42),"",INDEX(Lists!$AN$4:$AN$42,MATCH(ROW()-3,$AW$4:$AW$42,0)))</f>
        <v/>
      </c>
      <c r="AY6">
        <f>AY5+IF(AND(Lists!$AS$6&lt;&gt;"",ISNUMBER(SEARCH($H$4,Lists!$AS$6))),1,0)</f>
        <v/>
      </c>
      <c r="AZ6">
        <f>IF(ROW()-3&gt;MAX($AY$4:$AY$42),"",INDEX(Lists!$AS$4:$AS$42,MATCH(ROW()-3,$AY$4:$AY$42,0)))</f>
        <v/>
      </c>
      <c r="BA6">
        <f>BA5+IF(AND(Lists!$AX$6&lt;&gt;"",ISNUMBER(SEARCH($I$4,Lists!$AX$6))),1,0)</f>
        <v/>
      </c>
      <c r="BB6">
        <f>IF(ROW()-3&gt;MAX($BA$4:$BA$42),"",INDEX(Lists!$AX$4:$AX$42,MATCH(ROW()-3,$BA$4:$BA$42,0)))</f>
        <v/>
      </c>
      <c r="BC6">
        <f>BC5+IF(AND(Lists!$BC$6&lt;&gt;"",ISNUMBER(SEARCH($J$4,Lists!$BC$6))),1,0)</f>
        <v/>
      </c>
      <c r="BD6">
        <f>IF(ROW()-3&gt;MAX($BC$4:$BC$42),"",INDEX(Lists!$BC$4:$BC$42,MATCH(ROW()-3,$BC$4:$BC$42,0)))</f>
        <v/>
      </c>
      <c r="BE6">
        <f>BE5+IF(AND(Lists!$BH$6&lt;&gt;"",ISNUMBER(SEARCH($K$4,Lists!$BH$6))),1,0)</f>
        <v/>
      </c>
      <c r="BF6">
        <f>IF(ROW()-3&gt;MAX($BE$4:$BE$42),"",INDEX(Lists!$BH$4:$BH$42,MATCH(ROW()-3,$BE$4:$BE$42,0)))</f>
        <v/>
      </c>
      <c r="BG6">
        <f>BG5+IF(AND(Lists!$BM$6&lt;&gt;"",ISNUMBER(SEARCH($L$4,Lists!$BM$6))),1,0)</f>
        <v/>
      </c>
      <c r="BH6">
        <f>IF(ROW()-3&gt;MAX($BG$4:$BG$42),"",INDEX(Lists!$BM$4:$BM$42,MATCH(ROW()-3,$BG$4:$BG$42,0)))</f>
        <v/>
      </c>
      <c r="BI6">
        <f>BI5+IF(AND(Lists!$BR$6&lt;&gt;"",ISNUMBER(SEARCH($M$4,Lists!$BR$6))),1,0)</f>
        <v/>
      </c>
      <c r="BJ6">
        <f>IF(ROW()-3&gt;MAX($BI$4:$BI$42),"",INDEX(Lists!$BR$4:$BR$42,MATCH(ROW()-3,$BI$4:$BI$42,0)))</f>
        <v/>
      </c>
      <c r="BK6">
        <f>BK5+IF(AND(Lists!$BW$6&lt;&gt;"",ISNUMBER(SEARCH($N$4,Lists!$BW$6))),1,0)</f>
        <v/>
      </c>
      <c r="BL6">
        <f>IF(ROW()-3&gt;MAX($BK$4:$BK$42),"",INDEX(Lists!$BW$4:$BW$42,MATCH(ROW()-3,$BK$4:$BK$42,0)))</f>
        <v/>
      </c>
      <c r="BM6">
        <f>BM5+IF(AND(Lists!$CB$6&lt;&gt;"",ISNUMBER(SEARCH($O$4,Lists!$CB$6))),1,0)</f>
        <v/>
      </c>
      <c r="BN6">
        <f>IF(ROW()-3&gt;MAX($BM$4:$BM$42),"",INDEX(Lists!$CB$4:$CB$42,MATCH(ROW()-3,$BM$4:$BM$42,0)))</f>
        <v/>
      </c>
      <c r="BO6">
        <f>BO5+IF(AND(Lists!$CG$6&lt;&gt;"",ISNUMBER(SEARCH($P$4,Lists!$CG$6))),1,0)</f>
        <v/>
      </c>
      <c r="BP6">
        <f>IF(ROW()-3&gt;MAX($BO$4:$BO$42),"",INDEX(Lists!$CG$4:$CG$42,MATCH(ROW()-3,$BO$4:$BO$42,0)))</f>
        <v/>
      </c>
      <c r="BQ6">
        <f>BQ5+IF(AND(Lists!$CL$6&lt;&gt;"",ISNUMBER(SEARCH($Q$4,Lists!$CL$6))),1,0)</f>
        <v/>
      </c>
      <c r="BR6">
        <f>IF(ROW()-3&gt;MAX($BQ$4:$BQ$42),"",INDEX(Lists!$CL$4:$CL$42,MATCH(ROW()-3,$BQ$4:$BQ$42,0)))</f>
        <v/>
      </c>
      <c r="BS6">
        <f>BS5+IF(AND(Lists!$CQ$6&lt;&gt;"",ISNUMBER(SEARCH($R$4,Lists!$CQ$6))),1,0)</f>
        <v/>
      </c>
      <c r="BT6">
        <f>IF(ROW()-3&gt;MAX($BS$4:$BS$42),"",INDEX(Lists!$CQ$4:$CQ$42,MATCH(ROW()-3,$BS$4:$BS$42,0)))</f>
        <v/>
      </c>
      <c r="BU6">
        <f>BU5+IF(AND(Lists!$CV$6&lt;&gt;"",ISNUMBER(SEARCH($S$4,Lists!$CV$6))),1,0)</f>
        <v/>
      </c>
      <c r="BV6">
        <f>IF(ROW()-3&gt;MAX($BU$4:$BU$42),"",INDEX(Lists!$CV$4:$CV$42,MATCH(ROW()-3,$BU$4:$BU$42,0)))</f>
        <v/>
      </c>
      <c r="BW6">
        <f>BW5+IF(AND(Lists!$DA$6&lt;&gt;"",ISNUMBER(SEARCH($T$4,Lists!$DA$6))),1,0)</f>
        <v/>
      </c>
      <c r="BX6">
        <f>IF(ROW()-3&gt;MAX($BW$4:$BW$42),"",INDEX(Lists!$DA$4:$DA$42,MATCH(ROW()-3,$BW$4:$BW$42,0)))</f>
        <v/>
      </c>
      <c r="BY6">
        <f>BY5+IF(AND(Lists!$DF$6&lt;&gt;"",ISNUMBER(SEARCH($U$4,Lists!$DF$6))),1,0)</f>
        <v/>
      </c>
      <c r="BZ6">
        <f>IF(ROW()-3&gt;MAX($BY$4:$BY$42),"",INDEX(Lists!$DF$4:$DF$42,MATCH(ROW()-3,$BY$4:$BY$42,0)))</f>
        <v/>
      </c>
      <c r="CA6">
        <f>CA5+IF(AND(Lists!$DK$6&lt;&gt;"",ISNUMBER(SEARCH($V$4,Lists!$DK$6))),1,0)</f>
        <v/>
      </c>
      <c r="CB6">
        <f>IF(ROW()-3&gt;MAX($CA$4:$CA$42),"",INDEX(Lists!$DK$4:$DK$42,MATCH(ROW()-3,$CA$4:$CA$42,0)))</f>
        <v/>
      </c>
      <c r="CC6">
        <f>CC5+IF(AND(Lists!$DP$6&lt;&gt;"",ISNUMBER(SEARCH($W$4,Lists!$DP$6))),1,0)</f>
        <v/>
      </c>
      <c r="CD6">
        <f>IF(ROW()-3&gt;MAX($CC$4:$CC$42),"",INDEX(Lists!$DP$4:$DP$42,MATCH(ROW()-3,$CC$4:$CC$42,0)))</f>
        <v/>
      </c>
      <c r="CE6">
        <f>CE5+IF(AND(Lists!$DU$6&lt;&gt;"",ISNUMBER(SEARCH($X$4,Lists!$DU$6))),1,0)</f>
        <v/>
      </c>
      <c r="CF6">
        <f>IF(ROW()-3&gt;MAX($CE$4:$CE$42),"",INDEX(Lists!$DU$4:$DU$42,MATCH(ROW()-3,$CE$4:$CE$42,0)))</f>
        <v/>
      </c>
      <c r="CG6">
        <f>CG5+IF(AND(Lists!$DZ$6&lt;&gt;"",ISNUMBER(SEARCH($Y$4,Lists!$DZ$6))),1,0)</f>
        <v/>
      </c>
      <c r="CH6">
        <f>IF(ROW()-3&gt;MAX($CG$4:$CG$42),"",INDEX(Lists!$DZ$4:$DZ$42,MATCH(ROW()-3,$CG$4:$CG$42,0)))</f>
        <v/>
      </c>
      <c r="CI6">
        <f>CI5+IF(AND(Lists!$EE$6&lt;&gt;"",ISNUMBER(SEARCH($Z$4,Lists!$EE$6))),1,0)</f>
        <v/>
      </c>
      <c r="CJ6">
        <f>IF(ROW()-3&gt;MAX($CI$4:$CI$42),"",INDEX(Lists!$EE$4:$EE$42,MATCH(ROW()-3,$CI$4:$CI$42,0)))</f>
        <v/>
      </c>
      <c r="CK6">
        <f>CK5+IF(AND(Lists!$EJ$6&lt;&gt;"",ISNUMBER(SEARCH($AA$4,Lists!$EJ$6))),1,0)</f>
        <v/>
      </c>
      <c r="CL6">
        <f>IF(ROW()-3&gt;MAX($CK$4:$CK$42),"",INDEX(Lists!$EJ$4:$EJ$42,MATCH(ROW()-3,$CK$4:$CK$42,0)))</f>
        <v/>
      </c>
      <c r="CM6">
        <f>CM5+IF(AND(Lists!$EO$6&lt;&gt;"",ISNUMBER(SEARCH($AB$4,Lists!$EO$6))),1,0)</f>
        <v/>
      </c>
      <c r="CN6">
        <f>IF(ROW()-3&gt;MAX($CM$4:$CM$42),"",INDEX(Lists!$EO$4:$EO$42,MATCH(ROW()-3,$CM$4:$CM$42,0)))</f>
        <v/>
      </c>
      <c r="CO6">
        <f>CO5+IF(AND(Lists!$ET$6&lt;&gt;"",ISNUMBER(SEARCH($AC$4,Lists!$ET$6))),1,0)</f>
        <v/>
      </c>
      <c r="CP6">
        <f>IF(ROW()-3&gt;MAX($CO$4:$CO$42),"",INDEX(Lists!$ET$4:$ET$42,MATCH(ROW()-3,$CO$4:$CO$42,0)))</f>
        <v/>
      </c>
      <c r="CQ6">
        <f>CQ5+IF(AND(Lists!$EY$6&lt;&gt;"",ISNUMBER(SEARCH($AD$4,Lists!$EY$6))),1,0)</f>
        <v/>
      </c>
      <c r="CR6">
        <f>IF(ROW()-3&gt;MAX($CQ$4:$CQ$42),"",INDEX(Lists!$EY$4:$EY$42,MATCH(ROW()-3,$CQ$4:$CQ$42,0)))</f>
        <v/>
      </c>
      <c r="CS6">
        <f>CS5+IF(AND(Lists!$FD$6&lt;&gt;"",ISNUMBER(SEARCH($AE$4,Lists!$FD$6))),1,0)</f>
        <v/>
      </c>
      <c r="CT6">
        <f>IF(ROW()-3&gt;MAX($CS$4:$CS$42),"",INDEX(Lists!$FD$4:$FD$42,MATCH(ROW()-3,$CS$4:$CS$42,0)))</f>
        <v/>
      </c>
      <c r="CU6">
        <f>CU5+IF(AND(Lists!$FI$6&lt;&gt;"",ISNUMBER(SEARCH($AG$4,Lists!$FI$6))),1,0)</f>
        <v/>
      </c>
      <c r="CV6">
        <f>IF(ROW()-3&gt;MAX($CU$4:$CU$42),"",INDEX(Lists!$FI$4:$FI$42,MATCH(ROW()-3,$CU$4:$CU$42,0)))</f>
        <v/>
      </c>
      <c r="CW6">
        <f>CW5+IF(AND(Lists!$FN$6&lt;&gt;"",ISNUMBER(SEARCH($AH$4,Lists!$FN$6))),1,0)</f>
        <v/>
      </c>
      <c r="CX6">
        <f>IF(ROW()-3&gt;MAX($CW$4:$CW$42),"",INDEX(Lists!$FN$4:$FN$42,MATCH(ROW()-3,$CW$4:$CW$42,0)))</f>
        <v/>
      </c>
      <c r="CY6">
        <f>CY5+IF(AND(Lists!$FS$6&lt;&gt;"",ISNUMBER(SEARCH($AI$4,Lists!$FS$6))),1,0)</f>
        <v/>
      </c>
      <c r="CZ6">
        <f>IF(ROW()-3&gt;MAX($CY$4:$CY$42),"",INDEX(Lists!$FS$4:$FS$42,MATCH(ROW()-3,$CY$4:$CY$42,0)))</f>
        <v/>
      </c>
      <c r="DA6">
        <f>DA5+IF(AND(Lists!$FX$6&lt;&gt;"",ISNUMBER(SEARCH($AF$4,Lists!$FX$6))),1,0)</f>
        <v/>
      </c>
      <c r="DB6">
        <f>IF(ROW()-3&gt;MAX($DA$4:$DA$42),"",INDEX(Lists!$FX$4:$FX$42,MATCH(ROW()-3,$DA$4:$DA$42,0)))</f>
        <v/>
      </c>
    </row>
    <row r="7" ht="15" customHeight="1" s="137">
      <c r="A7" s="81" t="inlineStr">
        <is>
          <t>∑</t>
        </is>
      </c>
      <c r="B7" s="83" t="n"/>
      <c r="C7" s="83">
        <f>ROWS($C$6:$C$6)&amp;" lot(s)"</f>
        <v/>
      </c>
      <c r="D7" s="83" t="inlineStr">
        <is>
          <t>SUBTOTAL — AL HAMD TRADE CORPORATION</t>
        </is>
      </c>
      <c r="E7" s="83" t="inlineStr">
        <is>
          <t>–</t>
        </is>
      </c>
      <c r="F7" s="83">
        <f>SUM(F6:F6)</f>
        <v/>
      </c>
      <c r="G7" s="83" t="inlineStr">
        <is>
          <t>–</t>
        </is>
      </c>
      <c r="H7" s="84" t="inlineStr">
        <is>
          <t>–</t>
        </is>
      </c>
      <c r="I7" s="84">
        <f>SUM(I6:I6)</f>
        <v/>
      </c>
      <c r="J7" s="84">
        <f>SUM(J6:J6)</f>
        <v/>
      </c>
      <c r="K7" s="84">
        <f>SUM(K6:K6)</f>
        <v/>
      </c>
      <c r="L7" s="84">
        <f>SUM(L6:L6)</f>
        <v/>
      </c>
      <c r="M7" s="84">
        <f>SUM(M6:M6)</f>
        <v/>
      </c>
      <c r="N7" s="84">
        <f>SUM(N6:N6)</f>
        <v/>
      </c>
      <c r="O7" s="85">
        <f>SUM(O6:O6)</f>
        <v/>
      </c>
      <c r="P7" s="84">
        <f>SUM(P6:P6)</f>
        <v/>
      </c>
      <c r="Q7" s="84">
        <f>SUM(Q6:Q6)</f>
        <v/>
      </c>
      <c r="R7" s="86" t="inlineStr">
        <is>
          <t>–</t>
        </is>
      </c>
      <c r="S7" s="84">
        <f>SUM(S6:S6)</f>
        <v/>
      </c>
      <c r="T7" s="84">
        <f>SUM(T6:T6)</f>
        <v/>
      </c>
      <c r="U7" s="84">
        <f>SUM(U6:U6)</f>
        <v/>
      </c>
      <c r="V7" s="87">
        <f>SUM(V6:V6)</f>
        <v/>
      </c>
      <c r="W7" s="84" t="inlineStr">
        <is>
          <t>–</t>
        </is>
      </c>
      <c r="X7" s="84">
        <f>SUM(X6:X6)</f>
        <v/>
      </c>
      <c r="Y7" s="84">
        <f>SUM(Y6:Y6)</f>
        <v/>
      </c>
      <c r="Z7" s="84" t="inlineStr">
        <is>
          <t>–</t>
        </is>
      </c>
      <c r="AA7" s="84">
        <f>SUM(AA6:AA6)</f>
        <v/>
      </c>
      <c r="AB7" s="84">
        <f>SUM(AB6:AB6)</f>
        <v/>
      </c>
      <c r="AC7" s="84" t="inlineStr">
        <is>
          <t>–</t>
        </is>
      </c>
      <c r="AD7" s="84">
        <f>SUM(AD6:AD6)</f>
        <v/>
      </c>
      <c r="AE7" s="84">
        <f>SUM(AE6:AE6)</f>
        <v/>
      </c>
      <c r="AF7" s="89">
        <f>IF(AE7&lt;=5,"SETTLED","OUTSTANDING")</f>
        <v/>
      </c>
      <c r="AG7" s="84" t="inlineStr">
        <is>
          <t>–</t>
        </is>
      </c>
      <c r="AH7" s="88" t="inlineStr">
        <is>
          <t>–</t>
        </is>
      </c>
      <c r="AI7" s="84" t="inlineStr">
        <is>
          <t>–</t>
        </is>
      </c>
      <c r="AJ7">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
      </c>
      <c r="AK7">
        <f>IF(AJ7=1,COUNTIF(AJ$6:AJ7,1),"")</f>
        <v/>
      </c>
      <c r="AM7">
        <f>AM6+IF(AND(Lists!$O$7&lt;&gt;"",ISNUMBER(SEARCH($B$4,Lists!$O$7))),1,0)</f>
        <v/>
      </c>
      <c r="AN7">
        <f>IF(ROW()-3&gt;MAX($AM$4:$AM$42),"",INDEX(Lists!$O$4:$O$42,MATCH(ROW()-3,$AM$4:$AM$42,0)))</f>
        <v/>
      </c>
      <c r="AO7">
        <f>AO6+IF(AND(Lists!$T$7&lt;&gt;"",ISNUMBER(SEARCH($C$4,Lists!$T$7))),1,0)</f>
        <v/>
      </c>
      <c r="AP7">
        <f>IF(ROW()-3&gt;MAX($AO$4:$AO$42),"",INDEX(Lists!$T$4:$T$42,MATCH(ROW()-3,$AO$4:$AO$42,0)))</f>
        <v/>
      </c>
      <c r="AQ7">
        <f>AQ6+IF(AND(Lists!$Y$7&lt;&gt;"",ISNUMBER(SEARCH($D$4,Lists!$Y$7))),1,0)</f>
        <v/>
      </c>
      <c r="AR7">
        <f>IF(ROW()-3&gt;MAX($AQ$4:$AQ$42),"",INDEX(Lists!$Y$4:$Y$42,MATCH(ROW()-3,$AQ$4:$AQ$42,0)))</f>
        <v/>
      </c>
      <c r="AS7">
        <f>AS6+IF(AND(Lists!$AD$7&lt;&gt;"",ISNUMBER(SEARCH($E$4,Lists!$AD$7))),1,0)</f>
        <v/>
      </c>
      <c r="AT7">
        <f>IF(ROW()-3&gt;MAX($AS$4:$AS$42),"",INDEX(Lists!$AD$4:$AD$42,MATCH(ROW()-3,$AS$4:$AS$42,0)))</f>
        <v/>
      </c>
      <c r="AU7">
        <f>AU6+IF(AND(Lists!$AI$7&lt;&gt;"",ISNUMBER(SEARCH($F$4,Lists!$AI$7))),1,0)</f>
        <v/>
      </c>
      <c r="AV7">
        <f>IF(ROW()-3&gt;MAX($AU$4:$AU$42),"",INDEX(Lists!$AI$4:$AI$42,MATCH(ROW()-3,$AU$4:$AU$42,0)))</f>
        <v/>
      </c>
      <c r="AW7">
        <f>AW6+IF(AND(Lists!$AN$7&lt;&gt;"",ISNUMBER(SEARCH($G$4,Lists!$AN$7))),1,0)</f>
        <v/>
      </c>
      <c r="AX7">
        <f>IF(ROW()-3&gt;MAX($AW$4:$AW$42),"",INDEX(Lists!$AN$4:$AN$42,MATCH(ROW()-3,$AW$4:$AW$42,0)))</f>
        <v/>
      </c>
      <c r="AY7">
        <f>AY6+IF(AND(Lists!$AS$7&lt;&gt;"",ISNUMBER(SEARCH($H$4,Lists!$AS$7))),1,0)</f>
        <v/>
      </c>
      <c r="AZ7">
        <f>IF(ROW()-3&gt;MAX($AY$4:$AY$42),"",INDEX(Lists!$AS$4:$AS$42,MATCH(ROW()-3,$AY$4:$AY$42,0)))</f>
        <v/>
      </c>
      <c r="BA7">
        <f>BA6+IF(AND(Lists!$AX$7&lt;&gt;"",ISNUMBER(SEARCH($I$4,Lists!$AX$7))),1,0)</f>
        <v/>
      </c>
      <c r="BB7">
        <f>IF(ROW()-3&gt;MAX($BA$4:$BA$42),"",INDEX(Lists!$AX$4:$AX$42,MATCH(ROW()-3,$BA$4:$BA$42,0)))</f>
        <v/>
      </c>
      <c r="BC7">
        <f>BC6+IF(AND(Lists!$BC$7&lt;&gt;"",ISNUMBER(SEARCH($J$4,Lists!$BC$7))),1,0)</f>
        <v/>
      </c>
      <c r="BD7">
        <f>IF(ROW()-3&gt;MAX($BC$4:$BC$42),"",INDEX(Lists!$BC$4:$BC$42,MATCH(ROW()-3,$BC$4:$BC$42,0)))</f>
        <v/>
      </c>
      <c r="BE7">
        <f>BE6+IF(AND(Lists!$BH$7&lt;&gt;"",ISNUMBER(SEARCH($K$4,Lists!$BH$7))),1,0)</f>
        <v/>
      </c>
      <c r="BF7">
        <f>IF(ROW()-3&gt;MAX($BE$4:$BE$42),"",INDEX(Lists!$BH$4:$BH$42,MATCH(ROW()-3,$BE$4:$BE$42,0)))</f>
        <v/>
      </c>
      <c r="BG7">
        <f>BG6+IF(AND(Lists!$BM$7&lt;&gt;"",ISNUMBER(SEARCH($L$4,Lists!$BM$7))),1,0)</f>
        <v/>
      </c>
      <c r="BH7">
        <f>IF(ROW()-3&gt;MAX($BG$4:$BG$42),"",INDEX(Lists!$BM$4:$BM$42,MATCH(ROW()-3,$BG$4:$BG$42,0)))</f>
        <v/>
      </c>
      <c r="BI7">
        <f>BI6+IF(AND(Lists!$BR$7&lt;&gt;"",ISNUMBER(SEARCH($M$4,Lists!$BR$7))),1,0)</f>
        <v/>
      </c>
      <c r="BJ7">
        <f>IF(ROW()-3&gt;MAX($BI$4:$BI$42),"",INDEX(Lists!$BR$4:$BR$42,MATCH(ROW()-3,$BI$4:$BI$42,0)))</f>
        <v/>
      </c>
      <c r="BK7">
        <f>BK6+IF(AND(Lists!$BW$7&lt;&gt;"",ISNUMBER(SEARCH($N$4,Lists!$BW$7))),1,0)</f>
        <v/>
      </c>
      <c r="BL7">
        <f>IF(ROW()-3&gt;MAX($BK$4:$BK$42),"",INDEX(Lists!$BW$4:$BW$42,MATCH(ROW()-3,$BK$4:$BK$42,0)))</f>
        <v/>
      </c>
      <c r="BM7">
        <f>BM6+IF(AND(Lists!$CB$7&lt;&gt;"",ISNUMBER(SEARCH($O$4,Lists!$CB$7))),1,0)</f>
        <v/>
      </c>
      <c r="BN7">
        <f>IF(ROW()-3&gt;MAX($BM$4:$BM$42),"",INDEX(Lists!$CB$4:$CB$42,MATCH(ROW()-3,$BM$4:$BM$42,0)))</f>
        <v/>
      </c>
      <c r="BO7">
        <f>BO6+IF(AND(Lists!$CG$7&lt;&gt;"",ISNUMBER(SEARCH($P$4,Lists!$CG$7))),1,0)</f>
        <v/>
      </c>
      <c r="BP7">
        <f>IF(ROW()-3&gt;MAX($BO$4:$BO$42),"",INDEX(Lists!$CG$4:$CG$42,MATCH(ROW()-3,$BO$4:$BO$42,0)))</f>
        <v/>
      </c>
      <c r="BQ7">
        <f>BQ6+IF(AND(Lists!$CL$7&lt;&gt;"",ISNUMBER(SEARCH($Q$4,Lists!$CL$7))),1,0)</f>
        <v/>
      </c>
      <c r="BR7">
        <f>IF(ROW()-3&gt;MAX($BQ$4:$BQ$42),"",INDEX(Lists!$CL$4:$CL$42,MATCH(ROW()-3,$BQ$4:$BQ$42,0)))</f>
        <v/>
      </c>
      <c r="BS7">
        <f>BS6+IF(AND(Lists!$CQ$7&lt;&gt;"",ISNUMBER(SEARCH($R$4,Lists!$CQ$7))),1,0)</f>
        <v/>
      </c>
      <c r="BT7">
        <f>IF(ROW()-3&gt;MAX($BS$4:$BS$42),"",INDEX(Lists!$CQ$4:$CQ$42,MATCH(ROW()-3,$BS$4:$BS$42,0)))</f>
        <v/>
      </c>
      <c r="BU7">
        <f>BU6+IF(AND(Lists!$CV$7&lt;&gt;"",ISNUMBER(SEARCH($S$4,Lists!$CV$7))),1,0)</f>
        <v/>
      </c>
      <c r="BV7">
        <f>IF(ROW()-3&gt;MAX($BU$4:$BU$42),"",INDEX(Lists!$CV$4:$CV$42,MATCH(ROW()-3,$BU$4:$BU$42,0)))</f>
        <v/>
      </c>
      <c r="BW7">
        <f>BW6+IF(AND(Lists!$DA$7&lt;&gt;"",ISNUMBER(SEARCH($T$4,Lists!$DA$7))),1,0)</f>
        <v/>
      </c>
      <c r="BX7">
        <f>IF(ROW()-3&gt;MAX($BW$4:$BW$42),"",INDEX(Lists!$DA$4:$DA$42,MATCH(ROW()-3,$BW$4:$BW$42,0)))</f>
        <v/>
      </c>
      <c r="BY7">
        <f>BY6+IF(AND(Lists!$DF$7&lt;&gt;"",ISNUMBER(SEARCH($U$4,Lists!$DF$7))),1,0)</f>
        <v/>
      </c>
      <c r="BZ7">
        <f>IF(ROW()-3&gt;MAX($BY$4:$BY$42),"",INDEX(Lists!$DF$4:$DF$42,MATCH(ROW()-3,$BY$4:$BY$42,0)))</f>
        <v/>
      </c>
      <c r="CA7">
        <f>CA6+IF(AND(Lists!$DK$7&lt;&gt;"",ISNUMBER(SEARCH($V$4,Lists!$DK$7))),1,0)</f>
        <v/>
      </c>
      <c r="CB7">
        <f>IF(ROW()-3&gt;MAX($CA$4:$CA$42),"",INDEX(Lists!$DK$4:$DK$42,MATCH(ROW()-3,$CA$4:$CA$42,0)))</f>
        <v/>
      </c>
      <c r="CC7">
        <f>CC6+IF(AND(Lists!$DP$7&lt;&gt;"",ISNUMBER(SEARCH($W$4,Lists!$DP$7))),1,0)</f>
        <v/>
      </c>
      <c r="CD7">
        <f>IF(ROW()-3&gt;MAX($CC$4:$CC$42),"",INDEX(Lists!$DP$4:$DP$42,MATCH(ROW()-3,$CC$4:$CC$42,0)))</f>
        <v/>
      </c>
      <c r="CE7">
        <f>CE6+IF(AND(Lists!$DU$7&lt;&gt;"",ISNUMBER(SEARCH($X$4,Lists!$DU$7))),1,0)</f>
        <v/>
      </c>
      <c r="CF7">
        <f>IF(ROW()-3&gt;MAX($CE$4:$CE$42),"",INDEX(Lists!$DU$4:$DU$42,MATCH(ROW()-3,$CE$4:$CE$42,0)))</f>
        <v/>
      </c>
      <c r="CG7">
        <f>CG6+IF(AND(Lists!$DZ$7&lt;&gt;"",ISNUMBER(SEARCH($Y$4,Lists!$DZ$7))),1,0)</f>
        <v/>
      </c>
      <c r="CH7">
        <f>IF(ROW()-3&gt;MAX($CG$4:$CG$42),"",INDEX(Lists!$DZ$4:$DZ$42,MATCH(ROW()-3,$CG$4:$CG$42,0)))</f>
        <v/>
      </c>
      <c r="CI7">
        <f>CI6+IF(AND(Lists!$EE$7&lt;&gt;"",ISNUMBER(SEARCH($Z$4,Lists!$EE$7))),1,0)</f>
        <v/>
      </c>
      <c r="CJ7">
        <f>IF(ROW()-3&gt;MAX($CI$4:$CI$42),"",INDEX(Lists!$EE$4:$EE$42,MATCH(ROW()-3,$CI$4:$CI$42,0)))</f>
        <v/>
      </c>
      <c r="CK7">
        <f>CK6+IF(AND(Lists!$EJ$7&lt;&gt;"",ISNUMBER(SEARCH($AA$4,Lists!$EJ$7))),1,0)</f>
        <v/>
      </c>
      <c r="CL7">
        <f>IF(ROW()-3&gt;MAX($CK$4:$CK$42),"",INDEX(Lists!$EJ$4:$EJ$42,MATCH(ROW()-3,$CK$4:$CK$42,0)))</f>
        <v/>
      </c>
      <c r="CM7">
        <f>CM6+IF(AND(Lists!$EO$7&lt;&gt;"",ISNUMBER(SEARCH($AB$4,Lists!$EO$7))),1,0)</f>
        <v/>
      </c>
      <c r="CN7">
        <f>IF(ROW()-3&gt;MAX($CM$4:$CM$42),"",INDEX(Lists!$EO$4:$EO$42,MATCH(ROW()-3,$CM$4:$CM$42,0)))</f>
        <v/>
      </c>
      <c r="CO7">
        <f>CO6+IF(AND(Lists!$ET$7&lt;&gt;"",ISNUMBER(SEARCH($AC$4,Lists!$ET$7))),1,0)</f>
        <v/>
      </c>
      <c r="CP7">
        <f>IF(ROW()-3&gt;MAX($CO$4:$CO$42),"",INDEX(Lists!$ET$4:$ET$42,MATCH(ROW()-3,$CO$4:$CO$42,0)))</f>
        <v/>
      </c>
      <c r="CQ7">
        <f>CQ6+IF(AND(Lists!$EY$7&lt;&gt;"",ISNUMBER(SEARCH($AD$4,Lists!$EY$7))),1,0)</f>
        <v/>
      </c>
      <c r="CR7">
        <f>IF(ROW()-3&gt;MAX($CQ$4:$CQ$42),"",INDEX(Lists!$EY$4:$EY$42,MATCH(ROW()-3,$CQ$4:$CQ$42,0)))</f>
        <v/>
      </c>
      <c r="CS7">
        <f>CS6+IF(AND(Lists!$FD$7&lt;&gt;"",ISNUMBER(SEARCH($AE$4,Lists!$FD$7))),1,0)</f>
        <v/>
      </c>
      <c r="CT7">
        <f>IF(ROW()-3&gt;MAX($CS$4:$CS$42),"",INDEX(Lists!$FD$4:$FD$42,MATCH(ROW()-3,$CS$4:$CS$42,0)))</f>
        <v/>
      </c>
      <c r="CU7">
        <f>CU6+IF(AND(Lists!$FI$7&lt;&gt;"",ISNUMBER(SEARCH($AG$4,Lists!$FI$7))),1,0)</f>
        <v/>
      </c>
      <c r="CV7">
        <f>IF(ROW()-3&gt;MAX($CU$4:$CU$42),"",INDEX(Lists!$FI$4:$FI$42,MATCH(ROW()-3,$CU$4:$CU$42,0)))</f>
        <v/>
      </c>
      <c r="CW7">
        <f>CW6+IF(AND(Lists!$FN$7&lt;&gt;"",ISNUMBER(SEARCH($AH$4,Lists!$FN$7))),1,0)</f>
        <v/>
      </c>
      <c r="CX7">
        <f>IF(ROW()-3&gt;MAX($CW$4:$CW$42),"",INDEX(Lists!$FN$4:$FN$42,MATCH(ROW()-3,$CW$4:$CW$42,0)))</f>
        <v/>
      </c>
      <c r="CY7">
        <f>CY6+IF(AND(Lists!$FS$7&lt;&gt;"",ISNUMBER(SEARCH($AI$4,Lists!$FS$7))),1,0)</f>
        <v/>
      </c>
      <c r="CZ7">
        <f>IF(ROW()-3&gt;MAX($CY$4:$CY$42),"",INDEX(Lists!$FS$4:$FS$42,MATCH(ROW()-3,$CY$4:$CY$42,0)))</f>
        <v/>
      </c>
      <c r="DA7">
        <f>DA6+IF(AND(Lists!$FX$7&lt;&gt;"",ISNUMBER(SEARCH($AF$4,Lists!$FX$7))),1,0)</f>
        <v/>
      </c>
      <c r="DB7">
        <f>IF(ROW()-3&gt;MAX($DA$4:$DA$42),"",INDEX(Lists!$FX$4:$FX$42,MATCH(ROW()-3,$DA$4:$DA$42,0)))</f>
        <v/>
      </c>
    </row>
    <row r="8" outlineLevel="1" ht="15" customHeight="1" s="137">
      <c r="A8" s="67" t="n">
        <v>1</v>
      </c>
      <c r="B8" s="76">
        <f>IF('Final Calculation Sheet'!$F$6="","",'Final Calculation Sheet'!$F$6)</f>
        <v/>
      </c>
      <c r="C8" s="76">
        <f>IF('Final Calculation Sheet'!$G$6="","",'Final Calculation Sheet'!$G$6)</f>
        <v/>
      </c>
      <c r="D8" s="80">
        <f>IF('Final Calculation Sheet'!$B$6="","",'Final Calculation Sheet'!$B$6)</f>
        <v/>
      </c>
      <c r="E8" s="80">
        <f>IF('Final Calculation Sheet'!$D$6="","",'Final Calculation Sheet'!$D$6)</f>
        <v/>
      </c>
      <c r="F8" s="80">
        <f>IF('Final Calculation Sheet'!$A$6="","",'Final Calculation Sheet'!$A$6)</f>
        <v/>
      </c>
      <c r="G8" s="80">
        <f>IF('Final Calculation Sheet'!$E$6="","",'Final Calculation Sheet'!$E$6)</f>
        <v/>
      </c>
      <c r="H8" s="70">
        <f>IF('Final Calculation Sheet'!$C$6="","",'Final Calculation Sheet'!$C$6)</f>
        <v/>
      </c>
      <c r="I8" s="70">
        <f>IF('Final Calculation Sheet'!$H$6="","",'Final Calculation Sheet'!$H$6)</f>
        <v/>
      </c>
      <c r="J8" s="70">
        <f>IF('Final Calculation Sheet'!$I$6="","",'Final Calculation Sheet'!$I$6)</f>
        <v/>
      </c>
      <c r="K8" s="70">
        <f>IF('Final Calculation Sheet'!$J$6="","",'Final Calculation Sheet'!$J$6)</f>
        <v/>
      </c>
      <c r="L8" s="70">
        <f>IF('Final Calculation Sheet'!$K$6="","",'Final Calculation Sheet'!$K$6)</f>
        <v/>
      </c>
      <c r="M8" s="70">
        <f>IF('Final Calculation Sheet'!$L$6="","",'Final Calculation Sheet'!$L$6)</f>
        <v/>
      </c>
      <c r="N8" s="70">
        <f>IF('Final Calculation Sheet'!$M$6="","",'Final Calculation Sheet'!$M$6)</f>
        <v/>
      </c>
      <c r="O8" s="71">
        <f>IF('Final Calculation Sheet'!$N$6="","",'Final Calculation Sheet'!$N$6)</f>
        <v/>
      </c>
      <c r="P8" s="70">
        <f>IF('Final Calculation Sheet'!$O$6="","",'Final Calculation Sheet'!$O$6)</f>
        <v/>
      </c>
      <c r="Q8" s="70">
        <f>IF('Final Calculation Sheet'!$P$6="","",'Final Calculation Sheet'!$P$6)</f>
        <v/>
      </c>
      <c r="R8" s="72">
        <f>IF('Final Calculation Sheet'!$Q$6="","",'Final Calculation Sheet'!$Q$6)</f>
        <v/>
      </c>
      <c r="S8" s="70">
        <f>IF('Final Calculation Sheet'!$R$6="","",'Final Calculation Sheet'!$R$6)</f>
        <v/>
      </c>
      <c r="T8" s="70">
        <f>IF('Final Calculation Sheet'!$S$6="","",'Final Calculation Sheet'!$S$6)</f>
        <v/>
      </c>
      <c r="U8" s="70">
        <f>IF('Final Calculation Sheet'!$T$6="","",'Final Calculation Sheet'!$T$6)</f>
        <v/>
      </c>
      <c r="V8" s="73">
        <f>IF('Final Calculation Sheet'!$U$6="","",'Final Calculation Sheet'!$U$6)</f>
        <v/>
      </c>
      <c r="W8" s="70">
        <f>IF('Final Calculation Sheet'!$V$6="","",'Final Calculation Sheet'!$V$6)</f>
        <v/>
      </c>
      <c r="X8" s="70">
        <f>IF('Final Calculation Sheet'!$W$6="","",'Final Calculation Sheet'!$W$6)</f>
        <v/>
      </c>
      <c r="Y8" s="70">
        <f>IF('Final Calculation Sheet'!$X$6="","",'Final Calculation Sheet'!$X$6)</f>
        <v/>
      </c>
      <c r="Z8" s="70">
        <f>IF('Final Calculation Sheet'!$Y$6="","",'Final Calculation Sheet'!$Y$6)</f>
        <v/>
      </c>
      <c r="AA8" s="70">
        <f>IF('Final Calculation Sheet'!$Z$6="","",'Final Calculation Sheet'!$Z$6)</f>
        <v/>
      </c>
      <c r="AB8" s="70">
        <f>IF('Final Calculation Sheet'!$AA$6="","",'Final Calculation Sheet'!$AA$6)</f>
        <v/>
      </c>
      <c r="AC8" s="70">
        <f>IF('Final Calculation Sheet'!$AB$6="","",'Final Calculation Sheet'!$AB$6)</f>
        <v/>
      </c>
      <c r="AD8" s="70">
        <f>IF('Final Calculation Sheet'!$AC$6="","",'Final Calculation Sheet'!$AC$6)</f>
        <v/>
      </c>
      <c r="AE8" s="70">
        <f>IF('Final Calculation Sheet'!$AD$6="","",'Final Calculation Sheet'!$AD$6)</f>
        <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
      </c>
      <c r="AK8">
        <f>IF(AJ8=1,COUNTIF(AJ$6:AJ8,1),"")</f>
        <v/>
      </c>
      <c r="AM8">
        <f>AM7+IF(AND(Lists!$O$8&lt;&gt;"",ISNUMBER(SEARCH($B$4,Lists!$O$8))),1,0)</f>
        <v/>
      </c>
      <c r="AN8">
        <f>IF(ROW()-3&gt;MAX($AM$4:$AM$42),"",INDEX(Lists!$O$4:$O$42,MATCH(ROW()-3,$AM$4:$AM$42,0)))</f>
        <v/>
      </c>
      <c r="AO8">
        <f>AO7+IF(AND(Lists!$T$8&lt;&gt;"",ISNUMBER(SEARCH($C$4,Lists!$T$8))),1,0)</f>
        <v/>
      </c>
      <c r="AP8">
        <f>IF(ROW()-3&gt;MAX($AO$4:$AO$42),"",INDEX(Lists!$T$4:$T$42,MATCH(ROW()-3,$AO$4:$AO$42,0)))</f>
        <v/>
      </c>
      <c r="AQ8">
        <f>AQ7+IF(AND(Lists!$Y$8&lt;&gt;"",ISNUMBER(SEARCH($D$4,Lists!$Y$8))),1,0)</f>
        <v/>
      </c>
      <c r="AR8">
        <f>IF(ROW()-3&gt;MAX($AQ$4:$AQ$42),"",INDEX(Lists!$Y$4:$Y$42,MATCH(ROW()-3,$AQ$4:$AQ$42,0)))</f>
        <v/>
      </c>
      <c r="AS8">
        <f>AS7+IF(AND(Lists!$AD$8&lt;&gt;"",ISNUMBER(SEARCH($E$4,Lists!$AD$8))),1,0)</f>
        <v/>
      </c>
      <c r="AT8">
        <f>IF(ROW()-3&gt;MAX($AS$4:$AS$42),"",INDEX(Lists!$AD$4:$AD$42,MATCH(ROW()-3,$AS$4:$AS$42,0)))</f>
        <v/>
      </c>
      <c r="AU8">
        <f>AU7+IF(AND(Lists!$AI$8&lt;&gt;"",ISNUMBER(SEARCH($F$4,Lists!$AI$8))),1,0)</f>
        <v/>
      </c>
      <c r="AV8">
        <f>IF(ROW()-3&gt;MAX($AU$4:$AU$42),"",INDEX(Lists!$AI$4:$AI$42,MATCH(ROW()-3,$AU$4:$AU$42,0)))</f>
        <v/>
      </c>
      <c r="AW8">
        <f>AW7+IF(AND(Lists!$AN$8&lt;&gt;"",ISNUMBER(SEARCH($G$4,Lists!$AN$8))),1,0)</f>
        <v/>
      </c>
      <c r="AX8">
        <f>IF(ROW()-3&gt;MAX($AW$4:$AW$42),"",INDEX(Lists!$AN$4:$AN$42,MATCH(ROW()-3,$AW$4:$AW$42,0)))</f>
        <v/>
      </c>
      <c r="AY8">
        <f>AY7+IF(AND(Lists!$AS$8&lt;&gt;"",ISNUMBER(SEARCH($H$4,Lists!$AS$8))),1,0)</f>
        <v/>
      </c>
      <c r="AZ8">
        <f>IF(ROW()-3&gt;MAX($AY$4:$AY$42),"",INDEX(Lists!$AS$4:$AS$42,MATCH(ROW()-3,$AY$4:$AY$42,0)))</f>
        <v/>
      </c>
      <c r="BA8">
        <f>BA7+IF(AND(Lists!$AX$8&lt;&gt;"",ISNUMBER(SEARCH($I$4,Lists!$AX$8))),1,0)</f>
        <v/>
      </c>
      <c r="BB8">
        <f>IF(ROW()-3&gt;MAX($BA$4:$BA$42),"",INDEX(Lists!$AX$4:$AX$42,MATCH(ROW()-3,$BA$4:$BA$42,0)))</f>
        <v/>
      </c>
      <c r="BC8">
        <f>BC7+IF(AND(Lists!$BC$8&lt;&gt;"",ISNUMBER(SEARCH($J$4,Lists!$BC$8))),1,0)</f>
        <v/>
      </c>
      <c r="BD8">
        <f>IF(ROW()-3&gt;MAX($BC$4:$BC$42),"",INDEX(Lists!$BC$4:$BC$42,MATCH(ROW()-3,$BC$4:$BC$42,0)))</f>
        <v/>
      </c>
      <c r="BE8">
        <f>BE7+IF(AND(Lists!$BH$8&lt;&gt;"",ISNUMBER(SEARCH($K$4,Lists!$BH$8))),1,0)</f>
        <v/>
      </c>
      <c r="BF8">
        <f>IF(ROW()-3&gt;MAX($BE$4:$BE$42),"",INDEX(Lists!$BH$4:$BH$42,MATCH(ROW()-3,$BE$4:$BE$42,0)))</f>
        <v/>
      </c>
      <c r="BG8">
        <f>BG7+IF(AND(Lists!$BM$8&lt;&gt;"",ISNUMBER(SEARCH($L$4,Lists!$BM$8))),1,0)</f>
        <v/>
      </c>
      <c r="BH8">
        <f>IF(ROW()-3&gt;MAX($BG$4:$BG$42),"",INDEX(Lists!$BM$4:$BM$42,MATCH(ROW()-3,$BG$4:$BG$42,0)))</f>
        <v/>
      </c>
      <c r="BI8">
        <f>BI7+IF(AND(Lists!$BR$8&lt;&gt;"",ISNUMBER(SEARCH($M$4,Lists!$BR$8))),1,0)</f>
        <v/>
      </c>
      <c r="BJ8">
        <f>IF(ROW()-3&gt;MAX($BI$4:$BI$42),"",INDEX(Lists!$BR$4:$BR$42,MATCH(ROW()-3,$BI$4:$BI$42,0)))</f>
        <v/>
      </c>
      <c r="BK8">
        <f>BK7+IF(AND(Lists!$BW$8&lt;&gt;"",ISNUMBER(SEARCH($N$4,Lists!$BW$8))),1,0)</f>
        <v/>
      </c>
      <c r="BL8">
        <f>IF(ROW()-3&gt;MAX($BK$4:$BK$42),"",INDEX(Lists!$BW$4:$BW$42,MATCH(ROW()-3,$BK$4:$BK$42,0)))</f>
        <v/>
      </c>
      <c r="BM8">
        <f>BM7+IF(AND(Lists!$CB$8&lt;&gt;"",ISNUMBER(SEARCH($O$4,Lists!$CB$8))),1,0)</f>
        <v/>
      </c>
      <c r="BN8">
        <f>IF(ROW()-3&gt;MAX($BM$4:$BM$42),"",INDEX(Lists!$CB$4:$CB$42,MATCH(ROW()-3,$BM$4:$BM$42,0)))</f>
        <v/>
      </c>
      <c r="BO8">
        <f>BO7+IF(AND(Lists!$CG$8&lt;&gt;"",ISNUMBER(SEARCH($P$4,Lists!$CG$8))),1,0)</f>
        <v/>
      </c>
      <c r="BP8">
        <f>IF(ROW()-3&gt;MAX($BO$4:$BO$42),"",INDEX(Lists!$CG$4:$CG$42,MATCH(ROW()-3,$BO$4:$BO$42,0)))</f>
        <v/>
      </c>
      <c r="BQ8">
        <f>BQ7+IF(AND(Lists!$CL$8&lt;&gt;"",ISNUMBER(SEARCH($Q$4,Lists!$CL$8))),1,0)</f>
        <v/>
      </c>
      <c r="BR8">
        <f>IF(ROW()-3&gt;MAX($BQ$4:$BQ$42),"",INDEX(Lists!$CL$4:$CL$42,MATCH(ROW()-3,$BQ$4:$BQ$42,0)))</f>
        <v/>
      </c>
      <c r="BS8">
        <f>BS7+IF(AND(Lists!$CQ$8&lt;&gt;"",ISNUMBER(SEARCH($R$4,Lists!$CQ$8))),1,0)</f>
        <v/>
      </c>
      <c r="BT8">
        <f>IF(ROW()-3&gt;MAX($BS$4:$BS$42),"",INDEX(Lists!$CQ$4:$CQ$42,MATCH(ROW()-3,$BS$4:$BS$42,0)))</f>
        <v/>
      </c>
      <c r="BU8">
        <f>BU7+IF(AND(Lists!$CV$8&lt;&gt;"",ISNUMBER(SEARCH($S$4,Lists!$CV$8))),1,0)</f>
        <v/>
      </c>
      <c r="BV8">
        <f>IF(ROW()-3&gt;MAX($BU$4:$BU$42),"",INDEX(Lists!$CV$4:$CV$42,MATCH(ROW()-3,$BU$4:$BU$42,0)))</f>
        <v/>
      </c>
      <c r="BW8">
        <f>BW7+IF(AND(Lists!$DA$8&lt;&gt;"",ISNUMBER(SEARCH($T$4,Lists!$DA$8))),1,0)</f>
        <v/>
      </c>
      <c r="BX8">
        <f>IF(ROW()-3&gt;MAX($BW$4:$BW$42),"",INDEX(Lists!$DA$4:$DA$42,MATCH(ROW()-3,$BW$4:$BW$42,0)))</f>
        <v/>
      </c>
      <c r="BY8">
        <f>BY7+IF(AND(Lists!$DF$8&lt;&gt;"",ISNUMBER(SEARCH($U$4,Lists!$DF$8))),1,0)</f>
        <v/>
      </c>
      <c r="BZ8">
        <f>IF(ROW()-3&gt;MAX($BY$4:$BY$42),"",INDEX(Lists!$DF$4:$DF$42,MATCH(ROW()-3,$BY$4:$BY$42,0)))</f>
        <v/>
      </c>
      <c r="CA8">
        <f>CA7+IF(AND(Lists!$DK$8&lt;&gt;"",ISNUMBER(SEARCH($V$4,Lists!$DK$8))),1,0)</f>
        <v/>
      </c>
      <c r="CB8">
        <f>IF(ROW()-3&gt;MAX($CA$4:$CA$42),"",INDEX(Lists!$DK$4:$DK$42,MATCH(ROW()-3,$CA$4:$CA$42,0)))</f>
        <v/>
      </c>
      <c r="CC8">
        <f>CC7+IF(AND(Lists!$DP$8&lt;&gt;"",ISNUMBER(SEARCH($W$4,Lists!$DP$8))),1,0)</f>
        <v/>
      </c>
      <c r="CD8">
        <f>IF(ROW()-3&gt;MAX($CC$4:$CC$42),"",INDEX(Lists!$DP$4:$DP$42,MATCH(ROW()-3,$CC$4:$CC$42,0)))</f>
        <v/>
      </c>
      <c r="CE8">
        <f>CE7+IF(AND(Lists!$DU$8&lt;&gt;"",ISNUMBER(SEARCH($X$4,Lists!$DU$8))),1,0)</f>
        <v/>
      </c>
      <c r="CF8">
        <f>IF(ROW()-3&gt;MAX($CE$4:$CE$42),"",INDEX(Lists!$DU$4:$DU$42,MATCH(ROW()-3,$CE$4:$CE$42,0)))</f>
        <v/>
      </c>
      <c r="CG8">
        <f>CG7+IF(AND(Lists!$DZ$8&lt;&gt;"",ISNUMBER(SEARCH($Y$4,Lists!$DZ$8))),1,0)</f>
        <v/>
      </c>
      <c r="CH8">
        <f>IF(ROW()-3&gt;MAX($CG$4:$CG$42),"",INDEX(Lists!$DZ$4:$DZ$42,MATCH(ROW()-3,$CG$4:$CG$42,0)))</f>
        <v/>
      </c>
      <c r="CI8">
        <f>CI7+IF(AND(Lists!$EE$8&lt;&gt;"",ISNUMBER(SEARCH($Z$4,Lists!$EE$8))),1,0)</f>
        <v/>
      </c>
      <c r="CJ8">
        <f>IF(ROW()-3&gt;MAX($CI$4:$CI$42),"",INDEX(Lists!$EE$4:$EE$42,MATCH(ROW()-3,$CI$4:$CI$42,0)))</f>
        <v/>
      </c>
      <c r="CK8">
        <f>CK7+IF(AND(Lists!$EJ$8&lt;&gt;"",ISNUMBER(SEARCH($AA$4,Lists!$EJ$8))),1,0)</f>
        <v/>
      </c>
      <c r="CL8">
        <f>IF(ROW()-3&gt;MAX($CK$4:$CK$42),"",INDEX(Lists!$EJ$4:$EJ$42,MATCH(ROW()-3,$CK$4:$CK$42,0)))</f>
        <v/>
      </c>
      <c r="CM8">
        <f>CM7+IF(AND(Lists!$EO$8&lt;&gt;"",ISNUMBER(SEARCH($AB$4,Lists!$EO$8))),1,0)</f>
        <v/>
      </c>
      <c r="CN8">
        <f>IF(ROW()-3&gt;MAX($CM$4:$CM$42),"",INDEX(Lists!$EO$4:$EO$42,MATCH(ROW()-3,$CM$4:$CM$42,0)))</f>
        <v/>
      </c>
      <c r="CO8">
        <f>CO7+IF(AND(Lists!$ET$8&lt;&gt;"",ISNUMBER(SEARCH($AC$4,Lists!$ET$8))),1,0)</f>
        <v/>
      </c>
      <c r="CP8">
        <f>IF(ROW()-3&gt;MAX($CO$4:$CO$42),"",INDEX(Lists!$ET$4:$ET$42,MATCH(ROW()-3,$CO$4:$CO$42,0)))</f>
        <v/>
      </c>
      <c r="CQ8">
        <f>CQ7+IF(AND(Lists!$EY$8&lt;&gt;"",ISNUMBER(SEARCH($AD$4,Lists!$EY$8))),1,0)</f>
        <v/>
      </c>
      <c r="CR8">
        <f>IF(ROW()-3&gt;MAX($CQ$4:$CQ$42),"",INDEX(Lists!$EY$4:$EY$42,MATCH(ROW()-3,$CQ$4:$CQ$42,0)))</f>
        <v/>
      </c>
      <c r="CS8">
        <f>CS7+IF(AND(Lists!$FD$8&lt;&gt;"",ISNUMBER(SEARCH($AE$4,Lists!$FD$8))),1,0)</f>
        <v/>
      </c>
      <c r="CT8">
        <f>IF(ROW()-3&gt;MAX($CS$4:$CS$42),"",INDEX(Lists!$FD$4:$FD$42,MATCH(ROW()-3,$CS$4:$CS$42,0)))</f>
        <v/>
      </c>
      <c r="CU8">
        <f>CU7+IF(AND(Lists!$FI$8&lt;&gt;"",ISNUMBER(SEARCH($AG$4,Lists!$FI$8))),1,0)</f>
        <v/>
      </c>
      <c r="CV8">
        <f>IF(ROW()-3&gt;MAX($CU$4:$CU$42),"",INDEX(Lists!$FI$4:$FI$42,MATCH(ROW()-3,$CU$4:$CU$42,0)))</f>
        <v/>
      </c>
      <c r="CW8">
        <f>CW7+IF(AND(Lists!$FN$8&lt;&gt;"",ISNUMBER(SEARCH($AH$4,Lists!$FN$8))),1,0)</f>
        <v/>
      </c>
      <c r="CX8">
        <f>IF(ROW()-3&gt;MAX($CW$4:$CW$42),"",INDEX(Lists!$FN$4:$FN$42,MATCH(ROW()-3,$CW$4:$CW$42,0)))</f>
        <v/>
      </c>
      <c r="CY8">
        <f>CY7+IF(AND(Lists!$FS$8&lt;&gt;"",ISNUMBER(SEARCH($AI$4,Lists!$FS$8))),1,0)</f>
        <v/>
      </c>
      <c r="CZ8">
        <f>IF(ROW()-3&gt;MAX($CY$4:$CY$42),"",INDEX(Lists!$FS$4:$FS$42,MATCH(ROW()-3,$CY$4:$CY$42,0)))</f>
        <v/>
      </c>
      <c r="DA8">
        <f>DA7+IF(AND(Lists!$FX$8&lt;&gt;"",ISNUMBER(SEARCH($AF$4,Lists!$FX$8))),1,0)</f>
        <v/>
      </c>
      <c r="DB8">
        <f>IF(ROW()-3&gt;MAX($DA$4:$DA$42),"",INDEX(Lists!$FX$4:$FX$42,MATCH(ROW()-3,$DA$4:$DA$42,0)))</f>
        <v/>
      </c>
    </row>
    <row r="9" outlineLevel="1" ht="15" customHeight="1" s="137">
      <c r="A9" s="90" t="n">
        <v>2</v>
      </c>
      <c r="B9" s="92">
        <f>IF('Final Calculation Sheet'!$F$7="","",'Final Calculation Sheet'!$F$7)</f>
        <v/>
      </c>
      <c r="C9" s="92">
        <f>IF('Final Calculation Sheet'!$G$7="","",'Final Calculation Sheet'!$G$7)</f>
        <v/>
      </c>
      <c r="D9" s="94">
        <f>IF('Final Calculation Sheet'!$B$7="","",'Final Calculation Sheet'!$B$7)</f>
        <v/>
      </c>
      <c r="E9" s="94">
        <f>IF('Final Calculation Sheet'!$D$7="","",'Final Calculation Sheet'!$D$7)</f>
        <v/>
      </c>
      <c r="F9" s="94">
        <f>IF('Final Calculation Sheet'!$A$7="","",'Final Calculation Sheet'!$A$7)</f>
        <v/>
      </c>
      <c r="G9" s="94">
        <f>IF('Final Calculation Sheet'!$E$7="","",'Final Calculation Sheet'!$E$7)</f>
        <v/>
      </c>
      <c r="H9" s="95">
        <f>IF('Final Calculation Sheet'!$C$7="","",'Final Calculation Sheet'!$C$7)</f>
        <v/>
      </c>
      <c r="I9" s="95">
        <f>IF('Final Calculation Sheet'!$H$7="","",'Final Calculation Sheet'!$H$7)</f>
        <v/>
      </c>
      <c r="J9" s="95">
        <f>IF('Final Calculation Sheet'!$I$7="","",'Final Calculation Sheet'!$I$7)</f>
        <v/>
      </c>
      <c r="K9" s="95">
        <f>IF('Final Calculation Sheet'!$J$7="","",'Final Calculation Sheet'!$J$7)</f>
        <v/>
      </c>
      <c r="L9" s="95">
        <f>IF('Final Calculation Sheet'!$K$7="","",'Final Calculation Sheet'!$K$7)</f>
        <v/>
      </c>
      <c r="M9" s="95">
        <f>IF('Final Calculation Sheet'!$L$7="","",'Final Calculation Sheet'!$L$7)</f>
        <v/>
      </c>
      <c r="N9" s="95">
        <f>IF('Final Calculation Sheet'!$M$7="","",'Final Calculation Sheet'!$M$7)</f>
        <v/>
      </c>
      <c r="O9" s="96">
        <f>IF('Final Calculation Sheet'!$N$7="","",'Final Calculation Sheet'!$N$7)</f>
        <v/>
      </c>
      <c r="P9" s="95">
        <f>IF('Final Calculation Sheet'!$O$7="","",'Final Calculation Sheet'!$O$7)</f>
        <v/>
      </c>
      <c r="Q9" s="95">
        <f>IF('Final Calculation Sheet'!$P$7="","",'Final Calculation Sheet'!$P$7)</f>
        <v/>
      </c>
      <c r="R9" s="97">
        <f>IF('Final Calculation Sheet'!$Q$7="","",'Final Calculation Sheet'!$Q$7)</f>
        <v/>
      </c>
      <c r="S9" s="95">
        <f>IF('Final Calculation Sheet'!$R$7="","",'Final Calculation Sheet'!$R$7)</f>
        <v/>
      </c>
      <c r="T9" s="95">
        <f>IF('Final Calculation Sheet'!$S$7="","",'Final Calculation Sheet'!$S$7)</f>
        <v/>
      </c>
      <c r="U9" s="95">
        <f>IF('Final Calculation Sheet'!$T$7="","",'Final Calculation Sheet'!$T$7)</f>
        <v/>
      </c>
      <c r="V9" s="98">
        <f>IF('Final Calculation Sheet'!$U$7="","",'Final Calculation Sheet'!$U$7)</f>
        <v/>
      </c>
      <c r="W9" s="95">
        <f>IF('Final Calculation Sheet'!$V$7="","",'Final Calculation Sheet'!$V$7)</f>
        <v/>
      </c>
      <c r="X9" s="95">
        <f>IF('Final Calculation Sheet'!$W$7="","",'Final Calculation Sheet'!$W$7)</f>
        <v/>
      </c>
      <c r="Y9" s="95">
        <f>IF('Final Calculation Sheet'!$X$7="","",'Final Calculation Sheet'!$X$7)</f>
        <v/>
      </c>
      <c r="Z9" s="95">
        <f>IF('Final Calculation Sheet'!$Y$7="","",'Final Calculation Sheet'!$Y$7)</f>
        <v/>
      </c>
      <c r="AA9" s="95">
        <f>IF('Final Calculation Sheet'!$Z$7="","",'Final Calculation Sheet'!$Z$7)</f>
        <v/>
      </c>
      <c r="AB9" s="95">
        <f>IF('Final Calculation Sheet'!$AA$7="","",'Final Calculation Sheet'!$AA$7)</f>
        <v/>
      </c>
      <c r="AC9" s="95">
        <f>IF('Final Calculation Sheet'!$AB$7="","",'Final Calculation Sheet'!$AB$7)</f>
        <v/>
      </c>
      <c r="AD9" s="95">
        <f>IF('Final Calculation Sheet'!$AC$7="","",'Final Calculation Sheet'!$AC$7)</f>
        <v/>
      </c>
      <c r="AE9" s="95">
        <f>IF('Final Calculation Sheet'!$AD$7="","",'Final Calculation Sheet'!$AD$7)</f>
        <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
      </c>
      <c r="AK9">
        <f>IF(AJ9=1,COUNTIF(AJ$6:AJ9,1),"")</f>
        <v/>
      </c>
      <c r="AM9">
        <f>AM8+IF(AND(Lists!$O$9&lt;&gt;"",ISNUMBER(SEARCH($B$4,Lists!$O$9))),1,0)</f>
        <v/>
      </c>
      <c r="AN9">
        <f>IF(ROW()-3&gt;MAX($AM$4:$AM$42),"",INDEX(Lists!$O$4:$O$42,MATCH(ROW()-3,$AM$4:$AM$42,0)))</f>
        <v/>
      </c>
      <c r="AO9">
        <f>AO8+IF(AND(Lists!$T$9&lt;&gt;"",ISNUMBER(SEARCH($C$4,Lists!$T$9))),1,0)</f>
        <v/>
      </c>
      <c r="AP9">
        <f>IF(ROW()-3&gt;MAX($AO$4:$AO$42),"",INDEX(Lists!$T$4:$T$42,MATCH(ROW()-3,$AO$4:$AO$42,0)))</f>
        <v/>
      </c>
      <c r="AQ9">
        <f>AQ8+IF(AND(Lists!$Y$9&lt;&gt;"",ISNUMBER(SEARCH($D$4,Lists!$Y$9))),1,0)</f>
        <v/>
      </c>
      <c r="AR9">
        <f>IF(ROW()-3&gt;MAX($AQ$4:$AQ$42),"",INDEX(Lists!$Y$4:$Y$42,MATCH(ROW()-3,$AQ$4:$AQ$42,0)))</f>
        <v/>
      </c>
      <c r="AS9">
        <f>AS8+IF(AND(Lists!$AD$9&lt;&gt;"",ISNUMBER(SEARCH($E$4,Lists!$AD$9))),1,0)</f>
        <v/>
      </c>
      <c r="AT9">
        <f>IF(ROW()-3&gt;MAX($AS$4:$AS$42),"",INDEX(Lists!$AD$4:$AD$42,MATCH(ROW()-3,$AS$4:$AS$42,0)))</f>
        <v/>
      </c>
      <c r="AU9">
        <f>AU8+IF(AND(Lists!$AI$9&lt;&gt;"",ISNUMBER(SEARCH($F$4,Lists!$AI$9))),1,0)</f>
        <v/>
      </c>
      <c r="AV9">
        <f>IF(ROW()-3&gt;MAX($AU$4:$AU$42),"",INDEX(Lists!$AI$4:$AI$42,MATCH(ROW()-3,$AU$4:$AU$42,0)))</f>
        <v/>
      </c>
      <c r="AW9">
        <f>AW8+IF(AND(Lists!$AN$9&lt;&gt;"",ISNUMBER(SEARCH($G$4,Lists!$AN$9))),1,0)</f>
        <v/>
      </c>
      <c r="AX9">
        <f>IF(ROW()-3&gt;MAX($AW$4:$AW$42),"",INDEX(Lists!$AN$4:$AN$42,MATCH(ROW()-3,$AW$4:$AW$42,0)))</f>
        <v/>
      </c>
      <c r="AY9">
        <f>AY8+IF(AND(Lists!$AS$9&lt;&gt;"",ISNUMBER(SEARCH($H$4,Lists!$AS$9))),1,0)</f>
        <v/>
      </c>
      <c r="AZ9">
        <f>IF(ROW()-3&gt;MAX($AY$4:$AY$42),"",INDEX(Lists!$AS$4:$AS$42,MATCH(ROW()-3,$AY$4:$AY$42,0)))</f>
        <v/>
      </c>
      <c r="BA9">
        <f>BA8+IF(AND(Lists!$AX$9&lt;&gt;"",ISNUMBER(SEARCH($I$4,Lists!$AX$9))),1,0)</f>
        <v/>
      </c>
      <c r="BB9">
        <f>IF(ROW()-3&gt;MAX($BA$4:$BA$42),"",INDEX(Lists!$AX$4:$AX$42,MATCH(ROW()-3,$BA$4:$BA$42,0)))</f>
        <v/>
      </c>
      <c r="BC9">
        <f>BC8+IF(AND(Lists!$BC$9&lt;&gt;"",ISNUMBER(SEARCH($J$4,Lists!$BC$9))),1,0)</f>
        <v/>
      </c>
      <c r="BD9">
        <f>IF(ROW()-3&gt;MAX($BC$4:$BC$42),"",INDEX(Lists!$BC$4:$BC$42,MATCH(ROW()-3,$BC$4:$BC$42,0)))</f>
        <v/>
      </c>
      <c r="BE9">
        <f>BE8+IF(AND(Lists!$BH$9&lt;&gt;"",ISNUMBER(SEARCH($K$4,Lists!$BH$9))),1,0)</f>
        <v/>
      </c>
      <c r="BF9">
        <f>IF(ROW()-3&gt;MAX($BE$4:$BE$42),"",INDEX(Lists!$BH$4:$BH$42,MATCH(ROW()-3,$BE$4:$BE$42,0)))</f>
        <v/>
      </c>
      <c r="BG9">
        <f>BG8+IF(AND(Lists!$BM$9&lt;&gt;"",ISNUMBER(SEARCH($L$4,Lists!$BM$9))),1,0)</f>
        <v/>
      </c>
      <c r="BH9">
        <f>IF(ROW()-3&gt;MAX($BG$4:$BG$42),"",INDEX(Lists!$BM$4:$BM$42,MATCH(ROW()-3,$BG$4:$BG$42,0)))</f>
        <v/>
      </c>
      <c r="BI9">
        <f>BI8+IF(AND(Lists!$BR$9&lt;&gt;"",ISNUMBER(SEARCH($M$4,Lists!$BR$9))),1,0)</f>
        <v/>
      </c>
      <c r="BJ9">
        <f>IF(ROW()-3&gt;MAX($BI$4:$BI$42),"",INDEX(Lists!$BR$4:$BR$42,MATCH(ROW()-3,$BI$4:$BI$42,0)))</f>
        <v/>
      </c>
      <c r="BK9">
        <f>BK8+IF(AND(Lists!$BW$9&lt;&gt;"",ISNUMBER(SEARCH($N$4,Lists!$BW$9))),1,0)</f>
        <v/>
      </c>
      <c r="BL9">
        <f>IF(ROW()-3&gt;MAX($BK$4:$BK$42),"",INDEX(Lists!$BW$4:$BW$42,MATCH(ROW()-3,$BK$4:$BK$42,0)))</f>
        <v/>
      </c>
      <c r="BM9">
        <f>BM8+IF(AND(Lists!$CB$9&lt;&gt;"",ISNUMBER(SEARCH($O$4,Lists!$CB$9))),1,0)</f>
        <v/>
      </c>
      <c r="BN9">
        <f>IF(ROW()-3&gt;MAX($BM$4:$BM$42),"",INDEX(Lists!$CB$4:$CB$42,MATCH(ROW()-3,$BM$4:$BM$42,0)))</f>
        <v/>
      </c>
      <c r="BO9">
        <f>BO8+IF(AND(Lists!$CG$9&lt;&gt;"",ISNUMBER(SEARCH($P$4,Lists!$CG$9))),1,0)</f>
        <v/>
      </c>
      <c r="BP9">
        <f>IF(ROW()-3&gt;MAX($BO$4:$BO$42),"",INDEX(Lists!$CG$4:$CG$42,MATCH(ROW()-3,$BO$4:$BO$42,0)))</f>
        <v/>
      </c>
      <c r="BQ9">
        <f>BQ8+IF(AND(Lists!$CL$9&lt;&gt;"",ISNUMBER(SEARCH($Q$4,Lists!$CL$9))),1,0)</f>
        <v/>
      </c>
      <c r="BR9">
        <f>IF(ROW()-3&gt;MAX($BQ$4:$BQ$42),"",INDEX(Lists!$CL$4:$CL$42,MATCH(ROW()-3,$BQ$4:$BQ$42,0)))</f>
        <v/>
      </c>
      <c r="BS9">
        <f>BS8+IF(AND(Lists!$CQ$9&lt;&gt;"",ISNUMBER(SEARCH($R$4,Lists!$CQ$9))),1,0)</f>
        <v/>
      </c>
      <c r="BT9">
        <f>IF(ROW()-3&gt;MAX($BS$4:$BS$42),"",INDEX(Lists!$CQ$4:$CQ$42,MATCH(ROW()-3,$BS$4:$BS$42,0)))</f>
        <v/>
      </c>
      <c r="BU9">
        <f>BU8+IF(AND(Lists!$CV$9&lt;&gt;"",ISNUMBER(SEARCH($S$4,Lists!$CV$9))),1,0)</f>
        <v/>
      </c>
      <c r="BV9">
        <f>IF(ROW()-3&gt;MAX($BU$4:$BU$42),"",INDEX(Lists!$CV$4:$CV$42,MATCH(ROW()-3,$BU$4:$BU$42,0)))</f>
        <v/>
      </c>
      <c r="BW9">
        <f>BW8+IF(AND(Lists!$DA$9&lt;&gt;"",ISNUMBER(SEARCH($T$4,Lists!$DA$9))),1,0)</f>
        <v/>
      </c>
      <c r="BX9">
        <f>IF(ROW()-3&gt;MAX($BW$4:$BW$42),"",INDEX(Lists!$DA$4:$DA$42,MATCH(ROW()-3,$BW$4:$BW$42,0)))</f>
        <v/>
      </c>
      <c r="BY9">
        <f>BY8+IF(AND(Lists!$DF$9&lt;&gt;"",ISNUMBER(SEARCH($U$4,Lists!$DF$9))),1,0)</f>
        <v/>
      </c>
      <c r="BZ9">
        <f>IF(ROW()-3&gt;MAX($BY$4:$BY$42),"",INDEX(Lists!$DF$4:$DF$42,MATCH(ROW()-3,$BY$4:$BY$42,0)))</f>
        <v/>
      </c>
      <c r="CA9">
        <f>CA8+IF(AND(Lists!$DK$9&lt;&gt;"",ISNUMBER(SEARCH($V$4,Lists!$DK$9))),1,0)</f>
        <v/>
      </c>
      <c r="CB9">
        <f>IF(ROW()-3&gt;MAX($CA$4:$CA$42),"",INDEX(Lists!$DK$4:$DK$42,MATCH(ROW()-3,$CA$4:$CA$42,0)))</f>
        <v/>
      </c>
      <c r="CC9">
        <f>CC8+IF(AND(Lists!$DP$9&lt;&gt;"",ISNUMBER(SEARCH($W$4,Lists!$DP$9))),1,0)</f>
        <v/>
      </c>
      <c r="CD9">
        <f>IF(ROW()-3&gt;MAX($CC$4:$CC$42),"",INDEX(Lists!$DP$4:$DP$42,MATCH(ROW()-3,$CC$4:$CC$42,0)))</f>
        <v/>
      </c>
      <c r="CE9">
        <f>CE8+IF(AND(Lists!$DU$9&lt;&gt;"",ISNUMBER(SEARCH($X$4,Lists!$DU$9))),1,0)</f>
        <v/>
      </c>
      <c r="CF9">
        <f>IF(ROW()-3&gt;MAX($CE$4:$CE$42),"",INDEX(Lists!$DU$4:$DU$42,MATCH(ROW()-3,$CE$4:$CE$42,0)))</f>
        <v/>
      </c>
      <c r="CG9">
        <f>CG8+IF(AND(Lists!$DZ$9&lt;&gt;"",ISNUMBER(SEARCH($Y$4,Lists!$DZ$9))),1,0)</f>
        <v/>
      </c>
      <c r="CH9">
        <f>IF(ROW()-3&gt;MAX($CG$4:$CG$42),"",INDEX(Lists!$DZ$4:$DZ$42,MATCH(ROW()-3,$CG$4:$CG$42,0)))</f>
        <v/>
      </c>
      <c r="CI9">
        <f>CI8+IF(AND(Lists!$EE$9&lt;&gt;"",ISNUMBER(SEARCH($Z$4,Lists!$EE$9))),1,0)</f>
        <v/>
      </c>
      <c r="CJ9">
        <f>IF(ROW()-3&gt;MAX($CI$4:$CI$42),"",INDEX(Lists!$EE$4:$EE$42,MATCH(ROW()-3,$CI$4:$CI$42,0)))</f>
        <v/>
      </c>
      <c r="CK9">
        <f>CK8+IF(AND(Lists!$EJ$9&lt;&gt;"",ISNUMBER(SEARCH($AA$4,Lists!$EJ$9))),1,0)</f>
        <v/>
      </c>
      <c r="CL9">
        <f>IF(ROW()-3&gt;MAX($CK$4:$CK$42),"",INDEX(Lists!$EJ$4:$EJ$42,MATCH(ROW()-3,$CK$4:$CK$42,0)))</f>
        <v/>
      </c>
      <c r="CM9">
        <f>CM8+IF(AND(Lists!$EO$9&lt;&gt;"",ISNUMBER(SEARCH($AB$4,Lists!$EO$9))),1,0)</f>
        <v/>
      </c>
      <c r="CN9">
        <f>IF(ROW()-3&gt;MAX($CM$4:$CM$42),"",INDEX(Lists!$EO$4:$EO$42,MATCH(ROW()-3,$CM$4:$CM$42,0)))</f>
        <v/>
      </c>
      <c r="CO9">
        <f>CO8+IF(AND(Lists!$ET$9&lt;&gt;"",ISNUMBER(SEARCH($AC$4,Lists!$ET$9))),1,0)</f>
        <v/>
      </c>
      <c r="CP9">
        <f>IF(ROW()-3&gt;MAX($CO$4:$CO$42),"",INDEX(Lists!$ET$4:$ET$42,MATCH(ROW()-3,$CO$4:$CO$42,0)))</f>
        <v/>
      </c>
      <c r="CQ9">
        <f>CQ8+IF(AND(Lists!$EY$9&lt;&gt;"",ISNUMBER(SEARCH($AD$4,Lists!$EY$9))),1,0)</f>
        <v/>
      </c>
      <c r="CR9">
        <f>IF(ROW()-3&gt;MAX($CQ$4:$CQ$42),"",INDEX(Lists!$EY$4:$EY$42,MATCH(ROW()-3,$CQ$4:$CQ$42,0)))</f>
        <v/>
      </c>
      <c r="CS9">
        <f>CS8+IF(AND(Lists!$FD$9&lt;&gt;"",ISNUMBER(SEARCH($AE$4,Lists!$FD$9))),1,0)</f>
        <v/>
      </c>
      <c r="CT9">
        <f>IF(ROW()-3&gt;MAX($CS$4:$CS$42),"",INDEX(Lists!$FD$4:$FD$42,MATCH(ROW()-3,$CS$4:$CS$42,0)))</f>
        <v/>
      </c>
      <c r="CU9">
        <f>CU8+IF(AND(Lists!$FI$9&lt;&gt;"",ISNUMBER(SEARCH($AG$4,Lists!$FI$9))),1,0)</f>
        <v/>
      </c>
      <c r="CV9">
        <f>IF(ROW()-3&gt;MAX($CU$4:$CU$42),"",INDEX(Lists!$FI$4:$FI$42,MATCH(ROW()-3,$CU$4:$CU$42,0)))</f>
        <v/>
      </c>
      <c r="CW9">
        <f>CW8+IF(AND(Lists!$FN$9&lt;&gt;"",ISNUMBER(SEARCH($AH$4,Lists!$FN$9))),1,0)</f>
        <v/>
      </c>
      <c r="CX9">
        <f>IF(ROW()-3&gt;MAX($CW$4:$CW$42),"",INDEX(Lists!$FN$4:$FN$42,MATCH(ROW()-3,$CW$4:$CW$42,0)))</f>
        <v/>
      </c>
      <c r="CY9">
        <f>CY8+IF(AND(Lists!$FS$9&lt;&gt;"",ISNUMBER(SEARCH($AI$4,Lists!$FS$9))),1,0)</f>
        <v/>
      </c>
      <c r="CZ9">
        <f>IF(ROW()-3&gt;MAX($CY$4:$CY$42),"",INDEX(Lists!$FS$4:$FS$42,MATCH(ROW()-3,$CY$4:$CY$42,0)))</f>
        <v/>
      </c>
      <c r="DA9">
        <f>DA8+IF(AND(Lists!$FX$9&lt;&gt;"",ISNUMBER(SEARCH($AF$4,Lists!$FX$9))),1,0)</f>
        <v/>
      </c>
      <c r="DB9">
        <f>IF(ROW()-3&gt;MAX($DA$4:$DA$42),"",INDEX(Lists!$FX$4:$FX$42,MATCH(ROW()-3,$DA$4:$DA$42,0)))</f>
        <v/>
      </c>
    </row>
    <row r="10" ht="15" customHeight="1" s="137">
      <c r="A10" s="81" t="inlineStr">
        <is>
          <t>∑</t>
        </is>
      </c>
      <c r="B10" s="83" t="n"/>
      <c r="C10" s="83">
        <f>ROWS($C$8:$C$9)&amp;" lot(s)"</f>
        <v/>
      </c>
      <c r="D10" s="83" t="inlineStr">
        <is>
          <t>SUBTOTAL — F R KHANS ENTERPRISES</t>
        </is>
      </c>
      <c r="E10" s="83" t="inlineStr">
        <is>
          <t>–</t>
        </is>
      </c>
      <c r="F10" s="83">
        <f>SUM(F8:F9)</f>
        <v/>
      </c>
      <c r="G10" s="83" t="inlineStr">
        <is>
          <t>–</t>
        </is>
      </c>
      <c r="H10" s="84" t="inlineStr">
        <is>
          <t>–</t>
        </is>
      </c>
      <c r="I10" s="84">
        <f>SUM(I8:I9)</f>
        <v/>
      </c>
      <c r="J10" s="84">
        <f>SUM(J8:J9)</f>
        <v/>
      </c>
      <c r="K10" s="84">
        <f>SUM(K8:K9)</f>
        <v/>
      </c>
      <c r="L10" s="84">
        <f>SUM(L8:L9)</f>
        <v/>
      </c>
      <c r="M10" s="84">
        <f>SUM(M8:M9)</f>
        <v/>
      </c>
      <c r="N10" s="84">
        <f>SUM(N8:N9)</f>
        <v/>
      </c>
      <c r="O10" s="85">
        <f>SUM(O8:O9)</f>
        <v/>
      </c>
      <c r="P10" s="84">
        <f>SUM(P8:P9)</f>
        <v/>
      </c>
      <c r="Q10" s="84">
        <f>SUM(Q8:Q9)</f>
        <v/>
      </c>
      <c r="R10" s="86" t="inlineStr">
        <is>
          <t>–</t>
        </is>
      </c>
      <c r="S10" s="84">
        <f>SUM(S8:S9)</f>
        <v/>
      </c>
      <c r="T10" s="84">
        <f>SUM(T8:T9)</f>
        <v/>
      </c>
      <c r="U10" s="84">
        <f>SUM(U8:U9)</f>
        <v/>
      </c>
      <c r="V10" s="87">
        <f>SUM(V8:V9)</f>
        <v/>
      </c>
      <c r="W10" s="84" t="inlineStr">
        <is>
          <t>–</t>
        </is>
      </c>
      <c r="X10" s="84">
        <f>SUM(X8:X9)</f>
        <v/>
      </c>
      <c r="Y10" s="84">
        <f>SUM(Y8:Y9)</f>
        <v/>
      </c>
      <c r="Z10" s="84" t="inlineStr">
        <is>
          <t>–</t>
        </is>
      </c>
      <c r="AA10" s="84">
        <f>SUM(AA8:AA9)</f>
        <v/>
      </c>
      <c r="AB10" s="84">
        <f>SUM(AB8:AB9)</f>
        <v/>
      </c>
      <c r="AC10" s="84" t="inlineStr">
        <is>
          <t>–</t>
        </is>
      </c>
      <c r="AD10" s="84">
        <f>SUM(AD8:AD9)</f>
        <v/>
      </c>
      <c r="AE10" s="84">
        <f>SUM(AE8:AE9)</f>
        <v/>
      </c>
      <c r="AF10" s="89">
        <f>IF(AE10&lt;=5,"SETTLED","OUTSTANDING")</f>
        <v/>
      </c>
      <c r="AG10" s="84" t="inlineStr">
        <is>
          <t>–</t>
        </is>
      </c>
      <c r="AH10" s="88" t="inlineStr">
        <is>
          <t>–</t>
        </is>
      </c>
      <c r="AI10" s="84" t="inlineStr">
        <is>
          <t>–</t>
        </is>
      </c>
      <c r="AJ10">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
      </c>
      <c r="AK10">
        <f>IF(AJ10=1,COUNTIF(AJ$6:AJ10,1),"")</f>
        <v/>
      </c>
      <c r="AM10">
        <f>AM9+IF(AND(Lists!$O$10&lt;&gt;"",ISNUMBER(SEARCH($B$4,Lists!$O$10))),1,0)</f>
        <v/>
      </c>
      <c r="AN10">
        <f>IF(ROW()-3&gt;MAX($AM$4:$AM$42),"",INDEX(Lists!$O$4:$O$42,MATCH(ROW()-3,$AM$4:$AM$42,0)))</f>
        <v/>
      </c>
      <c r="AO10">
        <f>AO9+IF(AND(Lists!$T$10&lt;&gt;"",ISNUMBER(SEARCH($C$4,Lists!$T$10))),1,0)</f>
        <v/>
      </c>
      <c r="AP10">
        <f>IF(ROW()-3&gt;MAX($AO$4:$AO$42),"",INDEX(Lists!$T$4:$T$42,MATCH(ROW()-3,$AO$4:$AO$42,0)))</f>
        <v/>
      </c>
      <c r="AQ10">
        <f>AQ9+IF(AND(Lists!$Y$10&lt;&gt;"",ISNUMBER(SEARCH($D$4,Lists!$Y$10))),1,0)</f>
        <v/>
      </c>
      <c r="AR10">
        <f>IF(ROW()-3&gt;MAX($AQ$4:$AQ$42),"",INDEX(Lists!$Y$4:$Y$42,MATCH(ROW()-3,$AQ$4:$AQ$42,0)))</f>
        <v/>
      </c>
      <c r="AS10">
        <f>AS9+IF(AND(Lists!$AD$10&lt;&gt;"",ISNUMBER(SEARCH($E$4,Lists!$AD$10))),1,0)</f>
        <v/>
      </c>
      <c r="AT10">
        <f>IF(ROW()-3&gt;MAX($AS$4:$AS$42),"",INDEX(Lists!$AD$4:$AD$42,MATCH(ROW()-3,$AS$4:$AS$42,0)))</f>
        <v/>
      </c>
      <c r="AU10">
        <f>AU9+IF(AND(Lists!$AI$10&lt;&gt;"",ISNUMBER(SEARCH($F$4,Lists!$AI$10))),1,0)</f>
        <v/>
      </c>
      <c r="AV10">
        <f>IF(ROW()-3&gt;MAX($AU$4:$AU$42),"",INDEX(Lists!$AI$4:$AI$42,MATCH(ROW()-3,$AU$4:$AU$42,0)))</f>
        <v/>
      </c>
      <c r="AW10">
        <f>AW9+IF(AND(Lists!$AN$10&lt;&gt;"",ISNUMBER(SEARCH($G$4,Lists!$AN$10))),1,0)</f>
        <v/>
      </c>
      <c r="AX10">
        <f>IF(ROW()-3&gt;MAX($AW$4:$AW$42),"",INDEX(Lists!$AN$4:$AN$42,MATCH(ROW()-3,$AW$4:$AW$42,0)))</f>
        <v/>
      </c>
      <c r="AY10">
        <f>AY9+IF(AND(Lists!$AS$10&lt;&gt;"",ISNUMBER(SEARCH($H$4,Lists!$AS$10))),1,0)</f>
        <v/>
      </c>
      <c r="AZ10">
        <f>IF(ROW()-3&gt;MAX($AY$4:$AY$42),"",INDEX(Lists!$AS$4:$AS$42,MATCH(ROW()-3,$AY$4:$AY$42,0)))</f>
        <v/>
      </c>
      <c r="BA10">
        <f>BA9+IF(AND(Lists!$AX$10&lt;&gt;"",ISNUMBER(SEARCH($I$4,Lists!$AX$10))),1,0)</f>
        <v/>
      </c>
      <c r="BB10">
        <f>IF(ROW()-3&gt;MAX($BA$4:$BA$42),"",INDEX(Lists!$AX$4:$AX$42,MATCH(ROW()-3,$BA$4:$BA$42,0)))</f>
        <v/>
      </c>
      <c r="BC10">
        <f>BC9+IF(AND(Lists!$BC$10&lt;&gt;"",ISNUMBER(SEARCH($J$4,Lists!$BC$10))),1,0)</f>
        <v/>
      </c>
      <c r="BD10">
        <f>IF(ROW()-3&gt;MAX($BC$4:$BC$42),"",INDEX(Lists!$BC$4:$BC$42,MATCH(ROW()-3,$BC$4:$BC$42,0)))</f>
        <v/>
      </c>
      <c r="BE10">
        <f>BE9+IF(AND(Lists!$BH$10&lt;&gt;"",ISNUMBER(SEARCH($K$4,Lists!$BH$10))),1,0)</f>
        <v/>
      </c>
      <c r="BF10">
        <f>IF(ROW()-3&gt;MAX($BE$4:$BE$42),"",INDEX(Lists!$BH$4:$BH$42,MATCH(ROW()-3,$BE$4:$BE$42,0)))</f>
        <v/>
      </c>
      <c r="BG10">
        <f>BG9+IF(AND(Lists!$BM$10&lt;&gt;"",ISNUMBER(SEARCH($L$4,Lists!$BM$10))),1,0)</f>
        <v/>
      </c>
      <c r="BH10">
        <f>IF(ROW()-3&gt;MAX($BG$4:$BG$42),"",INDEX(Lists!$BM$4:$BM$42,MATCH(ROW()-3,$BG$4:$BG$42,0)))</f>
        <v/>
      </c>
      <c r="BI10">
        <f>BI9+IF(AND(Lists!$BR$10&lt;&gt;"",ISNUMBER(SEARCH($M$4,Lists!$BR$10))),1,0)</f>
        <v/>
      </c>
      <c r="BJ10">
        <f>IF(ROW()-3&gt;MAX($BI$4:$BI$42),"",INDEX(Lists!$BR$4:$BR$42,MATCH(ROW()-3,$BI$4:$BI$42,0)))</f>
        <v/>
      </c>
      <c r="BK10">
        <f>BK9+IF(AND(Lists!$BW$10&lt;&gt;"",ISNUMBER(SEARCH($N$4,Lists!$BW$10))),1,0)</f>
        <v/>
      </c>
      <c r="BL10">
        <f>IF(ROW()-3&gt;MAX($BK$4:$BK$42),"",INDEX(Lists!$BW$4:$BW$42,MATCH(ROW()-3,$BK$4:$BK$42,0)))</f>
        <v/>
      </c>
      <c r="BM10">
        <f>BM9+IF(AND(Lists!$CB$10&lt;&gt;"",ISNUMBER(SEARCH($O$4,Lists!$CB$10))),1,0)</f>
        <v/>
      </c>
      <c r="BN10">
        <f>IF(ROW()-3&gt;MAX($BM$4:$BM$42),"",INDEX(Lists!$CB$4:$CB$42,MATCH(ROW()-3,$BM$4:$BM$42,0)))</f>
        <v/>
      </c>
      <c r="BO10">
        <f>BO9+IF(AND(Lists!$CG$10&lt;&gt;"",ISNUMBER(SEARCH($P$4,Lists!$CG$10))),1,0)</f>
        <v/>
      </c>
      <c r="BP10">
        <f>IF(ROW()-3&gt;MAX($BO$4:$BO$42),"",INDEX(Lists!$CG$4:$CG$42,MATCH(ROW()-3,$BO$4:$BO$42,0)))</f>
        <v/>
      </c>
      <c r="BQ10">
        <f>BQ9+IF(AND(Lists!$CL$10&lt;&gt;"",ISNUMBER(SEARCH($Q$4,Lists!$CL$10))),1,0)</f>
        <v/>
      </c>
      <c r="BR10">
        <f>IF(ROW()-3&gt;MAX($BQ$4:$BQ$42),"",INDEX(Lists!$CL$4:$CL$42,MATCH(ROW()-3,$BQ$4:$BQ$42,0)))</f>
        <v/>
      </c>
      <c r="BS10">
        <f>BS9+IF(AND(Lists!$CQ$10&lt;&gt;"",ISNUMBER(SEARCH($R$4,Lists!$CQ$10))),1,0)</f>
        <v/>
      </c>
      <c r="BT10">
        <f>IF(ROW()-3&gt;MAX($BS$4:$BS$42),"",INDEX(Lists!$CQ$4:$CQ$42,MATCH(ROW()-3,$BS$4:$BS$42,0)))</f>
        <v/>
      </c>
      <c r="BU10">
        <f>BU9+IF(AND(Lists!$CV$10&lt;&gt;"",ISNUMBER(SEARCH($S$4,Lists!$CV$10))),1,0)</f>
        <v/>
      </c>
      <c r="BV10">
        <f>IF(ROW()-3&gt;MAX($BU$4:$BU$42),"",INDEX(Lists!$CV$4:$CV$42,MATCH(ROW()-3,$BU$4:$BU$42,0)))</f>
        <v/>
      </c>
      <c r="BW10">
        <f>BW9+IF(AND(Lists!$DA$10&lt;&gt;"",ISNUMBER(SEARCH($T$4,Lists!$DA$10))),1,0)</f>
        <v/>
      </c>
      <c r="BX10">
        <f>IF(ROW()-3&gt;MAX($BW$4:$BW$42),"",INDEX(Lists!$DA$4:$DA$42,MATCH(ROW()-3,$BW$4:$BW$42,0)))</f>
        <v/>
      </c>
      <c r="BY10">
        <f>BY9+IF(AND(Lists!$DF$10&lt;&gt;"",ISNUMBER(SEARCH($U$4,Lists!$DF$10))),1,0)</f>
        <v/>
      </c>
      <c r="BZ10">
        <f>IF(ROW()-3&gt;MAX($BY$4:$BY$42),"",INDEX(Lists!$DF$4:$DF$42,MATCH(ROW()-3,$BY$4:$BY$42,0)))</f>
        <v/>
      </c>
      <c r="CA10">
        <f>CA9+IF(AND(Lists!$DK$10&lt;&gt;"",ISNUMBER(SEARCH($V$4,Lists!$DK$10))),1,0)</f>
        <v/>
      </c>
      <c r="CB10">
        <f>IF(ROW()-3&gt;MAX($CA$4:$CA$42),"",INDEX(Lists!$DK$4:$DK$42,MATCH(ROW()-3,$CA$4:$CA$42,0)))</f>
        <v/>
      </c>
      <c r="CC10">
        <f>CC9+IF(AND(Lists!$DP$10&lt;&gt;"",ISNUMBER(SEARCH($W$4,Lists!$DP$10))),1,0)</f>
        <v/>
      </c>
      <c r="CD10">
        <f>IF(ROW()-3&gt;MAX($CC$4:$CC$42),"",INDEX(Lists!$DP$4:$DP$42,MATCH(ROW()-3,$CC$4:$CC$42,0)))</f>
        <v/>
      </c>
      <c r="CE10">
        <f>CE9+IF(AND(Lists!$DU$10&lt;&gt;"",ISNUMBER(SEARCH($X$4,Lists!$DU$10))),1,0)</f>
        <v/>
      </c>
      <c r="CF10">
        <f>IF(ROW()-3&gt;MAX($CE$4:$CE$42),"",INDEX(Lists!$DU$4:$DU$42,MATCH(ROW()-3,$CE$4:$CE$42,0)))</f>
        <v/>
      </c>
      <c r="CG10">
        <f>CG9+IF(AND(Lists!$DZ$10&lt;&gt;"",ISNUMBER(SEARCH($Y$4,Lists!$DZ$10))),1,0)</f>
        <v/>
      </c>
      <c r="CH10">
        <f>IF(ROW()-3&gt;MAX($CG$4:$CG$42),"",INDEX(Lists!$DZ$4:$DZ$42,MATCH(ROW()-3,$CG$4:$CG$42,0)))</f>
        <v/>
      </c>
      <c r="CI10">
        <f>CI9+IF(AND(Lists!$EE$10&lt;&gt;"",ISNUMBER(SEARCH($Z$4,Lists!$EE$10))),1,0)</f>
        <v/>
      </c>
      <c r="CJ10">
        <f>IF(ROW()-3&gt;MAX($CI$4:$CI$42),"",INDEX(Lists!$EE$4:$EE$42,MATCH(ROW()-3,$CI$4:$CI$42,0)))</f>
        <v/>
      </c>
      <c r="CK10">
        <f>CK9+IF(AND(Lists!$EJ$10&lt;&gt;"",ISNUMBER(SEARCH($AA$4,Lists!$EJ$10))),1,0)</f>
        <v/>
      </c>
      <c r="CL10">
        <f>IF(ROW()-3&gt;MAX($CK$4:$CK$42),"",INDEX(Lists!$EJ$4:$EJ$42,MATCH(ROW()-3,$CK$4:$CK$42,0)))</f>
        <v/>
      </c>
      <c r="CM10">
        <f>CM9+IF(AND(Lists!$EO$10&lt;&gt;"",ISNUMBER(SEARCH($AB$4,Lists!$EO$10))),1,0)</f>
        <v/>
      </c>
      <c r="CN10">
        <f>IF(ROW()-3&gt;MAX($CM$4:$CM$42),"",INDEX(Lists!$EO$4:$EO$42,MATCH(ROW()-3,$CM$4:$CM$42,0)))</f>
        <v/>
      </c>
      <c r="CO10">
        <f>CO9+IF(AND(Lists!$ET$10&lt;&gt;"",ISNUMBER(SEARCH($AC$4,Lists!$ET$10))),1,0)</f>
        <v/>
      </c>
      <c r="CP10">
        <f>IF(ROW()-3&gt;MAX($CO$4:$CO$42),"",INDEX(Lists!$ET$4:$ET$42,MATCH(ROW()-3,$CO$4:$CO$42,0)))</f>
        <v/>
      </c>
      <c r="CQ10">
        <f>CQ9+IF(AND(Lists!$EY$10&lt;&gt;"",ISNUMBER(SEARCH($AD$4,Lists!$EY$10))),1,0)</f>
        <v/>
      </c>
      <c r="CR10">
        <f>IF(ROW()-3&gt;MAX($CQ$4:$CQ$42),"",INDEX(Lists!$EY$4:$EY$42,MATCH(ROW()-3,$CQ$4:$CQ$42,0)))</f>
        <v/>
      </c>
      <c r="CS10">
        <f>CS9+IF(AND(Lists!$FD$10&lt;&gt;"",ISNUMBER(SEARCH($AE$4,Lists!$FD$10))),1,0)</f>
        <v/>
      </c>
      <c r="CT10">
        <f>IF(ROW()-3&gt;MAX($CS$4:$CS$42),"",INDEX(Lists!$FD$4:$FD$42,MATCH(ROW()-3,$CS$4:$CS$42,0)))</f>
        <v/>
      </c>
      <c r="CU10">
        <f>CU9+IF(AND(Lists!$FI$10&lt;&gt;"",ISNUMBER(SEARCH($AG$4,Lists!$FI$10))),1,0)</f>
        <v/>
      </c>
      <c r="CV10">
        <f>IF(ROW()-3&gt;MAX($CU$4:$CU$42),"",INDEX(Lists!$FI$4:$FI$42,MATCH(ROW()-3,$CU$4:$CU$42,0)))</f>
        <v/>
      </c>
      <c r="CW10">
        <f>CW9+IF(AND(Lists!$FN$10&lt;&gt;"",ISNUMBER(SEARCH($AH$4,Lists!$FN$10))),1,0)</f>
        <v/>
      </c>
      <c r="CX10">
        <f>IF(ROW()-3&gt;MAX($CW$4:$CW$42),"",INDEX(Lists!$FN$4:$FN$42,MATCH(ROW()-3,$CW$4:$CW$42,0)))</f>
        <v/>
      </c>
      <c r="CY10">
        <f>CY9+IF(AND(Lists!$FS$10&lt;&gt;"",ISNUMBER(SEARCH($AI$4,Lists!$FS$10))),1,0)</f>
        <v/>
      </c>
      <c r="CZ10">
        <f>IF(ROW()-3&gt;MAX($CY$4:$CY$42),"",INDEX(Lists!$FS$4:$FS$42,MATCH(ROW()-3,$CY$4:$CY$42,0)))</f>
        <v/>
      </c>
      <c r="DA10">
        <f>DA9+IF(AND(Lists!$FX$10&lt;&gt;"",ISNUMBER(SEARCH($AF$4,Lists!$FX$10))),1,0)</f>
        <v/>
      </c>
      <c r="DB10">
        <f>IF(ROW()-3&gt;MAX($DA$4:$DA$42),"",INDEX(Lists!$FX$4:$FX$42,MATCH(ROW()-3,$DA$4:$DA$42,0)))</f>
        <v/>
      </c>
    </row>
    <row r="11" outlineLevel="1" ht="15" customHeight="1" s="137">
      <c r="A11" s="67" t="n">
        <v>1</v>
      </c>
      <c r="B11" s="76">
        <f>IF('Final Calculation Sheet'!$F$15="","",'Final Calculation Sheet'!$F$15)</f>
        <v/>
      </c>
      <c r="C11" s="76">
        <f>IF('Final Calculation Sheet'!$G$15="","",'Final Calculation Sheet'!$G$15)</f>
        <v/>
      </c>
      <c r="D11" s="80">
        <f>IF('Final Calculation Sheet'!$B$15="","",'Final Calculation Sheet'!$B$15)</f>
        <v/>
      </c>
      <c r="E11" s="80">
        <f>IF('Final Calculation Sheet'!$D$15="","",'Final Calculation Sheet'!$D$15)</f>
        <v/>
      </c>
      <c r="F11" s="80">
        <f>IF('Final Calculation Sheet'!$A$15="","",'Final Calculation Sheet'!$A$15)</f>
        <v/>
      </c>
      <c r="G11" s="80">
        <f>IF('Final Calculation Sheet'!$E$15="","",'Final Calculation Sheet'!$E$15)</f>
        <v/>
      </c>
      <c r="H11" s="70">
        <f>IF('Final Calculation Sheet'!$C$15="","",'Final Calculation Sheet'!$C$15)</f>
        <v/>
      </c>
      <c r="I11" s="70">
        <f>IF('Final Calculation Sheet'!$H$15="","",'Final Calculation Sheet'!$H$15)</f>
        <v/>
      </c>
      <c r="J11" s="70">
        <f>IF('Final Calculation Sheet'!$I$15="","",'Final Calculation Sheet'!$I$15)</f>
        <v/>
      </c>
      <c r="K11" s="70">
        <f>IF('Final Calculation Sheet'!$J$15="","",'Final Calculation Sheet'!$J$15)</f>
        <v/>
      </c>
      <c r="L11" s="70">
        <f>IF('Final Calculation Sheet'!$K$15="","",'Final Calculation Sheet'!$K$15)</f>
        <v/>
      </c>
      <c r="M11" s="70">
        <f>IF('Final Calculation Sheet'!$L$15="","",'Final Calculation Sheet'!$L$15)</f>
        <v/>
      </c>
      <c r="N11" s="70">
        <f>IF('Final Calculation Sheet'!$M$15="","",'Final Calculation Sheet'!$M$15)</f>
        <v/>
      </c>
      <c r="O11" s="71">
        <f>IF('Final Calculation Sheet'!$N$15="","",'Final Calculation Sheet'!$N$15)</f>
        <v/>
      </c>
      <c r="P11" s="70">
        <f>IF('Final Calculation Sheet'!$O$15="","",'Final Calculation Sheet'!$O$15)</f>
        <v/>
      </c>
      <c r="Q11" s="70">
        <f>IF('Final Calculation Sheet'!$P$15="","",'Final Calculation Sheet'!$P$15)</f>
        <v/>
      </c>
      <c r="R11" s="72">
        <f>IF('Final Calculation Sheet'!$Q$15="","",'Final Calculation Sheet'!$Q$15)</f>
        <v/>
      </c>
      <c r="S11" s="70">
        <f>IF('Final Calculation Sheet'!$R$15="","",'Final Calculation Sheet'!$R$15)</f>
        <v/>
      </c>
      <c r="T11" s="70">
        <f>IF('Final Calculation Sheet'!$S$15="","",'Final Calculation Sheet'!$S$15)</f>
        <v/>
      </c>
      <c r="U11" s="70">
        <f>IF('Final Calculation Sheet'!$T$15="","",'Final Calculation Sheet'!$T$15)</f>
        <v/>
      </c>
      <c r="V11" s="73">
        <f>IF('Final Calculation Sheet'!$U$15="","",'Final Calculation Sheet'!$U$15)</f>
        <v/>
      </c>
      <c r="W11" s="70">
        <f>IF('Final Calculation Sheet'!$V$15="","",'Final Calculation Sheet'!$V$15)</f>
        <v/>
      </c>
      <c r="X11" s="70">
        <f>IF('Final Calculation Sheet'!$W$15="","",'Final Calculation Sheet'!$W$15)</f>
        <v/>
      </c>
      <c r="Y11" s="70">
        <f>IF('Final Calculation Sheet'!$X$15="","",'Final Calculation Sheet'!$X$15)</f>
        <v/>
      </c>
      <c r="Z11" s="70">
        <f>IF('Final Calculation Sheet'!$Y$15="","",'Final Calculation Sheet'!$Y$15)</f>
        <v/>
      </c>
      <c r="AA11" s="70">
        <f>IF('Final Calculation Sheet'!$Z$15="","",'Final Calculation Sheet'!$Z$15)</f>
        <v/>
      </c>
      <c r="AB11" s="70">
        <f>IF('Final Calculation Sheet'!$AA$15="","",'Final Calculation Sheet'!$AA$15)</f>
        <v/>
      </c>
      <c r="AC11" s="70">
        <f>IF('Final Calculation Sheet'!$AB$15="","",'Final Calculation Sheet'!$AB$15)</f>
        <v/>
      </c>
      <c r="AD11" s="70">
        <f>IF('Final Calculation Sheet'!$AC$15="","",'Final Calculation Sheet'!$AC$15)</f>
        <v/>
      </c>
      <c r="AE11" s="70">
        <f>IF('Final Calculation Sheet'!$AD$15="","",'Final Calculation Sheet'!$AD$15)</f>
        <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
      </c>
      <c r="AK11">
        <f>IF(AJ11=1,COUNTIF(AJ$6:AJ11,1),"")</f>
        <v/>
      </c>
      <c r="AM11">
        <f>AM10+IF(AND(Lists!$O$11&lt;&gt;"",ISNUMBER(SEARCH($B$4,Lists!$O$11))),1,0)</f>
        <v/>
      </c>
      <c r="AN11">
        <f>IF(ROW()-3&gt;MAX($AM$4:$AM$42),"",INDEX(Lists!$O$4:$O$42,MATCH(ROW()-3,$AM$4:$AM$42,0)))</f>
        <v/>
      </c>
      <c r="AO11">
        <f>AO10+IF(AND(Lists!$T$11&lt;&gt;"",ISNUMBER(SEARCH($C$4,Lists!$T$11))),1,0)</f>
        <v/>
      </c>
      <c r="AP11">
        <f>IF(ROW()-3&gt;MAX($AO$4:$AO$42),"",INDEX(Lists!$T$4:$T$42,MATCH(ROW()-3,$AO$4:$AO$42,0)))</f>
        <v/>
      </c>
      <c r="AQ11">
        <f>AQ10+IF(AND(Lists!$Y$11&lt;&gt;"",ISNUMBER(SEARCH($D$4,Lists!$Y$11))),1,0)</f>
        <v/>
      </c>
      <c r="AR11">
        <f>IF(ROW()-3&gt;MAX($AQ$4:$AQ$42),"",INDEX(Lists!$Y$4:$Y$42,MATCH(ROW()-3,$AQ$4:$AQ$42,0)))</f>
        <v/>
      </c>
      <c r="AS11">
        <f>AS10+IF(AND(Lists!$AD$11&lt;&gt;"",ISNUMBER(SEARCH($E$4,Lists!$AD$11))),1,0)</f>
        <v/>
      </c>
      <c r="AT11">
        <f>IF(ROW()-3&gt;MAX($AS$4:$AS$42),"",INDEX(Lists!$AD$4:$AD$42,MATCH(ROW()-3,$AS$4:$AS$42,0)))</f>
        <v/>
      </c>
      <c r="AU11">
        <f>AU10+IF(AND(Lists!$AI$11&lt;&gt;"",ISNUMBER(SEARCH($F$4,Lists!$AI$11))),1,0)</f>
        <v/>
      </c>
      <c r="AV11">
        <f>IF(ROW()-3&gt;MAX($AU$4:$AU$42),"",INDEX(Lists!$AI$4:$AI$42,MATCH(ROW()-3,$AU$4:$AU$42,0)))</f>
        <v/>
      </c>
      <c r="AW11">
        <f>AW10+IF(AND(Lists!$AN$11&lt;&gt;"",ISNUMBER(SEARCH($G$4,Lists!$AN$11))),1,0)</f>
        <v/>
      </c>
      <c r="AX11">
        <f>IF(ROW()-3&gt;MAX($AW$4:$AW$42),"",INDEX(Lists!$AN$4:$AN$42,MATCH(ROW()-3,$AW$4:$AW$42,0)))</f>
        <v/>
      </c>
      <c r="AY11">
        <f>AY10+IF(AND(Lists!$AS$11&lt;&gt;"",ISNUMBER(SEARCH($H$4,Lists!$AS$11))),1,0)</f>
        <v/>
      </c>
      <c r="AZ11">
        <f>IF(ROW()-3&gt;MAX($AY$4:$AY$42),"",INDEX(Lists!$AS$4:$AS$42,MATCH(ROW()-3,$AY$4:$AY$42,0)))</f>
        <v/>
      </c>
      <c r="BA11">
        <f>BA10+IF(AND(Lists!$AX$11&lt;&gt;"",ISNUMBER(SEARCH($I$4,Lists!$AX$11))),1,0)</f>
        <v/>
      </c>
      <c r="BB11">
        <f>IF(ROW()-3&gt;MAX($BA$4:$BA$42),"",INDEX(Lists!$AX$4:$AX$42,MATCH(ROW()-3,$BA$4:$BA$42,0)))</f>
        <v/>
      </c>
      <c r="BC11">
        <f>BC10+IF(AND(Lists!$BC$11&lt;&gt;"",ISNUMBER(SEARCH($J$4,Lists!$BC$11))),1,0)</f>
        <v/>
      </c>
      <c r="BD11">
        <f>IF(ROW()-3&gt;MAX($BC$4:$BC$42),"",INDEX(Lists!$BC$4:$BC$42,MATCH(ROW()-3,$BC$4:$BC$42,0)))</f>
        <v/>
      </c>
      <c r="BE11">
        <f>BE10+IF(AND(Lists!$BH$11&lt;&gt;"",ISNUMBER(SEARCH($K$4,Lists!$BH$11))),1,0)</f>
        <v/>
      </c>
      <c r="BF11">
        <f>IF(ROW()-3&gt;MAX($BE$4:$BE$42),"",INDEX(Lists!$BH$4:$BH$42,MATCH(ROW()-3,$BE$4:$BE$42,0)))</f>
        <v/>
      </c>
      <c r="BG11">
        <f>BG10+IF(AND(Lists!$BM$11&lt;&gt;"",ISNUMBER(SEARCH($L$4,Lists!$BM$11))),1,0)</f>
        <v/>
      </c>
      <c r="BH11">
        <f>IF(ROW()-3&gt;MAX($BG$4:$BG$42),"",INDEX(Lists!$BM$4:$BM$42,MATCH(ROW()-3,$BG$4:$BG$42,0)))</f>
        <v/>
      </c>
      <c r="BI11">
        <f>BI10+IF(AND(Lists!$BR$11&lt;&gt;"",ISNUMBER(SEARCH($M$4,Lists!$BR$11))),1,0)</f>
        <v/>
      </c>
      <c r="BJ11">
        <f>IF(ROW()-3&gt;MAX($BI$4:$BI$42),"",INDEX(Lists!$BR$4:$BR$42,MATCH(ROW()-3,$BI$4:$BI$42,0)))</f>
        <v/>
      </c>
      <c r="BK11">
        <f>BK10+IF(AND(Lists!$BW$11&lt;&gt;"",ISNUMBER(SEARCH($N$4,Lists!$BW$11))),1,0)</f>
        <v/>
      </c>
      <c r="BL11">
        <f>IF(ROW()-3&gt;MAX($BK$4:$BK$42),"",INDEX(Lists!$BW$4:$BW$42,MATCH(ROW()-3,$BK$4:$BK$42,0)))</f>
        <v/>
      </c>
      <c r="BM11">
        <f>BM10+IF(AND(Lists!$CB$11&lt;&gt;"",ISNUMBER(SEARCH($O$4,Lists!$CB$11))),1,0)</f>
        <v/>
      </c>
      <c r="BN11">
        <f>IF(ROW()-3&gt;MAX($BM$4:$BM$42),"",INDEX(Lists!$CB$4:$CB$42,MATCH(ROW()-3,$BM$4:$BM$42,0)))</f>
        <v/>
      </c>
      <c r="BO11">
        <f>BO10+IF(AND(Lists!$CG$11&lt;&gt;"",ISNUMBER(SEARCH($P$4,Lists!$CG$11))),1,0)</f>
        <v/>
      </c>
      <c r="BP11">
        <f>IF(ROW()-3&gt;MAX($BO$4:$BO$42),"",INDEX(Lists!$CG$4:$CG$42,MATCH(ROW()-3,$BO$4:$BO$42,0)))</f>
        <v/>
      </c>
      <c r="BQ11">
        <f>BQ10+IF(AND(Lists!$CL$11&lt;&gt;"",ISNUMBER(SEARCH($Q$4,Lists!$CL$11))),1,0)</f>
        <v/>
      </c>
      <c r="BR11">
        <f>IF(ROW()-3&gt;MAX($BQ$4:$BQ$42),"",INDEX(Lists!$CL$4:$CL$42,MATCH(ROW()-3,$BQ$4:$BQ$42,0)))</f>
        <v/>
      </c>
      <c r="BS11">
        <f>BS10+IF(AND(Lists!$CQ$11&lt;&gt;"",ISNUMBER(SEARCH($R$4,Lists!$CQ$11))),1,0)</f>
        <v/>
      </c>
      <c r="BT11">
        <f>IF(ROW()-3&gt;MAX($BS$4:$BS$42),"",INDEX(Lists!$CQ$4:$CQ$42,MATCH(ROW()-3,$BS$4:$BS$42,0)))</f>
        <v/>
      </c>
      <c r="BU11">
        <f>BU10+IF(AND(Lists!$CV$11&lt;&gt;"",ISNUMBER(SEARCH($S$4,Lists!$CV$11))),1,0)</f>
        <v/>
      </c>
      <c r="BV11">
        <f>IF(ROW()-3&gt;MAX($BU$4:$BU$42),"",INDEX(Lists!$CV$4:$CV$42,MATCH(ROW()-3,$BU$4:$BU$42,0)))</f>
        <v/>
      </c>
      <c r="BW11">
        <f>BW10+IF(AND(Lists!$DA$11&lt;&gt;"",ISNUMBER(SEARCH($T$4,Lists!$DA$11))),1,0)</f>
        <v/>
      </c>
      <c r="BX11">
        <f>IF(ROW()-3&gt;MAX($BW$4:$BW$42),"",INDEX(Lists!$DA$4:$DA$42,MATCH(ROW()-3,$BW$4:$BW$42,0)))</f>
        <v/>
      </c>
      <c r="BY11">
        <f>BY10+IF(AND(Lists!$DF$11&lt;&gt;"",ISNUMBER(SEARCH($U$4,Lists!$DF$11))),1,0)</f>
        <v/>
      </c>
      <c r="BZ11">
        <f>IF(ROW()-3&gt;MAX($BY$4:$BY$42),"",INDEX(Lists!$DF$4:$DF$42,MATCH(ROW()-3,$BY$4:$BY$42,0)))</f>
        <v/>
      </c>
      <c r="CA11">
        <f>CA10+IF(AND(Lists!$DK$11&lt;&gt;"",ISNUMBER(SEARCH($V$4,Lists!$DK$11))),1,0)</f>
        <v/>
      </c>
      <c r="CB11">
        <f>IF(ROW()-3&gt;MAX($CA$4:$CA$42),"",INDEX(Lists!$DK$4:$DK$42,MATCH(ROW()-3,$CA$4:$CA$42,0)))</f>
        <v/>
      </c>
      <c r="CC11">
        <f>CC10+IF(AND(Lists!$DP$11&lt;&gt;"",ISNUMBER(SEARCH($W$4,Lists!$DP$11))),1,0)</f>
        <v/>
      </c>
      <c r="CD11">
        <f>IF(ROW()-3&gt;MAX($CC$4:$CC$42),"",INDEX(Lists!$DP$4:$DP$42,MATCH(ROW()-3,$CC$4:$CC$42,0)))</f>
        <v/>
      </c>
      <c r="CE11">
        <f>CE10+IF(AND(Lists!$DU$11&lt;&gt;"",ISNUMBER(SEARCH($X$4,Lists!$DU$11))),1,0)</f>
        <v/>
      </c>
      <c r="CF11">
        <f>IF(ROW()-3&gt;MAX($CE$4:$CE$42),"",INDEX(Lists!$DU$4:$DU$42,MATCH(ROW()-3,$CE$4:$CE$42,0)))</f>
        <v/>
      </c>
      <c r="CG11">
        <f>CG10+IF(AND(Lists!$DZ$11&lt;&gt;"",ISNUMBER(SEARCH($Y$4,Lists!$DZ$11))),1,0)</f>
        <v/>
      </c>
      <c r="CH11">
        <f>IF(ROW()-3&gt;MAX($CG$4:$CG$42),"",INDEX(Lists!$DZ$4:$DZ$42,MATCH(ROW()-3,$CG$4:$CG$42,0)))</f>
        <v/>
      </c>
      <c r="CI11">
        <f>CI10+IF(AND(Lists!$EE$11&lt;&gt;"",ISNUMBER(SEARCH($Z$4,Lists!$EE$11))),1,0)</f>
        <v/>
      </c>
      <c r="CJ11">
        <f>IF(ROW()-3&gt;MAX($CI$4:$CI$42),"",INDEX(Lists!$EE$4:$EE$42,MATCH(ROW()-3,$CI$4:$CI$42,0)))</f>
        <v/>
      </c>
      <c r="CK11">
        <f>CK10+IF(AND(Lists!$EJ$11&lt;&gt;"",ISNUMBER(SEARCH($AA$4,Lists!$EJ$11))),1,0)</f>
        <v/>
      </c>
      <c r="CL11">
        <f>IF(ROW()-3&gt;MAX($CK$4:$CK$42),"",INDEX(Lists!$EJ$4:$EJ$42,MATCH(ROW()-3,$CK$4:$CK$42,0)))</f>
        <v/>
      </c>
      <c r="CM11">
        <f>CM10+IF(AND(Lists!$EO$11&lt;&gt;"",ISNUMBER(SEARCH($AB$4,Lists!$EO$11))),1,0)</f>
        <v/>
      </c>
      <c r="CN11">
        <f>IF(ROW()-3&gt;MAX($CM$4:$CM$42),"",INDEX(Lists!$EO$4:$EO$42,MATCH(ROW()-3,$CM$4:$CM$42,0)))</f>
        <v/>
      </c>
      <c r="CO11">
        <f>CO10+IF(AND(Lists!$ET$11&lt;&gt;"",ISNUMBER(SEARCH($AC$4,Lists!$ET$11))),1,0)</f>
        <v/>
      </c>
      <c r="CP11">
        <f>IF(ROW()-3&gt;MAX($CO$4:$CO$42),"",INDEX(Lists!$ET$4:$ET$42,MATCH(ROW()-3,$CO$4:$CO$42,0)))</f>
        <v/>
      </c>
      <c r="CQ11">
        <f>CQ10+IF(AND(Lists!$EY$11&lt;&gt;"",ISNUMBER(SEARCH($AD$4,Lists!$EY$11))),1,0)</f>
        <v/>
      </c>
      <c r="CR11">
        <f>IF(ROW()-3&gt;MAX($CQ$4:$CQ$42),"",INDEX(Lists!$EY$4:$EY$42,MATCH(ROW()-3,$CQ$4:$CQ$42,0)))</f>
        <v/>
      </c>
      <c r="CS11">
        <f>CS10+IF(AND(Lists!$FD$11&lt;&gt;"",ISNUMBER(SEARCH($AE$4,Lists!$FD$11))),1,0)</f>
        <v/>
      </c>
      <c r="CT11">
        <f>IF(ROW()-3&gt;MAX($CS$4:$CS$42),"",INDEX(Lists!$FD$4:$FD$42,MATCH(ROW()-3,$CS$4:$CS$42,0)))</f>
        <v/>
      </c>
      <c r="CU11">
        <f>CU10+IF(AND(Lists!$FI$11&lt;&gt;"",ISNUMBER(SEARCH($AG$4,Lists!$FI$11))),1,0)</f>
        <v/>
      </c>
      <c r="CV11">
        <f>IF(ROW()-3&gt;MAX($CU$4:$CU$42),"",INDEX(Lists!$FI$4:$FI$42,MATCH(ROW()-3,$CU$4:$CU$42,0)))</f>
        <v/>
      </c>
      <c r="CW11">
        <f>CW10+IF(AND(Lists!$FN$11&lt;&gt;"",ISNUMBER(SEARCH($AH$4,Lists!$FN$11))),1,0)</f>
        <v/>
      </c>
      <c r="CX11">
        <f>IF(ROW()-3&gt;MAX($CW$4:$CW$42),"",INDEX(Lists!$FN$4:$FN$42,MATCH(ROW()-3,$CW$4:$CW$42,0)))</f>
        <v/>
      </c>
      <c r="CY11">
        <f>CY10+IF(AND(Lists!$FS$11&lt;&gt;"",ISNUMBER(SEARCH($AI$4,Lists!$FS$11))),1,0)</f>
        <v/>
      </c>
      <c r="CZ11">
        <f>IF(ROW()-3&gt;MAX($CY$4:$CY$42),"",INDEX(Lists!$FS$4:$FS$42,MATCH(ROW()-3,$CY$4:$CY$42,0)))</f>
        <v/>
      </c>
      <c r="DA11">
        <f>DA10+IF(AND(Lists!$FX$11&lt;&gt;"",ISNUMBER(SEARCH($AF$4,Lists!$FX$11))),1,0)</f>
        <v/>
      </c>
      <c r="DB11">
        <f>IF(ROW()-3&gt;MAX($DA$4:$DA$42),"",INDEX(Lists!$FX$4:$FX$42,MATCH(ROW()-3,$DA$4:$DA$42,0)))</f>
        <v/>
      </c>
    </row>
    <row r="12" ht="15" customHeight="1" s="137">
      <c r="A12" s="81" t="inlineStr">
        <is>
          <t>∑</t>
        </is>
      </c>
      <c r="B12" s="83" t="n"/>
      <c r="C12" s="83">
        <f>ROWS($C$11:$C$11)&amp;" lot(s)"</f>
        <v/>
      </c>
      <c r="D12" s="83" t="inlineStr">
        <is>
          <t>SUBTOTAL — HIND TRADERS</t>
        </is>
      </c>
      <c r="E12" s="83" t="inlineStr">
        <is>
          <t>–</t>
        </is>
      </c>
      <c r="F12" s="83">
        <f>SUM(F11:F11)</f>
        <v/>
      </c>
      <c r="G12" s="83" t="inlineStr">
        <is>
          <t>–</t>
        </is>
      </c>
      <c r="H12" s="84" t="inlineStr">
        <is>
          <t>–</t>
        </is>
      </c>
      <c r="I12" s="84">
        <f>SUM(I11:I11)</f>
        <v/>
      </c>
      <c r="J12" s="84">
        <f>SUM(J11:J11)</f>
        <v/>
      </c>
      <c r="K12" s="84">
        <f>SUM(K11:K11)</f>
        <v/>
      </c>
      <c r="L12" s="84">
        <f>SUM(L11:L11)</f>
        <v/>
      </c>
      <c r="M12" s="84">
        <f>SUM(M11:M11)</f>
        <v/>
      </c>
      <c r="N12" s="84">
        <f>SUM(N11:N11)</f>
        <v/>
      </c>
      <c r="O12" s="85">
        <f>SUM(O11:O11)</f>
        <v/>
      </c>
      <c r="P12" s="84">
        <f>SUM(P11:P11)</f>
        <v/>
      </c>
      <c r="Q12" s="84">
        <f>SUM(Q11:Q11)</f>
        <v/>
      </c>
      <c r="R12" s="86" t="inlineStr">
        <is>
          <t>–</t>
        </is>
      </c>
      <c r="S12" s="84">
        <f>SUM(S11:S11)</f>
        <v/>
      </c>
      <c r="T12" s="84">
        <f>SUM(T11:T11)</f>
        <v/>
      </c>
      <c r="U12" s="84">
        <f>SUM(U11:U11)</f>
        <v/>
      </c>
      <c r="V12" s="87">
        <f>SUM(V11:V11)</f>
        <v/>
      </c>
      <c r="W12" s="84" t="inlineStr">
        <is>
          <t>–</t>
        </is>
      </c>
      <c r="X12" s="84">
        <f>SUM(X11:X11)</f>
        <v/>
      </c>
      <c r="Y12" s="84">
        <f>SUM(Y11:Y11)</f>
        <v/>
      </c>
      <c r="Z12" s="84" t="inlineStr">
        <is>
          <t>–</t>
        </is>
      </c>
      <c r="AA12" s="84">
        <f>SUM(AA11:AA11)</f>
        <v/>
      </c>
      <c r="AB12" s="84">
        <f>SUM(AB11:AB11)</f>
        <v/>
      </c>
      <c r="AC12" s="84" t="inlineStr">
        <is>
          <t>–</t>
        </is>
      </c>
      <c r="AD12" s="84">
        <f>SUM(AD11:AD11)</f>
        <v/>
      </c>
      <c r="AE12" s="84">
        <f>SUM(AE11:AE11)</f>
        <v/>
      </c>
      <c r="AF12" s="89">
        <f>IF(AE12&lt;=5,"SETTLED","OUTSTANDING")</f>
        <v/>
      </c>
      <c r="AG12" s="84" t="inlineStr">
        <is>
          <t>–</t>
        </is>
      </c>
      <c r="AH12" s="88" t="inlineStr">
        <is>
          <t>–</t>
        </is>
      </c>
      <c r="AI12" s="84" t="inlineStr">
        <is>
          <t>–</t>
        </is>
      </c>
      <c r="AJ12">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
      </c>
      <c r="AK12">
        <f>IF(AJ12=1,COUNTIF(AJ$6:AJ12,1),"")</f>
        <v/>
      </c>
      <c r="AM12">
        <f>AM11+IF(AND(Lists!$O$12&lt;&gt;"",ISNUMBER(SEARCH($B$4,Lists!$O$12))),1,0)</f>
        <v/>
      </c>
      <c r="AN12">
        <f>IF(ROW()-3&gt;MAX($AM$4:$AM$42),"",INDEX(Lists!$O$4:$O$42,MATCH(ROW()-3,$AM$4:$AM$42,0)))</f>
        <v/>
      </c>
      <c r="AO12">
        <f>AO11+IF(AND(Lists!$T$12&lt;&gt;"",ISNUMBER(SEARCH($C$4,Lists!$T$12))),1,0)</f>
        <v/>
      </c>
      <c r="AP12">
        <f>IF(ROW()-3&gt;MAX($AO$4:$AO$42),"",INDEX(Lists!$T$4:$T$42,MATCH(ROW()-3,$AO$4:$AO$42,0)))</f>
        <v/>
      </c>
      <c r="AQ12">
        <f>AQ11+IF(AND(Lists!$Y$12&lt;&gt;"",ISNUMBER(SEARCH($D$4,Lists!$Y$12))),1,0)</f>
        <v/>
      </c>
      <c r="AR12">
        <f>IF(ROW()-3&gt;MAX($AQ$4:$AQ$42),"",INDEX(Lists!$Y$4:$Y$42,MATCH(ROW()-3,$AQ$4:$AQ$42,0)))</f>
        <v/>
      </c>
      <c r="AS12">
        <f>AS11+IF(AND(Lists!$AD$12&lt;&gt;"",ISNUMBER(SEARCH($E$4,Lists!$AD$12))),1,0)</f>
        <v/>
      </c>
      <c r="AT12">
        <f>IF(ROW()-3&gt;MAX($AS$4:$AS$42),"",INDEX(Lists!$AD$4:$AD$42,MATCH(ROW()-3,$AS$4:$AS$42,0)))</f>
        <v/>
      </c>
      <c r="AU12">
        <f>AU11+IF(AND(Lists!$AI$12&lt;&gt;"",ISNUMBER(SEARCH($F$4,Lists!$AI$12))),1,0)</f>
        <v/>
      </c>
      <c r="AV12">
        <f>IF(ROW()-3&gt;MAX($AU$4:$AU$42),"",INDEX(Lists!$AI$4:$AI$42,MATCH(ROW()-3,$AU$4:$AU$42,0)))</f>
        <v/>
      </c>
      <c r="AW12">
        <f>AW11+IF(AND(Lists!$AN$12&lt;&gt;"",ISNUMBER(SEARCH($G$4,Lists!$AN$12))),1,0)</f>
        <v/>
      </c>
      <c r="AX12">
        <f>IF(ROW()-3&gt;MAX($AW$4:$AW$42),"",INDEX(Lists!$AN$4:$AN$42,MATCH(ROW()-3,$AW$4:$AW$42,0)))</f>
        <v/>
      </c>
      <c r="AY12">
        <f>AY11+IF(AND(Lists!$AS$12&lt;&gt;"",ISNUMBER(SEARCH($H$4,Lists!$AS$12))),1,0)</f>
        <v/>
      </c>
      <c r="AZ12">
        <f>IF(ROW()-3&gt;MAX($AY$4:$AY$42),"",INDEX(Lists!$AS$4:$AS$42,MATCH(ROW()-3,$AY$4:$AY$42,0)))</f>
        <v/>
      </c>
      <c r="BA12">
        <f>BA11+IF(AND(Lists!$AX$12&lt;&gt;"",ISNUMBER(SEARCH($I$4,Lists!$AX$12))),1,0)</f>
        <v/>
      </c>
      <c r="BB12">
        <f>IF(ROW()-3&gt;MAX($BA$4:$BA$42),"",INDEX(Lists!$AX$4:$AX$42,MATCH(ROW()-3,$BA$4:$BA$42,0)))</f>
        <v/>
      </c>
      <c r="BC12">
        <f>BC11+IF(AND(Lists!$BC$12&lt;&gt;"",ISNUMBER(SEARCH($J$4,Lists!$BC$12))),1,0)</f>
        <v/>
      </c>
      <c r="BD12">
        <f>IF(ROW()-3&gt;MAX($BC$4:$BC$42),"",INDEX(Lists!$BC$4:$BC$42,MATCH(ROW()-3,$BC$4:$BC$42,0)))</f>
        <v/>
      </c>
      <c r="BE12">
        <f>BE11+IF(AND(Lists!$BH$12&lt;&gt;"",ISNUMBER(SEARCH($K$4,Lists!$BH$12))),1,0)</f>
        <v/>
      </c>
      <c r="BF12">
        <f>IF(ROW()-3&gt;MAX($BE$4:$BE$42),"",INDEX(Lists!$BH$4:$BH$42,MATCH(ROW()-3,$BE$4:$BE$42,0)))</f>
        <v/>
      </c>
      <c r="BG12">
        <f>BG11+IF(AND(Lists!$BM$12&lt;&gt;"",ISNUMBER(SEARCH($L$4,Lists!$BM$12))),1,0)</f>
        <v/>
      </c>
      <c r="BH12">
        <f>IF(ROW()-3&gt;MAX($BG$4:$BG$42),"",INDEX(Lists!$BM$4:$BM$42,MATCH(ROW()-3,$BG$4:$BG$42,0)))</f>
        <v/>
      </c>
      <c r="BI12">
        <f>BI11+IF(AND(Lists!$BR$12&lt;&gt;"",ISNUMBER(SEARCH($M$4,Lists!$BR$12))),1,0)</f>
        <v/>
      </c>
      <c r="BJ12">
        <f>IF(ROW()-3&gt;MAX($BI$4:$BI$42),"",INDEX(Lists!$BR$4:$BR$42,MATCH(ROW()-3,$BI$4:$BI$42,0)))</f>
        <v/>
      </c>
      <c r="BK12">
        <f>BK11+IF(AND(Lists!$BW$12&lt;&gt;"",ISNUMBER(SEARCH($N$4,Lists!$BW$12))),1,0)</f>
        <v/>
      </c>
      <c r="BL12">
        <f>IF(ROW()-3&gt;MAX($BK$4:$BK$42),"",INDEX(Lists!$BW$4:$BW$42,MATCH(ROW()-3,$BK$4:$BK$42,0)))</f>
        <v/>
      </c>
      <c r="BM12">
        <f>BM11+IF(AND(Lists!$CB$12&lt;&gt;"",ISNUMBER(SEARCH($O$4,Lists!$CB$12))),1,0)</f>
        <v/>
      </c>
      <c r="BN12">
        <f>IF(ROW()-3&gt;MAX($BM$4:$BM$42),"",INDEX(Lists!$CB$4:$CB$42,MATCH(ROW()-3,$BM$4:$BM$42,0)))</f>
        <v/>
      </c>
      <c r="BO12">
        <f>BO11+IF(AND(Lists!$CG$12&lt;&gt;"",ISNUMBER(SEARCH($P$4,Lists!$CG$12))),1,0)</f>
        <v/>
      </c>
      <c r="BP12">
        <f>IF(ROW()-3&gt;MAX($BO$4:$BO$42),"",INDEX(Lists!$CG$4:$CG$42,MATCH(ROW()-3,$BO$4:$BO$42,0)))</f>
        <v/>
      </c>
      <c r="BQ12">
        <f>BQ11+IF(AND(Lists!$CL$12&lt;&gt;"",ISNUMBER(SEARCH($Q$4,Lists!$CL$12))),1,0)</f>
        <v/>
      </c>
      <c r="BR12">
        <f>IF(ROW()-3&gt;MAX($BQ$4:$BQ$42),"",INDEX(Lists!$CL$4:$CL$42,MATCH(ROW()-3,$BQ$4:$BQ$42,0)))</f>
        <v/>
      </c>
      <c r="BS12">
        <f>BS11+IF(AND(Lists!$CQ$12&lt;&gt;"",ISNUMBER(SEARCH($R$4,Lists!$CQ$12))),1,0)</f>
        <v/>
      </c>
      <c r="BT12">
        <f>IF(ROW()-3&gt;MAX($BS$4:$BS$42),"",INDEX(Lists!$CQ$4:$CQ$42,MATCH(ROW()-3,$BS$4:$BS$42,0)))</f>
        <v/>
      </c>
      <c r="BU12">
        <f>BU11+IF(AND(Lists!$CV$12&lt;&gt;"",ISNUMBER(SEARCH($S$4,Lists!$CV$12))),1,0)</f>
        <v/>
      </c>
      <c r="BV12">
        <f>IF(ROW()-3&gt;MAX($BU$4:$BU$42),"",INDEX(Lists!$CV$4:$CV$42,MATCH(ROW()-3,$BU$4:$BU$42,0)))</f>
        <v/>
      </c>
      <c r="BW12">
        <f>BW11+IF(AND(Lists!$DA$12&lt;&gt;"",ISNUMBER(SEARCH($T$4,Lists!$DA$12))),1,0)</f>
        <v/>
      </c>
      <c r="BX12">
        <f>IF(ROW()-3&gt;MAX($BW$4:$BW$42),"",INDEX(Lists!$DA$4:$DA$42,MATCH(ROW()-3,$BW$4:$BW$42,0)))</f>
        <v/>
      </c>
      <c r="BY12">
        <f>BY11+IF(AND(Lists!$DF$12&lt;&gt;"",ISNUMBER(SEARCH($U$4,Lists!$DF$12))),1,0)</f>
        <v/>
      </c>
      <c r="BZ12">
        <f>IF(ROW()-3&gt;MAX($BY$4:$BY$42),"",INDEX(Lists!$DF$4:$DF$42,MATCH(ROW()-3,$BY$4:$BY$42,0)))</f>
        <v/>
      </c>
      <c r="CA12">
        <f>CA11+IF(AND(Lists!$DK$12&lt;&gt;"",ISNUMBER(SEARCH($V$4,Lists!$DK$12))),1,0)</f>
        <v/>
      </c>
      <c r="CB12">
        <f>IF(ROW()-3&gt;MAX($CA$4:$CA$42),"",INDEX(Lists!$DK$4:$DK$42,MATCH(ROW()-3,$CA$4:$CA$42,0)))</f>
        <v/>
      </c>
      <c r="CC12">
        <f>CC11+IF(AND(Lists!$DP$12&lt;&gt;"",ISNUMBER(SEARCH($W$4,Lists!$DP$12))),1,0)</f>
        <v/>
      </c>
      <c r="CD12">
        <f>IF(ROW()-3&gt;MAX($CC$4:$CC$42),"",INDEX(Lists!$DP$4:$DP$42,MATCH(ROW()-3,$CC$4:$CC$42,0)))</f>
        <v/>
      </c>
      <c r="CE12">
        <f>CE11+IF(AND(Lists!$DU$12&lt;&gt;"",ISNUMBER(SEARCH($X$4,Lists!$DU$12))),1,0)</f>
        <v/>
      </c>
      <c r="CF12">
        <f>IF(ROW()-3&gt;MAX($CE$4:$CE$42),"",INDEX(Lists!$DU$4:$DU$42,MATCH(ROW()-3,$CE$4:$CE$42,0)))</f>
        <v/>
      </c>
      <c r="CG12">
        <f>CG11+IF(AND(Lists!$DZ$12&lt;&gt;"",ISNUMBER(SEARCH($Y$4,Lists!$DZ$12))),1,0)</f>
        <v/>
      </c>
      <c r="CH12">
        <f>IF(ROW()-3&gt;MAX($CG$4:$CG$42),"",INDEX(Lists!$DZ$4:$DZ$42,MATCH(ROW()-3,$CG$4:$CG$42,0)))</f>
        <v/>
      </c>
      <c r="CI12">
        <f>CI11+IF(AND(Lists!$EE$12&lt;&gt;"",ISNUMBER(SEARCH($Z$4,Lists!$EE$12))),1,0)</f>
        <v/>
      </c>
      <c r="CJ12">
        <f>IF(ROW()-3&gt;MAX($CI$4:$CI$42),"",INDEX(Lists!$EE$4:$EE$42,MATCH(ROW()-3,$CI$4:$CI$42,0)))</f>
        <v/>
      </c>
      <c r="CK12">
        <f>CK11+IF(AND(Lists!$EJ$12&lt;&gt;"",ISNUMBER(SEARCH($AA$4,Lists!$EJ$12))),1,0)</f>
        <v/>
      </c>
      <c r="CL12">
        <f>IF(ROW()-3&gt;MAX($CK$4:$CK$42),"",INDEX(Lists!$EJ$4:$EJ$42,MATCH(ROW()-3,$CK$4:$CK$42,0)))</f>
        <v/>
      </c>
      <c r="CM12">
        <f>CM11+IF(AND(Lists!$EO$12&lt;&gt;"",ISNUMBER(SEARCH($AB$4,Lists!$EO$12))),1,0)</f>
        <v/>
      </c>
      <c r="CN12">
        <f>IF(ROW()-3&gt;MAX($CM$4:$CM$42),"",INDEX(Lists!$EO$4:$EO$42,MATCH(ROW()-3,$CM$4:$CM$42,0)))</f>
        <v/>
      </c>
      <c r="CO12">
        <f>CO11+IF(AND(Lists!$ET$12&lt;&gt;"",ISNUMBER(SEARCH($AC$4,Lists!$ET$12))),1,0)</f>
        <v/>
      </c>
      <c r="CP12">
        <f>IF(ROW()-3&gt;MAX($CO$4:$CO$42),"",INDEX(Lists!$ET$4:$ET$42,MATCH(ROW()-3,$CO$4:$CO$42,0)))</f>
        <v/>
      </c>
      <c r="CQ12">
        <f>CQ11+IF(AND(Lists!$EY$12&lt;&gt;"",ISNUMBER(SEARCH($AD$4,Lists!$EY$12))),1,0)</f>
        <v/>
      </c>
      <c r="CR12">
        <f>IF(ROW()-3&gt;MAX($CQ$4:$CQ$42),"",INDEX(Lists!$EY$4:$EY$42,MATCH(ROW()-3,$CQ$4:$CQ$42,0)))</f>
        <v/>
      </c>
      <c r="CS12">
        <f>CS11+IF(AND(Lists!$FD$12&lt;&gt;"",ISNUMBER(SEARCH($AE$4,Lists!$FD$12))),1,0)</f>
        <v/>
      </c>
      <c r="CT12">
        <f>IF(ROW()-3&gt;MAX($CS$4:$CS$42),"",INDEX(Lists!$FD$4:$FD$42,MATCH(ROW()-3,$CS$4:$CS$42,0)))</f>
        <v/>
      </c>
      <c r="CU12">
        <f>CU11+IF(AND(Lists!$FI$12&lt;&gt;"",ISNUMBER(SEARCH($AG$4,Lists!$FI$12))),1,0)</f>
        <v/>
      </c>
      <c r="CV12">
        <f>IF(ROW()-3&gt;MAX($CU$4:$CU$42),"",INDEX(Lists!$FI$4:$FI$42,MATCH(ROW()-3,$CU$4:$CU$42,0)))</f>
        <v/>
      </c>
      <c r="CW12">
        <f>CW11+IF(AND(Lists!$FN$12&lt;&gt;"",ISNUMBER(SEARCH($AH$4,Lists!$FN$12))),1,0)</f>
        <v/>
      </c>
      <c r="CX12">
        <f>IF(ROW()-3&gt;MAX($CW$4:$CW$42),"",INDEX(Lists!$FN$4:$FN$42,MATCH(ROW()-3,$CW$4:$CW$42,0)))</f>
        <v/>
      </c>
      <c r="CY12">
        <f>CY11+IF(AND(Lists!$FS$12&lt;&gt;"",ISNUMBER(SEARCH($AI$4,Lists!$FS$12))),1,0)</f>
        <v/>
      </c>
      <c r="CZ12">
        <f>IF(ROW()-3&gt;MAX($CY$4:$CY$42),"",INDEX(Lists!$FS$4:$FS$42,MATCH(ROW()-3,$CY$4:$CY$42,0)))</f>
        <v/>
      </c>
      <c r="DA12">
        <f>DA11+IF(AND(Lists!$FX$12&lt;&gt;"",ISNUMBER(SEARCH($AF$4,Lists!$FX$12))),1,0)</f>
        <v/>
      </c>
      <c r="DB12">
        <f>IF(ROW()-3&gt;MAX($DA$4:$DA$42),"",INDEX(Lists!$FX$4:$FX$42,MATCH(ROW()-3,$DA$4:$DA$42,0)))</f>
        <v/>
      </c>
    </row>
    <row r="13" outlineLevel="1" ht="15" customHeight="1" s="137">
      <c r="A13" s="67" t="n">
        <v>1</v>
      </c>
      <c r="B13" s="76">
        <f>IF('Final Calculation Sheet'!$F$38="","",'Final Calculation Sheet'!$F$38)</f>
        <v/>
      </c>
      <c r="C13" s="76">
        <f>IF('Final Calculation Sheet'!$G$38="","",'Final Calculation Sheet'!$G$38)</f>
        <v/>
      </c>
      <c r="D13" s="80">
        <f>IF('Final Calculation Sheet'!$B$38="","",'Final Calculation Sheet'!$B$38)</f>
        <v/>
      </c>
      <c r="E13" s="80">
        <f>IF('Final Calculation Sheet'!$D$38="","",'Final Calculation Sheet'!$D$38)</f>
        <v/>
      </c>
      <c r="F13" s="80">
        <f>IF('Final Calculation Sheet'!$A$38="","",'Final Calculation Sheet'!$A$38)</f>
        <v/>
      </c>
      <c r="G13" s="80">
        <f>IF('Final Calculation Sheet'!$E$38="","",'Final Calculation Sheet'!$E$38)</f>
        <v/>
      </c>
      <c r="H13" s="70">
        <f>IF('Final Calculation Sheet'!$C$38="","",'Final Calculation Sheet'!$C$38)</f>
        <v/>
      </c>
      <c r="I13" s="70">
        <f>IF('Final Calculation Sheet'!$H$38="","",'Final Calculation Sheet'!$H$38)</f>
        <v/>
      </c>
      <c r="J13" s="70">
        <f>IF('Final Calculation Sheet'!$I$38="","",'Final Calculation Sheet'!$I$38)</f>
        <v/>
      </c>
      <c r="K13" s="70">
        <f>IF('Final Calculation Sheet'!$J$38="","",'Final Calculation Sheet'!$J$38)</f>
        <v/>
      </c>
      <c r="L13" s="70">
        <f>IF('Final Calculation Sheet'!$K$38="","",'Final Calculation Sheet'!$K$38)</f>
        <v/>
      </c>
      <c r="M13" s="70">
        <f>IF('Final Calculation Sheet'!$L$38="","",'Final Calculation Sheet'!$L$38)</f>
        <v/>
      </c>
      <c r="N13" s="70">
        <f>IF('Final Calculation Sheet'!$M$38="","",'Final Calculation Sheet'!$M$38)</f>
        <v/>
      </c>
      <c r="O13" s="71">
        <f>IF('Final Calculation Sheet'!$N$38="","",'Final Calculation Sheet'!$N$38)</f>
        <v/>
      </c>
      <c r="P13" s="70">
        <f>IF('Final Calculation Sheet'!$O$38="","",'Final Calculation Sheet'!$O$38)</f>
        <v/>
      </c>
      <c r="Q13" s="70">
        <f>IF('Final Calculation Sheet'!$P$38="","",'Final Calculation Sheet'!$P$38)</f>
        <v/>
      </c>
      <c r="R13" s="72">
        <f>IF('Final Calculation Sheet'!$Q$38="","",'Final Calculation Sheet'!$Q$38)</f>
        <v/>
      </c>
      <c r="S13" s="70">
        <f>IF('Final Calculation Sheet'!$R$38="","",'Final Calculation Sheet'!$R$38)</f>
        <v/>
      </c>
      <c r="T13" s="70">
        <f>IF('Final Calculation Sheet'!$S$38="","",'Final Calculation Sheet'!$S$38)</f>
        <v/>
      </c>
      <c r="U13" s="70">
        <f>IF('Final Calculation Sheet'!$T$38="","",'Final Calculation Sheet'!$T$38)</f>
        <v/>
      </c>
      <c r="V13" s="73">
        <f>IF('Final Calculation Sheet'!$U$38="","",'Final Calculation Sheet'!$U$38)</f>
        <v/>
      </c>
      <c r="W13" s="70">
        <f>IF('Final Calculation Sheet'!$V$38="","",'Final Calculation Sheet'!$V$38)</f>
        <v/>
      </c>
      <c r="X13" s="70">
        <f>IF('Final Calculation Sheet'!$W$38="","",'Final Calculation Sheet'!$W$38)</f>
        <v/>
      </c>
      <c r="Y13" s="70">
        <f>IF('Final Calculation Sheet'!$X$38="","",'Final Calculation Sheet'!$X$38)</f>
        <v/>
      </c>
      <c r="Z13" s="70">
        <f>IF('Final Calculation Sheet'!$Y$38="","",'Final Calculation Sheet'!$Y$38)</f>
        <v/>
      </c>
      <c r="AA13" s="70">
        <f>IF('Final Calculation Sheet'!$Z$38="","",'Final Calculation Sheet'!$Z$38)</f>
        <v/>
      </c>
      <c r="AB13" s="70">
        <f>IF('Final Calculation Sheet'!$AA$38="","",'Final Calculation Sheet'!$AA$38)</f>
        <v/>
      </c>
      <c r="AC13" s="70">
        <f>IF('Final Calculation Sheet'!$AB$38="","",'Final Calculation Sheet'!$AB$38)</f>
        <v/>
      </c>
      <c r="AD13" s="70">
        <f>IF('Final Calculation Sheet'!$AC$38="","",'Final Calculation Sheet'!$AC$38)</f>
        <v/>
      </c>
      <c r="AE13" s="70">
        <f>IF('Final Calculation Sheet'!$AD$38="","",'Final Calculation Sheet'!$AD$38)</f>
        <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
      </c>
      <c r="AK13">
        <f>IF(AJ13=1,COUNTIF(AJ$6:AJ13,1),"")</f>
        <v/>
      </c>
      <c r="AM13">
        <f>AM12+IF(AND(Lists!$O$13&lt;&gt;"",ISNUMBER(SEARCH($B$4,Lists!$O$13))),1,0)</f>
        <v/>
      </c>
      <c r="AN13">
        <f>IF(ROW()-3&gt;MAX($AM$4:$AM$42),"",INDEX(Lists!$O$4:$O$42,MATCH(ROW()-3,$AM$4:$AM$42,0)))</f>
        <v/>
      </c>
      <c r="AO13">
        <f>AO12+IF(AND(Lists!$T$13&lt;&gt;"",ISNUMBER(SEARCH($C$4,Lists!$T$13))),1,0)</f>
        <v/>
      </c>
      <c r="AP13">
        <f>IF(ROW()-3&gt;MAX($AO$4:$AO$42),"",INDEX(Lists!$T$4:$T$42,MATCH(ROW()-3,$AO$4:$AO$42,0)))</f>
        <v/>
      </c>
      <c r="AQ13">
        <f>AQ12+IF(AND(Lists!$Y$13&lt;&gt;"",ISNUMBER(SEARCH($D$4,Lists!$Y$13))),1,0)</f>
        <v/>
      </c>
      <c r="AR13">
        <f>IF(ROW()-3&gt;MAX($AQ$4:$AQ$42),"",INDEX(Lists!$Y$4:$Y$42,MATCH(ROW()-3,$AQ$4:$AQ$42,0)))</f>
        <v/>
      </c>
      <c r="AS13">
        <f>AS12+IF(AND(Lists!$AD$13&lt;&gt;"",ISNUMBER(SEARCH($E$4,Lists!$AD$13))),1,0)</f>
        <v/>
      </c>
      <c r="AT13">
        <f>IF(ROW()-3&gt;MAX($AS$4:$AS$42),"",INDEX(Lists!$AD$4:$AD$42,MATCH(ROW()-3,$AS$4:$AS$42,0)))</f>
        <v/>
      </c>
      <c r="AU13">
        <f>AU12+IF(AND(Lists!$AI$13&lt;&gt;"",ISNUMBER(SEARCH($F$4,Lists!$AI$13))),1,0)</f>
        <v/>
      </c>
      <c r="AV13">
        <f>IF(ROW()-3&gt;MAX($AU$4:$AU$42),"",INDEX(Lists!$AI$4:$AI$42,MATCH(ROW()-3,$AU$4:$AU$42,0)))</f>
        <v/>
      </c>
      <c r="AW13">
        <f>AW12+IF(AND(Lists!$AN$13&lt;&gt;"",ISNUMBER(SEARCH($G$4,Lists!$AN$13))),1,0)</f>
        <v/>
      </c>
      <c r="AX13">
        <f>IF(ROW()-3&gt;MAX($AW$4:$AW$42),"",INDEX(Lists!$AN$4:$AN$42,MATCH(ROW()-3,$AW$4:$AW$42,0)))</f>
        <v/>
      </c>
      <c r="AY13">
        <f>AY12+IF(AND(Lists!$AS$13&lt;&gt;"",ISNUMBER(SEARCH($H$4,Lists!$AS$13))),1,0)</f>
        <v/>
      </c>
      <c r="AZ13">
        <f>IF(ROW()-3&gt;MAX($AY$4:$AY$42),"",INDEX(Lists!$AS$4:$AS$42,MATCH(ROW()-3,$AY$4:$AY$42,0)))</f>
        <v/>
      </c>
      <c r="BA13">
        <f>BA12+IF(AND(Lists!$AX$13&lt;&gt;"",ISNUMBER(SEARCH($I$4,Lists!$AX$13))),1,0)</f>
        <v/>
      </c>
      <c r="BB13">
        <f>IF(ROW()-3&gt;MAX($BA$4:$BA$42),"",INDEX(Lists!$AX$4:$AX$42,MATCH(ROW()-3,$BA$4:$BA$42,0)))</f>
        <v/>
      </c>
      <c r="BC13">
        <f>BC12+IF(AND(Lists!$BC$13&lt;&gt;"",ISNUMBER(SEARCH($J$4,Lists!$BC$13))),1,0)</f>
        <v/>
      </c>
      <c r="BD13">
        <f>IF(ROW()-3&gt;MAX($BC$4:$BC$42),"",INDEX(Lists!$BC$4:$BC$42,MATCH(ROW()-3,$BC$4:$BC$42,0)))</f>
        <v/>
      </c>
      <c r="BE13">
        <f>BE12+IF(AND(Lists!$BH$13&lt;&gt;"",ISNUMBER(SEARCH($K$4,Lists!$BH$13))),1,0)</f>
        <v/>
      </c>
      <c r="BF13">
        <f>IF(ROW()-3&gt;MAX($BE$4:$BE$42),"",INDEX(Lists!$BH$4:$BH$42,MATCH(ROW()-3,$BE$4:$BE$42,0)))</f>
        <v/>
      </c>
      <c r="BG13">
        <f>BG12+IF(AND(Lists!$BM$13&lt;&gt;"",ISNUMBER(SEARCH($L$4,Lists!$BM$13))),1,0)</f>
        <v/>
      </c>
      <c r="BH13">
        <f>IF(ROW()-3&gt;MAX($BG$4:$BG$42),"",INDEX(Lists!$BM$4:$BM$42,MATCH(ROW()-3,$BG$4:$BG$42,0)))</f>
        <v/>
      </c>
      <c r="BI13">
        <f>BI12+IF(AND(Lists!$BR$13&lt;&gt;"",ISNUMBER(SEARCH($M$4,Lists!$BR$13))),1,0)</f>
        <v/>
      </c>
      <c r="BJ13">
        <f>IF(ROW()-3&gt;MAX($BI$4:$BI$42),"",INDEX(Lists!$BR$4:$BR$42,MATCH(ROW()-3,$BI$4:$BI$42,0)))</f>
        <v/>
      </c>
      <c r="BK13">
        <f>BK12+IF(AND(Lists!$BW$13&lt;&gt;"",ISNUMBER(SEARCH($N$4,Lists!$BW$13))),1,0)</f>
        <v/>
      </c>
      <c r="BL13">
        <f>IF(ROW()-3&gt;MAX($BK$4:$BK$42),"",INDEX(Lists!$BW$4:$BW$42,MATCH(ROW()-3,$BK$4:$BK$42,0)))</f>
        <v/>
      </c>
      <c r="BM13">
        <f>BM12+IF(AND(Lists!$CB$13&lt;&gt;"",ISNUMBER(SEARCH($O$4,Lists!$CB$13))),1,0)</f>
        <v/>
      </c>
      <c r="BN13">
        <f>IF(ROW()-3&gt;MAX($BM$4:$BM$42),"",INDEX(Lists!$CB$4:$CB$42,MATCH(ROW()-3,$BM$4:$BM$42,0)))</f>
        <v/>
      </c>
      <c r="BO13">
        <f>BO12+IF(AND(Lists!$CG$13&lt;&gt;"",ISNUMBER(SEARCH($P$4,Lists!$CG$13))),1,0)</f>
        <v/>
      </c>
      <c r="BP13">
        <f>IF(ROW()-3&gt;MAX($BO$4:$BO$42),"",INDEX(Lists!$CG$4:$CG$42,MATCH(ROW()-3,$BO$4:$BO$42,0)))</f>
        <v/>
      </c>
      <c r="BQ13">
        <f>BQ12+IF(AND(Lists!$CL$13&lt;&gt;"",ISNUMBER(SEARCH($Q$4,Lists!$CL$13))),1,0)</f>
        <v/>
      </c>
      <c r="BR13">
        <f>IF(ROW()-3&gt;MAX($BQ$4:$BQ$42),"",INDEX(Lists!$CL$4:$CL$42,MATCH(ROW()-3,$BQ$4:$BQ$42,0)))</f>
        <v/>
      </c>
      <c r="BS13">
        <f>BS12+IF(AND(Lists!$CQ$13&lt;&gt;"",ISNUMBER(SEARCH($R$4,Lists!$CQ$13))),1,0)</f>
        <v/>
      </c>
      <c r="BT13">
        <f>IF(ROW()-3&gt;MAX($BS$4:$BS$42),"",INDEX(Lists!$CQ$4:$CQ$42,MATCH(ROW()-3,$BS$4:$BS$42,0)))</f>
        <v/>
      </c>
      <c r="BU13">
        <f>BU12+IF(AND(Lists!$CV$13&lt;&gt;"",ISNUMBER(SEARCH($S$4,Lists!$CV$13))),1,0)</f>
        <v/>
      </c>
      <c r="BV13">
        <f>IF(ROW()-3&gt;MAX($BU$4:$BU$42),"",INDEX(Lists!$CV$4:$CV$42,MATCH(ROW()-3,$BU$4:$BU$42,0)))</f>
        <v/>
      </c>
      <c r="BW13">
        <f>BW12+IF(AND(Lists!$DA$13&lt;&gt;"",ISNUMBER(SEARCH($T$4,Lists!$DA$13))),1,0)</f>
        <v/>
      </c>
      <c r="BX13">
        <f>IF(ROW()-3&gt;MAX($BW$4:$BW$42),"",INDEX(Lists!$DA$4:$DA$42,MATCH(ROW()-3,$BW$4:$BW$42,0)))</f>
        <v/>
      </c>
      <c r="BY13">
        <f>BY12+IF(AND(Lists!$DF$13&lt;&gt;"",ISNUMBER(SEARCH($U$4,Lists!$DF$13))),1,0)</f>
        <v/>
      </c>
      <c r="BZ13">
        <f>IF(ROW()-3&gt;MAX($BY$4:$BY$42),"",INDEX(Lists!$DF$4:$DF$42,MATCH(ROW()-3,$BY$4:$BY$42,0)))</f>
        <v/>
      </c>
      <c r="CA13">
        <f>CA12+IF(AND(Lists!$DK$13&lt;&gt;"",ISNUMBER(SEARCH($V$4,Lists!$DK$13))),1,0)</f>
        <v/>
      </c>
      <c r="CB13">
        <f>IF(ROW()-3&gt;MAX($CA$4:$CA$42),"",INDEX(Lists!$DK$4:$DK$42,MATCH(ROW()-3,$CA$4:$CA$42,0)))</f>
        <v/>
      </c>
      <c r="CC13">
        <f>CC12+IF(AND(Lists!$DP$13&lt;&gt;"",ISNUMBER(SEARCH($W$4,Lists!$DP$13))),1,0)</f>
        <v/>
      </c>
      <c r="CD13">
        <f>IF(ROW()-3&gt;MAX($CC$4:$CC$42),"",INDEX(Lists!$DP$4:$DP$42,MATCH(ROW()-3,$CC$4:$CC$42,0)))</f>
        <v/>
      </c>
      <c r="CE13">
        <f>CE12+IF(AND(Lists!$DU$13&lt;&gt;"",ISNUMBER(SEARCH($X$4,Lists!$DU$13))),1,0)</f>
        <v/>
      </c>
      <c r="CF13">
        <f>IF(ROW()-3&gt;MAX($CE$4:$CE$42),"",INDEX(Lists!$DU$4:$DU$42,MATCH(ROW()-3,$CE$4:$CE$42,0)))</f>
        <v/>
      </c>
      <c r="CG13">
        <f>CG12+IF(AND(Lists!$DZ$13&lt;&gt;"",ISNUMBER(SEARCH($Y$4,Lists!$DZ$13))),1,0)</f>
        <v/>
      </c>
      <c r="CH13">
        <f>IF(ROW()-3&gt;MAX($CG$4:$CG$42),"",INDEX(Lists!$DZ$4:$DZ$42,MATCH(ROW()-3,$CG$4:$CG$42,0)))</f>
        <v/>
      </c>
      <c r="CI13">
        <f>CI12+IF(AND(Lists!$EE$13&lt;&gt;"",ISNUMBER(SEARCH($Z$4,Lists!$EE$13))),1,0)</f>
        <v/>
      </c>
      <c r="CJ13">
        <f>IF(ROW()-3&gt;MAX($CI$4:$CI$42),"",INDEX(Lists!$EE$4:$EE$42,MATCH(ROW()-3,$CI$4:$CI$42,0)))</f>
        <v/>
      </c>
      <c r="CK13">
        <f>CK12+IF(AND(Lists!$EJ$13&lt;&gt;"",ISNUMBER(SEARCH($AA$4,Lists!$EJ$13))),1,0)</f>
        <v/>
      </c>
      <c r="CL13">
        <f>IF(ROW()-3&gt;MAX($CK$4:$CK$42),"",INDEX(Lists!$EJ$4:$EJ$42,MATCH(ROW()-3,$CK$4:$CK$42,0)))</f>
        <v/>
      </c>
      <c r="CM13">
        <f>CM12+IF(AND(Lists!$EO$13&lt;&gt;"",ISNUMBER(SEARCH($AB$4,Lists!$EO$13))),1,0)</f>
        <v/>
      </c>
      <c r="CN13">
        <f>IF(ROW()-3&gt;MAX($CM$4:$CM$42),"",INDEX(Lists!$EO$4:$EO$42,MATCH(ROW()-3,$CM$4:$CM$42,0)))</f>
        <v/>
      </c>
      <c r="CO13">
        <f>CO12+IF(AND(Lists!$ET$13&lt;&gt;"",ISNUMBER(SEARCH($AC$4,Lists!$ET$13))),1,0)</f>
        <v/>
      </c>
      <c r="CP13">
        <f>IF(ROW()-3&gt;MAX($CO$4:$CO$42),"",INDEX(Lists!$ET$4:$ET$42,MATCH(ROW()-3,$CO$4:$CO$42,0)))</f>
        <v/>
      </c>
      <c r="CQ13">
        <f>CQ12+IF(AND(Lists!$EY$13&lt;&gt;"",ISNUMBER(SEARCH($AD$4,Lists!$EY$13))),1,0)</f>
        <v/>
      </c>
      <c r="CR13">
        <f>IF(ROW()-3&gt;MAX($CQ$4:$CQ$42),"",INDEX(Lists!$EY$4:$EY$42,MATCH(ROW()-3,$CQ$4:$CQ$42,0)))</f>
        <v/>
      </c>
      <c r="CS13">
        <f>CS12+IF(AND(Lists!$FD$13&lt;&gt;"",ISNUMBER(SEARCH($AE$4,Lists!$FD$13))),1,0)</f>
        <v/>
      </c>
      <c r="CT13">
        <f>IF(ROW()-3&gt;MAX($CS$4:$CS$42),"",INDEX(Lists!$FD$4:$FD$42,MATCH(ROW()-3,$CS$4:$CS$42,0)))</f>
        <v/>
      </c>
      <c r="CU13">
        <f>CU12+IF(AND(Lists!$FI$13&lt;&gt;"",ISNUMBER(SEARCH($AG$4,Lists!$FI$13))),1,0)</f>
        <v/>
      </c>
      <c r="CV13">
        <f>IF(ROW()-3&gt;MAX($CU$4:$CU$42),"",INDEX(Lists!$FI$4:$FI$42,MATCH(ROW()-3,$CU$4:$CU$42,0)))</f>
        <v/>
      </c>
      <c r="CW13">
        <f>CW12+IF(AND(Lists!$FN$13&lt;&gt;"",ISNUMBER(SEARCH($AH$4,Lists!$FN$13))),1,0)</f>
        <v/>
      </c>
      <c r="CX13">
        <f>IF(ROW()-3&gt;MAX($CW$4:$CW$42),"",INDEX(Lists!$FN$4:$FN$42,MATCH(ROW()-3,$CW$4:$CW$42,0)))</f>
        <v/>
      </c>
      <c r="CY13">
        <f>CY12+IF(AND(Lists!$FS$13&lt;&gt;"",ISNUMBER(SEARCH($AI$4,Lists!$FS$13))),1,0)</f>
        <v/>
      </c>
      <c r="CZ13">
        <f>IF(ROW()-3&gt;MAX($CY$4:$CY$42),"",INDEX(Lists!$FS$4:$FS$42,MATCH(ROW()-3,$CY$4:$CY$42,0)))</f>
        <v/>
      </c>
      <c r="DA13">
        <f>DA12+IF(AND(Lists!$FX$13&lt;&gt;"",ISNUMBER(SEARCH($AF$4,Lists!$FX$13))),1,0)</f>
        <v/>
      </c>
      <c r="DB13">
        <f>IF(ROW()-3&gt;MAX($DA$4:$DA$42),"",INDEX(Lists!$FX$4:$FX$42,MATCH(ROW()-3,$DA$4:$DA$42,0)))</f>
        <v/>
      </c>
    </row>
    <row r="14" ht="15" customHeight="1" s="137">
      <c r="A14" s="81" t="inlineStr">
        <is>
          <t>∑</t>
        </is>
      </c>
      <c r="B14" s="83" t="n"/>
      <c r="C14" s="83">
        <f>ROWS($C$13:$C$13)&amp;" lot(s)"</f>
        <v/>
      </c>
      <c r="D14" s="83" t="inlineStr">
        <is>
          <t>SUBTOTAL — KASHYAP TRADING CO</t>
        </is>
      </c>
      <c r="E14" s="83" t="inlineStr">
        <is>
          <t>–</t>
        </is>
      </c>
      <c r="F14" s="83">
        <f>SUM(F13:F13)</f>
        <v/>
      </c>
      <c r="G14" s="83" t="inlineStr">
        <is>
          <t>–</t>
        </is>
      </c>
      <c r="H14" s="84" t="inlineStr">
        <is>
          <t>–</t>
        </is>
      </c>
      <c r="I14" s="84">
        <f>SUM(I13:I13)</f>
        <v/>
      </c>
      <c r="J14" s="84">
        <f>SUM(J13:J13)</f>
        <v/>
      </c>
      <c r="K14" s="84">
        <f>SUM(K13:K13)</f>
        <v/>
      </c>
      <c r="L14" s="84">
        <f>SUM(L13:L13)</f>
        <v/>
      </c>
      <c r="M14" s="84">
        <f>SUM(M13:M13)</f>
        <v/>
      </c>
      <c r="N14" s="84">
        <f>SUM(N13:N13)</f>
        <v/>
      </c>
      <c r="O14" s="85">
        <f>SUM(O13:O13)</f>
        <v/>
      </c>
      <c r="P14" s="84">
        <f>SUM(P13:P13)</f>
        <v/>
      </c>
      <c r="Q14" s="84">
        <f>SUM(Q13:Q13)</f>
        <v/>
      </c>
      <c r="R14" s="86" t="inlineStr">
        <is>
          <t>–</t>
        </is>
      </c>
      <c r="S14" s="84">
        <f>SUM(S13:S13)</f>
        <v/>
      </c>
      <c r="T14" s="84">
        <f>SUM(T13:T13)</f>
        <v/>
      </c>
      <c r="U14" s="84">
        <f>SUM(U13:U13)</f>
        <v/>
      </c>
      <c r="V14" s="87">
        <f>SUM(V13:V13)</f>
        <v/>
      </c>
      <c r="W14" s="84" t="inlineStr">
        <is>
          <t>–</t>
        </is>
      </c>
      <c r="X14" s="84">
        <f>SUM(X13:X13)</f>
        <v/>
      </c>
      <c r="Y14" s="84">
        <f>SUM(Y13:Y13)</f>
        <v/>
      </c>
      <c r="Z14" s="84" t="inlineStr">
        <is>
          <t>–</t>
        </is>
      </c>
      <c r="AA14" s="84">
        <f>SUM(AA13:AA13)</f>
        <v/>
      </c>
      <c r="AB14" s="84">
        <f>SUM(AB13:AB13)</f>
        <v/>
      </c>
      <c r="AC14" s="84" t="inlineStr">
        <is>
          <t>–</t>
        </is>
      </c>
      <c r="AD14" s="84">
        <f>SUM(AD13:AD13)</f>
        <v/>
      </c>
      <c r="AE14" s="84">
        <f>SUM(AE13:AE13)</f>
        <v/>
      </c>
      <c r="AF14" s="89">
        <f>IF(AE14&lt;=5,"SETTLED","OUTSTANDING")</f>
        <v/>
      </c>
      <c r="AG14" s="84" t="inlineStr">
        <is>
          <t>–</t>
        </is>
      </c>
      <c r="AH14" s="88" t="inlineStr">
        <is>
          <t>–</t>
        </is>
      </c>
      <c r="AI14" s="84" t="inlineStr">
        <is>
          <t>–</t>
        </is>
      </c>
      <c r="AJ14">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
      </c>
      <c r="AK14">
        <f>IF(AJ14=1,COUNTIF(AJ$6:AJ14,1),"")</f>
        <v/>
      </c>
      <c r="AM14">
        <f>AM13+IF(AND(Lists!$O$14&lt;&gt;"",ISNUMBER(SEARCH($B$4,Lists!$O$14))),1,0)</f>
        <v/>
      </c>
      <c r="AN14">
        <f>IF(ROW()-3&gt;MAX($AM$4:$AM$42),"",INDEX(Lists!$O$4:$O$42,MATCH(ROW()-3,$AM$4:$AM$42,0)))</f>
        <v/>
      </c>
      <c r="AO14">
        <f>AO13+IF(AND(Lists!$T$14&lt;&gt;"",ISNUMBER(SEARCH($C$4,Lists!$T$14))),1,0)</f>
        <v/>
      </c>
      <c r="AP14">
        <f>IF(ROW()-3&gt;MAX($AO$4:$AO$42),"",INDEX(Lists!$T$4:$T$42,MATCH(ROW()-3,$AO$4:$AO$42,0)))</f>
        <v/>
      </c>
      <c r="AQ14">
        <f>AQ13+IF(AND(Lists!$Y$14&lt;&gt;"",ISNUMBER(SEARCH($D$4,Lists!$Y$14))),1,0)</f>
        <v/>
      </c>
      <c r="AR14">
        <f>IF(ROW()-3&gt;MAX($AQ$4:$AQ$42),"",INDEX(Lists!$Y$4:$Y$42,MATCH(ROW()-3,$AQ$4:$AQ$42,0)))</f>
        <v/>
      </c>
      <c r="AS14">
        <f>AS13+IF(AND(Lists!$AD$14&lt;&gt;"",ISNUMBER(SEARCH($E$4,Lists!$AD$14))),1,0)</f>
        <v/>
      </c>
      <c r="AT14">
        <f>IF(ROW()-3&gt;MAX($AS$4:$AS$42),"",INDEX(Lists!$AD$4:$AD$42,MATCH(ROW()-3,$AS$4:$AS$42,0)))</f>
        <v/>
      </c>
      <c r="AU14">
        <f>AU13+IF(AND(Lists!$AI$14&lt;&gt;"",ISNUMBER(SEARCH($F$4,Lists!$AI$14))),1,0)</f>
        <v/>
      </c>
      <c r="AV14">
        <f>IF(ROW()-3&gt;MAX($AU$4:$AU$42),"",INDEX(Lists!$AI$4:$AI$42,MATCH(ROW()-3,$AU$4:$AU$42,0)))</f>
        <v/>
      </c>
      <c r="AW14">
        <f>AW13+IF(AND(Lists!$AN$14&lt;&gt;"",ISNUMBER(SEARCH($G$4,Lists!$AN$14))),1,0)</f>
        <v/>
      </c>
      <c r="AX14">
        <f>IF(ROW()-3&gt;MAX($AW$4:$AW$42),"",INDEX(Lists!$AN$4:$AN$42,MATCH(ROW()-3,$AW$4:$AW$42,0)))</f>
        <v/>
      </c>
      <c r="AY14">
        <f>AY13+IF(AND(Lists!$AS$14&lt;&gt;"",ISNUMBER(SEARCH($H$4,Lists!$AS$14))),1,0)</f>
        <v/>
      </c>
      <c r="AZ14">
        <f>IF(ROW()-3&gt;MAX($AY$4:$AY$42),"",INDEX(Lists!$AS$4:$AS$42,MATCH(ROW()-3,$AY$4:$AY$42,0)))</f>
        <v/>
      </c>
      <c r="BA14">
        <f>BA13+IF(AND(Lists!$AX$14&lt;&gt;"",ISNUMBER(SEARCH($I$4,Lists!$AX$14))),1,0)</f>
        <v/>
      </c>
      <c r="BB14">
        <f>IF(ROW()-3&gt;MAX($BA$4:$BA$42),"",INDEX(Lists!$AX$4:$AX$42,MATCH(ROW()-3,$BA$4:$BA$42,0)))</f>
        <v/>
      </c>
      <c r="BC14">
        <f>BC13+IF(AND(Lists!$BC$14&lt;&gt;"",ISNUMBER(SEARCH($J$4,Lists!$BC$14))),1,0)</f>
        <v/>
      </c>
      <c r="BD14">
        <f>IF(ROW()-3&gt;MAX($BC$4:$BC$42),"",INDEX(Lists!$BC$4:$BC$42,MATCH(ROW()-3,$BC$4:$BC$42,0)))</f>
        <v/>
      </c>
      <c r="BE14">
        <f>BE13+IF(AND(Lists!$BH$14&lt;&gt;"",ISNUMBER(SEARCH($K$4,Lists!$BH$14))),1,0)</f>
        <v/>
      </c>
      <c r="BF14">
        <f>IF(ROW()-3&gt;MAX($BE$4:$BE$42),"",INDEX(Lists!$BH$4:$BH$42,MATCH(ROW()-3,$BE$4:$BE$42,0)))</f>
        <v/>
      </c>
      <c r="BG14">
        <f>BG13+IF(AND(Lists!$BM$14&lt;&gt;"",ISNUMBER(SEARCH($L$4,Lists!$BM$14))),1,0)</f>
        <v/>
      </c>
      <c r="BH14">
        <f>IF(ROW()-3&gt;MAX($BG$4:$BG$42),"",INDEX(Lists!$BM$4:$BM$42,MATCH(ROW()-3,$BG$4:$BG$42,0)))</f>
        <v/>
      </c>
      <c r="BI14">
        <f>BI13+IF(AND(Lists!$BR$14&lt;&gt;"",ISNUMBER(SEARCH($M$4,Lists!$BR$14))),1,0)</f>
        <v/>
      </c>
      <c r="BJ14">
        <f>IF(ROW()-3&gt;MAX($BI$4:$BI$42),"",INDEX(Lists!$BR$4:$BR$42,MATCH(ROW()-3,$BI$4:$BI$42,0)))</f>
        <v/>
      </c>
      <c r="BK14">
        <f>BK13+IF(AND(Lists!$BW$14&lt;&gt;"",ISNUMBER(SEARCH($N$4,Lists!$BW$14))),1,0)</f>
        <v/>
      </c>
      <c r="BL14">
        <f>IF(ROW()-3&gt;MAX($BK$4:$BK$42),"",INDEX(Lists!$BW$4:$BW$42,MATCH(ROW()-3,$BK$4:$BK$42,0)))</f>
        <v/>
      </c>
      <c r="BM14">
        <f>BM13+IF(AND(Lists!$CB$14&lt;&gt;"",ISNUMBER(SEARCH($O$4,Lists!$CB$14))),1,0)</f>
        <v/>
      </c>
      <c r="BN14">
        <f>IF(ROW()-3&gt;MAX($BM$4:$BM$42),"",INDEX(Lists!$CB$4:$CB$42,MATCH(ROW()-3,$BM$4:$BM$42,0)))</f>
        <v/>
      </c>
      <c r="BO14">
        <f>BO13+IF(AND(Lists!$CG$14&lt;&gt;"",ISNUMBER(SEARCH($P$4,Lists!$CG$14))),1,0)</f>
        <v/>
      </c>
      <c r="BP14">
        <f>IF(ROW()-3&gt;MAX($BO$4:$BO$42),"",INDEX(Lists!$CG$4:$CG$42,MATCH(ROW()-3,$BO$4:$BO$42,0)))</f>
        <v/>
      </c>
      <c r="BQ14">
        <f>BQ13+IF(AND(Lists!$CL$14&lt;&gt;"",ISNUMBER(SEARCH($Q$4,Lists!$CL$14))),1,0)</f>
        <v/>
      </c>
      <c r="BR14">
        <f>IF(ROW()-3&gt;MAX($BQ$4:$BQ$42),"",INDEX(Lists!$CL$4:$CL$42,MATCH(ROW()-3,$BQ$4:$BQ$42,0)))</f>
        <v/>
      </c>
      <c r="BS14">
        <f>BS13+IF(AND(Lists!$CQ$14&lt;&gt;"",ISNUMBER(SEARCH($R$4,Lists!$CQ$14))),1,0)</f>
        <v/>
      </c>
      <c r="BT14">
        <f>IF(ROW()-3&gt;MAX($BS$4:$BS$42),"",INDEX(Lists!$CQ$4:$CQ$42,MATCH(ROW()-3,$BS$4:$BS$42,0)))</f>
        <v/>
      </c>
      <c r="BU14">
        <f>BU13+IF(AND(Lists!$CV$14&lt;&gt;"",ISNUMBER(SEARCH($S$4,Lists!$CV$14))),1,0)</f>
        <v/>
      </c>
      <c r="BV14">
        <f>IF(ROW()-3&gt;MAX($BU$4:$BU$42),"",INDEX(Lists!$CV$4:$CV$42,MATCH(ROW()-3,$BU$4:$BU$42,0)))</f>
        <v/>
      </c>
      <c r="BW14">
        <f>BW13+IF(AND(Lists!$DA$14&lt;&gt;"",ISNUMBER(SEARCH($T$4,Lists!$DA$14))),1,0)</f>
        <v/>
      </c>
      <c r="BX14">
        <f>IF(ROW()-3&gt;MAX($BW$4:$BW$42),"",INDEX(Lists!$DA$4:$DA$42,MATCH(ROW()-3,$BW$4:$BW$42,0)))</f>
        <v/>
      </c>
      <c r="BY14">
        <f>BY13+IF(AND(Lists!$DF$14&lt;&gt;"",ISNUMBER(SEARCH($U$4,Lists!$DF$14))),1,0)</f>
        <v/>
      </c>
      <c r="BZ14">
        <f>IF(ROW()-3&gt;MAX($BY$4:$BY$42),"",INDEX(Lists!$DF$4:$DF$42,MATCH(ROW()-3,$BY$4:$BY$42,0)))</f>
        <v/>
      </c>
      <c r="CA14">
        <f>CA13+IF(AND(Lists!$DK$14&lt;&gt;"",ISNUMBER(SEARCH($V$4,Lists!$DK$14))),1,0)</f>
        <v/>
      </c>
      <c r="CB14">
        <f>IF(ROW()-3&gt;MAX($CA$4:$CA$42),"",INDEX(Lists!$DK$4:$DK$42,MATCH(ROW()-3,$CA$4:$CA$42,0)))</f>
        <v/>
      </c>
      <c r="CC14">
        <f>CC13+IF(AND(Lists!$DP$14&lt;&gt;"",ISNUMBER(SEARCH($W$4,Lists!$DP$14))),1,0)</f>
        <v/>
      </c>
      <c r="CD14">
        <f>IF(ROW()-3&gt;MAX($CC$4:$CC$42),"",INDEX(Lists!$DP$4:$DP$42,MATCH(ROW()-3,$CC$4:$CC$42,0)))</f>
        <v/>
      </c>
      <c r="CE14">
        <f>CE13+IF(AND(Lists!$DU$14&lt;&gt;"",ISNUMBER(SEARCH($X$4,Lists!$DU$14))),1,0)</f>
        <v/>
      </c>
      <c r="CF14">
        <f>IF(ROW()-3&gt;MAX($CE$4:$CE$42),"",INDEX(Lists!$DU$4:$DU$42,MATCH(ROW()-3,$CE$4:$CE$42,0)))</f>
        <v/>
      </c>
      <c r="CG14">
        <f>CG13+IF(AND(Lists!$DZ$14&lt;&gt;"",ISNUMBER(SEARCH($Y$4,Lists!$DZ$14))),1,0)</f>
        <v/>
      </c>
      <c r="CH14">
        <f>IF(ROW()-3&gt;MAX($CG$4:$CG$42),"",INDEX(Lists!$DZ$4:$DZ$42,MATCH(ROW()-3,$CG$4:$CG$42,0)))</f>
        <v/>
      </c>
      <c r="CI14">
        <f>CI13+IF(AND(Lists!$EE$14&lt;&gt;"",ISNUMBER(SEARCH($Z$4,Lists!$EE$14))),1,0)</f>
        <v/>
      </c>
      <c r="CJ14">
        <f>IF(ROW()-3&gt;MAX($CI$4:$CI$42),"",INDEX(Lists!$EE$4:$EE$42,MATCH(ROW()-3,$CI$4:$CI$42,0)))</f>
        <v/>
      </c>
      <c r="CK14">
        <f>CK13+IF(AND(Lists!$EJ$14&lt;&gt;"",ISNUMBER(SEARCH($AA$4,Lists!$EJ$14))),1,0)</f>
        <v/>
      </c>
      <c r="CL14">
        <f>IF(ROW()-3&gt;MAX($CK$4:$CK$42),"",INDEX(Lists!$EJ$4:$EJ$42,MATCH(ROW()-3,$CK$4:$CK$42,0)))</f>
        <v/>
      </c>
      <c r="CM14">
        <f>CM13+IF(AND(Lists!$EO$14&lt;&gt;"",ISNUMBER(SEARCH($AB$4,Lists!$EO$14))),1,0)</f>
        <v/>
      </c>
      <c r="CN14">
        <f>IF(ROW()-3&gt;MAX($CM$4:$CM$42),"",INDEX(Lists!$EO$4:$EO$42,MATCH(ROW()-3,$CM$4:$CM$42,0)))</f>
        <v/>
      </c>
      <c r="CO14">
        <f>CO13+IF(AND(Lists!$ET$14&lt;&gt;"",ISNUMBER(SEARCH($AC$4,Lists!$ET$14))),1,0)</f>
        <v/>
      </c>
      <c r="CP14">
        <f>IF(ROW()-3&gt;MAX($CO$4:$CO$42),"",INDEX(Lists!$ET$4:$ET$42,MATCH(ROW()-3,$CO$4:$CO$42,0)))</f>
        <v/>
      </c>
      <c r="CQ14">
        <f>CQ13+IF(AND(Lists!$EY$14&lt;&gt;"",ISNUMBER(SEARCH($AD$4,Lists!$EY$14))),1,0)</f>
        <v/>
      </c>
      <c r="CR14">
        <f>IF(ROW()-3&gt;MAX($CQ$4:$CQ$42),"",INDEX(Lists!$EY$4:$EY$42,MATCH(ROW()-3,$CQ$4:$CQ$42,0)))</f>
        <v/>
      </c>
      <c r="CS14">
        <f>CS13+IF(AND(Lists!$FD$14&lt;&gt;"",ISNUMBER(SEARCH($AE$4,Lists!$FD$14))),1,0)</f>
        <v/>
      </c>
      <c r="CT14">
        <f>IF(ROW()-3&gt;MAX($CS$4:$CS$42),"",INDEX(Lists!$FD$4:$FD$42,MATCH(ROW()-3,$CS$4:$CS$42,0)))</f>
        <v/>
      </c>
      <c r="CU14">
        <f>CU13+IF(AND(Lists!$FI$14&lt;&gt;"",ISNUMBER(SEARCH($AG$4,Lists!$FI$14))),1,0)</f>
        <v/>
      </c>
      <c r="CV14">
        <f>IF(ROW()-3&gt;MAX($CU$4:$CU$42),"",INDEX(Lists!$FI$4:$FI$42,MATCH(ROW()-3,$CU$4:$CU$42,0)))</f>
        <v/>
      </c>
      <c r="CW14">
        <f>CW13+IF(AND(Lists!$FN$14&lt;&gt;"",ISNUMBER(SEARCH($AH$4,Lists!$FN$14))),1,0)</f>
        <v/>
      </c>
      <c r="CX14">
        <f>IF(ROW()-3&gt;MAX($CW$4:$CW$42),"",INDEX(Lists!$FN$4:$FN$42,MATCH(ROW()-3,$CW$4:$CW$42,0)))</f>
        <v/>
      </c>
      <c r="CY14">
        <f>CY13+IF(AND(Lists!$FS$14&lt;&gt;"",ISNUMBER(SEARCH($AI$4,Lists!$FS$14))),1,0)</f>
        <v/>
      </c>
      <c r="CZ14">
        <f>IF(ROW()-3&gt;MAX($CY$4:$CY$42),"",INDEX(Lists!$FS$4:$FS$42,MATCH(ROW()-3,$CY$4:$CY$42,0)))</f>
        <v/>
      </c>
      <c r="DA14">
        <f>DA13+IF(AND(Lists!$FX$14&lt;&gt;"",ISNUMBER(SEARCH($AF$4,Lists!$FX$14))),1,0)</f>
        <v/>
      </c>
      <c r="DB14">
        <f>IF(ROW()-3&gt;MAX($DA$4:$DA$42),"",INDEX(Lists!$FX$4:$FX$42,MATCH(ROW()-3,$DA$4:$DA$42,0)))</f>
        <v/>
      </c>
    </row>
    <row r="15" outlineLevel="1" ht="15" customHeight="1" s="137">
      <c r="A15" s="67" t="n">
        <v>1</v>
      </c>
      <c r="B15" s="76">
        <f>IF('Final Calculation Sheet'!$F$27="","",'Final Calculation Sheet'!$F$27)</f>
        <v/>
      </c>
      <c r="C15" s="76">
        <f>IF('Final Calculation Sheet'!$G$27="","",'Final Calculation Sheet'!$G$27)</f>
        <v/>
      </c>
      <c r="D15" s="80">
        <f>IF('Final Calculation Sheet'!$B$27="","",'Final Calculation Sheet'!$B$27)</f>
        <v/>
      </c>
      <c r="E15" s="80">
        <f>IF('Final Calculation Sheet'!$D$27="","",'Final Calculation Sheet'!$D$27)</f>
        <v/>
      </c>
      <c r="F15" s="80">
        <f>IF('Final Calculation Sheet'!$A$27="","",'Final Calculation Sheet'!$A$27)</f>
        <v/>
      </c>
      <c r="G15" s="80">
        <f>IF('Final Calculation Sheet'!$E$27="","",'Final Calculation Sheet'!$E$27)</f>
        <v/>
      </c>
      <c r="H15" s="70">
        <f>IF('Final Calculation Sheet'!$C$27="","",'Final Calculation Sheet'!$C$27)</f>
        <v/>
      </c>
      <c r="I15" s="70">
        <f>IF('Final Calculation Sheet'!$H$27="","",'Final Calculation Sheet'!$H$27)</f>
        <v/>
      </c>
      <c r="J15" s="70">
        <f>IF('Final Calculation Sheet'!$I$27="","",'Final Calculation Sheet'!$I$27)</f>
        <v/>
      </c>
      <c r="K15" s="70">
        <f>IF('Final Calculation Sheet'!$J$27="","",'Final Calculation Sheet'!$J$27)</f>
        <v/>
      </c>
      <c r="L15" s="70">
        <f>IF('Final Calculation Sheet'!$K$27="","",'Final Calculation Sheet'!$K$27)</f>
        <v/>
      </c>
      <c r="M15" s="70">
        <f>IF('Final Calculation Sheet'!$L$27="","",'Final Calculation Sheet'!$L$27)</f>
        <v/>
      </c>
      <c r="N15" s="70">
        <f>IF('Final Calculation Sheet'!$M$27="","",'Final Calculation Sheet'!$M$27)</f>
        <v/>
      </c>
      <c r="O15" s="71">
        <f>IF('Final Calculation Sheet'!$N$27="","",'Final Calculation Sheet'!$N$27)</f>
        <v/>
      </c>
      <c r="P15" s="70">
        <f>IF('Final Calculation Sheet'!$O$27="","",'Final Calculation Sheet'!$O$27)</f>
        <v/>
      </c>
      <c r="Q15" s="70">
        <f>IF('Final Calculation Sheet'!$P$27="","",'Final Calculation Sheet'!$P$27)</f>
        <v/>
      </c>
      <c r="R15" s="72">
        <f>IF('Final Calculation Sheet'!$Q$27="","",'Final Calculation Sheet'!$Q$27)</f>
        <v/>
      </c>
      <c r="S15" s="70">
        <f>IF('Final Calculation Sheet'!$R$27="","",'Final Calculation Sheet'!$R$27)</f>
        <v/>
      </c>
      <c r="T15" s="70">
        <f>IF('Final Calculation Sheet'!$S$27="","",'Final Calculation Sheet'!$S$27)</f>
        <v/>
      </c>
      <c r="U15" s="70">
        <f>IF('Final Calculation Sheet'!$T$27="","",'Final Calculation Sheet'!$T$27)</f>
        <v/>
      </c>
      <c r="V15" s="73">
        <f>IF('Final Calculation Sheet'!$U$27="","",'Final Calculation Sheet'!$U$27)</f>
        <v/>
      </c>
      <c r="W15" s="70">
        <f>IF('Final Calculation Sheet'!$V$27="","",'Final Calculation Sheet'!$V$27)</f>
        <v/>
      </c>
      <c r="X15" s="70">
        <f>IF('Final Calculation Sheet'!$W$27="","",'Final Calculation Sheet'!$W$27)</f>
        <v/>
      </c>
      <c r="Y15" s="70">
        <f>IF('Final Calculation Sheet'!$X$27="","",'Final Calculation Sheet'!$X$27)</f>
        <v/>
      </c>
      <c r="Z15" s="70">
        <f>IF('Final Calculation Sheet'!$Y$27="","",'Final Calculation Sheet'!$Y$27)</f>
        <v/>
      </c>
      <c r="AA15" s="70">
        <f>IF('Final Calculation Sheet'!$Z$27="","",'Final Calculation Sheet'!$Z$27)</f>
        <v/>
      </c>
      <c r="AB15" s="70">
        <f>IF('Final Calculation Sheet'!$AA$27="","",'Final Calculation Sheet'!$AA$27)</f>
        <v/>
      </c>
      <c r="AC15" s="70">
        <f>IF('Final Calculation Sheet'!$AB$27="","",'Final Calculation Sheet'!$AB$27)</f>
        <v/>
      </c>
      <c r="AD15" s="70">
        <f>IF('Final Calculation Sheet'!$AC$27="","",'Final Calculation Sheet'!$AC$27)</f>
        <v/>
      </c>
      <c r="AE15" s="70">
        <f>IF('Final Calculation Sheet'!$AD$27="","",'Final Calculation Sheet'!$AD$27)</f>
        <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
      </c>
      <c r="AK15">
        <f>IF(AJ15=1,COUNTIF(AJ$6:AJ15,1),"")</f>
        <v/>
      </c>
      <c r="AM15">
        <f>AM14+IF(AND(Lists!$O$15&lt;&gt;"",ISNUMBER(SEARCH($B$4,Lists!$O$15))),1,0)</f>
        <v/>
      </c>
      <c r="AN15">
        <f>IF(ROW()-3&gt;MAX($AM$4:$AM$42),"",INDEX(Lists!$O$4:$O$42,MATCH(ROW()-3,$AM$4:$AM$42,0)))</f>
        <v/>
      </c>
      <c r="AO15">
        <f>AO14+IF(AND(Lists!$T$15&lt;&gt;"",ISNUMBER(SEARCH($C$4,Lists!$T$15))),1,0)</f>
        <v/>
      </c>
      <c r="AP15">
        <f>IF(ROW()-3&gt;MAX($AO$4:$AO$42),"",INDEX(Lists!$T$4:$T$42,MATCH(ROW()-3,$AO$4:$AO$42,0)))</f>
        <v/>
      </c>
      <c r="AQ15">
        <f>AQ14+IF(AND(Lists!$Y$15&lt;&gt;"",ISNUMBER(SEARCH($D$4,Lists!$Y$15))),1,0)</f>
        <v/>
      </c>
      <c r="AR15">
        <f>IF(ROW()-3&gt;MAX($AQ$4:$AQ$42),"",INDEX(Lists!$Y$4:$Y$42,MATCH(ROW()-3,$AQ$4:$AQ$42,0)))</f>
        <v/>
      </c>
      <c r="AS15">
        <f>AS14+IF(AND(Lists!$AD$15&lt;&gt;"",ISNUMBER(SEARCH($E$4,Lists!$AD$15))),1,0)</f>
        <v/>
      </c>
      <c r="AT15">
        <f>IF(ROW()-3&gt;MAX($AS$4:$AS$42),"",INDEX(Lists!$AD$4:$AD$42,MATCH(ROW()-3,$AS$4:$AS$42,0)))</f>
        <v/>
      </c>
      <c r="AU15">
        <f>AU14+IF(AND(Lists!$AI$15&lt;&gt;"",ISNUMBER(SEARCH($F$4,Lists!$AI$15))),1,0)</f>
        <v/>
      </c>
      <c r="AV15">
        <f>IF(ROW()-3&gt;MAX($AU$4:$AU$42),"",INDEX(Lists!$AI$4:$AI$42,MATCH(ROW()-3,$AU$4:$AU$42,0)))</f>
        <v/>
      </c>
      <c r="AW15">
        <f>AW14+IF(AND(Lists!$AN$15&lt;&gt;"",ISNUMBER(SEARCH($G$4,Lists!$AN$15))),1,0)</f>
        <v/>
      </c>
      <c r="AX15">
        <f>IF(ROW()-3&gt;MAX($AW$4:$AW$42),"",INDEX(Lists!$AN$4:$AN$42,MATCH(ROW()-3,$AW$4:$AW$42,0)))</f>
        <v/>
      </c>
      <c r="AY15">
        <f>AY14+IF(AND(Lists!$AS$15&lt;&gt;"",ISNUMBER(SEARCH($H$4,Lists!$AS$15))),1,0)</f>
        <v/>
      </c>
      <c r="AZ15">
        <f>IF(ROW()-3&gt;MAX($AY$4:$AY$42),"",INDEX(Lists!$AS$4:$AS$42,MATCH(ROW()-3,$AY$4:$AY$42,0)))</f>
        <v/>
      </c>
      <c r="BA15">
        <f>BA14+IF(AND(Lists!$AX$15&lt;&gt;"",ISNUMBER(SEARCH($I$4,Lists!$AX$15))),1,0)</f>
        <v/>
      </c>
      <c r="BB15">
        <f>IF(ROW()-3&gt;MAX($BA$4:$BA$42),"",INDEX(Lists!$AX$4:$AX$42,MATCH(ROW()-3,$BA$4:$BA$42,0)))</f>
        <v/>
      </c>
      <c r="BC15">
        <f>BC14+IF(AND(Lists!$BC$15&lt;&gt;"",ISNUMBER(SEARCH($J$4,Lists!$BC$15))),1,0)</f>
        <v/>
      </c>
      <c r="BD15">
        <f>IF(ROW()-3&gt;MAX($BC$4:$BC$42),"",INDEX(Lists!$BC$4:$BC$42,MATCH(ROW()-3,$BC$4:$BC$42,0)))</f>
        <v/>
      </c>
      <c r="BE15">
        <f>BE14+IF(AND(Lists!$BH$15&lt;&gt;"",ISNUMBER(SEARCH($K$4,Lists!$BH$15))),1,0)</f>
        <v/>
      </c>
      <c r="BF15">
        <f>IF(ROW()-3&gt;MAX($BE$4:$BE$42),"",INDEX(Lists!$BH$4:$BH$42,MATCH(ROW()-3,$BE$4:$BE$42,0)))</f>
        <v/>
      </c>
      <c r="BG15">
        <f>BG14+IF(AND(Lists!$BM$15&lt;&gt;"",ISNUMBER(SEARCH($L$4,Lists!$BM$15))),1,0)</f>
        <v/>
      </c>
      <c r="BH15">
        <f>IF(ROW()-3&gt;MAX($BG$4:$BG$42),"",INDEX(Lists!$BM$4:$BM$42,MATCH(ROW()-3,$BG$4:$BG$42,0)))</f>
        <v/>
      </c>
      <c r="BI15">
        <f>BI14+IF(AND(Lists!$BR$15&lt;&gt;"",ISNUMBER(SEARCH($M$4,Lists!$BR$15))),1,0)</f>
        <v/>
      </c>
      <c r="BJ15">
        <f>IF(ROW()-3&gt;MAX($BI$4:$BI$42),"",INDEX(Lists!$BR$4:$BR$42,MATCH(ROW()-3,$BI$4:$BI$42,0)))</f>
        <v/>
      </c>
      <c r="BK15">
        <f>BK14+IF(AND(Lists!$BW$15&lt;&gt;"",ISNUMBER(SEARCH($N$4,Lists!$BW$15))),1,0)</f>
        <v/>
      </c>
      <c r="BL15">
        <f>IF(ROW()-3&gt;MAX($BK$4:$BK$42),"",INDEX(Lists!$BW$4:$BW$42,MATCH(ROW()-3,$BK$4:$BK$42,0)))</f>
        <v/>
      </c>
      <c r="BM15">
        <f>BM14+IF(AND(Lists!$CB$15&lt;&gt;"",ISNUMBER(SEARCH($O$4,Lists!$CB$15))),1,0)</f>
        <v/>
      </c>
      <c r="BN15">
        <f>IF(ROW()-3&gt;MAX($BM$4:$BM$42),"",INDEX(Lists!$CB$4:$CB$42,MATCH(ROW()-3,$BM$4:$BM$42,0)))</f>
        <v/>
      </c>
      <c r="BO15">
        <f>BO14+IF(AND(Lists!$CG$15&lt;&gt;"",ISNUMBER(SEARCH($P$4,Lists!$CG$15))),1,0)</f>
        <v/>
      </c>
      <c r="BP15">
        <f>IF(ROW()-3&gt;MAX($BO$4:$BO$42),"",INDEX(Lists!$CG$4:$CG$42,MATCH(ROW()-3,$BO$4:$BO$42,0)))</f>
        <v/>
      </c>
      <c r="BQ15">
        <f>BQ14+IF(AND(Lists!$CL$15&lt;&gt;"",ISNUMBER(SEARCH($Q$4,Lists!$CL$15))),1,0)</f>
        <v/>
      </c>
      <c r="BR15">
        <f>IF(ROW()-3&gt;MAX($BQ$4:$BQ$42),"",INDEX(Lists!$CL$4:$CL$42,MATCH(ROW()-3,$BQ$4:$BQ$42,0)))</f>
        <v/>
      </c>
      <c r="BS15">
        <f>BS14+IF(AND(Lists!$CQ$15&lt;&gt;"",ISNUMBER(SEARCH($R$4,Lists!$CQ$15))),1,0)</f>
        <v/>
      </c>
      <c r="BT15">
        <f>IF(ROW()-3&gt;MAX($BS$4:$BS$42),"",INDEX(Lists!$CQ$4:$CQ$42,MATCH(ROW()-3,$BS$4:$BS$42,0)))</f>
        <v/>
      </c>
      <c r="BU15">
        <f>BU14+IF(AND(Lists!$CV$15&lt;&gt;"",ISNUMBER(SEARCH($S$4,Lists!$CV$15))),1,0)</f>
        <v/>
      </c>
      <c r="BV15">
        <f>IF(ROW()-3&gt;MAX($BU$4:$BU$42),"",INDEX(Lists!$CV$4:$CV$42,MATCH(ROW()-3,$BU$4:$BU$42,0)))</f>
        <v/>
      </c>
      <c r="BW15">
        <f>BW14+IF(AND(Lists!$DA$15&lt;&gt;"",ISNUMBER(SEARCH($T$4,Lists!$DA$15))),1,0)</f>
        <v/>
      </c>
      <c r="BX15">
        <f>IF(ROW()-3&gt;MAX($BW$4:$BW$42),"",INDEX(Lists!$DA$4:$DA$42,MATCH(ROW()-3,$BW$4:$BW$42,0)))</f>
        <v/>
      </c>
      <c r="BY15">
        <f>BY14+IF(AND(Lists!$DF$15&lt;&gt;"",ISNUMBER(SEARCH($U$4,Lists!$DF$15))),1,0)</f>
        <v/>
      </c>
      <c r="BZ15">
        <f>IF(ROW()-3&gt;MAX($BY$4:$BY$42),"",INDEX(Lists!$DF$4:$DF$42,MATCH(ROW()-3,$BY$4:$BY$42,0)))</f>
        <v/>
      </c>
      <c r="CA15">
        <f>CA14+IF(AND(Lists!$DK$15&lt;&gt;"",ISNUMBER(SEARCH($V$4,Lists!$DK$15))),1,0)</f>
        <v/>
      </c>
      <c r="CB15">
        <f>IF(ROW()-3&gt;MAX($CA$4:$CA$42),"",INDEX(Lists!$DK$4:$DK$42,MATCH(ROW()-3,$CA$4:$CA$42,0)))</f>
        <v/>
      </c>
      <c r="CC15">
        <f>CC14+IF(AND(Lists!$DP$15&lt;&gt;"",ISNUMBER(SEARCH($W$4,Lists!$DP$15))),1,0)</f>
        <v/>
      </c>
      <c r="CD15">
        <f>IF(ROW()-3&gt;MAX($CC$4:$CC$42),"",INDEX(Lists!$DP$4:$DP$42,MATCH(ROW()-3,$CC$4:$CC$42,0)))</f>
        <v/>
      </c>
      <c r="CE15">
        <f>CE14+IF(AND(Lists!$DU$15&lt;&gt;"",ISNUMBER(SEARCH($X$4,Lists!$DU$15))),1,0)</f>
        <v/>
      </c>
      <c r="CF15">
        <f>IF(ROW()-3&gt;MAX($CE$4:$CE$42),"",INDEX(Lists!$DU$4:$DU$42,MATCH(ROW()-3,$CE$4:$CE$42,0)))</f>
        <v/>
      </c>
      <c r="CG15">
        <f>CG14+IF(AND(Lists!$DZ$15&lt;&gt;"",ISNUMBER(SEARCH($Y$4,Lists!$DZ$15))),1,0)</f>
        <v/>
      </c>
      <c r="CH15">
        <f>IF(ROW()-3&gt;MAX($CG$4:$CG$42),"",INDEX(Lists!$DZ$4:$DZ$42,MATCH(ROW()-3,$CG$4:$CG$42,0)))</f>
        <v/>
      </c>
      <c r="CI15">
        <f>CI14+IF(AND(Lists!$EE$15&lt;&gt;"",ISNUMBER(SEARCH($Z$4,Lists!$EE$15))),1,0)</f>
        <v/>
      </c>
      <c r="CJ15">
        <f>IF(ROW()-3&gt;MAX($CI$4:$CI$42),"",INDEX(Lists!$EE$4:$EE$42,MATCH(ROW()-3,$CI$4:$CI$42,0)))</f>
        <v/>
      </c>
      <c r="CK15">
        <f>CK14+IF(AND(Lists!$EJ$15&lt;&gt;"",ISNUMBER(SEARCH($AA$4,Lists!$EJ$15))),1,0)</f>
        <v/>
      </c>
      <c r="CL15">
        <f>IF(ROW()-3&gt;MAX($CK$4:$CK$42),"",INDEX(Lists!$EJ$4:$EJ$42,MATCH(ROW()-3,$CK$4:$CK$42,0)))</f>
        <v/>
      </c>
      <c r="CM15">
        <f>CM14+IF(AND(Lists!$EO$15&lt;&gt;"",ISNUMBER(SEARCH($AB$4,Lists!$EO$15))),1,0)</f>
        <v/>
      </c>
      <c r="CN15">
        <f>IF(ROW()-3&gt;MAX($CM$4:$CM$42),"",INDEX(Lists!$EO$4:$EO$42,MATCH(ROW()-3,$CM$4:$CM$42,0)))</f>
        <v/>
      </c>
      <c r="CO15">
        <f>CO14+IF(AND(Lists!$ET$15&lt;&gt;"",ISNUMBER(SEARCH($AC$4,Lists!$ET$15))),1,0)</f>
        <v/>
      </c>
      <c r="CP15">
        <f>IF(ROW()-3&gt;MAX($CO$4:$CO$42),"",INDEX(Lists!$ET$4:$ET$42,MATCH(ROW()-3,$CO$4:$CO$42,0)))</f>
        <v/>
      </c>
      <c r="CQ15">
        <f>CQ14+IF(AND(Lists!$EY$15&lt;&gt;"",ISNUMBER(SEARCH($AD$4,Lists!$EY$15))),1,0)</f>
        <v/>
      </c>
      <c r="CR15">
        <f>IF(ROW()-3&gt;MAX($CQ$4:$CQ$42),"",INDEX(Lists!$EY$4:$EY$42,MATCH(ROW()-3,$CQ$4:$CQ$42,0)))</f>
        <v/>
      </c>
      <c r="CS15">
        <f>CS14+IF(AND(Lists!$FD$15&lt;&gt;"",ISNUMBER(SEARCH($AE$4,Lists!$FD$15))),1,0)</f>
        <v/>
      </c>
      <c r="CT15">
        <f>IF(ROW()-3&gt;MAX($CS$4:$CS$42),"",INDEX(Lists!$FD$4:$FD$42,MATCH(ROW()-3,$CS$4:$CS$42,0)))</f>
        <v/>
      </c>
      <c r="CU15">
        <f>CU14+IF(AND(Lists!$FI$15&lt;&gt;"",ISNUMBER(SEARCH($AG$4,Lists!$FI$15))),1,0)</f>
        <v/>
      </c>
      <c r="CV15">
        <f>IF(ROW()-3&gt;MAX($CU$4:$CU$42),"",INDEX(Lists!$FI$4:$FI$42,MATCH(ROW()-3,$CU$4:$CU$42,0)))</f>
        <v/>
      </c>
      <c r="CW15">
        <f>CW14+IF(AND(Lists!$FN$15&lt;&gt;"",ISNUMBER(SEARCH($AH$4,Lists!$FN$15))),1,0)</f>
        <v/>
      </c>
      <c r="CX15">
        <f>IF(ROW()-3&gt;MAX($CW$4:$CW$42),"",INDEX(Lists!$FN$4:$FN$42,MATCH(ROW()-3,$CW$4:$CW$42,0)))</f>
        <v/>
      </c>
      <c r="CY15">
        <f>CY14+IF(AND(Lists!$FS$15&lt;&gt;"",ISNUMBER(SEARCH($AI$4,Lists!$FS$15))),1,0)</f>
        <v/>
      </c>
      <c r="CZ15">
        <f>IF(ROW()-3&gt;MAX($CY$4:$CY$42),"",INDEX(Lists!$FS$4:$FS$42,MATCH(ROW()-3,$CY$4:$CY$42,0)))</f>
        <v/>
      </c>
      <c r="DA15">
        <f>DA14+IF(AND(Lists!$FX$15&lt;&gt;"",ISNUMBER(SEARCH($AF$4,Lists!$FX$15))),1,0)</f>
        <v/>
      </c>
      <c r="DB15">
        <f>IF(ROW()-3&gt;MAX($DA$4:$DA$42),"",INDEX(Lists!$FX$4:$FX$42,MATCH(ROW()-3,$DA$4:$DA$42,0)))</f>
        <v/>
      </c>
    </row>
    <row r="16" ht="15" customHeight="1" s="137">
      <c r="A16" s="81" t="inlineStr">
        <is>
          <t>∑</t>
        </is>
      </c>
      <c r="B16" s="83" t="n"/>
      <c r="C16" s="83">
        <f>ROWS($C$15:$C$15)&amp;" lot(s)"</f>
        <v/>
      </c>
      <c r="D16" s="83" t="inlineStr">
        <is>
          <t>SUBTOTAL — M I SCRAP TRADERS</t>
        </is>
      </c>
      <c r="E16" s="83" t="inlineStr">
        <is>
          <t>–</t>
        </is>
      </c>
      <c r="F16" s="83">
        <f>SUM(F15:F15)</f>
        <v/>
      </c>
      <c r="G16" s="83" t="inlineStr">
        <is>
          <t>–</t>
        </is>
      </c>
      <c r="H16" s="84" t="inlineStr">
        <is>
          <t>–</t>
        </is>
      </c>
      <c r="I16" s="84">
        <f>SUM(I15:I15)</f>
        <v/>
      </c>
      <c r="J16" s="84">
        <f>SUM(J15:J15)</f>
        <v/>
      </c>
      <c r="K16" s="84">
        <f>SUM(K15:K15)</f>
        <v/>
      </c>
      <c r="L16" s="84">
        <f>SUM(L15:L15)</f>
        <v/>
      </c>
      <c r="M16" s="84">
        <f>SUM(M15:M15)</f>
        <v/>
      </c>
      <c r="N16" s="84">
        <f>SUM(N15:N15)</f>
        <v/>
      </c>
      <c r="O16" s="85">
        <f>SUM(O15:O15)</f>
        <v/>
      </c>
      <c r="P16" s="84">
        <f>SUM(P15:P15)</f>
        <v/>
      </c>
      <c r="Q16" s="84">
        <f>SUM(Q15:Q15)</f>
        <v/>
      </c>
      <c r="R16" s="86" t="inlineStr">
        <is>
          <t>–</t>
        </is>
      </c>
      <c r="S16" s="84">
        <f>SUM(S15:S15)</f>
        <v/>
      </c>
      <c r="T16" s="84">
        <f>SUM(T15:T15)</f>
        <v/>
      </c>
      <c r="U16" s="84">
        <f>SUM(U15:U15)</f>
        <v/>
      </c>
      <c r="V16" s="87">
        <f>SUM(V15:V15)</f>
        <v/>
      </c>
      <c r="W16" s="84" t="inlineStr">
        <is>
          <t>–</t>
        </is>
      </c>
      <c r="X16" s="84">
        <f>SUM(X15:X15)</f>
        <v/>
      </c>
      <c r="Y16" s="84">
        <f>SUM(Y15:Y15)</f>
        <v/>
      </c>
      <c r="Z16" s="84" t="inlineStr">
        <is>
          <t>–</t>
        </is>
      </c>
      <c r="AA16" s="84">
        <f>SUM(AA15:AA15)</f>
        <v/>
      </c>
      <c r="AB16" s="84">
        <f>SUM(AB15:AB15)</f>
        <v/>
      </c>
      <c r="AC16" s="84" t="inlineStr">
        <is>
          <t>–</t>
        </is>
      </c>
      <c r="AD16" s="84">
        <f>SUM(AD15:AD15)</f>
        <v/>
      </c>
      <c r="AE16" s="84">
        <f>SUM(AE15:AE15)</f>
        <v/>
      </c>
      <c r="AF16" s="89">
        <f>IF(AE16&lt;=5,"SETTLED","OUTSTANDING")</f>
        <v/>
      </c>
      <c r="AG16" s="84" t="inlineStr">
        <is>
          <t>–</t>
        </is>
      </c>
      <c r="AH16" s="88" t="inlineStr">
        <is>
          <t>–</t>
        </is>
      </c>
      <c r="AI16" s="84" t="inlineStr">
        <is>
          <t>–</t>
        </is>
      </c>
      <c r="AJ16">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
      </c>
      <c r="AK16">
        <f>IF(AJ16=1,COUNTIF(AJ$6:AJ16,1),"")</f>
        <v/>
      </c>
      <c r="AM16">
        <f>AM15+IF(AND(Lists!$O$16&lt;&gt;"",ISNUMBER(SEARCH($B$4,Lists!$O$16))),1,0)</f>
        <v/>
      </c>
      <c r="AN16">
        <f>IF(ROW()-3&gt;MAX($AM$4:$AM$42),"",INDEX(Lists!$O$4:$O$42,MATCH(ROW()-3,$AM$4:$AM$42,0)))</f>
        <v/>
      </c>
      <c r="AO16">
        <f>AO15+IF(AND(Lists!$T$16&lt;&gt;"",ISNUMBER(SEARCH($C$4,Lists!$T$16))),1,0)</f>
        <v/>
      </c>
      <c r="AP16">
        <f>IF(ROW()-3&gt;MAX($AO$4:$AO$42),"",INDEX(Lists!$T$4:$T$42,MATCH(ROW()-3,$AO$4:$AO$42,0)))</f>
        <v/>
      </c>
      <c r="AQ16">
        <f>AQ15+IF(AND(Lists!$Y$16&lt;&gt;"",ISNUMBER(SEARCH($D$4,Lists!$Y$16))),1,0)</f>
        <v/>
      </c>
      <c r="AR16">
        <f>IF(ROW()-3&gt;MAX($AQ$4:$AQ$42),"",INDEX(Lists!$Y$4:$Y$42,MATCH(ROW()-3,$AQ$4:$AQ$42,0)))</f>
        <v/>
      </c>
      <c r="AS16">
        <f>AS15+IF(AND(Lists!$AD$16&lt;&gt;"",ISNUMBER(SEARCH($E$4,Lists!$AD$16))),1,0)</f>
        <v/>
      </c>
      <c r="AT16">
        <f>IF(ROW()-3&gt;MAX($AS$4:$AS$42),"",INDEX(Lists!$AD$4:$AD$42,MATCH(ROW()-3,$AS$4:$AS$42,0)))</f>
        <v/>
      </c>
      <c r="AU16">
        <f>AU15+IF(AND(Lists!$AI$16&lt;&gt;"",ISNUMBER(SEARCH($F$4,Lists!$AI$16))),1,0)</f>
        <v/>
      </c>
      <c r="AV16">
        <f>IF(ROW()-3&gt;MAX($AU$4:$AU$42),"",INDEX(Lists!$AI$4:$AI$42,MATCH(ROW()-3,$AU$4:$AU$42,0)))</f>
        <v/>
      </c>
      <c r="AW16">
        <f>AW15+IF(AND(Lists!$AN$16&lt;&gt;"",ISNUMBER(SEARCH($G$4,Lists!$AN$16))),1,0)</f>
        <v/>
      </c>
      <c r="AX16">
        <f>IF(ROW()-3&gt;MAX($AW$4:$AW$42),"",INDEX(Lists!$AN$4:$AN$42,MATCH(ROW()-3,$AW$4:$AW$42,0)))</f>
        <v/>
      </c>
      <c r="AY16">
        <f>AY15+IF(AND(Lists!$AS$16&lt;&gt;"",ISNUMBER(SEARCH($H$4,Lists!$AS$16))),1,0)</f>
        <v/>
      </c>
      <c r="AZ16">
        <f>IF(ROW()-3&gt;MAX($AY$4:$AY$42),"",INDEX(Lists!$AS$4:$AS$42,MATCH(ROW()-3,$AY$4:$AY$42,0)))</f>
        <v/>
      </c>
      <c r="BA16">
        <f>BA15+IF(AND(Lists!$AX$16&lt;&gt;"",ISNUMBER(SEARCH($I$4,Lists!$AX$16))),1,0)</f>
        <v/>
      </c>
      <c r="BB16">
        <f>IF(ROW()-3&gt;MAX($BA$4:$BA$42),"",INDEX(Lists!$AX$4:$AX$42,MATCH(ROW()-3,$BA$4:$BA$42,0)))</f>
        <v/>
      </c>
      <c r="BC16">
        <f>BC15+IF(AND(Lists!$BC$16&lt;&gt;"",ISNUMBER(SEARCH($J$4,Lists!$BC$16))),1,0)</f>
        <v/>
      </c>
      <c r="BD16">
        <f>IF(ROW()-3&gt;MAX($BC$4:$BC$42),"",INDEX(Lists!$BC$4:$BC$42,MATCH(ROW()-3,$BC$4:$BC$42,0)))</f>
        <v/>
      </c>
      <c r="BE16">
        <f>BE15+IF(AND(Lists!$BH$16&lt;&gt;"",ISNUMBER(SEARCH($K$4,Lists!$BH$16))),1,0)</f>
        <v/>
      </c>
      <c r="BF16">
        <f>IF(ROW()-3&gt;MAX($BE$4:$BE$42),"",INDEX(Lists!$BH$4:$BH$42,MATCH(ROW()-3,$BE$4:$BE$42,0)))</f>
        <v/>
      </c>
      <c r="BG16">
        <f>BG15+IF(AND(Lists!$BM$16&lt;&gt;"",ISNUMBER(SEARCH($L$4,Lists!$BM$16))),1,0)</f>
        <v/>
      </c>
      <c r="BH16">
        <f>IF(ROW()-3&gt;MAX($BG$4:$BG$42),"",INDEX(Lists!$BM$4:$BM$42,MATCH(ROW()-3,$BG$4:$BG$42,0)))</f>
        <v/>
      </c>
      <c r="BI16">
        <f>BI15+IF(AND(Lists!$BR$16&lt;&gt;"",ISNUMBER(SEARCH($M$4,Lists!$BR$16))),1,0)</f>
        <v/>
      </c>
      <c r="BJ16">
        <f>IF(ROW()-3&gt;MAX($BI$4:$BI$42),"",INDEX(Lists!$BR$4:$BR$42,MATCH(ROW()-3,$BI$4:$BI$42,0)))</f>
        <v/>
      </c>
      <c r="BK16">
        <f>BK15+IF(AND(Lists!$BW$16&lt;&gt;"",ISNUMBER(SEARCH($N$4,Lists!$BW$16))),1,0)</f>
        <v/>
      </c>
      <c r="BL16">
        <f>IF(ROW()-3&gt;MAX($BK$4:$BK$42),"",INDEX(Lists!$BW$4:$BW$42,MATCH(ROW()-3,$BK$4:$BK$42,0)))</f>
        <v/>
      </c>
      <c r="BM16">
        <f>BM15+IF(AND(Lists!$CB$16&lt;&gt;"",ISNUMBER(SEARCH($O$4,Lists!$CB$16))),1,0)</f>
        <v/>
      </c>
      <c r="BN16">
        <f>IF(ROW()-3&gt;MAX($BM$4:$BM$42),"",INDEX(Lists!$CB$4:$CB$42,MATCH(ROW()-3,$BM$4:$BM$42,0)))</f>
        <v/>
      </c>
      <c r="BO16">
        <f>BO15+IF(AND(Lists!$CG$16&lt;&gt;"",ISNUMBER(SEARCH($P$4,Lists!$CG$16))),1,0)</f>
        <v/>
      </c>
      <c r="BP16">
        <f>IF(ROW()-3&gt;MAX($BO$4:$BO$42),"",INDEX(Lists!$CG$4:$CG$42,MATCH(ROW()-3,$BO$4:$BO$42,0)))</f>
        <v/>
      </c>
      <c r="BQ16">
        <f>BQ15+IF(AND(Lists!$CL$16&lt;&gt;"",ISNUMBER(SEARCH($Q$4,Lists!$CL$16))),1,0)</f>
        <v/>
      </c>
      <c r="BR16">
        <f>IF(ROW()-3&gt;MAX($BQ$4:$BQ$42),"",INDEX(Lists!$CL$4:$CL$42,MATCH(ROW()-3,$BQ$4:$BQ$42,0)))</f>
        <v/>
      </c>
      <c r="BS16">
        <f>BS15+IF(AND(Lists!$CQ$16&lt;&gt;"",ISNUMBER(SEARCH($R$4,Lists!$CQ$16))),1,0)</f>
        <v/>
      </c>
      <c r="BT16">
        <f>IF(ROW()-3&gt;MAX($BS$4:$BS$42),"",INDEX(Lists!$CQ$4:$CQ$42,MATCH(ROW()-3,$BS$4:$BS$42,0)))</f>
        <v/>
      </c>
      <c r="BU16">
        <f>BU15+IF(AND(Lists!$CV$16&lt;&gt;"",ISNUMBER(SEARCH($S$4,Lists!$CV$16))),1,0)</f>
        <v/>
      </c>
      <c r="BV16">
        <f>IF(ROW()-3&gt;MAX($BU$4:$BU$42),"",INDEX(Lists!$CV$4:$CV$42,MATCH(ROW()-3,$BU$4:$BU$42,0)))</f>
        <v/>
      </c>
      <c r="BW16">
        <f>BW15+IF(AND(Lists!$DA$16&lt;&gt;"",ISNUMBER(SEARCH($T$4,Lists!$DA$16))),1,0)</f>
        <v/>
      </c>
      <c r="BX16">
        <f>IF(ROW()-3&gt;MAX($BW$4:$BW$42),"",INDEX(Lists!$DA$4:$DA$42,MATCH(ROW()-3,$BW$4:$BW$42,0)))</f>
        <v/>
      </c>
      <c r="BY16">
        <f>BY15+IF(AND(Lists!$DF$16&lt;&gt;"",ISNUMBER(SEARCH($U$4,Lists!$DF$16))),1,0)</f>
        <v/>
      </c>
      <c r="BZ16">
        <f>IF(ROW()-3&gt;MAX($BY$4:$BY$42),"",INDEX(Lists!$DF$4:$DF$42,MATCH(ROW()-3,$BY$4:$BY$42,0)))</f>
        <v/>
      </c>
      <c r="CA16">
        <f>CA15+IF(AND(Lists!$DK$16&lt;&gt;"",ISNUMBER(SEARCH($V$4,Lists!$DK$16))),1,0)</f>
        <v/>
      </c>
      <c r="CB16">
        <f>IF(ROW()-3&gt;MAX($CA$4:$CA$42),"",INDEX(Lists!$DK$4:$DK$42,MATCH(ROW()-3,$CA$4:$CA$42,0)))</f>
        <v/>
      </c>
      <c r="CC16">
        <f>CC15+IF(AND(Lists!$DP$16&lt;&gt;"",ISNUMBER(SEARCH($W$4,Lists!$DP$16))),1,0)</f>
        <v/>
      </c>
      <c r="CD16">
        <f>IF(ROW()-3&gt;MAX($CC$4:$CC$42),"",INDEX(Lists!$DP$4:$DP$42,MATCH(ROW()-3,$CC$4:$CC$42,0)))</f>
        <v/>
      </c>
      <c r="CE16">
        <f>CE15+IF(AND(Lists!$DU$16&lt;&gt;"",ISNUMBER(SEARCH($X$4,Lists!$DU$16))),1,0)</f>
        <v/>
      </c>
      <c r="CF16">
        <f>IF(ROW()-3&gt;MAX($CE$4:$CE$42),"",INDEX(Lists!$DU$4:$DU$42,MATCH(ROW()-3,$CE$4:$CE$42,0)))</f>
        <v/>
      </c>
      <c r="CG16">
        <f>CG15+IF(AND(Lists!$DZ$16&lt;&gt;"",ISNUMBER(SEARCH($Y$4,Lists!$DZ$16))),1,0)</f>
        <v/>
      </c>
      <c r="CH16">
        <f>IF(ROW()-3&gt;MAX($CG$4:$CG$42),"",INDEX(Lists!$DZ$4:$DZ$42,MATCH(ROW()-3,$CG$4:$CG$42,0)))</f>
        <v/>
      </c>
      <c r="CI16">
        <f>CI15+IF(AND(Lists!$EE$16&lt;&gt;"",ISNUMBER(SEARCH($Z$4,Lists!$EE$16))),1,0)</f>
        <v/>
      </c>
      <c r="CJ16">
        <f>IF(ROW()-3&gt;MAX($CI$4:$CI$42),"",INDEX(Lists!$EE$4:$EE$42,MATCH(ROW()-3,$CI$4:$CI$42,0)))</f>
        <v/>
      </c>
      <c r="CK16">
        <f>CK15+IF(AND(Lists!$EJ$16&lt;&gt;"",ISNUMBER(SEARCH($AA$4,Lists!$EJ$16))),1,0)</f>
        <v/>
      </c>
      <c r="CL16">
        <f>IF(ROW()-3&gt;MAX($CK$4:$CK$42),"",INDEX(Lists!$EJ$4:$EJ$42,MATCH(ROW()-3,$CK$4:$CK$42,0)))</f>
        <v/>
      </c>
      <c r="CM16">
        <f>CM15+IF(AND(Lists!$EO$16&lt;&gt;"",ISNUMBER(SEARCH($AB$4,Lists!$EO$16))),1,0)</f>
        <v/>
      </c>
      <c r="CN16">
        <f>IF(ROW()-3&gt;MAX($CM$4:$CM$42),"",INDEX(Lists!$EO$4:$EO$42,MATCH(ROW()-3,$CM$4:$CM$42,0)))</f>
        <v/>
      </c>
      <c r="CO16">
        <f>CO15+IF(AND(Lists!$ET$16&lt;&gt;"",ISNUMBER(SEARCH($AC$4,Lists!$ET$16))),1,0)</f>
        <v/>
      </c>
      <c r="CP16">
        <f>IF(ROW()-3&gt;MAX($CO$4:$CO$42),"",INDEX(Lists!$ET$4:$ET$42,MATCH(ROW()-3,$CO$4:$CO$42,0)))</f>
        <v/>
      </c>
      <c r="CQ16">
        <f>CQ15+IF(AND(Lists!$EY$16&lt;&gt;"",ISNUMBER(SEARCH($AD$4,Lists!$EY$16))),1,0)</f>
        <v/>
      </c>
      <c r="CR16">
        <f>IF(ROW()-3&gt;MAX($CQ$4:$CQ$42),"",INDEX(Lists!$EY$4:$EY$42,MATCH(ROW()-3,$CQ$4:$CQ$42,0)))</f>
        <v/>
      </c>
      <c r="CS16">
        <f>CS15+IF(AND(Lists!$FD$16&lt;&gt;"",ISNUMBER(SEARCH($AE$4,Lists!$FD$16))),1,0)</f>
        <v/>
      </c>
      <c r="CT16">
        <f>IF(ROW()-3&gt;MAX($CS$4:$CS$42),"",INDEX(Lists!$FD$4:$FD$42,MATCH(ROW()-3,$CS$4:$CS$42,0)))</f>
        <v/>
      </c>
      <c r="CU16">
        <f>CU15+IF(AND(Lists!$FI$16&lt;&gt;"",ISNUMBER(SEARCH($AG$4,Lists!$FI$16))),1,0)</f>
        <v/>
      </c>
      <c r="CV16">
        <f>IF(ROW()-3&gt;MAX($CU$4:$CU$42),"",INDEX(Lists!$FI$4:$FI$42,MATCH(ROW()-3,$CU$4:$CU$42,0)))</f>
        <v/>
      </c>
      <c r="CW16">
        <f>CW15+IF(AND(Lists!$FN$16&lt;&gt;"",ISNUMBER(SEARCH($AH$4,Lists!$FN$16))),1,0)</f>
        <v/>
      </c>
      <c r="CX16">
        <f>IF(ROW()-3&gt;MAX($CW$4:$CW$42),"",INDEX(Lists!$FN$4:$FN$42,MATCH(ROW()-3,$CW$4:$CW$42,0)))</f>
        <v/>
      </c>
      <c r="CY16">
        <f>CY15+IF(AND(Lists!$FS$16&lt;&gt;"",ISNUMBER(SEARCH($AI$4,Lists!$FS$16))),1,0)</f>
        <v/>
      </c>
      <c r="CZ16">
        <f>IF(ROW()-3&gt;MAX($CY$4:$CY$42),"",INDEX(Lists!$FS$4:$FS$42,MATCH(ROW()-3,$CY$4:$CY$42,0)))</f>
        <v/>
      </c>
      <c r="DA16">
        <f>DA15+IF(AND(Lists!$FX$16&lt;&gt;"",ISNUMBER(SEARCH($AF$4,Lists!$FX$16))),1,0)</f>
        <v/>
      </c>
      <c r="DB16">
        <f>IF(ROW()-3&gt;MAX($DA$4:$DA$42),"",INDEX(Lists!$FX$4:$FX$42,MATCH(ROW()-3,$DA$4:$DA$42,0)))</f>
        <v/>
      </c>
    </row>
    <row r="17" outlineLevel="1" ht="15" customHeight="1" s="137">
      <c r="A17" s="67" t="n">
        <v>1</v>
      </c>
      <c r="B17" s="76">
        <f>IF('Final Calculation Sheet'!$F$5="","",'Final Calculation Sheet'!$F$5)</f>
        <v/>
      </c>
      <c r="C17" s="76">
        <f>IF('Final Calculation Sheet'!$G$5="","",'Final Calculation Sheet'!$G$5)</f>
        <v/>
      </c>
      <c r="D17" s="80">
        <f>IF('Final Calculation Sheet'!$B$5="","",'Final Calculation Sheet'!$B$5)</f>
        <v/>
      </c>
      <c r="E17" s="80">
        <f>IF('Final Calculation Sheet'!$D$5="","",'Final Calculation Sheet'!$D$5)</f>
        <v/>
      </c>
      <c r="F17" s="80">
        <f>IF('Final Calculation Sheet'!$A$5="","",'Final Calculation Sheet'!$A$5)</f>
        <v/>
      </c>
      <c r="G17" s="80">
        <f>IF('Final Calculation Sheet'!$E$5="","",'Final Calculation Sheet'!$E$5)</f>
        <v/>
      </c>
      <c r="H17" s="70">
        <f>IF('Final Calculation Sheet'!$C$5="","",'Final Calculation Sheet'!$C$5)</f>
        <v/>
      </c>
      <c r="I17" s="70">
        <f>IF('Final Calculation Sheet'!$H$5="","",'Final Calculation Sheet'!$H$5)</f>
        <v/>
      </c>
      <c r="J17" s="70">
        <f>IF('Final Calculation Sheet'!$I$5="","",'Final Calculation Sheet'!$I$5)</f>
        <v/>
      </c>
      <c r="K17" s="70">
        <f>IF('Final Calculation Sheet'!$J$5="","",'Final Calculation Sheet'!$J$5)</f>
        <v/>
      </c>
      <c r="L17" s="70">
        <f>IF('Final Calculation Sheet'!$K$5="","",'Final Calculation Sheet'!$K$5)</f>
        <v/>
      </c>
      <c r="M17" s="70">
        <f>IF('Final Calculation Sheet'!$L$5="","",'Final Calculation Sheet'!$L$5)</f>
        <v/>
      </c>
      <c r="N17" s="70">
        <f>IF('Final Calculation Sheet'!$M$5="","",'Final Calculation Sheet'!$M$5)</f>
        <v/>
      </c>
      <c r="O17" s="71">
        <f>IF('Final Calculation Sheet'!$N$5="","",'Final Calculation Sheet'!$N$5)</f>
        <v/>
      </c>
      <c r="P17" s="70">
        <f>IF('Final Calculation Sheet'!$O$5="","",'Final Calculation Sheet'!$O$5)</f>
        <v/>
      </c>
      <c r="Q17" s="70">
        <f>IF('Final Calculation Sheet'!$P$5="","",'Final Calculation Sheet'!$P$5)</f>
        <v/>
      </c>
      <c r="R17" s="72">
        <f>IF('Final Calculation Sheet'!$Q$5="","",'Final Calculation Sheet'!$Q$5)</f>
        <v/>
      </c>
      <c r="S17" s="70">
        <f>IF('Final Calculation Sheet'!$R$5="","",'Final Calculation Sheet'!$R$5)</f>
        <v/>
      </c>
      <c r="T17" s="70">
        <f>IF('Final Calculation Sheet'!$S$5="","",'Final Calculation Sheet'!$S$5)</f>
        <v/>
      </c>
      <c r="U17" s="70">
        <f>IF('Final Calculation Sheet'!$T$5="","",'Final Calculation Sheet'!$T$5)</f>
        <v/>
      </c>
      <c r="V17" s="73">
        <f>IF('Final Calculation Sheet'!$U$5="","",'Final Calculation Sheet'!$U$5)</f>
        <v/>
      </c>
      <c r="W17" s="70">
        <f>IF('Final Calculation Sheet'!$V$5="","",'Final Calculation Sheet'!$V$5)</f>
        <v/>
      </c>
      <c r="X17" s="70">
        <f>IF('Final Calculation Sheet'!$W$5="","",'Final Calculation Sheet'!$W$5)</f>
        <v/>
      </c>
      <c r="Y17" s="70">
        <f>IF('Final Calculation Sheet'!$X$5="","",'Final Calculation Sheet'!$X$5)</f>
        <v/>
      </c>
      <c r="Z17" s="70">
        <f>IF('Final Calculation Sheet'!$Y$5="","",'Final Calculation Sheet'!$Y$5)</f>
        <v/>
      </c>
      <c r="AA17" s="70">
        <f>IF('Final Calculation Sheet'!$Z$5="","",'Final Calculation Sheet'!$Z$5)</f>
        <v/>
      </c>
      <c r="AB17" s="70">
        <f>IF('Final Calculation Sheet'!$AA$5="","",'Final Calculation Sheet'!$AA$5)</f>
        <v/>
      </c>
      <c r="AC17" s="70">
        <f>IF('Final Calculation Sheet'!$AB$5="","",'Final Calculation Sheet'!$AB$5)</f>
        <v/>
      </c>
      <c r="AD17" s="70">
        <f>IF('Final Calculation Sheet'!$AC$5="","",'Final Calculation Sheet'!$AC$5)</f>
        <v/>
      </c>
      <c r="AE17" s="70">
        <f>IF('Final Calculation Sheet'!$AD$5="","",'Final Calculation Sheet'!$AD$5)</f>
        <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
      </c>
      <c r="AK17">
        <f>IF(AJ17=1,COUNTIF(AJ$6:AJ17,1),"")</f>
        <v/>
      </c>
      <c r="AM17">
        <f>AM16+IF(AND(Lists!$O$17&lt;&gt;"",ISNUMBER(SEARCH($B$4,Lists!$O$17))),1,0)</f>
        <v/>
      </c>
      <c r="AN17">
        <f>IF(ROW()-3&gt;MAX($AM$4:$AM$42),"",INDEX(Lists!$O$4:$O$42,MATCH(ROW()-3,$AM$4:$AM$42,0)))</f>
        <v/>
      </c>
      <c r="AO17">
        <f>AO16+IF(AND(Lists!$T$17&lt;&gt;"",ISNUMBER(SEARCH($C$4,Lists!$T$17))),1,0)</f>
        <v/>
      </c>
      <c r="AP17">
        <f>IF(ROW()-3&gt;MAX($AO$4:$AO$42),"",INDEX(Lists!$T$4:$T$42,MATCH(ROW()-3,$AO$4:$AO$42,0)))</f>
        <v/>
      </c>
      <c r="AQ17">
        <f>AQ16+IF(AND(Lists!$Y$17&lt;&gt;"",ISNUMBER(SEARCH($D$4,Lists!$Y$17))),1,0)</f>
        <v/>
      </c>
      <c r="AR17">
        <f>IF(ROW()-3&gt;MAX($AQ$4:$AQ$42),"",INDEX(Lists!$Y$4:$Y$42,MATCH(ROW()-3,$AQ$4:$AQ$42,0)))</f>
        <v/>
      </c>
      <c r="AS17">
        <f>AS16+IF(AND(Lists!$AD$17&lt;&gt;"",ISNUMBER(SEARCH($E$4,Lists!$AD$17))),1,0)</f>
        <v/>
      </c>
      <c r="AT17">
        <f>IF(ROW()-3&gt;MAX($AS$4:$AS$42),"",INDEX(Lists!$AD$4:$AD$42,MATCH(ROW()-3,$AS$4:$AS$42,0)))</f>
        <v/>
      </c>
      <c r="AU17">
        <f>AU16+IF(AND(Lists!$AI$17&lt;&gt;"",ISNUMBER(SEARCH($F$4,Lists!$AI$17))),1,0)</f>
        <v/>
      </c>
      <c r="AV17">
        <f>IF(ROW()-3&gt;MAX($AU$4:$AU$42),"",INDEX(Lists!$AI$4:$AI$42,MATCH(ROW()-3,$AU$4:$AU$42,0)))</f>
        <v/>
      </c>
      <c r="AW17">
        <f>AW16+IF(AND(Lists!$AN$17&lt;&gt;"",ISNUMBER(SEARCH($G$4,Lists!$AN$17))),1,0)</f>
        <v/>
      </c>
      <c r="AX17">
        <f>IF(ROW()-3&gt;MAX($AW$4:$AW$42),"",INDEX(Lists!$AN$4:$AN$42,MATCH(ROW()-3,$AW$4:$AW$42,0)))</f>
        <v/>
      </c>
      <c r="AY17">
        <f>AY16+IF(AND(Lists!$AS$17&lt;&gt;"",ISNUMBER(SEARCH($H$4,Lists!$AS$17))),1,0)</f>
        <v/>
      </c>
      <c r="AZ17">
        <f>IF(ROW()-3&gt;MAX($AY$4:$AY$42),"",INDEX(Lists!$AS$4:$AS$42,MATCH(ROW()-3,$AY$4:$AY$42,0)))</f>
        <v/>
      </c>
      <c r="BA17">
        <f>BA16+IF(AND(Lists!$AX$17&lt;&gt;"",ISNUMBER(SEARCH($I$4,Lists!$AX$17))),1,0)</f>
        <v/>
      </c>
      <c r="BB17">
        <f>IF(ROW()-3&gt;MAX($BA$4:$BA$42),"",INDEX(Lists!$AX$4:$AX$42,MATCH(ROW()-3,$BA$4:$BA$42,0)))</f>
        <v/>
      </c>
      <c r="BC17">
        <f>BC16+IF(AND(Lists!$BC$17&lt;&gt;"",ISNUMBER(SEARCH($J$4,Lists!$BC$17))),1,0)</f>
        <v/>
      </c>
      <c r="BD17">
        <f>IF(ROW()-3&gt;MAX($BC$4:$BC$42),"",INDEX(Lists!$BC$4:$BC$42,MATCH(ROW()-3,$BC$4:$BC$42,0)))</f>
        <v/>
      </c>
      <c r="BE17">
        <f>BE16+IF(AND(Lists!$BH$17&lt;&gt;"",ISNUMBER(SEARCH($K$4,Lists!$BH$17))),1,0)</f>
        <v/>
      </c>
      <c r="BF17">
        <f>IF(ROW()-3&gt;MAX($BE$4:$BE$42),"",INDEX(Lists!$BH$4:$BH$42,MATCH(ROW()-3,$BE$4:$BE$42,0)))</f>
        <v/>
      </c>
      <c r="BG17">
        <f>BG16+IF(AND(Lists!$BM$17&lt;&gt;"",ISNUMBER(SEARCH($L$4,Lists!$BM$17))),1,0)</f>
        <v/>
      </c>
      <c r="BH17">
        <f>IF(ROW()-3&gt;MAX($BG$4:$BG$42),"",INDEX(Lists!$BM$4:$BM$42,MATCH(ROW()-3,$BG$4:$BG$42,0)))</f>
        <v/>
      </c>
      <c r="BI17">
        <f>BI16+IF(AND(Lists!$BR$17&lt;&gt;"",ISNUMBER(SEARCH($M$4,Lists!$BR$17))),1,0)</f>
        <v/>
      </c>
      <c r="BJ17">
        <f>IF(ROW()-3&gt;MAX($BI$4:$BI$42),"",INDEX(Lists!$BR$4:$BR$42,MATCH(ROW()-3,$BI$4:$BI$42,0)))</f>
        <v/>
      </c>
      <c r="BK17">
        <f>BK16+IF(AND(Lists!$BW$17&lt;&gt;"",ISNUMBER(SEARCH($N$4,Lists!$BW$17))),1,0)</f>
        <v/>
      </c>
      <c r="BL17">
        <f>IF(ROW()-3&gt;MAX($BK$4:$BK$42),"",INDEX(Lists!$BW$4:$BW$42,MATCH(ROW()-3,$BK$4:$BK$42,0)))</f>
        <v/>
      </c>
      <c r="BM17">
        <f>BM16+IF(AND(Lists!$CB$17&lt;&gt;"",ISNUMBER(SEARCH($O$4,Lists!$CB$17))),1,0)</f>
        <v/>
      </c>
      <c r="BN17">
        <f>IF(ROW()-3&gt;MAX($BM$4:$BM$42),"",INDEX(Lists!$CB$4:$CB$42,MATCH(ROW()-3,$BM$4:$BM$42,0)))</f>
        <v/>
      </c>
      <c r="BO17">
        <f>BO16+IF(AND(Lists!$CG$17&lt;&gt;"",ISNUMBER(SEARCH($P$4,Lists!$CG$17))),1,0)</f>
        <v/>
      </c>
      <c r="BP17">
        <f>IF(ROW()-3&gt;MAX($BO$4:$BO$42),"",INDEX(Lists!$CG$4:$CG$42,MATCH(ROW()-3,$BO$4:$BO$42,0)))</f>
        <v/>
      </c>
      <c r="BQ17">
        <f>BQ16+IF(AND(Lists!$CL$17&lt;&gt;"",ISNUMBER(SEARCH($Q$4,Lists!$CL$17))),1,0)</f>
        <v/>
      </c>
      <c r="BR17">
        <f>IF(ROW()-3&gt;MAX($BQ$4:$BQ$42),"",INDEX(Lists!$CL$4:$CL$42,MATCH(ROW()-3,$BQ$4:$BQ$42,0)))</f>
        <v/>
      </c>
      <c r="BS17">
        <f>BS16+IF(AND(Lists!$CQ$17&lt;&gt;"",ISNUMBER(SEARCH($R$4,Lists!$CQ$17))),1,0)</f>
        <v/>
      </c>
      <c r="BT17">
        <f>IF(ROW()-3&gt;MAX($BS$4:$BS$42),"",INDEX(Lists!$CQ$4:$CQ$42,MATCH(ROW()-3,$BS$4:$BS$42,0)))</f>
        <v/>
      </c>
      <c r="BU17">
        <f>BU16+IF(AND(Lists!$CV$17&lt;&gt;"",ISNUMBER(SEARCH($S$4,Lists!$CV$17))),1,0)</f>
        <v/>
      </c>
      <c r="BV17">
        <f>IF(ROW()-3&gt;MAX($BU$4:$BU$42),"",INDEX(Lists!$CV$4:$CV$42,MATCH(ROW()-3,$BU$4:$BU$42,0)))</f>
        <v/>
      </c>
      <c r="BW17">
        <f>BW16+IF(AND(Lists!$DA$17&lt;&gt;"",ISNUMBER(SEARCH($T$4,Lists!$DA$17))),1,0)</f>
        <v/>
      </c>
      <c r="BX17">
        <f>IF(ROW()-3&gt;MAX($BW$4:$BW$42),"",INDEX(Lists!$DA$4:$DA$42,MATCH(ROW()-3,$BW$4:$BW$42,0)))</f>
        <v/>
      </c>
      <c r="BY17">
        <f>BY16+IF(AND(Lists!$DF$17&lt;&gt;"",ISNUMBER(SEARCH($U$4,Lists!$DF$17))),1,0)</f>
        <v/>
      </c>
      <c r="BZ17">
        <f>IF(ROW()-3&gt;MAX($BY$4:$BY$42),"",INDEX(Lists!$DF$4:$DF$42,MATCH(ROW()-3,$BY$4:$BY$42,0)))</f>
        <v/>
      </c>
      <c r="CA17">
        <f>CA16+IF(AND(Lists!$DK$17&lt;&gt;"",ISNUMBER(SEARCH($V$4,Lists!$DK$17))),1,0)</f>
        <v/>
      </c>
      <c r="CB17">
        <f>IF(ROW()-3&gt;MAX($CA$4:$CA$42),"",INDEX(Lists!$DK$4:$DK$42,MATCH(ROW()-3,$CA$4:$CA$42,0)))</f>
        <v/>
      </c>
      <c r="CC17">
        <f>CC16+IF(AND(Lists!$DP$17&lt;&gt;"",ISNUMBER(SEARCH($W$4,Lists!$DP$17))),1,0)</f>
        <v/>
      </c>
      <c r="CD17">
        <f>IF(ROW()-3&gt;MAX($CC$4:$CC$42),"",INDEX(Lists!$DP$4:$DP$42,MATCH(ROW()-3,$CC$4:$CC$42,0)))</f>
        <v/>
      </c>
      <c r="CE17">
        <f>CE16+IF(AND(Lists!$DU$17&lt;&gt;"",ISNUMBER(SEARCH($X$4,Lists!$DU$17))),1,0)</f>
        <v/>
      </c>
      <c r="CF17">
        <f>IF(ROW()-3&gt;MAX($CE$4:$CE$42),"",INDEX(Lists!$DU$4:$DU$42,MATCH(ROW()-3,$CE$4:$CE$42,0)))</f>
        <v/>
      </c>
      <c r="CG17">
        <f>CG16+IF(AND(Lists!$DZ$17&lt;&gt;"",ISNUMBER(SEARCH($Y$4,Lists!$DZ$17))),1,0)</f>
        <v/>
      </c>
      <c r="CH17">
        <f>IF(ROW()-3&gt;MAX($CG$4:$CG$42),"",INDEX(Lists!$DZ$4:$DZ$42,MATCH(ROW()-3,$CG$4:$CG$42,0)))</f>
        <v/>
      </c>
      <c r="CI17">
        <f>CI16+IF(AND(Lists!$EE$17&lt;&gt;"",ISNUMBER(SEARCH($Z$4,Lists!$EE$17))),1,0)</f>
        <v/>
      </c>
      <c r="CJ17">
        <f>IF(ROW()-3&gt;MAX($CI$4:$CI$42),"",INDEX(Lists!$EE$4:$EE$42,MATCH(ROW()-3,$CI$4:$CI$42,0)))</f>
        <v/>
      </c>
      <c r="CK17">
        <f>CK16+IF(AND(Lists!$EJ$17&lt;&gt;"",ISNUMBER(SEARCH($AA$4,Lists!$EJ$17))),1,0)</f>
        <v/>
      </c>
      <c r="CL17">
        <f>IF(ROW()-3&gt;MAX($CK$4:$CK$42),"",INDEX(Lists!$EJ$4:$EJ$42,MATCH(ROW()-3,$CK$4:$CK$42,0)))</f>
        <v/>
      </c>
      <c r="CM17">
        <f>CM16+IF(AND(Lists!$EO$17&lt;&gt;"",ISNUMBER(SEARCH($AB$4,Lists!$EO$17))),1,0)</f>
        <v/>
      </c>
      <c r="CN17">
        <f>IF(ROW()-3&gt;MAX($CM$4:$CM$42),"",INDEX(Lists!$EO$4:$EO$42,MATCH(ROW()-3,$CM$4:$CM$42,0)))</f>
        <v/>
      </c>
      <c r="CO17">
        <f>CO16+IF(AND(Lists!$ET$17&lt;&gt;"",ISNUMBER(SEARCH($AC$4,Lists!$ET$17))),1,0)</f>
        <v/>
      </c>
      <c r="CP17">
        <f>IF(ROW()-3&gt;MAX($CO$4:$CO$42),"",INDEX(Lists!$ET$4:$ET$42,MATCH(ROW()-3,$CO$4:$CO$42,0)))</f>
        <v/>
      </c>
      <c r="CQ17">
        <f>CQ16+IF(AND(Lists!$EY$17&lt;&gt;"",ISNUMBER(SEARCH($AD$4,Lists!$EY$17))),1,0)</f>
        <v/>
      </c>
      <c r="CR17">
        <f>IF(ROW()-3&gt;MAX($CQ$4:$CQ$42),"",INDEX(Lists!$EY$4:$EY$42,MATCH(ROW()-3,$CQ$4:$CQ$42,0)))</f>
        <v/>
      </c>
      <c r="CS17">
        <f>CS16+IF(AND(Lists!$FD$17&lt;&gt;"",ISNUMBER(SEARCH($AE$4,Lists!$FD$17))),1,0)</f>
        <v/>
      </c>
      <c r="CT17">
        <f>IF(ROW()-3&gt;MAX($CS$4:$CS$42),"",INDEX(Lists!$FD$4:$FD$42,MATCH(ROW()-3,$CS$4:$CS$42,0)))</f>
        <v/>
      </c>
      <c r="CU17">
        <f>CU16+IF(AND(Lists!$FI$17&lt;&gt;"",ISNUMBER(SEARCH($AG$4,Lists!$FI$17))),1,0)</f>
        <v/>
      </c>
      <c r="CV17">
        <f>IF(ROW()-3&gt;MAX($CU$4:$CU$42),"",INDEX(Lists!$FI$4:$FI$42,MATCH(ROW()-3,$CU$4:$CU$42,0)))</f>
        <v/>
      </c>
      <c r="CW17">
        <f>CW16+IF(AND(Lists!$FN$17&lt;&gt;"",ISNUMBER(SEARCH($AH$4,Lists!$FN$17))),1,0)</f>
        <v/>
      </c>
      <c r="CX17">
        <f>IF(ROW()-3&gt;MAX($CW$4:$CW$42),"",INDEX(Lists!$FN$4:$FN$42,MATCH(ROW()-3,$CW$4:$CW$42,0)))</f>
        <v/>
      </c>
      <c r="CY17">
        <f>CY16+IF(AND(Lists!$FS$17&lt;&gt;"",ISNUMBER(SEARCH($AI$4,Lists!$FS$17))),1,0)</f>
        <v/>
      </c>
      <c r="CZ17">
        <f>IF(ROW()-3&gt;MAX($CY$4:$CY$42),"",INDEX(Lists!$FS$4:$FS$42,MATCH(ROW()-3,$CY$4:$CY$42,0)))</f>
        <v/>
      </c>
      <c r="DA17">
        <f>DA16+IF(AND(Lists!$FX$17&lt;&gt;"",ISNUMBER(SEARCH($AF$4,Lists!$FX$17))),1,0)</f>
        <v/>
      </c>
      <c r="DB17">
        <f>IF(ROW()-3&gt;MAX($DA$4:$DA$42),"",INDEX(Lists!$FX$4:$FX$42,MATCH(ROW()-3,$DA$4:$DA$42,0)))</f>
        <v/>
      </c>
    </row>
    <row r="18" outlineLevel="1" ht="15" customHeight="1" s="137">
      <c r="A18" s="90" t="n">
        <v>2</v>
      </c>
      <c r="B18" s="92">
        <f>IF('Final Calculation Sheet'!$F$10="","",'Final Calculation Sheet'!$F$10)</f>
        <v/>
      </c>
      <c r="C18" s="92">
        <f>IF('Final Calculation Sheet'!$G$10="","",'Final Calculation Sheet'!$G$10)</f>
        <v/>
      </c>
      <c r="D18" s="94">
        <f>IF('Final Calculation Sheet'!$B$10="","",'Final Calculation Sheet'!$B$10)</f>
        <v/>
      </c>
      <c r="E18" s="94">
        <f>IF('Final Calculation Sheet'!$D$10="","",'Final Calculation Sheet'!$D$10)</f>
        <v/>
      </c>
      <c r="F18" s="94">
        <f>IF('Final Calculation Sheet'!$A$10="","",'Final Calculation Sheet'!$A$10)</f>
        <v/>
      </c>
      <c r="G18" s="94">
        <f>IF('Final Calculation Sheet'!$E$10="","",'Final Calculation Sheet'!$E$10)</f>
        <v/>
      </c>
      <c r="H18" s="95">
        <f>IF('Final Calculation Sheet'!$C$10="","",'Final Calculation Sheet'!$C$10)</f>
        <v/>
      </c>
      <c r="I18" s="95">
        <f>IF('Final Calculation Sheet'!$H$10="","",'Final Calculation Sheet'!$H$10)</f>
        <v/>
      </c>
      <c r="J18" s="95">
        <f>IF('Final Calculation Sheet'!$I$10="","",'Final Calculation Sheet'!$I$10)</f>
        <v/>
      </c>
      <c r="K18" s="95">
        <f>IF('Final Calculation Sheet'!$J$10="","",'Final Calculation Sheet'!$J$10)</f>
        <v/>
      </c>
      <c r="L18" s="95">
        <f>IF('Final Calculation Sheet'!$K$10="","",'Final Calculation Sheet'!$K$10)</f>
        <v/>
      </c>
      <c r="M18" s="95">
        <f>IF('Final Calculation Sheet'!$L$10="","",'Final Calculation Sheet'!$L$10)</f>
        <v/>
      </c>
      <c r="N18" s="95">
        <f>IF('Final Calculation Sheet'!$M$10="","",'Final Calculation Sheet'!$M$10)</f>
        <v/>
      </c>
      <c r="O18" s="96">
        <f>IF('Final Calculation Sheet'!$N$10="","",'Final Calculation Sheet'!$N$10)</f>
        <v/>
      </c>
      <c r="P18" s="95">
        <f>IF('Final Calculation Sheet'!$O$10="","",'Final Calculation Sheet'!$O$10)</f>
        <v/>
      </c>
      <c r="Q18" s="95">
        <f>IF('Final Calculation Sheet'!$P$10="","",'Final Calculation Sheet'!$P$10)</f>
        <v/>
      </c>
      <c r="R18" s="97">
        <f>IF('Final Calculation Sheet'!$Q$10="","",'Final Calculation Sheet'!$Q$10)</f>
        <v/>
      </c>
      <c r="S18" s="95">
        <f>IF('Final Calculation Sheet'!$R$10="","",'Final Calculation Sheet'!$R$10)</f>
        <v/>
      </c>
      <c r="T18" s="95">
        <f>IF('Final Calculation Sheet'!$S$10="","",'Final Calculation Sheet'!$S$10)</f>
        <v/>
      </c>
      <c r="U18" s="95">
        <f>IF('Final Calculation Sheet'!$T$10="","",'Final Calculation Sheet'!$T$10)</f>
        <v/>
      </c>
      <c r="V18" s="98">
        <f>IF('Final Calculation Sheet'!$U$10="","",'Final Calculation Sheet'!$U$10)</f>
        <v/>
      </c>
      <c r="W18" s="95">
        <f>IF('Final Calculation Sheet'!$V$10="","",'Final Calculation Sheet'!$V$10)</f>
        <v/>
      </c>
      <c r="X18" s="95">
        <f>IF('Final Calculation Sheet'!$W$10="","",'Final Calculation Sheet'!$W$10)</f>
        <v/>
      </c>
      <c r="Y18" s="95">
        <f>IF('Final Calculation Sheet'!$X$10="","",'Final Calculation Sheet'!$X$10)</f>
        <v/>
      </c>
      <c r="Z18" s="95">
        <f>IF('Final Calculation Sheet'!$Y$10="","",'Final Calculation Sheet'!$Y$10)</f>
        <v/>
      </c>
      <c r="AA18" s="95">
        <f>IF('Final Calculation Sheet'!$Z$10="","",'Final Calculation Sheet'!$Z$10)</f>
        <v/>
      </c>
      <c r="AB18" s="95">
        <f>IF('Final Calculation Sheet'!$AA$10="","",'Final Calculation Sheet'!$AA$10)</f>
        <v/>
      </c>
      <c r="AC18" s="95">
        <f>IF('Final Calculation Sheet'!$AB$10="","",'Final Calculation Sheet'!$AB$10)</f>
        <v/>
      </c>
      <c r="AD18" s="95">
        <f>IF('Final Calculation Sheet'!$AC$10="","",'Final Calculation Sheet'!$AC$10)</f>
        <v/>
      </c>
      <c r="AE18" s="95">
        <f>IF('Final Calculation Sheet'!$AD$10="","",'Final Calculation Sheet'!$AD$10)</f>
        <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
      </c>
      <c r="AK18">
        <f>IF(AJ18=1,COUNTIF(AJ$6:AJ18,1),"")</f>
        <v/>
      </c>
      <c r="AM18">
        <f>AM17+IF(AND(Lists!$O$18&lt;&gt;"",ISNUMBER(SEARCH($B$4,Lists!$O$18))),1,0)</f>
        <v/>
      </c>
      <c r="AN18">
        <f>IF(ROW()-3&gt;MAX($AM$4:$AM$42),"",INDEX(Lists!$O$4:$O$42,MATCH(ROW()-3,$AM$4:$AM$42,0)))</f>
        <v/>
      </c>
      <c r="AO18">
        <f>AO17+IF(AND(Lists!$T$18&lt;&gt;"",ISNUMBER(SEARCH($C$4,Lists!$T$18))),1,0)</f>
        <v/>
      </c>
      <c r="AP18">
        <f>IF(ROW()-3&gt;MAX($AO$4:$AO$42),"",INDEX(Lists!$T$4:$T$42,MATCH(ROW()-3,$AO$4:$AO$42,0)))</f>
        <v/>
      </c>
      <c r="AQ18">
        <f>AQ17+IF(AND(Lists!$Y$18&lt;&gt;"",ISNUMBER(SEARCH($D$4,Lists!$Y$18))),1,0)</f>
        <v/>
      </c>
      <c r="AR18">
        <f>IF(ROW()-3&gt;MAX($AQ$4:$AQ$42),"",INDEX(Lists!$Y$4:$Y$42,MATCH(ROW()-3,$AQ$4:$AQ$42,0)))</f>
        <v/>
      </c>
      <c r="AS18">
        <f>AS17+IF(AND(Lists!$AD$18&lt;&gt;"",ISNUMBER(SEARCH($E$4,Lists!$AD$18))),1,0)</f>
        <v/>
      </c>
      <c r="AT18">
        <f>IF(ROW()-3&gt;MAX($AS$4:$AS$42),"",INDEX(Lists!$AD$4:$AD$42,MATCH(ROW()-3,$AS$4:$AS$42,0)))</f>
        <v/>
      </c>
      <c r="AU18">
        <f>AU17+IF(AND(Lists!$AI$18&lt;&gt;"",ISNUMBER(SEARCH($F$4,Lists!$AI$18))),1,0)</f>
        <v/>
      </c>
      <c r="AV18">
        <f>IF(ROW()-3&gt;MAX($AU$4:$AU$42),"",INDEX(Lists!$AI$4:$AI$42,MATCH(ROW()-3,$AU$4:$AU$42,0)))</f>
        <v/>
      </c>
      <c r="AW18">
        <f>AW17+IF(AND(Lists!$AN$18&lt;&gt;"",ISNUMBER(SEARCH($G$4,Lists!$AN$18))),1,0)</f>
        <v/>
      </c>
      <c r="AX18">
        <f>IF(ROW()-3&gt;MAX($AW$4:$AW$42),"",INDEX(Lists!$AN$4:$AN$42,MATCH(ROW()-3,$AW$4:$AW$42,0)))</f>
        <v/>
      </c>
      <c r="AY18">
        <f>AY17+IF(AND(Lists!$AS$18&lt;&gt;"",ISNUMBER(SEARCH($H$4,Lists!$AS$18))),1,0)</f>
        <v/>
      </c>
      <c r="AZ18">
        <f>IF(ROW()-3&gt;MAX($AY$4:$AY$42),"",INDEX(Lists!$AS$4:$AS$42,MATCH(ROW()-3,$AY$4:$AY$42,0)))</f>
        <v/>
      </c>
      <c r="BA18">
        <f>BA17+IF(AND(Lists!$AX$18&lt;&gt;"",ISNUMBER(SEARCH($I$4,Lists!$AX$18))),1,0)</f>
        <v/>
      </c>
      <c r="BB18">
        <f>IF(ROW()-3&gt;MAX($BA$4:$BA$42),"",INDEX(Lists!$AX$4:$AX$42,MATCH(ROW()-3,$BA$4:$BA$42,0)))</f>
        <v/>
      </c>
      <c r="BC18">
        <f>BC17+IF(AND(Lists!$BC$18&lt;&gt;"",ISNUMBER(SEARCH($J$4,Lists!$BC$18))),1,0)</f>
        <v/>
      </c>
      <c r="BD18">
        <f>IF(ROW()-3&gt;MAX($BC$4:$BC$42),"",INDEX(Lists!$BC$4:$BC$42,MATCH(ROW()-3,$BC$4:$BC$42,0)))</f>
        <v/>
      </c>
      <c r="BE18">
        <f>BE17+IF(AND(Lists!$BH$18&lt;&gt;"",ISNUMBER(SEARCH($K$4,Lists!$BH$18))),1,0)</f>
        <v/>
      </c>
      <c r="BF18">
        <f>IF(ROW()-3&gt;MAX($BE$4:$BE$42),"",INDEX(Lists!$BH$4:$BH$42,MATCH(ROW()-3,$BE$4:$BE$42,0)))</f>
        <v/>
      </c>
      <c r="BG18">
        <f>BG17+IF(AND(Lists!$BM$18&lt;&gt;"",ISNUMBER(SEARCH($L$4,Lists!$BM$18))),1,0)</f>
        <v/>
      </c>
      <c r="BH18">
        <f>IF(ROW()-3&gt;MAX($BG$4:$BG$42),"",INDEX(Lists!$BM$4:$BM$42,MATCH(ROW()-3,$BG$4:$BG$42,0)))</f>
        <v/>
      </c>
      <c r="BI18">
        <f>BI17+IF(AND(Lists!$BR$18&lt;&gt;"",ISNUMBER(SEARCH($M$4,Lists!$BR$18))),1,0)</f>
        <v/>
      </c>
      <c r="BJ18">
        <f>IF(ROW()-3&gt;MAX($BI$4:$BI$42),"",INDEX(Lists!$BR$4:$BR$42,MATCH(ROW()-3,$BI$4:$BI$42,0)))</f>
        <v/>
      </c>
      <c r="BK18">
        <f>BK17+IF(AND(Lists!$BW$18&lt;&gt;"",ISNUMBER(SEARCH($N$4,Lists!$BW$18))),1,0)</f>
        <v/>
      </c>
      <c r="BL18">
        <f>IF(ROW()-3&gt;MAX($BK$4:$BK$42),"",INDEX(Lists!$BW$4:$BW$42,MATCH(ROW()-3,$BK$4:$BK$42,0)))</f>
        <v/>
      </c>
      <c r="BM18">
        <f>BM17+IF(AND(Lists!$CB$18&lt;&gt;"",ISNUMBER(SEARCH($O$4,Lists!$CB$18))),1,0)</f>
        <v/>
      </c>
      <c r="BN18">
        <f>IF(ROW()-3&gt;MAX($BM$4:$BM$42),"",INDEX(Lists!$CB$4:$CB$42,MATCH(ROW()-3,$BM$4:$BM$42,0)))</f>
        <v/>
      </c>
      <c r="BO18">
        <f>BO17+IF(AND(Lists!$CG$18&lt;&gt;"",ISNUMBER(SEARCH($P$4,Lists!$CG$18))),1,0)</f>
        <v/>
      </c>
      <c r="BP18">
        <f>IF(ROW()-3&gt;MAX($BO$4:$BO$42),"",INDEX(Lists!$CG$4:$CG$42,MATCH(ROW()-3,$BO$4:$BO$42,0)))</f>
        <v/>
      </c>
      <c r="BQ18">
        <f>BQ17+IF(AND(Lists!$CL$18&lt;&gt;"",ISNUMBER(SEARCH($Q$4,Lists!$CL$18))),1,0)</f>
        <v/>
      </c>
      <c r="BR18">
        <f>IF(ROW()-3&gt;MAX($BQ$4:$BQ$42),"",INDEX(Lists!$CL$4:$CL$42,MATCH(ROW()-3,$BQ$4:$BQ$42,0)))</f>
        <v/>
      </c>
      <c r="BS18">
        <f>BS17+IF(AND(Lists!$CQ$18&lt;&gt;"",ISNUMBER(SEARCH($R$4,Lists!$CQ$18))),1,0)</f>
        <v/>
      </c>
      <c r="BT18">
        <f>IF(ROW()-3&gt;MAX($BS$4:$BS$42),"",INDEX(Lists!$CQ$4:$CQ$42,MATCH(ROW()-3,$BS$4:$BS$42,0)))</f>
        <v/>
      </c>
      <c r="BU18">
        <f>BU17+IF(AND(Lists!$CV$18&lt;&gt;"",ISNUMBER(SEARCH($S$4,Lists!$CV$18))),1,0)</f>
        <v/>
      </c>
      <c r="BV18">
        <f>IF(ROW()-3&gt;MAX($BU$4:$BU$42),"",INDEX(Lists!$CV$4:$CV$42,MATCH(ROW()-3,$BU$4:$BU$42,0)))</f>
        <v/>
      </c>
      <c r="BW18">
        <f>BW17+IF(AND(Lists!$DA$18&lt;&gt;"",ISNUMBER(SEARCH($T$4,Lists!$DA$18))),1,0)</f>
        <v/>
      </c>
      <c r="BX18">
        <f>IF(ROW()-3&gt;MAX($BW$4:$BW$42),"",INDEX(Lists!$DA$4:$DA$42,MATCH(ROW()-3,$BW$4:$BW$42,0)))</f>
        <v/>
      </c>
      <c r="BY18">
        <f>BY17+IF(AND(Lists!$DF$18&lt;&gt;"",ISNUMBER(SEARCH($U$4,Lists!$DF$18))),1,0)</f>
        <v/>
      </c>
      <c r="BZ18">
        <f>IF(ROW()-3&gt;MAX($BY$4:$BY$42),"",INDEX(Lists!$DF$4:$DF$42,MATCH(ROW()-3,$BY$4:$BY$42,0)))</f>
        <v/>
      </c>
      <c r="CA18">
        <f>CA17+IF(AND(Lists!$DK$18&lt;&gt;"",ISNUMBER(SEARCH($V$4,Lists!$DK$18))),1,0)</f>
        <v/>
      </c>
      <c r="CB18">
        <f>IF(ROW()-3&gt;MAX($CA$4:$CA$42),"",INDEX(Lists!$DK$4:$DK$42,MATCH(ROW()-3,$CA$4:$CA$42,0)))</f>
        <v/>
      </c>
      <c r="CC18">
        <f>CC17+IF(AND(Lists!$DP$18&lt;&gt;"",ISNUMBER(SEARCH($W$4,Lists!$DP$18))),1,0)</f>
        <v/>
      </c>
      <c r="CD18">
        <f>IF(ROW()-3&gt;MAX($CC$4:$CC$42),"",INDEX(Lists!$DP$4:$DP$42,MATCH(ROW()-3,$CC$4:$CC$42,0)))</f>
        <v/>
      </c>
      <c r="CE18">
        <f>CE17+IF(AND(Lists!$DU$18&lt;&gt;"",ISNUMBER(SEARCH($X$4,Lists!$DU$18))),1,0)</f>
        <v/>
      </c>
      <c r="CF18">
        <f>IF(ROW()-3&gt;MAX($CE$4:$CE$42),"",INDEX(Lists!$DU$4:$DU$42,MATCH(ROW()-3,$CE$4:$CE$42,0)))</f>
        <v/>
      </c>
      <c r="CG18">
        <f>CG17+IF(AND(Lists!$DZ$18&lt;&gt;"",ISNUMBER(SEARCH($Y$4,Lists!$DZ$18))),1,0)</f>
        <v/>
      </c>
      <c r="CH18">
        <f>IF(ROW()-3&gt;MAX($CG$4:$CG$42),"",INDEX(Lists!$DZ$4:$DZ$42,MATCH(ROW()-3,$CG$4:$CG$42,0)))</f>
        <v/>
      </c>
      <c r="CI18">
        <f>CI17+IF(AND(Lists!$EE$18&lt;&gt;"",ISNUMBER(SEARCH($Z$4,Lists!$EE$18))),1,0)</f>
        <v/>
      </c>
      <c r="CJ18">
        <f>IF(ROW()-3&gt;MAX($CI$4:$CI$42),"",INDEX(Lists!$EE$4:$EE$42,MATCH(ROW()-3,$CI$4:$CI$42,0)))</f>
        <v/>
      </c>
      <c r="CK18">
        <f>CK17+IF(AND(Lists!$EJ$18&lt;&gt;"",ISNUMBER(SEARCH($AA$4,Lists!$EJ$18))),1,0)</f>
        <v/>
      </c>
      <c r="CL18">
        <f>IF(ROW()-3&gt;MAX($CK$4:$CK$42),"",INDEX(Lists!$EJ$4:$EJ$42,MATCH(ROW()-3,$CK$4:$CK$42,0)))</f>
        <v/>
      </c>
      <c r="CM18">
        <f>CM17+IF(AND(Lists!$EO$18&lt;&gt;"",ISNUMBER(SEARCH($AB$4,Lists!$EO$18))),1,0)</f>
        <v/>
      </c>
      <c r="CN18">
        <f>IF(ROW()-3&gt;MAX($CM$4:$CM$42),"",INDEX(Lists!$EO$4:$EO$42,MATCH(ROW()-3,$CM$4:$CM$42,0)))</f>
        <v/>
      </c>
      <c r="CO18">
        <f>CO17+IF(AND(Lists!$ET$18&lt;&gt;"",ISNUMBER(SEARCH($AC$4,Lists!$ET$18))),1,0)</f>
        <v/>
      </c>
      <c r="CP18">
        <f>IF(ROW()-3&gt;MAX($CO$4:$CO$42),"",INDEX(Lists!$ET$4:$ET$42,MATCH(ROW()-3,$CO$4:$CO$42,0)))</f>
        <v/>
      </c>
      <c r="CQ18">
        <f>CQ17+IF(AND(Lists!$EY$18&lt;&gt;"",ISNUMBER(SEARCH($AD$4,Lists!$EY$18))),1,0)</f>
        <v/>
      </c>
      <c r="CR18">
        <f>IF(ROW()-3&gt;MAX($CQ$4:$CQ$42),"",INDEX(Lists!$EY$4:$EY$42,MATCH(ROW()-3,$CQ$4:$CQ$42,0)))</f>
        <v/>
      </c>
      <c r="CS18">
        <f>CS17+IF(AND(Lists!$FD$18&lt;&gt;"",ISNUMBER(SEARCH($AE$4,Lists!$FD$18))),1,0)</f>
        <v/>
      </c>
      <c r="CT18">
        <f>IF(ROW()-3&gt;MAX($CS$4:$CS$42),"",INDEX(Lists!$FD$4:$FD$42,MATCH(ROW()-3,$CS$4:$CS$42,0)))</f>
        <v/>
      </c>
      <c r="CU18">
        <f>CU17+IF(AND(Lists!$FI$18&lt;&gt;"",ISNUMBER(SEARCH($AG$4,Lists!$FI$18))),1,0)</f>
        <v/>
      </c>
      <c r="CV18">
        <f>IF(ROW()-3&gt;MAX($CU$4:$CU$42),"",INDEX(Lists!$FI$4:$FI$42,MATCH(ROW()-3,$CU$4:$CU$42,0)))</f>
        <v/>
      </c>
      <c r="CW18">
        <f>CW17+IF(AND(Lists!$FN$18&lt;&gt;"",ISNUMBER(SEARCH($AH$4,Lists!$FN$18))),1,0)</f>
        <v/>
      </c>
      <c r="CX18">
        <f>IF(ROW()-3&gt;MAX($CW$4:$CW$42),"",INDEX(Lists!$FN$4:$FN$42,MATCH(ROW()-3,$CW$4:$CW$42,0)))</f>
        <v/>
      </c>
      <c r="CY18">
        <f>CY17+IF(AND(Lists!$FS$18&lt;&gt;"",ISNUMBER(SEARCH($AI$4,Lists!$FS$18))),1,0)</f>
        <v/>
      </c>
      <c r="CZ18">
        <f>IF(ROW()-3&gt;MAX($CY$4:$CY$42),"",INDEX(Lists!$FS$4:$FS$42,MATCH(ROW()-3,$CY$4:$CY$42,0)))</f>
        <v/>
      </c>
      <c r="DA18">
        <f>DA17+IF(AND(Lists!$FX$18&lt;&gt;"",ISNUMBER(SEARCH($AF$4,Lists!$FX$18))),1,0)</f>
        <v/>
      </c>
      <c r="DB18">
        <f>IF(ROW()-3&gt;MAX($DA$4:$DA$42),"",INDEX(Lists!$FX$4:$FX$42,MATCH(ROW()-3,$DA$4:$DA$42,0)))</f>
        <v/>
      </c>
    </row>
    <row r="19" outlineLevel="1" ht="15" customHeight="1" s="137">
      <c r="A19" s="67" t="n">
        <v>3</v>
      </c>
      <c r="B19" s="76">
        <f>IF('Final Calculation Sheet'!$F$11="","",'Final Calculation Sheet'!$F$11)</f>
        <v/>
      </c>
      <c r="C19" s="76">
        <f>IF('Final Calculation Sheet'!$G$11="","",'Final Calculation Sheet'!$G$11)</f>
        <v/>
      </c>
      <c r="D19" s="80">
        <f>IF('Final Calculation Sheet'!$B$11="","",'Final Calculation Sheet'!$B$11)</f>
        <v/>
      </c>
      <c r="E19" s="80">
        <f>IF('Final Calculation Sheet'!$D$11="","",'Final Calculation Sheet'!$D$11)</f>
        <v/>
      </c>
      <c r="F19" s="80">
        <f>IF('Final Calculation Sheet'!$A$11="","",'Final Calculation Sheet'!$A$11)</f>
        <v/>
      </c>
      <c r="G19" s="80">
        <f>IF('Final Calculation Sheet'!$E$11="","",'Final Calculation Sheet'!$E$11)</f>
        <v/>
      </c>
      <c r="H19" s="70">
        <f>IF('Final Calculation Sheet'!$C$11="","",'Final Calculation Sheet'!$C$11)</f>
        <v/>
      </c>
      <c r="I19" s="70">
        <f>IF('Final Calculation Sheet'!$H$11="","",'Final Calculation Sheet'!$H$11)</f>
        <v/>
      </c>
      <c r="J19" s="70">
        <f>IF('Final Calculation Sheet'!$I$11="","",'Final Calculation Sheet'!$I$11)</f>
        <v/>
      </c>
      <c r="K19" s="70">
        <f>IF('Final Calculation Sheet'!$J$11="","",'Final Calculation Sheet'!$J$11)</f>
        <v/>
      </c>
      <c r="L19" s="70">
        <f>IF('Final Calculation Sheet'!$K$11="","",'Final Calculation Sheet'!$K$11)</f>
        <v/>
      </c>
      <c r="M19" s="70">
        <f>IF('Final Calculation Sheet'!$L$11="","",'Final Calculation Sheet'!$L$11)</f>
        <v/>
      </c>
      <c r="N19" s="70">
        <f>IF('Final Calculation Sheet'!$M$11="","",'Final Calculation Sheet'!$M$11)</f>
        <v/>
      </c>
      <c r="O19" s="71">
        <f>IF('Final Calculation Sheet'!$N$11="","",'Final Calculation Sheet'!$N$11)</f>
        <v/>
      </c>
      <c r="P19" s="70">
        <f>IF('Final Calculation Sheet'!$O$11="","",'Final Calculation Sheet'!$O$11)</f>
        <v/>
      </c>
      <c r="Q19" s="70">
        <f>IF('Final Calculation Sheet'!$P$11="","",'Final Calculation Sheet'!$P$11)</f>
        <v/>
      </c>
      <c r="R19" s="72">
        <f>IF('Final Calculation Sheet'!$Q$11="","",'Final Calculation Sheet'!$Q$11)</f>
        <v/>
      </c>
      <c r="S19" s="70">
        <f>IF('Final Calculation Sheet'!$R$11="","",'Final Calculation Sheet'!$R$11)</f>
        <v/>
      </c>
      <c r="T19" s="70">
        <f>IF('Final Calculation Sheet'!$S$11="","",'Final Calculation Sheet'!$S$11)</f>
        <v/>
      </c>
      <c r="U19" s="70">
        <f>IF('Final Calculation Sheet'!$T$11="","",'Final Calculation Sheet'!$T$11)</f>
        <v/>
      </c>
      <c r="V19" s="73">
        <f>IF('Final Calculation Sheet'!$U$11="","",'Final Calculation Sheet'!$U$11)</f>
        <v/>
      </c>
      <c r="W19" s="70">
        <f>IF('Final Calculation Sheet'!$V$11="","",'Final Calculation Sheet'!$V$11)</f>
        <v/>
      </c>
      <c r="X19" s="70">
        <f>IF('Final Calculation Sheet'!$W$11="","",'Final Calculation Sheet'!$W$11)</f>
        <v/>
      </c>
      <c r="Y19" s="70">
        <f>IF('Final Calculation Sheet'!$X$11="","",'Final Calculation Sheet'!$X$11)</f>
        <v/>
      </c>
      <c r="Z19" s="70">
        <f>IF('Final Calculation Sheet'!$Y$11="","",'Final Calculation Sheet'!$Y$11)</f>
        <v/>
      </c>
      <c r="AA19" s="70">
        <f>IF('Final Calculation Sheet'!$Z$11="","",'Final Calculation Sheet'!$Z$11)</f>
        <v/>
      </c>
      <c r="AB19" s="70">
        <f>IF('Final Calculation Sheet'!$AA$11="","",'Final Calculation Sheet'!$AA$11)</f>
        <v/>
      </c>
      <c r="AC19" s="70">
        <f>IF('Final Calculation Sheet'!$AB$11="","",'Final Calculation Sheet'!$AB$11)</f>
        <v/>
      </c>
      <c r="AD19" s="70">
        <f>IF('Final Calculation Sheet'!$AC$11="","",'Final Calculation Sheet'!$AC$11)</f>
        <v/>
      </c>
      <c r="AE19" s="70">
        <f>IF('Final Calculation Sheet'!$AD$11="","",'Final Calculation Sheet'!$AD$11)</f>
        <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
      </c>
      <c r="AK19">
        <f>IF(AJ19=1,COUNTIF(AJ$6:AJ19,1),"")</f>
        <v/>
      </c>
      <c r="AM19">
        <f>AM18+IF(AND(Lists!$O$19&lt;&gt;"",ISNUMBER(SEARCH($B$4,Lists!$O$19))),1,0)</f>
        <v/>
      </c>
      <c r="AN19">
        <f>IF(ROW()-3&gt;MAX($AM$4:$AM$42),"",INDEX(Lists!$O$4:$O$42,MATCH(ROW()-3,$AM$4:$AM$42,0)))</f>
        <v/>
      </c>
      <c r="AO19">
        <f>AO18+IF(AND(Lists!$T$19&lt;&gt;"",ISNUMBER(SEARCH($C$4,Lists!$T$19))),1,0)</f>
        <v/>
      </c>
      <c r="AP19">
        <f>IF(ROW()-3&gt;MAX($AO$4:$AO$42),"",INDEX(Lists!$T$4:$T$42,MATCH(ROW()-3,$AO$4:$AO$42,0)))</f>
        <v/>
      </c>
      <c r="AQ19">
        <f>AQ18+IF(AND(Lists!$Y$19&lt;&gt;"",ISNUMBER(SEARCH($D$4,Lists!$Y$19))),1,0)</f>
        <v/>
      </c>
      <c r="AR19">
        <f>IF(ROW()-3&gt;MAX($AQ$4:$AQ$42),"",INDEX(Lists!$Y$4:$Y$42,MATCH(ROW()-3,$AQ$4:$AQ$42,0)))</f>
        <v/>
      </c>
      <c r="AS19">
        <f>AS18+IF(AND(Lists!$AD$19&lt;&gt;"",ISNUMBER(SEARCH($E$4,Lists!$AD$19))),1,0)</f>
        <v/>
      </c>
      <c r="AT19">
        <f>IF(ROW()-3&gt;MAX($AS$4:$AS$42),"",INDEX(Lists!$AD$4:$AD$42,MATCH(ROW()-3,$AS$4:$AS$42,0)))</f>
        <v/>
      </c>
      <c r="AU19">
        <f>AU18+IF(AND(Lists!$AI$19&lt;&gt;"",ISNUMBER(SEARCH($F$4,Lists!$AI$19))),1,0)</f>
        <v/>
      </c>
      <c r="AV19">
        <f>IF(ROW()-3&gt;MAX($AU$4:$AU$42),"",INDEX(Lists!$AI$4:$AI$42,MATCH(ROW()-3,$AU$4:$AU$42,0)))</f>
        <v/>
      </c>
      <c r="AW19">
        <f>AW18+IF(AND(Lists!$AN$19&lt;&gt;"",ISNUMBER(SEARCH($G$4,Lists!$AN$19))),1,0)</f>
        <v/>
      </c>
      <c r="AX19">
        <f>IF(ROW()-3&gt;MAX($AW$4:$AW$42),"",INDEX(Lists!$AN$4:$AN$42,MATCH(ROW()-3,$AW$4:$AW$42,0)))</f>
        <v/>
      </c>
      <c r="AY19">
        <f>AY18+IF(AND(Lists!$AS$19&lt;&gt;"",ISNUMBER(SEARCH($H$4,Lists!$AS$19))),1,0)</f>
        <v/>
      </c>
      <c r="AZ19">
        <f>IF(ROW()-3&gt;MAX($AY$4:$AY$42),"",INDEX(Lists!$AS$4:$AS$42,MATCH(ROW()-3,$AY$4:$AY$42,0)))</f>
        <v/>
      </c>
      <c r="BA19">
        <f>BA18+IF(AND(Lists!$AX$19&lt;&gt;"",ISNUMBER(SEARCH($I$4,Lists!$AX$19))),1,0)</f>
        <v/>
      </c>
      <c r="BB19">
        <f>IF(ROW()-3&gt;MAX($BA$4:$BA$42),"",INDEX(Lists!$AX$4:$AX$42,MATCH(ROW()-3,$BA$4:$BA$42,0)))</f>
        <v/>
      </c>
      <c r="BC19">
        <f>BC18+IF(AND(Lists!$BC$19&lt;&gt;"",ISNUMBER(SEARCH($J$4,Lists!$BC$19))),1,0)</f>
        <v/>
      </c>
      <c r="BD19">
        <f>IF(ROW()-3&gt;MAX($BC$4:$BC$42),"",INDEX(Lists!$BC$4:$BC$42,MATCH(ROW()-3,$BC$4:$BC$42,0)))</f>
        <v/>
      </c>
      <c r="BE19">
        <f>BE18+IF(AND(Lists!$BH$19&lt;&gt;"",ISNUMBER(SEARCH($K$4,Lists!$BH$19))),1,0)</f>
        <v/>
      </c>
      <c r="BF19">
        <f>IF(ROW()-3&gt;MAX($BE$4:$BE$42),"",INDEX(Lists!$BH$4:$BH$42,MATCH(ROW()-3,$BE$4:$BE$42,0)))</f>
        <v/>
      </c>
      <c r="BG19">
        <f>BG18+IF(AND(Lists!$BM$19&lt;&gt;"",ISNUMBER(SEARCH($L$4,Lists!$BM$19))),1,0)</f>
        <v/>
      </c>
      <c r="BH19">
        <f>IF(ROW()-3&gt;MAX($BG$4:$BG$42),"",INDEX(Lists!$BM$4:$BM$42,MATCH(ROW()-3,$BG$4:$BG$42,0)))</f>
        <v/>
      </c>
      <c r="BI19">
        <f>BI18+IF(AND(Lists!$BR$19&lt;&gt;"",ISNUMBER(SEARCH($M$4,Lists!$BR$19))),1,0)</f>
        <v/>
      </c>
      <c r="BJ19">
        <f>IF(ROW()-3&gt;MAX($BI$4:$BI$42),"",INDEX(Lists!$BR$4:$BR$42,MATCH(ROW()-3,$BI$4:$BI$42,0)))</f>
        <v/>
      </c>
      <c r="BK19">
        <f>BK18+IF(AND(Lists!$BW$19&lt;&gt;"",ISNUMBER(SEARCH($N$4,Lists!$BW$19))),1,0)</f>
        <v/>
      </c>
      <c r="BL19">
        <f>IF(ROW()-3&gt;MAX($BK$4:$BK$42),"",INDEX(Lists!$BW$4:$BW$42,MATCH(ROW()-3,$BK$4:$BK$42,0)))</f>
        <v/>
      </c>
      <c r="BM19">
        <f>BM18+IF(AND(Lists!$CB$19&lt;&gt;"",ISNUMBER(SEARCH($O$4,Lists!$CB$19))),1,0)</f>
        <v/>
      </c>
      <c r="BN19">
        <f>IF(ROW()-3&gt;MAX($BM$4:$BM$42),"",INDEX(Lists!$CB$4:$CB$42,MATCH(ROW()-3,$BM$4:$BM$42,0)))</f>
        <v/>
      </c>
      <c r="BO19">
        <f>BO18+IF(AND(Lists!$CG$19&lt;&gt;"",ISNUMBER(SEARCH($P$4,Lists!$CG$19))),1,0)</f>
        <v/>
      </c>
      <c r="BP19">
        <f>IF(ROW()-3&gt;MAX($BO$4:$BO$42),"",INDEX(Lists!$CG$4:$CG$42,MATCH(ROW()-3,$BO$4:$BO$42,0)))</f>
        <v/>
      </c>
      <c r="BQ19">
        <f>BQ18+IF(AND(Lists!$CL$19&lt;&gt;"",ISNUMBER(SEARCH($Q$4,Lists!$CL$19))),1,0)</f>
        <v/>
      </c>
      <c r="BR19">
        <f>IF(ROW()-3&gt;MAX($BQ$4:$BQ$42),"",INDEX(Lists!$CL$4:$CL$42,MATCH(ROW()-3,$BQ$4:$BQ$42,0)))</f>
        <v/>
      </c>
      <c r="BS19">
        <f>BS18+IF(AND(Lists!$CQ$19&lt;&gt;"",ISNUMBER(SEARCH($R$4,Lists!$CQ$19))),1,0)</f>
        <v/>
      </c>
      <c r="BT19">
        <f>IF(ROW()-3&gt;MAX($BS$4:$BS$42),"",INDEX(Lists!$CQ$4:$CQ$42,MATCH(ROW()-3,$BS$4:$BS$42,0)))</f>
        <v/>
      </c>
      <c r="BU19">
        <f>BU18+IF(AND(Lists!$CV$19&lt;&gt;"",ISNUMBER(SEARCH($S$4,Lists!$CV$19))),1,0)</f>
        <v/>
      </c>
      <c r="BV19">
        <f>IF(ROW()-3&gt;MAX($BU$4:$BU$42),"",INDEX(Lists!$CV$4:$CV$42,MATCH(ROW()-3,$BU$4:$BU$42,0)))</f>
        <v/>
      </c>
      <c r="BW19">
        <f>BW18+IF(AND(Lists!$DA$19&lt;&gt;"",ISNUMBER(SEARCH($T$4,Lists!$DA$19))),1,0)</f>
        <v/>
      </c>
      <c r="BX19">
        <f>IF(ROW()-3&gt;MAX($BW$4:$BW$42),"",INDEX(Lists!$DA$4:$DA$42,MATCH(ROW()-3,$BW$4:$BW$42,0)))</f>
        <v/>
      </c>
      <c r="BY19">
        <f>BY18+IF(AND(Lists!$DF$19&lt;&gt;"",ISNUMBER(SEARCH($U$4,Lists!$DF$19))),1,0)</f>
        <v/>
      </c>
      <c r="BZ19">
        <f>IF(ROW()-3&gt;MAX($BY$4:$BY$42),"",INDEX(Lists!$DF$4:$DF$42,MATCH(ROW()-3,$BY$4:$BY$42,0)))</f>
        <v/>
      </c>
      <c r="CA19">
        <f>CA18+IF(AND(Lists!$DK$19&lt;&gt;"",ISNUMBER(SEARCH($V$4,Lists!$DK$19))),1,0)</f>
        <v/>
      </c>
      <c r="CB19">
        <f>IF(ROW()-3&gt;MAX($CA$4:$CA$42),"",INDEX(Lists!$DK$4:$DK$42,MATCH(ROW()-3,$CA$4:$CA$42,0)))</f>
        <v/>
      </c>
      <c r="CC19">
        <f>CC18+IF(AND(Lists!$DP$19&lt;&gt;"",ISNUMBER(SEARCH($W$4,Lists!$DP$19))),1,0)</f>
        <v/>
      </c>
      <c r="CD19">
        <f>IF(ROW()-3&gt;MAX($CC$4:$CC$42),"",INDEX(Lists!$DP$4:$DP$42,MATCH(ROW()-3,$CC$4:$CC$42,0)))</f>
        <v/>
      </c>
      <c r="CE19">
        <f>CE18+IF(AND(Lists!$DU$19&lt;&gt;"",ISNUMBER(SEARCH($X$4,Lists!$DU$19))),1,0)</f>
        <v/>
      </c>
      <c r="CF19">
        <f>IF(ROW()-3&gt;MAX($CE$4:$CE$42),"",INDEX(Lists!$DU$4:$DU$42,MATCH(ROW()-3,$CE$4:$CE$42,0)))</f>
        <v/>
      </c>
      <c r="CG19">
        <f>CG18+IF(AND(Lists!$DZ$19&lt;&gt;"",ISNUMBER(SEARCH($Y$4,Lists!$DZ$19))),1,0)</f>
        <v/>
      </c>
      <c r="CH19">
        <f>IF(ROW()-3&gt;MAX($CG$4:$CG$42),"",INDEX(Lists!$DZ$4:$DZ$42,MATCH(ROW()-3,$CG$4:$CG$42,0)))</f>
        <v/>
      </c>
      <c r="CI19">
        <f>CI18+IF(AND(Lists!$EE$19&lt;&gt;"",ISNUMBER(SEARCH($Z$4,Lists!$EE$19))),1,0)</f>
        <v/>
      </c>
      <c r="CJ19">
        <f>IF(ROW()-3&gt;MAX($CI$4:$CI$42),"",INDEX(Lists!$EE$4:$EE$42,MATCH(ROW()-3,$CI$4:$CI$42,0)))</f>
        <v/>
      </c>
      <c r="CK19">
        <f>CK18+IF(AND(Lists!$EJ$19&lt;&gt;"",ISNUMBER(SEARCH($AA$4,Lists!$EJ$19))),1,0)</f>
        <v/>
      </c>
      <c r="CL19">
        <f>IF(ROW()-3&gt;MAX($CK$4:$CK$42),"",INDEX(Lists!$EJ$4:$EJ$42,MATCH(ROW()-3,$CK$4:$CK$42,0)))</f>
        <v/>
      </c>
      <c r="CM19">
        <f>CM18+IF(AND(Lists!$EO$19&lt;&gt;"",ISNUMBER(SEARCH($AB$4,Lists!$EO$19))),1,0)</f>
        <v/>
      </c>
      <c r="CN19">
        <f>IF(ROW()-3&gt;MAX($CM$4:$CM$42),"",INDEX(Lists!$EO$4:$EO$42,MATCH(ROW()-3,$CM$4:$CM$42,0)))</f>
        <v/>
      </c>
      <c r="CO19">
        <f>CO18+IF(AND(Lists!$ET$19&lt;&gt;"",ISNUMBER(SEARCH($AC$4,Lists!$ET$19))),1,0)</f>
        <v/>
      </c>
      <c r="CP19">
        <f>IF(ROW()-3&gt;MAX($CO$4:$CO$42),"",INDEX(Lists!$ET$4:$ET$42,MATCH(ROW()-3,$CO$4:$CO$42,0)))</f>
        <v/>
      </c>
      <c r="CQ19">
        <f>CQ18+IF(AND(Lists!$EY$19&lt;&gt;"",ISNUMBER(SEARCH($AD$4,Lists!$EY$19))),1,0)</f>
        <v/>
      </c>
      <c r="CR19">
        <f>IF(ROW()-3&gt;MAX($CQ$4:$CQ$42),"",INDEX(Lists!$EY$4:$EY$42,MATCH(ROW()-3,$CQ$4:$CQ$42,0)))</f>
        <v/>
      </c>
      <c r="CS19">
        <f>CS18+IF(AND(Lists!$FD$19&lt;&gt;"",ISNUMBER(SEARCH($AE$4,Lists!$FD$19))),1,0)</f>
        <v/>
      </c>
      <c r="CT19">
        <f>IF(ROW()-3&gt;MAX($CS$4:$CS$42),"",INDEX(Lists!$FD$4:$FD$42,MATCH(ROW()-3,$CS$4:$CS$42,0)))</f>
        <v/>
      </c>
      <c r="CU19">
        <f>CU18+IF(AND(Lists!$FI$19&lt;&gt;"",ISNUMBER(SEARCH($AG$4,Lists!$FI$19))),1,0)</f>
        <v/>
      </c>
      <c r="CV19">
        <f>IF(ROW()-3&gt;MAX($CU$4:$CU$42),"",INDEX(Lists!$FI$4:$FI$42,MATCH(ROW()-3,$CU$4:$CU$42,0)))</f>
        <v/>
      </c>
      <c r="CW19">
        <f>CW18+IF(AND(Lists!$FN$19&lt;&gt;"",ISNUMBER(SEARCH($AH$4,Lists!$FN$19))),1,0)</f>
        <v/>
      </c>
      <c r="CX19">
        <f>IF(ROW()-3&gt;MAX($CW$4:$CW$42),"",INDEX(Lists!$FN$4:$FN$42,MATCH(ROW()-3,$CW$4:$CW$42,0)))</f>
        <v/>
      </c>
      <c r="CY19">
        <f>CY18+IF(AND(Lists!$FS$19&lt;&gt;"",ISNUMBER(SEARCH($AI$4,Lists!$FS$19))),1,0)</f>
        <v/>
      </c>
      <c r="CZ19">
        <f>IF(ROW()-3&gt;MAX($CY$4:$CY$42),"",INDEX(Lists!$FS$4:$FS$42,MATCH(ROW()-3,$CY$4:$CY$42,0)))</f>
        <v/>
      </c>
      <c r="DA19">
        <f>DA18+IF(AND(Lists!$FX$19&lt;&gt;"",ISNUMBER(SEARCH($AF$4,Lists!$FX$19))),1,0)</f>
        <v/>
      </c>
      <c r="DB19">
        <f>IF(ROW()-3&gt;MAX($DA$4:$DA$42),"",INDEX(Lists!$FX$4:$FX$42,MATCH(ROW()-3,$DA$4:$DA$42,0)))</f>
        <v/>
      </c>
    </row>
    <row r="20" outlineLevel="1" ht="15" customHeight="1" s="137">
      <c r="A20" s="90" t="n">
        <v>4</v>
      </c>
      <c r="B20" s="92">
        <f>IF('Final Calculation Sheet'!$F$12="","",'Final Calculation Sheet'!$F$12)</f>
        <v/>
      </c>
      <c r="C20" s="92">
        <f>IF('Final Calculation Sheet'!$G$12="","",'Final Calculation Sheet'!$G$12)</f>
        <v/>
      </c>
      <c r="D20" s="94">
        <f>IF('Final Calculation Sheet'!$B$12="","",'Final Calculation Sheet'!$B$12)</f>
        <v/>
      </c>
      <c r="E20" s="94">
        <f>IF('Final Calculation Sheet'!$D$12="","",'Final Calculation Sheet'!$D$12)</f>
        <v/>
      </c>
      <c r="F20" s="94">
        <f>IF('Final Calculation Sheet'!$A$12="","",'Final Calculation Sheet'!$A$12)</f>
        <v/>
      </c>
      <c r="G20" s="94">
        <f>IF('Final Calculation Sheet'!$E$12="","",'Final Calculation Sheet'!$E$12)</f>
        <v/>
      </c>
      <c r="H20" s="95">
        <f>IF('Final Calculation Sheet'!$C$12="","",'Final Calculation Sheet'!$C$12)</f>
        <v/>
      </c>
      <c r="I20" s="95">
        <f>IF('Final Calculation Sheet'!$H$12="","",'Final Calculation Sheet'!$H$12)</f>
        <v/>
      </c>
      <c r="J20" s="95">
        <f>IF('Final Calculation Sheet'!$I$12="","",'Final Calculation Sheet'!$I$12)</f>
        <v/>
      </c>
      <c r="K20" s="95">
        <f>IF('Final Calculation Sheet'!$J$12="","",'Final Calculation Sheet'!$J$12)</f>
        <v/>
      </c>
      <c r="L20" s="95">
        <f>IF('Final Calculation Sheet'!$K$12="","",'Final Calculation Sheet'!$K$12)</f>
        <v/>
      </c>
      <c r="M20" s="95">
        <f>IF('Final Calculation Sheet'!$L$12="","",'Final Calculation Sheet'!$L$12)</f>
        <v/>
      </c>
      <c r="N20" s="95">
        <f>IF('Final Calculation Sheet'!$M$12="","",'Final Calculation Sheet'!$M$12)</f>
        <v/>
      </c>
      <c r="O20" s="96">
        <f>IF('Final Calculation Sheet'!$N$12="","",'Final Calculation Sheet'!$N$12)</f>
        <v/>
      </c>
      <c r="P20" s="95">
        <f>IF('Final Calculation Sheet'!$O$12="","",'Final Calculation Sheet'!$O$12)</f>
        <v/>
      </c>
      <c r="Q20" s="95">
        <f>IF('Final Calculation Sheet'!$P$12="","",'Final Calculation Sheet'!$P$12)</f>
        <v/>
      </c>
      <c r="R20" s="97">
        <f>IF('Final Calculation Sheet'!$Q$12="","",'Final Calculation Sheet'!$Q$12)</f>
        <v/>
      </c>
      <c r="S20" s="95">
        <f>IF('Final Calculation Sheet'!$R$12="","",'Final Calculation Sheet'!$R$12)</f>
        <v/>
      </c>
      <c r="T20" s="95">
        <f>IF('Final Calculation Sheet'!$S$12="","",'Final Calculation Sheet'!$S$12)</f>
        <v/>
      </c>
      <c r="U20" s="95">
        <f>IF('Final Calculation Sheet'!$T$12="","",'Final Calculation Sheet'!$T$12)</f>
        <v/>
      </c>
      <c r="V20" s="98">
        <f>IF('Final Calculation Sheet'!$U$12="","",'Final Calculation Sheet'!$U$12)</f>
        <v/>
      </c>
      <c r="W20" s="95">
        <f>IF('Final Calculation Sheet'!$V$12="","",'Final Calculation Sheet'!$V$12)</f>
        <v/>
      </c>
      <c r="X20" s="95">
        <f>IF('Final Calculation Sheet'!$W$12="","",'Final Calculation Sheet'!$W$12)</f>
        <v/>
      </c>
      <c r="Y20" s="95">
        <f>IF('Final Calculation Sheet'!$X$12="","",'Final Calculation Sheet'!$X$12)</f>
        <v/>
      </c>
      <c r="Z20" s="95">
        <f>IF('Final Calculation Sheet'!$Y$12="","",'Final Calculation Sheet'!$Y$12)</f>
        <v/>
      </c>
      <c r="AA20" s="95">
        <f>IF('Final Calculation Sheet'!$Z$12="","",'Final Calculation Sheet'!$Z$12)</f>
        <v/>
      </c>
      <c r="AB20" s="95">
        <f>IF('Final Calculation Sheet'!$AA$12="","",'Final Calculation Sheet'!$AA$12)</f>
        <v/>
      </c>
      <c r="AC20" s="95">
        <f>IF('Final Calculation Sheet'!$AB$12="","",'Final Calculation Sheet'!$AB$12)</f>
        <v/>
      </c>
      <c r="AD20" s="95">
        <f>IF('Final Calculation Sheet'!$AC$12="","",'Final Calculation Sheet'!$AC$12)</f>
        <v/>
      </c>
      <c r="AE20" s="95">
        <f>IF('Final Calculation Sheet'!$AD$12="","",'Final Calculation Sheet'!$AD$12)</f>
        <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
      </c>
      <c r="AK20">
        <f>IF(AJ20=1,COUNTIF(AJ$6:AJ20,1),"")</f>
        <v/>
      </c>
      <c r="AM20">
        <f>AM19+IF(AND(Lists!$O$20&lt;&gt;"",ISNUMBER(SEARCH($B$4,Lists!$O$20))),1,0)</f>
        <v/>
      </c>
      <c r="AN20">
        <f>IF(ROW()-3&gt;MAX($AM$4:$AM$42),"",INDEX(Lists!$O$4:$O$42,MATCH(ROW()-3,$AM$4:$AM$42,0)))</f>
        <v/>
      </c>
      <c r="AO20">
        <f>AO19+IF(AND(Lists!$T$20&lt;&gt;"",ISNUMBER(SEARCH($C$4,Lists!$T$20))),1,0)</f>
        <v/>
      </c>
      <c r="AP20">
        <f>IF(ROW()-3&gt;MAX($AO$4:$AO$42),"",INDEX(Lists!$T$4:$T$42,MATCH(ROW()-3,$AO$4:$AO$42,0)))</f>
        <v/>
      </c>
      <c r="AQ20">
        <f>AQ19+IF(AND(Lists!$Y$20&lt;&gt;"",ISNUMBER(SEARCH($D$4,Lists!$Y$20))),1,0)</f>
        <v/>
      </c>
      <c r="AR20">
        <f>IF(ROW()-3&gt;MAX($AQ$4:$AQ$42),"",INDEX(Lists!$Y$4:$Y$42,MATCH(ROW()-3,$AQ$4:$AQ$42,0)))</f>
        <v/>
      </c>
      <c r="AS20">
        <f>AS19+IF(AND(Lists!$AD$20&lt;&gt;"",ISNUMBER(SEARCH($E$4,Lists!$AD$20))),1,0)</f>
        <v/>
      </c>
      <c r="AT20">
        <f>IF(ROW()-3&gt;MAX($AS$4:$AS$42),"",INDEX(Lists!$AD$4:$AD$42,MATCH(ROW()-3,$AS$4:$AS$42,0)))</f>
        <v/>
      </c>
      <c r="AU20">
        <f>AU19+IF(AND(Lists!$AI$20&lt;&gt;"",ISNUMBER(SEARCH($F$4,Lists!$AI$20))),1,0)</f>
        <v/>
      </c>
      <c r="AV20">
        <f>IF(ROW()-3&gt;MAX($AU$4:$AU$42),"",INDEX(Lists!$AI$4:$AI$42,MATCH(ROW()-3,$AU$4:$AU$42,0)))</f>
        <v/>
      </c>
      <c r="AW20">
        <f>AW19+IF(AND(Lists!$AN$20&lt;&gt;"",ISNUMBER(SEARCH($G$4,Lists!$AN$20))),1,0)</f>
        <v/>
      </c>
      <c r="AX20">
        <f>IF(ROW()-3&gt;MAX($AW$4:$AW$42),"",INDEX(Lists!$AN$4:$AN$42,MATCH(ROW()-3,$AW$4:$AW$42,0)))</f>
        <v/>
      </c>
      <c r="AY20">
        <f>AY19+IF(AND(Lists!$AS$20&lt;&gt;"",ISNUMBER(SEARCH($H$4,Lists!$AS$20))),1,0)</f>
        <v/>
      </c>
      <c r="AZ20">
        <f>IF(ROW()-3&gt;MAX($AY$4:$AY$42),"",INDEX(Lists!$AS$4:$AS$42,MATCH(ROW()-3,$AY$4:$AY$42,0)))</f>
        <v/>
      </c>
      <c r="BA20">
        <f>BA19+IF(AND(Lists!$AX$20&lt;&gt;"",ISNUMBER(SEARCH($I$4,Lists!$AX$20))),1,0)</f>
        <v/>
      </c>
      <c r="BB20">
        <f>IF(ROW()-3&gt;MAX($BA$4:$BA$42),"",INDEX(Lists!$AX$4:$AX$42,MATCH(ROW()-3,$BA$4:$BA$42,0)))</f>
        <v/>
      </c>
      <c r="BC20">
        <f>BC19+IF(AND(Lists!$BC$20&lt;&gt;"",ISNUMBER(SEARCH($J$4,Lists!$BC$20))),1,0)</f>
        <v/>
      </c>
      <c r="BD20">
        <f>IF(ROW()-3&gt;MAX($BC$4:$BC$42),"",INDEX(Lists!$BC$4:$BC$42,MATCH(ROW()-3,$BC$4:$BC$42,0)))</f>
        <v/>
      </c>
      <c r="BE20">
        <f>BE19+IF(AND(Lists!$BH$20&lt;&gt;"",ISNUMBER(SEARCH($K$4,Lists!$BH$20))),1,0)</f>
        <v/>
      </c>
      <c r="BF20">
        <f>IF(ROW()-3&gt;MAX($BE$4:$BE$42),"",INDEX(Lists!$BH$4:$BH$42,MATCH(ROW()-3,$BE$4:$BE$42,0)))</f>
        <v/>
      </c>
      <c r="BG20">
        <f>BG19+IF(AND(Lists!$BM$20&lt;&gt;"",ISNUMBER(SEARCH($L$4,Lists!$BM$20))),1,0)</f>
        <v/>
      </c>
      <c r="BH20">
        <f>IF(ROW()-3&gt;MAX($BG$4:$BG$42),"",INDEX(Lists!$BM$4:$BM$42,MATCH(ROW()-3,$BG$4:$BG$42,0)))</f>
        <v/>
      </c>
      <c r="BI20">
        <f>BI19+IF(AND(Lists!$BR$20&lt;&gt;"",ISNUMBER(SEARCH($M$4,Lists!$BR$20))),1,0)</f>
        <v/>
      </c>
      <c r="BJ20">
        <f>IF(ROW()-3&gt;MAX($BI$4:$BI$42),"",INDEX(Lists!$BR$4:$BR$42,MATCH(ROW()-3,$BI$4:$BI$42,0)))</f>
        <v/>
      </c>
      <c r="BK20">
        <f>BK19+IF(AND(Lists!$BW$20&lt;&gt;"",ISNUMBER(SEARCH($N$4,Lists!$BW$20))),1,0)</f>
        <v/>
      </c>
      <c r="BL20">
        <f>IF(ROW()-3&gt;MAX($BK$4:$BK$42),"",INDEX(Lists!$BW$4:$BW$42,MATCH(ROW()-3,$BK$4:$BK$42,0)))</f>
        <v/>
      </c>
      <c r="BM20">
        <f>BM19+IF(AND(Lists!$CB$20&lt;&gt;"",ISNUMBER(SEARCH($O$4,Lists!$CB$20))),1,0)</f>
        <v/>
      </c>
      <c r="BN20">
        <f>IF(ROW()-3&gt;MAX($BM$4:$BM$42),"",INDEX(Lists!$CB$4:$CB$42,MATCH(ROW()-3,$BM$4:$BM$42,0)))</f>
        <v/>
      </c>
      <c r="BO20">
        <f>BO19+IF(AND(Lists!$CG$20&lt;&gt;"",ISNUMBER(SEARCH($P$4,Lists!$CG$20))),1,0)</f>
        <v/>
      </c>
      <c r="BP20">
        <f>IF(ROW()-3&gt;MAX($BO$4:$BO$42),"",INDEX(Lists!$CG$4:$CG$42,MATCH(ROW()-3,$BO$4:$BO$42,0)))</f>
        <v/>
      </c>
      <c r="BQ20">
        <f>BQ19+IF(AND(Lists!$CL$20&lt;&gt;"",ISNUMBER(SEARCH($Q$4,Lists!$CL$20))),1,0)</f>
        <v/>
      </c>
      <c r="BR20">
        <f>IF(ROW()-3&gt;MAX($BQ$4:$BQ$42),"",INDEX(Lists!$CL$4:$CL$42,MATCH(ROW()-3,$BQ$4:$BQ$42,0)))</f>
        <v/>
      </c>
      <c r="BS20">
        <f>BS19+IF(AND(Lists!$CQ$20&lt;&gt;"",ISNUMBER(SEARCH($R$4,Lists!$CQ$20))),1,0)</f>
        <v/>
      </c>
      <c r="BT20">
        <f>IF(ROW()-3&gt;MAX($BS$4:$BS$42),"",INDEX(Lists!$CQ$4:$CQ$42,MATCH(ROW()-3,$BS$4:$BS$42,0)))</f>
        <v/>
      </c>
      <c r="BU20">
        <f>BU19+IF(AND(Lists!$CV$20&lt;&gt;"",ISNUMBER(SEARCH($S$4,Lists!$CV$20))),1,0)</f>
        <v/>
      </c>
      <c r="BV20">
        <f>IF(ROW()-3&gt;MAX($BU$4:$BU$42),"",INDEX(Lists!$CV$4:$CV$42,MATCH(ROW()-3,$BU$4:$BU$42,0)))</f>
        <v/>
      </c>
      <c r="BW20">
        <f>BW19+IF(AND(Lists!$DA$20&lt;&gt;"",ISNUMBER(SEARCH($T$4,Lists!$DA$20))),1,0)</f>
        <v/>
      </c>
      <c r="BX20">
        <f>IF(ROW()-3&gt;MAX($BW$4:$BW$42),"",INDEX(Lists!$DA$4:$DA$42,MATCH(ROW()-3,$BW$4:$BW$42,0)))</f>
        <v/>
      </c>
      <c r="BY20">
        <f>BY19+IF(AND(Lists!$DF$20&lt;&gt;"",ISNUMBER(SEARCH($U$4,Lists!$DF$20))),1,0)</f>
        <v/>
      </c>
      <c r="BZ20">
        <f>IF(ROW()-3&gt;MAX($BY$4:$BY$42),"",INDEX(Lists!$DF$4:$DF$42,MATCH(ROW()-3,$BY$4:$BY$42,0)))</f>
        <v/>
      </c>
      <c r="CA20">
        <f>CA19+IF(AND(Lists!$DK$20&lt;&gt;"",ISNUMBER(SEARCH($V$4,Lists!$DK$20))),1,0)</f>
        <v/>
      </c>
      <c r="CB20">
        <f>IF(ROW()-3&gt;MAX($CA$4:$CA$42),"",INDEX(Lists!$DK$4:$DK$42,MATCH(ROW()-3,$CA$4:$CA$42,0)))</f>
        <v/>
      </c>
      <c r="CC20">
        <f>CC19+IF(AND(Lists!$DP$20&lt;&gt;"",ISNUMBER(SEARCH($W$4,Lists!$DP$20))),1,0)</f>
        <v/>
      </c>
      <c r="CD20">
        <f>IF(ROW()-3&gt;MAX($CC$4:$CC$42),"",INDEX(Lists!$DP$4:$DP$42,MATCH(ROW()-3,$CC$4:$CC$42,0)))</f>
        <v/>
      </c>
      <c r="CE20">
        <f>CE19+IF(AND(Lists!$DU$20&lt;&gt;"",ISNUMBER(SEARCH($X$4,Lists!$DU$20))),1,0)</f>
        <v/>
      </c>
      <c r="CF20">
        <f>IF(ROW()-3&gt;MAX($CE$4:$CE$42),"",INDEX(Lists!$DU$4:$DU$42,MATCH(ROW()-3,$CE$4:$CE$42,0)))</f>
        <v/>
      </c>
      <c r="CG20">
        <f>CG19+IF(AND(Lists!$DZ$20&lt;&gt;"",ISNUMBER(SEARCH($Y$4,Lists!$DZ$20))),1,0)</f>
        <v/>
      </c>
      <c r="CH20">
        <f>IF(ROW()-3&gt;MAX($CG$4:$CG$42),"",INDEX(Lists!$DZ$4:$DZ$42,MATCH(ROW()-3,$CG$4:$CG$42,0)))</f>
        <v/>
      </c>
      <c r="CI20">
        <f>CI19+IF(AND(Lists!$EE$20&lt;&gt;"",ISNUMBER(SEARCH($Z$4,Lists!$EE$20))),1,0)</f>
        <v/>
      </c>
      <c r="CJ20">
        <f>IF(ROW()-3&gt;MAX($CI$4:$CI$42),"",INDEX(Lists!$EE$4:$EE$42,MATCH(ROW()-3,$CI$4:$CI$42,0)))</f>
        <v/>
      </c>
      <c r="CK20">
        <f>CK19+IF(AND(Lists!$EJ$20&lt;&gt;"",ISNUMBER(SEARCH($AA$4,Lists!$EJ$20))),1,0)</f>
        <v/>
      </c>
      <c r="CL20">
        <f>IF(ROW()-3&gt;MAX($CK$4:$CK$42),"",INDEX(Lists!$EJ$4:$EJ$42,MATCH(ROW()-3,$CK$4:$CK$42,0)))</f>
        <v/>
      </c>
      <c r="CM20">
        <f>CM19+IF(AND(Lists!$EO$20&lt;&gt;"",ISNUMBER(SEARCH($AB$4,Lists!$EO$20))),1,0)</f>
        <v/>
      </c>
      <c r="CN20">
        <f>IF(ROW()-3&gt;MAX($CM$4:$CM$42),"",INDEX(Lists!$EO$4:$EO$42,MATCH(ROW()-3,$CM$4:$CM$42,0)))</f>
        <v/>
      </c>
      <c r="CO20">
        <f>CO19+IF(AND(Lists!$ET$20&lt;&gt;"",ISNUMBER(SEARCH($AC$4,Lists!$ET$20))),1,0)</f>
        <v/>
      </c>
      <c r="CP20">
        <f>IF(ROW()-3&gt;MAX($CO$4:$CO$42),"",INDEX(Lists!$ET$4:$ET$42,MATCH(ROW()-3,$CO$4:$CO$42,0)))</f>
        <v/>
      </c>
      <c r="CQ20">
        <f>CQ19+IF(AND(Lists!$EY$20&lt;&gt;"",ISNUMBER(SEARCH($AD$4,Lists!$EY$20))),1,0)</f>
        <v/>
      </c>
      <c r="CR20">
        <f>IF(ROW()-3&gt;MAX($CQ$4:$CQ$42),"",INDEX(Lists!$EY$4:$EY$42,MATCH(ROW()-3,$CQ$4:$CQ$42,0)))</f>
        <v/>
      </c>
      <c r="CS20">
        <f>CS19+IF(AND(Lists!$FD$20&lt;&gt;"",ISNUMBER(SEARCH($AE$4,Lists!$FD$20))),1,0)</f>
        <v/>
      </c>
      <c r="CT20">
        <f>IF(ROW()-3&gt;MAX($CS$4:$CS$42),"",INDEX(Lists!$FD$4:$FD$42,MATCH(ROW()-3,$CS$4:$CS$42,0)))</f>
        <v/>
      </c>
      <c r="CU20">
        <f>CU19+IF(AND(Lists!$FI$20&lt;&gt;"",ISNUMBER(SEARCH($AG$4,Lists!$FI$20))),1,0)</f>
        <v/>
      </c>
      <c r="CV20">
        <f>IF(ROW()-3&gt;MAX($CU$4:$CU$42),"",INDEX(Lists!$FI$4:$FI$42,MATCH(ROW()-3,$CU$4:$CU$42,0)))</f>
        <v/>
      </c>
      <c r="CW20">
        <f>CW19+IF(AND(Lists!$FN$20&lt;&gt;"",ISNUMBER(SEARCH($AH$4,Lists!$FN$20))),1,0)</f>
        <v/>
      </c>
      <c r="CX20">
        <f>IF(ROW()-3&gt;MAX($CW$4:$CW$42),"",INDEX(Lists!$FN$4:$FN$42,MATCH(ROW()-3,$CW$4:$CW$42,0)))</f>
        <v/>
      </c>
      <c r="CY20">
        <f>CY19+IF(AND(Lists!$FS$20&lt;&gt;"",ISNUMBER(SEARCH($AI$4,Lists!$FS$20))),1,0)</f>
        <v/>
      </c>
      <c r="CZ20">
        <f>IF(ROW()-3&gt;MAX($CY$4:$CY$42),"",INDEX(Lists!$FS$4:$FS$42,MATCH(ROW()-3,$CY$4:$CY$42,0)))</f>
        <v/>
      </c>
      <c r="DA20">
        <f>DA19+IF(AND(Lists!$FX$20&lt;&gt;"",ISNUMBER(SEARCH($AF$4,Lists!$FX$20))),1,0)</f>
        <v/>
      </c>
      <c r="DB20">
        <f>IF(ROW()-3&gt;MAX($DA$4:$DA$42),"",INDEX(Lists!$FX$4:$FX$42,MATCH(ROW()-3,$DA$4:$DA$42,0)))</f>
        <v/>
      </c>
    </row>
    <row r="21" outlineLevel="1" ht="15" customHeight="1" s="137">
      <c r="A21" s="67" t="n">
        <v>5</v>
      </c>
      <c r="B21" s="76">
        <f>IF('Final Calculation Sheet'!$F$18="","",'Final Calculation Sheet'!$F$18)</f>
        <v/>
      </c>
      <c r="C21" s="76">
        <f>IF('Final Calculation Sheet'!$G$18="","",'Final Calculation Sheet'!$G$18)</f>
        <v/>
      </c>
      <c r="D21" s="80">
        <f>IF('Final Calculation Sheet'!$B$18="","",'Final Calculation Sheet'!$B$18)</f>
        <v/>
      </c>
      <c r="E21" s="80">
        <f>IF('Final Calculation Sheet'!$D$18="","",'Final Calculation Sheet'!$D$18)</f>
        <v/>
      </c>
      <c r="F21" s="80">
        <f>IF('Final Calculation Sheet'!$A$18="","",'Final Calculation Sheet'!$A$18)</f>
        <v/>
      </c>
      <c r="G21" s="80">
        <f>IF('Final Calculation Sheet'!$E$18="","",'Final Calculation Sheet'!$E$18)</f>
        <v/>
      </c>
      <c r="H21" s="70">
        <f>IF('Final Calculation Sheet'!$C$18="","",'Final Calculation Sheet'!$C$18)</f>
        <v/>
      </c>
      <c r="I21" s="70">
        <f>IF('Final Calculation Sheet'!$H$18="","",'Final Calculation Sheet'!$H$18)</f>
        <v/>
      </c>
      <c r="J21" s="70">
        <f>IF('Final Calculation Sheet'!$I$18="","",'Final Calculation Sheet'!$I$18)</f>
        <v/>
      </c>
      <c r="K21" s="70">
        <f>IF('Final Calculation Sheet'!$J$18="","",'Final Calculation Sheet'!$J$18)</f>
        <v/>
      </c>
      <c r="L21" s="70">
        <f>IF('Final Calculation Sheet'!$K$18="","",'Final Calculation Sheet'!$K$18)</f>
        <v/>
      </c>
      <c r="M21" s="70">
        <f>IF('Final Calculation Sheet'!$L$18="","",'Final Calculation Sheet'!$L$18)</f>
        <v/>
      </c>
      <c r="N21" s="70">
        <f>IF('Final Calculation Sheet'!$M$18="","",'Final Calculation Sheet'!$M$18)</f>
        <v/>
      </c>
      <c r="O21" s="71">
        <f>IF('Final Calculation Sheet'!$N$18="","",'Final Calculation Sheet'!$N$18)</f>
        <v/>
      </c>
      <c r="P21" s="70">
        <f>IF('Final Calculation Sheet'!$O$18="","",'Final Calculation Sheet'!$O$18)</f>
        <v/>
      </c>
      <c r="Q21" s="70">
        <f>IF('Final Calculation Sheet'!$P$18="","",'Final Calculation Sheet'!$P$18)</f>
        <v/>
      </c>
      <c r="R21" s="72">
        <f>IF('Final Calculation Sheet'!$Q$18="","",'Final Calculation Sheet'!$Q$18)</f>
        <v/>
      </c>
      <c r="S21" s="70">
        <f>IF('Final Calculation Sheet'!$R$18="","",'Final Calculation Sheet'!$R$18)</f>
        <v/>
      </c>
      <c r="T21" s="70">
        <f>IF('Final Calculation Sheet'!$S$18="","",'Final Calculation Sheet'!$S$18)</f>
        <v/>
      </c>
      <c r="U21" s="70">
        <f>IF('Final Calculation Sheet'!$T$18="","",'Final Calculation Sheet'!$T$18)</f>
        <v/>
      </c>
      <c r="V21" s="73">
        <f>IF('Final Calculation Sheet'!$U$18="","",'Final Calculation Sheet'!$U$18)</f>
        <v/>
      </c>
      <c r="W21" s="70">
        <f>IF('Final Calculation Sheet'!$V$18="","",'Final Calculation Sheet'!$V$18)</f>
        <v/>
      </c>
      <c r="X21" s="70">
        <f>IF('Final Calculation Sheet'!$W$18="","",'Final Calculation Sheet'!$W$18)</f>
        <v/>
      </c>
      <c r="Y21" s="70">
        <f>IF('Final Calculation Sheet'!$X$18="","",'Final Calculation Sheet'!$X$18)</f>
        <v/>
      </c>
      <c r="Z21" s="70">
        <f>IF('Final Calculation Sheet'!$Y$18="","",'Final Calculation Sheet'!$Y$18)</f>
        <v/>
      </c>
      <c r="AA21" s="70">
        <f>IF('Final Calculation Sheet'!$Z$18="","",'Final Calculation Sheet'!$Z$18)</f>
        <v/>
      </c>
      <c r="AB21" s="70">
        <f>IF('Final Calculation Sheet'!$AA$18="","",'Final Calculation Sheet'!$AA$18)</f>
        <v/>
      </c>
      <c r="AC21" s="70">
        <f>IF('Final Calculation Sheet'!$AB$18="","",'Final Calculation Sheet'!$AB$18)</f>
        <v/>
      </c>
      <c r="AD21" s="70">
        <f>IF('Final Calculation Sheet'!$AC$18="","",'Final Calculation Sheet'!$AC$18)</f>
        <v/>
      </c>
      <c r="AE21" s="70">
        <f>IF('Final Calculation Sheet'!$AD$18="","",'Final Calculation Sheet'!$AD$18)</f>
        <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
      </c>
      <c r="AK21">
        <f>IF(AJ21=1,COUNTIF(AJ$6:AJ21,1),"")</f>
        <v/>
      </c>
      <c r="AM21">
        <f>AM20+IF(AND(Lists!$O$21&lt;&gt;"",ISNUMBER(SEARCH($B$4,Lists!$O$21))),1,0)</f>
        <v/>
      </c>
      <c r="AN21">
        <f>IF(ROW()-3&gt;MAX($AM$4:$AM$42),"",INDEX(Lists!$O$4:$O$42,MATCH(ROW()-3,$AM$4:$AM$42,0)))</f>
        <v/>
      </c>
      <c r="AO21">
        <f>AO20+IF(AND(Lists!$T$21&lt;&gt;"",ISNUMBER(SEARCH($C$4,Lists!$T$21))),1,0)</f>
        <v/>
      </c>
      <c r="AP21">
        <f>IF(ROW()-3&gt;MAX($AO$4:$AO$42),"",INDEX(Lists!$T$4:$T$42,MATCH(ROW()-3,$AO$4:$AO$42,0)))</f>
        <v/>
      </c>
      <c r="AQ21">
        <f>AQ20+IF(AND(Lists!$Y$21&lt;&gt;"",ISNUMBER(SEARCH($D$4,Lists!$Y$21))),1,0)</f>
        <v/>
      </c>
      <c r="AR21">
        <f>IF(ROW()-3&gt;MAX($AQ$4:$AQ$42),"",INDEX(Lists!$Y$4:$Y$42,MATCH(ROW()-3,$AQ$4:$AQ$42,0)))</f>
        <v/>
      </c>
      <c r="AS21">
        <f>AS20+IF(AND(Lists!$AD$21&lt;&gt;"",ISNUMBER(SEARCH($E$4,Lists!$AD$21))),1,0)</f>
        <v/>
      </c>
      <c r="AT21">
        <f>IF(ROW()-3&gt;MAX($AS$4:$AS$42),"",INDEX(Lists!$AD$4:$AD$42,MATCH(ROW()-3,$AS$4:$AS$42,0)))</f>
        <v/>
      </c>
      <c r="AU21">
        <f>AU20+IF(AND(Lists!$AI$21&lt;&gt;"",ISNUMBER(SEARCH($F$4,Lists!$AI$21))),1,0)</f>
        <v/>
      </c>
      <c r="AV21">
        <f>IF(ROW()-3&gt;MAX($AU$4:$AU$42),"",INDEX(Lists!$AI$4:$AI$42,MATCH(ROW()-3,$AU$4:$AU$42,0)))</f>
        <v/>
      </c>
      <c r="AW21">
        <f>AW20+IF(AND(Lists!$AN$21&lt;&gt;"",ISNUMBER(SEARCH($G$4,Lists!$AN$21))),1,0)</f>
        <v/>
      </c>
      <c r="AX21">
        <f>IF(ROW()-3&gt;MAX($AW$4:$AW$42),"",INDEX(Lists!$AN$4:$AN$42,MATCH(ROW()-3,$AW$4:$AW$42,0)))</f>
        <v/>
      </c>
      <c r="AY21">
        <f>AY20+IF(AND(Lists!$AS$21&lt;&gt;"",ISNUMBER(SEARCH($H$4,Lists!$AS$21))),1,0)</f>
        <v/>
      </c>
      <c r="AZ21">
        <f>IF(ROW()-3&gt;MAX($AY$4:$AY$42),"",INDEX(Lists!$AS$4:$AS$42,MATCH(ROW()-3,$AY$4:$AY$42,0)))</f>
        <v/>
      </c>
      <c r="BA21">
        <f>BA20+IF(AND(Lists!$AX$21&lt;&gt;"",ISNUMBER(SEARCH($I$4,Lists!$AX$21))),1,0)</f>
        <v/>
      </c>
      <c r="BB21">
        <f>IF(ROW()-3&gt;MAX($BA$4:$BA$42),"",INDEX(Lists!$AX$4:$AX$42,MATCH(ROW()-3,$BA$4:$BA$42,0)))</f>
        <v/>
      </c>
      <c r="BC21">
        <f>BC20+IF(AND(Lists!$BC$21&lt;&gt;"",ISNUMBER(SEARCH($J$4,Lists!$BC$21))),1,0)</f>
        <v/>
      </c>
      <c r="BD21">
        <f>IF(ROW()-3&gt;MAX($BC$4:$BC$42),"",INDEX(Lists!$BC$4:$BC$42,MATCH(ROW()-3,$BC$4:$BC$42,0)))</f>
        <v/>
      </c>
      <c r="BE21">
        <f>BE20+IF(AND(Lists!$BH$21&lt;&gt;"",ISNUMBER(SEARCH($K$4,Lists!$BH$21))),1,0)</f>
        <v/>
      </c>
      <c r="BF21">
        <f>IF(ROW()-3&gt;MAX($BE$4:$BE$42),"",INDEX(Lists!$BH$4:$BH$42,MATCH(ROW()-3,$BE$4:$BE$42,0)))</f>
        <v/>
      </c>
      <c r="BG21">
        <f>BG20+IF(AND(Lists!$BM$21&lt;&gt;"",ISNUMBER(SEARCH($L$4,Lists!$BM$21))),1,0)</f>
        <v/>
      </c>
      <c r="BH21">
        <f>IF(ROW()-3&gt;MAX($BG$4:$BG$42),"",INDEX(Lists!$BM$4:$BM$42,MATCH(ROW()-3,$BG$4:$BG$42,0)))</f>
        <v/>
      </c>
      <c r="BI21">
        <f>BI20+IF(AND(Lists!$BR$21&lt;&gt;"",ISNUMBER(SEARCH($M$4,Lists!$BR$21))),1,0)</f>
        <v/>
      </c>
      <c r="BJ21">
        <f>IF(ROW()-3&gt;MAX($BI$4:$BI$42),"",INDEX(Lists!$BR$4:$BR$42,MATCH(ROW()-3,$BI$4:$BI$42,0)))</f>
        <v/>
      </c>
      <c r="BK21">
        <f>BK20+IF(AND(Lists!$BW$21&lt;&gt;"",ISNUMBER(SEARCH($N$4,Lists!$BW$21))),1,0)</f>
        <v/>
      </c>
      <c r="BL21">
        <f>IF(ROW()-3&gt;MAX($BK$4:$BK$42),"",INDEX(Lists!$BW$4:$BW$42,MATCH(ROW()-3,$BK$4:$BK$42,0)))</f>
        <v/>
      </c>
      <c r="BM21">
        <f>BM20+IF(AND(Lists!$CB$21&lt;&gt;"",ISNUMBER(SEARCH($O$4,Lists!$CB$21))),1,0)</f>
        <v/>
      </c>
      <c r="BN21">
        <f>IF(ROW()-3&gt;MAX($BM$4:$BM$42),"",INDEX(Lists!$CB$4:$CB$42,MATCH(ROW()-3,$BM$4:$BM$42,0)))</f>
        <v/>
      </c>
      <c r="BO21">
        <f>BO20+IF(AND(Lists!$CG$21&lt;&gt;"",ISNUMBER(SEARCH($P$4,Lists!$CG$21))),1,0)</f>
        <v/>
      </c>
      <c r="BP21">
        <f>IF(ROW()-3&gt;MAX($BO$4:$BO$42),"",INDEX(Lists!$CG$4:$CG$42,MATCH(ROW()-3,$BO$4:$BO$42,0)))</f>
        <v/>
      </c>
      <c r="BQ21">
        <f>BQ20+IF(AND(Lists!$CL$21&lt;&gt;"",ISNUMBER(SEARCH($Q$4,Lists!$CL$21))),1,0)</f>
        <v/>
      </c>
      <c r="BR21">
        <f>IF(ROW()-3&gt;MAX($BQ$4:$BQ$42),"",INDEX(Lists!$CL$4:$CL$42,MATCH(ROW()-3,$BQ$4:$BQ$42,0)))</f>
        <v/>
      </c>
      <c r="BS21">
        <f>BS20+IF(AND(Lists!$CQ$21&lt;&gt;"",ISNUMBER(SEARCH($R$4,Lists!$CQ$21))),1,0)</f>
        <v/>
      </c>
      <c r="BT21">
        <f>IF(ROW()-3&gt;MAX($BS$4:$BS$42),"",INDEX(Lists!$CQ$4:$CQ$42,MATCH(ROW()-3,$BS$4:$BS$42,0)))</f>
        <v/>
      </c>
      <c r="BU21">
        <f>BU20+IF(AND(Lists!$CV$21&lt;&gt;"",ISNUMBER(SEARCH($S$4,Lists!$CV$21))),1,0)</f>
        <v/>
      </c>
      <c r="BV21">
        <f>IF(ROW()-3&gt;MAX($BU$4:$BU$42),"",INDEX(Lists!$CV$4:$CV$42,MATCH(ROW()-3,$BU$4:$BU$42,0)))</f>
        <v/>
      </c>
      <c r="BW21">
        <f>BW20+IF(AND(Lists!$DA$21&lt;&gt;"",ISNUMBER(SEARCH($T$4,Lists!$DA$21))),1,0)</f>
        <v/>
      </c>
      <c r="BX21">
        <f>IF(ROW()-3&gt;MAX($BW$4:$BW$42),"",INDEX(Lists!$DA$4:$DA$42,MATCH(ROW()-3,$BW$4:$BW$42,0)))</f>
        <v/>
      </c>
      <c r="BY21">
        <f>BY20+IF(AND(Lists!$DF$21&lt;&gt;"",ISNUMBER(SEARCH($U$4,Lists!$DF$21))),1,0)</f>
        <v/>
      </c>
      <c r="BZ21">
        <f>IF(ROW()-3&gt;MAX($BY$4:$BY$42),"",INDEX(Lists!$DF$4:$DF$42,MATCH(ROW()-3,$BY$4:$BY$42,0)))</f>
        <v/>
      </c>
      <c r="CA21">
        <f>CA20+IF(AND(Lists!$DK$21&lt;&gt;"",ISNUMBER(SEARCH($V$4,Lists!$DK$21))),1,0)</f>
        <v/>
      </c>
      <c r="CB21">
        <f>IF(ROW()-3&gt;MAX($CA$4:$CA$42),"",INDEX(Lists!$DK$4:$DK$42,MATCH(ROW()-3,$CA$4:$CA$42,0)))</f>
        <v/>
      </c>
      <c r="CC21">
        <f>CC20+IF(AND(Lists!$DP$21&lt;&gt;"",ISNUMBER(SEARCH($W$4,Lists!$DP$21))),1,0)</f>
        <v/>
      </c>
      <c r="CD21">
        <f>IF(ROW()-3&gt;MAX($CC$4:$CC$42),"",INDEX(Lists!$DP$4:$DP$42,MATCH(ROW()-3,$CC$4:$CC$42,0)))</f>
        <v/>
      </c>
      <c r="CE21">
        <f>CE20+IF(AND(Lists!$DU$21&lt;&gt;"",ISNUMBER(SEARCH($X$4,Lists!$DU$21))),1,0)</f>
        <v/>
      </c>
      <c r="CF21">
        <f>IF(ROW()-3&gt;MAX($CE$4:$CE$42),"",INDEX(Lists!$DU$4:$DU$42,MATCH(ROW()-3,$CE$4:$CE$42,0)))</f>
        <v/>
      </c>
      <c r="CG21">
        <f>CG20+IF(AND(Lists!$DZ$21&lt;&gt;"",ISNUMBER(SEARCH($Y$4,Lists!$DZ$21))),1,0)</f>
        <v/>
      </c>
      <c r="CH21">
        <f>IF(ROW()-3&gt;MAX($CG$4:$CG$42),"",INDEX(Lists!$DZ$4:$DZ$42,MATCH(ROW()-3,$CG$4:$CG$42,0)))</f>
        <v/>
      </c>
      <c r="CI21">
        <f>CI20+IF(AND(Lists!$EE$21&lt;&gt;"",ISNUMBER(SEARCH($Z$4,Lists!$EE$21))),1,0)</f>
        <v/>
      </c>
      <c r="CJ21">
        <f>IF(ROW()-3&gt;MAX($CI$4:$CI$42),"",INDEX(Lists!$EE$4:$EE$42,MATCH(ROW()-3,$CI$4:$CI$42,0)))</f>
        <v/>
      </c>
      <c r="CK21">
        <f>CK20+IF(AND(Lists!$EJ$21&lt;&gt;"",ISNUMBER(SEARCH($AA$4,Lists!$EJ$21))),1,0)</f>
        <v/>
      </c>
      <c r="CL21">
        <f>IF(ROW()-3&gt;MAX($CK$4:$CK$42),"",INDEX(Lists!$EJ$4:$EJ$42,MATCH(ROW()-3,$CK$4:$CK$42,0)))</f>
        <v/>
      </c>
      <c r="CM21">
        <f>CM20+IF(AND(Lists!$EO$21&lt;&gt;"",ISNUMBER(SEARCH($AB$4,Lists!$EO$21))),1,0)</f>
        <v/>
      </c>
      <c r="CN21">
        <f>IF(ROW()-3&gt;MAX($CM$4:$CM$42),"",INDEX(Lists!$EO$4:$EO$42,MATCH(ROW()-3,$CM$4:$CM$42,0)))</f>
        <v/>
      </c>
      <c r="CO21">
        <f>CO20+IF(AND(Lists!$ET$21&lt;&gt;"",ISNUMBER(SEARCH($AC$4,Lists!$ET$21))),1,0)</f>
        <v/>
      </c>
      <c r="CP21">
        <f>IF(ROW()-3&gt;MAX($CO$4:$CO$42),"",INDEX(Lists!$ET$4:$ET$42,MATCH(ROW()-3,$CO$4:$CO$42,0)))</f>
        <v/>
      </c>
      <c r="CQ21">
        <f>CQ20+IF(AND(Lists!$EY$21&lt;&gt;"",ISNUMBER(SEARCH($AD$4,Lists!$EY$21))),1,0)</f>
        <v/>
      </c>
      <c r="CR21">
        <f>IF(ROW()-3&gt;MAX($CQ$4:$CQ$42),"",INDEX(Lists!$EY$4:$EY$42,MATCH(ROW()-3,$CQ$4:$CQ$42,0)))</f>
        <v/>
      </c>
      <c r="CS21">
        <f>CS20+IF(AND(Lists!$FD$21&lt;&gt;"",ISNUMBER(SEARCH($AE$4,Lists!$FD$21))),1,0)</f>
        <v/>
      </c>
      <c r="CT21">
        <f>IF(ROW()-3&gt;MAX($CS$4:$CS$42),"",INDEX(Lists!$FD$4:$FD$42,MATCH(ROW()-3,$CS$4:$CS$42,0)))</f>
        <v/>
      </c>
      <c r="CU21">
        <f>CU20+IF(AND(Lists!$FI$21&lt;&gt;"",ISNUMBER(SEARCH($AG$4,Lists!$FI$21))),1,0)</f>
        <v/>
      </c>
      <c r="CV21">
        <f>IF(ROW()-3&gt;MAX($CU$4:$CU$42),"",INDEX(Lists!$FI$4:$FI$42,MATCH(ROW()-3,$CU$4:$CU$42,0)))</f>
        <v/>
      </c>
      <c r="CW21">
        <f>CW20+IF(AND(Lists!$FN$21&lt;&gt;"",ISNUMBER(SEARCH($AH$4,Lists!$FN$21))),1,0)</f>
        <v/>
      </c>
      <c r="CX21">
        <f>IF(ROW()-3&gt;MAX($CW$4:$CW$42),"",INDEX(Lists!$FN$4:$FN$42,MATCH(ROW()-3,$CW$4:$CW$42,0)))</f>
        <v/>
      </c>
      <c r="CY21">
        <f>CY20+IF(AND(Lists!$FS$21&lt;&gt;"",ISNUMBER(SEARCH($AI$4,Lists!$FS$21))),1,0)</f>
        <v/>
      </c>
      <c r="CZ21">
        <f>IF(ROW()-3&gt;MAX($CY$4:$CY$42),"",INDEX(Lists!$FS$4:$FS$42,MATCH(ROW()-3,$CY$4:$CY$42,0)))</f>
        <v/>
      </c>
      <c r="DA21">
        <f>DA20+IF(AND(Lists!$FX$21&lt;&gt;"",ISNUMBER(SEARCH($AF$4,Lists!$FX$21))),1,0)</f>
        <v/>
      </c>
      <c r="DB21">
        <f>IF(ROW()-3&gt;MAX($DA$4:$DA$42),"",INDEX(Lists!$FX$4:$FX$42,MATCH(ROW()-3,$DA$4:$DA$42,0)))</f>
        <v/>
      </c>
    </row>
    <row r="22" outlineLevel="1" ht="15" customHeight="1" s="137">
      <c r="A22" s="90" t="n">
        <v>6</v>
      </c>
      <c r="B22" s="92">
        <f>IF('Final Calculation Sheet'!$F$19="","",'Final Calculation Sheet'!$F$19)</f>
        <v/>
      </c>
      <c r="C22" s="92">
        <f>IF('Final Calculation Sheet'!$G$19="","",'Final Calculation Sheet'!$G$19)</f>
        <v/>
      </c>
      <c r="D22" s="94">
        <f>IF('Final Calculation Sheet'!$B$19="","",'Final Calculation Sheet'!$B$19)</f>
        <v/>
      </c>
      <c r="E22" s="94">
        <f>IF('Final Calculation Sheet'!$D$19="","",'Final Calculation Sheet'!$D$19)</f>
        <v/>
      </c>
      <c r="F22" s="94">
        <f>IF('Final Calculation Sheet'!$A$19="","",'Final Calculation Sheet'!$A$19)</f>
        <v/>
      </c>
      <c r="G22" s="94">
        <f>IF('Final Calculation Sheet'!$E$19="","",'Final Calculation Sheet'!$E$19)</f>
        <v/>
      </c>
      <c r="H22" s="95">
        <f>IF('Final Calculation Sheet'!$C$19="","",'Final Calculation Sheet'!$C$19)</f>
        <v/>
      </c>
      <c r="I22" s="95">
        <f>IF('Final Calculation Sheet'!$H$19="","",'Final Calculation Sheet'!$H$19)</f>
        <v/>
      </c>
      <c r="J22" s="95">
        <f>IF('Final Calculation Sheet'!$I$19="","",'Final Calculation Sheet'!$I$19)</f>
        <v/>
      </c>
      <c r="K22" s="95">
        <f>IF('Final Calculation Sheet'!$J$19="","",'Final Calculation Sheet'!$J$19)</f>
        <v/>
      </c>
      <c r="L22" s="95">
        <f>IF('Final Calculation Sheet'!$K$19="","",'Final Calculation Sheet'!$K$19)</f>
        <v/>
      </c>
      <c r="M22" s="95">
        <f>IF('Final Calculation Sheet'!$L$19="","",'Final Calculation Sheet'!$L$19)</f>
        <v/>
      </c>
      <c r="N22" s="95">
        <f>IF('Final Calculation Sheet'!$M$19="","",'Final Calculation Sheet'!$M$19)</f>
        <v/>
      </c>
      <c r="O22" s="96">
        <f>IF('Final Calculation Sheet'!$N$19="","",'Final Calculation Sheet'!$N$19)</f>
        <v/>
      </c>
      <c r="P22" s="95">
        <f>IF('Final Calculation Sheet'!$O$19="","",'Final Calculation Sheet'!$O$19)</f>
        <v/>
      </c>
      <c r="Q22" s="95">
        <f>IF('Final Calculation Sheet'!$P$19="","",'Final Calculation Sheet'!$P$19)</f>
        <v/>
      </c>
      <c r="R22" s="97">
        <f>IF('Final Calculation Sheet'!$Q$19="","",'Final Calculation Sheet'!$Q$19)</f>
        <v/>
      </c>
      <c r="S22" s="95">
        <f>IF('Final Calculation Sheet'!$R$19="","",'Final Calculation Sheet'!$R$19)</f>
        <v/>
      </c>
      <c r="T22" s="95">
        <f>IF('Final Calculation Sheet'!$S$19="","",'Final Calculation Sheet'!$S$19)</f>
        <v/>
      </c>
      <c r="U22" s="95">
        <f>IF('Final Calculation Sheet'!$T$19="","",'Final Calculation Sheet'!$T$19)</f>
        <v/>
      </c>
      <c r="V22" s="98">
        <f>IF('Final Calculation Sheet'!$U$19="","",'Final Calculation Sheet'!$U$19)</f>
        <v/>
      </c>
      <c r="W22" s="95">
        <f>IF('Final Calculation Sheet'!$V$19="","",'Final Calculation Sheet'!$V$19)</f>
        <v/>
      </c>
      <c r="X22" s="95">
        <f>IF('Final Calculation Sheet'!$W$19="","",'Final Calculation Sheet'!$W$19)</f>
        <v/>
      </c>
      <c r="Y22" s="95">
        <f>IF('Final Calculation Sheet'!$X$19="","",'Final Calculation Sheet'!$X$19)</f>
        <v/>
      </c>
      <c r="Z22" s="95">
        <f>IF('Final Calculation Sheet'!$Y$19="","",'Final Calculation Sheet'!$Y$19)</f>
        <v/>
      </c>
      <c r="AA22" s="95">
        <f>IF('Final Calculation Sheet'!$Z$19="","",'Final Calculation Sheet'!$Z$19)</f>
        <v/>
      </c>
      <c r="AB22" s="95">
        <f>IF('Final Calculation Sheet'!$AA$19="","",'Final Calculation Sheet'!$AA$19)</f>
        <v/>
      </c>
      <c r="AC22" s="95">
        <f>IF('Final Calculation Sheet'!$AB$19="","",'Final Calculation Sheet'!$AB$19)</f>
        <v/>
      </c>
      <c r="AD22" s="95">
        <f>IF('Final Calculation Sheet'!$AC$19="","",'Final Calculation Sheet'!$AC$19)</f>
        <v/>
      </c>
      <c r="AE22" s="95">
        <f>IF('Final Calculation Sheet'!$AD$19="","",'Final Calculation Sheet'!$AD$19)</f>
        <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
      </c>
      <c r="AK22">
        <f>IF(AJ22=1,COUNTIF(AJ$6:AJ22,1),"")</f>
        <v/>
      </c>
      <c r="AM22">
        <f>AM21+IF(AND(Lists!$O$22&lt;&gt;"",ISNUMBER(SEARCH($B$4,Lists!$O$22))),1,0)</f>
        <v/>
      </c>
      <c r="AN22">
        <f>IF(ROW()-3&gt;MAX($AM$4:$AM$42),"",INDEX(Lists!$O$4:$O$42,MATCH(ROW()-3,$AM$4:$AM$42,0)))</f>
        <v/>
      </c>
      <c r="AO22">
        <f>AO21+IF(AND(Lists!$T$22&lt;&gt;"",ISNUMBER(SEARCH($C$4,Lists!$T$22))),1,0)</f>
        <v/>
      </c>
      <c r="AP22">
        <f>IF(ROW()-3&gt;MAX($AO$4:$AO$42),"",INDEX(Lists!$T$4:$T$42,MATCH(ROW()-3,$AO$4:$AO$42,0)))</f>
        <v/>
      </c>
      <c r="AQ22">
        <f>AQ21+IF(AND(Lists!$Y$22&lt;&gt;"",ISNUMBER(SEARCH($D$4,Lists!$Y$22))),1,0)</f>
        <v/>
      </c>
      <c r="AR22">
        <f>IF(ROW()-3&gt;MAX($AQ$4:$AQ$42),"",INDEX(Lists!$Y$4:$Y$42,MATCH(ROW()-3,$AQ$4:$AQ$42,0)))</f>
        <v/>
      </c>
      <c r="AS22">
        <f>AS21+IF(AND(Lists!$AD$22&lt;&gt;"",ISNUMBER(SEARCH($E$4,Lists!$AD$22))),1,0)</f>
        <v/>
      </c>
      <c r="AT22">
        <f>IF(ROW()-3&gt;MAX($AS$4:$AS$42),"",INDEX(Lists!$AD$4:$AD$42,MATCH(ROW()-3,$AS$4:$AS$42,0)))</f>
        <v/>
      </c>
      <c r="AU22">
        <f>AU21+IF(AND(Lists!$AI$22&lt;&gt;"",ISNUMBER(SEARCH($F$4,Lists!$AI$22))),1,0)</f>
        <v/>
      </c>
      <c r="AV22">
        <f>IF(ROW()-3&gt;MAX($AU$4:$AU$42),"",INDEX(Lists!$AI$4:$AI$42,MATCH(ROW()-3,$AU$4:$AU$42,0)))</f>
        <v/>
      </c>
      <c r="AW22">
        <f>AW21+IF(AND(Lists!$AN$22&lt;&gt;"",ISNUMBER(SEARCH($G$4,Lists!$AN$22))),1,0)</f>
        <v/>
      </c>
      <c r="AX22">
        <f>IF(ROW()-3&gt;MAX($AW$4:$AW$42),"",INDEX(Lists!$AN$4:$AN$42,MATCH(ROW()-3,$AW$4:$AW$42,0)))</f>
        <v/>
      </c>
      <c r="AY22">
        <f>AY21+IF(AND(Lists!$AS$22&lt;&gt;"",ISNUMBER(SEARCH($H$4,Lists!$AS$22))),1,0)</f>
        <v/>
      </c>
      <c r="AZ22">
        <f>IF(ROW()-3&gt;MAX($AY$4:$AY$42),"",INDEX(Lists!$AS$4:$AS$42,MATCH(ROW()-3,$AY$4:$AY$42,0)))</f>
        <v/>
      </c>
      <c r="BA22">
        <f>BA21+IF(AND(Lists!$AX$22&lt;&gt;"",ISNUMBER(SEARCH($I$4,Lists!$AX$22))),1,0)</f>
        <v/>
      </c>
      <c r="BB22">
        <f>IF(ROW()-3&gt;MAX($BA$4:$BA$42),"",INDEX(Lists!$AX$4:$AX$42,MATCH(ROW()-3,$BA$4:$BA$42,0)))</f>
        <v/>
      </c>
      <c r="BC22">
        <f>BC21+IF(AND(Lists!$BC$22&lt;&gt;"",ISNUMBER(SEARCH($J$4,Lists!$BC$22))),1,0)</f>
        <v/>
      </c>
      <c r="BD22">
        <f>IF(ROW()-3&gt;MAX($BC$4:$BC$42),"",INDEX(Lists!$BC$4:$BC$42,MATCH(ROW()-3,$BC$4:$BC$42,0)))</f>
        <v/>
      </c>
      <c r="BE22">
        <f>BE21+IF(AND(Lists!$BH$22&lt;&gt;"",ISNUMBER(SEARCH($K$4,Lists!$BH$22))),1,0)</f>
        <v/>
      </c>
      <c r="BF22">
        <f>IF(ROW()-3&gt;MAX($BE$4:$BE$42),"",INDEX(Lists!$BH$4:$BH$42,MATCH(ROW()-3,$BE$4:$BE$42,0)))</f>
        <v/>
      </c>
      <c r="BG22">
        <f>BG21+IF(AND(Lists!$BM$22&lt;&gt;"",ISNUMBER(SEARCH($L$4,Lists!$BM$22))),1,0)</f>
        <v/>
      </c>
      <c r="BH22">
        <f>IF(ROW()-3&gt;MAX($BG$4:$BG$42),"",INDEX(Lists!$BM$4:$BM$42,MATCH(ROW()-3,$BG$4:$BG$42,0)))</f>
        <v/>
      </c>
      <c r="BI22">
        <f>BI21+IF(AND(Lists!$BR$22&lt;&gt;"",ISNUMBER(SEARCH($M$4,Lists!$BR$22))),1,0)</f>
        <v/>
      </c>
      <c r="BJ22">
        <f>IF(ROW()-3&gt;MAX($BI$4:$BI$42),"",INDEX(Lists!$BR$4:$BR$42,MATCH(ROW()-3,$BI$4:$BI$42,0)))</f>
        <v/>
      </c>
      <c r="BK22">
        <f>BK21+IF(AND(Lists!$BW$22&lt;&gt;"",ISNUMBER(SEARCH($N$4,Lists!$BW$22))),1,0)</f>
        <v/>
      </c>
      <c r="BL22">
        <f>IF(ROW()-3&gt;MAX($BK$4:$BK$42),"",INDEX(Lists!$BW$4:$BW$42,MATCH(ROW()-3,$BK$4:$BK$42,0)))</f>
        <v/>
      </c>
      <c r="BM22">
        <f>BM21+IF(AND(Lists!$CB$22&lt;&gt;"",ISNUMBER(SEARCH($O$4,Lists!$CB$22))),1,0)</f>
        <v/>
      </c>
      <c r="BN22">
        <f>IF(ROW()-3&gt;MAX($BM$4:$BM$42),"",INDEX(Lists!$CB$4:$CB$42,MATCH(ROW()-3,$BM$4:$BM$42,0)))</f>
        <v/>
      </c>
      <c r="BO22">
        <f>BO21+IF(AND(Lists!$CG$22&lt;&gt;"",ISNUMBER(SEARCH($P$4,Lists!$CG$22))),1,0)</f>
        <v/>
      </c>
      <c r="BP22">
        <f>IF(ROW()-3&gt;MAX($BO$4:$BO$42),"",INDEX(Lists!$CG$4:$CG$42,MATCH(ROW()-3,$BO$4:$BO$42,0)))</f>
        <v/>
      </c>
      <c r="BQ22">
        <f>BQ21+IF(AND(Lists!$CL$22&lt;&gt;"",ISNUMBER(SEARCH($Q$4,Lists!$CL$22))),1,0)</f>
        <v/>
      </c>
      <c r="BR22">
        <f>IF(ROW()-3&gt;MAX($BQ$4:$BQ$42),"",INDEX(Lists!$CL$4:$CL$42,MATCH(ROW()-3,$BQ$4:$BQ$42,0)))</f>
        <v/>
      </c>
      <c r="BS22">
        <f>BS21+IF(AND(Lists!$CQ$22&lt;&gt;"",ISNUMBER(SEARCH($R$4,Lists!$CQ$22))),1,0)</f>
        <v/>
      </c>
      <c r="BT22">
        <f>IF(ROW()-3&gt;MAX($BS$4:$BS$42),"",INDEX(Lists!$CQ$4:$CQ$42,MATCH(ROW()-3,$BS$4:$BS$42,0)))</f>
        <v/>
      </c>
      <c r="BU22">
        <f>BU21+IF(AND(Lists!$CV$22&lt;&gt;"",ISNUMBER(SEARCH($S$4,Lists!$CV$22))),1,0)</f>
        <v/>
      </c>
      <c r="BV22">
        <f>IF(ROW()-3&gt;MAX($BU$4:$BU$42),"",INDEX(Lists!$CV$4:$CV$42,MATCH(ROW()-3,$BU$4:$BU$42,0)))</f>
        <v/>
      </c>
      <c r="BW22">
        <f>BW21+IF(AND(Lists!$DA$22&lt;&gt;"",ISNUMBER(SEARCH($T$4,Lists!$DA$22))),1,0)</f>
        <v/>
      </c>
      <c r="BX22">
        <f>IF(ROW()-3&gt;MAX($BW$4:$BW$42),"",INDEX(Lists!$DA$4:$DA$42,MATCH(ROW()-3,$BW$4:$BW$42,0)))</f>
        <v/>
      </c>
      <c r="BY22">
        <f>BY21+IF(AND(Lists!$DF$22&lt;&gt;"",ISNUMBER(SEARCH($U$4,Lists!$DF$22))),1,0)</f>
        <v/>
      </c>
      <c r="BZ22">
        <f>IF(ROW()-3&gt;MAX($BY$4:$BY$42),"",INDEX(Lists!$DF$4:$DF$42,MATCH(ROW()-3,$BY$4:$BY$42,0)))</f>
        <v/>
      </c>
      <c r="CA22">
        <f>CA21+IF(AND(Lists!$DK$22&lt;&gt;"",ISNUMBER(SEARCH($V$4,Lists!$DK$22))),1,0)</f>
        <v/>
      </c>
      <c r="CB22">
        <f>IF(ROW()-3&gt;MAX($CA$4:$CA$42),"",INDEX(Lists!$DK$4:$DK$42,MATCH(ROW()-3,$CA$4:$CA$42,0)))</f>
        <v/>
      </c>
      <c r="CC22">
        <f>CC21+IF(AND(Lists!$DP$22&lt;&gt;"",ISNUMBER(SEARCH($W$4,Lists!$DP$22))),1,0)</f>
        <v/>
      </c>
      <c r="CD22">
        <f>IF(ROW()-3&gt;MAX($CC$4:$CC$42),"",INDEX(Lists!$DP$4:$DP$42,MATCH(ROW()-3,$CC$4:$CC$42,0)))</f>
        <v/>
      </c>
      <c r="CE22">
        <f>CE21+IF(AND(Lists!$DU$22&lt;&gt;"",ISNUMBER(SEARCH($X$4,Lists!$DU$22))),1,0)</f>
        <v/>
      </c>
      <c r="CF22">
        <f>IF(ROW()-3&gt;MAX($CE$4:$CE$42),"",INDEX(Lists!$DU$4:$DU$42,MATCH(ROW()-3,$CE$4:$CE$42,0)))</f>
        <v/>
      </c>
      <c r="CG22">
        <f>CG21+IF(AND(Lists!$DZ$22&lt;&gt;"",ISNUMBER(SEARCH($Y$4,Lists!$DZ$22))),1,0)</f>
        <v/>
      </c>
      <c r="CH22">
        <f>IF(ROW()-3&gt;MAX($CG$4:$CG$42),"",INDEX(Lists!$DZ$4:$DZ$42,MATCH(ROW()-3,$CG$4:$CG$42,0)))</f>
        <v/>
      </c>
      <c r="CI22">
        <f>CI21+IF(AND(Lists!$EE$22&lt;&gt;"",ISNUMBER(SEARCH($Z$4,Lists!$EE$22))),1,0)</f>
        <v/>
      </c>
      <c r="CJ22">
        <f>IF(ROW()-3&gt;MAX($CI$4:$CI$42),"",INDEX(Lists!$EE$4:$EE$42,MATCH(ROW()-3,$CI$4:$CI$42,0)))</f>
        <v/>
      </c>
      <c r="CK22">
        <f>CK21+IF(AND(Lists!$EJ$22&lt;&gt;"",ISNUMBER(SEARCH($AA$4,Lists!$EJ$22))),1,0)</f>
        <v/>
      </c>
      <c r="CL22">
        <f>IF(ROW()-3&gt;MAX($CK$4:$CK$42),"",INDEX(Lists!$EJ$4:$EJ$42,MATCH(ROW()-3,$CK$4:$CK$42,0)))</f>
        <v/>
      </c>
      <c r="CM22">
        <f>CM21+IF(AND(Lists!$EO$22&lt;&gt;"",ISNUMBER(SEARCH($AB$4,Lists!$EO$22))),1,0)</f>
        <v/>
      </c>
      <c r="CN22">
        <f>IF(ROW()-3&gt;MAX($CM$4:$CM$42),"",INDEX(Lists!$EO$4:$EO$42,MATCH(ROW()-3,$CM$4:$CM$42,0)))</f>
        <v/>
      </c>
      <c r="CO22">
        <f>CO21+IF(AND(Lists!$ET$22&lt;&gt;"",ISNUMBER(SEARCH($AC$4,Lists!$ET$22))),1,0)</f>
        <v/>
      </c>
      <c r="CP22">
        <f>IF(ROW()-3&gt;MAX($CO$4:$CO$42),"",INDEX(Lists!$ET$4:$ET$42,MATCH(ROW()-3,$CO$4:$CO$42,0)))</f>
        <v/>
      </c>
      <c r="CQ22">
        <f>CQ21+IF(AND(Lists!$EY$22&lt;&gt;"",ISNUMBER(SEARCH($AD$4,Lists!$EY$22))),1,0)</f>
        <v/>
      </c>
      <c r="CR22">
        <f>IF(ROW()-3&gt;MAX($CQ$4:$CQ$42),"",INDEX(Lists!$EY$4:$EY$42,MATCH(ROW()-3,$CQ$4:$CQ$42,0)))</f>
        <v/>
      </c>
      <c r="CS22">
        <f>CS21+IF(AND(Lists!$FD$22&lt;&gt;"",ISNUMBER(SEARCH($AE$4,Lists!$FD$22))),1,0)</f>
        <v/>
      </c>
      <c r="CT22">
        <f>IF(ROW()-3&gt;MAX($CS$4:$CS$42),"",INDEX(Lists!$FD$4:$FD$42,MATCH(ROW()-3,$CS$4:$CS$42,0)))</f>
        <v/>
      </c>
      <c r="CU22">
        <f>CU21+IF(AND(Lists!$FI$22&lt;&gt;"",ISNUMBER(SEARCH($AG$4,Lists!$FI$22))),1,0)</f>
        <v/>
      </c>
      <c r="CV22">
        <f>IF(ROW()-3&gt;MAX($CU$4:$CU$42),"",INDEX(Lists!$FI$4:$FI$42,MATCH(ROW()-3,$CU$4:$CU$42,0)))</f>
        <v/>
      </c>
      <c r="CW22">
        <f>CW21+IF(AND(Lists!$FN$22&lt;&gt;"",ISNUMBER(SEARCH($AH$4,Lists!$FN$22))),1,0)</f>
        <v/>
      </c>
      <c r="CX22">
        <f>IF(ROW()-3&gt;MAX($CW$4:$CW$42),"",INDEX(Lists!$FN$4:$FN$42,MATCH(ROW()-3,$CW$4:$CW$42,0)))</f>
        <v/>
      </c>
      <c r="CY22">
        <f>CY21+IF(AND(Lists!$FS$22&lt;&gt;"",ISNUMBER(SEARCH($AI$4,Lists!$FS$22))),1,0)</f>
        <v/>
      </c>
      <c r="CZ22">
        <f>IF(ROW()-3&gt;MAX($CY$4:$CY$42),"",INDEX(Lists!$FS$4:$FS$42,MATCH(ROW()-3,$CY$4:$CY$42,0)))</f>
        <v/>
      </c>
      <c r="DA22">
        <f>DA21+IF(AND(Lists!$FX$22&lt;&gt;"",ISNUMBER(SEARCH($AF$4,Lists!$FX$22))),1,0)</f>
        <v/>
      </c>
      <c r="DB22">
        <f>IF(ROW()-3&gt;MAX($DA$4:$DA$42),"",INDEX(Lists!$FX$4:$FX$42,MATCH(ROW()-3,$DA$4:$DA$42,0)))</f>
        <v/>
      </c>
    </row>
    <row r="23" outlineLevel="1" ht="15" customHeight="1" s="137">
      <c r="A23" s="67" t="n">
        <v>7</v>
      </c>
      <c r="B23" s="76">
        <f>IF('Final Calculation Sheet'!$F$22="","",'Final Calculation Sheet'!$F$22)</f>
        <v/>
      </c>
      <c r="C23" s="76">
        <f>IF('Final Calculation Sheet'!$G$22="","",'Final Calculation Sheet'!$G$22)</f>
        <v/>
      </c>
      <c r="D23" s="80">
        <f>IF('Final Calculation Sheet'!$B$22="","",'Final Calculation Sheet'!$B$22)</f>
        <v/>
      </c>
      <c r="E23" s="80">
        <f>IF('Final Calculation Sheet'!$D$22="","",'Final Calculation Sheet'!$D$22)</f>
        <v/>
      </c>
      <c r="F23" s="80">
        <f>IF('Final Calculation Sheet'!$A$22="","",'Final Calculation Sheet'!$A$22)</f>
        <v/>
      </c>
      <c r="G23" s="80">
        <f>IF('Final Calculation Sheet'!$E$22="","",'Final Calculation Sheet'!$E$22)</f>
        <v/>
      </c>
      <c r="H23" s="70">
        <f>IF('Final Calculation Sheet'!$C$22="","",'Final Calculation Sheet'!$C$22)</f>
        <v/>
      </c>
      <c r="I23" s="70">
        <f>IF('Final Calculation Sheet'!$H$22="","",'Final Calculation Sheet'!$H$22)</f>
        <v/>
      </c>
      <c r="J23" s="70">
        <f>IF('Final Calculation Sheet'!$I$22="","",'Final Calculation Sheet'!$I$22)</f>
        <v/>
      </c>
      <c r="K23" s="70">
        <f>IF('Final Calculation Sheet'!$J$22="","",'Final Calculation Sheet'!$J$22)</f>
        <v/>
      </c>
      <c r="L23" s="70">
        <f>IF('Final Calculation Sheet'!$K$22="","",'Final Calculation Sheet'!$K$22)</f>
        <v/>
      </c>
      <c r="M23" s="70">
        <f>IF('Final Calculation Sheet'!$L$22="","",'Final Calculation Sheet'!$L$22)</f>
        <v/>
      </c>
      <c r="N23" s="70">
        <f>IF('Final Calculation Sheet'!$M$22="","",'Final Calculation Sheet'!$M$22)</f>
        <v/>
      </c>
      <c r="O23" s="71">
        <f>IF('Final Calculation Sheet'!$N$22="","",'Final Calculation Sheet'!$N$22)</f>
        <v/>
      </c>
      <c r="P23" s="70">
        <f>IF('Final Calculation Sheet'!$O$22="","",'Final Calculation Sheet'!$O$22)</f>
        <v/>
      </c>
      <c r="Q23" s="70">
        <f>IF('Final Calculation Sheet'!$P$22="","",'Final Calculation Sheet'!$P$22)</f>
        <v/>
      </c>
      <c r="R23" s="72">
        <f>IF('Final Calculation Sheet'!$Q$22="","",'Final Calculation Sheet'!$Q$22)</f>
        <v/>
      </c>
      <c r="S23" s="70">
        <f>IF('Final Calculation Sheet'!$R$22="","",'Final Calculation Sheet'!$R$22)</f>
        <v/>
      </c>
      <c r="T23" s="70">
        <f>IF('Final Calculation Sheet'!$S$22="","",'Final Calculation Sheet'!$S$22)</f>
        <v/>
      </c>
      <c r="U23" s="70">
        <f>IF('Final Calculation Sheet'!$T$22="","",'Final Calculation Sheet'!$T$22)</f>
        <v/>
      </c>
      <c r="V23" s="73">
        <f>IF('Final Calculation Sheet'!$U$22="","",'Final Calculation Sheet'!$U$22)</f>
        <v/>
      </c>
      <c r="W23" s="70">
        <f>IF('Final Calculation Sheet'!$V$22="","",'Final Calculation Sheet'!$V$22)</f>
        <v/>
      </c>
      <c r="X23" s="70">
        <f>IF('Final Calculation Sheet'!$W$22="","",'Final Calculation Sheet'!$W$22)</f>
        <v/>
      </c>
      <c r="Y23" s="70">
        <f>IF('Final Calculation Sheet'!$X$22="","",'Final Calculation Sheet'!$X$22)</f>
        <v/>
      </c>
      <c r="Z23" s="70">
        <f>IF('Final Calculation Sheet'!$Y$22="","",'Final Calculation Sheet'!$Y$22)</f>
        <v/>
      </c>
      <c r="AA23" s="70">
        <f>IF('Final Calculation Sheet'!$Z$22="","",'Final Calculation Sheet'!$Z$22)</f>
        <v/>
      </c>
      <c r="AB23" s="70">
        <f>IF('Final Calculation Sheet'!$AA$22="","",'Final Calculation Sheet'!$AA$22)</f>
        <v/>
      </c>
      <c r="AC23" s="70">
        <f>IF('Final Calculation Sheet'!$AB$22="","",'Final Calculation Sheet'!$AB$22)</f>
        <v/>
      </c>
      <c r="AD23" s="70">
        <f>IF('Final Calculation Sheet'!$AC$22="","",'Final Calculation Sheet'!$AC$22)</f>
        <v/>
      </c>
      <c r="AE23" s="70">
        <f>IF('Final Calculation Sheet'!$AD$22="","",'Final Calculation Sheet'!$AD$22)</f>
        <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
      </c>
      <c r="AK23">
        <f>IF(AJ23=1,COUNTIF(AJ$6:AJ23,1),"")</f>
        <v/>
      </c>
      <c r="AM23">
        <f>AM22+IF(AND(Lists!$O$23&lt;&gt;"",ISNUMBER(SEARCH($B$4,Lists!$O$23))),1,0)</f>
        <v/>
      </c>
      <c r="AN23">
        <f>IF(ROW()-3&gt;MAX($AM$4:$AM$42),"",INDEX(Lists!$O$4:$O$42,MATCH(ROW()-3,$AM$4:$AM$42,0)))</f>
        <v/>
      </c>
      <c r="AO23">
        <f>AO22+IF(AND(Lists!$T$23&lt;&gt;"",ISNUMBER(SEARCH($C$4,Lists!$T$23))),1,0)</f>
        <v/>
      </c>
      <c r="AP23">
        <f>IF(ROW()-3&gt;MAX($AO$4:$AO$42),"",INDEX(Lists!$T$4:$T$42,MATCH(ROW()-3,$AO$4:$AO$42,0)))</f>
        <v/>
      </c>
      <c r="AQ23">
        <f>AQ22+IF(AND(Lists!$Y$23&lt;&gt;"",ISNUMBER(SEARCH($D$4,Lists!$Y$23))),1,0)</f>
        <v/>
      </c>
      <c r="AR23">
        <f>IF(ROW()-3&gt;MAX($AQ$4:$AQ$42),"",INDEX(Lists!$Y$4:$Y$42,MATCH(ROW()-3,$AQ$4:$AQ$42,0)))</f>
        <v/>
      </c>
      <c r="AS23">
        <f>AS22+IF(AND(Lists!$AD$23&lt;&gt;"",ISNUMBER(SEARCH($E$4,Lists!$AD$23))),1,0)</f>
        <v/>
      </c>
      <c r="AT23">
        <f>IF(ROW()-3&gt;MAX($AS$4:$AS$42),"",INDEX(Lists!$AD$4:$AD$42,MATCH(ROW()-3,$AS$4:$AS$42,0)))</f>
        <v/>
      </c>
      <c r="AU23">
        <f>AU22+IF(AND(Lists!$AI$23&lt;&gt;"",ISNUMBER(SEARCH($F$4,Lists!$AI$23))),1,0)</f>
        <v/>
      </c>
      <c r="AV23">
        <f>IF(ROW()-3&gt;MAX($AU$4:$AU$42),"",INDEX(Lists!$AI$4:$AI$42,MATCH(ROW()-3,$AU$4:$AU$42,0)))</f>
        <v/>
      </c>
      <c r="AW23">
        <f>AW22+IF(AND(Lists!$AN$23&lt;&gt;"",ISNUMBER(SEARCH($G$4,Lists!$AN$23))),1,0)</f>
        <v/>
      </c>
      <c r="AX23">
        <f>IF(ROW()-3&gt;MAX($AW$4:$AW$42),"",INDEX(Lists!$AN$4:$AN$42,MATCH(ROW()-3,$AW$4:$AW$42,0)))</f>
        <v/>
      </c>
      <c r="AY23">
        <f>AY22+IF(AND(Lists!$AS$23&lt;&gt;"",ISNUMBER(SEARCH($H$4,Lists!$AS$23))),1,0)</f>
        <v/>
      </c>
      <c r="AZ23">
        <f>IF(ROW()-3&gt;MAX($AY$4:$AY$42),"",INDEX(Lists!$AS$4:$AS$42,MATCH(ROW()-3,$AY$4:$AY$42,0)))</f>
        <v/>
      </c>
      <c r="BA23">
        <f>BA22+IF(AND(Lists!$AX$23&lt;&gt;"",ISNUMBER(SEARCH($I$4,Lists!$AX$23))),1,0)</f>
        <v/>
      </c>
      <c r="BB23">
        <f>IF(ROW()-3&gt;MAX($BA$4:$BA$42),"",INDEX(Lists!$AX$4:$AX$42,MATCH(ROW()-3,$BA$4:$BA$42,0)))</f>
        <v/>
      </c>
      <c r="BC23">
        <f>BC22+IF(AND(Lists!$BC$23&lt;&gt;"",ISNUMBER(SEARCH($J$4,Lists!$BC$23))),1,0)</f>
        <v/>
      </c>
      <c r="BD23">
        <f>IF(ROW()-3&gt;MAX($BC$4:$BC$42),"",INDEX(Lists!$BC$4:$BC$42,MATCH(ROW()-3,$BC$4:$BC$42,0)))</f>
        <v/>
      </c>
      <c r="BE23">
        <f>BE22+IF(AND(Lists!$BH$23&lt;&gt;"",ISNUMBER(SEARCH($K$4,Lists!$BH$23))),1,0)</f>
        <v/>
      </c>
      <c r="BF23">
        <f>IF(ROW()-3&gt;MAX($BE$4:$BE$42),"",INDEX(Lists!$BH$4:$BH$42,MATCH(ROW()-3,$BE$4:$BE$42,0)))</f>
        <v/>
      </c>
      <c r="BG23">
        <f>BG22+IF(AND(Lists!$BM$23&lt;&gt;"",ISNUMBER(SEARCH($L$4,Lists!$BM$23))),1,0)</f>
        <v/>
      </c>
      <c r="BH23">
        <f>IF(ROW()-3&gt;MAX($BG$4:$BG$42),"",INDEX(Lists!$BM$4:$BM$42,MATCH(ROW()-3,$BG$4:$BG$42,0)))</f>
        <v/>
      </c>
      <c r="BI23">
        <f>BI22+IF(AND(Lists!$BR$23&lt;&gt;"",ISNUMBER(SEARCH($M$4,Lists!$BR$23))),1,0)</f>
        <v/>
      </c>
      <c r="BJ23">
        <f>IF(ROW()-3&gt;MAX($BI$4:$BI$42),"",INDEX(Lists!$BR$4:$BR$42,MATCH(ROW()-3,$BI$4:$BI$42,0)))</f>
        <v/>
      </c>
      <c r="BK23">
        <f>BK22+IF(AND(Lists!$BW$23&lt;&gt;"",ISNUMBER(SEARCH($N$4,Lists!$BW$23))),1,0)</f>
        <v/>
      </c>
      <c r="BL23">
        <f>IF(ROW()-3&gt;MAX($BK$4:$BK$42),"",INDEX(Lists!$BW$4:$BW$42,MATCH(ROW()-3,$BK$4:$BK$42,0)))</f>
        <v/>
      </c>
      <c r="BM23">
        <f>BM22+IF(AND(Lists!$CB$23&lt;&gt;"",ISNUMBER(SEARCH($O$4,Lists!$CB$23))),1,0)</f>
        <v/>
      </c>
      <c r="BN23">
        <f>IF(ROW()-3&gt;MAX($BM$4:$BM$42),"",INDEX(Lists!$CB$4:$CB$42,MATCH(ROW()-3,$BM$4:$BM$42,0)))</f>
        <v/>
      </c>
      <c r="BO23">
        <f>BO22+IF(AND(Lists!$CG$23&lt;&gt;"",ISNUMBER(SEARCH($P$4,Lists!$CG$23))),1,0)</f>
        <v/>
      </c>
      <c r="BP23">
        <f>IF(ROW()-3&gt;MAX($BO$4:$BO$42),"",INDEX(Lists!$CG$4:$CG$42,MATCH(ROW()-3,$BO$4:$BO$42,0)))</f>
        <v/>
      </c>
      <c r="BQ23">
        <f>BQ22+IF(AND(Lists!$CL$23&lt;&gt;"",ISNUMBER(SEARCH($Q$4,Lists!$CL$23))),1,0)</f>
        <v/>
      </c>
      <c r="BR23">
        <f>IF(ROW()-3&gt;MAX($BQ$4:$BQ$42),"",INDEX(Lists!$CL$4:$CL$42,MATCH(ROW()-3,$BQ$4:$BQ$42,0)))</f>
        <v/>
      </c>
      <c r="BS23">
        <f>BS22+IF(AND(Lists!$CQ$23&lt;&gt;"",ISNUMBER(SEARCH($R$4,Lists!$CQ$23))),1,0)</f>
        <v/>
      </c>
      <c r="BT23">
        <f>IF(ROW()-3&gt;MAX($BS$4:$BS$42),"",INDEX(Lists!$CQ$4:$CQ$42,MATCH(ROW()-3,$BS$4:$BS$42,0)))</f>
        <v/>
      </c>
      <c r="BU23">
        <f>BU22+IF(AND(Lists!$CV$23&lt;&gt;"",ISNUMBER(SEARCH($S$4,Lists!$CV$23))),1,0)</f>
        <v/>
      </c>
      <c r="BV23">
        <f>IF(ROW()-3&gt;MAX($BU$4:$BU$42),"",INDEX(Lists!$CV$4:$CV$42,MATCH(ROW()-3,$BU$4:$BU$42,0)))</f>
        <v/>
      </c>
      <c r="BW23">
        <f>BW22+IF(AND(Lists!$DA$23&lt;&gt;"",ISNUMBER(SEARCH($T$4,Lists!$DA$23))),1,0)</f>
        <v/>
      </c>
      <c r="BX23">
        <f>IF(ROW()-3&gt;MAX($BW$4:$BW$42),"",INDEX(Lists!$DA$4:$DA$42,MATCH(ROW()-3,$BW$4:$BW$42,0)))</f>
        <v/>
      </c>
      <c r="BY23">
        <f>BY22+IF(AND(Lists!$DF$23&lt;&gt;"",ISNUMBER(SEARCH($U$4,Lists!$DF$23))),1,0)</f>
        <v/>
      </c>
      <c r="BZ23">
        <f>IF(ROW()-3&gt;MAX($BY$4:$BY$42),"",INDEX(Lists!$DF$4:$DF$42,MATCH(ROW()-3,$BY$4:$BY$42,0)))</f>
        <v/>
      </c>
      <c r="CA23">
        <f>CA22+IF(AND(Lists!$DK$23&lt;&gt;"",ISNUMBER(SEARCH($V$4,Lists!$DK$23))),1,0)</f>
        <v/>
      </c>
      <c r="CB23">
        <f>IF(ROW()-3&gt;MAX($CA$4:$CA$42),"",INDEX(Lists!$DK$4:$DK$42,MATCH(ROW()-3,$CA$4:$CA$42,0)))</f>
        <v/>
      </c>
      <c r="CC23">
        <f>CC22+IF(AND(Lists!$DP$23&lt;&gt;"",ISNUMBER(SEARCH($W$4,Lists!$DP$23))),1,0)</f>
        <v/>
      </c>
      <c r="CD23">
        <f>IF(ROW()-3&gt;MAX($CC$4:$CC$42),"",INDEX(Lists!$DP$4:$DP$42,MATCH(ROW()-3,$CC$4:$CC$42,0)))</f>
        <v/>
      </c>
      <c r="CE23">
        <f>CE22+IF(AND(Lists!$DU$23&lt;&gt;"",ISNUMBER(SEARCH($X$4,Lists!$DU$23))),1,0)</f>
        <v/>
      </c>
      <c r="CF23">
        <f>IF(ROW()-3&gt;MAX($CE$4:$CE$42),"",INDEX(Lists!$DU$4:$DU$42,MATCH(ROW()-3,$CE$4:$CE$42,0)))</f>
        <v/>
      </c>
      <c r="CG23">
        <f>CG22+IF(AND(Lists!$DZ$23&lt;&gt;"",ISNUMBER(SEARCH($Y$4,Lists!$DZ$23))),1,0)</f>
        <v/>
      </c>
      <c r="CH23">
        <f>IF(ROW()-3&gt;MAX($CG$4:$CG$42),"",INDEX(Lists!$DZ$4:$DZ$42,MATCH(ROW()-3,$CG$4:$CG$42,0)))</f>
        <v/>
      </c>
      <c r="CI23">
        <f>CI22+IF(AND(Lists!$EE$23&lt;&gt;"",ISNUMBER(SEARCH($Z$4,Lists!$EE$23))),1,0)</f>
        <v/>
      </c>
      <c r="CJ23">
        <f>IF(ROW()-3&gt;MAX($CI$4:$CI$42),"",INDEX(Lists!$EE$4:$EE$42,MATCH(ROW()-3,$CI$4:$CI$42,0)))</f>
        <v/>
      </c>
      <c r="CK23">
        <f>CK22+IF(AND(Lists!$EJ$23&lt;&gt;"",ISNUMBER(SEARCH($AA$4,Lists!$EJ$23))),1,0)</f>
        <v/>
      </c>
      <c r="CL23">
        <f>IF(ROW()-3&gt;MAX($CK$4:$CK$42),"",INDEX(Lists!$EJ$4:$EJ$42,MATCH(ROW()-3,$CK$4:$CK$42,0)))</f>
        <v/>
      </c>
      <c r="CM23">
        <f>CM22+IF(AND(Lists!$EO$23&lt;&gt;"",ISNUMBER(SEARCH($AB$4,Lists!$EO$23))),1,0)</f>
        <v/>
      </c>
      <c r="CN23">
        <f>IF(ROW()-3&gt;MAX($CM$4:$CM$42),"",INDEX(Lists!$EO$4:$EO$42,MATCH(ROW()-3,$CM$4:$CM$42,0)))</f>
        <v/>
      </c>
      <c r="CO23">
        <f>CO22+IF(AND(Lists!$ET$23&lt;&gt;"",ISNUMBER(SEARCH($AC$4,Lists!$ET$23))),1,0)</f>
        <v/>
      </c>
      <c r="CP23">
        <f>IF(ROW()-3&gt;MAX($CO$4:$CO$42),"",INDEX(Lists!$ET$4:$ET$42,MATCH(ROW()-3,$CO$4:$CO$42,0)))</f>
        <v/>
      </c>
      <c r="CQ23">
        <f>CQ22+IF(AND(Lists!$EY$23&lt;&gt;"",ISNUMBER(SEARCH($AD$4,Lists!$EY$23))),1,0)</f>
        <v/>
      </c>
      <c r="CR23">
        <f>IF(ROW()-3&gt;MAX($CQ$4:$CQ$42),"",INDEX(Lists!$EY$4:$EY$42,MATCH(ROW()-3,$CQ$4:$CQ$42,0)))</f>
        <v/>
      </c>
      <c r="CS23">
        <f>CS22+IF(AND(Lists!$FD$23&lt;&gt;"",ISNUMBER(SEARCH($AE$4,Lists!$FD$23))),1,0)</f>
        <v/>
      </c>
      <c r="CT23">
        <f>IF(ROW()-3&gt;MAX($CS$4:$CS$42),"",INDEX(Lists!$FD$4:$FD$42,MATCH(ROW()-3,$CS$4:$CS$42,0)))</f>
        <v/>
      </c>
      <c r="CU23">
        <f>CU22+IF(AND(Lists!$FI$23&lt;&gt;"",ISNUMBER(SEARCH($AG$4,Lists!$FI$23))),1,0)</f>
        <v/>
      </c>
      <c r="CV23">
        <f>IF(ROW()-3&gt;MAX($CU$4:$CU$42),"",INDEX(Lists!$FI$4:$FI$42,MATCH(ROW()-3,$CU$4:$CU$42,0)))</f>
        <v/>
      </c>
      <c r="CW23">
        <f>CW22+IF(AND(Lists!$FN$23&lt;&gt;"",ISNUMBER(SEARCH($AH$4,Lists!$FN$23))),1,0)</f>
        <v/>
      </c>
      <c r="CX23">
        <f>IF(ROW()-3&gt;MAX($CW$4:$CW$42),"",INDEX(Lists!$FN$4:$FN$42,MATCH(ROW()-3,$CW$4:$CW$42,0)))</f>
        <v/>
      </c>
      <c r="CY23">
        <f>CY22+IF(AND(Lists!$FS$23&lt;&gt;"",ISNUMBER(SEARCH($AI$4,Lists!$FS$23))),1,0)</f>
        <v/>
      </c>
      <c r="CZ23">
        <f>IF(ROW()-3&gt;MAX($CY$4:$CY$42),"",INDEX(Lists!$FS$4:$FS$42,MATCH(ROW()-3,$CY$4:$CY$42,0)))</f>
        <v/>
      </c>
      <c r="DA23">
        <f>DA22+IF(AND(Lists!$FX$23&lt;&gt;"",ISNUMBER(SEARCH($AF$4,Lists!$FX$23))),1,0)</f>
        <v/>
      </c>
      <c r="DB23">
        <f>IF(ROW()-3&gt;MAX($DA$4:$DA$42),"",INDEX(Lists!$FX$4:$FX$42,MATCH(ROW()-3,$DA$4:$DA$42,0)))</f>
        <v/>
      </c>
    </row>
    <row r="24" outlineLevel="1" ht="15" customHeight="1" s="137">
      <c r="A24" s="90" t="n">
        <v>8</v>
      </c>
      <c r="B24" s="92">
        <f>IF('Final Calculation Sheet'!$F$24="","",'Final Calculation Sheet'!$F$24)</f>
        <v/>
      </c>
      <c r="C24" s="92">
        <f>IF('Final Calculation Sheet'!$G$24="","",'Final Calculation Sheet'!$G$24)</f>
        <v/>
      </c>
      <c r="D24" s="94">
        <f>IF('Final Calculation Sheet'!$B$24="","",'Final Calculation Sheet'!$B$24)</f>
        <v/>
      </c>
      <c r="E24" s="94">
        <f>IF('Final Calculation Sheet'!$D$24="","",'Final Calculation Sheet'!$D$24)</f>
        <v/>
      </c>
      <c r="F24" s="94">
        <f>IF('Final Calculation Sheet'!$A$24="","",'Final Calculation Sheet'!$A$24)</f>
        <v/>
      </c>
      <c r="G24" s="94">
        <f>IF('Final Calculation Sheet'!$E$24="","",'Final Calculation Sheet'!$E$24)</f>
        <v/>
      </c>
      <c r="H24" s="95">
        <f>IF('Final Calculation Sheet'!$C$24="","",'Final Calculation Sheet'!$C$24)</f>
        <v/>
      </c>
      <c r="I24" s="95">
        <f>IF('Final Calculation Sheet'!$H$24="","",'Final Calculation Sheet'!$H$24)</f>
        <v/>
      </c>
      <c r="J24" s="95">
        <f>IF('Final Calculation Sheet'!$I$24="","",'Final Calculation Sheet'!$I$24)</f>
        <v/>
      </c>
      <c r="K24" s="95">
        <f>IF('Final Calculation Sheet'!$J$24="","",'Final Calculation Sheet'!$J$24)</f>
        <v/>
      </c>
      <c r="L24" s="95">
        <f>IF('Final Calculation Sheet'!$K$24="","",'Final Calculation Sheet'!$K$24)</f>
        <v/>
      </c>
      <c r="M24" s="95">
        <f>IF('Final Calculation Sheet'!$L$24="","",'Final Calculation Sheet'!$L$24)</f>
        <v/>
      </c>
      <c r="N24" s="95">
        <f>IF('Final Calculation Sheet'!$M$24="","",'Final Calculation Sheet'!$M$24)</f>
        <v/>
      </c>
      <c r="O24" s="96">
        <f>IF('Final Calculation Sheet'!$N$24="","",'Final Calculation Sheet'!$N$24)</f>
        <v/>
      </c>
      <c r="P24" s="95">
        <f>IF('Final Calculation Sheet'!$O$24="","",'Final Calculation Sheet'!$O$24)</f>
        <v/>
      </c>
      <c r="Q24" s="95">
        <f>IF('Final Calculation Sheet'!$P$24="","",'Final Calculation Sheet'!$P$24)</f>
        <v/>
      </c>
      <c r="R24" s="97">
        <f>IF('Final Calculation Sheet'!$Q$24="","",'Final Calculation Sheet'!$Q$24)</f>
        <v/>
      </c>
      <c r="S24" s="95">
        <f>IF('Final Calculation Sheet'!$R$24="","",'Final Calculation Sheet'!$R$24)</f>
        <v/>
      </c>
      <c r="T24" s="95">
        <f>IF('Final Calculation Sheet'!$S$24="","",'Final Calculation Sheet'!$S$24)</f>
        <v/>
      </c>
      <c r="U24" s="95">
        <f>IF('Final Calculation Sheet'!$T$24="","",'Final Calculation Sheet'!$T$24)</f>
        <v/>
      </c>
      <c r="V24" s="98">
        <f>IF('Final Calculation Sheet'!$U$24="","",'Final Calculation Sheet'!$U$24)</f>
        <v/>
      </c>
      <c r="W24" s="95">
        <f>IF('Final Calculation Sheet'!$V$24="","",'Final Calculation Sheet'!$V$24)</f>
        <v/>
      </c>
      <c r="X24" s="95">
        <f>IF('Final Calculation Sheet'!$W$24="","",'Final Calculation Sheet'!$W$24)</f>
        <v/>
      </c>
      <c r="Y24" s="95">
        <f>IF('Final Calculation Sheet'!$X$24="","",'Final Calculation Sheet'!$X$24)</f>
        <v/>
      </c>
      <c r="Z24" s="95">
        <f>IF('Final Calculation Sheet'!$Y$24="","",'Final Calculation Sheet'!$Y$24)</f>
        <v/>
      </c>
      <c r="AA24" s="95">
        <f>IF('Final Calculation Sheet'!$Z$24="","",'Final Calculation Sheet'!$Z$24)</f>
        <v/>
      </c>
      <c r="AB24" s="95">
        <f>IF('Final Calculation Sheet'!$AA$24="","",'Final Calculation Sheet'!$AA$24)</f>
        <v/>
      </c>
      <c r="AC24" s="95">
        <f>IF('Final Calculation Sheet'!$AB$24="","",'Final Calculation Sheet'!$AB$24)</f>
        <v/>
      </c>
      <c r="AD24" s="95">
        <f>IF('Final Calculation Sheet'!$AC$24="","",'Final Calculation Sheet'!$AC$24)</f>
        <v/>
      </c>
      <c r="AE24" s="95">
        <f>IF('Final Calculation Sheet'!$AD$24="","",'Final Calculation Sheet'!$AD$24)</f>
        <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
      </c>
      <c r="AK24">
        <f>IF(AJ24=1,COUNTIF(AJ$6:AJ24,1),"")</f>
        <v/>
      </c>
      <c r="AM24">
        <f>AM23+IF(AND(Lists!$O$24&lt;&gt;"",ISNUMBER(SEARCH($B$4,Lists!$O$24))),1,0)</f>
        <v/>
      </c>
      <c r="AN24">
        <f>IF(ROW()-3&gt;MAX($AM$4:$AM$42),"",INDEX(Lists!$O$4:$O$42,MATCH(ROW()-3,$AM$4:$AM$42,0)))</f>
        <v/>
      </c>
      <c r="AO24">
        <f>AO23+IF(AND(Lists!$T$24&lt;&gt;"",ISNUMBER(SEARCH($C$4,Lists!$T$24))),1,0)</f>
        <v/>
      </c>
      <c r="AP24">
        <f>IF(ROW()-3&gt;MAX($AO$4:$AO$42),"",INDEX(Lists!$T$4:$T$42,MATCH(ROW()-3,$AO$4:$AO$42,0)))</f>
        <v/>
      </c>
      <c r="AQ24">
        <f>AQ23+IF(AND(Lists!$Y$24&lt;&gt;"",ISNUMBER(SEARCH($D$4,Lists!$Y$24))),1,0)</f>
        <v/>
      </c>
      <c r="AR24">
        <f>IF(ROW()-3&gt;MAX($AQ$4:$AQ$42),"",INDEX(Lists!$Y$4:$Y$42,MATCH(ROW()-3,$AQ$4:$AQ$42,0)))</f>
        <v/>
      </c>
      <c r="AS24">
        <f>AS23+IF(AND(Lists!$AD$24&lt;&gt;"",ISNUMBER(SEARCH($E$4,Lists!$AD$24))),1,0)</f>
        <v/>
      </c>
      <c r="AT24">
        <f>IF(ROW()-3&gt;MAX($AS$4:$AS$42),"",INDEX(Lists!$AD$4:$AD$42,MATCH(ROW()-3,$AS$4:$AS$42,0)))</f>
        <v/>
      </c>
      <c r="AU24">
        <f>AU23+IF(AND(Lists!$AI$24&lt;&gt;"",ISNUMBER(SEARCH($F$4,Lists!$AI$24))),1,0)</f>
        <v/>
      </c>
      <c r="AV24">
        <f>IF(ROW()-3&gt;MAX($AU$4:$AU$42),"",INDEX(Lists!$AI$4:$AI$42,MATCH(ROW()-3,$AU$4:$AU$42,0)))</f>
        <v/>
      </c>
      <c r="AW24">
        <f>AW23+IF(AND(Lists!$AN$24&lt;&gt;"",ISNUMBER(SEARCH($G$4,Lists!$AN$24))),1,0)</f>
        <v/>
      </c>
      <c r="AX24">
        <f>IF(ROW()-3&gt;MAX($AW$4:$AW$42),"",INDEX(Lists!$AN$4:$AN$42,MATCH(ROW()-3,$AW$4:$AW$42,0)))</f>
        <v/>
      </c>
      <c r="AY24">
        <f>AY23+IF(AND(Lists!$AS$24&lt;&gt;"",ISNUMBER(SEARCH($H$4,Lists!$AS$24))),1,0)</f>
        <v/>
      </c>
      <c r="AZ24">
        <f>IF(ROW()-3&gt;MAX($AY$4:$AY$42),"",INDEX(Lists!$AS$4:$AS$42,MATCH(ROW()-3,$AY$4:$AY$42,0)))</f>
        <v/>
      </c>
      <c r="BA24">
        <f>BA23+IF(AND(Lists!$AX$24&lt;&gt;"",ISNUMBER(SEARCH($I$4,Lists!$AX$24))),1,0)</f>
        <v/>
      </c>
      <c r="BB24">
        <f>IF(ROW()-3&gt;MAX($BA$4:$BA$42),"",INDEX(Lists!$AX$4:$AX$42,MATCH(ROW()-3,$BA$4:$BA$42,0)))</f>
        <v/>
      </c>
      <c r="BC24">
        <f>BC23+IF(AND(Lists!$BC$24&lt;&gt;"",ISNUMBER(SEARCH($J$4,Lists!$BC$24))),1,0)</f>
        <v/>
      </c>
      <c r="BD24">
        <f>IF(ROW()-3&gt;MAX($BC$4:$BC$42),"",INDEX(Lists!$BC$4:$BC$42,MATCH(ROW()-3,$BC$4:$BC$42,0)))</f>
        <v/>
      </c>
      <c r="BE24">
        <f>BE23+IF(AND(Lists!$BH$24&lt;&gt;"",ISNUMBER(SEARCH($K$4,Lists!$BH$24))),1,0)</f>
        <v/>
      </c>
      <c r="BF24">
        <f>IF(ROW()-3&gt;MAX($BE$4:$BE$42),"",INDEX(Lists!$BH$4:$BH$42,MATCH(ROW()-3,$BE$4:$BE$42,0)))</f>
        <v/>
      </c>
      <c r="BG24">
        <f>BG23+IF(AND(Lists!$BM$24&lt;&gt;"",ISNUMBER(SEARCH($L$4,Lists!$BM$24))),1,0)</f>
        <v/>
      </c>
      <c r="BH24">
        <f>IF(ROW()-3&gt;MAX($BG$4:$BG$42),"",INDEX(Lists!$BM$4:$BM$42,MATCH(ROW()-3,$BG$4:$BG$42,0)))</f>
        <v/>
      </c>
      <c r="BI24">
        <f>BI23+IF(AND(Lists!$BR$24&lt;&gt;"",ISNUMBER(SEARCH($M$4,Lists!$BR$24))),1,0)</f>
        <v/>
      </c>
      <c r="BJ24">
        <f>IF(ROW()-3&gt;MAX($BI$4:$BI$42),"",INDEX(Lists!$BR$4:$BR$42,MATCH(ROW()-3,$BI$4:$BI$42,0)))</f>
        <v/>
      </c>
      <c r="BK24">
        <f>BK23+IF(AND(Lists!$BW$24&lt;&gt;"",ISNUMBER(SEARCH($N$4,Lists!$BW$24))),1,0)</f>
        <v/>
      </c>
      <c r="BL24">
        <f>IF(ROW()-3&gt;MAX($BK$4:$BK$42),"",INDEX(Lists!$BW$4:$BW$42,MATCH(ROW()-3,$BK$4:$BK$42,0)))</f>
        <v/>
      </c>
      <c r="BM24">
        <f>BM23+IF(AND(Lists!$CB$24&lt;&gt;"",ISNUMBER(SEARCH($O$4,Lists!$CB$24))),1,0)</f>
        <v/>
      </c>
      <c r="BN24">
        <f>IF(ROW()-3&gt;MAX($BM$4:$BM$42),"",INDEX(Lists!$CB$4:$CB$42,MATCH(ROW()-3,$BM$4:$BM$42,0)))</f>
        <v/>
      </c>
      <c r="BO24">
        <f>BO23+IF(AND(Lists!$CG$24&lt;&gt;"",ISNUMBER(SEARCH($P$4,Lists!$CG$24))),1,0)</f>
        <v/>
      </c>
      <c r="BP24">
        <f>IF(ROW()-3&gt;MAX($BO$4:$BO$42),"",INDEX(Lists!$CG$4:$CG$42,MATCH(ROW()-3,$BO$4:$BO$42,0)))</f>
        <v/>
      </c>
      <c r="BQ24">
        <f>BQ23+IF(AND(Lists!$CL$24&lt;&gt;"",ISNUMBER(SEARCH($Q$4,Lists!$CL$24))),1,0)</f>
        <v/>
      </c>
      <c r="BR24">
        <f>IF(ROW()-3&gt;MAX($BQ$4:$BQ$42),"",INDEX(Lists!$CL$4:$CL$42,MATCH(ROW()-3,$BQ$4:$BQ$42,0)))</f>
        <v/>
      </c>
      <c r="BS24">
        <f>BS23+IF(AND(Lists!$CQ$24&lt;&gt;"",ISNUMBER(SEARCH($R$4,Lists!$CQ$24))),1,0)</f>
        <v/>
      </c>
      <c r="BT24">
        <f>IF(ROW()-3&gt;MAX($BS$4:$BS$42),"",INDEX(Lists!$CQ$4:$CQ$42,MATCH(ROW()-3,$BS$4:$BS$42,0)))</f>
        <v/>
      </c>
      <c r="BU24">
        <f>BU23+IF(AND(Lists!$CV$24&lt;&gt;"",ISNUMBER(SEARCH($S$4,Lists!$CV$24))),1,0)</f>
        <v/>
      </c>
      <c r="BV24">
        <f>IF(ROW()-3&gt;MAX($BU$4:$BU$42),"",INDEX(Lists!$CV$4:$CV$42,MATCH(ROW()-3,$BU$4:$BU$42,0)))</f>
        <v/>
      </c>
      <c r="BW24">
        <f>BW23+IF(AND(Lists!$DA$24&lt;&gt;"",ISNUMBER(SEARCH($T$4,Lists!$DA$24))),1,0)</f>
        <v/>
      </c>
      <c r="BX24">
        <f>IF(ROW()-3&gt;MAX($BW$4:$BW$42),"",INDEX(Lists!$DA$4:$DA$42,MATCH(ROW()-3,$BW$4:$BW$42,0)))</f>
        <v/>
      </c>
      <c r="BY24">
        <f>BY23+IF(AND(Lists!$DF$24&lt;&gt;"",ISNUMBER(SEARCH($U$4,Lists!$DF$24))),1,0)</f>
        <v/>
      </c>
      <c r="BZ24">
        <f>IF(ROW()-3&gt;MAX($BY$4:$BY$42),"",INDEX(Lists!$DF$4:$DF$42,MATCH(ROW()-3,$BY$4:$BY$42,0)))</f>
        <v/>
      </c>
      <c r="CA24">
        <f>CA23+IF(AND(Lists!$DK$24&lt;&gt;"",ISNUMBER(SEARCH($V$4,Lists!$DK$24))),1,0)</f>
        <v/>
      </c>
      <c r="CB24">
        <f>IF(ROW()-3&gt;MAX($CA$4:$CA$42),"",INDEX(Lists!$DK$4:$DK$42,MATCH(ROW()-3,$CA$4:$CA$42,0)))</f>
        <v/>
      </c>
      <c r="CC24">
        <f>CC23+IF(AND(Lists!$DP$24&lt;&gt;"",ISNUMBER(SEARCH($W$4,Lists!$DP$24))),1,0)</f>
        <v/>
      </c>
      <c r="CD24">
        <f>IF(ROW()-3&gt;MAX($CC$4:$CC$42),"",INDEX(Lists!$DP$4:$DP$42,MATCH(ROW()-3,$CC$4:$CC$42,0)))</f>
        <v/>
      </c>
      <c r="CE24">
        <f>CE23+IF(AND(Lists!$DU$24&lt;&gt;"",ISNUMBER(SEARCH($X$4,Lists!$DU$24))),1,0)</f>
        <v/>
      </c>
      <c r="CF24">
        <f>IF(ROW()-3&gt;MAX($CE$4:$CE$42),"",INDEX(Lists!$DU$4:$DU$42,MATCH(ROW()-3,$CE$4:$CE$42,0)))</f>
        <v/>
      </c>
      <c r="CG24">
        <f>CG23+IF(AND(Lists!$DZ$24&lt;&gt;"",ISNUMBER(SEARCH($Y$4,Lists!$DZ$24))),1,0)</f>
        <v/>
      </c>
      <c r="CH24">
        <f>IF(ROW()-3&gt;MAX($CG$4:$CG$42),"",INDEX(Lists!$DZ$4:$DZ$42,MATCH(ROW()-3,$CG$4:$CG$42,0)))</f>
        <v/>
      </c>
      <c r="CI24">
        <f>CI23+IF(AND(Lists!$EE$24&lt;&gt;"",ISNUMBER(SEARCH($Z$4,Lists!$EE$24))),1,0)</f>
        <v/>
      </c>
      <c r="CJ24">
        <f>IF(ROW()-3&gt;MAX($CI$4:$CI$42),"",INDEX(Lists!$EE$4:$EE$42,MATCH(ROW()-3,$CI$4:$CI$42,0)))</f>
        <v/>
      </c>
      <c r="CK24">
        <f>CK23+IF(AND(Lists!$EJ$24&lt;&gt;"",ISNUMBER(SEARCH($AA$4,Lists!$EJ$24))),1,0)</f>
        <v/>
      </c>
      <c r="CL24">
        <f>IF(ROW()-3&gt;MAX($CK$4:$CK$42),"",INDEX(Lists!$EJ$4:$EJ$42,MATCH(ROW()-3,$CK$4:$CK$42,0)))</f>
        <v/>
      </c>
      <c r="CM24">
        <f>CM23+IF(AND(Lists!$EO$24&lt;&gt;"",ISNUMBER(SEARCH($AB$4,Lists!$EO$24))),1,0)</f>
        <v/>
      </c>
      <c r="CN24">
        <f>IF(ROW()-3&gt;MAX($CM$4:$CM$42),"",INDEX(Lists!$EO$4:$EO$42,MATCH(ROW()-3,$CM$4:$CM$42,0)))</f>
        <v/>
      </c>
      <c r="CO24">
        <f>CO23+IF(AND(Lists!$ET$24&lt;&gt;"",ISNUMBER(SEARCH($AC$4,Lists!$ET$24))),1,0)</f>
        <v/>
      </c>
      <c r="CP24">
        <f>IF(ROW()-3&gt;MAX($CO$4:$CO$42),"",INDEX(Lists!$ET$4:$ET$42,MATCH(ROW()-3,$CO$4:$CO$42,0)))</f>
        <v/>
      </c>
      <c r="CQ24">
        <f>CQ23+IF(AND(Lists!$EY$24&lt;&gt;"",ISNUMBER(SEARCH($AD$4,Lists!$EY$24))),1,0)</f>
        <v/>
      </c>
      <c r="CR24">
        <f>IF(ROW()-3&gt;MAX($CQ$4:$CQ$42),"",INDEX(Lists!$EY$4:$EY$42,MATCH(ROW()-3,$CQ$4:$CQ$42,0)))</f>
        <v/>
      </c>
      <c r="CS24">
        <f>CS23+IF(AND(Lists!$FD$24&lt;&gt;"",ISNUMBER(SEARCH($AE$4,Lists!$FD$24))),1,0)</f>
        <v/>
      </c>
      <c r="CT24">
        <f>IF(ROW()-3&gt;MAX($CS$4:$CS$42),"",INDEX(Lists!$FD$4:$FD$42,MATCH(ROW()-3,$CS$4:$CS$42,0)))</f>
        <v/>
      </c>
      <c r="CU24">
        <f>CU23+IF(AND(Lists!$FI$24&lt;&gt;"",ISNUMBER(SEARCH($AG$4,Lists!$FI$24))),1,0)</f>
        <v/>
      </c>
      <c r="CV24">
        <f>IF(ROW()-3&gt;MAX($CU$4:$CU$42),"",INDEX(Lists!$FI$4:$FI$42,MATCH(ROW()-3,$CU$4:$CU$42,0)))</f>
        <v/>
      </c>
      <c r="CW24">
        <f>CW23+IF(AND(Lists!$FN$24&lt;&gt;"",ISNUMBER(SEARCH($AH$4,Lists!$FN$24))),1,0)</f>
        <v/>
      </c>
      <c r="CX24">
        <f>IF(ROW()-3&gt;MAX($CW$4:$CW$42),"",INDEX(Lists!$FN$4:$FN$42,MATCH(ROW()-3,$CW$4:$CW$42,0)))</f>
        <v/>
      </c>
      <c r="CY24">
        <f>CY23+IF(AND(Lists!$FS$24&lt;&gt;"",ISNUMBER(SEARCH($AI$4,Lists!$FS$24))),1,0)</f>
        <v/>
      </c>
      <c r="CZ24">
        <f>IF(ROW()-3&gt;MAX($CY$4:$CY$42),"",INDEX(Lists!$FS$4:$FS$42,MATCH(ROW()-3,$CY$4:$CY$42,0)))</f>
        <v/>
      </c>
      <c r="DA24">
        <f>DA23+IF(AND(Lists!$FX$24&lt;&gt;"",ISNUMBER(SEARCH($AF$4,Lists!$FX$24))),1,0)</f>
        <v/>
      </c>
      <c r="DB24">
        <f>IF(ROW()-3&gt;MAX($DA$4:$DA$42),"",INDEX(Lists!$FX$4:$FX$42,MATCH(ROW()-3,$DA$4:$DA$42,0)))</f>
        <v/>
      </c>
    </row>
    <row r="25" outlineLevel="1" ht="15" customHeight="1" s="137">
      <c r="A25" s="67" t="n">
        <v>9</v>
      </c>
      <c r="B25" s="76">
        <f>IF('Final Calculation Sheet'!$F$26="","",'Final Calculation Sheet'!$F$26)</f>
        <v/>
      </c>
      <c r="C25" s="76">
        <f>IF('Final Calculation Sheet'!$G$26="","",'Final Calculation Sheet'!$G$26)</f>
        <v/>
      </c>
      <c r="D25" s="80">
        <f>IF('Final Calculation Sheet'!$B$26="","",'Final Calculation Sheet'!$B$26)</f>
        <v/>
      </c>
      <c r="E25" s="80">
        <f>IF('Final Calculation Sheet'!$D$26="","",'Final Calculation Sheet'!$D$26)</f>
        <v/>
      </c>
      <c r="F25" s="80">
        <f>IF('Final Calculation Sheet'!$A$26="","",'Final Calculation Sheet'!$A$26)</f>
        <v/>
      </c>
      <c r="G25" s="80">
        <f>IF('Final Calculation Sheet'!$E$26="","",'Final Calculation Sheet'!$E$26)</f>
        <v/>
      </c>
      <c r="H25" s="70">
        <f>IF('Final Calculation Sheet'!$C$26="","",'Final Calculation Sheet'!$C$26)</f>
        <v/>
      </c>
      <c r="I25" s="70">
        <f>IF('Final Calculation Sheet'!$H$26="","",'Final Calculation Sheet'!$H$26)</f>
        <v/>
      </c>
      <c r="J25" s="70">
        <f>IF('Final Calculation Sheet'!$I$26="","",'Final Calculation Sheet'!$I$26)</f>
        <v/>
      </c>
      <c r="K25" s="70">
        <f>IF('Final Calculation Sheet'!$J$26="","",'Final Calculation Sheet'!$J$26)</f>
        <v/>
      </c>
      <c r="L25" s="70">
        <f>IF('Final Calculation Sheet'!$K$26="","",'Final Calculation Sheet'!$K$26)</f>
        <v/>
      </c>
      <c r="M25" s="70">
        <f>IF('Final Calculation Sheet'!$L$26="","",'Final Calculation Sheet'!$L$26)</f>
        <v/>
      </c>
      <c r="N25" s="70">
        <f>IF('Final Calculation Sheet'!$M$26="","",'Final Calculation Sheet'!$M$26)</f>
        <v/>
      </c>
      <c r="O25" s="71">
        <f>IF('Final Calculation Sheet'!$N$26="","",'Final Calculation Sheet'!$N$26)</f>
        <v/>
      </c>
      <c r="P25" s="70">
        <f>IF('Final Calculation Sheet'!$O$26="","",'Final Calculation Sheet'!$O$26)</f>
        <v/>
      </c>
      <c r="Q25" s="70">
        <f>IF('Final Calculation Sheet'!$P$26="","",'Final Calculation Sheet'!$P$26)</f>
        <v/>
      </c>
      <c r="R25" s="72">
        <f>IF('Final Calculation Sheet'!$Q$26="","",'Final Calculation Sheet'!$Q$26)</f>
        <v/>
      </c>
      <c r="S25" s="70">
        <f>IF('Final Calculation Sheet'!$R$26="","",'Final Calculation Sheet'!$R$26)</f>
        <v/>
      </c>
      <c r="T25" s="70">
        <f>IF('Final Calculation Sheet'!$S$26="","",'Final Calculation Sheet'!$S$26)</f>
        <v/>
      </c>
      <c r="U25" s="70">
        <f>IF('Final Calculation Sheet'!$T$26="","",'Final Calculation Sheet'!$T$26)</f>
        <v/>
      </c>
      <c r="V25" s="73">
        <f>IF('Final Calculation Sheet'!$U$26="","",'Final Calculation Sheet'!$U$26)</f>
        <v/>
      </c>
      <c r="W25" s="70">
        <f>IF('Final Calculation Sheet'!$V$26="","",'Final Calculation Sheet'!$V$26)</f>
        <v/>
      </c>
      <c r="X25" s="70">
        <f>IF('Final Calculation Sheet'!$W$26="","",'Final Calculation Sheet'!$W$26)</f>
        <v/>
      </c>
      <c r="Y25" s="70">
        <f>IF('Final Calculation Sheet'!$X$26="","",'Final Calculation Sheet'!$X$26)</f>
        <v/>
      </c>
      <c r="Z25" s="70">
        <f>IF('Final Calculation Sheet'!$Y$26="","",'Final Calculation Sheet'!$Y$26)</f>
        <v/>
      </c>
      <c r="AA25" s="70">
        <f>IF('Final Calculation Sheet'!$Z$26="","",'Final Calculation Sheet'!$Z$26)</f>
        <v/>
      </c>
      <c r="AB25" s="70">
        <f>IF('Final Calculation Sheet'!$AA$26="","",'Final Calculation Sheet'!$AA$26)</f>
        <v/>
      </c>
      <c r="AC25" s="70">
        <f>IF('Final Calculation Sheet'!$AB$26="","",'Final Calculation Sheet'!$AB$26)</f>
        <v/>
      </c>
      <c r="AD25" s="70">
        <f>IF('Final Calculation Sheet'!$AC$26="","",'Final Calculation Sheet'!$AC$26)</f>
        <v/>
      </c>
      <c r="AE25" s="70">
        <f>IF('Final Calculation Sheet'!$AD$26="","",'Final Calculation Sheet'!$AD$26)</f>
        <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
      </c>
      <c r="AK25">
        <f>IF(AJ25=1,COUNTIF(AJ$6:AJ25,1),"")</f>
        <v/>
      </c>
      <c r="AM25">
        <f>AM24+IF(AND(Lists!$O$25&lt;&gt;"",ISNUMBER(SEARCH($B$4,Lists!$O$25))),1,0)</f>
        <v/>
      </c>
      <c r="AN25">
        <f>IF(ROW()-3&gt;MAX($AM$4:$AM$42),"",INDEX(Lists!$O$4:$O$42,MATCH(ROW()-3,$AM$4:$AM$42,0)))</f>
        <v/>
      </c>
      <c r="AO25">
        <f>AO24+IF(AND(Lists!$T$25&lt;&gt;"",ISNUMBER(SEARCH($C$4,Lists!$T$25))),1,0)</f>
        <v/>
      </c>
      <c r="AP25">
        <f>IF(ROW()-3&gt;MAX($AO$4:$AO$42),"",INDEX(Lists!$T$4:$T$42,MATCH(ROW()-3,$AO$4:$AO$42,0)))</f>
        <v/>
      </c>
      <c r="AQ25">
        <f>AQ24+IF(AND(Lists!$Y$25&lt;&gt;"",ISNUMBER(SEARCH($D$4,Lists!$Y$25))),1,0)</f>
        <v/>
      </c>
      <c r="AR25">
        <f>IF(ROW()-3&gt;MAX($AQ$4:$AQ$42),"",INDEX(Lists!$Y$4:$Y$42,MATCH(ROW()-3,$AQ$4:$AQ$42,0)))</f>
        <v/>
      </c>
      <c r="AS25">
        <f>AS24+IF(AND(Lists!$AD$25&lt;&gt;"",ISNUMBER(SEARCH($E$4,Lists!$AD$25))),1,0)</f>
        <v/>
      </c>
      <c r="AT25">
        <f>IF(ROW()-3&gt;MAX($AS$4:$AS$42),"",INDEX(Lists!$AD$4:$AD$42,MATCH(ROW()-3,$AS$4:$AS$42,0)))</f>
        <v/>
      </c>
      <c r="AU25">
        <f>AU24+IF(AND(Lists!$AI$25&lt;&gt;"",ISNUMBER(SEARCH($F$4,Lists!$AI$25))),1,0)</f>
        <v/>
      </c>
      <c r="AV25">
        <f>IF(ROW()-3&gt;MAX($AU$4:$AU$42),"",INDEX(Lists!$AI$4:$AI$42,MATCH(ROW()-3,$AU$4:$AU$42,0)))</f>
        <v/>
      </c>
      <c r="AW25">
        <f>AW24+IF(AND(Lists!$AN$25&lt;&gt;"",ISNUMBER(SEARCH($G$4,Lists!$AN$25))),1,0)</f>
        <v/>
      </c>
      <c r="AX25">
        <f>IF(ROW()-3&gt;MAX($AW$4:$AW$42),"",INDEX(Lists!$AN$4:$AN$42,MATCH(ROW()-3,$AW$4:$AW$42,0)))</f>
        <v/>
      </c>
      <c r="AY25">
        <f>AY24+IF(AND(Lists!$AS$25&lt;&gt;"",ISNUMBER(SEARCH($H$4,Lists!$AS$25))),1,0)</f>
        <v/>
      </c>
      <c r="AZ25">
        <f>IF(ROW()-3&gt;MAX($AY$4:$AY$42),"",INDEX(Lists!$AS$4:$AS$42,MATCH(ROW()-3,$AY$4:$AY$42,0)))</f>
        <v/>
      </c>
      <c r="BA25">
        <f>BA24+IF(AND(Lists!$AX$25&lt;&gt;"",ISNUMBER(SEARCH($I$4,Lists!$AX$25))),1,0)</f>
        <v/>
      </c>
      <c r="BB25">
        <f>IF(ROW()-3&gt;MAX($BA$4:$BA$42),"",INDEX(Lists!$AX$4:$AX$42,MATCH(ROW()-3,$BA$4:$BA$42,0)))</f>
        <v/>
      </c>
      <c r="BC25">
        <f>BC24+IF(AND(Lists!$BC$25&lt;&gt;"",ISNUMBER(SEARCH($J$4,Lists!$BC$25))),1,0)</f>
        <v/>
      </c>
      <c r="BD25">
        <f>IF(ROW()-3&gt;MAX($BC$4:$BC$42),"",INDEX(Lists!$BC$4:$BC$42,MATCH(ROW()-3,$BC$4:$BC$42,0)))</f>
        <v/>
      </c>
      <c r="BE25">
        <f>BE24+IF(AND(Lists!$BH$25&lt;&gt;"",ISNUMBER(SEARCH($K$4,Lists!$BH$25))),1,0)</f>
        <v/>
      </c>
      <c r="BF25">
        <f>IF(ROW()-3&gt;MAX($BE$4:$BE$42),"",INDEX(Lists!$BH$4:$BH$42,MATCH(ROW()-3,$BE$4:$BE$42,0)))</f>
        <v/>
      </c>
      <c r="BG25">
        <f>BG24+IF(AND(Lists!$BM$25&lt;&gt;"",ISNUMBER(SEARCH($L$4,Lists!$BM$25))),1,0)</f>
        <v/>
      </c>
      <c r="BH25">
        <f>IF(ROW()-3&gt;MAX($BG$4:$BG$42),"",INDEX(Lists!$BM$4:$BM$42,MATCH(ROW()-3,$BG$4:$BG$42,0)))</f>
        <v/>
      </c>
      <c r="BI25">
        <f>BI24+IF(AND(Lists!$BR$25&lt;&gt;"",ISNUMBER(SEARCH($M$4,Lists!$BR$25))),1,0)</f>
        <v/>
      </c>
      <c r="BJ25">
        <f>IF(ROW()-3&gt;MAX($BI$4:$BI$42),"",INDEX(Lists!$BR$4:$BR$42,MATCH(ROW()-3,$BI$4:$BI$42,0)))</f>
        <v/>
      </c>
      <c r="BK25">
        <f>BK24+IF(AND(Lists!$BW$25&lt;&gt;"",ISNUMBER(SEARCH($N$4,Lists!$BW$25))),1,0)</f>
        <v/>
      </c>
      <c r="BL25">
        <f>IF(ROW()-3&gt;MAX($BK$4:$BK$42),"",INDEX(Lists!$BW$4:$BW$42,MATCH(ROW()-3,$BK$4:$BK$42,0)))</f>
        <v/>
      </c>
      <c r="BM25">
        <f>BM24+IF(AND(Lists!$CB$25&lt;&gt;"",ISNUMBER(SEARCH($O$4,Lists!$CB$25))),1,0)</f>
        <v/>
      </c>
      <c r="BN25">
        <f>IF(ROW()-3&gt;MAX($BM$4:$BM$42),"",INDEX(Lists!$CB$4:$CB$42,MATCH(ROW()-3,$BM$4:$BM$42,0)))</f>
        <v/>
      </c>
      <c r="BO25">
        <f>BO24+IF(AND(Lists!$CG$25&lt;&gt;"",ISNUMBER(SEARCH($P$4,Lists!$CG$25))),1,0)</f>
        <v/>
      </c>
      <c r="BP25">
        <f>IF(ROW()-3&gt;MAX($BO$4:$BO$42),"",INDEX(Lists!$CG$4:$CG$42,MATCH(ROW()-3,$BO$4:$BO$42,0)))</f>
        <v/>
      </c>
      <c r="BQ25">
        <f>BQ24+IF(AND(Lists!$CL$25&lt;&gt;"",ISNUMBER(SEARCH($Q$4,Lists!$CL$25))),1,0)</f>
        <v/>
      </c>
      <c r="BR25">
        <f>IF(ROW()-3&gt;MAX($BQ$4:$BQ$42),"",INDEX(Lists!$CL$4:$CL$42,MATCH(ROW()-3,$BQ$4:$BQ$42,0)))</f>
        <v/>
      </c>
      <c r="BS25">
        <f>BS24+IF(AND(Lists!$CQ$25&lt;&gt;"",ISNUMBER(SEARCH($R$4,Lists!$CQ$25))),1,0)</f>
        <v/>
      </c>
      <c r="BT25">
        <f>IF(ROW()-3&gt;MAX($BS$4:$BS$42),"",INDEX(Lists!$CQ$4:$CQ$42,MATCH(ROW()-3,$BS$4:$BS$42,0)))</f>
        <v/>
      </c>
      <c r="BU25">
        <f>BU24+IF(AND(Lists!$CV$25&lt;&gt;"",ISNUMBER(SEARCH($S$4,Lists!$CV$25))),1,0)</f>
        <v/>
      </c>
      <c r="BV25">
        <f>IF(ROW()-3&gt;MAX($BU$4:$BU$42),"",INDEX(Lists!$CV$4:$CV$42,MATCH(ROW()-3,$BU$4:$BU$42,0)))</f>
        <v/>
      </c>
      <c r="BW25">
        <f>BW24+IF(AND(Lists!$DA$25&lt;&gt;"",ISNUMBER(SEARCH($T$4,Lists!$DA$25))),1,0)</f>
        <v/>
      </c>
      <c r="BX25">
        <f>IF(ROW()-3&gt;MAX($BW$4:$BW$42),"",INDEX(Lists!$DA$4:$DA$42,MATCH(ROW()-3,$BW$4:$BW$42,0)))</f>
        <v/>
      </c>
      <c r="BY25">
        <f>BY24+IF(AND(Lists!$DF$25&lt;&gt;"",ISNUMBER(SEARCH($U$4,Lists!$DF$25))),1,0)</f>
        <v/>
      </c>
      <c r="BZ25">
        <f>IF(ROW()-3&gt;MAX($BY$4:$BY$42),"",INDEX(Lists!$DF$4:$DF$42,MATCH(ROW()-3,$BY$4:$BY$42,0)))</f>
        <v/>
      </c>
      <c r="CA25">
        <f>CA24+IF(AND(Lists!$DK$25&lt;&gt;"",ISNUMBER(SEARCH($V$4,Lists!$DK$25))),1,0)</f>
        <v/>
      </c>
      <c r="CB25">
        <f>IF(ROW()-3&gt;MAX($CA$4:$CA$42),"",INDEX(Lists!$DK$4:$DK$42,MATCH(ROW()-3,$CA$4:$CA$42,0)))</f>
        <v/>
      </c>
      <c r="CC25">
        <f>CC24+IF(AND(Lists!$DP$25&lt;&gt;"",ISNUMBER(SEARCH($W$4,Lists!$DP$25))),1,0)</f>
        <v/>
      </c>
      <c r="CD25">
        <f>IF(ROW()-3&gt;MAX($CC$4:$CC$42),"",INDEX(Lists!$DP$4:$DP$42,MATCH(ROW()-3,$CC$4:$CC$42,0)))</f>
        <v/>
      </c>
      <c r="CE25">
        <f>CE24+IF(AND(Lists!$DU$25&lt;&gt;"",ISNUMBER(SEARCH($X$4,Lists!$DU$25))),1,0)</f>
        <v/>
      </c>
      <c r="CF25">
        <f>IF(ROW()-3&gt;MAX($CE$4:$CE$42),"",INDEX(Lists!$DU$4:$DU$42,MATCH(ROW()-3,$CE$4:$CE$42,0)))</f>
        <v/>
      </c>
      <c r="CG25">
        <f>CG24+IF(AND(Lists!$DZ$25&lt;&gt;"",ISNUMBER(SEARCH($Y$4,Lists!$DZ$25))),1,0)</f>
        <v/>
      </c>
      <c r="CH25">
        <f>IF(ROW()-3&gt;MAX($CG$4:$CG$42),"",INDEX(Lists!$DZ$4:$DZ$42,MATCH(ROW()-3,$CG$4:$CG$42,0)))</f>
        <v/>
      </c>
      <c r="CI25">
        <f>CI24+IF(AND(Lists!$EE$25&lt;&gt;"",ISNUMBER(SEARCH($Z$4,Lists!$EE$25))),1,0)</f>
        <v/>
      </c>
      <c r="CJ25">
        <f>IF(ROW()-3&gt;MAX($CI$4:$CI$42),"",INDEX(Lists!$EE$4:$EE$42,MATCH(ROW()-3,$CI$4:$CI$42,0)))</f>
        <v/>
      </c>
      <c r="CK25">
        <f>CK24+IF(AND(Lists!$EJ$25&lt;&gt;"",ISNUMBER(SEARCH($AA$4,Lists!$EJ$25))),1,0)</f>
        <v/>
      </c>
      <c r="CL25">
        <f>IF(ROW()-3&gt;MAX($CK$4:$CK$42),"",INDEX(Lists!$EJ$4:$EJ$42,MATCH(ROW()-3,$CK$4:$CK$42,0)))</f>
        <v/>
      </c>
      <c r="CM25">
        <f>CM24+IF(AND(Lists!$EO$25&lt;&gt;"",ISNUMBER(SEARCH($AB$4,Lists!$EO$25))),1,0)</f>
        <v/>
      </c>
      <c r="CN25">
        <f>IF(ROW()-3&gt;MAX($CM$4:$CM$42),"",INDEX(Lists!$EO$4:$EO$42,MATCH(ROW()-3,$CM$4:$CM$42,0)))</f>
        <v/>
      </c>
      <c r="CO25">
        <f>CO24+IF(AND(Lists!$ET$25&lt;&gt;"",ISNUMBER(SEARCH($AC$4,Lists!$ET$25))),1,0)</f>
        <v/>
      </c>
      <c r="CP25">
        <f>IF(ROW()-3&gt;MAX($CO$4:$CO$42),"",INDEX(Lists!$ET$4:$ET$42,MATCH(ROW()-3,$CO$4:$CO$42,0)))</f>
        <v/>
      </c>
      <c r="CQ25">
        <f>CQ24+IF(AND(Lists!$EY$25&lt;&gt;"",ISNUMBER(SEARCH($AD$4,Lists!$EY$25))),1,0)</f>
        <v/>
      </c>
      <c r="CR25">
        <f>IF(ROW()-3&gt;MAX($CQ$4:$CQ$42),"",INDEX(Lists!$EY$4:$EY$42,MATCH(ROW()-3,$CQ$4:$CQ$42,0)))</f>
        <v/>
      </c>
      <c r="CS25">
        <f>CS24+IF(AND(Lists!$FD$25&lt;&gt;"",ISNUMBER(SEARCH($AE$4,Lists!$FD$25))),1,0)</f>
        <v/>
      </c>
      <c r="CT25">
        <f>IF(ROW()-3&gt;MAX($CS$4:$CS$42),"",INDEX(Lists!$FD$4:$FD$42,MATCH(ROW()-3,$CS$4:$CS$42,0)))</f>
        <v/>
      </c>
      <c r="CU25">
        <f>CU24+IF(AND(Lists!$FI$25&lt;&gt;"",ISNUMBER(SEARCH($AG$4,Lists!$FI$25))),1,0)</f>
        <v/>
      </c>
      <c r="CV25">
        <f>IF(ROW()-3&gt;MAX($CU$4:$CU$42),"",INDEX(Lists!$FI$4:$FI$42,MATCH(ROW()-3,$CU$4:$CU$42,0)))</f>
        <v/>
      </c>
      <c r="CW25">
        <f>CW24+IF(AND(Lists!$FN$25&lt;&gt;"",ISNUMBER(SEARCH($AH$4,Lists!$FN$25))),1,0)</f>
        <v/>
      </c>
      <c r="CX25">
        <f>IF(ROW()-3&gt;MAX($CW$4:$CW$42),"",INDEX(Lists!$FN$4:$FN$42,MATCH(ROW()-3,$CW$4:$CW$42,0)))</f>
        <v/>
      </c>
      <c r="CY25">
        <f>CY24+IF(AND(Lists!$FS$25&lt;&gt;"",ISNUMBER(SEARCH($AI$4,Lists!$FS$25))),1,0)</f>
        <v/>
      </c>
      <c r="CZ25">
        <f>IF(ROW()-3&gt;MAX($CY$4:$CY$42),"",INDEX(Lists!$FS$4:$FS$42,MATCH(ROW()-3,$CY$4:$CY$42,0)))</f>
        <v/>
      </c>
      <c r="DA25">
        <f>DA24+IF(AND(Lists!$FX$25&lt;&gt;"",ISNUMBER(SEARCH($AF$4,Lists!$FX$25))),1,0)</f>
        <v/>
      </c>
      <c r="DB25">
        <f>IF(ROW()-3&gt;MAX($DA$4:$DA$42),"",INDEX(Lists!$FX$4:$FX$42,MATCH(ROW()-3,$DA$4:$DA$42,0)))</f>
        <v/>
      </c>
    </row>
    <row r="26" outlineLevel="1" ht="15" customHeight="1" s="137">
      <c r="A26" s="90" t="n">
        <v>10</v>
      </c>
      <c r="B26" s="92">
        <f>IF('Final Calculation Sheet'!$F$30="","",'Final Calculation Sheet'!$F$30)</f>
        <v/>
      </c>
      <c r="C26" s="92">
        <f>IF('Final Calculation Sheet'!$G$30="","",'Final Calculation Sheet'!$G$30)</f>
        <v/>
      </c>
      <c r="D26" s="94">
        <f>IF('Final Calculation Sheet'!$B$30="","",'Final Calculation Sheet'!$B$30)</f>
        <v/>
      </c>
      <c r="E26" s="94">
        <f>IF('Final Calculation Sheet'!$D$30="","",'Final Calculation Sheet'!$D$30)</f>
        <v/>
      </c>
      <c r="F26" s="94">
        <f>IF('Final Calculation Sheet'!$A$30="","",'Final Calculation Sheet'!$A$30)</f>
        <v/>
      </c>
      <c r="G26" s="94">
        <f>IF('Final Calculation Sheet'!$E$30="","",'Final Calculation Sheet'!$E$30)</f>
        <v/>
      </c>
      <c r="H26" s="95">
        <f>IF('Final Calculation Sheet'!$C$30="","",'Final Calculation Sheet'!$C$30)</f>
        <v/>
      </c>
      <c r="I26" s="95">
        <f>IF('Final Calculation Sheet'!$H$30="","",'Final Calculation Sheet'!$H$30)</f>
        <v/>
      </c>
      <c r="J26" s="95">
        <f>IF('Final Calculation Sheet'!$I$30="","",'Final Calculation Sheet'!$I$30)</f>
        <v/>
      </c>
      <c r="K26" s="95">
        <f>IF('Final Calculation Sheet'!$J$30="","",'Final Calculation Sheet'!$J$30)</f>
        <v/>
      </c>
      <c r="L26" s="95">
        <f>IF('Final Calculation Sheet'!$K$30="","",'Final Calculation Sheet'!$K$30)</f>
        <v/>
      </c>
      <c r="M26" s="95">
        <f>IF('Final Calculation Sheet'!$L$30="","",'Final Calculation Sheet'!$L$30)</f>
        <v/>
      </c>
      <c r="N26" s="95">
        <f>IF('Final Calculation Sheet'!$M$30="","",'Final Calculation Sheet'!$M$30)</f>
        <v/>
      </c>
      <c r="O26" s="96">
        <f>IF('Final Calculation Sheet'!$N$30="","",'Final Calculation Sheet'!$N$30)</f>
        <v/>
      </c>
      <c r="P26" s="95">
        <f>IF('Final Calculation Sheet'!$O$30="","",'Final Calculation Sheet'!$O$30)</f>
        <v/>
      </c>
      <c r="Q26" s="95">
        <f>IF('Final Calculation Sheet'!$P$30="","",'Final Calculation Sheet'!$P$30)</f>
        <v/>
      </c>
      <c r="R26" s="97">
        <f>IF('Final Calculation Sheet'!$Q$30="","",'Final Calculation Sheet'!$Q$30)</f>
        <v/>
      </c>
      <c r="S26" s="95">
        <f>IF('Final Calculation Sheet'!$R$30="","",'Final Calculation Sheet'!$R$30)</f>
        <v/>
      </c>
      <c r="T26" s="95">
        <f>IF('Final Calculation Sheet'!$S$30="","",'Final Calculation Sheet'!$S$30)</f>
        <v/>
      </c>
      <c r="U26" s="95">
        <f>IF('Final Calculation Sheet'!$T$30="","",'Final Calculation Sheet'!$T$30)</f>
        <v/>
      </c>
      <c r="V26" s="98">
        <f>IF('Final Calculation Sheet'!$U$30="","",'Final Calculation Sheet'!$U$30)</f>
        <v/>
      </c>
      <c r="W26" s="95">
        <f>IF('Final Calculation Sheet'!$V$30="","",'Final Calculation Sheet'!$V$30)</f>
        <v/>
      </c>
      <c r="X26" s="95">
        <f>IF('Final Calculation Sheet'!$W$30="","",'Final Calculation Sheet'!$W$30)</f>
        <v/>
      </c>
      <c r="Y26" s="95">
        <f>IF('Final Calculation Sheet'!$X$30="","",'Final Calculation Sheet'!$X$30)</f>
        <v/>
      </c>
      <c r="Z26" s="95">
        <f>IF('Final Calculation Sheet'!$Y$30="","",'Final Calculation Sheet'!$Y$30)</f>
        <v/>
      </c>
      <c r="AA26" s="95">
        <f>IF('Final Calculation Sheet'!$Z$30="","",'Final Calculation Sheet'!$Z$30)</f>
        <v/>
      </c>
      <c r="AB26" s="95">
        <f>IF('Final Calculation Sheet'!$AA$30="","",'Final Calculation Sheet'!$AA$30)</f>
        <v/>
      </c>
      <c r="AC26" s="95">
        <f>IF('Final Calculation Sheet'!$AB$30="","",'Final Calculation Sheet'!$AB$30)</f>
        <v/>
      </c>
      <c r="AD26" s="95">
        <f>IF('Final Calculation Sheet'!$AC$30="","",'Final Calculation Sheet'!$AC$30)</f>
        <v/>
      </c>
      <c r="AE26" s="95">
        <f>IF('Final Calculation Sheet'!$AD$30="","",'Final Calculation Sheet'!$AD$30)</f>
        <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
      </c>
      <c r="AK26">
        <f>IF(AJ26=1,COUNTIF(AJ$6:AJ26,1),"")</f>
        <v/>
      </c>
      <c r="AM26">
        <f>AM25+IF(AND(Lists!$O$26&lt;&gt;"",ISNUMBER(SEARCH($B$4,Lists!$O$26))),1,0)</f>
        <v/>
      </c>
      <c r="AN26">
        <f>IF(ROW()-3&gt;MAX($AM$4:$AM$42),"",INDEX(Lists!$O$4:$O$42,MATCH(ROW()-3,$AM$4:$AM$42,0)))</f>
        <v/>
      </c>
      <c r="AO26">
        <f>AO25+IF(AND(Lists!$T$26&lt;&gt;"",ISNUMBER(SEARCH($C$4,Lists!$T$26))),1,0)</f>
        <v/>
      </c>
      <c r="AP26">
        <f>IF(ROW()-3&gt;MAX($AO$4:$AO$42),"",INDEX(Lists!$T$4:$T$42,MATCH(ROW()-3,$AO$4:$AO$42,0)))</f>
        <v/>
      </c>
      <c r="AQ26">
        <f>AQ25+IF(AND(Lists!$Y$26&lt;&gt;"",ISNUMBER(SEARCH($D$4,Lists!$Y$26))),1,0)</f>
        <v/>
      </c>
      <c r="AR26">
        <f>IF(ROW()-3&gt;MAX($AQ$4:$AQ$42),"",INDEX(Lists!$Y$4:$Y$42,MATCH(ROW()-3,$AQ$4:$AQ$42,0)))</f>
        <v/>
      </c>
      <c r="AS26">
        <f>AS25+IF(AND(Lists!$AD$26&lt;&gt;"",ISNUMBER(SEARCH($E$4,Lists!$AD$26))),1,0)</f>
        <v/>
      </c>
      <c r="AT26">
        <f>IF(ROW()-3&gt;MAX($AS$4:$AS$42),"",INDEX(Lists!$AD$4:$AD$42,MATCH(ROW()-3,$AS$4:$AS$42,0)))</f>
        <v/>
      </c>
      <c r="AU26">
        <f>AU25+IF(AND(Lists!$AI$26&lt;&gt;"",ISNUMBER(SEARCH($F$4,Lists!$AI$26))),1,0)</f>
        <v/>
      </c>
      <c r="AV26">
        <f>IF(ROW()-3&gt;MAX($AU$4:$AU$42),"",INDEX(Lists!$AI$4:$AI$42,MATCH(ROW()-3,$AU$4:$AU$42,0)))</f>
        <v/>
      </c>
      <c r="AW26">
        <f>AW25+IF(AND(Lists!$AN$26&lt;&gt;"",ISNUMBER(SEARCH($G$4,Lists!$AN$26))),1,0)</f>
        <v/>
      </c>
      <c r="AX26">
        <f>IF(ROW()-3&gt;MAX($AW$4:$AW$42),"",INDEX(Lists!$AN$4:$AN$42,MATCH(ROW()-3,$AW$4:$AW$42,0)))</f>
        <v/>
      </c>
      <c r="AY26">
        <f>AY25+IF(AND(Lists!$AS$26&lt;&gt;"",ISNUMBER(SEARCH($H$4,Lists!$AS$26))),1,0)</f>
        <v/>
      </c>
      <c r="AZ26">
        <f>IF(ROW()-3&gt;MAX($AY$4:$AY$42),"",INDEX(Lists!$AS$4:$AS$42,MATCH(ROW()-3,$AY$4:$AY$42,0)))</f>
        <v/>
      </c>
      <c r="BA26">
        <f>BA25+IF(AND(Lists!$AX$26&lt;&gt;"",ISNUMBER(SEARCH($I$4,Lists!$AX$26))),1,0)</f>
        <v/>
      </c>
      <c r="BB26">
        <f>IF(ROW()-3&gt;MAX($BA$4:$BA$42),"",INDEX(Lists!$AX$4:$AX$42,MATCH(ROW()-3,$BA$4:$BA$42,0)))</f>
        <v/>
      </c>
      <c r="BC26">
        <f>BC25+IF(AND(Lists!$BC$26&lt;&gt;"",ISNUMBER(SEARCH($J$4,Lists!$BC$26))),1,0)</f>
        <v/>
      </c>
      <c r="BD26">
        <f>IF(ROW()-3&gt;MAX($BC$4:$BC$42),"",INDEX(Lists!$BC$4:$BC$42,MATCH(ROW()-3,$BC$4:$BC$42,0)))</f>
        <v/>
      </c>
      <c r="BE26">
        <f>BE25+IF(AND(Lists!$BH$26&lt;&gt;"",ISNUMBER(SEARCH($K$4,Lists!$BH$26))),1,0)</f>
        <v/>
      </c>
      <c r="BF26">
        <f>IF(ROW()-3&gt;MAX($BE$4:$BE$42),"",INDEX(Lists!$BH$4:$BH$42,MATCH(ROW()-3,$BE$4:$BE$42,0)))</f>
        <v/>
      </c>
      <c r="BG26">
        <f>BG25+IF(AND(Lists!$BM$26&lt;&gt;"",ISNUMBER(SEARCH($L$4,Lists!$BM$26))),1,0)</f>
        <v/>
      </c>
      <c r="BH26">
        <f>IF(ROW()-3&gt;MAX($BG$4:$BG$42),"",INDEX(Lists!$BM$4:$BM$42,MATCH(ROW()-3,$BG$4:$BG$42,0)))</f>
        <v/>
      </c>
      <c r="BI26">
        <f>BI25+IF(AND(Lists!$BR$26&lt;&gt;"",ISNUMBER(SEARCH($M$4,Lists!$BR$26))),1,0)</f>
        <v/>
      </c>
      <c r="BJ26">
        <f>IF(ROW()-3&gt;MAX($BI$4:$BI$42),"",INDEX(Lists!$BR$4:$BR$42,MATCH(ROW()-3,$BI$4:$BI$42,0)))</f>
        <v/>
      </c>
      <c r="BK26">
        <f>BK25+IF(AND(Lists!$BW$26&lt;&gt;"",ISNUMBER(SEARCH($N$4,Lists!$BW$26))),1,0)</f>
        <v/>
      </c>
      <c r="BL26">
        <f>IF(ROW()-3&gt;MAX($BK$4:$BK$42),"",INDEX(Lists!$BW$4:$BW$42,MATCH(ROW()-3,$BK$4:$BK$42,0)))</f>
        <v/>
      </c>
      <c r="BM26">
        <f>BM25+IF(AND(Lists!$CB$26&lt;&gt;"",ISNUMBER(SEARCH($O$4,Lists!$CB$26))),1,0)</f>
        <v/>
      </c>
      <c r="BN26">
        <f>IF(ROW()-3&gt;MAX($BM$4:$BM$42),"",INDEX(Lists!$CB$4:$CB$42,MATCH(ROW()-3,$BM$4:$BM$42,0)))</f>
        <v/>
      </c>
      <c r="BO26">
        <f>BO25+IF(AND(Lists!$CG$26&lt;&gt;"",ISNUMBER(SEARCH($P$4,Lists!$CG$26))),1,0)</f>
        <v/>
      </c>
      <c r="BP26">
        <f>IF(ROW()-3&gt;MAX($BO$4:$BO$42),"",INDEX(Lists!$CG$4:$CG$42,MATCH(ROW()-3,$BO$4:$BO$42,0)))</f>
        <v/>
      </c>
      <c r="BQ26">
        <f>BQ25+IF(AND(Lists!$CL$26&lt;&gt;"",ISNUMBER(SEARCH($Q$4,Lists!$CL$26))),1,0)</f>
        <v/>
      </c>
      <c r="BR26">
        <f>IF(ROW()-3&gt;MAX($BQ$4:$BQ$42),"",INDEX(Lists!$CL$4:$CL$42,MATCH(ROW()-3,$BQ$4:$BQ$42,0)))</f>
        <v/>
      </c>
      <c r="BS26">
        <f>BS25+IF(AND(Lists!$CQ$26&lt;&gt;"",ISNUMBER(SEARCH($R$4,Lists!$CQ$26))),1,0)</f>
        <v/>
      </c>
      <c r="BT26">
        <f>IF(ROW()-3&gt;MAX($BS$4:$BS$42),"",INDEX(Lists!$CQ$4:$CQ$42,MATCH(ROW()-3,$BS$4:$BS$42,0)))</f>
        <v/>
      </c>
      <c r="BU26">
        <f>BU25+IF(AND(Lists!$CV$26&lt;&gt;"",ISNUMBER(SEARCH($S$4,Lists!$CV$26))),1,0)</f>
        <v/>
      </c>
      <c r="BV26">
        <f>IF(ROW()-3&gt;MAX($BU$4:$BU$42),"",INDEX(Lists!$CV$4:$CV$42,MATCH(ROW()-3,$BU$4:$BU$42,0)))</f>
        <v/>
      </c>
      <c r="BW26">
        <f>BW25+IF(AND(Lists!$DA$26&lt;&gt;"",ISNUMBER(SEARCH($T$4,Lists!$DA$26))),1,0)</f>
        <v/>
      </c>
      <c r="BX26">
        <f>IF(ROW()-3&gt;MAX($BW$4:$BW$42),"",INDEX(Lists!$DA$4:$DA$42,MATCH(ROW()-3,$BW$4:$BW$42,0)))</f>
        <v/>
      </c>
      <c r="BY26">
        <f>BY25+IF(AND(Lists!$DF$26&lt;&gt;"",ISNUMBER(SEARCH($U$4,Lists!$DF$26))),1,0)</f>
        <v/>
      </c>
      <c r="BZ26">
        <f>IF(ROW()-3&gt;MAX($BY$4:$BY$42),"",INDEX(Lists!$DF$4:$DF$42,MATCH(ROW()-3,$BY$4:$BY$42,0)))</f>
        <v/>
      </c>
      <c r="CA26">
        <f>CA25+IF(AND(Lists!$DK$26&lt;&gt;"",ISNUMBER(SEARCH($V$4,Lists!$DK$26))),1,0)</f>
        <v/>
      </c>
      <c r="CB26">
        <f>IF(ROW()-3&gt;MAX($CA$4:$CA$42),"",INDEX(Lists!$DK$4:$DK$42,MATCH(ROW()-3,$CA$4:$CA$42,0)))</f>
        <v/>
      </c>
      <c r="CC26">
        <f>CC25+IF(AND(Lists!$DP$26&lt;&gt;"",ISNUMBER(SEARCH($W$4,Lists!$DP$26))),1,0)</f>
        <v/>
      </c>
      <c r="CD26">
        <f>IF(ROW()-3&gt;MAX($CC$4:$CC$42),"",INDEX(Lists!$DP$4:$DP$42,MATCH(ROW()-3,$CC$4:$CC$42,0)))</f>
        <v/>
      </c>
      <c r="CE26">
        <f>CE25+IF(AND(Lists!$DU$26&lt;&gt;"",ISNUMBER(SEARCH($X$4,Lists!$DU$26))),1,0)</f>
        <v/>
      </c>
      <c r="CF26">
        <f>IF(ROW()-3&gt;MAX($CE$4:$CE$42),"",INDEX(Lists!$DU$4:$DU$42,MATCH(ROW()-3,$CE$4:$CE$42,0)))</f>
        <v/>
      </c>
      <c r="CG26">
        <f>CG25+IF(AND(Lists!$DZ$26&lt;&gt;"",ISNUMBER(SEARCH($Y$4,Lists!$DZ$26))),1,0)</f>
        <v/>
      </c>
      <c r="CH26">
        <f>IF(ROW()-3&gt;MAX($CG$4:$CG$42),"",INDEX(Lists!$DZ$4:$DZ$42,MATCH(ROW()-3,$CG$4:$CG$42,0)))</f>
        <v/>
      </c>
      <c r="CI26">
        <f>CI25+IF(AND(Lists!$EE$26&lt;&gt;"",ISNUMBER(SEARCH($Z$4,Lists!$EE$26))),1,0)</f>
        <v/>
      </c>
      <c r="CJ26">
        <f>IF(ROW()-3&gt;MAX($CI$4:$CI$42),"",INDEX(Lists!$EE$4:$EE$42,MATCH(ROW()-3,$CI$4:$CI$42,0)))</f>
        <v/>
      </c>
      <c r="CK26">
        <f>CK25+IF(AND(Lists!$EJ$26&lt;&gt;"",ISNUMBER(SEARCH($AA$4,Lists!$EJ$26))),1,0)</f>
        <v/>
      </c>
      <c r="CL26">
        <f>IF(ROW()-3&gt;MAX($CK$4:$CK$42),"",INDEX(Lists!$EJ$4:$EJ$42,MATCH(ROW()-3,$CK$4:$CK$42,0)))</f>
        <v/>
      </c>
      <c r="CM26">
        <f>CM25+IF(AND(Lists!$EO$26&lt;&gt;"",ISNUMBER(SEARCH($AB$4,Lists!$EO$26))),1,0)</f>
        <v/>
      </c>
      <c r="CN26">
        <f>IF(ROW()-3&gt;MAX($CM$4:$CM$42),"",INDEX(Lists!$EO$4:$EO$42,MATCH(ROW()-3,$CM$4:$CM$42,0)))</f>
        <v/>
      </c>
      <c r="CO26">
        <f>CO25+IF(AND(Lists!$ET$26&lt;&gt;"",ISNUMBER(SEARCH($AC$4,Lists!$ET$26))),1,0)</f>
        <v/>
      </c>
      <c r="CP26">
        <f>IF(ROW()-3&gt;MAX($CO$4:$CO$42),"",INDEX(Lists!$ET$4:$ET$42,MATCH(ROW()-3,$CO$4:$CO$42,0)))</f>
        <v/>
      </c>
      <c r="CQ26">
        <f>CQ25+IF(AND(Lists!$EY$26&lt;&gt;"",ISNUMBER(SEARCH($AD$4,Lists!$EY$26))),1,0)</f>
        <v/>
      </c>
      <c r="CR26">
        <f>IF(ROW()-3&gt;MAX($CQ$4:$CQ$42),"",INDEX(Lists!$EY$4:$EY$42,MATCH(ROW()-3,$CQ$4:$CQ$42,0)))</f>
        <v/>
      </c>
      <c r="CS26">
        <f>CS25+IF(AND(Lists!$FD$26&lt;&gt;"",ISNUMBER(SEARCH($AE$4,Lists!$FD$26))),1,0)</f>
        <v/>
      </c>
      <c r="CT26">
        <f>IF(ROW()-3&gt;MAX($CS$4:$CS$42),"",INDEX(Lists!$FD$4:$FD$42,MATCH(ROW()-3,$CS$4:$CS$42,0)))</f>
        <v/>
      </c>
      <c r="CU26">
        <f>CU25+IF(AND(Lists!$FI$26&lt;&gt;"",ISNUMBER(SEARCH($AG$4,Lists!$FI$26))),1,0)</f>
        <v/>
      </c>
      <c r="CV26">
        <f>IF(ROW()-3&gt;MAX($CU$4:$CU$42),"",INDEX(Lists!$FI$4:$FI$42,MATCH(ROW()-3,$CU$4:$CU$42,0)))</f>
        <v/>
      </c>
      <c r="CW26">
        <f>CW25+IF(AND(Lists!$FN$26&lt;&gt;"",ISNUMBER(SEARCH($AH$4,Lists!$FN$26))),1,0)</f>
        <v/>
      </c>
      <c r="CX26">
        <f>IF(ROW()-3&gt;MAX($CW$4:$CW$42),"",INDEX(Lists!$FN$4:$FN$42,MATCH(ROW()-3,$CW$4:$CW$42,0)))</f>
        <v/>
      </c>
      <c r="CY26">
        <f>CY25+IF(AND(Lists!$FS$26&lt;&gt;"",ISNUMBER(SEARCH($AI$4,Lists!$FS$26))),1,0)</f>
        <v/>
      </c>
      <c r="CZ26">
        <f>IF(ROW()-3&gt;MAX($CY$4:$CY$42),"",INDEX(Lists!$FS$4:$FS$42,MATCH(ROW()-3,$CY$4:$CY$42,0)))</f>
        <v/>
      </c>
      <c r="DA26">
        <f>DA25+IF(AND(Lists!$FX$26&lt;&gt;"",ISNUMBER(SEARCH($AF$4,Lists!$FX$26))),1,0)</f>
        <v/>
      </c>
      <c r="DB26">
        <f>IF(ROW()-3&gt;MAX($DA$4:$DA$42),"",INDEX(Lists!$FX$4:$FX$42,MATCH(ROW()-3,$DA$4:$DA$42,0)))</f>
        <v/>
      </c>
    </row>
    <row r="27" outlineLevel="1" ht="15" customHeight="1" s="137">
      <c r="A27" s="67" t="n">
        <v>11</v>
      </c>
      <c r="B27" s="76">
        <f>IF('Final Calculation Sheet'!$F$32="","",'Final Calculation Sheet'!$F$32)</f>
        <v/>
      </c>
      <c r="C27" s="76">
        <f>IF('Final Calculation Sheet'!$G$32="","",'Final Calculation Sheet'!$G$32)</f>
        <v/>
      </c>
      <c r="D27" s="80">
        <f>IF('Final Calculation Sheet'!$B$32="","",'Final Calculation Sheet'!$B$32)</f>
        <v/>
      </c>
      <c r="E27" s="80">
        <f>IF('Final Calculation Sheet'!$D$32="","",'Final Calculation Sheet'!$D$32)</f>
        <v/>
      </c>
      <c r="F27" s="80">
        <f>IF('Final Calculation Sheet'!$A$32="","",'Final Calculation Sheet'!$A$32)</f>
        <v/>
      </c>
      <c r="G27" s="80">
        <f>IF('Final Calculation Sheet'!$E$32="","",'Final Calculation Sheet'!$E$32)</f>
        <v/>
      </c>
      <c r="H27" s="70">
        <f>IF('Final Calculation Sheet'!$C$32="","",'Final Calculation Sheet'!$C$32)</f>
        <v/>
      </c>
      <c r="I27" s="70">
        <f>IF('Final Calculation Sheet'!$H$32="","",'Final Calculation Sheet'!$H$32)</f>
        <v/>
      </c>
      <c r="J27" s="70">
        <f>IF('Final Calculation Sheet'!$I$32="","",'Final Calculation Sheet'!$I$32)</f>
        <v/>
      </c>
      <c r="K27" s="70">
        <f>IF('Final Calculation Sheet'!$J$32="","",'Final Calculation Sheet'!$J$32)</f>
        <v/>
      </c>
      <c r="L27" s="70">
        <f>IF('Final Calculation Sheet'!$K$32="","",'Final Calculation Sheet'!$K$32)</f>
        <v/>
      </c>
      <c r="M27" s="70">
        <f>IF('Final Calculation Sheet'!$L$32="","",'Final Calculation Sheet'!$L$32)</f>
        <v/>
      </c>
      <c r="N27" s="70">
        <f>IF('Final Calculation Sheet'!$M$32="","",'Final Calculation Sheet'!$M$32)</f>
        <v/>
      </c>
      <c r="O27" s="71">
        <f>IF('Final Calculation Sheet'!$N$32="","",'Final Calculation Sheet'!$N$32)</f>
        <v/>
      </c>
      <c r="P27" s="70">
        <f>IF('Final Calculation Sheet'!$O$32="","",'Final Calculation Sheet'!$O$32)</f>
        <v/>
      </c>
      <c r="Q27" s="70">
        <f>IF('Final Calculation Sheet'!$P$32="","",'Final Calculation Sheet'!$P$32)</f>
        <v/>
      </c>
      <c r="R27" s="72">
        <f>IF('Final Calculation Sheet'!$Q$32="","",'Final Calculation Sheet'!$Q$32)</f>
        <v/>
      </c>
      <c r="S27" s="70">
        <f>IF('Final Calculation Sheet'!$R$32="","",'Final Calculation Sheet'!$R$32)</f>
        <v/>
      </c>
      <c r="T27" s="70">
        <f>IF('Final Calculation Sheet'!$S$32="","",'Final Calculation Sheet'!$S$32)</f>
        <v/>
      </c>
      <c r="U27" s="70">
        <f>IF('Final Calculation Sheet'!$T$32="","",'Final Calculation Sheet'!$T$32)</f>
        <v/>
      </c>
      <c r="V27" s="73">
        <f>IF('Final Calculation Sheet'!$U$32="","",'Final Calculation Sheet'!$U$32)</f>
        <v/>
      </c>
      <c r="W27" s="70">
        <f>IF('Final Calculation Sheet'!$V$32="","",'Final Calculation Sheet'!$V$32)</f>
        <v/>
      </c>
      <c r="X27" s="70">
        <f>IF('Final Calculation Sheet'!$W$32="","",'Final Calculation Sheet'!$W$32)</f>
        <v/>
      </c>
      <c r="Y27" s="70">
        <f>IF('Final Calculation Sheet'!$X$32="","",'Final Calculation Sheet'!$X$32)</f>
        <v/>
      </c>
      <c r="Z27" s="70">
        <f>IF('Final Calculation Sheet'!$Y$32="","",'Final Calculation Sheet'!$Y$32)</f>
        <v/>
      </c>
      <c r="AA27" s="70">
        <f>IF('Final Calculation Sheet'!$Z$32="","",'Final Calculation Sheet'!$Z$32)</f>
        <v/>
      </c>
      <c r="AB27" s="70">
        <f>IF('Final Calculation Sheet'!$AA$32="","",'Final Calculation Sheet'!$AA$32)</f>
        <v/>
      </c>
      <c r="AC27" s="70">
        <f>IF('Final Calculation Sheet'!$AB$32="","",'Final Calculation Sheet'!$AB$32)</f>
        <v/>
      </c>
      <c r="AD27" s="70">
        <f>IF('Final Calculation Sheet'!$AC$32="","",'Final Calculation Sheet'!$AC$32)</f>
        <v/>
      </c>
      <c r="AE27" s="70">
        <f>IF('Final Calculation Sheet'!$AD$32="","",'Final Calculation Sheet'!$AD$32)</f>
        <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
      </c>
      <c r="AK27">
        <f>IF(AJ27=1,COUNTIF(AJ$6:AJ27,1),"")</f>
        <v/>
      </c>
      <c r="AM27">
        <f>AM26+IF(AND(Lists!$O$27&lt;&gt;"",ISNUMBER(SEARCH($B$4,Lists!$O$27))),1,0)</f>
        <v/>
      </c>
      <c r="AN27">
        <f>IF(ROW()-3&gt;MAX($AM$4:$AM$42),"",INDEX(Lists!$O$4:$O$42,MATCH(ROW()-3,$AM$4:$AM$42,0)))</f>
        <v/>
      </c>
      <c r="AO27">
        <f>AO26+IF(AND(Lists!$T$27&lt;&gt;"",ISNUMBER(SEARCH($C$4,Lists!$T$27))),1,0)</f>
        <v/>
      </c>
      <c r="AP27">
        <f>IF(ROW()-3&gt;MAX($AO$4:$AO$42),"",INDEX(Lists!$T$4:$T$42,MATCH(ROW()-3,$AO$4:$AO$42,0)))</f>
        <v/>
      </c>
      <c r="AQ27">
        <f>AQ26+IF(AND(Lists!$Y$27&lt;&gt;"",ISNUMBER(SEARCH($D$4,Lists!$Y$27))),1,0)</f>
        <v/>
      </c>
      <c r="AR27">
        <f>IF(ROW()-3&gt;MAX($AQ$4:$AQ$42),"",INDEX(Lists!$Y$4:$Y$42,MATCH(ROW()-3,$AQ$4:$AQ$42,0)))</f>
        <v/>
      </c>
      <c r="AS27">
        <f>AS26+IF(AND(Lists!$AD$27&lt;&gt;"",ISNUMBER(SEARCH($E$4,Lists!$AD$27))),1,0)</f>
        <v/>
      </c>
      <c r="AT27">
        <f>IF(ROW()-3&gt;MAX($AS$4:$AS$42),"",INDEX(Lists!$AD$4:$AD$42,MATCH(ROW()-3,$AS$4:$AS$42,0)))</f>
        <v/>
      </c>
      <c r="AU27">
        <f>AU26+IF(AND(Lists!$AI$27&lt;&gt;"",ISNUMBER(SEARCH($F$4,Lists!$AI$27))),1,0)</f>
        <v/>
      </c>
      <c r="AV27">
        <f>IF(ROW()-3&gt;MAX($AU$4:$AU$42),"",INDEX(Lists!$AI$4:$AI$42,MATCH(ROW()-3,$AU$4:$AU$42,0)))</f>
        <v/>
      </c>
      <c r="AW27">
        <f>AW26+IF(AND(Lists!$AN$27&lt;&gt;"",ISNUMBER(SEARCH($G$4,Lists!$AN$27))),1,0)</f>
        <v/>
      </c>
      <c r="AX27">
        <f>IF(ROW()-3&gt;MAX($AW$4:$AW$42),"",INDEX(Lists!$AN$4:$AN$42,MATCH(ROW()-3,$AW$4:$AW$42,0)))</f>
        <v/>
      </c>
      <c r="AY27">
        <f>AY26+IF(AND(Lists!$AS$27&lt;&gt;"",ISNUMBER(SEARCH($H$4,Lists!$AS$27))),1,0)</f>
        <v/>
      </c>
      <c r="AZ27">
        <f>IF(ROW()-3&gt;MAX($AY$4:$AY$42),"",INDEX(Lists!$AS$4:$AS$42,MATCH(ROW()-3,$AY$4:$AY$42,0)))</f>
        <v/>
      </c>
      <c r="BA27">
        <f>BA26+IF(AND(Lists!$AX$27&lt;&gt;"",ISNUMBER(SEARCH($I$4,Lists!$AX$27))),1,0)</f>
        <v/>
      </c>
      <c r="BB27">
        <f>IF(ROW()-3&gt;MAX($BA$4:$BA$42),"",INDEX(Lists!$AX$4:$AX$42,MATCH(ROW()-3,$BA$4:$BA$42,0)))</f>
        <v/>
      </c>
      <c r="BC27">
        <f>BC26+IF(AND(Lists!$BC$27&lt;&gt;"",ISNUMBER(SEARCH($J$4,Lists!$BC$27))),1,0)</f>
        <v/>
      </c>
      <c r="BD27">
        <f>IF(ROW()-3&gt;MAX($BC$4:$BC$42),"",INDEX(Lists!$BC$4:$BC$42,MATCH(ROW()-3,$BC$4:$BC$42,0)))</f>
        <v/>
      </c>
      <c r="BE27">
        <f>BE26+IF(AND(Lists!$BH$27&lt;&gt;"",ISNUMBER(SEARCH($K$4,Lists!$BH$27))),1,0)</f>
        <v/>
      </c>
      <c r="BF27">
        <f>IF(ROW()-3&gt;MAX($BE$4:$BE$42),"",INDEX(Lists!$BH$4:$BH$42,MATCH(ROW()-3,$BE$4:$BE$42,0)))</f>
        <v/>
      </c>
      <c r="BG27">
        <f>BG26+IF(AND(Lists!$BM$27&lt;&gt;"",ISNUMBER(SEARCH($L$4,Lists!$BM$27))),1,0)</f>
        <v/>
      </c>
      <c r="BH27">
        <f>IF(ROW()-3&gt;MAX($BG$4:$BG$42),"",INDEX(Lists!$BM$4:$BM$42,MATCH(ROW()-3,$BG$4:$BG$42,0)))</f>
        <v/>
      </c>
      <c r="BI27">
        <f>BI26+IF(AND(Lists!$BR$27&lt;&gt;"",ISNUMBER(SEARCH($M$4,Lists!$BR$27))),1,0)</f>
        <v/>
      </c>
      <c r="BJ27">
        <f>IF(ROW()-3&gt;MAX($BI$4:$BI$42),"",INDEX(Lists!$BR$4:$BR$42,MATCH(ROW()-3,$BI$4:$BI$42,0)))</f>
        <v/>
      </c>
      <c r="BK27">
        <f>BK26+IF(AND(Lists!$BW$27&lt;&gt;"",ISNUMBER(SEARCH($N$4,Lists!$BW$27))),1,0)</f>
        <v/>
      </c>
      <c r="BL27">
        <f>IF(ROW()-3&gt;MAX($BK$4:$BK$42),"",INDEX(Lists!$BW$4:$BW$42,MATCH(ROW()-3,$BK$4:$BK$42,0)))</f>
        <v/>
      </c>
      <c r="BM27">
        <f>BM26+IF(AND(Lists!$CB$27&lt;&gt;"",ISNUMBER(SEARCH($O$4,Lists!$CB$27))),1,0)</f>
        <v/>
      </c>
      <c r="BN27">
        <f>IF(ROW()-3&gt;MAX($BM$4:$BM$42),"",INDEX(Lists!$CB$4:$CB$42,MATCH(ROW()-3,$BM$4:$BM$42,0)))</f>
        <v/>
      </c>
      <c r="BO27">
        <f>BO26+IF(AND(Lists!$CG$27&lt;&gt;"",ISNUMBER(SEARCH($P$4,Lists!$CG$27))),1,0)</f>
        <v/>
      </c>
      <c r="BP27">
        <f>IF(ROW()-3&gt;MAX($BO$4:$BO$42),"",INDEX(Lists!$CG$4:$CG$42,MATCH(ROW()-3,$BO$4:$BO$42,0)))</f>
        <v/>
      </c>
      <c r="BQ27">
        <f>BQ26+IF(AND(Lists!$CL$27&lt;&gt;"",ISNUMBER(SEARCH($Q$4,Lists!$CL$27))),1,0)</f>
        <v/>
      </c>
      <c r="BR27">
        <f>IF(ROW()-3&gt;MAX($BQ$4:$BQ$42),"",INDEX(Lists!$CL$4:$CL$42,MATCH(ROW()-3,$BQ$4:$BQ$42,0)))</f>
        <v/>
      </c>
      <c r="BS27">
        <f>BS26+IF(AND(Lists!$CQ$27&lt;&gt;"",ISNUMBER(SEARCH($R$4,Lists!$CQ$27))),1,0)</f>
        <v/>
      </c>
      <c r="BT27">
        <f>IF(ROW()-3&gt;MAX($BS$4:$BS$42),"",INDEX(Lists!$CQ$4:$CQ$42,MATCH(ROW()-3,$BS$4:$BS$42,0)))</f>
        <v/>
      </c>
      <c r="BU27">
        <f>BU26+IF(AND(Lists!$CV$27&lt;&gt;"",ISNUMBER(SEARCH($S$4,Lists!$CV$27))),1,0)</f>
        <v/>
      </c>
      <c r="BV27">
        <f>IF(ROW()-3&gt;MAX($BU$4:$BU$42),"",INDEX(Lists!$CV$4:$CV$42,MATCH(ROW()-3,$BU$4:$BU$42,0)))</f>
        <v/>
      </c>
      <c r="BW27">
        <f>BW26+IF(AND(Lists!$DA$27&lt;&gt;"",ISNUMBER(SEARCH($T$4,Lists!$DA$27))),1,0)</f>
        <v/>
      </c>
      <c r="BX27">
        <f>IF(ROW()-3&gt;MAX($BW$4:$BW$42),"",INDEX(Lists!$DA$4:$DA$42,MATCH(ROW()-3,$BW$4:$BW$42,0)))</f>
        <v/>
      </c>
      <c r="BY27">
        <f>BY26+IF(AND(Lists!$DF$27&lt;&gt;"",ISNUMBER(SEARCH($U$4,Lists!$DF$27))),1,0)</f>
        <v/>
      </c>
      <c r="BZ27">
        <f>IF(ROW()-3&gt;MAX($BY$4:$BY$42),"",INDEX(Lists!$DF$4:$DF$42,MATCH(ROW()-3,$BY$4:$BY$42,0)))</f>
        <v/>
      </c>
      <c r="CA27">
        <f>CA26+IF(AND(Lists!$DK$27&lt;&gt;"",ISNUMBER(SEARCH($V$4,Lists!$DK$27))),1,0)</f>
        <v/>
      </c>
      <c r="CB27">
        <f>IF(ROW()-3&gt;MAX($CA$4:$CA$42),"",INDEX(Lists!$DK$4:$DK$42,MATCH(ROW()-3,$CA$4:$CA$42,0)))</f>
        <v/>
      </c>
      <c r="CC27">
        <f>CC26+IF(AND(Lists!$DP$27&lt;&gt;"",ISNUMBER(SEARCH($W$4,Lists!$DP$27))),1,0)</f>
        <v/>
      </c>
      <c r="CD27">
        <f>IF(ROW()-3&gt;MAX($CC$4:$CC$42),"",INDEX(Lists!$DP$4:$DP$42,MATCH(ROW()-3,$CC$4:$CC$42,0)))</f>
        <v/>
      </c>
      <c r="CE27">
        <f>CE26+IF(AND(Lists!$DU$27&lt;&gt;"",ISNUMBER(SEARCH($X$4,Lists!$DU$27))),1,0)</f>
        <v/>
      </c>
      <c r="CF27">
        <f>IF(ROW()-3&gt;MAX($CE$4:$CE$42),"",INDEX(Lists!$DU$4:$DU$42,MATCH(ROW()-3,$CE$4:$CE$42,0)))</f>
        <v/>
      </c>
      <c r="CG27">
        <f>CG26+IF(AND(Lists!$DZ$27&lt;&gt;"",ISNUMBER(SEARCH($Y$4,Lists!$DZ$27))),1,0)</f>
        <v/>
      </c>
      <c r="CH27">
        <f>IF(ROW()-3&gt;MAX($CG$4:$CG$42),"",INDEX(Lists!$DZ$4:$DZ$42,MATCH(ROW()-3,$CG$4:$CG$42,0)))</f>
        <v/>
      </c>
      <c r="CI27">
        <f>CI26+IF(AND(Lists!$EE$27&lt;&gt;"",ISNUMBER(SEARCH($Z$4,Lists!$EE$27))),1,0)</f>
        <v/>
      </c>
      <c r="CJ27">
        <f>IF(ROW()-3&gt;MAX($CI$4:$CI$42),"",INDEX(Lists!$EE$4:$EE$42,MATCH(ROW()-3,$CI$4:$CI$42,0)))</f>
        <v/>
      </c>
      <c r="CK27">
        <f>CK26+IF(AND(Lists!$EJ$27&lt;&gt;"",ISNUMBER(SEARCH($AA$4,Lists!$EJ$27))),1,0)</f>
        <v/>
      </c>
      <c r="CL27">
        <f>IF(ROW()-3&gt;MAX($CK$4:$CK$42),"",INDEX(Lists!$EJ$4:$EJ$42,MATCH(ROW()-3,$CK$4:$CK$42,0)))</f>
        <v/>
      </c>
      <c r="CM27">
        <f>CM26+IF(AND(Lists!$EO$27&lt;&gt;"",ISNUMBER(SEARCH($AB$4,Lists!$EO$27))),1,0)</f>
        <v/>
      </c>
      <c r="CN27">
        <f>IF(ROW()-3&gt;MAX($CM$4:$CM$42),"",INDEX(Lists!$EO$4:$EO$42,MATCH(ROW()-3,$CM$4:$CM$42,0)))</f>
        <v/>
      </c>
      <c r="CO27">
        <f>CO26+IF(AND(Lists!$ET$27&lt;&gt;"",ISNUMBER(SEARCH($AC$4,Lists!$ET$27))),1,0)</f>
        <v/>
      </c>
      <c r="CP27">
        <f>IF(ROW()-3&gt;MAX($CO$4:$CO$42),"",INDEX(Lists!$ET$4:$ET$42,MATCH(ROW()-3,$CO$4:$CO$42,0)))</f>
        <v/>
      </c>
      <c r="CQ27">
        <f>CQ26+IF(AND(Lists!$EY$27&lt;&gt;"",ISNUMBER(SEARCH($AD$4,Lists!$EY$27))),1,0)</f>
        <v/>
      </c>
      <c r="CR27">
        <f>IF(ROW()-3&gt;MAX($CQ$4:$CQ$42),"",INDEX(Lists!$EY$4:$EY$42,MATCH(ROW()-3,$CQ$4:$CQ$42,0)))</f>
        <v/>
      </c>
      <c r="CS27">
        <f>CS26+IF(AND(Lists!$FD$27&lt;&gt;"",ISNUMBER(SEARCH($AE$4,Lists!$FD$27))),1,0)</f>
        <v/>
      </c>
      <c r="CT27">
        <f>IF(ROW()-3&gt;MAX($CS$4:$CS$42),"",INDEX(Lists!$FD$4:$FD$42,MATCH(ROW()-3,$CS$4:$CS$42,0)))</f>
        <v/>
      </c>
      <c r="CU27">
        <f>CU26+IF(AND(Lists!$FI$27&lt;&gt;"",ISNUMBER(SEARCH($AG$4,Lists!$FI$27))),1,0)</f>
        <v/>
      </c>
      <c r="CV27">
        <f>IF(ROW()-3&gt;MAX($CU$4:$CU$42),"",INDEX(Lists!$FI$4:$FI$42,MATCH(ROW()-3,$CU$4:$CU$42,0)))</f>
        <v/>
      </c>
      <c r="CW27">
        <f>CW26+IF(AND(Lists!$FN$27&lt;&gt;"",ISNUMBER(SEARCH($AH$4,Lists!$FN$27))),1,0)</f>
        <v/>
      </c>
      <c r="CX27">
        <f>IF(ROW()-3&gt;MAX($CW$4:$CW$42),"",INDEX(Lists!$FN$4:$FN$42,MATCH(ROW()-3,$CW$4:$CW$42,0)))</f>
        <v/>
      </c>
      <c r="CY27">
        <f>CY26+IF(AND(Lists!$FS$27&lt;&gt;"",ISNUMBER(SEARCH($AI$4,Lists!$FS$27))),1,0)</f>
        <v/>
      </c>
      <c r="CZ27">
        <f>IF(ROW()-3&gt;MAX($CY$4:$CY$42),"",INDEX(Lists!$FS$4:$FS$42,MATCH(ROW()-3,$CY$4:$CY$42,0)))</f>
        <v/>
      </c>
      <c r="DA27">
        <f>DA26+IF(AND(Lists!$FX$27&lt;&gt;"",ISNUMBER(SEARCH($AF$4,Lists!$FX$27))),1,0)</f>
        <v/>
      </c>
      <c r="DB27">
        <f>IF(ROW()-3&gt;MAX($DA$4:$DA$42),"",INDEX(Lists!$FX$4:$FX$42,MATCH(ROW()-3,$DA$4:$DA$42,0)))</f>
        <v/>
      </c>
    </row>
    <row r="28" outlineLevel="1" ht="15" customHeight="1" s="137">
      <c r="A28" s="90" t="n">
        <v>12</v>
      </c>
      <c r="B28" s="92">
        <f>IF('Final Calculation Sheet'!$F$33="","",'Final Calculation Sheet'!$F$33)</f>
        <v/>
      </c>
      <c r="C28" s="92">
        <f>IF('Final Calculation Sheet'!$G$33="","",'Final Calculation Sheet'!$G$33)</f>
        <v/>
      </c>
      <c r="D28" s="94">
        <f>IF('Final Calculation Sheet'!$B$33="","",'Final Calculation Sheet'!$B$33)</f>
        <v/>
      </c>
      <c r="E28" s="94">
        <f>IF('Final Calculation Sheet'!$D$33="","",'Final Calculation Sheet'!$D$33)</f>
        <v/>
      </c>
      <c r="F28" s="94">
        <f>IF('Final Calculation Sheet'!$A$33="","",'Final Calculation Sheet'!$A$33)</f>
        <v/>
      </c>
      <c r="G28" s="94">
        <f>IF('Final Calculation Sheet'!$E$33="","",'Final Calculation Sheet'!$E$33)</f>
        <v/>
      </c>
      <c r="H28" s="95">
        <f>IF('Final Calculation Sheet'!$C$33="","",'Final Calculation Sheet'!$C$33)</f>
        <v/>
      </c>
      <c r="I28" s="95">
        <f>IF('Final Calculation Sheet'!$H$33="","",'Final Calculation Sheet'!$H$33)</f>
        <v/>
      </c>
      <c r="J28" s="95">
        <f>IF('Final Calculation Sheet'!$I$33="","",'Final Calculation Sheet'!$I$33)</f>
        <v/>
      </c>
      <c r="K28" s="95">
        <f>IF('Final Calculation Sheet'!$J$33="","",'Final Calculation Sheet'!$J$33)</f>
        <v/>
      </c>
      <c r="L28" s="95">
        <f>IF('Final Calculation Sheet'!$K$33="","",'Final Calculation Sheet'!$K$33)</f>
        <v/>
      </c>
      <c r="M28" s="95">
        <f>IF('Final Calculation Sheet'!$L$33="","",'Final Calculation Sheet'!$L$33)</f>
        <v/>
      </c>
      <c r="N28" s="95">
        <f>IF('Final Calculation Sheet'!$M$33="","",'Final Calculation Sheet'!$M$33)</f>
        <v/>
      </c>
      <c r="O28" s="96">
        <f>IF('Final Calculation Sheet'!$N$33="","",'Final Calculation Sheet'!$N$33)</f>
        <v/>
      </c>
      <c r="P28" s="95">
        <f>IF('Final Calculation Sheet'!$O$33="","",'Final Calculation Sheet'!$O$33)</f>
        <v/>
      </c>
      <c r="Q28" s="95">
        <f>IF('Final Calculation Sheet'!$P$33="","",'Final Calculation Sheet'!$P$33)</f>
        <v/>
      </c>
      <c r="R28" s="97">
        <f>IF('Final Calculation Sheet'!$Q$33="","",'Final Calculation Sheet'!$Q$33)</f>
        <v/>
      </c>
      <c r="S28" s="95">
        <f>IF('Final Calculation Sheet'!$R$33="","",'Final Calculation Sheet'!$R$33)</f>
        <v/>
      </c>
      <c r="T28" s="95">
        <f>IF('Final Calculation Sheet'!$S$33="","",'Final Calculation Sheet'!$S$33)</f>
        <v/>
      </c>
      <c r="U28" s="95">
        <f>IF('Final Calculation Sheet'!$T$33="","",'Final Calculation Sheet'!$T$33)</f>
        <v/>
      </c>
      <c r="V28" s="98">
        <f>IF('Final Calculation Sheet'!$U$33="","",'Final Calculation Sheet'!$U$33)</f>
        <v/>
      </c>
      <c r="W28" s="95">
        <f>IF('Final Calculation Sheet'!$V$33="","",'Final Calculation Sheet'!$V$33)</f>
        <v/>
      </c>
      <c r="X28" s="95">
        <f>IF('Final Calculation Sheet'!$W$33="","",'Final Calculation Sheet'!$W$33)</f>
        <v/>
      </c>
      <c r="Y28" s="95">
        <f>IF('Final Calculation Sheet'!$X$33="","",'Final Calculation Sheet'!$X$33)</f>
        <v/>
      </c>
      <c r="Z28" s="95">
        <f>IF('Final Calculation Sheet'!$Y$33="","",'Final Calculation Sheet'!$Y$33)</f>
        <v/>
      </c>
      <c r="AA28" s="95">
        <f>IF('Final Calculation Sheet'!$Z$33="","",'Final Calculation Sheet'!$Z$33)</f>
        <v/>
      </c>
      <c r="AB28" s="95">
        <f>IF('Final Calculation Sheet'!$AA$33="","",'Final Calculation Sheet'!$AA$33)</f>
        <v/>
      </c>
      <c r="AC28" s="95">
        <f>IF('Final Calculation Sheet'!$AB$33="","",'Final Calculation Sheet'!$AB$33)</f>
        <v/>
      </c>
      <c r="AD28" s="95">
        <f>IF('Final Calculation Sheet'!$AC$33="","",'Final Calculation Sheet'!$AC$33)</f>
        <v/>
      </c>
      <c r="AE28" s="95">
        <f>IF('Final Calculation Sheet'!$AD$33="","",'Final Calculation Sheet'!$AD$33)</f>
        <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
      </c>
      <c r="AK28">
        <f>IF(AJ28=1,COUNTIF(AJ$6:AJ28,1),"")</f>
        <v/>
      </c>
      <c r="AM28">
        <f>AM27+IF(AND(Lists!$O$28&lt;&gt;"",ISNUMBER(SEARCH($B$4,Lists!$O$28))),1,0)</f>
        <v/>
      </c>
      <c r="AN28">
        <f>IF(ROW()-3&gt;MAX($AM$4:$AM$42),"",INDEX(Lists!$O$4:$O$42,MATCH(ROW()-3,$AM$4:$AM$42,0)))</f>
        <v/>
      </c>
      <c r="AO28">
        <f>AO27+IF(AND(Lists!$T$28&lt;&gt;"",ISNUMBER(SEARCH($C$4,Lists!$T$28))),1,0)</f>
        <v/>
      </c>
      <c r="AP28">
        <f>IF(ROW()-3&gt;MAX($AO$4:$AO$42),"",INDEX(Lists!$T$4:$T$42,MATCH(ROW()-3,$AO$4:$AO$42,0)))</f>
        <v/>
      </c>
      <c r="AQ28">
        <f>AQ27+IF(AND(Lists!$Y$28&lt;&gt;"",ISNUMBER(SEARCH($D$4,Lists!$Y$28))),1,0)</f>
        <v/>
      </c>
      <c r="AR28">
        <f>IF(ROW()-3&gt;MAX($AQ$4:$AQ$42),"",INDEX(Lists!$Y$4:$Y$42,MATCH(ROW()-3,$AQ$4:$AQ$42,0)))</f>
        <v/>
      </c>
      <c r="AS28">
        <f>AS27+IF(AND(Lists!$AD$28&lt;&gt;"",ISNUMBER(SEARCH($E$4,Lists!$AD$28))),1,0)</f>
        <v/>
      </c>
      <c r="AT28">
        <f>IF(ROW()-3&gt;MAX($AS$4:$AS$42),"",INDEX(Lists!$AD$4:$AD$42,MATCH(ROW()-3,$AS$4:$AS$42,0)))</f>
        <v/>
      </c>
      <c r="AU28">
        <f>AU27+IF(AND(Lists!$AI$28&lt;&gt;"",ISNUMBER(SEARCH($F$4,Lists!$AI$28))),1,0)</f>
        <v/>
      </c>
      <c r="AV28">
        <f>IF(ROW()-3&gt;MAX($AU$4:$AU$42),"",INDEX(Lists!$AI$4:$AI$42,MATCH(ROW()-3,$AU$4:$AU$42,0)))</f>
        <v/>
      </c>
      <c r="AW28">
        <f>AW27+IF(AND(Lists!$AN$28&lt;&gt;"",ISNUMBER(SEARCH($G$4,Lists!$AN$28))),1,0)</f>
        <v/>
      </c>
      <c r="AX28">
        <f>IF(ROW()-3&gt;MAX($AW$4:$AW$42),"",INDEX(Lists!$AN$4:$AN$42,MATCH(ROW()-3,$AW$4:$AW$42,0)))</f>
        <v/>
      </c>
      <c r="AY28">
        <f>AY27+IF(AND(Lists!$AS$28&lt;&gt;"",ISNUMBER(SEARCH($H$4,Lists!$AS$28))),1,0)</f>
        <v/>
      </c>
      <c r="AZ28">
        <f>IF(ROW()-3&gt;MAX($AY$4:$AY$42),"",INDEX(Lists!$AS$4:$AS$42,MATCH(ROW()-3,$AY$4:$AY$42,0)))</f>
        <v/>
      </c>
      <c r="BA28">
        <f>BA27+IF(AND(Lists!$AX$28&lt;&gt;"",ISNUMBER(SEARCH($I$4,Lists!$AX$28))),1,0)</f>
        <v/>
      </c>
      <c r="BB28">
        <f>IF(ROW()-3&gt;MAX($BA$4:$BA$42),"",INDEX(Lists!$AX$4:$AX$42,MATCH(ROW()-3,$BA$4:$BA$42,0)))</f>
        <v/>
      </c>
      <c r="BC28">
        <f>BC27+IF(AND(Lists!$BC$28&lt;&gt;"",ISNUMBER(SEARCH($J$4,Lists!$BC$28))),1,0)</f>
        <v/>
      </c>
      <c r="BD28">
        <f>IF(ROW()-3&gt;MAX($BC$4:$BC$42),"",INDEX(Lists!$BC$4:$BC$42,MATCH(ROW()-3,$BC$4:$BC$42,0)))</f>
        <v/>
      </c>
      <c r="BE28">
        <f>BE27+IF(AND(Lists!$BH$28&lt;&gt;"",ISNUMBER(SEARCH($K$4,Lists!$BH$28))),1,0)</f>
        <v/>
      </c>
      <c r="BF28">
        <f>IF(ROW()-3&gt;MAX($BE$4:$BE$42),"",INDEX(Lists!$BH$4:$BH$42,MATCH(ROW()-3,$BE$4:$BE$42,0)))</f>
        <v/>
      </c>
      <c r="BG28">
        <f>BG27+IF(AND(Lists!$BM$28&lt;&gt;"",ISNUMBER(SEARCH($L$4,Lists!$BM$28))),1,0)</f>
        <v/>
      </c>
      <c r="BH28">
        <f>IF(ROW()-3&gt;MAX($BG$4:$BG$42),"",INDEX(Lists!$BM$4:$BM$42,MATCH(ROW()-3,$BG$4:$BG$42,0)))</f>
        <v/>
      </c>
      <c r="BI28">
        <f>BI27+IF(AND(Lists!$BR$28&lt;&gt;"",ISNUMBER(SEARCH($M$4,Lists!$BR$28))),1,0)</f>
        <v/>
      </c>
      <c r="BJ28">
        <f>IF(ROW()-3&gt;MAX($BI$4:$BI$42),"",INDEX(Lists!$BR$4:$BR$42,MATCH(ROW()-3,$BI$4:$BI$42,0)))</f>
        <v/>
      </c>
      <c r="BK28">
        <f>BK27+IF(AND(Lists!$BW$28&lt;&gt;"",ISNUMBER(SEARCH($N$4,Lists!$BW$28))),1,0)</f>
        <v/>
      </c>
      <c r="BL28">
        <f>IF(ROW()-3&gt;MAX($BK$4:$BK$42),"",INDEX(Lists!$BW$4:$BW$42,MATCH(ROW()-3,$BK$4:$BK$42,0)))</f>
        <v/>
      </c>
      <c r="BM28">
        <f>BM27+IF(AND(Lists!$CB$28&lt;&gt;"",ISNUMBER(SEARCH($O$4,Lists!$CB$28))),1,0)</f>
        <v/>
      </c>
      <c r="BN28">
        <f>IF(ROW()-3&gt;MAX($BM$4:$BM$42),"",INDEX(Lists!$CB$4:$CB$42,MATCH(ROW()-3,$BM$4:$BM$42,0)))</f>
        <v/>
      </c>
      <c r="BO28">
        <f>BO27+IF(AND(Lists!$CG$28&lt;&gt;"",ISNUMBER(SEARCH($P$4,Lists!$CG$28))),1,0)</f>
        <v/>
      </c>
      <c r="BP28">
        <f>IF(ROW()-3&gt;MAX($BO$4:$BO$42),"",INDEX(Lists!$CG$4:$CG$42,MATCH(ROW()-3,$BO$4:$BO$42,0)))</f>
        <v/>
      </c>
      <c r="BQ28">
        <f>BQ27+IF(AND(Lists!$CL$28&lt;&gt;"",ISNUMBER(SEARCH($Q$4,Lists!$CL$28))),1,0)</f>
        <v/>
      </c>
      <c r="BR28">
        <f>IF(ROW()-3&gt;MAX($BQ$4:$BQ$42),"",INDEX(Lists!$CL$4:$CL$42,MATCH(ROW()-3,$BQ$4:$BQ$42,0)))</f>
        <v/>
      </c>
      <c r="BS28">
        <f>BS27+IF(AND(Lists!$CQ$28&lt;&gt;"",ISNUMBER(SEARCH($R$4,Lists!$CQ$28))),1,0)</f>
        <v/>
      </c>
      <c r="BT28">
        <f>IF(ROW()-3&gt;MAX($BS$4:$BS$42),"",INDEX(Lists!$CQ$4:$CQ$42,MATCH(ROW()-3,$BS$4:$BS$42,0)))</f>
        <v/>
      </c>
      <c r="BU28">
        <f>BU27+IF(AND(Lists!$CV$28&lt;&gt;"",ISNUMBER(SEARCH($S$4,Lists!$CV$28))),1,0)</f>
        <v/>
      </c>
      <c r="BV28">
        <f>IF(ROW()-3&gt;MAX($BU$4:$BU$42),"",INDEX(Lists!$CV$4:$CV$42,MATCH(ROW()-3,$BU$4:$BU$42,0)))</f>
        <v/>
      </c>
      <c r="BW28">
        <f>BW27+IF(AND(Lists!$DA$28&lt;&gt;"",ISNUMBER(SEARCH($T$4,Lists!$DA$28))),1,0)</f>
        <v/>
      </c>
      <c r="BX28">
        <f>IF(ROW()-3&gt;MAX($BW$4:$BW$42),"",INDEX(Lists!$DA$4:$DA$42,MATCH(ROW()-3,$BW$4:$BW$42,0)))</f>
        <v/>
      </c>
      <c r="BY28">
        <f>BY27+IF(AND(Lists!$DF$28&lt;&gt;"",ISNUMBER(SEARCH($U$4,Lists!$DF$28))),1,0)</f>
        <v/>
      </c>
      <c r="BZ28">
        <f>IF(ROW()-3&gt;MAX($BY$4:$BY$42),"",INDEX(Lists!$DF$4:$DF$42,MATCH(ROW()-3,$BY$4:$BY$42,0)))</f>
        <v/>
      </c>
      <c r="CA28">
        <f>CA27+IF(AND(Lists!$DK$28&lt;&gt;"",ISNUMBER(SEARCH($V$4,Lists!$DK$28))),1,0)</f>
        <v/>
      </c>
      <c r="CB28">
        <f>IF(ROW()-3&gt;MAX($CA$4:$CA$42),"",INDEX(Lists!$DK$4:$DK$42,MATCH(ROW()-3,$CA$4:$CA$42,0)))</f>
        <v/>
      </c>
      <c r="CC28">
        <f>CC27+IF(AND(Lists!$DP$28&lt;&gt;"",ISNUMBER(SEARCH($W$4,Lists!$DP$28))),1,0)</f>
        <v/>
      </c>
      <c r="CD28">
        <f>IF(ROW()-3&gt;MAX($CC$4:$CC$42),"",INDEX(Lists!$DP$4:$DP$42,MATCH(ROW()-3,$CC$4:$CC$42,0)))</f>
        <v/>
      </c>
      <c r="CE28">
        <f>CE27+IF(AND(Lists!$DU$28&lt;&gt;"",ISNUMBER(SEARCH($X$4,Lists!$DU$28))),1,0)</f>
        <v/>
      </c>
      <c r="CF28">
        <f>IF(ROW()-3&gt;MAX($CE$4:$CE$42),"",INDEX(Lists!$DU$4:$DU$42,MATCH(ROW()-3,$CE$4:$CE$42,0)))</f>
        <v/>
      </c>
      <c r="CG28">
        <f>CG27+IF(AND(Lists!$DZ$28&lt;&gt;"",ISNUMBER(SEARCH($Y$4,Lists!$DZ$28))),1,0)</f>
        <v/>
      </c>
      <c r="CH28">
        <f>IF(ROW()-3&gt;MAX($CG$4:$CG$42),"",INDEX(Lists!$DZ$4:$DZ$42,MATCH(ROW()-3,$CG$4:$CG$42,0)))</f>
        <v/>
      </c>
      <c r="CI28">
        <f>CI27+IF(AND(Lists!$EE$28&lt;&gt;"",ISNUMBER(SEARCH($Z$4,Lists!$EE$28))),1,0)</f>
        <v/>
      </c>
      <c r="CJ28">
        <f>IF(ROW()-3&gt;MAX($CI$4:$CI$42),"",INDEX(Lists!$EE$4:$EE$42,MATCH(ROW()-3,$CI$4:$CI$42,0)))</f>
        <v/>
      </c>
      <c r="CK28">
        <f>CK27+IF(AND(Lists!$EJ$28&lt;&gt;"",ISNUMBER(SEARCH($AA$4,Lists!$EJ$28))),1,0)</f>
        <v/>
      </c>
      <c r="CL28">
        <f>IF(ROW()-3&gt;MAX($CK$4:$CK$42),"",INDEX(Lists!$EJ$4:$EJ$42,MATCH(ROW()-3,$CK$4:$CK$42,0)))</f>
        <v/>
      </c>
      <c r="CM28">
        <f>CM27+IF(AND(Lists!$EO$28&lt;&gt;"",ISNUMBER(SEARCH($AB$4,Lists!$EO$28))),1,0)</f>
        <v/>
      </c>
      <c r="CN28">
        <f>IF(ROW()-3&gt;MAX($CM$4:$CM$42),"",INDEX(Lists!$EO$4:$EO$42,MATCH(ROW()-3,$CM$4:$CM$42,0)))</f>
        <v/>
      </c>
      <c r="CO28">
        <f>CO27+IF(AND(Lists!$ET$28&lt;&gt;"",ISNUMBER(SEARCH($AC$4,Lists!$ET$28))),1,0)</f>
        <v/>
      </c>
      <c r="CP28">
        <f>IF(ROW()-3&gt;MAX($CO$4:$CO$42),"",INDEX(Lists!$ET$4:$ET$42,MATCH(ROW()-3,$CO$4:$CO$42,0)))</f>
        <v/>
      </c>
      <c r="CQ28">
        <f>CQ27+IF(AND(Lists!$EY$28&lt;&gt;"",ISNUMBER(SEARCH($AD$4,Lists!$EY$28))),1,0)</f>
        <v/>
      </c>
      <c r="CR28">
        <f>IF(ROW()-3&gt;MAX($CQ$4:$CQ$42),"",INDEX(Lists!$EY$4:$EY$42,MATCH(ROW()-3,$CQ$4:$CQ$42,0)))</f>
        <v/>
      </c>
      <c r="CS28">
        <f>CS27+IF(AND(Lists!$FD$28&lt;&gt;"",ISNUMBER(SEARCH($AE$4,Lists!$FD$28))),1,0)</f>
        <v/>
      </c>
      <c r="CT28">
        <f>IF(ROW()-3&gt;MAX($CS$4:$CS$42),"",INDEX(Lists!$FD$4:$FD$42,MATCH(ROW()-3,$CS$4:$CS$42,0)))</f>
        <v/>
      </c>
      <c r="CU28">
        <f>CU27+IF(AND(Lists!$FI$28&lt;&gt;"",ISNUMBER(SEARCH($AG$4,Lists!$FI$28))),1,0)</f>
        <v/>
      </c>
      <c r="CV28">
        <f>IF(ROW()-3&gt;MAX($CU$4:$CU$42),"",INDEX(Lists!$FI$4:$FI$42,MATCH(ROW()-3,$CU$4:$CU$42,0)))</f>
        <v/>
      </c>
      <c r="CW28">
        <f>CW27+IF(AND(Lists!$FN$28&lt;&gt;"",ISNUMBER(SEARCH($AH$4,Lists!$FN$28))),1,0)</f>
        <v/>
      </c>
      <c r="CX28">
        <f>IF(ROW()-3&gt;MAX($CW$4:$CW$42),"",INDEX(Lists!$FN$4:$FN$42,MATCH(ROW()-3,$CW$4:$CW$42,0)))</f>
        <v/>
      </c>
      <c r="CY28">
        <f>CY27+IF(AND(Lists!$FS$28&lt;&gt;"",ISNUMBER(SEARCH($AI$4,Lists!$FS$28))),1,0)</f>
        <v/>
      </c>
      <c r="CZ28">
        <f>IF(ROW()-3&gt;MAX($CY$4:$CY$42),"",INDEX(Lists!$FS$4:$FS$42,MATCH(ROW()-3,$CY$4:$CY$42,0)))</f>
        <v/>
      </c>
      <c r="DA28">
        <f>DA27+IF(AND(Lists!$FX$28&lt;&gt;"",ISNUMBER(SEARCH($AF$4,Lists!$FX$28))),1,0)</f>
        <v/>
      </c>
      <c r="DB28">
        <f>IF(ROW()-3&gt;MAX($DA$4:$DA$42),"",INDEX(Lists!$FX$4:$FX$42,MATCH(ROW()-3,$DA$4:$DA$42,0)))</f>
        <v/>
      </c>
    </row>
    <row r="29" outlineLevel="1" ht="15" customHeight="1" s="137">
      <c r="A29" s="67" t="n">
        <v>13</v>
      </c>
      <c r="B29" s="76">
        <f>IF('Final Calculation Sheet'!$F$37="","",'Final Calculation Sheet'!$F$37)</f>
        <v/>
      </c>
      <c r="C29" s="76">
        <f>IF('Final Calculation Sheet'!$G$37="","",'Final Calculation Sheet'!$G$37)</f>
        <v/>
      </c>
      <c r="D29" s="80">
        <f>IF('Final Calculation Sheet'!$B$37="","",'Final Calculation Sheet'!$B$37)</f>
        <v/>
      </c>
      <c r="E29" s="80">
        <f>IF('Final Calculation Sheet'!$D$37="","",'Final Calculation Sheet'!$D$37)</f>
        <v/>
      </c>
      <c r="F29" s="80">
        <f>IF('Final Calculation Sheet'!$A$37="","",'Final Calculation Sheet'!$A$37)</f>
        <v/>
      </c>
      <c r="G29" s="80">
        <f>IF('Final Calculation Sheet'!$E$37="","",'Final Calculation Sheet'!$E$37)</f>
        <v/>
      </c>
      <c r="H29" s="70">
        <f>IF('Final Calculation Sheet'!$C$37="","",'Final Calculation Sheet'!$C$37)</f>
        <v/>
      </c>
      <c r="I29" s="70">
        <f>IF('Final Calculation Sheet'!$H$37="","",'Final Calculation Sheet'!$H$37)</f>
        <v/>
      </c>
      <c r="J29" s="70">
        <f>IF('Final Calculation Sheet'!$I$37="","",'Final Calculation Sheet'!$I$37)</f>
        <v/>
      </c>
      <c r="K29" s="70">
        <f>IF('Final Calculation Sheet'!$J$37="","",'Final Calculation Sheet'!$J$37)</f>
        <v/>
      </c>
      <c r="L29" s="70">
        <f>IF('Final Calculation Sheet'!$K$37="","",'Final Calculation Sheet'!$K$37)</f>
        <v/>
      </c>
      <c r="M29" s="70">
        <f>IF('Final Calculation Sheet'!$L$37="","",'Final Calculation Sheet'!$L$37)</f>
        <v/>
      </c>
      <c r="N29" s="70">
        <f>IF('Final Calculation Sheet'!$M$37="","",'Final Calculation Sheet'!$M$37)</f>
        <v/>
      </c>
      <c r="O29" s="71">
        <f>IF('Final Calculation Sheet'!$N$37="","",'Final Calculation Sheet'!$N$37)</f>
        <v/>
      </c>
      <c r="P29" s="70">
        <f>IF('Final Calculation Sheet'!$O$37="","",'Final Calculation Sheet'!$O$37)</f>
        <v/>
      </c>
      <c r="Q29" s="70">
        <f>IF('Final Calculation Sheet'!$P$37="","",'Final Calculation Sheet'!$P$37)</f>
        <v/>
      </c>
      <c r="R29" s="72">
        <f>IF('Final Calculation Sheet'!$Q$37="","",'Final Calculation Sheet'!$Q$37)</f>
        <v/>
      </c>
      <c r="S29" s="70">
        <f>IF('Final Calculation Sheet'!$R$37="","",'Final Calculation Sheet'!$R$37)</f>
        <v/>
      </c>
      <c r="T29" s="70">
        <f>IF('Final Calculation Sheet'!$S$37="","",'Final Calculation Sheet'!$S$37)</f>
        <v/>
      </c>
      <c r="U29" s="70">
        <f>IF('Final Calculation Sheet'!$T$37="","",'Final Calculation Sheet'!$T$37)</f>
        <v/>
      </c>
      <c r="V29" s="73">
        <f>IF('Final Calculation Sheet'!$U$37="","",'Final Calculation Sheet'!$U$37)</f>
        <v/>
      </c>
      <c r="W29" s="70">
        <f>IF('Final Calculation Sheet'!$V$37="","",'Final Calculation Sheet'!$V$37)</f>
        <v/>
      </c>
      <c r="X29" s="70">
        <f>IF('Final Calculation Sheet'!$W$37="","",'Final Calculation Sheet'!$W$37)</f>
        <v/>
      </c>
      <c r="Y29" s="70">
        <f>IF('Final Calculation Sheet'!$X$37="","",'Final Calculation Sheet'!$X$37)</f>
        <v/>
      </c>
      <c r="Z29" s="70">
        <f>IF('Final Calculation Sheet'!$Y$37="","",'Final Calculation Sheet'!$Y$37)</f>
        <v/>
      </c>
      <c r="AA29" s="70">
        <f>IF('Final Calculation Sheet'!$Z$37="","",'Final Calculation Sheet'!$Z$37)</f>
        <v/>
      </c>
      <c r="AB29" s="70">
        <f>IF('Final Calculation Sheet'!$AA$37="","",'Final Calculation Sheet'!$AA$37)</f>
        <v/>
      </c>
      <c r="AC29" s="70">
        <f>IF('Final Calculation Sheet'!$AB$37="","",'Final Calculation Sheet'!$AB$37)</f>
        <v/>
      </c>
      <c r="AD29" s="70">
        <f>IF('Final Calculation Sheet'!$AC$37="","",'Final Calculation Sheet'!$AC$37)</f>
        <v/>
      </c>
      <c r="AE29" s="70">
        <f>IF('Final Calculation Sheet'!$AD$37="","",'Final Calculation Sheet'!$AD$37)</f>
        <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
      </c>
      <c r="AK29">
        <f>IF(AJ29=1,COUNTIF(AJ$6:AJ29,1),"")</f>
        <v/>
      </c>
      <c r="AM29">
        <f>AM28+IF(AND(Lists!$O$29&lt;&gt;"",ISNUMBER(SEARCH($B$4,Lists!$O$29))),1,0)</f>
        <v/>
      </c>
      <c r="AN29">
        <f>IF(ROW()-3&gt;MAX($AM$4:$AM$42),"",INDEX(Lists!$O$4:$O$42,MATCH(ROW()-3,$AM$4:$AM$42,0)))</f>
        <v/>
      </c>
      <c r="AO29">
        <f>AO28+IF(AND(Lists!$T$29&lt;&gt;"",ISNUMBER(SEARCH($C$4,Lists!$T$29))),1,0)</f>
        <v/>
      </c>
      <c r="AP29">
        <f>IF(ROW()-3&gt;MAX($AO$4:$AO$42),"",INDEX(Lists!$T$4:$T$42,MATCH(ROW()-3,$AO$4:$AO$42,0)))</f>
        <v/>
      </c>
      <c r="AQ29">
        <f>AQ28+IF(AND(Lists!$Y$29&lt;&gt;"",ISNUMBER(SEARCH($D$4,Lists!$Y$29))),1,0)</f>
        <v/>
      </c>
      <c r="AR29">
        <f>IF(ROW()-3&gt;MAX($AQ$4:$AQ$42),"",INDEX(Lists!$Y$4:$Y$42,MATCH(ROW()-3,$AQ$4:$AQ$42,0)))</f>
        <v/>
      </c>
      <c r="AS29">
        <f>AS28+IF(AND(Lists!$AD$29&lt;&gt;"",ISNUMBER(SEARCH($E$4,Lists!$AD$29))),1,0)</f>
        <v/>
      </c>
      <c r="AT29">
        <f>IF(ROW()-3&gt;MAX($AS$4:$AS$42),"",INDEX(Lists!$AD$4:$AD$42,MATCH(ROW()-3,$AS$4:$AS$42,0)))</f>
        <v/>
      </c>
      <c r="AU29">
        <f>AU28+IF(AND(Lists!$AI$29&lt;&gt;"",ISNUMBER(SEARCH($F$4,Lists!$AI$29))),1,0)</f>
        <v/>
      </c>
      <c r="AV29">
        <f>IF(ROW()-3&gt;MAX($AU$4:$AU$42),"",INDEX(Lists!$AI$4:$AI$42,MATCH(ROW()-3,$AU$4:$AU$42,0)))</f>
        <v/>
      </c>
      <c r="AW29">
        <f>AW28+IF(AND(Lists!$AN$29&lt;&gt;"",ISNUMBER(SEARCH($G$4,Lists!$AN$29))),1,0)</f>
        <v/>
      </c>
      <c r="AX29">
        <f>IF(ROW()-3&gt;MAX($AW$4:$AW$42),"",INDEX(Lists!$AN$4:$AN$42,MATCH(ROW()-3,$AW$4:$AW$42,0)))</f>
        <v/>
      </c>
      <c r="AY29">
        <f>AY28+IF(AND(Lists!$AS$29&lt;&gt;"",ISNUMBER(SEARCH($H$4,Lists!$AS$29))),1,0)</f>
        <v/>
      </c>
      <c r="AZ29">
        <f>IF(ROW()-3&gt;MAX($AY$4:$AY$42),"",INDEX(Lists!$AS$4:$AS$42,MATCH(ROW()-3,$AY$4:$AY$42,0)))</f>
        <v/>
      </c>
      <c r="BA29">
        <f>BA28+IF(AND(Lists!$AX$29&lt;&gt;"",ISNUMBER(SEARCH($I$4,Lists!$AX$29))),1,0)</f>
        <v/>
      </c>
      <c r="BB29">
        <f>IF(ROW()-3&gt;MAX($BA$4:$BA$42),"",INDEX(Lists!$AX$4:$AX$42,MATCH(ROW()-3,$BA$4:$BA$42,0)))</f>
        <v/>
      </c>
      <c r="BC29">
        <f>BC28+IF(AND(Lists!$BC$29&lt;&gt;"",ISNUMBER(SEARCH($J$4,Lists!$BC$29))),1,0)</f>
        <v/>
      </c>
      <c r="BD29">
        <f>IF(ROW()-3&gt;MAX($BC$4:$BC$42),"",INDEX(Lists!$BC$4:$BC$42,MATCH(ROW()-3,$BC$4:$BC$42,0)))</f>
        <v/>
      </c>
      <c r="BE29">
        <f>BE28+IF(AND(Lists!$BH$29&lt;&gt;"",ISNUMBER(SEARCH($K$4,Lists!$BH$29))),1,0)</f>
        <v/>
      </c>
      <c r="BF29">
        <f>IF(ROW()-3&gt;MAX($BE$4:$BE$42),"",INDEX(Lists!$BH$4:$BH$42,MATCH(ROW()-3,$BE$4:$BE$42,0)))</f>
        <v/>
      </c>
      <c r="BG29">
        <f>BG28+IF(AND(Lists!$BM$29&lt;&gt;"",ISNUMBER(SEARCH($L$4,Lists!$BM$29))),1,0)</f>
        <v/>
      </c>
      <c r="BH29">
        <f>IF(ROW()-3&gt;MAX($BG$4:$BG$42),"",INDEX(Lists!$BM$4:$BM$42,MATCH(ROW()-3,$BG$4:$BG$42,0)))</f>
        <v/>
      </c>
      <c r="BI29">
        <f>BI28+IF(AND(Lists!$BR$29&lt;&gt;"",ISNUMBER(SEARCH($M$4,Lists!$BR$29))),1,0)</f>
        <v/>
      </c>
      <c r="BJ29">
        <f>IF(ROW()-3&gt;MAX($BI$4:$BI$42),"",INDEX(Lists!$BR$4:$BR$42,MATCH(ROW()-3,$BI$4:$BI$42,0)))</f>
        <v/>
      </c>
      <c r="BK29">
        <f>BK28+IF(AND(Lists!$BW$29&lt;&gt;"",ISNUMBER(SEARCH($N$4,Lists!$BW$29))),1,0)</f>
        <v/>
      </c>
      <c r="BL29">
        <f>IF(ROW()-3&gt;MAX($BK$4:$BK$42),"",INDEX(Lists!$BW$4:$BW$42,MATCH(ROW()-3,$BK$4:$BK$42,0)))</f>
        <v/>
      </c>
      <c r="BM29">
        <f>BM28+IF(AND(Lists!$CB$29&lt;&gt;"",ISNUMBER(SEARCH($O$4,Lists!$CB$29))),1,0)</f>
        <v/>
      </c>
      <c r="BN29">
        <f>IF(ROW()-3&gt;MAX($BM$4:$BM$42),"",INDEX(Lists!$CB$4:$CB$42,MATCH(ROW()-3,$BM$4:$BM$42,0)))</f>
        <v/>
      </c>
      <c r="BO29">
        <f>BO28+IF(AND(Lists!$CG$29&lt;&gt;"",ISNUMBER(SEARCH($P$4,Lists!$CG$29))),1,0)</f>
        <v/>
      </c>
      <c r="BP29">
        <f>IF(ROW()-3&gt;MAX($BO$4:$BO$42),"",INDEX(Lists!$CG$4:$CG$42,MATCH(ROW()-3,$BO$4:$BO$42,0)))</f>
        <v/>
      </c>
      <c r="BQ29">
        <f>BQ28+IF(AND(Lists!$CL$29&lt;&gt;"",ISNUMBER(SEARCH($Q$4,Lists!$CL$29))),1,0)</f>
        <v/>
      </c>
      <c r="BR29">
        <f>IF(ROW()-3&gt;MAX($BQ$4:$BQ$42),"",INDEX(Lists!$CL$4:$CL$42,MATCH(ROW()-3,$BQ$4:$BQ$42,0)))</f>
        <v/>
      </c>
      <c r="BS29">
        <f>BS28+IF(AND(Lists!$CQ$29&lt;&gt;"",ISNUMBER(SEARCH($R$4,Lists!$CQ$29))),1,0)</f>
        <v/>
      </c>
      <c r="BT29">
        <f>IF(ROW()-3&gt;MAX($BS$4:$BS$42),"",INDEX(Lists!$CQ$4:$CQ$42,MATCH(ROW()-3,$BS$4:$BS$42,0)))</f>
        <v/>
      </c>
      <c r="BU29">
        <f>BU28+IF(AND(Lists!$CV$29&lt;&gt;"",ISNUMBER(SEARCH($S$4,Lists!$CV$29))),1,0)</f>
        <v/>
      </c>
      <c r="BV29">
        <f>IF(ROW()-3&gt;MAX($BU$4:$BU$42),"",INDEX(Lists!$CV$4:$CV$42,MATCH(ROW()-3,$BU$4:$BU$42,0)))</f>
        <v/>
      </c>
      <c r="BW29">
        <f>BW28+IF(AND(Lists!$DA$29&lt;&gt;"",ISNUMBER(SEARCH($T$4,Lists!$DA$29))),1,0)</f>
        <v/>
      </c>
      <c r="BX29">
        <f>IF(ROW()-3&gt;MAX($BW$4:$BW$42),"",INDEX(Lists!$DA$4:$DA$42,MATCH(ROW()-3,$BW$4:$BW$42,0)))</f>
        <v/>
      </c>
      <c r="BY29">
        <f>BY28+IF(AND(Lists!$DF$29&lt;&gt;"",ISNUMBER(SEARCH($U$4,Lists!$DF$29))),1,0)</f>
        <v/>
      </c>
      <c r="BZ29">
        <f>IF(ROW()-3&gt;MAX($BY$4:$BY$42),"",INDEX(Lists!$DF$4:$DF$42,MATCH(ROW()-3,$BY$4:$BY$42,0)))</f>
        <v/>
      </c>
      <c r="CA29">
        <f>CA28+IF(AND(Lists!$DK$29&lt;&gt;"",ISNUMBER(SEARCH($V$4,Lists!$DK$29))),1,0)</f>
        <v/>
      </c>
      <c r="CB29">
        <f>IF(ROW()-3&gt;MAX($CA$4:$CA$42),"",INDEX(Lists!$DK$4:$DK$42,MATCH(ROW()-3,$CA$4:$CA$42,0)))</f>
        <v/>
      </c>
      <c r="CC29">
        <f>CC28+IF(AND(Lists!$DP$29&lt;&gt;"",ISNUMBER(SEARCH($W$4,Lists!$DP$29))),1,0)</f>
        <v/>
      </c>
      <c r="CD29">
        <f>IF(ROW()-3&gt;MAX($CC$4:$CC$42),"",INDEX(Lists!$DP$4:$DP$42,MATCH(ROW()-3,$CC$4:$CC$42,0)))</f>
        <v/>
      </c>
      <c r="CE29">
        <f>CE28+IF(AND(Lists!$DU$29&lt;&gt;"",ISNUMBER(SEARCH($X$4,Lists!$DU$29))),1,0)</f>
        <v/>
      </c>
      <c r="CF29">
        <f>IF(ROW()-3&gt;MAX($CE$4:$CE$42),"",INDEX(Lists!$DU$4:$DU$42,MATCH(ROW()-3,$CE$4:$CE$42,0)))</f>
        <v/>
      </c>
      <c r="CG29">
        <f>CG28+IF(AND(Lists!$DZ$29&lt;&gt;"",ISNUMBER(SEARCH($Y$4,Lists!$DZ$29))),1,0)</f>
        <v/>
      </c>
      <c r="CH29">
        <f>IF(ROW()-3&gt;MAX($CG$4:$CG$42),"",INDEX(Lists!$DZ$4:$DZ$42,MATCH(ROW()-3,$CG$4:$CG$42,0)))</f>
        <v/>
      </c>
      <c r="CI29">
        <f>CI28+IF(AND(Lists!$EE$29&lt;&gt;"",ISNUMBER(SEARCH($Z$4,Lists!$EE$29))),1,0)</f>
        <v/>
      </c>
      <c r="CJ29">
        <f>IF(ROW()-3&gt;MAX($CI$4:$CI$42),"",INDEX(Lists!$EE$4:$EE$42,MATCH(ROW()-3,$CI$4:$CI$42,0)))</f>
        <v/>
      </c>
      <c r="CK29">
        <f>CK28+IF(AND(Lists!$EJ$29&lt;&gt;"",ISNUMBER(SEARCH($AA$4,Lists!$EJ$29))),1,0)</f>
        <v/>
      </c>
      <c r="CL29">
        <f>IF(ROW()-3&gt;MAX($CK$4:$CK$42),"",INDEX(Lists!$EJ$4:$EJ$42,MATCH(ROW()-3,$CK$4:$CK$42,0)))</f>
        <v/>
      </c>
      <c r="CM29">
        <f>CM28+IF(AND(Lists!$EO$29&lt;&gt;"",ISNUMBER(SEARCH($AB$4,Lists!$EO$29))),1,0)</f>
        <v/>
      </c>
      <c r="CN29">
        <f>IF(ROW()-3&gt;MAX($CM$4:$CM$42),"",INDEX(Lists!$EO$4:$EO$42,MATCH(ROW()-3,$CM$4:$CM$42,0)))</f>
        <v/>
      </c>
      <c r="CO29">
        <f>CO28+IF(AND(Lists!$ET$29&lt;&gt;"",ISNUMBER(SEARCH($AC$4,Lists!$ET$29))),1,0)</f>
        <v/>
      </c>
      <c r="CP29">
        <f>IF(ROW()-3&gt;MAX($CO$4:$CO$42),"",INDEX(Lists!$ET$4:$ET$42,MATCH(ROW()-3,$CO$4:$CO$42,0)))</f>
        <v/>
      </c>
      <c r="CQ29">
        <f>CQ28+IF(AND(Lists!$EY$29&lt;&gt;"",ISNUMBER(SEARCH($AD$4,Lists!$EY$29))),1,0)</f>
        <v/>
      </c>
      <c r="CR29">
        <f>IF(ROW()-3&gt;MAX($CQ$4:$CQ$42),"",INDEX(Lists!$EY$4:$EY$42,MATCH(ROW()-3,$CQ$4:$CQ$42,0)))</f>
        <v/>
      </c>
      <c r="CS29">
        <f>CS28+IF(AND(Lists!$FD$29&lt;&gt;"",ISNUMBER(SEARCH($AE$4,Lists!$FD$29))),1,0)</f>
        <v/>
      </c>
      <c r="CT29">
        <f>IF(ROW()-3&gt;MAX($CS$4:$CS$42),"",INDEX(Lists!$FD$4:$FD$42,MATCH(ROW()-3,$CS$4:$CS$42,0)))</f>
        <v/>
      </c>
      <c r="CU29">
        <f>CU28+IF(AND(Lists!$FI$29&lt;&gt;"",ISNUMBER(SEARCH($AG$4,Lists!$FI$29))),1,0)</f>
        <v/>
      </c>
      <c r="CV29">
        <f>IF(ROW()-3&gt;MAX($CU$4:$CU$42),"",INDEX(Lists!$FI$4:$FI$42,MATCH(ROW()-3,$CU$4:$CU$42,0)))</f>
        <v/>
      </c>
      <c r="CW29">
        <f>CW28+IF(AND(Lists!$FN$29&lt;&gt;"",ISNUMBER(SEARCH($AH$4,Lists!$FN$29))),1,0)</f>
        <v/>
      </c>
      <c r="CX29">
        <f>IF(ROW()-3&gt;MAX($CW$4:$CW$42),"",INDEX(Lists!$FN$4:$FN$42,MATCH(ROW()-3,$CW$4:$CW$42,0)))</f>
        <v/>
      </c>
      <c r="CY29">
        <f>CY28+IF(AND(Lists!$FS$29&lt;&gt;"",ISNUMBER(SEARCH($AI$4,Lists!$FS$29))),1,0)</f>
        <v/>
      </c>
      <c r="CZ29">
        <f>IF(ROW()-3&gt;MAX($CY$4:$CY$42),"",INDEX(Lists!$FS$4:$FS$42,MATCH(ROW()-3,$CY$4:$CY$42,0)))</f>
        <v/>
      </c>
      <c r="DA29">
        <f>DA28+IF(AND(Lists!$FX$29&lt;&gt;"",ISNUMBER(SEARCH($AF$4,Lists!$FX$29))),1,0)</f>
        <v/>
      </c>
      <c r="DB29">
        <f>IF(ROW()-3&gt;MAX($DA$4:$DA$42),"",INDEX(Lists!$FX$4:$FX$42,MATCH(ROW()-3,$DA$4:$DA$42,0)))</f>
        <v/>
      </c>
    </row>
    <row r="30" ht="15" customHeight="1" s="137">
      <c r="A30" s="81" t="inlineStr">
        <is>
          <t>∑</t>
        </is>
      </c>
      <c r="B30" s="83" t="n"/>
      <c r="C30" s="83">
        <f>ROWS($C$17:$C$29)&amp;" lot(s)"</f>
        <v/>
      </c>
      <c r="D30" s="83" t="inlineStr">
        <is>
          <t>SUBTOTAL — NATIONAL ENTERPRISES</t>
        </is>
      </c>
      <c r="E30" s="83" t="inlineStr">
        <is>
          <t>–</t>
        </is>
      </c>
      <c r="F30" s="83">
        <f>SUM(F17:F29)</f>
        <v/>
      </c>
      <c r="G30" s="83" t="inlineStr">
        <is>
          <t>–</t>
        </is>
      </c>
      <c r="H30" s="84" t="inlineStr">
        <is>
          <t>–</t>
        </is>
      </c>
      <c r="I30" s="84">
        <f>SUM(I17:I29)</f>
        <v/>
      </c>
      <c r="J30" s="84">
        <f>SUM(J17:J29)</f>
        <v/>
      </c>
      <c r="K30" s="84">
        <f>SUM(K17:K29)</f>
        <v/>
      </c>
      <c r="L30" s="84">
        <f>SUM(L17:L29)</f>
        <v/>
      </c>
      <c r="M30" s="84">
        <f>SUM(M17:M29)</f>
        <v/>
      </c>
      <c r="N30" s="84">
        <f>SUM(N17:N29)</f>
        <v/>
      </c>
      <c r="O30" s="85">
        <f>SUM(O17:O29)</f>
        <v/>
      </c>
      <c r="P30" s="84">
        <f>SUM(P17:P29)</f>
        <v/>
      </c>
      <c r="Q30" s="84">
        <f>SUM(Q17:Q29)</f>
        <v/>
      </c>
      <c r="R30" s="86" t="inlineStr">
        <is>
          <t>–</t>
        </is>
      </c>
      <c r="S30" s="84">
        <f>SUM(S17:S29)</f>
        <v/>
      </c>
      <c r="T30" s="84">
        <f>SUM(T17:T29)</f>
        <v/>
      </c>
      <c r="U30" s="84">
        <f>SUM(U17:U29)</f>
        <v/>
      </c>
      <c r="V30" s="87">
        <f>SUM(V17:V29)</f>
        <v/>
      </c>
      <c r="W30" s="84" t="inlineStr">
        <is>
          <t>–</t>
        </is>
      </c>
      <c r="X30" s="84">
        <f>SUM(X17:X29)</f>
        <v/>
      </c>
      <c r="Y30" s="84">
        <f>SUM(Y17:Y29)</f>
        <v/>
      </c>
      <c r="Z30" s="84" t="inlineStr">
        <is>
          <t>–</t>
        </is>
      </c>
      <c r="AA30" s="84">
        <f>SUM(AA17:AA29)</f>
        <v/>
      </c>
      <c r="AB30" s="84">
        <f>SUM(AB17:AB29)</f>
        <v/>
      </c>
      <c r="AC30" s="84" t="inlineStr">
        <is>
          <t>–</t>
        </is>
      </c>
      <c r="AD30" s="84">
        <f>SUM(AD17:AD29)</f>
        <v/>
      </c>
      <c r="AE30" s="84">
        <f>SUM(AE17:AE29)</f>
        <v/>
      </c>
      <c r="AF30" s="89">
        <f>IF(AE30&lt;=5,"SETTLED","OUTSTANDING")</f>
        <v/>
      </c>
      <c r="AG30" s="84" t="inlineStr">
        <is>
          <t>–</t>
        </is>
      </c>
      <c r="AH30" s="88" t="inlineStr">
        <is>
          <t>–</t>
        </is>
      </c>
      <c r="AI30" s="84" t="inlineStr">
        <is>
          <t>–</t>
        </is>
      </c>
      <c r="AJ30">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
      </c>
      <c r="AK30">
        <f>IF(AJ30=1,COUNTIF(AJ$6:AJ30,1),"")</f>
        <v/>
      </c>
      <c r="AM30">
        <f>AM29+IF(AND(Lists!$O$30&lt;&gt;"",ISNUMBER(SEARCH($B$4,Lists!$O$30))),1,0)</f>
        <v/>
      </c>
      <c r="AN30">
        <f>IF(ROW()-3&gt;MAX($AM$4:$AM$42),"",INDEX(Lists!$O$4:$O$42,MATCH(ROW()-3,$AM$4:$AM$42,0)))</f>
        <v/>
      </c>
      <c r="AO30">
        <f>AO29+IF(AND(Lists!$T$30&lt;&gt;"",ISNUMBER(SEARCH($C$4,Lists!$T$30))),1,0)</f>
        <v/>
      </c>
      <c r="AP30">
        <f>IF(ROW()-3&gt;MAX($AO$4:$AO$42),"",INDEX(Lists!$T$4:$T$42,MATCH(ROW()-3,$AO$4:$AO$42,0)))</f>
        <v/>
      </c>
      <c r="AQ30">
        <f>AQ29+IF(AND(Lists!$Y$30&lt;&gt;"",ISNUMBER(SEARCH($D$4,Lists!$Y$30))),1,0)</f>
        <v/>
      </c>
      <c r="AR30">
        <f>IF(ROW()-3&gt;MAX($AQ$4:$AQ$42),"",INDEX(Lists!$Y$4:$Y$42,MATCH(ROW()-3,$AQ$4:$AQ$42,0)))</f>
        <v/>
      </c>
      <c r="AS30">
        <f>AS29+IF(AND(Lists!$AD$30&lt;&gt;"",ISNUMBER(SEARCH($E$4,Lists!$AD$30))),1,0)</f>
        <v/>
      </c>
      <c r="AT30">
        <f>IF(ROW()-3&gt;MAX($AS$4:$AS$42),"",INDEX(Lists!$AD$4:$AD$42,MATCH(ROW()-3,$AS$4:$AS$42,0)))</f>
        <v/>
      </c>
      <c r="AU30">
        <f>AU29+IF(AND(Lists!$AI$30&lt;&gt;"",ISNUMBER(SEARCH($F$4,Lists!$AI$30))),1,0)</f>
        <v/>
      </c>
      <c r="AV30">
        <f>IF(ROW()-3&gt;MAX($AU$4:$AU$42),"",INDEX(Lists!$AI$4:$AI$42,MATCH(ROW()-3,$AU$4:$AU$42,0)))</f>
        <v/>
      </c>
      <c r="AW30">
        <f>AW29+IF(AND(Lists!$AN$30&lt;&gt;"",ISNUMBER(SEARCH($G$4,Lists!$AN$30))),1,0)</f>
        <v/>
      </c>
      <c r="AX30">
        <f>IF(ROW()-3&gt;MAX($AW$4:$AW$42),"",INDEX(Lists!$AN$4:$AN$42,MATCH(ROW()-3,$AW$4:$AW$42,0)))</f>
        <v/>
      </c>
      <c r="AY30">
        <f>AY29+IF(AND(Lists!$AS$30&lt;&gt;"",ISNUMBER(SEARCH($H$4,Lists!$AS$30))),1,0)</f>
        <v/>
      </c>
      <c r="AZ30">
        <f>IF(ROW()-3&gt;MAX($AY$4:$AY$42),"",INDEX(Lists!$AS$4:$AS$42,MATCH(ROW()-3,$AY$4:$AY$42,0)))</f>
        <v/>
      </c>
      <c r="BA30">
        <f>BA29+IF(AND(Lists!$AX$30&lt;&gt;"",ISNUMBER(SEARCH($I$4,Lists!$AX$30))),1,0)</f>
        <v/>
      </c>
      <c r="BB30">
        <f>IF(ROW()-3&gt;MAX($BA$4:$BA$42),"",INDEX(Lists!$AX$4:$AX$42,MATCH(ROW()-3,$BA$4:$BA$42,0)))</f>
        <v/>
      </c>
      <c r="BC30">
        <f>BC29+IF(AND(Lists!$BC$30&lt;&gt;"",ISNUMBER(SEARCH($J$4,Lists!$BC$30))),1,0)</f>
        <v/>
      </c>
      <c r="BD30">
        <f>IF(ROW()-3&gt;MAX($BC$4:$BC$42),"",INDEX(Lists!$BC$4:$BC$42,MATCH(ROW()-3,$BC$4:$BC$42,0)))</f>
        <v/>
      </c>
      <c r="BE30">
        <f>BE29+IF(AND(Lists!$BH$30&lt;&gt;"",ISNUMBER(SEARCH($K$4,Lists!$BH$30))),1,0)</f>
        <v/>
      </c>
      <c r="BF30">
        <f>IF(ROW()-3&gt;MAX($BE$4:$BE$42),"",INDEX(Lists!$BH$4:$BH$42,MATCH(ROW()-3,$BE$4:$BE$42,0)))</f>
        <v/>
      </c>
      <c r="BG30">
        <f>BG29+IF(AND(Lists!$BM$30&lt;&gt;"",ISNUMBER(SEARCH($L$4,Lists!$BM$30))),1,0)</f>
        <v/>
      </c>
      <c r="BH30">
        <f>IF(ROW()-3&gt;MAX($BG$4:$BG$42),"",INDEX(Lists!$BM$4:$BM$42,MATCH(ROW()-3,$BG$4:$BG$42,0)))</f>
        <v/>
      </c>
      <c r="BI30">
        <f>BI29+IF(AND(Lists!$BR$30&lt;&gt;"",ISNUMBER(SEARCH($M$4,Lists!$BR$30))),1,0)</f>
        <v/>
      </c>
      <c r="BJ30">
        <f>IF(ROW()-3&gt;MAX($BI$4:$BI$42),"",INDEX(Lists!$BR$4:$BR$42,MATCH(ROW()-3,$BI$4:$BI$42,0)))</f>
        <v/>
      </c>
      <c r="BK30">
        <f>BK29+IF(AND(Lists!$BW$30&lt;&gt;"",ISNUMBER(SEARCH($N$4,Lists!$BW$30))),1,0)</f>
        <v/>
      </c>
      <c r="BL30">
        <f>IF(ROW()-3&gt;MAX($BK$4:$BK$42),"",INDEX(Lists!$BW$4:$BW$42,MATCH(ROW()-3,$BK$4:$BK$42,0)))</f>
        <v/>
      </c>
      <c r="BM30">
        <f>BM29+IF(AND(Lists!$CB$30&lt;&gt;"",ISNUMBER(SEARCH($O$4,Lists!$CB$30))),1,0)</f>
        <v/>
      </c>
      <c r="BN30">
        <f>IF(ROW()-3&gt;MAX($BM$4:$BM$42),"",INDEX(Lists!$CB$4:$CB$42,MATCH(ROW()-3,$BM$4:$BM$42,0)))</f>
        <v/>
      </c>
      <c r="BO30">
        <f>BO29+IF(AND(Lists!$CG$30&lt;&gt;"",ISNUMBER(SEARCH($P$4,Lists!$CG$30))),1,0)</f>
        <v/>
      </c>
      <c r="BP30">
        <f>IF(ROW()-3&gt;MAX($BO$4:$BO$42),"",INDEX(Lists!$CG$4:$CG$42,MATCH(ROW()-3,$BO$4:$BO$42,0)))</f>
        <v/>
      </c>
      <c r="BQ30">
        <f>BQ29+IF(AND(Lists!$CL$30&lt;&gt;"",ISNUMBER(SEARCH($Q$4,Lists!$CL$30))),1,0)</f>
        <v/>
      </c>
      <c r="BR30">
        <f>IF(ROW()-3&gt;MAX($BQ$4:$BQ$42),"",INDEX(Lists!$CL$4:$CL$42,MATCH(ROW()-3,$BQ$4:$BQ$42,0)))</f>
        <v/>
      </c>
      <c r="BS30">
        <f>BS29+IF(AND(Lists!$CQ$30&lt;&gt;"",ISNUMBER(SEARCH($R$4,Lists!$CQ$30))),1,0)</f>
        <v/>
      </c>
      <c r="BT30">
        <f>IF(ROW()-3&gt;MAX($BS$4:$BS$42),"",INDEX(Lists!$CQ$4:$CQ$42,MATCH(ROW()-3,$BS$4:$BS$42,0)))</f>
        <v/>
      </c>
      <c r="BU30">
        <f>BU29+IF(AND(Lists!$CV$30&lt;&gt;"",ISNUMBER(SEARCH($S$4,Lists!$CV$30))),1,0)</f>
        <v/>
      </c>
      <c r="BV30">
        <f>IF(ROW()-3&gt;MAX($BU$4:$BU$42),"",INDEX(Lists!$CV$4:$CV$42,MATCH(ROW()-3,$BU$4:$BU$42,0)))</f>
        <v/>
      </c>
      <c r="BW30">
        <f>BW29+IF(AND(Lists!$DA$30&lt;&gt;"",ISNUMBER(SEARCH($T$4,Lists!$DA$30))),1,0)</f>
        <v/>
      </c>
      <c r="BX30">
        <f>IF(ROW()-3&gt;MAX($BW$4:$BW$42),"",INDEX(Lists!$DA$4:$DA$42,MATCH(ROW()-3,$BW$4:$BW$42,0)))</f>
        <v/>
      </c>
      <c r="BY30">
        <f>BY29+IF(AND(Lists!$DF$30&lt;&gt;"",ISNUMBER(SEARCH($U$4,Lists!$DF$30))),1,0)</f>
        <v/>
      </c>
      <c r="BZ30">
        <f>IF(ROW()-3&gt;MAX($BY$4:$BY$42),"",INDEX(Lists!$DF$4:$DF$42,MATCH(ROW()-3,$BY$4:$BY$42,0)))</f>
        <v/>
      </c>
      <c r="CA30">
        <f>CA29+IF(AND(Lists!$DK$30&lt;&gt;"",ISNUMBER(SEARCH($V$4,Lists!$DK$30))),1,0)</f>
        <v/>
      </c>
      <c r="CB30">
        <f>IF(ROW()-3&gt;MAX($CA$4:$CA$42),"",INDEX(Lists!$DK$4:$DK$42,MATCH(ROW()-3,$CA$4:$CA$42,0)))</f>
        <v/>
      </c>
      <c r="CC30">
        <f>CC29+IF(AND(Lists!$DP$30&lt;&gt;"",ISNUMBER(SEARCH($W$4,Lists!$DP$30))),1,0)</f>
        <v/>
      </c>
      <c r="CD30">
        <f>IF(ROW()-3&gt;MAX($CC$4:$CC$42),"",INDEX(Lists!$DP$4:$DP$42,MATCH(ROW()-3,$CC$4:$CC$42,0)))</f>
        <v/>
      </c>
      <c r="CE30">
        <f>CE29+IF(AND(Lists!$DU$30&lt;&gt;"",ISNUMBER(SEARCH($X$4,Lists!$DU$30))),1,0)</f>
        <v/>
      </c>
      <c r="CF30">
        <f>IF(ROW()-3&gt;MAX($CE$4:$CE$42),"",INDEX(Lists!$DU$4:$DU$42,MATCH(ROW()-3,$CE$4:$CE$42,0)))</f>
        <v/>
      </c>
      <c r="CG30">
        <f>CG29+IF(AND(Lists!$DZ$30&lt;&gt;"",ISNUMBER(SEARCH($Y$4,Lists!$DZ$30))),1,0)</f>
        <v/>
      </c>
      <c r="CH30">
        <f>IF(ROW()-3&gt;MAX($CG$4:$CG$42),"",INDEX(Lists!$DZ$4:$DZ$42,MATCH(ROW()-3,$CG$4:$CG$42,0)))</f>
        <v/>
      </c>
      <c r="CI30">
        <f>CI29+IF(AND(Lists!$EE$30&lt;&gt;"",ISNUMBER(SEARCH($Z$4,Lists!$EE$30))),1,0)</f>
        <v/>
      </c>
      <c r="CJ30">
        <f>IF(ROW()-3&gt;MAX($CI$4:$CI$42),"",INDEX(Lists!$EE$4:$EE$42,MATCH(ROW()-3,$CI$4:$CI$42,0)))</f>
        <v/>
      </c>
      <c r="CK30">
        <f>CK29+IF(AND(Lists!$EJ$30&lt;&gt;"",ISNUMBER(SEARCH($AA$4,Lists!$EJ$30))),1,0)</f>
        <v/>
      </c>
      <c r="CL30">
        <f>IF(ROW()-3&gt;MAX($CK$4:$CK$42),"",INDEX(Lists!$EJ$4:$EJ$42,MATCH(ROW()-3,$CK$4:$CK$42,0)))</f>
        <v/>
      </c>
      <c r="CM30">
        <f>CM29+IF(AND(Lists!$EO$30&lt;&gt;"",ISNUMBER(SEARCH($AB$4,Lists!$EO$30))),1,0)</f>
        <v/>
      </c>
      <c r="CN30">
        <f>IF(ROW()-3&gt;MAX($CM$4:$CM$42),"",INDEX(Lists!$EO$4:$EO$42,MATCH(ROW()-3,$CM$4:$CM$42,0)))</f>
        <v/>
      </c>
      <c r="CO30">
        <f>CO29+IF(AND(Lists!$ET$30&lt;&gt;"",ISNUMBER(SEARCH($AC$4,Lists!$ET$30))),1,0)</f>
        <v/>
      </c>
      <c r="CP30">
        <f>IF(ROW()-3&gt;MAX($CO$4:$CO$42),"",INDEX(Lists!$ET$4:$ET$42,MATCH(ROW()-3,$CO$4:$CO$42,0)))</f>
        <v/>
      </c>
      <c r="CQ30">
        <f>CQ29+IF(AND(Lists!$EY$30&lt;&gt;"",ISNUMBER(SEARCH($AD$4,Lists!$EY$30))),1,0)</f>
        <v/>
      </c>
      <c r="CR30">
        <f>IF(ROW()-3&gt;MAX($CQ$4:$CQ$42),"",INDEX(Lists!$EY$4:$EY$42,MATCH(ROW()-3,$CQ$4:$CQ$42,0)))</f>
        <v/>
      </c>
      <c r="CS30">
        <f>CS29+IF(AND(Lists!$FD$30&lt;&gt;"",ISNUMBER(SEARCH($AE$4,Lists!$FD$30))),1,0)</f>
        <v/>
      </c>
      <c r="CT30">
        <f>IF(ROW()-3&gt;MAX($CS$4:$CS$42),"",INDEX(Lists!$FD$4:$FD$42,MATCH(ROW()-3,$CS$4:$CS$42,0)))</f>
        <v/>
      </c>
      <c r="CU30">
        <f>CU29+IF(AND(Lists!$FI$30&lt;&gt;"",ISNUMBER(SEARCH($AG$4,Lists!$FI$30))),1,0)</f>
        <v/>
      </c>
      <c r="CV30">
        <f>IF(ROW()-3&gt;MAX($CU$4:$CU$42),"",INDEX(Lists!$FI$4:$FI$42,MATCH(ROW()-3,$CU$4:$CU$42,0)))</f>
        <v/>
      </c>
      <c r="CW30">
        <f>CW29+IF(AND(Lists!$FN$30&lt;&gt;"",ISNUMBER(SEARCH($AH$4,Lists!$FN$30))),1,0)</f>
        <v/>
      </c>
      <c r="CX30">
        <f>IF(ROW()-3&gt;MAX($CW$4:$CW$42),"",INDEX(Lists!$FN$4:$FN$42,MATCH(ROW()-3,$CW$4:$CW$42,0)))</f>
        <v/>
      </c>
      <c r="CY30">
        <f>CY29+IF(AND(Lists!$FS$30&lt;&gt;"",ISNUMBER(SEARCH($AI$4,Lists!$FS$30))),1,0)</f>
        <v/>
      </c>
      <c r="CZ30">
        <f>IF(ROW()-3&gt;MAX($CY$4:$CY$42),"",INDEX(Lists!$FS$4:$FS$42,MATCH(ROW()-3,$CY$4:$CY$42,0)))</f>
        <v/>
      </c>
      <c r="DA30">
        <f>DA29+IF(AND(Lists!$FX$30&lt;&gt;"",ISNUMBER(SEARCH($AF$4,Lists!$FX$30))),1,0)</f>
        <v/>
      </c>
      <c r="DB30">
        <f>IF(ROW()-3&gt;MAX($DA$4:$DA$42),"",INDEX(Lists!$FX$4:$FX$42,MATCH(ROW()-3,$DA$4:$DA$42,0)))</f>
        <v/>
      </c>
    </row>
    <row r="31" outlineLevel="1" ht="15" customHeight="1" s="137">
      <c r="A31" s="67" t="n">
        <v>1</v>
      </c>
      <c r="B31" s="76">
        <f>IF('Final Calculation Sheet'!$F$21="","",'Final Calculation Sheet'!$F$21)</f>
        <v/>
      </c>
      <c r="C31" s="76">
        <f>IF('Final Calculation Sheet'!$G$21="","",'Final Calculation Sheet'!$G$21)</f>
        <v/>
      </c>
      <c r="D31" s="80">
        <f>IF('Final Calculation Sheet'!$B$21="","",'Final Calculation Sheet'!$B$21)</f>
        <v/>
      </c>
      <c r="E31" s="80">
        <f>IF('Final Calculation Sheet'!$D$21="","",'Final Calculation Sheet'!$D$21)</f>
        <v/>
      </c>
      <c r="F31" s="80">
        <f>IF('Final Calculation Sheet'!$A$21="","",'Final Calculation Sheet'!$A$21)</f>
        <v/>
      </c>
      <c r="G31" s="80">
        <f>IF('Final Calculation Sheet'!$E$21="","",'Final Calculation Sheet'!$E$21)</f>
        <v/>
      </c>
      <c r="H31" s="70">
        <f>IF('Final Calculation Sheet'!$C$21="","",'Final Calculation Sheet'!$C$21)</f>
        <v/>
      </c>
      <c r="I31" s="70">
        <f>IF('Final Calculation Sheet'!$H$21="","",'Final Calculation Sheet'!$H$21)</f>
        <v/>
      </c>
      <c r="J31" s="70">
        <f>IF('Final Calculation Sheet'!$I$21="","",'Final Calculation Sheet'!$I$21)</f>
        <v/>
      </c>
      <c r="K31" s="70">
        <f>IF('Final Calculation Sheet'!$J$21="","",'Final Calculation Sheet'!$J$21)</f>
        <v/>
      </c>
      <c r="L31" s="70">
        <f>IF('Final Calculation Sheet'!$K$21="","",'Final Calculation Sheet'!$K$21)</f>
        <v/>
      </c>
      <c r="M31" s="70">
        <f>IF('Final Calculation Sheet'!$L$21="","",'Final Calculation Sheet'!$L$21)</f>
        <v/>
      </c>
      <c r="N31" s="70">
        <f>IF('Final Calculation Sheet'!$M$21="","",'Final Calculation Sheet'!$M$21)</f>
        <v/>
      </c>
      <c r="O31" s="71">
        <f>IF('Final Calculation Sheet'!$N$21="","",'Final Calculation Sheet'!$N$21)</f>
        <v/>
      </c>
      <c r="P31" s="70">
        <f>IF('Final Calculation Sheet'!$O$21="","",'Final Calculation Sheet'!$O$21)</f>
        <v/>
      </c>
      <c r="Q31" s="70">
        <f>IF('Final Calculation Sheet'!$P$21="","",'Final Calculation Sheet'!$P$21)</f>
        <v/>
      </c>
      <c r="R31" s="72">
        <f>IF('Final Calculation Sheet'!$Q$21="","",'Final Calculation Sheet'!$Q$21)</f>
        <v/>
      </c>
      <c r="S31" s="70">
        <f>IF('Final Calculation Sheet'!$R$21="","",'Final Calculation Sheet'!$R$21)</f>
        <v/>
      </c>
      <c r="T31" s="70">
        <f>IF('Final Calculation Sheet'!$S$21="","",'Final Calculation Sheet'!$S$21)</f>
        <v/>
      </c>
      <c r="U31" s="70">
        <f>IF('Final Calculation Sheet'!$T$21="","",'Final Calculation Sheet'!$T$21)</f>
        <v/>
      </c>
      <c r="V31" s="73">
        <f>IF('Final Calculation Sheet'!$U$21="","",'Final Calculation Sheet'!$U$21)</f>
        <v/>
      </c>
      <c r="W31" s="70">
        <f>IF('Final Calculation Sheet'!$V$21="","",'Final Calculation Sheet'!$V$21)</f>
        <v/>
      </c>
      <c r="X31" s="70">
        <f>IF('Final Calculation Sheet'!$W$21="","",'Final Calculation Sheet'!$W$21)</f>
        <v/>
      </c>
      <c r="Y31" s="70">
        <f>IF('Final Calculation Sheet'!$X$21="","",'Final Calculation Sheet'!$X$21)</f>
        <v/>
      </c>
      <c r="Z31" s="70">
        <f>IF('Final Calculation Sheet'!$Y$21="","",'Final Calculation Sheet'!$Y$21)</f>
        <v/>
      </c>
      <c r="AA31" s="70">
        <f>IF('Final Calculation Sheet'!$Z$21="","",'Final Calculation Sheet'!$Z$21)</f>
        <v/>
      </c>
      <c r="AB31" s="70">
        <f>IF('Final Calculation Sheet'!$AA$21="","",'Final Calculation Sheet'!$AA$21)</f>
        <v/>
      </c>
      <c r="AC31" s="70">
        <f>IF('Final Calculation Sheet'!$AB$21="","",'Final Calculation Sheet'!$AB$21)</f>
        <v/>
      </c>
      <c r="AD31" s="70">
        <f>IF('Final Calculation Sheet'!$AC$21="","",'Final Calculation Sheet'!$AC$21)</f>
        <v/>
      </c>
      <c r="AE31" s="70">
        <f>IF('Final Calculation Sheet'!$AD$21="","",'Final Calculation Sheet'!$AD$21)</f>
        <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
      </c>
      <c r="AK31">
        <f>IF(AJ31=1,COUNTIF(AJ$6:AJ31,1),"")</f>
        <v/>
      </c>
      <c r="AM31">
        <f>AM30+IF(AND(Lists!$O$31&lt;&gt;"",ISNUMBER(SEARCH($B$4,Lists!$O$31))),1,0)</f>
        <v/>
      </c>
      <c r="AN31">
        <f>IF(ROW()-3&gt;MAX($AM$4:$AM$42),"",INDEX(Lists!$O$4:$O$42,MATCH(ROW()-3,$AM$4:$AM$42,0)))</f>
        <v/>
      </c>
      <c r="AO31">
        <f>AO30+IF(AND(Lists!$T$31&lt;&gt;"",ISNUMBER(SEARCH($C$4,Lists!$T$31))),1,0)</f>
        <v/>
      </c>
      <c r="AP31">
        <f>IF(ROW()-3&gt;MAX($AO$4:$AO$42),"",INDEX(Lists!$T$4:$T$42,MATCH(ROW()-3,$AO$4:$AO$42,0)))</f>
        <v/>
      </c>
      <c r="AQ31">
        <f>AQ30+IF(AND(Lists!$Y$31&lt;&gt;"",ISNUMBER(SEARCH($D$4,Lists!$Y$31))),1,0)</f>
        <v/>
      </c>
      <c r="AR31">
        <f>IF(ROW()-3&gt;MAX($AQ$4:$AQ$42),"",INDEX(Lists!$Y$4:$Y$42,MATCH(ROW()-3,$AQ$4:$AQ$42,0)))</f>
        <v/>
      </c>
      <c r="AS31">
        <f>AS30+IF(AND(Lists!$AD$31&lt;&gt;"",ISNUMBER(SEARCH($E$4,Lists!$AD$31))),1,0)</f>
        <v/>
      </c>
      <c r="AT31">
        <f>IF(ROW()-3&gt;MAX($AS$4:$AS$42),"",INDEX(Lists!$AD$4:$AD$42,MATCH(ROW()-3,$AS$4:$AS$42,0)))</f>
        <v/>
      </c>
      <c r="AU31">
        <f>AU30+IF(AND(Lists!$AI$31&lt;&gt;"",ISNUMBER(SEARCH($F$4,Lists!$AI$31))),1,0)</f>
        <v/>
      </c>
      <c r="AV31">
        <f>IF(ROW()-3&gt;MAX($AU$4:$AU$42),"",INDEX(Lists!$AI$4:$AI$42,MATCH(ROW()-3,$AU$4:$AU$42,0)))</f>
        <v/>
      </c>
      <c r="AW31">
        <f>AW30+IF(AND(Lists!$AN$31&lt;&gt;"",ISNUMBER(SEARCH($G$4,Lists!$AN$31))),1,0)</f>
        <v/>
      </c>
      <c r="AX31">
        <f>IF(ROW()-3&gt;MAX($AW$4:$AW$42),"",INDEX(Lists!$AN$4:$AN$42,MATCH(ROW()-3,$AW$4:$AW$42,0)))</f>
        <v/>
      </c>
      <c r="AY31">
        <f>AY30+IF(AND(Lists!$AS$31&lt;&gt;"",ISNUMBER(SEARCH($H$4,Lists!$AS$31))),1,0)</f>
        <v/>
      </c>
      <c r="AZ31">
        <f>IF(ROW()-3&gt;MAX($AY$4:$AY$42),"",INDEX(Lists!$AS$4:$AS$42,MATCH(ROW()-3,$AY$4:$AY$42,0)))</f>
        <v/>
      </c>
      <c r="BA31">
        <f>BA30+IF(AND(Lists!$AX$31&lt;&gt;"",ISNUMBER(SEARCH($I$4,Lists!$AX$31))),1,0)</f>
        <v/>
      </c>
      <c r="BB31">
        <f>IF(ROW()-3&gt;MAX($BA$4:$BA$42),"",INDEX(Lists!$AX$4:$AX$42,MATCH(ROW()-3,$BA$4:$BA$42,0)))</f>
        <v/>
      </c>
      <c r="BC31">
        <f>BC30+IF(AND(Lists!$BC$31&lt;&gt;"",ISNUMBER(SEARCH($J$4,Lists!$BC$31))),1,0)</f>
        <v/>
      </c>
      <c r="BD31">
        <f>IF(ROW()-3&gt;MAX($BC$4:$BC$42),"",INDEX(Lists!$BC$4:$BC$42,MATCH(ROW()-3,$BC$4:$BC$42,0)))</f>
        <v/>
      </c>
      <c r="BE31">
        <f>BE30+IF(AND(Lists!$BH$31&lt;&gt;"",ISNUMBER(SEARCH($K$4,Lists!$BH$31))),1,0)</f>
        <v/>
      </c>
      <c r="BF31">
        <f>IF(ROW()-3&gt;MAX($BE$4:$BE$42),"",INDEX(Lists!$BH$4:$BH$42,MATCH(ROW()-3,$BE$4:$BE$42,0)))</f>
        <v/>
      </c>
      <c r="BG31">
        <f>BG30+IF(AND(Lists!$BM$31&lt;&gt;"",ISNUMBER(SEARCH($L$4,Lists!$BM$31))),1,0)</f>
        <v/>
      </c>
      <c r="BH31">
        <f>IF(ROW()-3&gt;MAX($BG$4:$BG$42),"",INDEX(Lists!$BM$4:$BM$42,MATCH(ROW()-3,$BG$4:$BG$42,0)))</f>
        <v/>
      </c>
      <c r="BI31">
        <f>BI30+IF(AND(Lists!$BR$31&lt;&gt;"",ISNUMBER(SEARCH($M$4,Lists!$BR$31))),1,0)</f>
        <v/>
      </c>
      <c r="BJ31">
        <f>IF(ROW()-3&gt;MAX($BI$4:$BI$42),"",INDEX(Lists!$BR$4:$BR$42,MATCH(ROW()-3,$BI$4:$BI$42,0)))</f>
        <v/>
      </c>
      <c r="BK31">
        <f>BK30+IF(AND(Lists!$BW$31&lt;&gt;"",ISNUMBER(SEARCH($N$4,Lists!$BW$31))),1,0)</f>
        <v/>
      </c>
      <c r="BL31">
        <f>IF(ROW()-3&gt;MAX($BK$4:$BK$42),"",INDEX(Lists!$BW$4:$BW$42,MATCH(ROW()-3,$BK$4:$BK$42,0)))</f>
        <v/>
      </c>
      <c r="BM31">
        <f>BM30+IF(AND(Lists!$CB$31&lt;&gt;"",ISNUMBER(SEARCH($O$4,Lists!$CB$31))),1,0)</f>
        <v/>
      </c>
      <c r="BN31">
        <f>IF(ROW()-3&gt;MAX($BM$4:$BM$42),"",INDEX(Lists!$CB$4:$CB$42,MATCH(ROW()-3,$BM$4:$BM$42,0)))</f>
        <v/>
      </c>
      <c r="BO31">
        <f>BO30+IF(AND(Lists!$CG$31&lt;&gt;"",ISNUMBER(SEARCH($P$4,Lists!$CG$31))),1,0)</f>
        <v/>
      </c>
      <c r="BP31">
        <f>IF(ROW()-3&gt;MAX($BO$4:$BO$42),"",INDEX(Lists!$CG$4:$CG$42,MATCH(ROW()-3,$BO$4:$BO$42,0)))</f>
        <v/>
      </c>
      <c r="BQ31">
        <f>BQ30+IF(AND(Lists!$CL$31&lt;&gt;"",ISNUMBER(SEARCH($Q$4,Lists!$CL$31))),1,0)</f>
        <v/>
      </c>
      <c r="BR31">
        <f>IF(ROW()-3&gt;MAX($BQ$4:$BQ$42),"",INDEX(Lists!$CL$4:$CL$42,MATCH(ROW()-3,$BQ$4:$BQ$42,0)))</f>
        <v/>
      </c>
      <c r="BS31">
        <f>BS30+IF(AND(Lists!$CQ$31&lt;&gt;"",ISNUMBER(SEARCH($R$4,Lists!$CQ$31))),1,0)</f>
        <v/>
      </c>
      <c r="BT31">
        <f>IF(ROW()-3&gt;MAX($BS$4:$BS$42),"",INDEX(Lists!$CQ$4:$CQ$42,MATCH(ROW()-3,$BS$4:$BS$42,0)))</f>
        <v/>
      </c>
      <c r="BU31">
        <f>BU30+IF(AND(Lists!$CV$31&lt;&gt;"",ISNUMBER(SEARCH($S$4,Lists!$CV$31))),1,0)</f>
        <v/>
      </c>
      <c r="BV31">
        <f>IF(ROW()-3&gt;MAX($BU$4:$BU$42),"",INDEX(Lists!$CV$4:$CV$42,MATCH(ROW()-3,$BU$4:$BU$42,0)))</f>
        <v/>
      </c>
      <c r="BW31">
        <f>BW30+IF(AND(Lists!$DA$31&lt;&gt;"",ISNUMBER(SEARCH($T$4,Lists!$DA$31))),1,0)</f>
        <v/>
      </c>
      <c r="BX31">
        <f>IF(ROW()-3&gt;MAX($BW$4:$BW$42),"",INDEX(Lists!$DA$4:$DA$42,MATCH(ROW()-3,$BW$4:$BW$42,0)))</f>
        <v/>
      </c>
      <c r="BY31">
        <f>BY30+IF(AND(Lists!$DF$31&lt;&gt;"",ISNUMBER(SEARCH($U$4,Lists!$DF$31))),1,0)</f>
        <v/>
      </c>
      <c r="BZ31">
        <f>IF(ROW()-3&gt;MAX($BY$4:$BY$42),"",INDEX(Lists!$DF$4:$DF$42,MATCH(ROW()-3,$BY$4:$BY$42,0)))</f>
        <v/>
      </c>
      <c r="CA31">
        <f>CA30+IF(AND(Lists!$DK$31&lt;&gt;"",ISNUMBER(SEARCH($V$4,Lists!$DK$31))),1,0)</f>
        <v/>
      </c>
      <c r="CB31">
        <f>IF(ROW()-3&gt;MAX($CA$4:$CA$42),"",INDEX(Lists!$DK$4:$DK$42,MATCH(ROW()-3,$CA$4:$CA$42,0)))</f>
        <v/>
      </c>
      <c r="CC31">
        <f>CC30+IF(AND(Lists!$DP$31&lt;&gt;"",ISNUMBER(SEARCH($W$4,Lists!$DP$31))),1,0)</f>
        <v/>
      </c>
      <c r="CD31">
        <f>IF(ROW()-3&gt;MAX($CC$4:$CC$42),"",INDEX(Lists!$DP$4:$DP$42,MATCH(ROW()-3,$CC$4:$CC$42,0)))</f>
        <v/>
      </c>
      <c r="CE31">
        <f>CE30+IF(AND(Lists!$DU$31&lt;&gt;"",ISNUMBER(SEARCH($X$4,Lists!$DU$31))),1,0)</f>
        <v/>
      </c>
      <c r="CF31">
        <f>IF(ROW()-3&gt;MAX($CE$4:$CE$42),"",INDEX(Lists!$DU$4:$DU$42,MATCH(ROW()-3,$CE$4:$CE$42,0)))</f>
        <v/>
      </c>
      <c r="CG31">
        <f>CG30+IF(AND(Lists!$DZ$31&lt;&gt;"",ISNUMBER(SEARCH($Y$4,Lists!$DZ$31))),1,0)</f>
        <v/>
      </c>
      <c r="CH31">
        <f>IF(ROW()-3&gt;MAX($CG$4:$CG$42),"",INDEX(Lists!$DZ$4:$DZ$42,MATCH(ROW()-3,$CG$4:$CG$42,0)))</f>
        <v/>
      </c>
      <c r="CI31">
        <f>CI30+IF(AND(Lists!$EE$31&lt;&gt;"",ISNUMBER(SEARCH($Z$4,Lists!$EE$31))),1,0)</f>
        <v/>
      </c>
      <c r="CJ31">
        <f>IF(ROW()-3&gt;MAX($CI$4:$CI$42),"",INDEX(Lists!$EE$4:$EE$42,MATCH(ROW()-3,$CI$4:$CI$42,0)))</f>
        <v/>
      </c>
      <c r="CK31">
        <f>CK30+IF(AND(Lists!$EJ$31&lt;&gt;"",ISNUMBER(SEARCH($AA$4,Lists!$EJ$31))),1,0)</f>
        <v/>
      </c>
      <c r="CL31">
        <f>IF(ROW()-3&gt;MAX($CK$4:$CK$42),"",INDEX(Lists!$EJ$4:$EJ$42,MATCH(ROW()-3,$CK$4:$CK$42,0)))</f>
        <v/>
      </c>
      <c r="CM31">
        <f>CM30+IF(AND(Lists!$EO$31&lt;&gt;"",ISNUMBER(SEARCH($AB$4,Lists!$EO$31))),1,0)</f>
        <v/>
      </c>
      <c r="CN31">
        <f>IF(ROW()-3&gt;MAX($CM$4:$CM$42),"",INDEX(Lists!$EO$4:$EO$42,MATCH(ROW()-3,$CM$4:$CM$42,0)))</f>
        <v/>
      </c>
      <c r="CO31">
        <f>CO30+IF(AND(Lists!$ET$31&lt;&gt;"",ISNUMBER(SEARCH($AC$4,Lists!$ET$31))),1,0)</f>
        <v/>
      </c>
      <c r="CP31">
        <f>IF(ROW()-3&gt;MAX($CO$4:$CO$42),"",INDEX(Lists!$ET$4:$ET$42,MATCH(ROW()-3,$CO$4:$CO$42,0)))</f>
        <v/>
      </c>
      <c r="CQ31">
        <f>CQ30+IF(AND(Lists!$EY$31&lt;&gt;"",ISNUMBER(SEARCH($AD$4,Lists!$EY$31))),1,0)</f>
        <v/>
      </c>
      <c r="CR31">
        <f>IF(ROW()-3&gt;MAX($CQ$4:$CQ$42),"",INDEX(Lists!$EY$4:$EY$42,MATCH(ROW()-3,$CQ$4:$CQ$42,0)))</f>
        <v/>
      </c>
      <c r="CS31">
        <f>CS30+IF(AND(Lists!$FD$31&lt;&gt;"",ISNUMBER(SEARCH($AE$4,Lists!$FD$31))),1,0)</f>
        <v/>
      </c>
      <c r="CT31">
        <f>IF(ROW()-3&gt;MAX($CS$4:$CS$42),"",INDEX(Lists!$FD$4:$FD$42,MATCH(ROW()-3,$CS$4:$CS$42,0)))</f>
        <v/>
      </c>
      <c r="CU31">
        <f>CU30+IF(AND(Lists!$FI$31&lt;&gt;"",ISNUMBER(SEARCH($AG$4,Lists!$FI$31))),1,0)</f>
        <v/>
      </c>
      <c r="CV31">
        <f>IF(ROW()-3&gt;MAX($CU$4:$CU$42),"",INDEX(Lists!$FI$4:$FI$42,MATCH(ROW()-3,$CU$4:$CU$42,0)))</f>
        <v/>
      </c>
      <c r="CW31">
        <f>CW30+IF(AND(Lists!$FN$31&lt;&gt;"",ISNUMBER(SEARCH($AH$4,Lists!$FN$31))),1,0)</f>
        <v/>
      </c>
      <c r="CX31">
        <f>IF(ROW()-3&gt;MAX($CW$4:$CW$42),"",INDEX(Lists!$FN$4:$FN$42,MATCH(ROW()-3,$CW$4:$CW$42,0)))</f>
        <v/>
      </c>
      <c r="CY31">
        <f>CY30+IF(AND(Lists!$FS$31&lt;&gt;"",ISNUMBER(SEARCH($AI$4,Lists!$FS$31))),1,0)</f>
        <v/>
      </c>
      <c r="CZ31">
        <f>IF(ROW()-3&gt;MAX($CY$4:$CY$42),"",INDEX(Lists!$FS$4:$FS$42,MATCH(ROW()-3,$CY$4:$CY$42,0)))</f>
        <v/>
      </c>
      <c r="DA31">
        <f>DA30+IF(AND(Lists!$FX$31&lt;&gt;"",ISNUMBER(SEARCH($AF$4,Lists!$FX$31))),1,0)</f>
        <v/>
      </c>
      <c r="DB31">
        <f>IF(ROW()-3&gt;MAX($DA$4:$DA$42),"",INDEX(Lists!$FX$4:$FX$42,MATCH(ROW()-3,$DA$4:$DA$42,0)))</f>
        <v/>
      </c>
    </row>
    <row r="32" ht="15" customHeight="1" s="137">
      <c r="A32" s="81" t="inlineStr">
        <is>
          <t>∑</t>
        </is>
      </c>
      <c r="B32" s="83" t="n"/>
      <c r="C32" s="83">
        <f>ROWS($C$31:$C$31)&amp;" lot(s)"</f>
        <v/>
      </c>
      <c r="D32" s="83" t="inlineStr">
        <is>
          <t>SUBTOTAL — NATIONAL SCRAP AND BUILDING MATERIAL SUPPLIER</t>
        </is>
      </c>
      <c r="E32" s="83" t="inlineStr">
        <is>
          <t>–</t>
        </is>
      </c>
      <c r="F32" s="83">
        <f>SUM(F31:F31)</f>
        <v/>
      </c>
      <c r="G32" s="83" t="inlineStr">
        <is>
          <t>–</t>
        </is>
      </c>
      <c r="H32" s="84" t="inlineStr">
        <is>
          <t>–</t>
        </is>
      </c>
      <c r="I32" s="84">
        <f>SUM(I31:I31)</f>
        <v/>
      </c>
      <c r="J32" s="84">
        <f>SUM(J31:J31)</f>
        <v/>
      </c>
      <c r="K32" s="84">
        <f>SUM(K31:K31)</f>
        <v/>
      </c>
      <c r="L32" s="84">
        <f>SUM(L31:L31)</f>
        <v/>
      </c>
      <c r="M32" s="84">
        <f>SUM(M31:M31)</f>
        <v/>
      </c>
      <c r="N32" s="84">
        <f>SUM(N31:N31)</f>
        <v/>
      </c>
      <c r="O32" s="85">
        <f>SUM(O31:O31)</f>
        <v/>
      </c>
      <c r="P32" s="84">
        <f>SUM(P31:P31)</f>
        <v/>
      </c>
      <c r="Q32" s="84">
        <f>SUM(Q31:Q31)</f>
        <v/>
      </c>
      <c r="R32" s="86" t="inlineStr">
        <is>
          <t>–</t>
        </is>
      </c>
      <c r="S32" s="84">
        <f>SUM(S31:S31)</f>
        <v/>
      </c>
      <c r="T32" s="84">
        <f>SUM(T31:T31)</f>
        <v/>
      </c>
      <c r="U32" s="84">
        <f>SUM(U31:U31)</f>
        <v/>
      </c>
      <c r="V32" s="87">
        <f>SUM(V31:V31)</f>
        <v/>
      </c>
      <c r="W32" s="84" t="inlineStr">
        <is>
          <t>–</t>
        </is>
      </c>
      <c r="X32" s="84">
        <f>SUM(X31:X31)</f>
        <v/>
      </c>
      <c r="Y32" s="84">
        <f>SUM(Y31:Y31)</f>
        <v/>
      </c>
      <c r="Z32" s="84" t="inlineStr">
        <is>
          <t>–</t>
        </is>
      </c>
      <c r="AA32" s="84">
        <f>SUM(AA31:AA31)</f>
        <v/>
      </c>
      <c r="AB32" s="84">
        <f>SUM(AB31:AB31)</f>
        <v/>
      </c>
      <c r="AC32" s="84" t="inlineStr">
        <is>
          <t>–</t>
        </is>
      </c>
      <c r="AD32" s="84">
        <f>SUM(AD31:AD31)</f>
        <v/>
      </c>
      <c r="AE32" s="84">
        <f>SUM(AE31:AE31)</f>
        <v/>
      </c>
      <c r="AF32" s="89">
        <f>IF(AE32&lt;=5,"SETTLED","OUTSTANDING")</f>
        <v/>
      </c>
      <c r="AG32" s="84" t="inlineStr">
        <is>
          <t>–</t>
        </is>
      </c>
      <c r="AH32" s="88" t="inlineStr">
        <is>
          <t>–</t>
        </is>
      </c>
      <c r="AI32" s="84" t="inlineStr">
        <is>
          <t>–</t>
        </is>
      </c>
      <c r="AJ32">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
      </c>
      <c r="AK32">
        <f>IF(AJ32=1,COUNTIF(AJ$6:AJ32,1),"")</f>
        <v/>
      </c>
      <c r="AM32">
        <f>AM31+IF(AND(Lists!$O$32&lt;&gt;"",ISNUMBER(SEARCH($B$4,Lists!$O$32))),1,0)</f>
        <v/>
      </c>
      <c r="AN32">
        <f>IF(ROW()-3&gt;MAX($AM$4:$AM$42),"",INDEX(Lists!$O$4:$O$42,MATCH(ROW()-3,$AM$4:$AM$42,0)))</f>
        <v/>
      </c>
      <c r="AO32">
        <f>AO31+IF(AND(Lists!$T$32&lt;&gt;"",ISNUMBER(SEARCH($C$4,Lists!$T$32))),1,0)</f>
        <v/>
      </c>
      <c r="AP32">
        <f>IF(ROW()-3&gt;MAX($AO$4:$AO$42),"",INDEX(Lists!$T$4:$T$42,MATCH(ROW()-3,$AO$4:$AO$42,0)))</f>
        <v/>
      </c>
      <c r="AQ32">
        <f>AQ31+IF(AND(Lists!$Y$32&lt;&gt;"",ISNUMBER(SEARCH($D$4,Lists!$Y$32))),1,0)</f>
        <v/>
      </c>
      <c r="AR32">
        <f>IF(ROW()-3&gt;MAX($AQ$4:$AQ$42),"",INDEX(Lists!$Y$4:$Y$42,MATCH(ROW()-3,$AQ$4:$AQ$42,0)))</f>
        <v/>
      </c>
      <c r="AS32">
        <f>AS31+IF(AND(Lists!$AD$32&lt;&gt;"",ISNUMBER(SEARCH($E$4,Lists!$AD$32))),1,0)</f>
        <v/>
      </c>
      <c r="AT32">
        <f>IF(ROW()-3&gt;MAX($AS$4:$AS$42),"",INDEX(Lists!$AD$4:$AD$42,MATCH(ROW()-3,$AS$4:$AS$42,0)))</f>
        <v/>
      </c>
      <c r="AU32">
        <f>AU31+IF(AND(Lists!$AI$32&lt;&gt;"",ISNUMBER(SEARCH($F$4,Lists!$AI$32))),1,0)</f>
        <v/>
      </c>
      <c r="AV32">
        <f>IF(ROW()-3&gt;MAX($AU$4:$AU$42),"",INDEX(Lists!$AI$4:$AI$42,MATCH(ROW()-3,$AU$4:$AU$42,0)))</f>
        <v/>
      </c>
      <c r="AW32">
        <f>AW31+IF(AND(Lists!$AN$32&lt;&gt;"",ISNUMBER(SEARCH($G$4,Lists!$AN$32))),1,0)</f>
        <v/>
      </c>
      <c r="AX32">
        <f>IF(ROW()-3&gt;MAX($AW$4:$AW$42),"",INDEX(Lists!$AN$4:$AN$42,MATCH(ROW()-3,$AW$4:$AW$42,0)))</f>
        <v/>
      </c>
      <c r="AY32">
        <f>AY31+IF(AND(Lists!$AS$32&lt;&gt;"",ISNUMBER(SEARCH($H$4,Lists!$AS$32))),1,0)</f>
        <v/>
      </c>
      <c r="AZ32">
        <f>IF(ROW()-3&gt;MAX($AY$4:$AY$42),"",INDEX(Lists!$AS$4:$AS$42,MATCH(ROW()-3,$AY$4:$AY$42,0)))</f>
        <v/>
      </c>
      <c r="BA32">
        <f>BA31+IF(AND(Lists!$AX$32&lt;&gt;"",ISNUMBER(SEARCH($I$4,Lists!$AX$32))),1,0)</f>
        <v/>
      </c>
      <c r="BB32">
        <f>IF(ROW()-3&gt;MAX($BA$4:$BA$42),"",INDEX(Lists!$AX$4:$AX$42,MATCH(ROW()-3,$BA$4:$BA$42,0)))</f>
        <v/>
      </c>
      <c r="BC32">
        <f>BC31+IF(AND(Lists!$BC$32&lt;&gt;"",ISNUMBER(SEARCH($J$4,Lists!$BC$32))),1,0)</f>
        <v/>
      </c>
      <c r="BD32">
        <f>IF(ROW()-3&gt;MAX($BC$4:$BC$42),"",INDEX(Lists!$BC$4:$BC$42,MATCH(ROW()-3,$BC$4:$BC$42,0)))</f>
        <v/>
      </c>
      <c r="BE32">
        <f>BE31+IF(AND(Lists!$BH$32&lt;&gt;"",ISNUMBER(SEARCH($K$4,Lists!$BH$32))),1,0)</f>
        <v/>
      </c>
      <c r="BF32">
        <f>IF(ROW()-3&gt;MAX($BE$4:$BE$42),"",INDEX(Lists!$BH$4:$BH$42,MATCH(ROW()-3,$BE$4:$BE$42,0)))</f>
        <v/>
      </c>
      <c r="BG32">
        <f>BG31+IF(AND(Lists!$BM$32&lt;&gt;"",ISNUMBER(SEARCH($L$4,Lists!$BM$32))),1,0)</f>
        <v/>
      </c>
      <c r="BH32">
        <f>IF(ROW()-3&gt;MAX($BG$4:$BG$42),"",INDEX(Lists!$BM$4:$BM$42,MATCH(ROW()-3,$BG$4:$BG$42,0)))</f>
        <v/>
      </c>
      <c r="BI32">
        <f>BI31+IF(AND(Lists!$BR$32&lt;&gt;"",ISNUMBER(SEARCH($M$4,Lists!$BR$32))),1,0)</f>
        <v/>
      </c>
      <c r="BJ32">
        <f>IF(ROW()-3&gt;MAX($BI$4:$BI$42),"",INDEX(Lists!$BR$4:$BR$42,MATCH(ROW()-3,$BI$4:$BI$42,0)))</f>
        <v/>
      </c>
      <c r="BK32">
        <f>BK31+IF(AND(Lists!$BW$32&lt;&gt;"",ISNUMBER(SEARCH($N$4,Lists!$BW$32))),1,0)</f>
        <v/>
      </c>
      <c r="BL32">
        <f>IF(ROW()-3&gt;MAX($BK$4:$BK$42),"",INDEX(Lists!$BW$4:$BW$42,MATCH(ROW()-3,$BK$4:$BK$42,0)))</f>
        <v/>
      </c>
      <c r="BM32">
        <f>BM31+IF(AND(Lists!$CB$32&lt;&gt;"",ISNUMBER(SEARCH($O$4,Lists!$CB$32))),1,0)</f>
        <v/>
      </c>
      <c r="BN32">
        <f>IF(ROW()-3&gt;MAX($BM$4:$BM$42),"",INDEX(Lists!$CB$4:$CB$42,MATCH(ROW()-3,$BM$4:$BM$42,0)))</f>
        <v/>
      </c>
      <c r="BO32">
        <f>BO31+IF(AND(Lists!$CG$32&lt;&gt;"",ISNUMBER(SEARCH($P$4,Lists!$CG$32))),1,0)</f>
        <v/>
      </c>
      <c r="BP32">
        <f>IF(ROW()-3&gt;MAX($BO$4:$BO$42),"",INDEX(Lists!$CG$4:$CG$42,MATCH(ROW()-3,$BO$4:$BO$42,0)))</f>
        <v/>
      </c>
      <c r="BQ32">
        <f>BQ31+IF(AND(Lists!$CL$32&lt;&gt;"",ISNUMBER(SEARCH($Q$4,Lists!$CL$32))),1,0)</f>
        <v/>
      </c>
      <c r="BR32">
        <f>IF(ROW()-3&gt;MAX($BQ$4:$BQ$42),"",INDEX(Lists!$CL$4:$CL$42,MATCH(ROW()-3,$BQ$4:$BQ$42,0)))</f>
        <v/>
      </c>
      <c r="BS32">
        <f>BS31+IF(AND(Lists!$CQ$32&lt;&gt;"",ISNUMBER(SEARCH($R$4,Lists!$CQ$32))),1,0)</f>
        <v/>
      </c>
      <c r="BT32">
        <f>IF(ROW()-3&gt;MAX($BS$4:$BS$42),"",INDEX(Lists!$CQ$4:$CQ$42,MATCH(ROW()-3,$BS$4:$BS$42,0)))</f>
        <v/>
      </c>
      <c r="BU32">
        <f>BU31+IF(AND(Lists!$CV$32&lt;&gt;"",ISNUMBER(SEARCH($S$4,Lists!$CV$32))),1,0)</f>
        <v/>
      </c>
      <c r="BV32">
        <f>IF(ROW()-3&gt;MAX($BU$4:$BU$42),"",INDEX(Lists!$CV$4:$CV$42,MATCH(ROW()-3,$BU$4:$BU$42,0)))</f>
        <v/>
      </c>
      <c r="BW32">
        <f>BW31+IF(AND(Lists!$DA$32&lt;&gt;"",ISNUMBER(SEARCH($T$4,Lists!$DA$32))),1,0)</f>
        <v/>
      </c>
      <c r="BX32">
        <f>IF(ROW()-3&gt;MAX($BW$4:$BW$42),"",INDEX(Lists!$DA$4:$DA$42,MATCH(ROW()-3,$BW$4:$BW$42,0)))</f>
        <v/>
      </c>
      <c r="BY32">
        <f>BY31+IF(AND(Lists!$DF$32&lt;&gt;"",ISNUMBER(SEARCH($U$4,Lists!$DF$32))),1,0)</f>
        <v/>
      </c>
      <c r="BZ32">
        <f>IF(ROW()-3&gt;MAX($BY$4:$BY$42),"",INDEX(Lists!$DF$4:$DF$42,MATCH(ROW()-3,$BY$4:$BY$42,0)))</f>
        <v/>
      </c>
      <c r="CA32">
        <f>CA31+IF(AND(Lists!$DK$32&lt;&gt;"",ISNUMBER(SEARCH($V$4,Lists!$DK$32))),1,0)</f>
        <v/>
      </c>
      <c r="CB32">
        <f>IF(ROW()-3&gt;MAX($CA$4:$CA$42),"",INDEX(Lists!$DK$4:$DK$42,MATCH(ROW()-3,$CA$4:$CA$42,0)))</f>
        <v/>
      </c>
      <c r="CC32">
        <f>CC31+IF(AND(Lists!$DP$32&lt;&gt;"",ISNUMBER(SEARCH($W$4,Lists!$DP$32))),1,0)</f>
        <v/>
      </c>
      <c r="CD32">
        <f>IF(ROW()-3&gt;MAX($CC$4:$CC$42),"",INDEX(Lists!$DP$4:$DP$42,MATCH(ROW()-3,$CC$4:$CC$42,0)))</f>
        <v/>
      </c>
      <c r="CE32">
        <f>CE31+IF(AND(Lists!$DU$32&lt;&gt;"",ISNUMBER(SEARCH($X$4,Lists!$DU$32))),1,0)</f>
        <v/>
      </c>
      <c r="CF32">
        <f>IF(ROW()-3&gt;MAX($CE$4:$CE$42),"",INDEX(Lists!$DU$4:$DU$42,MATCH(ROW()-3,$CE$4:$CE$42,0)))</f>
        <v/>
      </c>
      <c r="CG32">
        <f>CG31+IF(AND(Lists!$DZ$32&lt;&gt;"",ISNUMBER(SEARCH($Y$4,Lists!$DZ$32))),1,0)</f>
        <v/>
      </c>
      <c r="CH32">
        <f>IF(ROW()-3&gt;MAX($CG$4:$CG$42),"",INDEX(Lists!$DZ$4:$DZ$42,MATCH(ROW()-3,$CG$4:$CG$42,0)))</f>
        <v/>
      </c>
      <c r="CI32">
        <f>CI31+IF(AND(Lists!$EE$32&lt;&gt;"",ISNUMBER(SEARCH($Z$4,Lists!$EE$32))),1,0)</f>
        <v/>
      </c>
      <c r="CJ32">
        <f>IF(ROW()-3&gt;MAX($CI$4:$CI$42),"",INDEX(Lists!$EE$4:$EE$42,MATCH(ROW()-3,$CI$4:$CI$42,0)))</f>
        <v/>
      </c>
      <c r="CK32">
        <f>CK31+IF(AND(Lists!$EJ$32&lt;&gt;"",ISNUMBER(SEARCH($AA$4,Lists!$EJ$32))),1,0)</f>
        <v/>
      </c>
      <c r="CL32">
        <f>IF(ROW()-3&gt;MAX($CK$4:$CK$42),"",INDEX(Lists!$EJ$4:$EJ$42,MATCH(ROW()-3,$CK$4:$CK$42,0)))</f>
        <v/>
      </c>
      <c r="CM32">
        <f>CM31+IF(AND(Lists!$EO$32&lt;&gt;"",ISNUMBER(SEARCH($AB$4,Lists!$EO$32))),1,0)</f>
        <v/>
      </c>
      <c r="CN32">
        <f>IF(ROW()-3&gt;MAX($CM$4:$CM$42),"",INDEX(Lists!$EO$4:$EO$42,MATCH(ROW()-3,$CM$4:$CM$42,0)))</f>
        <v/>
      </c>
      <c r="CO32">
        <f>CO31+IF(AND(Lists!$ET$32&lt;&gt;"",ISNUMBER(SEARCH($AC$4,Lists!$ET$32))),1,0)</f>
        <v/>
      </c>
      <c r="CP32">
        <f>IF(ROW()-3&gt;MAX($CO$4:$CO$42),"",INDEX(Lists!$ET$4:$ET$42,MATCH(ROW()-3,$CO$4:$CO$42,0)))</f>
        <v/>
      </c>
      <c r="CQ32">
        <f>CQ31+IF(AND(Lists!$EY$32&lt;&gt;"",ISNUMBER(SEARCH($AD$4,Lists!$EY$32))),1,0)</f>
        <v/>
      </c>
      <c r="CR32">
        <f>IF(ROW()-3&gt;MAX($CQ$4:$CQ$42),"",INDEX(Lists!$EY$4:$EY$42,MATCH(ROW()-3,$CQ$4:$CQ$42,0)))</f>
        <v/>
      </c>
      <c r="CS32">
        <f>CS31+IF(AND(Lists!$FD$32&lt;&gt;"",ISNUMBER(SEARCH($AE$4,Lists!$FD$32))),1,0)</f>
        <v/>
      </c>
      <c r="CT32">
        <f>IF(ROW()-3&gt;MAX($CS$4:$CS$42),"",INDEX(Lists!$FD$4:$FD$42,MATCH(ROW()-3,$CS$4:$CS$42,0)))</f>
        <v/>
      </c>
      <c r="CU32">
        <f>CU31+IF(AND(Lists!$FI$32&lt;&gt;"",ISNUMBER(SEARCH($AG$4,Lists!$FI$32))),1,0)</f>
        <v/>
      </c>
      <c r="CV32">
        <f>IF(ROW()-3&gt;MAX($CU$4:$CU$42),"",INDEX(Lists!$FI$4:$FI$42,MATCH(ROW()-3,$CU$4:$CU$42,0)))</f>
        <v/>
      </c>
      <c r="CW32">
        <f>CW31+IF(AND(Lists!$FN$32&lt;&gt;"",ISNUMBER(SEARCH($AH$4,Lists!$FN$32))),1,0)</f>
        <v/>
      </c>
      <c r="CX32">
        <f>IF(ROW()-3&gt;MAX($CW$4:$CW$42),"",INDEX(Lists!$FN$4:$FN$42,MATCH(ROW()-3,$CW$4:$CW$42,0)))</f>
        <v/>
      </c>
      <c r="CY32">
        <f>CY31+IF(AND(Lists!$FS$32&lt;&gt;"",ISNUMBER(SEARCH($AI$4,Lists!$FS$32))),1,0)</f>
        <v/>
      </c>
      <c r="CZ32">
        <f>IF(ROW()-3&gt;MAX($CY$4:$CY$42),"",INDEX(Lists!$FS$4:$FS$42,MATCH(ROW()-3,$CY$4:$CY$42,0)))</f>
        <v/>
      </c>
      <c r="DA32">
        <f>DA31+IF(AND(Lists!$FX$32&lt;&gt;"",ISNUMBER(SEARCH($AF$4,Lists!$FX$32))),1,0)</f>
        <v/>
      </c>
      <c r="DB32">
        <f>IF(ROW()-3&gt;MAX($DA$4:$DA$42),"",INDEX(Lists!$FX$4:$FX$42,MATCH(ROW()-3,$DA$4:$DA$42,0)))</f>
        <v/>
      </c>
    </row>
    <row r="33" outlineLevel="1" ht="15" customHeight="1" s="137">
      <c r="A33" s="67" t="n">
        <v>1</v>
      </c>
      <c r="B33" s="76">
        <f>IF('Final Calculation Sheet'!$F$8="","",'Final Calculation Sheet'!$F$8)</f>
        <v/>
      </c>
      <c r="C33" s="76">
        <f>IF('Final Calculation Sheet'!$G$8="","",'Final Calculation Sheet'!$G$8)</f>
        <v/>
      </c>
      <c r="D33" s="80">
        <f>IF('Final Calculation Sheet'!$B$8="","",'Final Calculation Sheet'!$B$8)</f>
        <v/>
      </c>
      <c r="E33" s="80">
        <f>IF('Final Calculation Sheet'!$D$8="","",'Final Calculation Sheet'!$D$8)</f>
        <v/>
      </c>
      <c r="F33" s="80">
        <f>IF('Final Calculation Sheet'!$A$8="","",'Final Calculation Sheet'!$A$8)</f>
        <v/>
      </c>
      <c r="G33" s="80">
        <f>IF('Final Calculation Sheet'!$E$8="","",'Final Calculation Sheet'!$E$8)</f>
        <v/>
      </c>
      <c r="H33" s="70">
        <f>IF('Final Calculation Sheet'!$C$8="","",'Final Calculation Sheet'!$C$8)</f>
        <v/>
      </c>
      <c r="I33" s="70">
        <f>IF('Final Calculation Sheet'!$H$8="","",'Final Calculation Sheet'!$H$8)</f>
        <v/>
      </c>
      <c r="J33" s="70">
        <f>IF('Final Calculation Sheet'!$I$8="","",'Final Calculation Sheet'!$I$8)</f>
        <v/>
      </c>
      <c r="K33" s="70">
        <f>IF('Final Calculation Sheet'!$J$8="","",'Final Calculation Sheet'!$J$8)</f>
        <v/>
      </c>
      <c r="L33" s="70">
        <f>IF('Final Calculation Sheet'!$K$8="","",'Final Calculation Sheet'!$K$8)</f>
        <v/>
      </c>
      <c r="M33" s="70">
        <f>IF('Final Calculation Sheet'!$L$8="","",'Final Calculation Sheet'!$L$8)</f>
        <v/>
      </c>
      <c r="N33" s="70">
        <f>IF('Final Calculation Sheet'!$M$8="","",'Final Calculation Sheet'!$M$8)</f>
        <v/>
      </c>
      <c r="O33" s="71">
        <f>IF('Final Calculation Sheet'!$N$8="","",'Final Calculation Sheet'!$N$8)</f>
        <v/>
      </c>
      <c r="P33" s="70">
        <f>IF('Final Calculation Sheet'!$O$8="","",'Final Calculation Sheet'!$O$8)</f>
        <v/>
      </c>
      <c r="Q33" s="70">
        <f>IF('Final Calculation Sheet'!$P$8="","",'Final Calculation Sheet'!$P$8)</f>
        <v/>
      </c>
      <c r="R33" s="72">
        <f>IF('Final Calculation Sheet'!$Q$8="","",'Final Calculation Sheet'!$Q$8)</f>
        <v/>
      </c>
      <c r="S33" s="70">
        <f>IF('Final Calculation Sheet'!$R$8="","",'Final Calculation Sheet'!$R$8)</f>
        <v/>
      </c>
      <c r="T33" s="70">
        <f>IF('Final Calculation Sheet'!$S$8="","",'Final Calculation Sheet'!$S$8)</f>
        <v/>
      </c>
      <c r="U33" s="70">
        <f>IF('Final Calculation Sheet'!$T$8="","",'Final Calculation Sheet'!$T$8)</f>
        <v/>
      </c>
      <c r="V33" s="73">
        <f>IF('Final Calculation Sheet'!$U$8="","",'Final Calculation Sheet'!$U$8)</f>
        <v/>
      </c>
      <c r="W33" s="70">
        <f>IF('Final Calculation Sheet'!$V$8="","",'Final Calculation Sheet'!$V$8)</f>
        <v/>
      </c>
      <c r="X33" s="70">
        <f>IF('Final Calculation Sheet'!$W$8="","",'Final Calculation Sheet'!$W$8)</f>
        <v/>
      </c>
      <c r="Y33" s="70">
        <f>IF('Final Calculation Sheet'!$X$8="","",'Final Calculation Sheet'!$X$8)</f>
        <v/>
      </c>
      <c r="Z33" s="70">
        <f>IF('Final Calculation Sheet'!$Y$8="","",'Final Calculation Sheet'!$Y$8)</f>
        <v/>
      </c>
      <c r="AA33" s="70">
        <f>IF('Final Calculation Sheet'!$Z$8="","",'Final Calculation Sheet'!$Z$8)</f>
        <v/>
      </c>
      <c r="AB33" s="70">
        <f>IF('Final Calculation Sheet'!$AA$8="","",'Final Calculation Sheet'!$AA$8)</f>
        <v/>
      </c>
      <c r="AC33" s="70">
        <f>IF('Final Calculation Sheet'!$AB$8="","",'Final Calculation Sheet'!$AB$8)</f>
        <v/>
      </c>
      <c r="AD33" s="70">
        <f>IF('Final Calculation Sheet'!$AC$8="","",'Final Calculation Sheet'!$AC$8)</f>
        <v/>
      </c>
      <c r="AE33" s="70">
        <f>IF('Final Calculation Sheet'!$AD$8="","",'Final Calculation Sheet'!$AD$8)</f>
        <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
      </c>
      <c r="AK33">
        <f>IF(AJ33=1,COUNTIF(AJ$6:AJ33,1),"")</f>
        <v/>
      </c>
      <c r="AM33">
        <f>AM32+IF(AND(Lists!$O$33&lt;&gt;"",ISNUMBER(SEARCH($B$4,Lists!$O$33))),1,0)</f>
        <v/>
      </c>
      <c r="AN33">
        <f>IF(ROW()-3&gt;MAX($AM$4:$AM$42),"",INDEX(Lists!$O$4:$O$42,MATCH(ROW()-3,$AM$4:$AM$42,0)))</f>
        <v/>
      </c>
      <c r="AO33">
        <f>AO32+IF(AND(Lists!$T$33&lt;&gt;"",ISNUMBER(SEARCH($C$4,Lists!$T$33))),1,0)</f>
        <v/>
      </c>
      <c r="AP33">
        <f>IF(ROW()-3&gt;MAX($AO$4:$AO$42),"",INDEX(Lists!$T$4:$T$42,MATCH(ROW()-3,$AO$4:$AO$42,0)))</f>
        <v/>
      </c>
      <c r="AQ33">
        <f>AQ32+IF(AND(Lists!$Y$33&lt;&gt;"",ISNUMBER(SEARCH($D$4,Lists!$Y$33))),1,0)</f>
        <v/>
      </c>
      <c r="AR33">
        <f>IF(ROW()-3&gt;MAX($AQ$4:$AQ$42),"",INDEX(Lists!$Y$4:$Y$42,MATCH(ROW()-3,$AQ$4:$AQ$42,0)))</f>
        <v/>
      </c>
      <c r="AS33">
        <f>AS32+IF(AND(Lists!$AD$33&lt;&gt;"",ISNUMBER(SEARCH($E$4,Lists!$AD$33))),1,0)</f>
        <v/>
      </c>
      <c r="AT33">
        <f>IF(ROW()-3&gt;MAX($AS$4:$AS$42),"",INDEX(Lists!$AD$4:$AD$42,MATCH(ROW()-3,$AS$4:$AS$42,0)))</f>
        <v/>
      </c>
      <c r="AU33">
        <f>AU32+IF(AND(Lists!$AI$33&lt;&gt;"",ISNUMBER(SEARCH($F$4,Lists!$AI$33))),1,0)</f>
        <v/>
      </c>
      <c r="AV33">
        <f>IF(ROW()-3&gt;MAX($AU$4:$AU$42),"",INDEX(Lists!$AI$4:$AI$42,MATCH(ROW()-3,$AU$4:$AU$42,0)))</f>
        <v/>
      </c>
      <c r="AW33">
        <f>AW32+IF(AND(Lists!$AN$33&lt;&gt;"",ISNUMBER(SEARCH($G$4,Lists!$AN$33))),1,0)</f>
        <v/>
      </c>
      <c r="AX33">
        <f>IF(ROW()-3&gt;MAX($AW$4:$AW$42),"",INDEX(Lists!$AN$4:$AN$42,MATCH(ROW()-3,$AW$4:$AW$42,0)))</f>
        <v/>
      </c>
      <c r="AY33">
        <f>AY32+IF(AND(Lists!$AS$33&lt;&gt;"",ISNUMBER(SEARCH($H$4,Lists!$AS$33))),1,0)</f>
        <v/>
      </c>
      <c r="AZ33">
        <f>IF(ROW()-3&gt;MAX($AY$4:$AY$42),"",INDEX(Lists!$AS$4:$AS$42,MATCH(ROW()-3,$AY$4:$AY$42,0)))</f>
        <v/>
      </c>
      <c r="BA33">
        <f>BA32+IF(AND(Lists!$AX$33&lt;&gt;"",ISNUMBER(SEARCH($I$4,Lists!$AX$33))),1,0)</f>
        <v/>
      </c>
      <c r="BB33">
        <f>IF(ROW()-3&gt;MAX($BA$4:$BA$42),"",INDEX(Lists!$AX$4:$AX$42,MATCH(ROW()-3,$BA$4:$BA$42,0)))</f>
        <v/>
      </c>
      <c r="BC33">
        <f>BC32+IF(AND(Lists!$BC$33&lt;&gt;"",ISNUMBER(SEARCH($J$4,Lists!$BC$33))),1,0)</f>
        <v/>
      </c>
      <c r="BD33">
        <f>IF(ROW()-3&gt;MAX($BC$4:$BC$42),"",INDEX(Lists!$BC$4:$BC$42,MATCH(ROW()-3,$BC$4:$BC$42,0)))</f>
        <v/>
      </c>
      <c r="BE33">
        <f>BE32+IF(AND(Lists!$BH$33&lt;&gt;"",ISNUMBER(SEARCH($K$4,Lists!$BH$33))),1,0)</f>
        <v/>
      </c>
      <c r="BF33">
        <f>IF(ROW()-3&gt;MAX($BE$4:$BE$42),"",INDEX(Lists!$BH$4:$BH$42,MATCH(ROW()-3,$BE$4:$BE$42,0)))</f>
        <v/>
      </c>
      <c r="BG33">
        <f>BG32+IF(AND(Lists!$BM$33&lt;&gt;"",ISNUMBER(SEARCH($L$4,Lists!$BM$33))),1,0)</f>
        <v/>
      </c>
      <c r="BH33">
        <f>IF(ROW()-3&gt;MAX($BG$4:$BG$42),"",INDEX(Lists!$BM$4:$BM$42,MATCH(ROW()-3,$BG$4:$BG$42,0)))</f>
        <v/>
      </c>
      <c r="BI33">
        <f>BI32+IF(AND(Lists!$BR$33&lt;&gt;"",ISNUMBER(SEARCH($M$4,Lists!$BR$33))),1,0)</f>
        <v/>
      </c>
      <c r="BJ33">
        <f>IF(ROW()-3&gt;MAX($BI$4:$BI$42),"",INDEX(Lists!$BR$4:$BR$42,MATCH(ROW()-3,$BI$4:$BI$42,0)))</f>
        <v/>
      </c>
      <c r="BK33">
        <f>BK32+IF(AND(Lists!$BW$33&lt;&gt;"",ISNUMBER(SEARCH($N$4,Lists!$BW$33))),1,0)</f>
        <v/>
      </c>
      <c r="BL33">
        <f>IF(ROW()-3&gt;MAX($BK$4:$BK$42),"",INDEX(Lists!$BW$4:$BW$42,MATCH(ROW()-3,$BK$4:$BK$42,0)))</f>
        <v/>
      </c>
      <c r="BM33">
        <f>BM32+IF(AND(Lists!$CB$33&lt;&gt;"",ISNUMBER(SEARCH($O$4,Lists!$CB$33))),1,0)</f>
        <v/>
      </c>
      <c r="BN33">
        <f>IF(ROW()-3&gt;MAX($BM$4:$BM$42),"",INDEX(Lists!$CB$4:$CB$42,MATCH(ROW()-3,$BM$4:$BM$42,0)))</f>
        <v/>
      </c>
      <c r="BO33">
        <f>BO32+IF(AND(Lists!$CG$33&lt;&gt;"",ISNUMBER(SEARCH($P$4,Lists!$CG$33))),1,0)</f>
        <v/>
      </c>
      <c r="BP33">
        <f>IF(ROW()-3&gt;MAX($BO$4:$BO$42),"",INDEX(Lists!$CG$4:$CG$42,MATCH(ROW()-3,$BO$4:$BO$42,0)))</f>
        <v/>
      </c>
      <c r="BQ33">
        <f>BQ32+IF(AND(Lists!$CL$33&lt;&gt;"",ISNUMBER(SEARCH($Q$4,Lists!$CL$33))),1,0)</f>
        <v/>
      </c>
      <c r="BR33">
        <f>IF(ROW()-3&gt;MAX($BQ$4:$BQ$42),"",INDEX(Lists!$CL$4:$CL$42,MATCH(ROW()-3,$BQ$4:$BQ$42,0)))</f>
        <v/>
      </c>
      <c r="BS33">
        <f>BS32+IF(AND(Lists!$CQ$33&lt;&gt;"",ISNUMBER(SEARCH($R$4,Lists!$CQ$33))),1,0)</f>
        <v/>
      </c>
      <c r="BT33">
        <f>IF(ROW()-3&gt;MAX($BS$4:$BS$42),"",INDEX(Lists!$CQ$4:$CQ$42,MATCH(ROW()-3,$BS$4:$BS$42,0)))</f>
        <v/>
      </c>
      <c r="BU33">
        <f>BU32+IF(AND(Lists!$CV$33&lt;&gt;"",ISNUMBER(SEARCH($S$4,Lists!$CV$33))),1,0)</f>
        <v/>
      </c>
      <c r="BV33">
        <f>IF(ROW()-3&gt;MAX($BU$4:$BU$42),"",INDEX(Lists!$CV$4:$CV$42,MATCH(ROW()-3,$BU$4:$BU$42,0)))</f>
        <v/>
      </c>
      <c r="BW33">
        <f>BW32+IF(AND(Lists!$DA$33&lt;&gt;"",ISNUMBER(SEARCH($T$4,Lists!$DA$33))),1,0)</f>
        <v/>
      </c>
      <c r="BX33">
        <f>IF(ROW()-3&gt;MAX($BW$4:$BW$42),"",INDEX(Lists!$DA$4:$DA$42,MATCH(ROW()-3,$BW$4:$BW$42,0)))</f>
        <v/>
      </c>
      <c r="BY33">
        <f>BY32+IF(AND(Lists!$DF$33&lt;&gt;"",ISNUMBER(SEARCH($U$4,Lists!$DF$33))),1,0)</f>
        <v/>
      </c>
      <c r="BZ33">
        <f>IF(ROW()-3&gt;MAX($BY$4:$BY$42),"",INDEX(Lists!$DF$4:$DF$42,MATCH(ROW()-3,$BY$4:$BY$42,0)))</f>
        <v/>
      </c>
      <c r="CA33">
        <f>CA32+IF(AND(Lists!$DK$33&lt;&gt;"",ISNUMBER(SEARCH($V$4,Lists!$DK$33))),1,0)</f>
        <v/>
      </c>
      <c r="CB33">
        <f>IF(ROW()-3&gt;MAX($CA$4:$CA$42),"",INDEX(Lists!$DK$4:$DK$42,MATCH(ROW()-3,$CA$4:$CA$42,0)))</f>
        <v/>
      </c>
      <c r="CC33">
        <f>CC32+IF(AND(Lists!$DP$33&lt;&gt;"",ISNUMBER(SEARCH($W$4,Lists!$DP$33))),1,0)</f>
        <v/>
      </c>
      <c r="CD33">
        <f>IF(ROW()-3&gt;MAX($CC$4:$CC$42),"",INDEX(Lists!$DP$4:$DP$42,MATCH(ROW()-3,$CC$4:$CC$42,0)))</f>
        <v/>
      </c>
      <c r="CE33">
        <f>CE32+IF(AND(Lists!$DU$33&lt;&gt;"",ISNUMBER(SEARCH($X$4,Lists!$DU$33))),1,0)</f>
        <v/>
      </c>
      <c r="CF33">
        <f>IF(ROW()-3&gt;MAX($CE$4:$CE$42),"",INDEX(Lists!$DU$4:$DU$42,MATCH(ROW()-3,$CE$4:$CE$42,0)))</f>
        <v/>
      </c>
      <c r="CG33">
        <f>CG32+IF(AND(Lists!$DZ$33&lt;&gt;"",ISNUMBER(SEARCH($Y$4,Lists!$DZ$33))),1,0)</f>
        <v/>
      </c>
      <c r="CH33">
        <f>IF(ROW()-3&gt;MAX($CG$4:$CG$42),"",INDEX(Lists!$DZ$4:$DZ$42,MATCH(ROW()-3,$CG$4:$CG$42,0)))</f>
        <v/>
      </c>
      <c r="CI33">
        <f>CI32+IF(AND(Lists!$EE$33&lt;&gt;"",ISNUMBER(SEARCH($Z$4,Lists!$EE$33))),1,0)</f>
        <v/>
      </c>
      <c r="CJ33">
        <f>IF(ROW()-3&gt;MAX($CI$4:$CI$42),"",INDEX(Lists!$EE$4:$EE$42,MATCH(ROW()-3,$CI$4:$CI$42,0)))</f>
        <v/>
      </c>
      <c r="CK33">
        <f>CK32+IF(AND(Lists!$EJ$33&lt;&gt;"",ISNUMBER(SEARCH($AA$4,Lists!$EJ$33))),1,0)</f>
        <v/>
      </c>
      <c r="CL33">
        <f>IF(ROW()-3&gt;MAX($CK$4:$CK$42),"",INDEX(Lists!$EJ$4:$EJ$42,MATCH(ROW()-3,$CK$4:$CK$42,0)))</f>
        <v/>
      </c>
      <c r="CM33">
        <f>CM32+IF(AND(Lists!$EO$33&lt;&gt;"",ISNUMBER(SEARCH($AB$4,Lists!$EO$33))),1,0)</f>
        <v/>
      </c>
      <c r="CN33">
        <f>IF(ROW()-3&gt;MAX($CM$4:$CM$42),"",INDEX(Lists!$EO$4:$EO$42,MATCH(ROW()-3,$CM$4:$CM$42,0)))</f>
        <v/>
      </c>
      <c r="CO33">
        <f>CO32+IF(AND(Lists!$ET$33&lt;&gt;"",ISNUMBER(SEARCH($AC$4,Lists!$ET$33))),1,0)</f>
        <v/>
      </c>
      <c r="CP33">
        <f>IF(ROW()-3&gt;MAX($CO$4:$CO$42),"",INDEX(Lists!$ET$4:$ET$42,MATCH(ROW()-3,$CO$4:$CO$42,0)))</f>
        <v/>
      </c>
      <c r="CQ33">
        <f>CQ32+IF(AND(Lists!$EY$33&lt;&gt;"",ISNUMBER(SEARCH($AD$4,Lists!$EY$33))),1,0)</f>
        <v/>
      </c>
      <c r="CR33">
        <f>IF(ROW()-3&gt;MAX($CQ$4:$CQ$42),"",INDEX(Lists!$EY$4:$EY$42,MATCH(ROW()-3,$CQ$4:$CQ$42,0)))</f>
        <v/>
      </c>
      <c r="CS33">
        <f>CS32+IF(AND(Lists!$FD$33&lt;&gt;"",ISNUMBER(SEARCH($AE$4,Lists!$FD$33))),1,0)</f>
        <v/>
      </c>
      <c r="CT33">
        <f>IF(ROW()-3&gt;MAX($CS$4:$CS$42),"",INDEX(Lists!$FD$4:$FD$42,MATCH(ROW()-3,$CS$4:$CS$42,0)))</f>
        <v/>
      </c>
      <c r="CU33">
        <f>CU32+IF(AND(Lists!$FI$33&lt;&gt;"",ISNUMBER(SEARCH($AG$4,Lists!$FI$33))),1,0)</f>
        <v/>
      </c>
      <c r="CV33">
        <f>IF(ROW()-3&gt;MAX($CU$4:$CU$42),"",INDEX(Lists!$FI$4:$FI$42,MATCH(ROW()-3,$CU$4:$CU$42,0)))</f>
        <v/>
      </c>
      <c r="CW33">
        <f>CW32+IF(AND(Lists!$FN$33&lt;&gt;"",ISNUMBER(SEARCH($AH$4,Lists!$FN$33))),1,0)</f>
        <v/>
      </c>
      <c r="CX33">
        <f>IF(ROW()-3&gt;MAX($CW$4:$CW$42),"",INDEX(Lists!$FN$4:$FN$42,MATCH(ROW()-3,$CW$4:$CW$42,0)))</f>
        <v/>
      </c>
      <c r="CY33">
        <f>CY32+IF(AND(Lists!$FS$33&lt;&gt;"",ISNUMBER(SEARCH($AI$4,Lists!$FS$33))),1,0)</f>
        <v/>
      </c>
      <c r="CZ33">
        <f>IF(ROW()-3&gt;MAX($CY$4:$CY$42),"",INDEX(Lists!$FS$4:$FS$42,MATCH(ROW()-3,$CY$4:$CY$42,0)))</f>
        <v/>
      </c>
      <c r="DA33">
        <f>DA32+IF(AND(Lists!$FX$33&lt;&gt;"",ISNUMBER(SEARCH($AF$4,Lists!$FX$33))),1,0)</f>
        <v/>
      </c>
      <c r="DB33">
        <f>IF(ROW()-3&gt;MAX($DA$4:$DA$42),"",INDEX(Lists!$FX$4:$FX$42,MATCH(ROW()-3,$DA$4:$DA$42,0)))</f>
        <v/>
      </c>
    </row>
    <row r="34" outlineLevel="1" ht="15" customHeight="1" s="137">
      <c r="A34" s="90" t="n">
        <v>2</v>
      </c>
      <c r="B34" s="92">
        <f>IF('Final Calculation Sheet'!$F$20="","",'Final Calculation Sheet'!$F$20)</f>
        <v/>
      </c>
      <c r="C34" s="92">
        <f>IF('Final Calculation Sheet'!$G$20="","",'Final Calculation Sheet'!$G$20)</f>
        <v/>
      </c>
      <c r="D34" s="94">
        <f>IF('Final Calculation Sheet'!$B$20="","",'Final Calculation Sheet'!$B$20)</f>
        <v/>
      </c>
      <c r="E34" s="94">
        <f>IF('Final Calculation Sheet'!$D$20="","",'Final Calculation Sheet'!$D$20)</f>
        <v/>
      </c>
      <c r="F34" s="94">
        <f>IF('Final Calculation Sheet'!$A$20="","",'Final Calculation Sheet'!$A$20)</f>
        <v/>
      </c>
      <c r="G34" s="94">
        <f>IF('Final Calculation Sheet'!$E$20="","",'Final Calculation Sheet'!$E$20)</f>
        <v/>
      </c>
      <c r="H34" s="95">
        <f>IF('Final Calculation Sheet'!$C$20="","",'Final Calculation Sheet'!$C$20)</f>
        <v/>
      </c>
      <c r="I34" s="95">
        <f>IF('Final Calculation Sheet'!$H$20="","",'Final Calculation Sheet'!$H$20)</f>
        <v/>
      </c>
      <c r="J34" s="95">
        <f>IF('Final Calculation Sheet'!$I$20="","",'Final Calculation Sheet'!$I$20)</f>
        <v/>
      </c>
      <c r="K34" s="95">
        <f>IF('Final Calculation Sheet'!$J$20="","",'Final Calculation Sheet'!$J$20)</f>
        <v/>
      </c>
      <c r="L34" s="95">
        <f>IF('Final Calculation Sheet'!$K$20="","",'Final Calculation Sheet'!$K$20)</f>
        <v/>
      </c>
      <c r="M34" s="95">
        <f>IF('Final Calculation Sheet'!$L$20="","",'Final Calculation Sheet'!$L$20)</f>
        <v/>
      </c>
      <c r="N34" s="95">
        <f>IF('Final Calculation Sheet'!$M$20="","",'Final Calculation Sheet'!$M$20)</f>
        <v/>
      </c>
      <c r="O34" s="96">
        <f>IF('Final Calculation Sheet'!$N$20="","",'Final Calculation Sheet'!$N$20)</f>
        <v/>
      </c>
      <c r="P34" s="95">
        <f>IF('Final Calculation Sheet'!$O$20="","",'Final Calculation Sheet'!$O$20)</f>
        <v/>
      </c>
      <c r="Q34" s="95">
        <f>IF('Final Calculation Sheet'!$P$20="","",'Final Calculation Sheet'!$P$20)</f>
        <v/>
      </c>
      <c r="R34" s="97">
        <f>IF('Final Calculation Sheet'!$Q$20="","",'Final Calculation Sheet'!$Q$20)</f>
        <v/>
      </c>
      <c r="S34" s="95">
        <f>IF('Final Calculation Sheet'!$R$20="","",'Final Calculation Sheet'!$R$20)</f>
        <v/>
      </c>
      <c r="T34" s="95">
        <f>IF('Final Calculation Sheet'!$S$20="","",'Final Calculation Sheet'!$S$20)</f>
        <v/>
      </c>
      <c r="U34" s="95">
        <f>IF('Final Calculation Sheet'!$T$20="","",'Final Calculation Sheet'!$T$20)</f>
        <v/>
      </c>
      <c r="V34" s="98">
        <f>IF('Final Calculation Sheet'!$U$20="","",'Final Calculation Sheet'!$U$20)</f>
        <v/>
      </c>
      <c r="W34" s="95">
        <f>IF('Final Calculation Sheet'!$V$20="","",'Final Calculation Sheet'!$V$20)</f>
        <v/>
      </c>
      <c r="X34" s="95">
        <f>IF('Final Calculation Sheet'!$W$20="","",'Final Calculation Sheet'!$W$20)</f>
        <v/>
      </c>
      <c r="Y34" s="95">
        <f>IF('Final Calculation Sheet'!$X$20="","",'Final Calculation Sheet'!$X$20)</f>
        <v/>
      </c>
      <c r="Z34" s="95">
        <f>IF('Final Calculation Sheet'!$Y$20="","",'Final Calculation Sheet'!$Y$20)</f>
        <v/>
      </c>
      <c r="AA34" s="95">
        <f>IF('Final Calculation Sheet'!$Z$20="","",'Final Calculation Sheet'!$Z$20)</f>
        <v/>
      </c>
      <c r="AB34" s="95">
        <f>IF('Final Calculation Sheet'!$AA$20="","",'Final Calculation Sheet'!$AA$20)</f>
        <v/>
      </c>
      <c r="AC34" s="95">
        <f>IF('Final Calculation Sheet'!$AB$20="","",'Final Calculation Sheet'!$AB$20)</f>
        <v/>
      </c>
      <c r="AD34" s="95">
        <f>IF('Final Calculation Sheet'!$AC$20="","",'Final Calculation Sheet'!$AC$20)</f>
        <v/>
      </c>
      <c r="AE34" s="95">
        <f>IF('Final Calculation Sheet'!$AD$20="","",'Final Calculation Sheet'!$AD$20)</f>
        <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
      </c>
      <c r="AK34">
        <f>IF(AJ34=1,COUNTIF(AJ$6:AJ34,1),"")</f>
        <v/>
      </c>
      <c r="AM34">
        <f>AM33+IF(AND(Lists!$O$34&lt;&gt;"",ISNUMBER(SEARCH($B$4,Lists!$O$34))),1,0)</f>
        <v/>
      </c>
      <c r="AN34">
        <f>IF(ROW()-3&gt;MAX($AM$4:$AM$42),"",INDEX(Lists!$O$4:$O$42,MATCH(ROW()-3,$AM$4:$AM$42,0)))</f>
        <v/>
      </c>
      <c r="AO34">
        <f>AO33+IF(AND(Lists!$T$34&lt;&gt;"",ISNUMBER(SEARCH($C$4,Lists!$T$34))),1,0)</f>
        <v/>
      </c>
      <c r="AP34">
        <f>IF(ROW()-3&gt;MAX($AO$4:$AO$42),"",INDEX(Lists!$T$4:$T$42,MATCH(ROW()-3,$AO$4:$AO$42,0)))</f>
        <v/>
      </c>
      <c r="AQ34">
        <f>AQ33+IF(AND(Lists!$Y$34&lt;&gt;"",ISNUMBER(SEARCH($D$4,Lists!$Y$34))),1,0)</f>
        <v/>
      </c>
      <c r="AR34">
        <f>IF(ROW()-3&gt;MAX($AQ$4:$AQ$42),"",INDEX(Lists!$Y$4:$Y$42,MATCH(ROW()-3,$AQ$4:$AQ$42,0)))</f>
        <v/>
      </c>
      <c r="AS34">
        <f>AS33+IF(AND(Lists!$AD$34&lt;&gt;"",ISNUMBER(SEARCH($E$4,Lists!$AD$34))),1,0)</f>
        <v/>
      </c>
      <c r="AT34">
        <f>IF(ROW()-3&gt;MAX($AS$4:$AS$42),"",INDEX(Lists!$AD$4:$AD$42,MATCH(ROW()-3,$AS$4:$AS$42,0)))</f>
        <v/>
      </c>
      <c r="AU34">
        <f>AU33+IF(AND(Lists!$AI$34&lt;&gt;"",ISNUMBER(SEARCH($F$4,Lists!$AI$34))),1,0)</f>
        <v/>
      </c>
      <c r="AV34">
        <f>IF(ROW()-3&gt;MAX($AU$4:$AU$42),"",INDEX(Lists!$AI$4:$AI$42,MATCH(ROW()-3,$AU$4:$AU$42,0)))</f>
        <v/>
      </c>
      <c r="AW34">
        <f>AW33+IF(AND(Lists!$AN$34&lt;&gt;"",ISNUMBER(SEARCH($G$4,Lists!$AN$34))),1,0)</f>
        <v/>
      </c>
      <c r="AX34">
        <f>IF(ROW()-3&gt;MAX($AW$4:$AW$42),"",INDEX(Lists!$AN$4:$AN$42,MATCH(ROW()-3,$AW$4:$AW$42,0)))</f>
        <v/>
      </c>
      <c r="AY34">
        <f>AY33+IF(AND(Lists!$AS$34&lt;&gt;"",ISNUMBER(SEARCH($H$4,Lists!$AS$34))),1,0)</f>
        <v/>
      </c>
      <c r="AZ34">
        <f>IF(ROW()-3&gt;MAX($AY$4:$AY$42),"",INDEX(Lists!$AS$4:$AS$42,MATCH(ROW()-3,$AY$4:$AY$42,0)))</f>
        <v/>
      </c>
      <c r="BA34">
        <f>BA33+IF(AND(Lists!$AX$34&lt;&gt;"",ISNUMBER(SEARCH($I$4,Lists!$AX$34))),1,0)</f>
        <v/>
      </c>
      <c r="BB34">
        <f>IF(ROW()-3&gt;MAX($BA$4:$BA$42),"",INDEX(Lists!$AX$4:$AX$42,MATCH(ROW()-3,$BA$4:$BA$42,0)))</f>
        <v/>
      </c>
      <c r="BC34">
        <f>BC33+IF(AND(Lists!$BC$34&lt;&gt;"",ISNUMBER(SEARCH($J$4,Lists!$BC$34))),1,0)</f>
        <v/>
      </c>
      <c r="BD34">
        <f>IF(ROW()-3&gt;MAX($BC$4:$BC$42),"",INDEX(Lists!$BC$4:$BC$42,MATCH(ROW()-3,$BC$4:$BC$42,0)))</f>
        <v/>
      </c>
      <c r="BE34">
        <f>BE33+IF(AND(Lists!$BH$34&lt;&gt;"",ISNUMBER(SEARCH($K$4,Lists!$BH$34))),1,0)</f>
        <v/>
      </c>
      <c r="BF34">
        <f>IF(ROW()-3&gt;MAX($BE$4:$BE$42),"",INDEX(Lists!$BH$4:$BH$42,MATCH(ROW()-3,$BE$4:$BE$42,0)))</f>
        <v/>
      </c>
      <c r="BG34">
        <f>BG33+IF(AND(Lists!$BM$34&lt;&gt;"",ISNUMBER(SEARCH($L$4,Lists!$BM$34))),1,0)</f>
        <v/>
      </c>
      <c r="BH34">
        <f>IF(ROW()-3&gt;MAX($BG$4:$BG$42),"",INDEX(Lists!$BM$4:$BM$42,MATCH(ROW()-3,$BG$4:$BG$42,0)))</f>
        <v/>
      </c>
      <c r="BI34">
        <f>BI33+IF(AND(Lists!$BR$34&lt;&gt;"",ISNUMBER(SEARCH($M$4,Lists!$BR$34))),1,0)</f>
        <v/>
      </c>
      <c r="BJ34">
        <f>IF(ROW()-3&gt;MAX($BI$4:$BI$42),"",INDEX(Lists!$BR$4:$BR$42,MATCH(ROW()-3,$BI$4:$BI$42,0)))</f>
        <v/>
      </c>
      <c r="BK34">
        <f>BK33+IF(AND(Lists!$BW$34&lt;&gt;"",ISNUMBER(SEARCH($N$4,Lists!$BW$34))),1,0)</f>
        <v/>
      </c>
      <c r="BL34">
        <f>IF(ROW()-3&gt;MAX($BK$4:$BK$42),"",INDEX(Lists!$BW$4:$BW$42,MATCH(ROW()-3,$BK$4:$BK$42,0)))</f>
        <v/>
      </c>
      <c r="BM34">
        <f>BM33+IF(AND(Lists!$CB$34&lt;&gt;"",ISNUMBER(SEARCH($O$4,Lists!$CB$34))),1,0)</f>
        <v/>
      </c>
      <c r="BN34">
        <f>IF(ROW()-3&gt;MAX($BM$4:$BM$42),"",INDEX(Lists!$CB$4:$CB$42,MATCH(ROW()-3,$BM$4:$BM$42,0)))</f>
        <v/>
      </c>
      <c r="BO34">
        <f>BO33+IF(AND(Lists!$CG$34&lt;&gt;"",ISNUMBER(SEARCH($P$4,Lists!$CG$34))),1,0)</f>
        <v/>
      </c>
      <c r="BP34">
        <f>IF(ROW()-3&gt;MAX($BO$4:$BO$42),"",INDEX(Lists!$CG$4:$CG$42,MATCH(ROW()-3,$BO$4:$BO$42,0)))</f>
        <v/>
      </c>
      <c r="BQ34">
        <f>BQ33+IF(AND(Lists!$CL$34&lt;&gt;"",ISNUMBER(SEARCH($Q$4,Lists!$CL$34))),1,0)</f>
        <v/>
      </c>
      <c r="BR34">
        <f>IF(ROW()-3&gt;MAX($BQ$4:$BQ$42),"",INDEX(Lists!$CL$4:$CL$42,MATCH(ROW()-3,$BQ$4:$BQ$42,0)))</f>
        <v/>
      </c>
      <c r="BS34">
        <f>BS33+IF(AND(Lists!$CQ$34&lt;&gt;"",ISNUMBER(SEARCH($R$4,Lists!$CQ$34))),1,0)</f>
        <v/>
      </c>
      <c r="BT34">
        <f>IF(ROW()-3&gt;MAX($BS$4:$BS$42),"",INDEX(Lists!$CQ$4:$CQ$42,MATCH(ROW()-3,$BS$4:$BS$42,0)))</f>
        <v/>
      </c>
      <c r="BU34">
        <f>BU33+IF(AND(Lists!$CV$34&lt;&gt;"",ISNUMBER(SEARCH($S$4,Lists!$CV$34))),1,0)</f>
        <v/>
      </c>
      <c r="BV34">
        <f>IF(ROW()-3&gt;MAX($BU$4:$BU$42),"",INDEX(Lists!$CV$4:$CV$42,MATCH(ROW()-3,$BU$4:$BU$42,0)))</f>
        <v/>
      </c>
      <c r="BW34">
        <f>BW33+IF(AND(Lists!$DA$34&lt;&gt;"",ISNUMBER(SEARCH($T$4,Lists!$DA$34))),1,0)</f>
        <v/>
      </c>
      <c r="BX34">
        <f>IF(ROW()-3&gt;MAX($BW$4:$BW$42),"",INDEX(Lists!$DA$4:$DA$42,MATCH(ROW()-3,$BW$4:$BW$42,0)))</f>
        <v/>
      </c>
      <c r="BY34">
        <f>BY33+IF(AND(Lists!$DF$34&lt;&gt;"",ISNUMBER(SEARCH($U$4,Lists!$DF$34))),1,0)</f>
        <v/>
      </c>
      <c r="BZ34">
        <f>IF(ROW()-3&gt;MAX($BY$4:$BY$42),"",INDEX(Lists!$DF$4:$DF$42,MATCH(ROW()-3,$BY$4:$BY$42,0)))</f>
        <v/>
      </c>
      <c r="CA34">
        <f>CA33+IF(AND(Lists!$DK$34&lt;&gt;"",ISNUMBER(SEARCH($V$4,Lists!$DK$34))),1,0)</f>
        <v/>
      </c>
      <c r="CB34">
        <f>IF(ROW()-3&gt;MAX($CA$4:$CA$42),"",INDEX(Lists!$DK$4:$DK$42,MATCH(ROW()-3,$CA$4:$CA$42,0)))</f>
        <v/>
      </c>
      <c r="CC34">
        <f>CC33+IF(AND(Lists!$DP$34&lt;&gt;"",ISNUMBER(SEARCH($W$4,Lists!$DP$34))),1,0)</f>
        <v/>
      </c>
      <c r="CD34">
        <f>IF(ROW()-3&gt;MAX($CC$4:$CC$42),"",INDEX(Lists!$DP$4:$DP$42,MATCH(ROW()-3,$CC$4:$CC$42,0)))</f>
        <v/>
      </c>
      <c r="CE34">
        <f>CE33+IF(AND(Lists!$DU$34&lt;&gt;"",ISNUMBER(SEARCH($X$4,Lists!$DU$34))),1,0)</f>
        <v/>
      </c>
      <c r="CF34">
        <f>IF(ROW()-3&gt;MAX($CE$4:$CE$42),"",INDEX(Lists!$DU$4:$DU$42,MATCH(ROW()-3,$CE$4:$CE$42,0)))</f>
        <v/>
      </c>
      <c r="CG34">
        <f>CG33+IF(AND(Lists!$DZ$34&lt;&gt;"",ISNUMBER(SEARCH($Y$4,Lists!$DZ$34))),1,0)</f>
        <v/>
      </c>
      <c r="CH34">
        <f>IF(ROW()-3&gt;MAX($CG$4:$CG$42),"",INDEX(Lists!$DZ$4:$DZ$42,MATCH(ROW()-3,$CG$4:$CG$42,0)))</f>
        <v/>
      </c>
      <c r="CI34">
        <f>CI33+IF(AND(Lists!$EE$34&lt;&gt;"",ISNUMBER(SEARCH($Z$4,Lists!$EE$34))),1,0)</f>
        <v/>
      </c>
      <c r="CJ34">
        <f>IF(ROW()-3&gt;MAX($CI$4:$CI$42),"",INDEX(Lists!$EE$4:$EE$42,MATCH(ROW()-3,$CI$4:$CI$42,0)))</f>
        <v/>
      </c>
      <c r="CK34">
        <f>CK33+IF(AND(Lists!$EJ$34&lt;&gt;"",ISNUMBER(SEARCH($AA$4,Lists!$EJ$34))),1,0)</f>
        <v/>
      </c>
      <c r="CL34">
        <f>IF(ROW()-3&gt;MAX($CK$4:$CK$42),"",INDEX(Lists!$EJ$4:$EJ$42,MATCH(ROW()-3,$CK$4:$CK$42,0)))</f>
        <v/>
      </c>
      <c r="CM34">
        <f>CM33+IF(AND(Lists!$EO$34&lt;&gt;"",ISNUMBER(SEARCH($AB$4,Lists!$EO$34))),1,0)</f>
        <v/>
      </c>
      <c r="CN34">
        <f>IF(ROW()-3&gt;MAX($CM$4:$CM$42),"",INDEX(Lists!$EO$4:$EO$42,MATCH(ROW()-3,$CM$4:$CM$42,0)))</f>
        <v/>
      </c>
      <c r="CO34">
        <f>CO33+IF(AND(Lists!$ET$34&lt;&gt;"",ISNUMBER(SEARCH($AC$4,Lists!$ET$34))),1,0)</f>
        <v/>
      </c>
      <c r="CP34">
        <f>IF(ROW()-3&gt;MAX($CO$4:$CO$42),"",INDEX(Lists!$ET$4:$ET$42,MATCH(ROW()-3,$CO$4:$CO$42,0)))</f>
        <v/>
      </c>
      <c r="CQ34">
        <f>CQ33+IF(AND(Lists!$EY$34&lt;&gt;"",ISNUMBER(SEARCH($AD$4,Lists!$EY$34))),1,0)</f>
        <v/>
      </c>
      <c r="CR34">
        <f>IF(ROW()-3&gt;MAX($CQ$4:$CQ$42),"",INDEX(Lists!$EY$4:$EY$42,MATCH(ROW()-3,$CQ$4:$CQ$42,0)))</f>
        <v/>
      </c>
      <c r="CS34">
        <f>CS33+IF(AND(Lists!$FD$34&lt;&gt;"",ISNUMBER(SEARCH($AE$4,Lists!$FD$34))),1,0)</f>
        <v/>
      </c>
      <c r="CT34">
        <f>IF(ROW()-3&gt;MAX($CS$4:$CS$42),"",INDEX(Lists!$FD$4:$FD$42,MATCH(ROW()-3,$CS$4:$CS$42,0)))</f>
        <v/>
      </c>
      <c r="CU34">
        <f>CU33+IF(AND(Lists!$FI$34&lt;&gt;"",ISNUMBER(SEARCH($AG$4,Lists!$FI$34))),1,0)</f>
        <v/>
      </c>
      <c r="CV34">
        <f>IF(ROW()-3&gt;MAX($CU$4:$CU$42),"",INDEX(Lists!$FI$4:$FI$42,MATCH(ROW()-3,$CU$4:$CU$42,0)))</f>
        <v/>
      </c>
      <c r="CW34">
        <f>CW33+IF(AND(Lists!$FN$34&lt;&gt;"",ISNUMBER(SEARCH($AH$4,Lists!$FN$34))),1,0)</f>
        <v/>
      </c>
      <c r="CX34">
        <f>IF(ROW()-3&gt;MAX($CW$4:$CW$42),"",INDEX(Lists!$FN$4:$FN$42,MATCH(ROW()-3,$CW$4:$CW$42,0)))</f>
        <v/>
      </c>
      <c r="CY34">
        <f>CY33+IF(AND(Lists!$FS$34&lt;&gt;"",ISNUMBER(SEARCH($AI$4,Lists!$FS$34))),1,0)</f>
        <v/>
      </c>
      <c r="CZ34">
        <f>IF(ROW()-3&gt;MAX($CY$4:$CY$42),"",INDEX(Lists!$FS$4:$FS$42,MATCH(ROW()-3,$CY$4:$CY$42,0)))</f>
        <v/>
      </c>
      <c r="DA34">
        <f>DA33+IF(AND(Lists!$FX$34&lt;&gt;"",ISNUMBER(SEARCH($AF$4,Lists!$FX$34))),1,0)</f>
        <v/>
      </c>
      <c r="DB34">
        <f>IF(ROW()-3&gt;MAX($DA$4:$DA$42),"",INDEX(Lists!$FX$4:$FX$42,MATCH(ROW()-3,$DA$4:$DA$42,0)))</f>
        <v/>
      </c>
    </row>
    <row r="35" ht="15" customHeight="1" s="137">
      <c r="A35" s="81" t="inlineStr">
        <is>
          <t>∑</t>
        </is>
      </c>
      <c r="B35" s="83" t="n"/>
      <c r="C35" s="83">
        <f>ROWS($C$33:$C$34)&amp;" lot(s)"</f>
        <v/>
      </c>
      <c r="D35" s="83" t="inlineStr">
        <is>
          <t>SUBTOTAL — OMKAR STEELS</t>
        </is>
      </c>
      <c r="E35" s="83" t="inlineStr">
        <is>
          <t>–</t>
        </is>
      </c>
      <c r="F35" s="83">
        <f>SUM(F33:F34)</f>
        <v/>
      </c>
      <c r="G35" s="83" t="inlineStr">
        <is>
          <t>–</t>
        </is>
      </c>
      <c r="H35" s="84" t="inlineStr">
        <is>
          <t>–</t>
        </is>
      </c>
      <c r="I35" s="84">
        <f>SUM(I33:I34)</f>
        <v/>
      </c>
      <c r="J35" s="84">
        <f>SUM(J33:J34)</f>
        <v/>
      </c>
      <c r="K35" s="84">
        <f>SUM(K33:K34)</f>
        <v/>
      </c>
      <c r="L35" s="84">
        <f>SUM(L33:L34)</f>
        <v/>
      </c>
      <c r="M35" s="84">
        <f>SUM(M33:M34)</f>
        <v/>
      </c>
      <c r="N35" s="84">
        <f>SUM(N33:N34)</f>
        <v/>
      </c>
      <c r="O35" s="85">
        <f>SUM(O33:O34)</f>
        <v/>
      </c>
      <c r="P35" s="84">
        <f>SUM(P33:P34)</f>
        <v/>
      </c>
      <c r="Q35" s="84">
        <f>SUM(Q33:Q34)</f>
        <v/>
      </c>
      <c r="R35" s="86" t="inlineStr">
        <is>
          <t>–</t>
        </is>
      </c>
      <c r="S35" s="84">
        <f>SUM(S33:S34)</f>
        <v/>
      </c>
      <c r="T35" s="84">
        <f>SUM(T33:T34)</f>
        <v/>
      </c>
      <c r="U35" s="84">
        <f>SUM(U33:U34)</f>
        <v/>
      </c>
      <c r="V35" s="87">
        <f>SUM(V33:V34)</f>
        <v/>
      </c>
      <c r="W35" s="84" t="inlineStr">
        <is>
          <t>–</t>
        </is>
      </c>
      <c r="X35" s="84">
        <f>SUM(X33:X34)</f>
        <v/>
      </c>
      <c r="Y35" s="84">
        <f>SUM(Y33:Y34)</f>
        <v/>
      </c>
      <c r="Z35" s="84" t="inlineStr">
        <is>
          <t>–</t>
        </is>
      </c>
      <c r="AA35" s="84">
        <f>SUM(AA33:AA34)</f>
        <v/>
      </c>
      <c r="AB35" s="84">
        <f>SUM(AB33:AB34)</f>
        <v/>
      </c>
      <c r="AC35" s="84" t="inlineStr">
        <is>
          <t>–</t>
        </is>
      </c>
      <c r="AD35" s="84">
        <f>SUM(AD33:AD34)</f>
        <v/>
      </c>
      <c r="AE35" s="84">
        <f>SUM(AE33:AE34)</f>
        <v/>
      </c>
      <c r="AF35" s="89">
        <f>IF(AE35&lt;=5,"SETTLED","OUTSTANDING")</f>
        <v/>
      </c>
      <c r="AG35" s="84" t="inlineStr">
        <is>
          <t>–</t>
        </is>
      </c>
      <c r="AH35" s="88" t="inlineStr">
        <is>
          <t>–</t>
        </is>
      </c>
      <c r="AI35" s="84" t="inlineStr">
        <is>
          <t>–</t>
        </is>
      </c>
      <c r="AJ35">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
      </c>
      <c r="AK35">
        <f>IF(AJ35=1,COUNTIF(AJ$6:AJ35,1),"")</f>
        <v/>
      </c>
      <c r="AM35">
        <f>AM34+IF(AND(Lists!$O$35&lt;&gt;"",ISNUMBER(SEARCH($B$4,Lists!$O$35))),1,0)</f>
        <v/>
      </c>
      <c r="AN35">
        <f>IF(ROW()-3&gt;MAX($AM$4:$AM$42),"",INDEX(Lists!$O$4:$O$42,MATCH(ROW()-3,$AM$4:$AM$42,0)))</f>
        <v/>
      </c>
      <c r="AO35">
        <f>AO34+IF(AND(Lists!$T$35&lt;&gt;"",ISNUMBER(SEARCH($C$4,Lists!$T$35))),1,0)</f>
        <v/>
      </c>
      <c r="AP35">
        <f>IF(ROW()-3&gt;MAX($AO$4:$AO$42),"",INDEX(Lists!$T$4:$T$42,MATCH(ROW()-3,$AO$4:$AO$42,0)))</f>
        <v/>
      </c>
      <c r="AQ35">
        <f>AQ34+IF(AND(Lists!$Y$35&lt;&gt;"",ISNUMBER(SEARCH($D$4,Lists!$Y$35))),1,0)</f>
        <v/>
      </c>
      <c r="AR35">
        <f>IF(ROW()-3&gt;MAX($AQ$4:$AQ$42),"",INDEX(Lists!$Y$4:$Y$42,MATCH(ROW()-3,$AQ$4:$AQ$42,0)))</f>
        <v/>
      </c>
      <c r="AS35">
        <f>AS34+IF(AND(Lists!$AD$35&lt;&gt;"",ISNUMBER(SEARCH($E$4,Lists!$AD$35))),1,0)</f>
        <v/>
      </c>
      <c r="AT35">
        <f>IF(ROW()-3&gt;MAX($AS$4:$AS$42),"",INDEX(Lists!$AD$4:$AD$42,MATCH(ROW()-3,$AS$4:$AS$42,0)))</f>
        <v/>
      </c>
      <c r="AU35">
        <f>AU34+IF(AND(Lists!$AI$35&lt;&gt;"",ISNUMBER(SEARCH($F$4,Lists!$AI$35))),1,0)</f>
        <v/>
      </c>
      <c r="AV35">
        <f>IF(ROW()-3&gt;MAX($AU$4:$AU$42),"",INDEX(Lists!$AI$4:$AI$42,MATCH(ROW()-3,$AU$4:$AU$42,0)))</f>
        <v/>
      </c>
      <c r="AW35">
        <f>AW34+IF(AND(Lists!$AN$35&lt;&gt;"",ISNUMBER(SEARCH($G$4,Lists!$AN$35))),1,0)</f>
        <v/>
      </c>
      <c r="AX35">
        <f>IF(ROW()-3&gt;MAX($AW$4:$AW$42),"",INDEX(Lists!$AN$4:$AN$42,MATCH(ROW()-3,$AW$4:$AW$42,0)))</f>
        <v/>
      </c>
      <c r="AY35">
        <f>AY34+IF(AND(Lists!$AS$35&lt;&gt;"",ISNUMBER(SEARCH($H$4,Lists!$AS$35))),1,0)</f>
        <v/>
      </c>
      <c r="AZ35">
        <f>IF(ROW()-3&gt;MAX($AY$4:$AY$42),"",INDEX(Lists!$AS$4:$AS$42,MATCH(ROW()-3,$AY$4:$AY$42,0)))</f>
        <v/>
      </c>
      <c r="BA35">
        <f>BA34+IF(AND(Lists!$AX$35&lt;&gt;"",ISNUMBER(SEARCH($I$4,Lists!$AX$35))),1,0)</f>
        <v/>
      </c>
      <c r="BB35">
        <f>IF(ROW()-3&gt;MAX($BA$4:$BA$42),"",INDEX(Lists!$AX$4:$AX$42,MATCH(ROW()-3,$BA$4:$BA$42,0)))</f>
        <v/>
      </c>
      <c r="BC35">
        <f>BC34+IF(AND(Lists!$BC$35&lt;&gt;"",ISNUMBER(SEARCH($J$4,Lists!$BC$35))),1,0)</f>
        <v/>
      </c>
      <c r="BD35">
        <f>IF(ROW()-3&gt;MAX($BC$4:$BC$42),"",INDEX(Lists!$BC$4:$BC$42,MATCH(ROW()-3,$BC$4:$BC$42,0)))</f>
        <v/>
      </c>
      <c r="BE35">
        <f>BE34+IF(AND(Lists!$BH$35&lt;&gt;"",ISNUMBER(SEARCH($K$4,Lists!$BH$35))),1,0)</f>
        <v/>
      </c>
      <c r="BF35">
        <f>IF(ROW()-3&gt;MAX($BE$4:$BE$42),"",INDEX(Lists!$BH$4:$BH$42,MATCH(ROW()-3,$BE$4:$BE$42,0)))</f>
        <v/>
      </c>
      <c r="BG35">
        <f>BG34+IF(AND(Lists!$BM$35&lt;&gt;"",ISNUMBER(SEARCH($L$4,Lists!$BM$35))),1,0)</f>
        <v/>
      </c>
      <c r="BH35">
        <f>IF(ROW()-3&gt;MAX($BG$4:$BG$42),"",INDEX(Lists!$BM$4:$BM$42,MATCH(ROW()-3,$BG$4:$BG$42,0)))</f>
        <v/>
      </c>
      <c r="BI35">
        <f>BI34+IF(AND(Lists!$BR$35&lt;&gt;"",ISNUMBER(SEARCH($M$4,Lists!$BR$35))),1,0)</f>
        <v/>
      </c>
      <c r="BJ35">
        <f>IF(ROW()-3&gt;MAX($BI$4:$BI$42),"",INDEX(Lists!$BR$4:$BR$42,MATCH(ROW()-3,$BI$4:$BI$42,0)))</f>
        <v/>
      </c>
      <c r="BK35">
        <f>BK34+IF(AND(Lists!$BW$35&lt;&gt;"",ISNUMBER(SEARCH($N$4,Lists!$BW$35))),1,0)</f>
        <v/>
      </c>
      <c r="BL35">
        <f>IF(ROW()-3&gt;MAX($BK$4:$BK$42),"",INDEX(Lists!$BW$4:$BW$42,MATCH(ROW()-3,$BK$4:$BK$42,0)))</f>
        <v/>
      </c>
      <c r="BM35">
        <f>BM34+IF(AND(Lists!$CB$35&lt;&gt;"",ISNUMBER(SEARCH($O$4,Lists!$CB$35))),1,0)</f>
        <v/>
      </c>
      <c r="BN35">
        <f>IF(ROW()-3&gt;MAX($BM$4:$BM$42),"",INDEX(Lists!$CB$4:$CB$42,MATCH(ROW()-3,$BM$4:$BM$42,0)))</f>
        <v/>
      </c>
      <c r="BO35">
        <f>BO34+IF(AND(Lists!$CG$35&lt;&gt;"",ISNUMBER(SEARCH($P$4,Lists!$CG$35))),1,0)</f>
        <v/>
      </c>
      <c r="BP35">
        <f>IF(ROW()-3&gt;MAX($BO$4:$BO$42),"",INDEX(Lists!$CG$4:$CG$42,MATCH(ROW()-3,$BO$4:$BO$42,0)))</f>
        <v/>
      </c>
      <c r="BQ35">
        <f>BQ34+IF(AND(Lists!$CL$35&lt;&gt;"",ISNUMBER(SEARCH($Q$4,Lists!$CL$35))),1,0)</f>
        <v/>
      </c>
      <c r="BR35">
        <f>IF(ROW()-3&gt;MAX($BQ$4:$BQ$42),"",INDEX(Lists!$CL$4:$CL$42,MATCH(ROW()-3,$BQ$4:$BQ$42,0)))</f>
        <v/>
      </c>
      <c r="BS35">
        <f>BS34+IF(AND(Lists!$CQ$35&lt;&gt;"",ISNUMBER(SEARCH($R$4,Lists!$CQ$35))),1,0)</f>
        <v/>
      </c>
      <c r="BT35">
        <f>IF(ROW()-3&gt;MAX($BS$4:$BS$42),"",INDEX(Lists!$CQ$4:$CQ$42,MATCH(ROW()-3,$BS$4:$BS$42,0)))</f>
        <v/>
      </c>
      <c r="BU35">
        <f>BU34+IF(AND(Lists!$CV$35&lt;&gt;"",ISNUMBER(SEARCH($S$4,Lists!$CV$35))),1,0)</f>
        <v/>
      </c>
      <c r="BV35">
        <f>IF(ROW()-3&gt;MAX($BU$4:$BU$42),"",INDEX(Lists!$CV$4:$CV$42,MATCH(ROW()-3,$BU$4:$BU$42,0)))</f>
        <v/>
      </c>
      <c r="BW35">
        <f>BW34+IF(AND(Lists!$DA$35&lt;&gt;"",ISNUMBER(SEARCH($T$4,Lists!$DA$35))),1,0)</f>
        <v/>
      </c>
      <c r="BX35">
        <f>IF(ROW()-3&gt;MAX($BW$4:$BW$42),"",INDEX(Lists!$DA$4:$DA$42,MATCH(ROW()-3,$BW$4:$BW$42,0)))</f>
        <v/>
      </c>
      <c r="BY35">
        <f>BY34+IF(AND(Lists!$DF$35&lt;&gt;"",ISNUMBER(SEARCH($U$4,Lists!$DF$35))),1,0)</f>
        <v/>
      </c>
      <c r="BZ35">
        <f>IF(ROW()-3&gt;MAX($BY$4:$BY$42),"",INDEX(Lists!$DF$4:$DF$42,MATCH(ROW()-3,$BY$4:$BY$42,0)))</f>
        <v/>
      </c>
      <c r="CA35">
        <f>CA34+IF(AND(Lists!$DK$35&lt;&gt;"",ISNUMBER(SEARCH($V$4,Lists!$DK$35))),1,0)</f>
        <v/>
      </c>
      <c r="CB35">
        <f>IF(ROW()-3&gt;MAX($CA$4:$CA$42),"",INDEX(Lists!$DK$4:$DK$42,MATCH(ROW()-3,$CA$4:$CA$42,0)))</f>
        <v/>
      </c>
      <c r="CC35">
        <f>CC34+IF(AND(Lists!$DP$35&lt;&gt;"",ISNUMBER(SEARCH($W$4,Lists!$DP$35))),1,0)</f>
        <v/>
      </c>
      <c r="CD35">
        <f>IF(ROW()-3&gt;MAX($CC$4:$CC$42),"",INDEX(Lists!$DP$4:$DP$42,MATCH(ROW()-3,$CC$4:$CC$42,0)))</f>
        <v/>
      </c>
      <c r="CE35">
        <f>CE34+IF(AND(Lists!$DU$35&lt;&gt;"",ISNUMBER(SEARCH($X$4,Lists!$DU$35))),1,0)</f>
        <v/>
      </c>
      <c r="CF35">
        <f>IF(ROW()-3&gt;MAX($CE$4:$CE$42),"",INDEX(Lists!$DU$4:$DU$42,MATCH(ROW()-3,$CE$4:$CE$42,0)))</f>
        <v/>
      </c>
      <c r="CG35">
        <f>CG34+IF(AND(Lists!$DZ$35&lt;&gt;"",ISNUMBER(SEARCH($Y$4,Lists!$DZ$35))),1,0)</f>
        <v/>
      </c>
      <c r="CH35">
        <f>IF(ROW()-3&gt;MAX($CG$4:$CG$42),"",INDEX(Lists!$DZ$4:$DZ$42,MATCH(ROW()-3,$CG$4:$CG$42,0)))</f>
        <v/>
      </c>
      <c r="CI35">
        <f>CI34+IF(AND(Lists!$EE$35&lt;&gt;"",ISNUMBER(SEARCH($Z$4,Lists!$EE$35))),1,0)</f>
        <v/>
      </c>
      <c r="CJ35">
        <f>IF(ROW()-3&gt;MAX($CI$4:$CI$42),"",INDEX(Lists!$EE$4:$EE$42,MATCH(ROW()-3,$CI$4:$CI$42,0)))</f>
        <v/>
      </c>
      <c r="CK35">
        <f>CK34+IF(AND(Lists!$EJ$35&lt;&gt;"",ISNUMBER(SEARCH($AA$4,Lists!$EJ$35))),1,0)</f>
        <v/>
      </c>
      <c r="CL35">
        <f>IF(ROW()-3&gt;MAX($CK$4:$CK$42),"",INDEX(Lists!$EJ$4:$EJ$42,MATCH(ROW()-3,$CK$4:$CK$42,0)))</f>
        <v/>
      </c>
      <c r="CM35">
        <f>CM34+IF(AND(Lists!$EO$35&lt;&gt;"",ISNUMBER(SEARCH($AB$4,Lists!$EO$35))),1,0)</f>
        <v/>
      </c>
      <c r="CN35">
        <f>IF(ROW()-3&gt;MAX($CM$4:$CM$42),"",INDEX(Lists!$EO$4:$EO$42,MATCH(ROW()-3,$CM$4:$CM$42,0)))</f>
        <v/>
      </c>
      <c r="CO35">
        <f>CO34+IF(AND(Lists!$ET$35&lt;&gt;"",ISNUMBER(SEARCH($AC$4,Lists!$ET$35))),1,0)</f>
        <v/>
      </c>
      <c r="CP35">
        <f>IF(ROW()-3&gt;MAX($CO$4:$CO$42),"",INDEX(Lists!$ET$4:$ET$42,MATCH(ROW()-3,$CO$4:$CO$42,0)))</f>
        <v/>
      </c>
      <c r="CQ35">
        <f>CQ34+IF(AND(Lists!$EY$35&lt;&gt;"",ISNUMBER(SEARCH($AD$4,Lists!$EY$35))),1,0)</f>
        <v/>
      </c>
      <c r="CR35">
        <f>IF(ROW()-3&gt;MAX($CQ$4:$CQ$42),"",INDEX(Lists!$EY$4:$EY$42,MATCH(ROW()-3,$CQ$4:$CQ$42,0)))</f>
        <v/>
      </c>
      <c r="CS35">
        <f>CS34+IF(AND(Lists!$FD$35&lt;&gt;"",ISNUMBER(SEARCH($AE$4,Lists!$FD$35))),1,0)</f>
        <v/>
      </c>
      <c r="CT35">
        <f>IF(ROW()-3&gt;MAX($CS$4:$CS$42),"",INDEX(Lists!$FD$4:$FD$42,MATCH(ROW()-3,$CS$4:$CS$42,0)))</f>
        <v/>
      </c>
      <c r="CU35">
        <f>CU34+IF(AND(Lists!$FI$35&lt;&gt;"",ISNUMBER(SEARCH($AG$4,Lists!$FI$35))),1,0)</f>
        <v/>
      </c>
      <c r="CV35">
        <f>IF(ROW()-3&gt;MAX($CU$4:$CU$42),"",INDEX(Lists!$FI$4:$FI$42,MATCH(ROW()-3,$CU$4:$CU$42,0)))</f>
        <v/>
      </c>
      <c r="CW35">
        <f>CW34+IF(AND(Lists!$FN$35&lt;&gt;"",ISNUMBER(SEARCH($AH$4,Lists!$FN$35))),1,0)</f>
        <v/>
      </c>
      <c r="CX35">
        <f>IF(ROW()-3&gt;MAX($CW$4:$CW$42),"",INDEX(Lists!$FN$4:$FN$42,MATCH(ROW()-3,$CW$4:$CW$42,0)))</f>
        <v/>
      </c>
      <c r="CY35">
        <f>CY34+IF(AND(Lists!$FS$35&lt;&gt;"",ISNUMBER(SEARCH($AI$4,Lists!$FS$35))),1,0)</f>
        <v/>
      </c>
      <c r="CZ35">
        <f>IF(ROW()-3&gt;MAX($CY$4:$CY$42),"",INDEX(Lists!$FS$4:$FS$42,MATCH(ROW()-3,$CY$4:$CY$42,0)))</f>
        <v/>
      </c>
      <c r="DA35">
        <f>DA34+IF(AND(Lists!$FX$35&lt;&gt;"",ISNUMBER(SEARCH($AF$4,Lists!$FX$35))),1,0)</f>
        <v/>
      </c>
      <c r="DB35">
        <f>IF(ROW()-3&gt;MAX($DA$4:$DA$42),"",INDEX(Lists!$FX$4:$FX$42,MATCH(ROW()-3,$DA$4:$DA$42,0)))</f>
        <v/>
      </c>
    </row>
    <row r="36" outlineLevel="1" ht="15" customHeight="1" s="137">
      <c r="A36" s="67" t="n">
        <v>1</v>
      </c>
      <c r="B36" s="76">
        <f>IF('Final Calculation Sheet'!$F$39="","",'Final Calculation Sheet'!$F$39)</f>
        <v/>
      </c>
      <c r="C36" s="76">
        <f>IF('Final Calculation Sheet'!$G$39="","",'Final Calculation Sheet'!$G$39)</f>
        <v/>
      </c>
      <c r="D36" s="80">
        <f>IF('Final Calculation Sheet'!$B$39="","",'Final Calculation Sheet'!$B$39)</f>
        <v/>
      </c>
      <c r="E36" s="80">
        <f>IF('Final Calculation Sheet'!$D$39="","",'Final Calculation Sheet'!$D$39)</f>
        <v/>
      </c>
      <c r="F36" s="80">
        <f>IF('Final Calculation Sheet'!$A$39="","",'Final Calculation Sheet'!$A$39)</f>
        <v/>
      </c>
      <c r="G36" s="80">
        <f>IF('Final Calculation Sheet'!$E$39="","",'Final Calculation Sheet'!$E$39)</f>
        <v/>
      </c>
      <c r="H36" s="70">
        <f>IF('Final Calculation Sheet'!$C$39="","",'Final Calculation Sheet'!$C$39)</f>
        <v/>
      </c>
      <c r="I36" s="70">
        <f>IF('Final Calculation Sheet'!$H$39="","",'Final Calculation Sheet'!$H$39)</f>
        <v/>
      </c>
      <c r="J36" s="70">
        <f>IF('Final Calculation Sheet'!$I$39="","",'Final Calculation Sheet'!$I$39)</f>
        <v/>
      </c>
      <c r="K36" s="70">
        <f>IF('Final Calculation Sheet'!$J$39="","",'Final Calculation Sheet'!$J$39)</f>
        <v/>
      </c>
      <c r="L36" s="70">
        <f>IF('Final Calculation Sheet'!$K$39="","",'Final Calculation Sheet'!$K$39)</f>
        <v/>
      </c>
      <c r="M36" s="70">
        <f>IF('Final Calculation Sheet'!$L$39="","",'Final Calculation Sheet'!$L$39)</f>
        <v/>
      </c>
      <c r="N36" s="70">
        <f>IF('Final Calculation Sheet'!$M$39="","",'Final Calculation Sheet'!$M$39)</f>
        <v/>
      </c>
      <c r="O36" s="71">
        <f>IF('Final Calculation Sheet'!$N$39="","",'Final Calculation Sheet'!$N$39)</f>
        <v/>
      </c>
      <c r="P36" s="70">
        <f>IF('Final Calculation Sheet'!$O$39="","",'Final Calculation Sheet'!$O$39)</f>
        <v/>
      </c>
      <c r="Q36" s="70">
        <f>IF('Final Calculation Sheet'!$P$39="","",'Final Calculation Sheet'!$P$39)</f>
        <v/>
      </c>
      <c r="R36" s="72">
        <f>IF('Final Calculation Sheet'!$Q$39="","",'Final Calculation Sheet'!$Q$39)</f>
        <v/>
      </c>
      <c r="S36" s="70">
        <f>IF('Final Calculation Sheet'!$R$39="","",'Final Calculation Sheet'!$R$39)</f>
        <v/>
      </c>
      <c r="T36" s="70">
        <f>IF('Final Calculation Sheet'!$S$39="","",'Final Calculation Sheet'!$S$39)</f>
        <v/>
      </c>
      <c r="U36" s="70">
        <f>IF('Final Calculation Sheet'!$T$39="","",'Final Calculation Sheet'!$T$39)</f>
        <v/>
      </c>
      <c r="V36" s="73">
        <f>IF('Final Calculation Sheet'!$U$39="","",'Final Calculation Sheet'!$U$39)</f>
        <v/>
      </c>
      <c r="W36" s="70">
        <f>IF('Final Calculation Sheet'!$V$39="","",'Final Calculation Sheet'!$V$39)</f>
        <v/>
      </c>
      <c r="X36" s="70">
        <f>IF('Final Calculation Sheet'!$W$39="","",'Final Calculation Sheet'!$W$39)</f>
        <v/>
      </c>
      <c r="Y36" s="70">
        <f>IF('Final Calculation Sheet'!$X$39="","",'Final Calculation Sheet'!$X$39)</f>
        <v/>
      </c>
      <c r="Z36" s="70">
        <f>IF('Final Calculation Sheet'!$Y$39="","",'Final Calculation Sheet'!$Y$39)</f>
        <v/>
      </c>
      <c r="AA36" s="70">
        <f>IF('Final Calculation Sheet'!$Z$39="","",'Final Calculation Sheet'!$Z$39)</f>
        <v/>
      </c>
      <c r="AB36" s="70">
        <f>IF('Final Calculation Sheet'!$AA$39="","",'Final Calculation Sheet'!$AA$39)</f>
        <v/>
      </c>
      <c r="AC36" s="70">
        <f>IF('Final Calculation Sheet'!$AB$39="","",'Final Calculation Sheet'!$AB$39)</f>
        <v/>
      </c>
      <c r="AD36" s="70">
        <f>IF('Final Calculation Sheet'!$AC$39="","",'Final Calculation Sheet'!$AC$39)</f>
        <v/>
      </c>
      <c r="AE36" s="70">
        <f>IF('Final Calculation Sheet'!$AD$39="","",'Final Calculation Sheet'!$AD$39)</f>
        <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
      </c>
      <c r="AK36">
        <f>IF(AJ36=1,COUNTIF(AJ$6:AJ36,1),"")</f>
        <v/>
      </c>
      <c r="AM36">
        <f>AM35+IF(AND(Lists!$O$36&lt;&gt;"",ISNUMBER(SEARCH($B$4,Lists!$O$36))),1,0)</f>
        <v/>
      </c>
      <c r="AN36">
        <f>IF(ROW()-3&gt;MAX($AM$4:$AM$42),"",INDEX(Lists!$O$4:$O$42,MATCH(ROW()-3,$AM$4:$AM$42,0)))</f>
        <v/>
      </c>
      <c r="AO36">
        <f>AO35+IF(AND(Lists!$T$36&lt;&gt;"",ISNUMBER(SEARCH($C$4,Lists!$T$36))),1,0)</f>
        <v/>
      </c>
      <c r="AP36">
        <f>IF(ROW()-3&gt;MAX($AO$4:$AO$42),"",INDEX(Lists!$T$4:$T$42,MATCH(ROW()-3,$AO$4:$AO$42,0)))</f>
        <v/>
      </c>
      <c r="AQ36">
        <f>AQ35+IF(AND(Lists!$Y$36&lt;&gt;"",ISNUMBER(SEARCH($D$4,Lists!$Y$36))),1,0)</f>
        <v/>
      </c>
      <c r="AR36">
        <f>IF(ROW()-3&gt;MAX($AQ$4:$AQ$42),"",INDEX(Lists!$Y$4:$Y$42,MATCH(ROW()-3,$AQ$4:$AQ$42,0)))</f>
        <v/>
      </c>
      <c r="AS36">
        <f>AS35+IF(AND(Lists!$AD$36&lt;&gt;"",ISNUMBER(SEARCH($E$4,Lists!$AD$36))),1,0)</f>
        <v/>
      </c>
      <c r="AT36">
        <f>IF(ROW()-3&gt;MAX($AS$4:$AS$42),"",INDEX(Lists!$AD$4:$AD$42,MATCH(ROW()-3,$AS$4:$AS$42,0)))</f>
        <v/>
      </c>
      <c r="AU36">
        <f>AU35+IF(AND(Lists!$AI$36&lt;&gt;"",ISNUMBER(SEARCH($F$4,Lists!$AI$36))),1,0)</f>
        <v/>
      </c>
      <c r="AV36">
        <f>IF(ROW()-3&gt;MAX($AU$4:$AU$42),"",INDEX(Lists!$AI$4:$AI$42,MATCH(ROW()-3,$AU$4:$AU$42,0)))</f>
        <v/>
      </c>
      <c r="AW36">
        <f>AW35+IF(AND(Lists!$AN$36&lt;&gt;"",ISNUMBER(SEARCH($G$4,Lists!$AN$36))),1,0)</f>
        <v/>
      </c>
      <c r="AX36">
        <f>IF(ROW()-3&gt;MAX($AW$4:$AW$42),"",INDEX(Lists!$AN$4:$AN$42,MATCH(ROW()-3,$AW$4:$AW$42,0)))</f>
        <v/>
      </c>
      <c r="AY36">
        <f>AY35+IF(AND(Lists!$AS$36&lt;&gt;"",ISNUMBER(SEARCH($H$4,Lists!$AS$36))),1,0)</f>
        <v/>
      </c>
      <c r="AZ36">
        <f>IF(ROW()-3&gt;MAX($AY$4:$AY$42),"",INDEX(Lists!$AS$4:$AS$42,MATCH(ROW()-3,$AY$4:$AY$42,0)))</f>
        <v/>
      </c>
      <c r="BA36">
        <f>BA35+IF(AND(Lists!$AX$36&lt;&gt;"",ISNUMBER(SEARCH($I$4,Lists!$AX$36))),1,0)</f>
        <v/>
      </c>
      <c r="BB36">
        <f>IF(ROW()-3&gt;MAX($BA$4:$BA$42),"",INDEX(Lists!$AX$4:$AX$42,MATCH(ROW()-3,$BA$4:$BA$42,0)))</f>
        <v/>
      </c>
      <c r="BC36">
        <f>BC35+IF(AND(Lists!$BC$36&lt;&gt;"",ISNUMBER(SEARCH($J$4,Lists!$BC$36))),1,0)</f>
        <v/>
      </c>
      <c r="BD36">
        <f>IF(ROW()-3&gt;MAX($BC$4:$BC$42),"",INDEX(Lists!$BC$4:$BC$42,MATCH(ROW()-3,$BC$4:$BC$42,0)))</f>
        <v/>
      </c>
      <c r="BE36">
        <f>BE35+IF(AND(Lists!$BH$36&lt;&gt;"",ISNUMBER(SEARCH($K$4,Lists!$BH$36))),1,0)</f>
        <v/>
      </c>
      <c r="BF36">
        <f>IF(ROW()-3&gt;MAX($BE$4:$BE$42),"",INDEX(Lists!$BH$4:$BH$42,MATCH(ROW()-3,$BE$4:$BE$42,0)))</f>
        <v/>
      </c>
      <c r="BG36">
        <f>BG35+IF(AND(Lists!$BM$36&lt;&gt;"",ISNUMBER(SEARCH($L$4,Lists!$BM$36))),1,0)</f>
        <v/>
      </c>
      <c r="BH36">
        <f>IF(ROW()-3&gt;MAX($BG$4:$BG$42),"",INDEX(Lists!$BM$4:$BM$42,MATCH(ROW()-3,$BG$4:$BG$42,0)))</f>
        <v/>
      </c>
      <c r="BI36">
        <f>BI35+IF(AND(Lists!$BR$36&lt;&gt;"",ISNUMBER(SEARCH($M$4,Lists!$BR$36))),1,0)</f>
        <v/>
      </c>
      <c r="BJ36">
        <f>IF(ROW()-3&gt;MAX($BI$4:$BI$42),"",INDEX(Lists!$BR$4:$BR$42,MATCH(ROW()-3,$BI$4:$BI$42,0)))</f>
        <v/>
      </c>
      <c r="BK36">
        <f>BK35+IF(AND(Lists!$BW$36&lt;&gt;"",ISNUMBER(SEARCH($N$4,Lists!$BW$36))),1,0)</f>
        <v/>
      </c>
      <c r="BL36">
        <f>IF(ROW()-3&gt;MAX($BK$4:$BK$42),"",INDEX(Lists!$BW$4:$BW$42,MATCH(ROW()-3,$BK$4:$BK$42,0)))</f>
        <v/>
      </c>
      <c r="BM36">
        <f>BM35+IF(AND(Lists!$CB$36&lt;&gt;"",ISNUMBER(SEARCH($O$4,Lists!$CB$36))),1,0)</f>
        <v/>
      </c>
      <c r="BN36">
        <f>IF(ROW()-3&gt;MAX($BM$4:$BM$42),"",INDEX(Lists!$CB$4:$CB$42,MATCH(ROW()-3,$BM$4:$BM$42,0)))</f>
        <v/>
      </c>
      <c r="BO36">
        <f>BO35+IF(AND(Lists!$CG$36&lt;&gt;"",ISNUMBER(SEARCH($P$4,Lists!$CG$36))),1,0)</f>
        <v/>
      </c>
      <c r="BP36">
        <f>IF(ROW()-3&gt;MAX($BO$4:$BO$42),"",INDEX(Lists!$CG$4:$CG$42,MATCH(ROW()-3,$BO$4:$BO$42,0)))</f>
        <v/>
      </c>
      <c r="BQ36">
        <f>BQ35+IF(AND(Lists!$CL$36&lt;&gt;"",ISNUMBER(SEARCH($Q$4,Lists!$CL$36))),1,0)</f>
        <v/>
      </c>
      <c r="BR36">
        <f>IF(ROW()-3&gt;MAX($BQ$4:$BQ$42),"",INDEX(Lists!$CL$4:$CL$42,MATCH(ROW()-3,$BQ$4:$BQ$42,0)))</f>
        <v/>
      </c>
      <c r="BS36">
        <f>BS35+IF(AND(Lists!$CQ$36&lt;&gt;"",ISNUMBER(SEARCH($R$4,Lists!$CQ$36))),1,0)</f>
        <v/>
      </c>
      <c r="BT36">
        <f>IF(ROW()-3&gt;MAX($BS$4:$BS$42),"",INDEX(Lists!$CQ$4:$CQ$42,MATCH(ROW()-3,$BS$4:$BS$42,0)))</f>
        <v/>
      </c>
      <c r="BU36">
        <f>BU35+IF(AND(Lists!$CV$36&lt;&gt;"",ISNUMBER(SEARCH($S$4,Lists!$CV$36))),1,0)</f>
        <v/>
      </c>
      <c r="BV36">
        <f>IF(ROW()-3&gt;MAX($BU$4:$BU$42),"",INDEX(Lists!$CV$4:$CV$42,MATCH(ROW()-3,$BU$4:$BU$42,0)))</f>
        <v/>
      </c>
      <c r="BW36">
        <f>BW35+IF(AND(Lists!$DA$36&lt;&gt;"",ISNUMBER(SEARCH($T$4,Lists!$DA$36))),1,0)</f>
        <v/>
      </c>
      <c r="BX36">
        <f>IF(ROW()-3&gt;MAX($BW$4:$BW$42),"",INDEX(Lists!$DA$4:$DA$42,MATCH(ROW()-3,$BW$4:$BW$42,0)))</f>
        <v/>
      </c>
      <c r="BY36">
        <f>BY35+IF(AND(Lists!$DF$36&lt;&gt;"",ISNUMBER(SEARCH($U$4,Lists!$DF$36))),1,0)</f>
        <v/>
      </c>
      <c r="BZ36">
        <f>IF(ROW()-3&gt;MAX($BY$4:$BY$42),"",INDEX(Lists!$DF$4:$DF$42,MATCH(ROW()-3,$BY$4:$BY$42,0)))</f>
        <v/>
      </c>
      <c r="CA36">
        <f>CA35+IF(AND(Lists!$DK$36&lt;&gt;"",ISNUMBER(SEARCH($V$4,Lists!$DK$36))),1,0)</f>
        <v/>
      </c>
      <c r="CB36">
        <f>IF(ROW()-3&gt;MAX($CA$4:$CA$42),"",INDEX(Lists!$DK$4:$DK$42,MATCH(ROW()-3,$CA$4:$CA$42,0)))</f>
        <v/>
      </c>
      <c r="CC36">
        <f>CC35+IF(AND(Lists!$DP$36&lt;&gt;"",ISNUMBER(SEARCH($W$4,Lists!$DP$36))),1,0)</f>
        <v/>
      </c>
      <c r="CD36">
        <f>IF(ROW()-3&gt;MAX($CC$4:$CC$42),"",INDEX(Lists!$DP$4:$DP$42,MATCH(ROW()-3,$CC$4:$CC$42,0)))</f>
        <v/>
      </c>
      <c r="CE36">
        <f>CE35+IF(AND(Lists!$DU$36&lt;&gt;"",ISNUMBER(SEARCH($X$4,Lists!$DU$36))),1,0)</f>
        <v/>
      </c>
      <c r="CF36">
        <f>IF(ROW()-3&gt;MAX($CE$4:$CE$42),"",INDEX(Lists!$DU$4:$DU$42,MATCH(ROW()-3,$CE$4:$CE$42,0)))</f>
        <v/>
      </c>
      <c r="CG36">
        <f>CG35+IF(AND(Lists!$DZ$36&lt;&gt;"",ISNUMBER(SEARCH($Y$4,Lists!$DZ$36))),1,0)</f>
        <v/>
      </c>
      <c r="CH36">
        <f>IF(ROW()-3&gt;MAX($CG$4:$CG$42),"",INDEX(Lists!$DZ$4:$DZ$42,MATCH(ROW()-3,$CG$4:$CG$42,0)))</f>
        <v/>
      </c>
      <c r="CI36">
        <f>CI35+IF(AND(Lists!$EE$36&lt;&gt;"",ISNUMBER(SEARCH($Z$4,Lists!$EE$36))),1,0)</f>
        <v/>
      </c>
      <c r="CJ36">
        <f>IF(ROW()-3&gt;MAX($CI$4:$CI$42),"",INDEX(Lists!$EE$4:$EE$42,MATCH(ROW()-3,$CI$4:$CI$42,0)))</f>
        <v/>
      </c>
      <c r="CK36">
        <f>CK35+IF(AND(Lists!$EJ$36&lt;&gt;"",ISNUMBER(SEARCH($AA$4,Lists!$EJ$36))),1,0)</f>
        <v/>
      </c>
      <c r="CL36">
        <f>IF(ROW()-3&gt;MAX($CK$4:$CK$42),"",INDEX(Lists!$EJ$4:$EJ$42,MATCH(ROW()-3,$CK$4:$CK$42,0)))</f>
        <v/>
      </c>
      <c r="CM36">
        <f>CM35+IF(AND(Lists!$EO$36&lt;&gt;"",ISNUMBER(SEARCH($AB$4,Lists!$EO$36))),1,0)</f>
        <v/>
      </c>
      <c r="CN36">
        <f>IF(ROW()-3&gt;MAX($CM$4:$CM$42),"",INDEX(Lists!$EO$4:$EO$42,MATCH(ROW()-3,$CM$4:$CM$42,0)))</f>
        <v/>
      </c>
      <c r="CO36">
        <f>CO35+IF(AND(Lists!$ET$36&lt;&gt;"",ISNUMBER(SEARCH($AC$4,Lists!$ET$36))),1,0)</f>
        <v/>
      </c>
      <c r="CP36">
        <f>IF(ROW()-3&gt;MAX($CO$4:$CO$42),"",INDEX(Lists!$ET$4:$ET$42,MATCH(ROW()-3,$CO$4:$CO$42,0)))</f>
        <v/>
      </c>
      <c r="CQ36">
        <f>CQ35+IF(AND(Lists!$EY$36&lt;&gt;"",ISNUMBER(SEARCH($AD$4,Lists!$EY$36))),1,0)</f>
        <v/>
      </c>
      <c r="CR36">
        <f>IF(ROW()-3&gt;MAX($CQ$4:$CQ$42),"",INDEX(Lists!$EY$4:$EY$42,MATCH(ROW()-3,$CQ$4:$CQ$42,0)))</f>
        <v/>
      </c>
      <c r="CS36">
        <f>CS35+IF(AND(Lists!$FD$36&lt;&gt;"",ISNUMBER(SEARCH($AE$4,Lists!$FD$36))),1,0)</f>
        <v/>
      </c>
      <c r="CT36">
        <f>IF(ROW()-3&gt;MAX($CS$4:$CS$42),"",INDEX(Lists!$FD$4:$FD$42,MATCH(ROW()-3,$CS$4:$CS$42,0)))</f>
        <v/>
      </c>
      <c r="CU36">
        <f>CU35+IF(AND(Lists!$FI$36&lt;&gt;"",ISNUMBER(SEARCH($AG$4,Lists!$FI$36))),1,0)</f>
        <v/>
      </c>
      <c r="CV36">
        <f>IF(ROW()-3&gt;MAX($CU$4:$CU$42),"",INDEX(Lists!$FI$4:$FI$42,MATCH(ROW()-3,$CU$4:$CU$42,0)))</f>
        <v/>
      </c>
      <c r="CW36">
        <f>CW35+IF(AND(Lists!$FN$36&lt;&gt;"",ISNUMBER(SEARCH($AH$4,Lists!$FN$36))),1,0)</f>
        <v/>
      </c>
      <c r="CX36">
        <f>IF(ROW()-3&gt;MAX($CW$4:$CW$42),"",INDEX(Lists!$FN$4:$FN$42,MATCH(ROW()-3,$CW$4:$CW$42,0)))</f>
        <v/>
      </c>
      <c r="CY36">
        <f>CY35+IF(AND(Lists!$FS$36&lt;&gt;"",ISNUMBER(SEARCH($AI$4,Lists!$FS$36))),1,0)</f>
        <v/>
      </c>
      <c r="CZ36">
        <f>IF(ROW()-3&gt;MAX($CY$4:$CY$42),"",INDEX(Lists!$FS$4:$FS$42,MATCH(ROW()-3,$CY$4:$CY$42,0)))</f>
        <v/>
      </c>
      <c r="DA36">
        <f>DA35+IF(AND(Lists!$FX$36&lt;&gt;"",ISNUMBER(SEARCH($AF$4,Lists!$FX$36))),1,0)</f>
        <v/>
      </c>
      <c r="DB36">
        <f>IF(ROW()-3&gt;MAX($DA$4:$DA$42),"",INDEX(Lists!$FX$4:$FX$42,MATCH(ROW()-3,$DA$4:$DA$42,0)))</f>
        <v/>
      </c>
    </row>
    <row r="37" outlineLevel="1" ht="15" customHeight="1" s="137">
      <c r="A37" s="90" t="n">
        <v>2</v>
      </c>
      <c r="B37" s="92">
        <f>IF('Final Calculation Sheet'!$F$40="","",'Final Calculation Sheet'!$F$40)</f>
        <v/>
      </c>
      <c r="C37" s="92">
        <f>IF('Final Calculation Sheet'!$G$40="","",'Final Calculation Sheet'!$G$40)</f>
        <v/>
      </c>
      <c r="D37" s="94">
        <f>IF('Final Calculation Sheet'!$B$40="","",'Final Calculation Sheet'!$B$40)</f>
        <v/>
      </c>
      <c r="E37" s="94">
        <f>IF('Final Calculation Sheet'!$D$40="","",'Final Calculation Sheet'!$D$40)</f>
        <v/>
      </c>
      <c r="F37" s="94">
        <f>IF('Final Calculation Sheet'!$A$40="","",'Final Calculation Sheet'!$A$40)</f>
        <v/>
      </c>
      <c r="G37" s="94">
        <f>IF('Final Calculation Sheet'!$E$40="","",'Final Calculation Sheet'!$E$40)</f>
        <v/>
      </c>
      <c r="H37" s="95">
        <f>IF('Final Calculation Sheet'!$C$40="","",'Final Calculation Sheet'!$C$40)</f>
        <v/>
      </c>
      <c r="I37" s="95">
        <f>IF('Final Calculation Sheet'!$H$40="","",'Final Calculation Sheet'!$H$40)</f>
        <v/>
      </c>
      <c r="J37" s="95">
        <f>IF('Final Calculation Sheet'!$I$40="","",'Final Calculation Sheet'!$I$40)</f>
        <v/>
      </c>
      <c r="K37" s="95">
        <f>IF('Final Calculation Sheet'!$J$40="","",'Final Calculation Sheet'!$J$40)</f>
        <v/>
      </c>
      <c r="L37" s="95">
        <f>IF('Final Calculation Sheet'!$K$40="","",'Final Calculation Sheet'!$K$40)</f>
        <v/>
      </c>
      <c r="M37" s="95">
        <f>IF('Final Calculation Sheet'!$L$40="","",'Final Calculation Sheet'!$L$40)</f>
        <v/>
      </c>
      <c r="N37" s="95">
        <f>IF('Final Calculation Sheet'!$M$40="","",'Final Calculation Sheet'!$M$40)</f>
        <v/>
      </c>
      <c r="O37" s="96">
        <f>IF('Final Calculation Sheet'!$N$40="","",'Final Calculation Sheet'!$N$40)</f>
        <v/>
      </c>
      <c r="P37" s="95">
        <f>IF('Final Calculation Sheet'!$O$40="","",'Final Calculation Sheet'!$O$40)</f>
        <v/>
      </c>
      <c r="Q37" s="95">
        <f>IF('Final Calculation Sheet'!$P$40="","",'Final Calculation Sheet'!$P$40)</f>
        <v/>
      </c>
      <c r="R37" s="97">
        <f>IF('Final Calculation Sheet'!$Q$40="","",'Final Calculation Sheet'!$Q$40)</f>
        <v/>
      </c>
      <c r="S37" s="95">
        <f>IF('Final Calculation Sheet'!$R$40="","",'Final Calculation Sheet'!$R$40)</f>
        <v/>
      </c>
      <c r="T37" s="95">
        <f>IF('Final Calculation Sheet'!$S$40="","",'Final Calculation Sheet'!$S$40)</f>
        <v/>
      </c>
      <c r="U37" s="95">
        <f>IF('Final Calculation Sheet'!$T$40="","",'Final Calculation Sheet'!$T$40)</f>
        <v/>
      </c>
      <c r="V37" s="98">
        <f>IF('Final Calculation Sheet'!$U$40="","",'Final Calculation Sheet'!$U$40)</f>
        <v/>
      </c>
      <c r="W37" s="95">
        <f>IF('Final Calculation Sheet'!$V$40="","",'Final Calculation Sheet'!$V$40)</f>
        <v/>
      </c>
      <c r="X37" s="95">
        <f>IF('Final Calculation Sheet'!$W$40="","",'Final Calculation Sheet'!$W$40)</f>
        <v/>
      </c>
      <c r="Y37" s="95">
        <f>IF('Final Calculation Sheet'!$X$40="","",'Final Calculation Sheet'!$X$40)</f>
        <v/>
      </c>
      <c r="Z37" s="95">
        <f>IF('Final Calculation Sheet'!$Y$40="","",'Final Calculation Sheet'!$Y$40)</f>
        <v/>
      </c>
      <c r="AA37" s="95">
        <f>IF('Final Calculation Sheet'!$Z$40="","",'Final Calculation Sheet'!$Z$40)</f>
        <v/>
      </c>
      <c r="AB37" s="95">
        <f>IF('Final Calculation Sheet'!$AA$40="","",'Final Calculation Sheet'!$AA$40)</f>
        <v/>
      </c>
      <c r="AC37" s="95">
        <f>IF('Final Calculation Sheet'!$AB$40="","",'Final Calculation Sheet'!$AB$40)</f>
        <v/>
      </c>
      <c r="AD37" s="95">
        <f>IF('Final Calculation Sheet'!$AC$40="","",'Final Calculation Sheet'!$AC$40)</f>
        <v/>
      </c>
      <c r="AE37" s="95">
        <f>IF('Final Calculation Sheet'!$AD$40="","",'Final Calculation Sheet'!$AD$40)</f>
        <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
      </c>
      <c r="AK37">
        <f>IF(AJ37=1,COUNTIF(AJ$6:AJ37,1),"")</f>
        <v/>
      </c>
      <c r="AM37">
        <f>AM36+IF(AND(Lists!$O$37&lt;&gt;"",ISNUMBER(SEARCH($B$4,Lists!$O$37))),1,0)</f>
        <v/>
      </c>
      <c r="AN37">
        <f>IF(ROW()-3&gt;MAX($AM$4:$AM$42),"",INDEX(Lists!$O$4:$O$42,MATCH(ROW()-3,$AM$4:$AM$42,0)))</f>
        <v/>
      </c>
      <c r="AO37">
        <f>AO36+IF(AND(Lists!$T$37&lt;&gt;"",ISNUMBER(SEARCH($C$4,Lists!$T$37))),1,0)</f>
        <v/>
      </c>
      <c r="AP37">
        <f>IF(ROW()-3&gt;MAX($AO$4:$AO$42),"",INDEX(Lists!$T$4:$T$42,MATCH(ROW()-3,$AO$4:$AO$42,0)))</f>
        <v/>
      </c>
      <c r="AQ37">
        <f>AQ36+IF(AND(Lists!$Y$37&lt;&gt;"",ISNUMBER(SEARCH($D$4,Lists!$Y$37))),1,0)</f>
        <v/>
      </c>
      <c r="AR37">
        <f>IF(ROW()-3&gt;MAX($AQ$4:$AQ$42),"",INDEX(Lists!$Y$4:$Y$42,MATCH(ROW()-3,$AQ$4:$AQ$42,0)))</f>
        <v/>
      </c>
      <c r="AS37">
        <f>AS36+IF(AND(Lists!$AD$37&lt;&gt;"",ISNUMBER(SEARCH($E$4,Lists!$AD$37))),1,0)</f>
        <v/>
      </c>
      <c r="AT37">
        <f>IF(ROW()-3&gt;MAX($AS$4:$AS$42),"",INDEX(Lists!$AD$4:$AD$42,MATCH(ROW()-3,$AS$4:$AS$42,0)))</f>
        <v/>
      </c>
      <c r="AU37">
        <f>AU36+IF(AND(Lists!$AI$37&lt;&gt;"",ISNUMBER(SEARCH($F$4,Lists!$AI$37))),1,0)</f>
        <v/>
      </c>
      <c r="AV37">
        <f>IF(ROW()-3&gt;MAX($AU$4:$AU$42),"",INDEX(Lists!$AI$4:$AI$42,MATCH(ROW()-3,$AU$4:$AU$42,0)))</f>
        <v/>
      </c>
      <c r="AW37">
        <f>AW36+IF(AND(Lists!$AN$37&lt;&gt;"",ISNUMBER(SEARCH($G$4,Lists!$AN$37))),1,0)</f>
        <v/>
      </c>
      <c r="AX37">
        <f>IF(ROW()-3&gt;MAX($AW$4:$AW$42),"",INDEX(Lists!$AN$4:$AN$42,MATCH(ROW()-3,$AW$4:$AW$42,0)))</f>
        <v/>
      </c>
      <c r="AY37">
        <f>AY36+IF(AND(Lists!$AS$37&lt;&gt;"",ISNUMBER(SEARCH($H$4,Lists!$AS$37))),1,0)</f>
        <v/>
      </c>
      <c r="AZ37">
        <f>IF(ROW()-3&gt;MAX($AY$4:$AY$42),"",INDEX(Lists!$AS$4:$AS$42,MATCH(ROW()-3,$AY$4:$AY$42,0)))</f>
        <v/>
      </c>
      <c r="BA37">
        <f>BA36+IF(AND(Lists!$AX$37&lt;&gt;"",ISNUMBER(SEARCH($I$4,Lists!$AX$37))),1,0)</f>
        <v/>
      </c>
      <c r="BB37">
        <f>IF(ROW()-3&gt;MAX($BA$4:$BA$42),"",INDEX(Lists!$AX$4:$AX$42,MATCH(ROW()-3,$BA$4:$BA$42,0)))</f>
        <v/>
      </c>
      <c r="BC37">
        <f>BC36+IF(AND(Lists!$BC$37&lt;&gt;"",ISNUMBER(SEARCH($J$4,Lists!$BC$37))),1,0)</f>
        <v/>
      </c>
      <c r="BD37">
        <f>IF(ROW()-3&gt;MAX($BC$4:$BC$42),"",INDEX(Lists!$BC$4:$BC$42,MATCH(ROW()-3,$BC$4:$BC$42,0)))</f>
        <v/>
      </c>
      <c r="BE37">
        <f>BE36+IF(AND(Lists!$BH$37&lt;&gt;"",ISNUMBER(SEARCH($K$4,Lists!$BH$37))),1,0)</f>
        <v/>
      </c>
      <c r="BF37">
        <f>IF(ROW()-3&gt;MAX($BE$4:$BE$42),"",INDEX(Lists!$BH$4:$BH$42,MATCH(ROW()-3,$BE$4:$BE$42,0)))</f>
        <v/>
      </c>
      <c r="BG37">
        <f>BG36+IF(AND(Lists!$BM$37&lt;&gt;"",ISNUMBER(SEARCH($L$4,Lists!$BM$37))),1,0)</f>
        <v/>
      </c>
      <c r="BH37">
        <f>IF(ROW()-3&gt;MAX($BG$4:$BG$42),"",INDEX(Lists!$BM$4:$BM$42,MATCH(ROW()-3,$BG$4:$BG$42,0)))</f>
        <v/>
      </c>
      <c r="BI37">
        <f>BI36+IF(AND(Lists!$BR$37&lt;&gt;"",ISNUMBER(SEARCH($M$4,Lists!$BR$37))),1,0)</f>
        <v/>
      </c>
      <c r="BJ37">
        <f>IF(ROW()-3&gt;MAX($BI$4:$BI$42),"",INDEX(Lists!$BR$4:$BR$42,MATCH(ROW()-3,$BI$4:$BI$42,0)))</f>
        <v/>
      </c>
      <c r="BK37">
        <f>BK36+IF(AND(Lists!$BW$37&lt;&gt;"",ISNUMBER(SEARCH($N$4,Lists!$BW$37))),1,0)</f>
        <v/>
      </c>
      <c r="BL37">
        <f>IF(ROW()-3&gt;MAX($BK$4:$BK$42),"",INDEX(Lists!$BW$4:$BW$42,MATCH(ROW()-3,$BK$4:$BK$42,0)))</f>
        <v/>
      </c>
      <c r="BM37">
        <f>BM36+IF(AND(Lists!$CB$37&lt;&gt;"",ISNUMBER(SEARCH($O$4,Lists!$CB$37))),1,0)</f>
        <v/>
      </c>
      <c r="BN37">
        <f>IF(ROW()-3&gt;MAX($BM$4:$BM$42),"",INDEX(Lists!$CB$4:$CB$42,MATCH(ROW()-3,$BM$4:$BM$42,0)))</f>
        <v/>
      </c>
      <c r="BO37">
        <f>BO36+IF(AND(Lists!$CG$37&lt;&gt;"",ISNUMBER(SEARCH($P$4,Lists!$CG$37))),1,0)</f>
        <v/>
      </c>
      <c r="BP37">
        <f>IF(ROW()-3&gt;MAX($BO$4:$BO$42),"",INDEX(Lists!$CG$4:$CG$42,MATCH(ROW()-3,$BO$4:$BO$42,0)))</f>
        <v/>
      </c>
      <c r="BQ37">
        <f>BQ36+IF(AND(Lists!$CL$37&lt;&gt;"",ISNUMBER(SEARCH($Q$4,Lists!$CL$37))),1,0)</f>
        <v/>
      </c>
      <c r="BR37">
        <f>IF(ROW()-3&gt;MAX($BQ$4:$BQ$42),"",INDEX(Lists!$CL$4:$CL$42,MATCH(ROW()-3,$BQ$4:$BQ$42,0)))</f>
        <v/>
      </c>
      <c r="BS37">
        <f>BS36+IF(AND(Lists!$CQ$37&lt;&gt;"",ISNUMBER(SEARCH($R$4,Lists!$CQ$37))),1,0)</f>
        <v/>
      </c>
      <c r="BT37">
        <f>IF(ROW()-3&gt;MAX($BS$4:$BS$42),"",INDEX(Lists!$CQ$4:$CQ$42,MATCH(ROW()-3,$BS$4:$BS$42,0)))</f>
        <v/>
      </c>
      <c r="BU37">
        <f>BU36+IF(AND(Lists!$CV$37&lt;&gt;"",ISNUMBER(SEARCH($S$4,Lists!$CV$37))),1,0)</f>
        <v/>
      </c>
      <c r="BV37">
        <f>IF(ROW()-3&gt;MAX($BU$4:$BU$42),"",INDEX(Lists!$CV$4:$CV$42,MATCH(ROW()-3,$BU$4:$BU$42,0)))</f>
        <v/>
      </c>
      <c r="BW37">
        <f>BW36+IF(AND(Lists!$DA$37&lt;&gt;"",ISNUMBER(SEARCH($T$4,Lists!$DA$37))),1,0)</f>
        <v/>
      </c>
      <c r="BX37">
        <f>IF(ROW()-3&gt;MAX($BW$4:$BW$42),"",INDEX(Lists!$DA$4:$DA$42,MATCH(ROW()-3,$BW$4:$BW$42,0)))</f>
        <v/>
      </c>
      <c r="BY37">
        <f>BY36+IF(AND(Lists!$DF$37&lt;&gt;"",ISNUMBER(SEARCH($U$4,Lists!$DF$37))),1,0)</f>
        <v/>
      </c>
      <c r="BZ37">
        <f>IF(ROW()-3&gt;MAX($BY$4:$BY$42),"",INDEX(Lists!$DF$4:$DF$42,MATCH(ROW()-3,$BY$4:$BY$42,0)))</f>
        <v/>
      </c>
      <c r="CA37">
        <f>CA36+IF(AND(Lists!$DK$37&lt;&gt;"",ISNUMBER(SEARCH($V$4,Lists!$DK$37))),1,0)</f>
        <v/>
      </c>
      <c r="CB37">
        <f>IF(ROW()-3&gt;MAX($CA$4:$CA$42),"",INDEX(Lists!$DK$4:$DK$42,MATCH(ROW()-3,$CA$4:$CA$42,0)))</f>
        <v/>
      </c>
      <c r="CC37">
        <f>CC36+IF(AND(Lists!$DP$37&lt;&gt;"",ISNUMBER(SEARCH($W$4,Lists!$DP$37))),1,0)</f>
        <v/>
      </c>
      <c r="CD37">
        <f>IF(ROW()-3&gt;MAX($CC$4:$CC$42),"",INDEX(Lists!$DP$4:$DP$42,MATCH(ROW()-3,$CC$4:$CC$42,0)))</f>
        <v/>
      </c>
      <c r="CE37">
        <f>CE36+IF(AND(Lists!$DU$37&lt;&gt;"",ISNUMBER(SEARCH($X$4,Lists!$DU$37))),1,0)</f>
        <v/>
      </c>
      <c r="CF37">
        <f>IF(ROW()-3&gt;MAX($CE$4:$CE$42),"",INDEX(Lists!$DU$4:$DU$42,MATCH(ROW()-3,$CE$4:$CE$42,0)))</f>
        <v/>
      </c>
      <c r="CG37">
        <f>CG36+IF(AND(Lists!$DZ$37&lt;&gt;"",ISNUMBER(SEARCH($Y$4,Lists!$DZ$37))),1,0)</f>
        <v/>
      </c>
      <c r="CH37">
        <f>IF(ROW()-3&gt;MAX($CG$4:$CG$42),"",INDEX(Lists!$DZ$4:$DZ$42,MATCH(ROW()-3,$CG$4:$CG$42,0)))</f>
        <v/>
      </c>
      <c r="CI37">
        <f>CI36+IF(AND(Lists!$EE$37&lt;&gt;"",ISNUMBER(SEARCH($Z$4,Lists!$EE$37))),1,0)</f>
        <v/>
      </c>
      <c r="CJ37">
        <f>IF(ROW()-3&gt;MAX($CI$4:$CI$42),"",INDEX(Lists!$EE$4:$EE$42,MATCH(ROW()-3,$CI$4:$CI$42,0)))</f>
        <v/>
      </c>
      <c r="CK37">
        <f>CK36+IF(AND(Lists!$EJ$37&lt;&gt;"",ISNUMBER(SEARCH($AA$4,Lists!$EJ$37))),1,0)</f>
        <v/>
      </c>
      <c r="CL37">
        <f>IF(ROW()-3&gt;MAX($CK$4:$CK$42),"",INDEX(Lists!$EJ$4:$EJ$42,MATCH(ROW()-3,$CK$4:$CK$42,0)))</f>
        <v/>
      </c>
      <c r="CM37">
        <f>CM36+IF(AND(Lists!$EO$37&lt;&gt;"",ISNUMBER(SEARCH($AB$4,Lists!$EO$37))),1,0)</f>
        <v/>
      </c>
      <c r="CN37">
        <f>IF(ROW()-3&gt;MAX($CM$4:$CM$42),"",INDEX(Lists!$EO$4:$EO$42,MATCH(ROW()-3,$CM$4:$CM$42,0)))</f>
        <v/>
      </c>
      <c r="CO37">
        <f>CO36+IF(AND(Lists!$ET$37&lt;&gt;"",ISNUMBER(SEARCH($AC$4,Lists!$ET$37))),1,0)</f>
        <v/>
      </c>
      <c r="CP37">
        <f>IF(ROW()-3&gt;MAX($CO$4:$CO$42),"",INDEX(Lists!$ET$4:$ET$42,MATCH(ROW()-3,$CO$4:$CO$42,0)))</f>
        <v/>
      </c>
      <c r="CQ37">
        <f>CQ36+IF(AND(Lists!$EY$37&lt;&gt;"",ISNUMBER(SEARCH($AD$4,Lists!$EY$37))),1,0)</f>
        <v/>
      </c>
      <c r="CR37">
        <f>IF(ROW()-3&gt;MAX($CQ$4:$CQ$42),"",INDEX(Lists!$EY$4:$EY$42,MATCH(ROW()-3,$CQ$4:$CQ$42,0)))</f>
        <v/>
      </c>
      <c r="CS37">
        <f>CS36+IF(AND(Lists!$FD$37&lt;&gt;"",ISNUMBER(SEARCH($AE$4,Lists!$FD$37))),1,0)</f>
        <v/>
      </c>
      <c r="CT37">
        <f>IF(ROW()-3&gt;MAX($CS$4:$CS$42),"",INDEX(Lists!$FD$4:$FD$42,MATCH(ROW()-3,$CS$4:$CS$42,0)))</f>
        <v/>
      </c>
      <c r="CU37">
        <f>CU36+IF(AND(Lists!$FI$37&lt;&gt;"",ISNUMBER(SEARCH($AG$4,Lists!$FI$37))),1,0)</f>
        <v/>
      </c>
      <c r="CV37">
        <f>IF(ROW()-3&gt;MAX($CU$4:$CU$42),"",INDEX(Lists!$FI$4:$FI$42,MATCH(ROW()-3,$CU$4:$CU$42,0)))</f>
        <v/>
      </c>
      <c r="CW37">
        <f>CW36+IF(AND(Lists!$FN$37&lt;&gt;"",ISNUMBER(SEARCH($AH$4,Lists!$FN$37))),1,0)</f>
        <v/>
      </c>
      <c r="CX37">
        <f>IF(ROW()-3&gt;MAX($CW$4:$CW$42),"",INDEX(Lists!$FN$4:$FN$42,MATCH(ROW()-3,$CW$4:$CW$42,0)))</f>
        <v/>
      </c>
      <c r="CY37">
        <f>CY36+IF(AND(Lists!$FS$37&lt;&gt;"",ISNUMBER(SEARCH($AI$4,Lists!$FS$37))),1,0)</f>
        <v/>
      </c>
      <c r="CZ37">
        <f>IF(ROW()-3&gt;MAX($CY$4:$CY$42),"",INDEX(Lists!$FS$4:$FS$42,MATCH(ROW()-3,$CY$4:$CY$42,0)))</f>
        <v/>
      </c>
      <c r="DA37">
        <f>DA36+IF(AND(Lists!$FX$37&lt;&gt;"",ISNUMBER(SEARCH($AF$4,Lists!$FX$37))),1,0)</f>
        <v/>
      </c>
      <c r="DB37">
        <f>IF(ROW()-3&gt;MAX($DA$4:$DA$42),"",INDEX(Lists!$FX$4:$FX$42,MATCH(ROW()-3,$DA$4:$DA$42,0)))</f>
        <v/>
      </c>
    </row>
    <row r="38" ht="15" customHeight="1" s="137">
      <c r="A38" s="81" t="inlineStr">
        <is>
          <t>∑</t>
        </is>
      </c>
      <c r="B38" s="83" t="n"/>
      <c r="C38" s="83">
        <f>ROWS($C$36:$C$37)&amp;" lot(s)"</f>
        <v/>
      </c>
      <c r="D38" s="83" t="inlineStr">
        <is>
          <t>SUBTOTAL — S M ENTERPRISES</t>
        </is>
      </c>
      <c r="E38" s="83" t="inlineStr">
        <is>
          <t>–</t>
        </is>
      </c>
      <c r="F38" s="83">
        <f>SUM(F36:F37)</f>
        <v/>
      </c>
      <c r="G38" s="83" t="inlineStr">
        <is>
          <t>–</t>
        </is>
      </c>
      <c r="H38" s="84" t="inlineStr">
        <is>
          <t>–</t>
        </is>
      </c>
      <c r="I38" s="84">
        <f>SUM(I36:I37)</f>
        <v/>
      </c>
      <c r="J38" s="84">
        <f>SUM(J36:J37)</f>
        <v/>
      </c>
      <c r="K38" s="84">
        <f>SUM(K36:K37)</f>
        <v/>
      </c>
      <c r="L38" s="84">
        <f>SUM(L36:L37)</f>
        <v/>
      </c>
      <c r="M38" s="84">
        <f>SUM(M36:M37)</f>
        <v/>
      </c>
      <c r="N38" s="84">
        <f>SUM(N36:N37)</f>
        <v/>
      </c>
      <c r="O38" s="85">
        <f>SUM(O36:O37)</f>
        <v/>
      </c>
      <c r="P38" s="84">
        <f>SUM(P36:P37)</f>
        <v/>
      </c>
      <c r="Q38" s="84">
        <f>SUM(Q36:Q37)</f>
        <v/>
      </c>
      <c r="R38" s="86" t="inlineStr">
        <is>
          <t>–</t>
        </is>
      </c>
      <c r="S38" s="84">
        <f>SUM(S36:S37)</f>
        <v/>
      </c>
      <c r="T38" s="84">
        <f>SUM(T36:T37)</f>
        <v/>
      </c>
      <c r="U38" s="84">
        <f>SUM(U36:U37)</f>
        <v/>
      </c>
      <c r="V38" s="87">
        <f>SUM(V36:V37)</f>
        <v/>
      </c>
      <c r="W38" s="84" t="inlineStr">
        <is>
          <t>–</t>
        </is>
      </c>
      <c r="X38" s="84">
        <f>SUM(X36:X37)</f>
        <v/>
      </c>
      <c r="Y38" s="84">
        <f>SUM(Y36:Y37)</f>
        <v/>
      </c>
      <c r="Z38" s="84" t="inlineStr">
        <is>
          <t>–</t>
        </is>
      </c>
      <c r="AA38" s="84">
        <f>SUM(AA36:AA37)</f>
        <v/>
      </c>
      <c r="AB38" s="84">
        <f>SUM(AB36:AB37)</f>
        <v/>
      </c>
      <c r="AC38" s="84" t="inlineStr">
        <is>
          <t>–</t>
        </is>
      </c>
      <c r="AD38" s="84">
        <f>SUM(AD36:AD37)</f>
        <v/>
      </c>
      <c r="AE38" s="84">
        <f>SUM(AE36:AE37)</f>
        <v/>
      </c>
      <c r="AF38" s="89">
        <f>IF(AE38&lt;=5,"SETTLED","OUTSTANDING")</f>
        <v/>
      </c>
      <c r="AG38" s="84" t="inlineStr">
        <is>
          <t>–</t>
        </is>
      </c>
      <c r="AH38" s="88" t="inlineStr">
        <is>
          <t>–</t>
        </is>
      </c>
      <c r="AI38" s="84" t="inlineStr">
        <is>
          <t>–</t>
        </is>
      </c>
      <c r="AJ38">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
      </c>
      <c r="AK38">
        <f>IF(AJ38=1,COUNTIF(AJ$6:AJ38,1),"")</f>
        <v/>
      </c>
      <c r="AM38">
        <f>AM37+IF(AND(Lists!$O$38&lt;&gt;"",ISNUMBER(SEARCH($B$4,Lists!$O$38))),1,0)</f>
        <v/>
      </c>
      <c r="AN38">
        <f>IF(ROW()-3&gt;MAX($AM$4:$AM$42),"",INDEX(Lists!$O$4:$O$42,MATCH(ROW()-3,$AM$4:$AM$42,0)))</f>
        <v/>
      </c>
      <c r="AO38">
        <f>AO37+IF(AND(Lists!$T$38&lt;&gt;"",ISNUMBER(SEARCH($C$4,Lists!$T$38))),1,0)</f>
        <v/>
      </c>
      <c r="AP38">
        <f>IF(ROW()-3&gt;MAX($AO$4:$AO$42),"",INDEX(Lists!$T$4:$T$42,MATCH(ROW()-3,$AO$4:$AO$42,0)))</f>
        <v/>
      </c>
      <c r="AQ38">
        <f>AQ37+IF(AND(Lists!$Y$38&lt;&gt;"",ISNUMBER(SEARCH($D$4,Lists!$Y$38))),1,0)</f>
        <v/>
      </c>
      <c r="AR38">
        <f>IF(ROW()-3&gt;MAX($AQ$4:$AQ$42),"",INDEX(Lists!$Y$4:$Y$42,MATCH(ROW()-3,$AQ$4:$AQ$42,0)))</f>
        <v/>
      </c>
      <c r="AS38">
        <f>AS37+IF(AND(Lists!$AD$38&lt;&gt;"",ISNUMBER(SEARCH($E$4,Lists!$AD$38))),1,0)</f>
        <v/>
      </c>
      <c r="AT38">
        <f>IF(ROW()-3&gt;MAX($AS$4:$AS$42),"",INDEX(Lists!$AD$4:$AD$42,MATCH(ROW()-3,$AS$4:$AS$42,0)))</f>
        <v/>
      </c>
      <c r="AU38">
        <f>AU37+IF(AND(Lists!$AI$38&lt;&gt;"",ISNUMBER(SEARCH($F$4,Lists!$AI$38))),1,0)</f>
        <v/>
      </c>
      <c r="AV38">
        <f>IF(ROW()-3&gt;MAX($AU$4:$AU$42),"",INDEX(Lists!$AI$4:$AI$42,MATCH(ROW()-3,$AU$4:$AU$42,0)))</f>
        <v/>
      </c>
      <c r="AW38">
        <f>AW37+IF(AND(Lists!$AN$38&lt;&gt;"",ISNUMBER(SEARCH($G$4,Lists!$AN$38))),1,0)</f>
        <v/>
      </c>
      <c r="AX38">
        <f>IF(ROW()-3&gt;MAX($AW$4:$AW$42),"",INDEX(Lists!$AN$4:$AN$42,MATCH(ROW()-3,$AW$4:$AW$42,0)))</f>
        <v/>
      </c>
      <c r="AY38">
        <f>AY37+IF(AND(Lists!$AS$38&lt;&gt;"",ISNUMBER(SEARCH($H$4,Lists!$AS$38))),1,0)</f>
        <v/>
      </c>
      <c r="AZ38">
        <f>IF(ROW()-3&gt;MAX($AY$4:$AY$42),"",INDEX(Lists!$AS$4:$AS$42,MATCH(ROW()-3,$AY$4:$AY$42,0)))</f>
        <v/>
      </c>
      <c r="BA38">
        <f>BA37+IF(AND(Lists!$AX$38&lt;&gt;"",ISNUMBER(SEARCH($I$4,Lists!$AX$38))),1,0)</f>
        <v/>
      </c>
      <c r="BB38">
        <f>IF(ROW()-3&gt;MAX($BA$4:$BA$42),"",INDEX(Lists!$AX$4:$AX$42,MATCH(ROW()-3,$BA$4:$BA$42,0)))</f>
        <v/>
      </c>
      <c r="BC38">
        <f>BC37+IF(AND(Lists!$BC$38&lt;&gt;"",ISNUMBER(SEARCH($J$4,Lists!$BC$38))),1,0)</f>
        <v/>
      </c>
      <c r="BD38">
        <f>IF(ROW()-3&gt;MAX($BC$4:$BC$42),"",INDEX(Lists!$BC$4:$BC$42,MATCH(ROW()-3,$BC$4:$BC$42,0)))</f>
        <v/>
      </c>
      <c r="BE38">
        <f>BE37+IF(AND(Lists!$BH$38&lt;&gt;"",ISNUMBER(SEARCH($K$4,Lists!$BH$38))),1,0)</f>
        <v/>
      </c>
      <c r="BF38">
        <f>IF(ROW()-3&gt;MAX($BE$4:$BE$42),"",INDEX(Lists!$BH$4:$BH$42,MATCH(ROW()-3,$BE$4:$BE$42,0)))</f>
        <v/>
      </c>
      <c r="BG38">
        <f>BG37+IF(AND(Lists!$BM$38&lt;&gt;"",ISNUMBER(SEARCH($L$4,Lists!$BM$38))),1,0)</f>
        <v/>
      </c>
      <c r="BH38">
        <f>IF(ROW()-3&gt;MAX($BG$4:$BG$42),"",INDEX(Lists!$BM$4:$BM$42,MATCH(ROW()-3,$BG$4:$BG$42,0)))</f>
        <v/>
      </c>
      <c r="BI38">
        <f>BI37+IF(AND(Lists!$BR$38&lt;&gt;"",ISNUMBER(SEARCH($M$4,Lists!$BR$38))),1,0)</f>
        <v/>
      </c>
      <c r="BJ38">
        <f>IF(ROW()-3&gt;MAX($BI$4:$BI$42),"",INDEX(Lists!$BR$4:$BR$42,MATCH(ROW()-3,$BI$4:$BI$42,0)))</f>
        <v/>
      </c>
      <c r="BK38">
        <f>BK37+IF(AND(Lists!$BW$38&lt;&gt;"",ISNUMBER(SEARCH($N$4,Lists!$BW$38))),1,0)</f>
        <v/>
      </c>
      <c r="BL38">
        <f>IF(ROW()-3&gt;MAX($BK$4:$BK$42),"",INDEX(Lists!$BW$4:$BW$42,MATCH(ROW()-3,$BK$4:$BK$42,0)))</f>
        <v/>
      </c>
      <c r="BM38">
        <f>BM37+IF(AND(Lists!$CB$38&lt;&gt;"",ISNUMBER(SEARCH($O$4,Lists!$CB$38))),1,0)</f>
        <v/>
      </c>
      <c r="BN38">
        <f>IF(ROW()-3&gt;MAX($BM$4:$BM$42),"",INDEX(Lists!$CB$4:$CB$42,MATCH(ROW()-3,$BM$4:$BM$42,0)))</f>
        <v/>
      </c>
      <c r="BO38">
        <f>BO37+IF(AND(Lists!$CG$38&lt;&gt;"",ISNUMBER(SEARCH($P$4,Lists!$CG$38))),1,0)</f>
        <v/>
      </c>
      <c r="BP38">
        <f>IF(ROW()-3&gt;MAX($BO$4:$BO$42),"",INDEX(Lists!$CG$4:$CG$42,MATCH(ROW()-3,$BO$4:$BO$42,0)))</f>
        <v/>
      </c>
      <c r="BQ38">
        <f>BQ37+IF(AND(Lists!$CL$38&lt;&gt;"",ISNUMBER(SEARCH($Q$4,Lists!$CL$38))),1,0)</f>
        <v/>
      </c>
      <c r="BR38">
        <f>IF(ROW()-3&gt;MAX($BQ$4:$BQ$42),"",INDEX(Lists!$CL$4:$CL$42,MATCH(ROW()-3,$BQ$4:$BQ$42,0)))</f>
        <v/>
      </c>
      <c r="BS38">
        <f>BS37+IF(AND(Lists!$CQ$38&lt;&gt;"",ISNUMBER(SEARCH($R$4,Lists!$CQ$38))),1,0)</f>
        <v/>
      </c>
      <c r="BT38">
        <f>IF(ROW()-3&gt;MAX($BS$4:$BS$42),"",INDEX(Lists!$CQ$4:$CQ$42,MATCH(ROW()-3,$BS$4:$BS$42,0)))</f>
        <v/>
      </c>
      <c r="BU38">
        <f>BU37+IF(AND(Lists!$CV$38&lt;&gt;"",ISNUMBER(SEARCH($S$4,Lists!$CV$38))),1,0)</f>
        <v/>
      </c>
      <c r="BV38">
        <f>IF(ROW()-3&gt;MAX($BU$4:$BU$42),"",INDEX(Lists!$CV$4:$CV$42,MATCH(ROW()-3,$BU$4:$BU$42,0)))</f>
        <v/>
      </c>
      <c r="BW38">
        <f>BW37+IF(AND(Lists!$DA$38&lt;&gt;"",ISNUMBER(SEARCH($T$4,Lists!$DA$38))),1,0)</f>
        <v/>
      </c>
      <c r="BX38">
        <f>IF(ROW()-3&gt;MAX($BW$4:$BW$42),"",INDEX(Lists!$DA$4:$DA$42,MATCH(ROW()-3,$BW$4:$BW$42,0)))</f>
        <v/>
      </c>
      <c r="BY38">
        <f>BY37+IF(AND(Lists!$DF$38&lt;&gt;"",ISNUMBER(SEARCH($U$4,Lists!$DF$38))),1,0)</f>
        <v/>
      </c>
      <c r="BZ38">
        <f>IF(ROW()-3&gt;MAX($BY$4:$BY$42),"",INDEX(Lists!$DF$4:$DF$42,MATCH(ROW()-3,$BY$4:$BY$42,0)))</f>
        <v/>
      </c>
      <c r="CA38">
        <f>CA37+IF(AND(Lists!$DK$38&lt;&gt;"",ISNUMBER(SEARCH($V$4,Lists!$DK$38))),1,0)</f>
        <v/>
      </c>
      <c r="CB38">
        <f>IF(ROW()-3&gt;MAX($CA$4:$CA$42),"",INDEX(Lists!$DK$4:$DK$42,MATCH(ROW()-3,$CA$4:$CA$42,0)))</f>
        <v/>
      </c>
      <c r="CC38">
        <f>CC37+IF(AND(Lists!$DP$38&lt;&gt;"",ISNUMBER(SEARCH($W$4,Lists!$DP$38))),1,0)</f>
        <v/>
      </c>
      <c r="CD38">
        <f>IF(ROW()-3&gt;MAX($CC$4:$CC$42),"",INDEX(Lists!$DP$4:$DP$42,MATCH(ROW()-3,$CC$4:$CC$42,0)))</f>
        <v/>
      </c>
      <c r="CE38">
        <f>CE37+IF(AND(Lists!$DU$38&lt;&gt;"",ISNUMBER(SEARCH($X$4,Lists!$DU$38))),1,0)</f>
        <v/>
      </c>
      <c r="CF38">
        <f>IF(ROW()-3&gt;MAX($CE$4:$CE$42),"",INDEX(Lists!$DU$4:$DU$42,MATCH(ROW()-3,$CE$4:$CE$42,0)))</f>
        <v/>
      </c>
      <c r="CG38">
        <f>CG37+IF(AND(Lists!$DZ$38&lt;&gt;"",ISNUMBER(SEARCH($Y$4,Lists!$DZ$38))),1,0)</f>
        <v/>
      </c>
      <c r="CH38">
        <f>IF(ROW()-3&gt;MAX($CG$4:$CG$42),"",INDEX(Lists!$DZ$4:$DZ$42,MATCH(ROW()-3,$CG$4:$CG$42,0)))</f>
        <v/>
      </c>
      <c r="CI38">
        <f>CI37+IF(AND(Lists!$EE$38&lt;&gt;"",ISNUMBER(SEARCH($Z$4,Lists!$EE$38))),1,0)</f>
        <v/>
      </c>
      <c r="CJ38">
        <f>IF(ROW()-3&gt;MAX($CI$4:$CI$42),"",INDEX(Lists!$EE$4:$EE$42,MATCH(ROW()-3,$CI$4:$CI$42,0)))</f>
        <v/>
      </c>
      <c r="CK38">
        <f>CK37+IF(AND(Lists!$EJ$38&lt;&gt;"",ISNUMBER(SEARCH($AA$4,Lists!$EJ$38))),1,0)</f>
        <v/>
      </c>
      <c r="CL38">
        <f>IF(ROW()-3&gt;MAX($CK$4:$CK$42),"",INDEX(Lists!$EJ$4:$EJ$42,MATCH(ROW()-3,$CK$4:$CK$42,0)))</f>
        <v/>
      </c>
      <c r="CM38">
        <f>CM37+IF(AND(Lists!$EO$38&lt;&gt;"",ISNUMBER(SEARCH($AB$4,Lists!$EO$38))),1,0)</f>
        <v/>
      </c>
      <c r="CN38">
        <f>IF(ROW()-3&gt;MAX($CM$4:$CM$42),"",INDEX(Lists!$EO$4:$EO$42,MATCH(ROW()-3,$CM$4:$CM$42,0)))</f>
        <v/>
      </c>
      <c r="CO38">
        <f>CO37+IF(AND(Lists!$ET$38&lt;&gt;"",ISNUMBER(SEARCH($AC$4,Lists!$ET$38))),1,0)</f>
        <v/>
      </c>
      <c r="CP38">
        <f>IF(ROW()-3&gt;MAX($CO$4:$CO$42),"",INDEX(Lists!$ET$4:$ET$42,MATCH(ROW()-3,$CO$4:$CO$42,0)))</f>
        <v/>
      </c>
      <c r="CQ38">
        <f>CQ37+IF(AND(Lists!$EY$38&lt;&gt;"",ISNUMBER(SEARCH($AD$4,Lists!$EY$38))),1,0)</f>
        <v/>
      </c>
      <c r="CR38">
        <f>IF(ROW()-3&gt;MAX($CQ$4:$CQ$42),"",INDEX(Lists!$EY$4:$EY$42,MATCH(ROW()-3,$CQ$4:$CQ$42,0)))</f>
        <v/>
      </c>
      <c r="CS38">
        <f>CS37+IF(AND(Lists!$FD$38&lt;&gt;"",ISNUMBER(SEARCH($AE$4,Lists!$FD$38))),1,0)</f>
        <v/>
      </c>
      <c r="CT38">
        <f>IF(ROW()-3&gt;MAX($CS$4:$CS$42),"",INDEX(Lists!$FD$4:$FD$42,MATCH(ROW()-3,$CS$4:$CS$42,0)))</f>
        <v/>
      </c>
      <c r="CU38">
        <f>CU37+IF(AND(Lists!$FI$38&lt;&gt;"",ISNUMBER(SEARCH($AG$4,Lists!$FI$38))),1,0)</f>
        <v/>
      </c>
      <c r="CV38">
        <f>IF(ROW()-3&gt;MAX($CU$4:$CU$42),"",INDEX(Lists!$FI$4:$FI$42,MATCH(ROW()-3,$CU$4:$CU$42,0)))</f>
        <v/>
      </c>
      <c r="CW38">
        <f>CW37+IF(AND(Lists!$FN$38&lt;&gt;"",ISNUMBER(SEARCH($AH$4,Lists!$FN$38))),1,0)</f>
        <v/>
      </c>
      <c r="CX38">
        <f>IF(ROW()-3&gt;MAX($CW$4:$CW$42),"",INDEX(Lists!$FN$4:$FN$42,MATCH(ROW()-3,$CW$4:$CW$42,0)))</f>
        <v/>
      </c>
      <c r="CY38">
        <f>CY37+IF(AND(Lists!$FS$38&lt;&gt;"",ISNUMBER(SEARCH($AI$4,Lists!$FS$38))),1,0)</f>
        <v/>
      </c>
      <c r="CZ38">
        <f>IF(ROW()-3&gt;MAX($CY$4:$CY$42),"",INDEX(Lists!$FS$4:$FS$42,MATCH(ROW()-3,$CY$4:$CY$42,0)))</f>
        <v/>
      </c>
      <c r="DA38">
        <f>DA37+IF(AND(Lists!$FX$38&lt;&gt;"",ISNUMBER(SEARCH($AF$4,Lists!$FX$38))),1,0)</f>
        <v/>
      </c>
      <c r="DB38">
        <f>IF(ROW()-3&gt;MAX($DA$4:$DA$42),"",INDEX(Lists!$FX$4:$FX$42,MATCH(ROW()-3,$DA$4:$DA$42,0)))</f>
        <v/>
      </c>
    </row>
    <row r="39" outlineLevel="1" ht="15" customHeight="1" s="137">
      <c r="A39" s="67" t="n">
        <v>1</v>
      </c>
      <c r="B39" s="76">
        <f>IF('Final Calculation Sheet'!$F$31="","",'Final Calculation Sheet'!$F$31)</f>
        <v/>
      </c>
      <c r="C39" s="76">
        <f>IF('Final Calculation Sheet'!$G$31="","",'Final Calculation Sheet'!$G$31)</f>
        <v/>
      </c>
      <c r="D39" s="80">
        <f>IF('Final Calculation Sheet'!$B$31="","",'Final Calculation Sheet'!$B$31)</f>
        <v/>
      </c>
      <c r="E39" s="80">
        <f>IF('Final Calculation Sheet'!$D$31="","",'Final Calculation Sheet'!$D$31)</f>
        <v/>
      </c>
      <c r="F39" s="80">
        <f>IF('Final Calculation Sheet'!$A$31="","",'Final Calculation Sheet'!$A$31)</f>
        <v/>
      </c>
      <c r="G39" s="80">
        <f>IF('Final Calculation Sheet'!$E$31="","",'Final Calculation Sheet'!$E$31)</f>
        <v/>
      </c>
      <c r="H39" s="70">
        <f>IF('Final Calculation Sheet'!$C$31="","",'Final Calculation Sheet'!$C$31)</f>
        <v/>
      </c>
      <c r="I39" s="70">
        <f>IF('Final Calculation Sheet'!$H$31="","",'Final Calculation Sheet'!$H$31)</f>
        <v/>
      </c>
      <c r="J39" s="70">
        <f>IF('Final Calculation Sheet'!$I$31="","",'Final Calculation Sheet'!$I$31)</f>
        <v/>
      </c>
      <c r="K39" s="70">
        <f>IF('Final Calculation Sheet'!$J$31="","",'Final Calculation Sheet'!$J$31)</f>
        <v/>
      </c>
      <c r="L39" s="70">
        <f>IF('Final Calculation Sheet'!$K$31="","",'Final Calculation Sheet'!$K$31)</f>
        <v/>
      </c>
      <c r="M39" s="70">
        <f>IF('Final Calculation Sheet'!$L$31="","",'Final Calculation Sheet'!$L$31)</f>
        <v/>
      </c>
      <c r="N39" s="70">
        <f>IF('Final Calculation Sheet'!$M$31="","",'Final Calculation Sheet'!$M$31)</f>
        <v/>
      </c>
      <c r="O39" s="71">
        <f>IF('Final Calculation Sheet'!$N$31="","",'Final Calculation Sheet'!$N$31)</f>
        <v/>
      </c>
      <c r="P39" s="70">
        <f>IF('Final Calculation Sheet'!$O$31="","",'Final Calculation Sheet'!$O$31)</f>
        <v/>
      </c>
      <c r="Q39" s="70">
        <f>IF('Final Calculation Sheet'!$P$31="","",'Final Calculation Sheet'!$P$31)</f>
        <v/>
      </c>
      <c r="R39" s="72">
        <f>IF('Final Calculation Sheet'!$Q$31="","",'Final Calculation Sheet'!$Q$31)</f>
        <v/>
      </c>
      <c r="S39" s="70">
        <f>IF('Final Calculation Sheet'!$R$31="","",'Final Calculation Sheet'!$R$31)</f>
        <v/>
      </c>
      <c r="T39" s="70">
        <f>IF('Final Calculation Sheet'!$S$31="","",'Final Calculation Sheet'!$S$31)</f>
        <v/>
      </c>
      <c r="U39" s="70">
        <f>IF('Final Calculation Sheet'!$T$31="","",'Final Calculation Sheet'!$T$31)</f>
        <v/>
      </c>
      <c r="V39" s="73">
        <f>IF('Final Calculation Sheet'!$U$31="","",'Final Calculation Sheet'!$U$31)</f>
        <v/>
      </c>
      <c r="W39" s="70">
        <f>IF('Final Calculation Sheet'!$V$31="","",'Final Calculation Sheet'!$V$31)</f>
        <v/>
      </c>
      <c r="X39" s="70">
        <f>IF('Final Calculation Sheet'!$W$31="","",'Final Calculation Sheet'!$W$31)</f>
        <v/>
      </c>
      <c r="Y39" s="70">
        <f>IF('Final Calculation Sheet'!$X$31="","",'Final Calculation Sheet'!$X$31)</f>
        <v/>
      </c>
      <c r="Z39" s="70">
        <f>IF('Final Calculation Sheet'!$Y$31="","",'Final Calculation Sheet'!$Y$31)</f>
        <v/>
      </c>
      <c r="AA39" s="70">
        <f>IF('Final Calculation Sheet'!$Z$31="","",'Final Calculation Sheet'!$Z$31)</f>
        <v/>
      </c>
      <c r="AB39" s="70">
        <f>IF('Final Calculation Sheet'!$AA$31="","",'Final Calculation Sheet'!$AA$31)</f>
        <v/>
      </c>
      <c r="AC39" s="70">
        <f>IF('Final Calculation Sheet'!$AB$31="","",'Final Calculation Sheet'!$AB$31)</f>
        <v/>
      </c>
      <c r="AD39" s="70">
        <f>IF('Final Calculation Sheet'!$AC$31="","",'Final Calculation Sheet'!$AC$31)</f>
        <v/>
      </c>
      <c r="AE39" s="70">
        <f>IF('Final Calculation Sheet'!$AD$31="","",'Final Calculation Sheet'!$AD$31)</f>
        <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
      </c>
      <c r="AK39">
        <f>IF(AJ39=1,COUNTIF(AJ$6:AJ39,1),"")</f>
        <v/>
      </c>
      <c r="AM39">
        <f>AM38+IF(AND(Lists!$O$39&lt;&gt;"",ISNUMBER(SEARCH($B$4,Lists!$O$39))),1,0)</f>
        <v/>
      </c>
      <c r="AN39">
        <f>IF(ROW()-3&gt;MAX($AM$4:$AM$42),"",INDEX(Lists!$O$4:$O$42,MATCH(ROW()-3,$AM$4:$AM$42,0)))</f>
        <v/>
      </c>
      <c r="AO39">
        <f>AO38+IF(AND(Lists!$T$39&lt;&gt;"",ISNUMBER(SEARCH($C$4,Lists!$T$39))),1,0)</f>
        <v/>
      </c>
      <c r="AP39">
        <f>IF(ROW()-3&gt;MAX($AO$4:$AO$42),"",INDEX(Lists!$T$4:$T$42,MATCH(ROW()-3,$AO$4:$AO$42,0)))</f>
        <v/>
      </c>
      <c r="AQ39">
        <f>AQ38+IF(AND(Lists!$Y$39&lt;&gt;"",ISNUMBER(SEARCH($D$4,Lists!$Y$39))),1,0)</f>
        <v/>
      </c>
      <c r="AR39">
        <f>IF(ROW()-3&gt;MAX($AQ$4:$AQ$42),"",INDEX(Lists!$Y$4:$Y$42,MATCH(ROW()-3,$AQ$4:$AQ$42,0)))</f>
        <v/>
      </c>
      <c r="AS39">
        <f>AS38+IF(AND(Lists!$AD$39&lt;&gt;"",ISNUMBER(SEARCH($E$4,Lists!$AD$39))),1,0)</f>
        <v/>
      </c>
      <c r="AT39">
        <f>IF(ROW()-3&gt;MAX($AS$4:$AS$42),"",INDEX(Lists!$AD$4:$AD$42,MATCH(ROW()-3,$AS$4:$AS$42,0)))</f>
        <v/>
      </c>
      <c r="AU39">
        <f>AU38+IF(AND(Lists!$AI$39&lt;&gt;"",ISNUMBER(SEARCH($F$4,Lists!$AI$39))),1,0)</f>
        <v/>
      </c>
      <c r="AV39">
        <f>IF(ROW()-3&gt;MAX($AU$4:$AU$42),"",INDEX(Lists!$AI$4:$AI$42,MATCH(ROW()-3,$AU$4:$AU$42,0)))</f>
        <v/>
      </c>
      <c r="AW39">
        <f>AW38+IF(AND(Lists!$AN$39&lt;&gt;"",ISNUMBER(SEARCH($G$4,Lists!$AN$39))),1,0)</f>
        <v/>
      </c>
      <c r="AX39">
        <f>IF(ROW()-3&gt;MAX($AW$4:$AW$42),"",INDEX(Lists!$AN$4:$AN$42,MATCH(ROW()-3,$AW$4:$AW$42,0)))</f>
        <v/>
      </c>
      <c r="AY39">
        <f>AY38+IF(AND(Lists!$AS$39&lt;&gt;"",ISNUMBER(SEARCH($H$4,Lists!$AS$39))),1,0)</f>
        <v/>
      </c>
      <c r="AZ39">
        <f>IF(ROW()-3&gt;MAX($AY$4:$AY$42),"",INDEX(Lists!$AS$4:$AS$42,MATCH(ROW()-3,$AY$4:$AY$42,0)))</f>
        <v/>
      </c>
      <c r="BA39">
        <f>BA38+IF(AND(Lists!$AX$39&lt;&gt;"",ISNUMBER(SEARCH($I$4,Lists!$AX$39))),1,0)</f>
        <v/>
      </c>
      <c r="BB39">
        <f>IF(ROW()-3&gt;MAX($BA$4:$BA$42),"",INDEX(Lists!$AX$4:$AX$42,MATCH(ROW()-3,$BA$4:$BA$42,0)))</f>
        <v/>
      </c>
      <c r="BC39">
        <f>BC38+IF(AND(Lists!$BC$39&lt;&gt;"",ISNUMBER(SEARCH($J$4,Lists!$BC$39))),1,0)</f>
        <v/>
      </c>
      <c r="BD39">
        <f>IF(ROW()-3&gt;MAX($BC$4:$BC$42),"",INDEX(Lists!$BC$4:$BC$42,MATCH(ROW()-3,$BC$4:$BC$42,0)))</f>
        <v/>
      </c>
      <c r="BE39">
        <f>BE38+IF(AND(Lists!$BH$39&lt;&gt;"",ISNUMBER(SEARCH($K$4,Lists!$BH$39))),1,0)</f>
        <v/>
      </c>
      <c r="BF39">
        <f>IF(ROW()-3&gt;MAX($BE$4:$BE$42),"",INDEX(Lists!$BH$4:$BH$42,MATCH(ROW()-3,$BE$4:$BE$42,0)))</f>
        <v/>
      </c>
      <c r="BG39">
        <f>BG38+IF(AND(Lists!$BM$39&lt;&gt;"",ISNUMBER(SEARCH($L$4,Lists!$BM$39))),1,0)</f>
        <v/>
      </c>
      <c r="BH39">
        <f>IF(ROW()-3&gt;MAX($BG$4:$BG$42),"",INDEX(Lists!$BM$4:$BM$42,MATCH(ROW()-3,$BG$4:$BG$42,0)))</f>
        <v/>
      </c>
      <c r="BI39">
        <f>BI38+IF(AND(Lists!$BR$39&lt;&gt;"",ISNUMBER(SEARCH($M$4,Lists!$BR$39))),1,0)</f>
        <v/>
      </c>
      <c r="BJ39">
        <f>IF(ROW()-3&gt;MAX($BI$4:$BI$42),"",INDEX(Lists!$BR$4:$BR$42,MATCH(ROW()-3,$BI$4:$BI$42,0)))</f>
        <v/>
      </c>
      <c r="BK39">
        <f>BK38+IF(AND(Lists!$BW$39&lt;&gt;"",ISNUMBER(SEARCH($N$4,Lists!$BW$39))),1,0)</f>
        <v/>
      </c>
      <c r="BL39">
        <f>IF(ROW()-3&gt;MAX($BK$4:$BK$42),"",INDEX(Lists!$BW$4:$BW$42,MATCH(ROW()-3,$BK$4:$BK$42,0)))</f>
        <v/>
      </c>
      <c r="BM39">
        <f>BM38+IF(AND(Lists!$CB$39&lt;&gt;"",ISNUMBER(SEARCH($O$4,Lists!$CB$39))),1,0)</f>
        <v/>
      </c>
      <c r="BN39">
        <f>IF(ROW()-3&gt;MAX($BM$4:$BM$42),"",INDEX(Lists!$CB$4:$CB$42,MATCH(ROW()-3,$BM$4:$BM$42,0)))</f>
        <v/>
      </c>
      <c r="BO39">
        <f>BO38+IF(AND(Lists!$CG$39&lt;&gt;"",ISNUMBER(SEARCH($P$4,Lists!$CG$39))),1,0)</f>
        <v/>
      </c>
      <c r="BP39">
        <f>IF(ROW()-3&gt;MAX($BO$4:$BO$42),"",INDEX(Lists!$CG$4:$CG$42,MATCH(ROW()-3,$BO$4:$BO$42,0)))</f>
        <v/>
      </c>
      <c r="BQ39">
        <f>BQ38+IF(AND(Lists!$CL$39&lt;&gt;"",ISNUMBER(SEARCH($Q$4,Lists!$CL$39))),1,0)</f>
        <v/>
      </c>
      <c r="BR39">
        <f>IF(ROW()-3&gt;MAX($BQ$4:$BQ$42),"",INDEX(Lists!$CL$4:$CL$42,MATCH(ROW()-3,$BQ$4:$BQ$42,0)))</f>
        <v/>
      </c>
      <c r="BS39">
        <f>BS38+IF(AND(Lists!$CQ$39&lt;&gt;"",ISNUMBER(SEARCH($R$4,Lists!$CQ$39))),1,0)</f>
        <v/>
      </c>
      <c r="BT39">
        <f>IF(ROW()-3&gt;MAX($BS$4:$BS$42),"",INDEX(Lists!$CQ$4:$CQ$42,MATCH(ROW()-3,$BS$4:$BS$42,0)))</f>
        <v/>
      </c>
      <c r="BU39">
        <f>BU38+IF(AND(Lists!$CV$39&lt;&gt;"",ISNUMBER(SEARCH($S$4,Lists!$CV$39))),1,0)</f>
        <v/>
      </c>
      <c r="BV39">
        <f>IF(ROW()-3&gt;MAX($BU$4:$BU$42),"",INDEX(Lists!$CV$4:$CV$42,MATCH(ROW()-3,$BU$4:$BU$42,0)))</f>
        <v/>
      </c>
      <c r="BW39">
        <f>BW38+IF(AND(Lists!$DA$39&lt;&gt;"",ISNUMBER(SEARCH($T$4,Lists!$DA$39))),1,0)</f>
        <v/>
      </c>
      <c r="BX39">
        <f>IF(ROW()-3&gt;MAX($BW$4:$BW$42),"",INDEX(Lists!$DA$4:$DA$42,MATCH(ROW()-3,$BW$4:$BW$42,0)))</f>
        <v/>
      </c>
      <c r="BY39">
        <f>BY38+IF(AND(Lists!$DF$39&lt;&gt;"",ISNUMBER(SEARCH($U$4,Lists!$DF$39))),1,0)</f>
        <v/>
      </c>
      <c r="BZ39">
        <f>IF(ROW()-3&gt;MAX($BY$4:$BY$42),"",INDEX(Lists!$DF$4:$DF$42,MATCH(ROW()-3,$BY$4:$BY$42,0)))</f>
        <v/>
      </c>
      <c r="CA39">
        <f>CA38+IF(AND(Lists!$DK$39&lt;&gt;"",ISNUMBER(SEARCH($V$4,Lists!$DK$39))),1,0)</f>
        <v/>
      </c>
      <c r="CB39">
        <f>IF(ROW()-3&gt;MAX($CA$4:$CA$42),"",INDEX(Lists!$DK$4:$DK$42,MATCH(ROW()-3,$CA$4:$CA$42,0)))</f>
        <v/>
      </c>
      <c r="CC39">
        <f>CC38+IF(AND(Lists!$DP$39&lt;&gt;"",ISNUMBER(SEARCH($W$4,Lists!$DP$39))),1,0)</f>
        <v/>
      </c>
      <c r="CD39">
        <f>IF(ROW()-3&gt;MAX($CC$4:$CC$42),"",INDEX(Lists!$DP$4:$DP$42,MATCH(ROW()-3,$CC$4:$CC$42,0)))</f>
        <v/>
      </c>
      <c r="CE39">
        <f>CE38+IF(AND(Lists!$DU$39&lt;&gt;"",ISNUMBER(SEARCH($X$4,Lists!$DU$39))),1,0)</f>
        <v/>
      </c>
      <c r="CF39">
        <f>IF(ROW()-3&gt;MAX($CE$4:$CE$42),"",INDEX(Lists!$DU$4:$DU$42,MATCH(ROW()-3,$CE$4:$CE$42,0)))</f>
        <v/>
      </c>
      <c r="CG39">
        <f>CG38+IF(AND(Lists!$DZ$39&lt;&gt;"",ISNUMBER(SEARCH($Y$4,Lists!$DZ$39))),1,0)</f>
        <v/>
      </c>
      <c r="CH39">
        <f>IF(ROW()-3&gt;MAX($CG$4:$CG$42),"",INDEX(Lists!$DZ$4:$DZ$42,MATCH(ROW()-3,$CG$4:$CG$42,0)))</f>
        <v/>
      </c>
      <c r="CI39">
        <f>CI38+IF(AND(Lists!$EE$39&lt;&gt;"",ISNUMBER(SEARCH($Z$4,Lists!$EE$39))),1,0)</f>
        <v/>
      </c>
      <c r="CJ39">
        <f>IF(ROW()-3&gt;MAX($CI$4:$CI$42),"",INDEX(Lists!$EE$4:$EE$42,MATCH(ROW()-3,$CI$4:$CI$42,0)))</f>
        <v/>
      </c>
      <c r="CK39">
        <f>CK38+IF(AND(Lists!$EJ$39&lt;&gt;"",ISNUMBER(SEARCH($AA$4,Lists!$EJ$39))),1,0)</f>
        <v/>
      </c>
      <c r="CL39">
        <f>IF(ROW()-3&gt;MAX($CK$4:$CK$42),"",INDEX(Lists!$EJ$4:$EJ$42,MATCH(ROW()-3,$CK$4:$CK$42,0)))</f>
        <v/>
      </c>
      <c r="CM39">
        <f>CM38+IF(AND(Lists!$EO$39&lt;&gt;"",ISNUMBER(SEARCH($AB$4,Lists!$EO$39))),1,0)</f>
        <v/>
      </c>
      <c r="CN39">
        <f>IF(ROW()-3&gt;MAX($CM$4:$CM$42),"",INDEX(Lists!$EO$4:$EO$42,MATCH(ROW()-3,$CM$4:$CM$42,0)))</f>
        <v/>
      </c>
      <c r="CO39">
        <f>CO38+IF(AND(Lists!$ET$39&lt;&gt;"",ISNUMBER(SEARCH($AC$4,Lists!$ET$39))),1,0)</f>
        <v/>
      </c>
      <c r="CP39">
        <f>IF(ROW()-3&gt;MAX($CO$4:$CO$42),"",INDEX(Lists!$ET$4:$ET$42,MATCH(ROW()-3,$CO$4:$CO$42,0)))</f>
        <v/>
      </c>
      <c r="CQ39">
        <f>CQ38+IF(AND(Lists!$EY$39&lt;&gt;"",ISNUMBER(SEARCH($AD$4,Lists!$EY$39))),1,0)</f>
        <v/>
      </c>
      <c r="CR39">
        <f>IF(ROW()-3&gt;MAX($CQ$4:$CQ$42),"",INDEX(Lists!$EY$4:$EY$42,MATCH(ROW()-3,$CQ$4:$CQ$42,0)))</f>
        <v/>
      </c>
      <c r="CS39">
        <f>CS38+IF(AND(Lists!$FD$39&lt;&gt;"",ISNUMBER(SEARCH($AE$4,Lists!$FD$39))),1,0)</f>
        <v/>
      </c>
      <c r="CT39">
        <f>IF(ROW()-3&gt;MAX($CS$4:$CS$42),"",INDEX(Lists!$FD$4:$FD$42,MATCH(ROW()-3,$CS$4:$CS$42,0)))</f>
        <v/>
      </c>
      <c r="CU39">
        <f>CU38+IF(AND(Lists!$FI$39&lt;&gt;"",ISNUMBER(SEARCH($AG$4,Lists!$FI$39))),1,0)</f>
        <v/>
      </c>
      <c r="CV39">
        <f>IF(ROW()-3&gt;MAX($CU$4:$CU$42),"",INDEX(Lists!$FI$4:$FI$42,MATCH(ROW()-3,$CU$4:$CU$42,0)))</f>
        <v/>
      </c>
      <c r="CW39">
        <f>CW38+IF(AND(Lists!$FN$39&lt;&gt;"",ISNUMBER(SEARCH($AH$4,Lists!$FN$39))),1,0)</f>
        <v/>
      </c>
      <c r="CX39">
        <f>IF(ROW()-3&gt;MAX($CW$4:$CW$42),"",INDEX(Lists!$FN$4:$FN$42,MATCH(ROW()-3,$CW$4:$CW$42,0)))</f>
        <v/>
      </c>
      <c r="CY39">
        <f>CY38+IF(AND(Lists!$FS$39&lt;&gt;"",ISNUMBER(SEARCH($AI$4,Lists!$FS$39))),1,0)</f>
        <v/>
      </c>
      <c r="CZ39">
        <f>IF(ROW()-3&gt;MAX($CY$4:$CY$42),"",INDEX(Lists!$FS$4:$FS$42,MATCH(ROW()-3,$CY$4:$CY$42,0)))</f>
        <v/>
      </c>
      <c r="DA39">
        <f>DA38+IF(AND(Lists!$FX$39&lt;&gt;"",ISNUMBER(SEARCH($AF$4,Lists!$FX$39))),1,0)</f>
        <v/>
      </c>
      <c r="DB39">
        <f>IF(ROW()-3&gt;MAX($DA$4:$DA$42),"",INDEX(Lists!$FX$4:$FX$42,MATCH(ROW()-3,$DA$4:$DA$42,0)))</f>
        <v/>
      </c>
    </row>
    <row r="40" ht="15" customHeight="1" s="137">
      <c r="A40" s="81" t="inlineStr">
        <is>
          <t>∑</t>
        </is>
      </c>
      <c r="B40" s="83" t="n"/>
      <c r="C40" s="83">
        <f>ROWS($C$39:$C$39)&amp;" lot(s)"</f>
        <v/>
      </c>
      <c r="D40" s="83" t="inlineStr">
        <is>
          <t>SUBTOTAL — SAHARA ENTERPRISES</t>
        </is>
      </c>
      <c r="E40" s="83" t="inlineStr">
        <is>
          <t>–</t>
        </is>
      </c>
      <c r="F40" s="83">
        <f>SUM(F39:F39)</f>
        <v/>
      </c>
      <c r="G40" s="83" t="inlineStr">
        <is>
          <t>–</t>
        </is>
      </c>
      <c r="H40" s="84" t="inlineStr">
        <is>
          <t>–</t>
        </is>
      </c>
      <c r="I40" s="84">
        <f>SUM(I39:I39)</f>
        <v/>
      </c>
      <c r="J40" s="84">
        <f>SUM(J39:J39)</f>
        <v/>
      </c>
      <c r="K40" s="84">
        <f>SUM(K39:K39)</f>
        <v/>
      </c>
      <c r="L40" s="84">
        <f>SUM(L39:L39)</f>
        <v/>
      </c>
      <c r="M40" s="84">
        <f>SUM(M39:M39)</f>
        <v/>
      </c>
      <c r="N40" s="84">
        <f>SUM(N39:N39)</f>
        <v/>
      </c>
      <c r="O40" s="85">
        <f>SUM(O39:O39)</f>
        <v/>
      </c>
      <c r="P40" s="84">
        <f>SUM(P39:P39)</f>
        <v/>
      </c>
      <c r="Q40" s="84">
        <f>SUM(Q39:Q39)</f>
        <v/>
      </c>
      <c r="R40" s="86" t="inlineStr">
        <is>
          <t>–</t>
        </is>
      </c>
      <c r="S40" s="84">
        <f>SUM(S39:S39)</f>
        <v/>
      </c>
      <c r="T40" s="84">
        <f>SUM(T39:T39)</f>
        <v/>
      </c>
      <c r="U40" s="84">
        <f>SUM(U39:U39)</f>
        <v/>
      </c>
      <c r="V40" s="87">
        <f>SUM(V39:V39)</f>
        <v/>
      </c>
      <c r="W40" s="84" t="inlineStr">
        <is>
          <t>–</t>
        </is>
      </c>
      <c r="X40" s="84">
        <f>SUM(X39:X39)</f>
        <v/>
      </c>
      <c r="Y40" s="84">
        <f>SUM(Y39:Y39)</f>
        <v/>
      </c>
      <c r="Z40" s="84" t="inlineStr">
        <is>
          <t>–</t>
        </is>
      </c>
      <c r="AA40" s="84">
        <f>SUM(AA39:AA39)</f>
        <v/>
      </c>
      <c r="AB40" s="84">
        <f>SUM(AB39:AB39)</f>
        <v/>
      </c>
      <c r="AC40" s="84" t="inlineStr">
        <is>
          <t>–</t>
        </is>
      </c>
      <c r="AD40" s="84">
        <f>SUM(AD39:AD39)</f>
        <v/>
      </c>
      <c r="AE40" s="84">
        <f>SUM(AE39:AE39)</f>
        <v/>
      </c>
      <c r="AF40" s="89">
        <f>IF(AE40&lt;=5,"SETTLED","OUTSTANDING")</f>
        <v/>
      </c>
      <c r="AG40" s="84" t="inlineStr">
        <is>
          <t>–</t>
        </is>
      </c>
      <c r="AH40" s="88" t="inlineStr">
        <is>
          <t>–</t>
        </is>
      </c>
      <c r="AI40" s="84" t="inlineStr">
        <is>
          <t>–</t>
        </is>
      </c>
      <c r="AJ40">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
      </c>
      <c r="AK40">
        <f>IF(AJ40=1,COUNTIF(AJ$6:AJ40,1),"")</f>
        <v/>
      </c>
      <c r="AM40">
        <f>AM39+IF(AND(Lists!$O$40&lt;&gt;"",ISNUMBER(SEARCH($B$4,Lists!$O$40))),1,0)</f>
        <v/>
      </c>
      <c r="AN40">
        <f>IF(ROW()-3&gt;MAX($AM$4:$AM$42),"",INDEX(Lists!$O$4:$O$42,MATCH(ROW()-3,$AM$4:$AM$42,0)))</f>
        <v/>
      </c>
      <c r="AO40">
        <f>AO39+IF(AND(Lists!$T$40&lt;&gt;"",ISNUMBER(SEARCH($C$4,Lists!$T$40))),1,0)</f>
        <v/>
      </c>
      <c r="AP40">
        <f>IF(ROW()-3&gt;MAX($AO$4:$AO$42),"",INDEX(Lists!$T$4:$T$42,MATCH(ROW()-3,$AO$4:$AO$42,0)))</f>
        <v/>
      </c>
      <c r="AQ40">
        <f>AQ39+IF(AND(Lists!$Y$40&lt;&gt;"",ISNUMBER(SEARCH($D$4,Lists!$Y$40))),1,0)</f>
        <v/>
      </c>
      <c r="AR40">
        <f>IF(ROW()-3&gt;MAX($AQ$4:$AQ$42),"",INDEX(Lists!$Y$4:$Y$42,MATCH(ROW()-3,$AQ$4:$AQ$42,0)))</f>
        <v/>
      </c>
      <c r="AS40">
        <f>AS39+IF(AND(Lists!$AD$40&lt;&gt;"",ISNUMBER(SEARCH($E$4,Lists!$AD$40))),1,0)</f>
        <v/>
      </c>
      <c r="AT40">
        <f>IF(ROW()-3&gt;MAX($AS$4:$AS$42),"",INDEX(Lists!$AD$4:$AD$42,MATCH(ROW()-3,$AS$4:$AS$42,0)))</f>
        <v/>
      </c>
      <c r="AU40">
        <f>AU39+IF(AND(Lists!$AI$40&lt;&gt;"",ISNUMBER(SEARCH($F$4,Lists!$AI$40))),1,0)</f>
        <v/>
      </c>
      <c r="AV40">
        <f>IF(ROW()-3&gt;MAX($AU$4:$AU$42),"",INDEX(Lists!$AI$4:$AI$42,MATCH(ROW()-3,$AU$4:$AU$42,0)))</f>
        <v/>
      </c>
      <c r="AW40">
        <f>AW39+IF(AND(Lists!$AN$40&lt;&gt;"",ISNUMBER(SEARCH($G$4,Lists!$AN$40))),1,0)</f>
        <v/>
      </c>
      <c r="AX40">
        <f>IF(ROW()-3&gt;MAX($AW$4:$AW$42),"",INDEX(Lists!$AN$4:$AN$42,MATCH(ROW()-3,$AW$4:$AW$42,0)))</f>
        <v/>
      </c>
      <c r="AY40">
        <f>AY39+IF(AND(Lists!$AS$40&lt;&gt;"",ISNUMBER(SEARCH($H$4,Lists!$AS$40))),1,0)</f>
        <v/>
      </c>
      <c r="AZ40">
        <f>IF(ROW()-3&gt;MAX($AY$4:$AY$42),"",INDEX(Lists!$AS$4:$AS$42,MATCH(ROW()-3,$AY$4:$AY$42,0)))</f>
        <v/>
      </c>
      <c r="BA40">
        <f>BA39+IF(AND(Lists!$AX$40&lt;&gt;"",ISNUMBER(SEARCH($I$4,Lists!$AX$40))),1,0)</f>
        <v/>
      </c>
      <c r="BB40">
        <f>IF(ROW()-3&gt;MAX($BA$4:$BA$42),"",INDEX(Lists!$AX$4:$AX$42,MATCH(ROW()-3,$BA$4:$BA$42,0)))</f>
        <v/>
      </c>
      <c r="BC40">
        <f>BC39+IF(AND(Lists!$BC$40&lt;&gt;"",ISNUMBER(SEARCH($J$4,Lists!$BC$40))),1,0)</f>
        <v/>
      </c>
      <c r="BD40">
        <f>IF(ROW()-3&gt;MAX($BC$4:$BC$42),"",INDEX(Lists!$BC$4:$BC$42,MATCH(ROW()-3,$BC$4:$BC$42,0)))</f>
        <v/>
      </c>
      <c r="BE40">
        <f>BE39+IF(AND(Lists!$BH$40&lt;&gt;"",ISNUMBER(SEARCH($K$4,Lists!$BH$40))),1,0)</f>
        <v/>
      </c>
      <c r="BF40">
        <f>IF(ROW()-3&gt;MAX($BE$4:$BE$42),"",INDEX(Lists!$BH$4:$BH$42,MATCH(ROW()-3,$BE$4:$BE$42,0)))</f>
        <v/>
      </c>
      <c r="BG40">
        <f>BG39+IF(AND(Lists!$BM$40&lt;&gt;"",ISNUMBER(SEARCH($L$4,Lists!$BM$40))),1,0)</f>
        <v/>
      </c>
      <c r="BH40">
        <f>IF(ROW()-3&gt;MAX($BG$4:$BG$42),"",INDEX(Lists!$BM$4:$BM$42,MATCH(ROW()-3,$BG$4:$BG$42,0)))</f>
        <v/>
      </c>
      <c r="BI40">
        <f>BI39+IF(AND(Lists!$BR$40&lt;&gt;"",ISNUMBER(SEARCH($M$4,Lists!$BR$40))),1,0)</f>
        <v/>
      </c>
      <c r="BJ40">
        <f>IF(ROW()-3&gt;MAX($BI$4:$BI$42),"",INDEX(Lists!$BR$4:$BR$42,MATCH(ROW()-3,$BI$4:$BI$42,0)))</f>
        <v/>
      </c>
      <c r="BK40">
        <f>BK39+IF(AND(Lists!$BW$40&lt;&gt;"",ISNUMBER(SEARCH($N$4,Lists!$BW$40))),1,0)</f>
        <v/>
      </c>
      <c r="BL40">
        <f>IF(ROW()-3&gt;MAX($BK$4:$BK$42),"",INDEX(Lists!$BW$4:$BW$42,MATCH(ROW()-3,$BK$4:$BK$42,0)))</f>
        <v/>
      </c>
      <c r="BM40">
        <f>BM39+IF(AND(Lists!$CB$40&lt;&gt;"",ISNUMBER(SEARCH($O$4,Lists!$CB$40))),1,0)</f>
        <v/>
      </c>
      <c r="BN40">
        <f>IF(ROW()-3&gt;MAX($BM$4:$BM$42),"",INDEX(Lists!$CB$4:$CB$42,MATCH(ROW()-3,$BM$4:$BM$42,0)))</f>
        <v/>
      </c>
      <c r="BO40">
        <f>BO39+IF(AND(Lists!$CG$40&lt;&gt;"",ISNUMBER(SEARCH($P$4,Lists!$CG$40))),1,0)</f>
        <v/>
      </c>
      <c r="BP40">
        <f>IF(ROW()-3&gt;MAX($BO$4:$BO$42),"",INDEX(Lists!$CG$4:$CG$42,MATCH(ROW()-3,$BO$4:$BO$42,0)))</f>
        <v/>
      </c>
      <c r="BQ40">
        <f>BQ39+IF(AND(Lists!$CL$40&lt;&gt;"",ISNUMBER(SEARCH($Q$4,Lists!$CL$40))),1,0)</f>
        <v/>
      </c>
      <c r="BR40">
        <f>IF(ROW()-3&gt;MAX($BQ$4:$BQ$42),"",INDEX(Lists!$CL$4:$CL$42,MATCH(ROW()-3,$BQ$4:$BQ$42,0)))</f>
        <v/>
      </c>
      <c r="BS40">
        <f>BS39+IF(AND(Lists!$CQ$40&lt;&gt;"",ISNUMBER(SEARCH($R$4,Lists!$CQ$40))),1,0)</f>
        <v/>
      </c>
      <c r="BT40">
        <f>IF(ROW()-3&gt;MAX($BS$4:$BS$42),"",INDEX(Lists!$CQ$4:$CQ$42,MATCH(ROW()-3,$BS$4:$BS$42,0)))</f>
        <v/>
      </c>
      <c r="BU40">
        <f>BU39+IF(AND(Lists!$CV$40&lt;&gt;"",ISNUMBER(SEARCH($S$4,Lists!$CV$40))),1,0)</f>
        <v/>
      </c>
      <c r="BV40">
        <f>IF(ROW()-3&gt;MAX($BU$4:$BU$42),"",INDEX(Lists!$CV$4:$CV$42,MATCH(ROW()-3,$BU$4:$BU$42,0)))</f>
        <v/>
      </c>
      <c r="BW40">
        <f>BW39+IF(AND(Lists!$DA$40&lt;&gt;"",ISNUMBER(SEARCH($T$4,Lists!$DA$40))),1,0)</f>
        <v/>
      </c>
      <c r="BX40">
        <f>IF(ROW()-3&gt;MAX($BW$4:$BW$42),"",INDEX(Lists!$DA$4:$DA$42,MATCH(ROW()-3,$BW$4:$BW$42,0)))</f>
        <v/>
      </c>
      <c r="BY40">
        <f>BY39+IF(AND(Lists!$DF$40&lt;&gt;"",ISNUMBER(SEARCH($U$4,Lists!$DF$40))),1,0)</f>
        <v/>
      </c>
      <c r="BZ40">
        <f>IF(ROW()-3&gt;MAX($BY$4:$BY$42),"",INDEX(Lists!$DF$4:$DF$42,MATCH(ROW()-3,$BY$4:$BY$42,0)))</f>
        <v/>
      </c>
      <c r="CA40">
        <f>CA39+IF(AND(Lists!$DK$40&lt;&gt;"",ISNUMBER(SEARCH($V$4,Lists!$DK$40))),1,0)</f>
        <v/>
      </c>
      <c r="CB40">
        <f>IF(ROW()-3&gt;MAX($CA$4:$CA$42),"",INDEX(Lists!$DK$4:$DK$42,MATCH(ROW()-3,$CA$4:$CA$42,0)))</f>
        <v/>
      </c>
      <c r="CC40">
        <f>CC39+IF(AND(Lists!$DP$40&lt;&gt;"",ISNUMBER(SEARCH($W$4,Lists!$DP$40))),1,0)</f>
        <v/>
      </c>
      <c r="CD40">
        <f>IF(ROW()-3&gt;MAX($CC$4:$CC$42),"",INDEX(Lists!$DP$4:$DP$42,MATCH(ROW()-3,$CC$4:$CC$42,0)))</f>
        <v/>
      </c>
      <c r="CE40">
        <f>CE39+IF(AND(Lists!$DU$40&lt;&gt;"",ISNUMBER(SEARCH($X$4,Lists!$DU$40))),1,0)</f>
        <v/>
      </c>
      <c r="CF40">
        <f>IF(ROW()-3&gt;MAX($CE$4:$CE$42),"",INDEX(Lists!$DU$4:$DU$42,MATCH(ROW()-3,$CE$4:$CE$42,0)))</f>
        <v/>
      </c>
      <c r="CG40">
        <f>CG39+IF(AND(Lists!$DZ$40&lt;&gt;"",ISNUMBER(SEARCH($Y$4,Lists!$DZ$40))),1,0)</f>
        <v/>
      </c>
      <c r="CH40">
        <f>IF(ROW()-3&gt;MAX($CG$4:$CG$42),"",INDEX(Lists!$DZ$4:$DZ$42,MATCH(ROW()-3,$CG$4:$CG$42,0)))</f>
        <v/>
      </c>
      <c r="CI40">
        <f>CI39+IF(AND(Lists!$EE$40&lt;&gt;"",ISNUMBER(SEARCH($Z$4,Lists!$EE$40))),1,0)</f>
        <v/>
      </c>
      <c r="CJ40">
        <f>IF(ROW()-3&gt;MAX($CI$4:$CI$42),"",INDEX(Lists!$EE$4:$EE$42,MATCH(ROW()-3,$CI$4:$CI$42,0)))</f>
        <v/>
      </c>
      <c r="CK40">
        <f>CK39+IF(AND(Lists!$EJ$40&lt;&gt;"",ISNUMBER(SEARCH($AA$4,Lists!$EJ$40))),1,0)</f>
        <v/>
      </c>
      <c r="CL40">
        <f>IF(ROW()-3&gt;MAX($CK$4:$CK$42),"",INDEX(Lists!$EJ$4:$EJ$42,MATCH(ROW()-3,$CK$4:$CK$42,0)))</f>
        <v/>
      </c>
      <c r="CM40">
        <f>CM39+IF(AND(Lists!$EO$40&lt;&gt;"",ISNUMBER(SEARCH($AB$4,Lists!$EO$40))),1,0)</f>
        <v/>
      </c>
      <c r="CN40">
        <f>IF(ROW()-3&gt;MAX($CM$4:$CM$42),"",INDEX(Lists!$EO$4:$EO$42,MATCH(ROW()-3,$CM$4:$CM$42,0)))</f>
        <v/>
      </c>
      <c r="CO40">
        <f>CO39+IF(AND(Lists!$ET$40&lt;&gt;"",ISNUMBER(SEARCH($AC$4,Lists!$ET$40))),1,0)</f>
        <v/>
      </c>
      <c r="CP40">
        <f>IF(ROW()-3&gt;MAX($CO$4:$CO$42),"",INDEX(Lists!$ET$4:$ET$42,MATCH(ROW()-3,$CO$4:$CO$42,0)))</f>
        <v/>
      </c>
      <c r="CQ40">
        <f>CQ39+IF(AND(Lists!$EY$40&lt;&gt;"",ISNUMBER(SEARCH($AD$4,Lists!$EY$40))),1,0)</f>
        <v/>
      </c>
      <c r="CR40">
        <f>IF(ROW()-3&gt;MAX($CQ$4:$CQ$42),"",INDEX(Lists!$EY$4:$EY$42,MATCH(ROW()-3,$CQ$4:$CQ$42,0)))</f>
        <v/>
      </c>
      <c r="CS40">
        <f>CS39+IF(AND(Lists!$FD$40&lt;&gt;"",ISNUMBER(SEARCH($AE$4,Lists!$FD$40))),1,0)</f>
        <v/>
      </c>
      <c r="CT40">
        <f>IF(ROW()-3&gt;MAX($CS$4:$CS$42),"",INDEX(Lists!$FD$4:$FD$42,MATCH(ROW()-3,$CS$4:$CS$42,0)))</f>
        <v/>
      </c>
      <c r="CU40">
        <f>CU39+IF(AND(Lists!$FI$40&lt;&gt;"",ISNUMBER(SEARCH($AG$4,Lists!$FI$40))),1,0)</f>
        <v/>
      </c>
      <c r="CV40">
        <f>IF(ROW()-3&gt;MAX($CU$4:$CU$42),"",INDEX(Lists!$FI$4:$FI$42,MATCH(ROW()-3,$CU$4:$CU$42,0)))</f>
        <v/>
      </c>
      <c r="CW40">
        <f>CW39+IF(AND(Lists!$FN$40&lt;&gt;"",ISNUMBER(SEARCH($AH$4,Lists!$FN$40))),1,0)</f>
        <v/>
      </c>
      <c r="CX40">
        <f>IF(ROW()-3&gt;MAX($CW$4:$CW$42),"",INDEX(Lists!$FN$4:$FN$42,MATCH(ROW()-3,$CW$4:$CW$42,0)))</f>
        <v/>
      </c>
      <c r="CY40">
        <f>CY39+IF(AND(Lists!$FS$40&lt;&gt;"",ISNUMBER(SEARCH($AI$4,Lists!$FS$40))),1,0)</f>
        <v/>
      </c>
      <c r="CZ40">
        <f>IF(ROW()-3&gt;MAX($CY$4:$CY$42),"",INDEX(Lists!$FS$4:$FS$42,MATCH(ROW()-3,$CY$4:$CY$42,0)))</f>
        <v/>
      </c>
      <c r="DA40">
        <f>DA39+IF(AND(Lists!$FX$40&lt;&gt;"",ISNUMBER(SEARCH($AF$4,Lists!$FX$40))),1,0)</f>
        <v/>
      </c>
      <c r="DB40">
        <f>IF(ROW()-3&gt;MAX($DA$4:$DA$42),"",INDEX(Lists!$FX$4:$FX$42,MATCH(ROW()-3,$DA$4:$DA$42,0)))</f>
        <v/>
      </c>
    </row>
    <row r="41" outlineLevel="1" ht="15" customHeight="1" s="137">
      <c r="A41" s="67" t="n">
        <v>1</v>
      </c>
      <c r="B41" s="76">
        <f>IF('Final Calculation Sheet'!$F$9="","",'Final Calculation Sheet'!$F$9)</f>
        <v/>
      </c>
      <c r="C41" s="76">
        <f>IF('Final Calculation Sheet'!$G$9="","",'Final Calculation Sheet'!$G$9)</f>
        <v/>
      </c>
      <c r="D41" s="80">
        <f>IF('Final Calculation Sheet'!$B$9="","",'Final Calculation Sheet'!$B$9)</f>
        <v/>
      </c>
      <c r="E41" s="80">
        <f>IF('Final Calculation Sheet'!$D$9="","",'Final Calculation Sheet'!$D$9)</f>
        <v/>
      </c>
      <c r="F41" s="80">
        <f>IF('Final Calculation Sheet'!$A$9="","",'Final Calculation Sheet'!$A$9)</f>
        <v/>
      </c>
      <c r="G41" s="80">
        <f>IF('Final Calculation Sheet'!$E$9="","",'Final Calculation Sheet'!$E$9)</f>
        <v/>
      </c>
      <c r="H41" s="70">
        <f>IF('Final Calculation Sheet'!$C$9="","",'Final Calculation Sheet'!$C$9)</f>
        <v/>
      </c>
      <c r="I41" s="70">
        <f>IF('Final Calculation Sheet'!$H$9="","",'Final Calculation Sheet'!$H$9)</f>
        <v/>
      </c>
      <c r="J41" s="70">
        <f>IF('Final Calculation Sheet'!$I$9="","",'Final Calculation Sheet'!$I$9)</f>
        <v/>
      </c>
      <c r="K41" s="70">
        <f>IF('Final Calculation Sheet'!$J$9="","",'Final Calculation Sheet'!$J$9)</f>
        <v/>
      </c>
      <c r="L41" s="70">
        <f>IF('Final Calculation Sheet'!$K$9="","",'Final Calculation Sheet'!$K$9)</f>
        <v/>
      </c>
      <c r="M41" s="70">
        <f>IF('Final Calculation Sheet'!$L$9="","",'Final Calculation Sheet'!$L$9)</f>
        <v/>
      </c>
      <c r="N41" s="70">
        <f>IF('Final Calculation Sheet'!$M$9="","",'Final Calculation Sheet'!$M$9)</f>
        <v/>
      </c>
      <c r="O41" s="71">
        <f>IF('Final Calculation Sheet'!$N$9="","",'Final Calculation Sheet'!$N$9)</f>
        <v/>
      </c>
      <c r="P41" s="70">
        <f>IF('Final Calculation Sheet'!$O$9="","",'Final Calculation Sheet'!$O$9)</f>
        <v/>
      </c>
      <c r="Q41" s="70">
        <f>IF('Final Calculation Sheet'!$P$9="","",'Final Calculation Sheet'!$P$9)</f>
        <v/>
      </c>
      <c r="R41" s="72">
        <f>IF('Final Calculation Sheet'!$Q$9="","",'Final Calculation Sheet'!$Q$9)</f>
        <v/>
      </c>
      <c r="S41" s="70">
        <f>IF('Final Calculation Sheet'!$R$9="","",'Final Calculation Sheet'!$R$9)</f>
        <v/>
      </c>
      <c r="T41" s="70">
        <f>IF('Final Calculation Sheet'!$S$9="","",'Final Calculation Sheet'!$S$9)</f>
        <v/>
      </c>
      <c r="U41" s="70">
        <f>IF('Final Calculation Sheet'!$T$9="","",'Final Calculation Sheet'!$T$9)</f>
        <v/>
      </c>
      <c r="V41" s="73">
        <f>IF('Final Calculation Sheet'!$U$9="","",'Final Calculation Sheet'!$U$9)</f>
        <v/>
      </c>
      <c r="W41" s="70">
        <f>IF('Final Calculation Sheet'!$V$9="","",'Final Calculation Sheet'!$V$9)</f>
        <v/>
      </c>
      <c r="X41" s="70">
        <f>IF('Final Calculation Sheet'!$W$9="","",'Final Calculation Sheet'!$W$9)</f>
        <v/>
      </c>
      <c r="Y41" s="70">
        <f>IF('Final Calculation Sheet'!$X$9="","",'Final Calculation Sheet'!$X$9)</f>
        <v/>
      </c>
      <c r="Z41" s="70">
        <f>IF('Final Calculation Sheet'!$Y$9="","",'Final Calculation Sheet'!$Y$9)</f>
        <v/>
      </c>
      <c r="AA41" s="70">
        <f>IF('Final Calculation Sheet'!$Z$9="","",'Final Calculation Sheet'!$Z$9)</f>
        <v/>
      </c>
      <c r="AB41" s="70">
        <f>IF('Final Calculation Sheet'!$AA$9="","",'Final Calculation Sheet'!$AA$9)</f>
        <v/>
      </c>
      <c r="AC41" s="70">
        <f>IF('Final Calculation Sheet'!$AB$9="","",'Final Calculation Sheet'!$AB$9)</f>
        <v/>
      </c>
      <c r="AD41" s="70">
        <f>IF('Final Calculation Sheet'!$AC$9="","",'Final Calculation Sheet'!$AC$9)</f>
        <v/>
      </c>
      <c r="AE41" s="70">
        <f>IF('Final Calculation Sheet'!$AD$9="","",'Final Calculation Sheet'!$AD$9)</f>
        <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
      </c>
      <c r="AK41">
        <f>IF(AJ41=1,COUNTIF(AJ$6:AJ41,1),"")</f>
        <v/>
      </c>
      <c r="AM41">
        <f>AM40+IF(AND(Lists!$O$41&lt;&gt;"",ISNUMBER(SEARCH($B$4,Lists!$O$41))),1,0)</f>
        <v/>
      </c>
      <c r="AN41">
        <f>IF(ROW()-3&gt;MAX($AM$4:$AM$42),"",INDEX(Lists!$O$4:$O$42,MATCH(ROW()-3,$AM$4:$AM$42,0)))</f>
        <v/>
      </c>
      <c r="AO41">
        <f>AO40+IF(AND(Lists!$T$41&lt;&gt;"",ISNUMBER(SEARCH($C$4,Lists!$T$41))),1,0)</f>
        <v/>
      </c>
      <c r="AP41">
        <f>IF(ROW()-3&gt;MAX($AO$4:$AO$42),"",INDEX(Lists!$T$4:$T$42,MATCH(ROW()-3,$AO$4:$AO$42,0)))</f>
        <v/>
      </c>
      <c r="AQ41">
        <f>AQ40+IF(AND(Lists!$Y$41&lt;&gt;"",ISNUMBER(SEARCH($D$4,Lists!$Y$41))),1,0)</f>
        <v/>
      </c>
      <c r="AR41">
        <f>IF(ROW()-3&gt;MAX($AQ$4:$AQ$42),"",INDEX(Lists!$Y$4:$Y$42,MATCH(ROW()-3,$AQ$4:$AQ$42,0)))</f>
        <v/>
      </c>
      <c r="AS41">
        <f>AS40+IF(AND(Lists!$AD$41&lt;&gt;"",ISNUMBER(SEARCH($E$4,Lists!$AD$41))),1,0)</f>
        <v/>
      </c>
      <c r="AT41">
        <f>IF(ROW()-3&gt;MAX($AS$4:$AS$42),"",INDEX(Lists!$AD$4:$AD$42,MATCH(ROW()-3,$AS$4:$AS$42,0)))</f>
        <v/>
      </c>
      <c r="AU41">
        <f>AU40+IF(AND(Lists!$AI$41&lt;&gt;"",ISNUMBER(SEARCH($F$4,Lists!$AI$41))),1,0)</f>
        <v/>
      </c>
      <c r="AV41">
        <f>IF(ROW()-3&gt;MAX($AU$4:$AU$42),"",INDEX(Lists!$AI$4:$AI$42,MATCH(ROW()-3,$AU$4:$AU$42,0)))</f>
        <v/>
      </c>
      <c r="AW41">
        <f>AW40+IF(AND(Lists!$AN$41&lt;&gt;"",ISNUMBER(SEARCH($G$4,Lists!$AN$41))),1,0)</f>
        <v/>
      </c>
      <c r="AX41">
        <f>IF(ROW()-3&gt;MAX($AW$4:$AW$42),"",INDEX(Lists!$AN$4:$AN$42,MATCH(ROW()-3,$AW$4:$AW$42,0)))</f>
        <v/>
      </c>
      <c r="AY41">
        <f>AY40+IF(AND(Lists!$AS$41&lt;&gt;"",ISNUMBER(SEARCH($H$4,Lists!$AS$41))),1,0)</f>
        <v/>
      </c>
      <c r="AZ41">
        <f>IF(ROW()-3&gt;MAX($AY$4:$AY$42),"",INDEX(Lists!$AS$4:$AS$42,MATCH(ROW()-3,$AY$4:$AY$42,0)))</f>
        <v/>
      </c>
      <c r="BA41">
        <f>BA40+IF(AND(Lists!$AX$41&lt;&gt;"",ISNUMBER(SEARCH($I$4,Lists!$AX$41))),1,0)</f>
        <v/>
      </c>
      <c r="BB41">
        <f>IF(ROW()-3&gt;MAX($BA$4:$BA$42),"",INDEX(Lists!$AX$4:$AX$42,MATCH(ROW()-3,$BA$4:$BA$42,0)))</f>
        <v/>
      </c>
      <c r="BC41">
        <f>BC40+IF(AND(Lists!$BC$41&lt;&gt;"",ISNUMBER(SEARCH($J$4,Lists!$BC$41))),1,0)</f>
        <v/>
      </c>
      <c r="BD41">
        <f>IF(ROW()-3&gt;MAX($BC$4:$BC$42),"",INDEX(Lists!$BC$4:$BC$42,MATCH(ROW()-3,$BC$4:$BC$42,0)))</f>
        <v/>
      </c>
      <c r="BE41">
        <f>BE40+IF(AND(Lists!$BH$41&lt;&gt;"",ISNUMBER(SEARCH($K$4,Lists!$BH$41))),1,0)</f>
        <v/>
      </c>
      <c r="BF41">
        <f>IF(ROW()-3&gt;MAX($BE$4:$BE$42),"",INDEX(Lists!$BH$4:$BH$42,MATCH(ROW()-3,$BE$4:$BE$42,0)))</f>
        <v/>
      </c>
      <c r="BG41">
        <f>BG40+IF(AND(Lists!$BM$41&lt;&gt;"",ISNUMBER(SEARCH($L$4,Lists!$BM$41))),1,0)</f>
        <v/>
      </c>
      <c r="BH41">
        <f>IF(ROW()-3&gt;MAX($BG$4:$BG$42),"",INDEX(Lists!$BM$4:$BM$42,MATCH(ROW()-3,$BG$4:$BG$42,0)))</f>
        <v/>
      </c>
      <c r="BI41">
        <f>BI40+IF(AND(Lists!$BR$41&lt;&gt;"",ISNUMBER(SEARCH($M$4,Lists!$BR$41))),1,0)</f>
        <v/>
      </c>
      <c r="BJ41">
        <f>IF(ROW()-3&gt;MAX($BI$4:$BI$42),"",INDEX(Lists!$BR$4:$BR$42,MATCH(ROW()-3,$BI$4:$BI$42,0)))</f>
        <v/>
      </c>
      <c r="BK41">
        <f>BK40+IF(AND(Lists!$BW$41&lt;&gt;"",ISNUMBER(SEARCH($N$4,Lists!$BW$41))),1,0)</f>
        <v/>
      </c>
      <c r="BL41">
        <f>IF(ROW()-3&gt;MAX($BK$4:$BK$42),"",INDEX(Lists!$BW$4:$BW$42,MATCH(ROW()-3,$BK$4:$BK$42,0)))</f>
        <v/>
      </c>
      <c r="BM41">
        <f>BM40+IF(AND(Lists!$CB$41&lt;&gt;"",ISNUMBER(SEARCH($O$4,Lists!$CB$41))),1,0)</f>
        <v/>
      </c>
      <c r="BN41">
        <f>IF(ROW()-3&gt;MAX($BM$4:$BM$42),"",INDEX(Lists!$CB$4:$CB$42,MATCH(ROW()-3,$BM$4:$BM$42,0)))</f>
        <v/>
      </c>
      <c r="BO41">
        <f>BO40+IF(AND(Lists!$CG$41&lt;&gt;"",ISNUMBER(SEARCH($P$4,Lists!$CG$41))),1,0)</f>
        <v/>
      </c>
      <c r="BP41">
        <f>IF(ROW()-3&gt;MAX($BO$4:$BO$42),"",INDEX(Lists!$CG$4:$CG$42,MATCH(ROW()-3,$BO$4:$BO$42,0)))</f>
        <v/>
      </c>
      <c r="BQ41">
        <f>BQ40+IF(AND(Lists!$CL$41&lt;&gt;"",ISNUMBER(SEARCH($Q$4,Lists!$CL$41))),1,0)</f>
        <v/>
      </c>
      <c r="BR41">
        <f>IF(ROW()-3&gt;MAX($BQ$4:$BQ$42),"",INDEX(Lists!$CL$4:$CL$42,MATCH(ROW()-3,$BQ$4:$BQ$42,0)))</f>
        <v/>
      </c>
      <c r="BS41">
        <f>BS40+IF(AND(Lists!$CQ$41&lt;&gt;"",ISNUMBER(SEARCH($R$4,Lists!$CQ$41))),1,0)</f>
        <v/>
      </c>
      <c r="BT41">
        <f>IF(ROW()-3&gt;MAX($BS$4:$BS$42),"",INDEX(Lists!$CQ$4:$CQ$42,MATCH(ROW()-3,$BS$4:$BS$42,0)))</f>
        <v/>
      </c>
      <c r="BU41">
        <f>BU40+IF(AND(Lists!$CV$41&lt;&gt;"",ISNUMBER(SEARCH($S$4,Lists!$CV$41))),1,0)</f>
        <v/>
      </c>
      <c r="BV41">
        <f>IF(ROW()-3&gt;MAX($BU$4:$BU$42),"",INDEX(Lists!$CV$4:$CV$42,MATCH(ROW()-3,$BU$4:$BU$42,0)))</f>
        <v/>
      </c>
      <c r="BW41">
        <f>BW40+IF(AND(Lists!$DA$41&lt;&gt;"",ISNUMBER(SEARCH($T$4,Lists!$DA$41))),1,0)</f>
        <v/>
      </c>
      <c r="BX41">
        <f>IF(ROW()-3&gt;MAX($BW$4:$BW$42),"",INDEX(Lists!$DA$4:$DA$42,MATCH(ROW()-3,$BW$4:$BW$42,0)))</f>
        <v/>
      </c>
      <c r="BY41">
        <f>BY40+IF(AND(Lists!$DF$41&lt;&gt;"",ISNUMBER(SEARCH($U$4,Lists!$DF$41))),1,0)</f>
        <v/>
      </c>
      <c r="BZ41">
        <f>IF(ROW()-3&gt;MAX($BY$4:$BY$42),"",INDEX(Lists!$DF$4:$DF$42,MATCH(ROW()-3,$BY$4:$BY$42,0)))</f>
        <v/>
      </c>
      <c r="CA41">
        <f>CA40+IF(AND(Lists!$DK$41&lt;&gt;"",ISNUMBER(SEARCH($V$4,Lists!$DK$41))),1,0)</f>
        <v/>
      </c>
      <c r="CB41">
        <f>IF(ROW()-3&gt;MAX($CA$4:$CA$42),"",INDEX(Lists!$DK$4:$DK$42,MATCH(ROW()-3,$CA$4:$CA$42,0)))</f>
        <v/>
      </c>
      <c r="CC41">
        <f>CC40+IF(AND(Lists!$DP$41&lt;&gt;"",ISNUMBER(SEARCH($W$4,Lists!$DP$41))),1,0)</f>
        <v/>
      </c>
      <c r="CD41">
        <f>IF(ROW()-3&gt;MAX($CC$4:$CC$42),"",INDEX(Lists!$DP$4:$DP$42,MATCH(ROW()-3,$CC$4:$CC$42,0)))</f>
        <v/>
      </c>
      <c r="CE41">
        <f>CE40+IF(AND(Lists!$DU$41&lt;&gt;"",ISNUMBER(SEARCH($X$4,Lists!$DU$41))),1,0)</f>
        <v/>
      </c>
      <c r="CF41">
        <f>IF(ROW()-3&gt;MAX($CE$4:$CE$42),"",INDEX(Lists!$DU$4:$DU$42,MATCH(ROW()-3,$CE$4:$CE$42,0)))</f>
        <v/>
      </c>
      <c r="CG41">
        <f>CG40+IF(AND(Lists!$DZ$41&lt;&gt;"",ISNUMBER(SEARCH($Y$4,Lists!$DZ$41))),1,0)</f>
        <v/>
      </c>
      <c r="CH41">
        <f>IF(ROW()-3&gt;MAX($CG$4:$CG$42),"",INDEX(Lists!$DZ$4:$DZ$42,MATCH(ROW()-3,$CG$4:$CG$42,0)))</f>
        <v/>
      </c>
      <c r="CI41">
        <f>CI40+IF(AND(Lists!$EE$41&lt;&gt;"",ISNUMBER(SEARCH($Z$4,Lists!$EE$41))),1,0)</f>
        <v/>
      </c>
      <c r="CJ41">
        <f>IF(ROW()-3&gt;MAX($CI$4:$CI$42),"",INDEX(Lists!$EE$4:$EE$42,MATCH(ROW()-3,$CI$4:$CI$42,0)))</f>
        <v/>
      </c>
      <c r="CK41">
        <f>CK40+IF(AND(Lists!$EJ$41&lt;&gt;"",ISNUMBER(SEARCH($AA$4,Lists!$EJ$41))),1,0)</f>
        <v/>
      </c>
      <c r="CL41">
        <f>IF(ROW()-3&gt;MAX($CK$4:$CK$42),"",INDEX(Lists!$EJ$4:$EJ$42,MATCH(ROW()-3,$CK$4:$CK$42,0)))</f>
        <v/>
      </c>
      <c r="CM41">
        <f>CM40+IF(AND(Lists!$EO$41&lt;&gt;"",ISNUMBER(SEARCH($AB$4,Lists!$EO$41))),1,0)</f>
        <v/>
      </c>
      <c r="CN41">
        <f>IF(ROW()-3&gt;MAX($CM$4:$CM$42),"",INDEX(Lists!$EO$4:$EO$42,MATCH(ROW()-3,$CM$4:$CM$42,0)))</f>
        <v/>
      </c>
      <c r="CO41">
        <f>CO40+IF(AND(Lists!$ET$41&lt;&gt;"",ISNUMBER(SEARCH($AC$4,Lists!$ET$41))),1,0)</f>
        <v/>
      </c>
      <c r="CP41">
        <f>IF(ROW()-3&gt;MAX($CO$4:$CO$42),"",INDEX(Lists!$ET$4:$ET$42,MATCH(ROW()-3,$CO$4:$CO$42,0)))</f>
        <v/>
      </c>
      <c r="CQ41">
        <f>CQ40+IF(AND(Lists!$EY$41&lt;&gt;"",ISNUMBER(SEARCH($AD$4,Lists!$EY$41))),1,0)</f>
        <v/>
      </c>
      <c r="CR41">
        <f>IF(ROW()-3&gt;MAX($CQ$4:$CQ$42),"",INDEX(Lists!$EY$4:$EY$42,MATCH(ROW()-3,$CQ$4:$CQ$42,0)))</f>
        <v/>
      </c>
      <c r="CS41">
        <f>CS40+IF(AND(Lists!$FD$41&lt;&gt;"",ISNUMBER(SEARCH($AE$4,Lists!$FD$41))),1,0)</f>
        <v/>
      </c>
      <c r="CT41">
        <f>IF(ROW()-3&gt;MAX($CS$4:$CS$42),"",INDEX(Lists!$FD$4:$FD$42,MATCH(ROW()-3,$CS$4:$CS$42,0)))</f>
        <v/>
      </c>
      <c r="CU41">
        <f>CU40+IF(AND(Lists!$FI$41&lt;&gt;"",ISNUMBER(SEARCH($AG$4,Lists!$FI$41))),1,0)</f>
        <v/>
      </c>
      <c r="CV41">
        <f>IF(ROW()-3&gt;MAX($CU$4:$CU$42),"",INDEX(Lists!$FI$4:$FI$42,MATCH(ROW()-3,$CU$4:$CU$42,0)))</f>
        <v/>
      </c>
      <c r="CW41">
        <f>CW40+IF(AND(Lists!$FN$41&lt;&gt;"",ISNUMBER(SEARCH($AH$4,Lists!$FN$41))),1,0)</f>
        <v/>
      </c>
      <c r="CX41">
        <f>IF(ROW()-3&gt;MAX($CW$4:$CW$42),"",INDEX(Lists!$FN$4:$FN$42,MATCH(ROW()-3,$CW$4:$CW$42,0)))</f>
        <v/>
      </c>
      <c r="CY41">
        <f>CY40+IF(AND(Lists!$FS$41&lt;&gt;"",ISNUMBER(SEARCH($AI$4,Lists!$FS$41))),1,0)</f>
        <v/>
      </c>
      <c r="CZ41">
        <f>IF(ROW()-3&gt;MAX($CY$4:$CY$42),"",INDEX(Lists!$FS$4:$FS$42,MATCH(ROW()-3,$CY$4:$CY$42,0)))</f>
        <v/>
      </c>
      <c r="DA41">
        <f>DA40+IF(AND(Lists!$FX$41&lt;&gt;"",ISNUMBER(SEARCH($AF$4,Lists!$FX$41))),1,0)</f>
        <v/>
      </c>
      <c r="DB41">
        <f>IF(ROW()-3&gt;MAX($DA$4:$DA$42),"",INDEX(Lists!$FX$4:$FX$42,MATCH(ROW()-3,$DA$4:$DA$42,0)))</f>
        <v/>
      </c>
    </row>
    <row r="42" outlineLevel="1" ht="15" customHeight="1" s="137">
      <c r="A42" s="90" t="n">
        <v>2</v>
      </c>
      <c r="B42" s="92">
        <f>IF('Final Calculation Sheet'!$F$14="","",'Final Calculation Sheet'!$F$14)</f>
        <v/>
      </c>
      <c r="C42" s="92">
        <f>IF('Final Calculation Sheet'!$G$14="","",'Final Calculation Sheet'!$G$14)</f>
        <v/>
      </c>
      <c r="D42" s="94">
        <f>IF('Final Calculation Sheet'!$B$14="","",'Final Calculation Sheet'!$B$14)</f>
        <v/>
      </c>
      <c r="E42" s="94">
        <f>IF('Final Calculation Sheet'!$D$14="","",'Final Calculation Sheet'!$D$14)</f>
        <v/>
      </c>
      <c r="F42" s="94">
        <f>IF('Final Calculation Sheet'!$A$14="","",'Final Calculation Sheet'!$A$14)</f>
        <v/>
      </c>
      <c r="G42" s="94">
        <f>IF('Final Calculation Sheet'!$E$14="","",'Final Calculation Sheet'!$E$14)</f>
        <v/>
      </c>
      <c r="H42" s="95">
        <f>IF('Final Calculation Sheet'!$C$14="","",'Final Calculation Sheet'!$C$14)</f>
        <v/>
      </c>
      <c r="I42" s="95">
        <f>IF('Final Calculation Sheet'!$H$14="","",'Final Calculation Sheet'!$H$14)</f>
        <v/>
      </c>
      <c r="J42" s="95">
        <f>IF('Final Calculation Sheet'!$I$14="","",'Final Calculation Sheet'!$I$14)</f>
        <v/>
      </c>
      <c r="K42" s="95">
        <f>IF('Final Calculation Sheet'!$J$14="","",'Final Calculation Sheet'!$J$14)</f>
        <v/>
      </c>
      <c r="L42" s="95">
        <f>IF('Final Calculation Sheet'!$K$14="","",'Final Calculation Sheet'!$K$14)</f>
        <v/>
      </c>
      <c r="M42" s="95">
        <f>IF('Final Calculation Sheet'!$L$14="","",'Final Calculation Sheet'!$L$14)</f>
        <v/>
      </c>
      <c r="N42" s="95">
        <f>IF('Final Calculation Sheet'!$M$14="","",'Final Calculation Sheet'!$M$14)</f>
        <v/>
      </c>
      <c r="O42" s="96">
        <f>IF('Final Calculation Sheet'!$N$14="","",'Final Calculation Sheet'!$N$14)</f>
        <v/>
      </c>
      <c r="P42" s="95">
        <f>IF('Final Calculation Sheet'!$O$14="","",'Final Calculation Sheet'!$O$14)</f>
        <v/>
      </c>
      <c r="Q42" s="95">
        <f>IF('Final Calculation Sheet'!$P$14="","",'Final Calculation Sheet'!$P$14)</f>
        <v/>
      </c>
      <c r="R42" s="97">
        <f>IF('Final Calculation Sheet'!$Q$14="","",'Final Calculation Sheet'!$Q$14)</f>
        <v/>
      </c>
      <c r="S42" s="95">
        <f>IF('Final Calculation Sheet'!$R$14="","",'Final Calculation Sheet'!$R$14)</f>
        <v/>
      </c>
      <c r="T42" s="95">
        <f>IF('Final Calculation Sheet'!$S$14="","",'Final Calculation Sheet'!$S$14)</f>
        <v/>
      </c>
      <c r="U42" s="95">
        <f>IF('Final Calculation Sheet'!$T$14="","",'Final Calculation Sheet'!$T$14)</f>
        <v/>
      </c>
      <c r="V42" s="98">
        <f>IF('Final Calculation Sheet'!$U$14="","",'Final Calculation Sheet'!$U$14)</f>
        <v/>
      </c>
      <c r="W42" s="95">
        <f>IF('Final Calculation Sheet'!$V$14="","",'Final Calculation Sheet'!$V$14)</f>
        <v/>
      </c>
      <c r="X42" s="95">
        <f>IF('Final Calculation Sheet'!$W$14="","",'Final Calculation Sheet'!$W$14)</f>
        <v/>
      </c>
      <c r="Y42" s="95">
        <f>IF('Final Calculation Sheet'!$X$14="","",'Final Calculation Sheet'!$X$14)</f>
        <v/>
      </c>
      <c r="Z42" s="95">
        <f>IF('Final Calculation Sheet'!$Y$14="","",'Final Calculation Sheet'!$Y$14)</f>
        <v/>
      </c>
      <c r="AA42" s="95">
        <f>IF('Final Calculation Sheet'!$Z$14="","",'Final Calculation Sheet'!$Z$14)</f>
        <v/>
      </c>
      <c r="AB42" s="95">
        <f>IF('Final Calculation Sheet'!$AA$14="","",'Final Calculation Sheet'!$AA$14)</f>
        <v/>
      </c>
      <c r="AC42" s="95">
        <f>IF('Final Calculation Sheet'!$AB$14="","",'Final Calculation Sheet'!$AB$14)</f>
        <v/>
      </c>
      <c r="AD42" s="95">
        <f>IF('Final Calculation Sheet'!$AC$14="","",'Final Calculation Sheet'!$AC$14)</f>
        <v/>
      </c>
      <c r="AE42" s="95">
        <f>IF('Final Calculation Sheet'!$AD$14="","",'Final Calculation Sheet'!$AD$14)</f>
        <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
      </c>
      <c r="AK42">
        <f>IF(AJ42=1,COUNTIF(AJ$6:AJ42,1),"")</f>
        <v/>
      </c>
      <c r="AM42">
        <f>AM41+IF(AND(Lists!$O$42&lt;&gt;"",ISNUMBER(SEARCH($B$4,Lists!$O$42))),1,0)</f>
        <v/>
      </c>
      <c r="AN42">
        <f>IF(ROW()-3&gt;MAX($AM$4:$AM$42),"",INDEX(Lists!$O$4:$O$42,MATCH(ROW()-3,$AM$4:$AM$42,0)))</f>
        <v/>
      </c>
      <c r="AO42">
        <f>AO41+IF(AND(Lists!$T$42&lt;&gt;"",ISNUMBER(SEARCH($C$4,Lists!$T$42))),1,0)</f>
        <v/>
      </c>
      <c r="AP42">
        <f>IF(ROW()-3&gt;MAX($AO$4:$AO$42),"",INDEX(Lists!$T$4:$T$42,MATCH(ROW()-3,$AO$4:$AO$42,0)))</f>
        <v/>
      </c>
      <c r="AQ42">
        <f>AQ41+IF(AND(Lists!$Y$42&lt;&gt;"",ISNUMBER(SEARCH($D$4,Lists!$Y$42))),1,0)</f>
        <v/>
      </c>
      <c r="AR42">
        <f>IF(ROW()-3&gt;MAX($AQ$4:$AQ$42),"",INDEX(Lists!$Y$4:$Y$42,MATCH(ROW()-3,$AQ$4:$AQ$42,0)))</f>
        <v/>
      </c>
      <c r="AS42">
        <f>AS41+IF(AND(Lists!$AD$42&lt;&gt;"",ISNUMBER(SEARCH($E$4,Lists!$AD$42))),1,0)</f>
        <v/>
      </c>
      <c r="AT42">
        <f>IF(ROW()-3&gt;MAX($AS$4:$AS$42),"",INDEX(Lists!$AD$4:$AD$42,MATCH(ROW()-3,$AS$4:$AS$42,0)))</f>
        <v/>
      </c>
      <c r="AU42">
        <f>AU41+IF(AND(Lists!$AI$42&lt;&gt;"",ISNUMBER(SEARCH($F$4,Lists!$AI$42))),1,0)</f>
        <v/>
      </c>
      <c r="AV42">
        <f>IF(ROW()-3&gt;MAX($AU$4:$AU$42),"",INDEX(Lists!$AI$4:$AI$42,MATCH(ROW()-3,$AU$4:$AU$42,0)))</f>
        <v/>
      </c>
      <c r="AW42">
        <f>AW41+IF(AND(Lists!$AN$42&lt;&gt;"",ISNUMBER(SEARCH($G$4,Lists!$AN$42))),1,0)</f>
        <v/>
      </c>
      <c r="AX42">
        <f>IF(ROW()-3&gt;MAX($AW$4:$AW$42),"",INDEX(Lists!$AN$4:$AN$42,MATCH(ROW()-3,$AW$4:$AW$42,0)))</f>
        <v/>
      </c>
      <c r="AY42">
        <f>AY41+IF(AND(Lists!$AS$42&lt;&gt;"",ISNUMBER(SEARCH($H$4,Lists!$AS$42))),1,0)</f>
        <v/>
      </c>
      <c r="AZ42">
        <f>IF(ROW()-3&gt;MAX($AY$4:$AY$42),"",INDEX(Lists!$AS$4:$AS$42,MATCH(ROW()-3,$AY$4:$AY$42,0)))</f>
        <v/>
      </c>
      <c r="BA42">
        <f>BA41+IF(AND(Lists!$AX$42&lt;&gt;"",ISNUMBER(SEARCH($I$4,Lists!$AX$42))),1,0)</f>
        <v/>
      </c>
      <c r="BB42">
        <f>IF(ROW()-3&gt;MAX($BA$4:$BA$42),"",INDEX(Lists!$AX$4:$AX$42,MATCH(ROW()-3,$BA$4:$BA$42,0)))</f>
        <v/>
      </c>
      <c r="BC42">
        <f>BC41+IF(AND(Lists!$BC$42&lt;&gt;"",ISNUMBER(SEARCH($J$4,Lists!$BC$42))),1,0)</f>
        <v/>
      </c>
      <c r="BD42">
        <f>IF(ROW()-3&gt;MAX($BC$4:$BC$42),"",INDEX(Lists!$BC$4:$BC$42,MATCH(ROW()-3,$BC$4:$BC$42,0)))</f>
        <v/>
      </c>
      <c r="BE42">
        <f>BE41+IF(AND(Lists!$BH$42&lt;&gt;"",ISNUMBER(SEARCH($K$4,Lists!$BH$42))),1,0)</f>
        <v/>
      </c>
      <c r="BF42">
        <f>IF(ROW()-3&gt;MAX($BE$4:$BE$42),"",INDEX(Lists!$BH$4:$BH$42,MATCH(ROW()-3,$BE$4:$BE$42,0)))</f>
        <v/>
      </c>
      <c r="BG42">
        <f>BG41+IF(AND(Lists!$BM$42&lt;&gt;"",ISNUMBER(SEARCH($L$4,Lists!$BM$42))),1,0)</f>
        <v/>
      </c>
      <c r="BH42">
        <f>IF(ROW()-3&gt;MAX($BG$4:$BG$42),"",INDEX(Lists!$BM$4:$BM$42,MATCH(ROW()-3,$BG$4:$BG$42,0)))</f>
        <v/>
      </c>
      <c r="BI42">
        <f>BI41+IF(AND(Lists!$BR$42&lt;&gt;"",ISNUMBER(SEARCH($M$4,Lists!$BR$42))),1,0)</f>
        <v/>
      </c>
      <c r="BJ42">
        <f>IF(ROW()-3&gt;MAX($BI$4:$BI$42),"",INDEX(Lists!$BR$4:$BR$42,MATCH(ROW()-3,$BI$4:$BI$42,0)))</f>
        <v/>
      </c>
      <c r="BK42">
        <f>BK41+IF(AND(Lists!$BW$42&lt;&gt;"",ISNUMBER(SEARCH($N$4,Lists!$BW$42))),1,0)</f>
        <v/>
      </c>
      <c r="BL42">
        <f>IF(ROW()-3&gt;MAX($BK$4:$BK$42),"",INDEX(Lists!$BW$4:$BW$42,MATCH(ROW()-3,$BK$4:$BK$42,0)))</f>
        <v/>
      </c>
      <c r="BM42">
        <f>BM41+IF(AND(Lists!$CB$42&lt;&gt;"",ISNUMBER(SEARCH($O$4,Lists!$CB$42))),1,0)</f>
        <v/>
      </c>
      <c r="BN42">
        <f>IF(ROW()-3&gt;MAX($BM$4:$BM$42),"",INDEX(Lists!$CB$4:$CB$42,MATCH(ROW()-3,$BM$4:$BM$42,0)))</f>
        <v/>
      </c>
      <c r="BO42">
        <f>BO41+IF(AND(Lists!$CG$42&lt;&gt;"",ISNUMBER(SEARCH($P$4,Lists!$CG$42))),1,0)</f>
        <v/>
      </c>
      <c r="BP42">
        <f>IF(ROW()-3&gt;MAX($BO$4:$BO$42),"",INDEX(Lists!$CG$4:$CG$42,MATCH(ROW()-3,$BO$4:$BO$42,0)))</f>
        <v/>
      </c>
      <c r="BQ42">
        <f>BQ41+IF(AND(Lists!$CL$42&lt;&gt;"",ISNUMBER(SEARCH($Q$4,Lists!$CL$42))),1,0)</f>
        <v/>
      </c>
      <c r="BR42">
        <f>IF(ROW()-3&gt;MAX($BQ$4:$BQ$42),"",INDEX(Lists!$CL$4:$CL$42,MATCH(ROW()-3,$BQ$4:$BQ$42,0)))</f>
        <v/>
      </c>
      <c r="BS42">
        <f>BS41+IF(AND(Lists!$CQ$42&lt;&gt;"",ISNUMBER(SEARCH($R$4,Lists!$CQ$42))),1,0)</f>
        <v/>
      </c>
      <c r="BT42">
        <f>IF(ROW()-3&gt;MAX($BS$4:$BS$42),"",INDEX(Lists!$CQ$4:$CQ$42,MATCH(ROW()-3,$BS$4:$BS$42,0)))</f>
        <v/>
      </c>
      <c r="BU42">
        <f>BU41+IF(AND(Lists!$CV$42&lt;&gt;"",ISNUMBER(SEARCH($S$4,Lists!$CV$42))),1,0)</f>
        <v/>
      </c>
      <c r="BV42">
        <f>IF(ROW()-3&gt;MAX($BU$4:$BU$42),"",INDEX(Lists!$CV$4:$CV$42,MATCH(ROW()-3,$BU$4:$BU$42,0)))</f>
        <v/>
      </c>
      <c r="BW42">
        <f>BW41+IF(AND(Lists!$DA$42&lt;&gt;"",ISNUMBER(SEARCH($T$4,Lists!$DA$42))),1,0)</f>
        <v/>
      </c>
      <c r="BX42">
        <f>IF(ROW()-3&gt;MAX($BW$4:$BW$42),"",INDEX(Lists!$DA$4:$DA$42,MATCH(ROW()-3,$BW$4:$BW$42,0)))</f>
        <v/>
      </c>
      <c r="BY42">
        <f>BY41+IF(AND(Lists!$DF$42&lt;&gt;"",ISNUMBER(SEARCH($U$4,Lists!$DF$42))),1,0)</f>
        <v/>
      </c>
      <c r="BZ42">
        <f>IF(ROW()-3&gt;MAX($BY$4:$BY$42),"",INDEX(Lists!$DF$4:$DF$42,MATCH(ROW()-3,$BY$4:$BY$42,0)))</f>
        <v/>
      </c>
      <c r="CA42">
        <f>CA41+IF(AND(Lists!$DK$42&lt;&gt;"",ISNUMBER(SEARCH($V$4,Lists!$DK$42))),1,0)</f>
        <v/>
      </c>
      <c r="CB42">
        <f>IF(ROW()-3&gt;MAX($CA$4:$CA$42),"",INDEX(Lists!$DK$4:$DK$42,MATCH(ROW()-3,$CA$4:$CA$42,0)))</f>
        <v/>
      </c>
      <c r="CC42">
        <f>CC41+IF(AND(Lists!$DP$42&lt;&gt;"",ISNUMBER(SEARCH($W$4,Lists!$DP$42))),1,0)</f>
        <v/>
      </c>
      <c r="CD42">
        <f>IF(ROW()-3&gt;MAX($CC$4:$CC$42),"",INDEX(Lists!$DP$4:$DP$42,MATCH(ROW()-3,$CC$4:$CC$42,0)))</f>
        <v/>
      </c>
      <c r="CE42">
        <f>CE41+IF(AND(Lists!$DU$42&lt;&gt;"",ISNUMBER(SEARCH($X$4,Lists!$DU$42))),1,0)</f>
        <v/>
      </c>
      <c r="CF42">
        <f>IF(ROW()-3&gt;MAX($CE$4:$CE$42),"",INDEX(Lists!$DU$4:$DU$42,MATCH(ROW()-3,$CE$4:$CE$42,0)))</f>
        <v/>
      </c>
      <c r="CG42">
        <f>CG41+IF(AND(Lists!$DZ$42&lt;&gt;"",ISNUMBER(SEARCH($Y$4,Lists!$DZ$42))),1,0)</f>
        <v/>
      </c>
      <c r="CH42">
        <f>IF(ROW()-3&gt;MAX($CG$4:$CG$42),"",INDEX(Lists!$DZ$4:$DZ$42,MATCH(ROW()-3,$CG$4:$CG$42,0)))</f>
        <v/>
      </c>
      <c r="CI42">
        <f>CI41+IF(AND(Lists!$EE$42&lt;&gt;"",ISNUMBER(SEARCH($Z$4,Lists!$EE$42))),1,0)</f>
        <v/>
      </c>
      <c r="CJ42">
        <f>IF(ROW()-3&gt;MAX($CI$4:$CI$42),"",INDEX(Lists!$EE$4:$EE$42,MATCH(ROW()-3,$CI$4:$CI$42,0)))</f>
        <v/>
      </c>
      <c r="CK42">
        <f>CK41+IF(AND(Lists!$EJ$42&lt;&gt;"",ISNUMBER(SEARCH($AA$4,Lists!$EJ$42))),1,0)</f>
        <v/>
      </c>
      <c r="CL42">
        <f>IF(ROW()-3&gt;MAX($CK$4:$CK$42),"",INDEX(Lists!$EJ$4:$EJ$42,MATCH(ROW()-3,$CK$4:$CK$42,0)))</f>
        <v/>
      </c>
      <c r="CM42">
        <f>CM41+IF(AND(Lists!$EO$42&lt;&gt;"",ISNUMBER(SEARCH($AB$4,Lists!$EO$42))),1,0)</f>
        <v/>
      </c>
      <c r="CN42">
        <f>IF(ROW()-3&gt;MAX($CM$4:$CM$42),"",INDEX(Lists!$EO$4:$EO$42,MATCH(ROW()-3,$CM$4:$CM$42,0)))</f>
        <v/>
      </c>
      <c r="CO42">
        <f>CO41+IF(AND(Lists!$ET$42&lt;&gt;"",ISNUMBER(SEARCH($AC$4,Lists!$ET$42))),1,0)</f>
        <v/>
      </c>
      <c r="CP42">
        <f>IF(ROW()-3&gt;MAX($CO$4:$CO$42),"",INDEX(Lists!$ET$4:$ET$42,MATCH(ROW()-3,$CO$4:$CO$42,0)))</f>
        <v/>
      </c>
      <c r="CQ42">
        <f>CQ41+IF(AND(Lists!$EY$42&lt;&gt;"",ISNUMBER(SEARCH($AD$4,Lists!$EY$42))),1,0)</f>
        <v/>
      </c>
      <c r="CR42">
        <f>IF(ROW()-3&gt;MAX($CQ$4:$CQ$42),"",INDEX(Lists!$EY$4:$EY$42,MATCH(ROW()-3,$CQ$4:$CQ$42,0)))</f>
        <v/>
      </c>
      <c r="CS42">
        <f>CS41+IF(AND(Lists!$FD$42&lt;&gt;"",ISNUMBER(SEARCH($AE$4,Lists!$FD$42))),1,0)</f>
        <v/>
      </c>
      <c r="CT42">
        <f>IF(ROW()-3&gt;MAX($CS$4:$CS$42),"",INDEX(Lists!$FD$4:$FD$42,MATCH(ROW()-3,$CS$4:$CS$42,0)))</f>
        <v/>
      </c>
      <c r="CU42">
        <f>CU41+IF(AND(Lists!$FI$42&lt;&gt;"",ISNUMBER(SEARCH($AG$4,Lists!$FI$42))),1,0)</f>
        <v/>
      </c>
      <c r="CV42">
        <f>IF(ROW()-3&gt;MAX($CU$4:$CU$42),"",INDEX(Lists!$FI$4:$FI$42,MATCH(ROW()-3,$CU$4:$CU$42,0)))</f>
        <v/>
      </c>
      <c r="CW42">
        <f>CW41+IF(AND(Lists!$FN$42&lt;&gt;"",ISNUMBER(SEARCH($AH$4,Lists!$FN$42))),1,0)</f>
        <v/>
      </c>
      <c r="CX42">
        <f>IF(ROW()-3&gt;MAX($CW$4:$CW$42),"",INDEX(Lists!$FN$4:$FN$42,MATCH(ROW()-3,$CW$4:$CW$42,0)))</f>
        <v/>
      </c>
      <c r="CY42">
        <f>CY41+IF(AND(Lists!$FS$42&lt;&gt;"",ISNUMBER(SEARCH($AI$4,Lists!$FS$42))),1,0)</f>
        <v/>
      </c>
      <c r="CZ42">
        <f>IF(ROW()-3&gt;MAX($CY$4:$CY$42),"",INDEX(Lists!$FS$4:$FS$42,MATCH(ROW()-3,$CY$4:$CY$42,0)))</f>
        <v/>
      </c>
      <c r="DA42">
        <f>DA41+IF(AND(Lists!$FX$42&lt;&gt;"",ISNUMBER(SEARCH($AF$4,Lists!$FX$42))),1,0)</f>
        <v/>
      </c>
      <c r="DB42">
        <f>IF(ROW()-3&gt;MAX($DA$4:$DA$42),"",INDEX(Lists!$FX$4:$FX$42,MATCH(ROW()-3,$DA$4:$DA$42,0)))</f>
        <v/>
      </c>
    </row>
    <row r="43" ht="15" customHeight="1" s="137">
      <c r="A43" s="81" t="inlineStr">
        <is>
          <t>∑</t>
        </is>
      </c>
      <c r="B43" s="83" t="n"/>
      <c r="C43" s="83">
        <f>ROWS($C$41:$C$42)&amp;" lot(s)"</f>
        <v/>
      </c>
      <c r="D43" s="83" t="inlineStr">
        <is>
          <t>SUBTOTAL — SHAR JAHAN TRADERS</t>
        </is>
      </c>
      <c r="E43" s="83" t="inlineStr">
        <is>
          <t>–</t>
        </is>
      </c>
      <c r="F43" s="83">
        <f>SUM(F41:F42)</f>
        <v/>
      </c>
      <c r="G43" s="83" t="inlineStr">
        <is>
          <t>–</t>
        </is>
      </c>
      <c r="H43" s="84" t="inlineStr">
        <is>
          <t>–</t>
        </is>
      </c>
      <c r="I43" s="84">
        <f>SUM(I41:I42)</f>
        <v/>
      </c>
      <c r="J43" s="84">
        <f>SUM(J41:J42)</f>
        <v/>
      </c>
      <c r="K43" s="84">
        <f>SUM(K41:K42)</f>
        <v/>
      </c>
      <c r="L43" s="84">
        <f>SUM(L41:L42)</f>
        <v/>
      </c>
      <c r="M43" s="84">
        <f>SUM(M41:M42)</f>
        <v/>
      </c>
      <c r="N43" s="84">
        <f>SUM(N41:N42)</f>
        <v/>
      </c>
      <c r="O43" s="85">
        <f>SUM(O41:O42)</f>
        <v/>
      </c>
      <c r="P43" s="84">
        <f>SUM(P41:P42)</f>
        <v/>
      </c>
      <c r="Q43" s="84">
        <f>SUM(Q41:Q42)</f>
        <v/>
      </c>
      <c r="R43" s="86" t="inlineStr">
        <is>
          <t>–</t>
        </is>
      </c>
      <c r="S43" s="84">
        <f>SUM(S41:S42)</f>
        <v/>
      </c>
      <c r="T43" s="84">
        <f>SUM(T41:T42)</f>
        <v/>
      </c>
      <c r="U43" s="84">
        <f>SUM(U41:U42)</f>
        <v/>
      </c>
      <c r="V43" s="87">
        <f>SUM(V41:V42)</f>
        <v/>
      </c>
      <c r="W43" s="84" t="inlineStr">
        <is>
          <t>–</t>
        </is>
      </c>
      <c r="X43" s="84">
        <f>SUM(X41:X42)</f>
        <v/>
      </c>
      <c r="Y43" s="84">
        <f>SUM(Y41:Y42)</f>
        <v/>
      </c>
      <c r="Z43" s="84" t="inlineStr">
        <is>
          <t>–</t>
        </is>
      </c>
      <c r="AA43" s="84">
        <f>SUM(AA41:AA42)</f>
        <v/>
      </c>
      <c r="AB43" s="84">
        <f>SUM(AB41:AB42)</f>
        <v/>
      </c>
      <c r="AC43" s="84" t="inlineStr">
        <is>
          <t>–</t>
        </is>
      </c>
      <c r="AD43" s="84">
        <f>SUM(AD41:AD42)</f>
        <v/>
      </c>
      <c r="AE43" s="84">
        <f>SUM(AE41:AE42)</f>
        <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
      </c>
      <c r="C44" s="76">
        <f>IF('Final Calculation Sheet'!$G$13="","",'Final Calculation Sheet'!$G$13)</f>
        <v/>
      </c>
      <c r="D44" s="80">
        <f>IF('Final Calculation Sheet'!$B$13="","",'Final Calculation Sheet'!$B$13)</f>
        <v/>
      </c>
      <c r="E44" s="80">
        <f>IF('Final Calculation Sheet'!$D$13="","",'Final Calculation Sheet'!$D$13)</f>
        <v/>
      </c>
      <c r="F44" s="80">
        <f>IF('Final Calculation Sheet'!$A$13="","",'Final Calculation Sheet'!$A$13)</f>
        <v/>
      </c>
      <c r="G44" s="80">
        <f>IF('Final Calculation Sheet'!$E$13="","",'Final Calculation Sheet'!$E$13)</f>
        <v/>
      </c>
      <c r="H44" s="70">
        <f>IF('Final Calculation Sheet'!$C$13="","",'Final Calculation Sheet'!$C$13)</f>
        <v/>
      </c>
      <c r="I44" s="70">
        <f>IF('Final Calculation Sheet'!$H$13="","",'Final Calculation Sheet'!$H$13)</f>
        <v/>
      </c>
      <c r="J44" s="70">
        <f>IF('Final Calculation Sheet'!$I$13="","",'Final Calculation Sheet'!$I$13)</f>
        <v/>
      </c>
      <c r="K44" s="70">
        <f>IF('Final Calculation Sheet'!$J$13="","",'Final Calculation Sheet'!$J$13)</f>
        <v/>
      </c>
      <c r="L44" s="70">
        <f>IF('Final Calculation Sheet'!$K$13="","",'Final Calculation Sheet'!$K$13)</f>
        <v/>
      </c>
      <c r="M44" s="70">
        <f>IF('Final Calculation Sheet'!$L$13="","",'Final Calculation Sheet'!$L$13)</f>
        <v/>
      </c>
      <c r="N44" s="70">
        <f>IF('Final Calculation Sheet'!$M$13="","",'Final Calculation Sheet'!$M$13)</f>
        <v/>
      </c>
      <c r="O44" s="71">
        <f>IF('Final Calculation Sheet'!$N$13="","",'Final Calculation Sheet'!$N$13)</f>
        <v/>
      </c>
      <c r="P44" s="70">
        <f>IF('Final Calculation Sheet'!$O$13="","",'Final Calculation Sheet'!$O$13)</f>
        <v/>
      </c>
      <c r="Q44" s="70">
        <f>IF('Final Calculation Sheet'!$P$13="","",'Final Calculation Sheet'!$P$13)</f>
        <v/>
      </c>
      <c r="R44" s="72">
        <f>IF('Final Calculation Sheet'!$Q$13="","",'Final Calculation Sheet'!$Q$13)</f>
        <v/>
      </c>
      <c r="S44" s="70">
        <f>IF('Final Calculation Sheet'!$R$13="","",'Final Calculation Sheet'!$R$13)</f>
        <v/>
      </c>
      <c r="T44" s="70">
        <f>IF('Final Calculation Sheet'!$S$13="","",'Final Calculation Sheet'!$S$13)</f>
        <v/>
      </c>
      <c r="U44" s="70">
        <f>IF('Final Calculation Sheet'!$T$13="","",'Final Calculation Sheet'!$T$13)</f>
        <v/>
      </c>
      <c r="V44" s="73">
        <f>IF('Final Calculation Sheet'!$U$13="","",'Final Calculation Sheet'!$U$13)</f>
        <v/>
      </c>
      <c r="W44" s="70">
        <f>IF('Final Calculation Sheet'!$V$13="","",'Final Calculation Sheet'!$V$13)</f>
        <v/>
      </c>
      <c r="X44" s="70">
        <f>IF('Final Calculation Sheet'!$W$13="","",'Final Calculation Sheet'!$W$13)</f>
        <v/>
      </c>
      <c r="Y44" s="70">
        <f>IF('Final Calculation Sheet'!$X$13="","",'Final Calculation Sheet'!$X$13)</f>
        <v/>
      </c>
      <c r="Z44" s="70">
        <f>IF('Final Calculation Sheet'!$Y$13="","",'Final Calculation Sheet'!$Y$13)</f>
        <v/>
      </c>
      <c r="AA44" s="70">
        <f>IF('Final Calculation Sheet'!$Z$13="","",'Final Calculation Sheet'!$Z$13)</f>
        <v/>
      </c>
      <c r="AB44" s="70">
        <f>IF('Final Calculation Sheet'!$AA$13="","",'Final Calculation Sheet'!$AA$13)</f>
        <v/>
      </c>
      <c r="AC44" s="70">
        <f>IF('Final Calculation Sheet'!$AB$13="","",'Final Calculation Sheet'!$AB$13)</f>
        <v/>
      </c>
      <c r="AD44" s="70">
        <f>IF('Final Calculation Sheet'!$AC$13="","",'Final Calculation Sheet'!$AC$13)</f>
        <v/>
      </c>
      <c r="AE44" s="70">
        <f>IF('Final Calculation Sheet'!$AD$13="","",'Final Calculation Sheet'!$AD$13)</f>
        <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
      </c>
      <c r="C45" s="92">
        <f>IF('Final Calculation Sheet'!$G$16="","",'Final Calculation Sheet'!$G$16)</f>
        <v/>
      </c>
      <c r="D45" s="94">
        <f>IF('Final Calculation Sheet'!$B$16="","",'Final Calculation Sheet'!$B$16)</f>
        <v/>
      </c>
      <c r="E45" s="94">
        <f>IF('Final Calculation Sheet'!$D$16="","",'Final Calculation Sheet'!$D$16)</f>
        <v/>
      </c>
      <c r="F45" s="94">
        <f>IF('Final Calculation Sheet'!$A$16="","",'Final Calculation Sheet'!$A$16)</f>
        <v/>
      </c>
      <c r="G45" s="94">
        <f>IF('Final Calculation Sheet'!$E$16="","",'Final Calculation Sheet'!$E$16)</f>
        <v/>
      </c>
      <c r="H45" s="95">
        <f>IF('Final Calculation Sheet'!$C$16="","",'Final Calculation Sheet'!$C$16)</f>
        <v/>
      </c>
      <c r="I45" s="95">
        <f>IF('Final Calculation Sheet'!$H$16="","",'Final Calculation Sheet'!$H$16)</f>
        <v/>
      </c>
      <c r="J45" s="95">
        <f>IF('Final Calculation Sheet'!$I$16="","",'Final Calculation Sheet'!$I$16)</f>
        <v/>
      </c>
      <c r="K45" s="95">
        <f>IF('Final Calculation Sheet'!$J$16="","",'Final Calculation Sheet'!$J$16)</f>
        <v/>
      </c>
      <c r="L45" s="95">
        <f>IF('Final Calculation Sheet'!$K$16="","",'Final Calculation Sheet'!$K$16)</f>
        <v/>
      </c>
      <c r="M45" s="95">
        <f>IF('Final Calculation Sheet'!$L$16="","",'Final Calculation Sheet'!$L$16)</f>
        <v/>
      </c>
      <c r="N45" s="95">
        <f>IF('Final Calculation Sheet'!$M$16="","",'Final Calculation Sheet'!$M$16)</f>
        <v/>
      </c>
      <c r="O45" s="96">
        <f>IF('Final Calculation Sheet'!$N$16="","",'Final Calculation Sheet'!$N$16)</f>
        <v/>
      </c>
      <c r="P45" s="95">
        <f>IF('Final Calculation Sheet'!$O$16="","",'Final Calculation Sheet'!$O$16)</f>
        <v/>
      </c>
      <c r="Q45" s="95">
        <f>IF('Final Calculation Sheet'!$P$16="","",'Final Calculation Sheet'!$P$16)</f>
        <v/>
      </c>
      <c r="R45" s="97">
        <f>IF('Final Calculation Sheet'!$Q$16="","",'Final Calculation Sheet'!$Q$16)</f>
        <v/>
      </c>
      <c r="S45" s="95">
        <f>IF('Final Calculation Sheet'!$R$16="","",'Final Calculation Sheet'!$R$16)</f>
        <v/>
      </c>
      <c r="T45" s="95">
        <f>IF('Final Calculation Sheet'!$S$16="","",'Final Calculation Sheet'!$S$16)</f>
        <v/>
      </c>
      <c r="U45" s="95">
        <f>IF('Final Calculation Sheet'!$T$16="","",'Final Calculation Sheet'!$T$16)</f>
        <v/>
      </c>
      <c r="V45" s="98">
        <f>IF('Final Calculation Sheet'!$U$16="","",'Final Calculation Sheet'!$U$16)</f>
        <v/>
      </c>
      <c r="W45" s="95">
        <f>IF('Final Calculation Sheet'!$V$16="","",'Final Calculation Sheet'!$V$16)</f>
        <v/>
      </c>
      <c r="X45" s="95">
        <f>IF('Final Calculation Sheet'!$W$16="","",'Final Calculation Sheet'!$W$16)</f>
        <v/>
      </c>
      <c r="Y45" s="95">
        <f>IF('Final Calculation Sheet'!$X$16="","",'Final Calculation Sheet'!$X$16)</f>
        <v/>
      </c>
      <c r="Z45" s="95">
        <f>IF('Final Calculation Sheet'!$Y$16="","",'Final Calculation Sheet'!$Y$16)</f>
        <v/>
      </c>
      <c r="AA45" s="95">
        <f>IF('Final Calculation Sheet'!$Z$16="","",'Final Calculation Sheet'!$Z$16)</f>
        <v/>
      </c>
      <c r="AB45" s="95">
        <f>IF('Final Calculation Sheet'!$AA$16="","",'Final Calculation Sheet'!$AA$16)</f>
        <v/>
      </c>
      <c r="AC45" s="95">
        <f>IF('Final Calculation Sheet'!$AB$16="","",'Final Calculation Sheet'!$AB$16)</f>
        <v/>
      </c>
      <c r="AD45" s="95">
        <f>IF('Final Calculation Sheet'!$AC$16="","",'Final Calculation Sheet'!$AC$16)</f>
        <v/>
      </c>
      <c r="AE45" s="95">
        <f>IF('Final Calculation Sheet'!$AD$16="","",'Final Calculation Sheet'!$AD$16)</f>
        <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
      </c>
      <c r="C46" s="76">
        <f>IF('Final Calculation Sheet'!$G$17="","",'Final Calculation Sheet'!$G$17)</f>
        <v/>
      </c>
      <c r="D46" s="80">
        <f>IF('Final Calculation Sheet'!$B$17="","",'Final Calculation Sheet'!$B$17)</f>
        <v/>
      </c>
      <c r="E46" s="80">
        <f>IF('Final Calculation Sheet'!$D$17="","",'Final Calculation Sheet'!$D$17)</f>
        <v/>
      </c>
      <c r="F46" s="80">
        <f>IF('Final Calculation Sheet'!$A$17="","",'Final Calculation Sheet'!$A$17)</f>
        <v/>
      </c>
      <c r="G46" s="80">
        <f>IF('Final Calculation Sheet'!$E$17="","",'Final Calculation Sheet'!$E$17)</f>
        <v/>
      </c>
      <c r="H46" s="70">
        <f>IF('Final Calculation Sheet'!$C$17="","",'Final Calculation Sheet'!$C$17)</f>
        <v/>
      </c>
      <c r="I46" s="70">
        <f>IF('Final Calculation Sheet'!$H$17="","",'Final Calculation Sheet'!$H$17)</f>
        <v/>
      </c>
      <c r="J46" s="70">
        <f>IF('Final Calculation Sheet'!$I$17="","",'Final Calculation Sheet'!$I$17)</f>
        <v/>
      </c>
      <c r="K46" s="70">
        <f>IF('Final Calculation Sheet'!$J$17="","",'Final Calculation Sheet'!$J$17)</f>
        <v/>
      </c>
      <c r="L46" s="70">
        <f>IF('Final Calculation Sheet'!$K$17="","",'Final Calculation Sheet'!$K$17)</f>
        <v/>
      </c>
      <c r="M46" s="70">
        <f>IF('Final Calculation Sheet'!$L$17="","",'Final Calculation Sheet'!$L$17)</f>
        <v/>
      </c>
      <c r="N46" s="70">
        <f>IF('Final Calculation Sheet'!$M$17="","",'Final Calculation Sheet'!$M$17)</f>
        <v/>
      </c>
      <c r="O46" s="71">
        <f>IF('Final Calculation Sheet'!$N$17="","",'Final Calculation Sheet'!$N$17)</f>
        <v/>
      </c>
      <c r="P46" s="70">
        <f>IF('Final Calculation Sheet'!$O$17="","",'Final Calculation Sheet'!$O$17)</f>
        <v/>
      </c>
      <c r="Q46" s="70">
        <f>IF('Final Calculation Sheet'!$P$17="","",'Final Calculation Sheet'!$P$17)</f>
        <v/>
      </c>
      <c r="R46" s="72">
        <f>IF('Final Calculation Sheet'!$Q$17="","",'Final Calculation Sheet'!$Q$17)</f>
        <v/>
      </c>
      <c r="S46" s="70">
        <f>IF('Final Calculation Sheet'!$R$17="","",'Final Calculation Sheet'!$R$17)</f>
        <v/>
      </c>
      <c r="T46" s="70">
        <f>IF('Final Calculation Sheet'!$S$17="","",'Final Calculation Sheet'!$S$17)</f>
        <v/>
      </c>
      <c r="U46" s="70">
        <f>IF('Final Calculation Sheet'!$T$17="","",'Final Calculation Sheet'!$T$17)</f>
        <v/>
      </c>
      <c r="V46" s="73">
        <f>IF('Final Calculation Sheet'!$U$17="","",'Final Calculation Sheet'!$U$17)</f>
        <v/>
      </c>
      <c r="W46" s="70">
        <f>IF('Final Calculation Sheet'!$V$17="","",'Final Calculation Sheet'!$V$17)</f>
        <v/>
      </c>
      <c r="X46" s="70">
        <f>IF('Final Calculation Sheet'!$W$17="","",'Final Calculation Sheet'!$W$17)</f>
        <v/>
      </c>
      <c r="Y46" s="70">
        <f>IF('Final Calculation Sheet'!$X$17="","",'Final Calculation Sheet'!$X$17)</f>
        <v/>
      </c>
      <c r="Z46" s="70">
        <f>IF('Final Calculation Sheet'!$Y$17="","",'Final Calculation Sheet'!$Y$17)</f>
        <v/>
      </c>
      <c r="AA46" s="70">
        <f>IF('Final Calculation Sheet'!$Z$17="","",'Final Calculation Sheet'!$Z$17)</f>
        <v/>
      </c>
      <c r="AB46" s="70">
        <f>IF('Final Calculation Sheet'!$AA$17="","",'Final Calculation Sheet'!$AA$17)</f>
        <v/>
      </c>
      <c r="AC46" s="70">
        <f>IF('Final Calculation Sheet'!$AB$17="","",'Final Calculation Sheet'!$AB$17)</f>
        <v/>
      </c>
      <c r="AD46" s="70">
        <f>IF('Final Calculation Sheet'!$AC$17="","",'Final Calculation Sheet'!$AC$17)</f>
        <v/>
      </c>
      <c r="AE46" s="70">
        <f>IF('Final Calculation Sheet'!$AD$17="","",'Final Calculation Sheet'!$AD$17)</f>
        <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
      </c>
      <c r="C47" s="92">
        <f>IF('Final Calculation Sheet'!$G$23="","",'Final Calculation Sheet'!$G$23)</f>
        <v/>
      </c>
      <c r="D47" s="94">
        <f>IF('Final Calculation Sheet'!$B$23="","",'Final Calculation Sheet'!$B$23)</f>
        <v/>
      </c>
      <c r="E47" s="94">
        <f>IF('Final Calculation Sheet'!$D$23="","",'Final Calculation Sheet'!$D$23)</f>
        <v/>
      </c>
      <c r="F47" s="94">
        <f>IF('Final Calculation Sheet'!$A$23="","",'Final Calculation Sheet'!$A$23)</f>
        <v/>
      </c>
      <c r="G47" s="94">
        <f>IF('Final Calculation Sheet'!$E$23="","",'Final Calculation Sheet'!$E$23)</f>
        <v/>
      </c>
      <c r="H47" s="95">
        <f>IF('Final Calculation Sheet'!$C$23="","",'Final Calculation Sheet'!$C$23)</f>
        <v/>
      </c>
      <c r="I47" s="95">
        <f>IF('Final Calculation Sheet'!$H$23="","",'Final Calculation Sheet'!$H$23)</f>
        <v/>
      </c>
      <c r="J47" s="95">
        <f>IF('Final Calculation Sheet'!$I$23="","",'Final Calculation Sheet'!$I$23)</f>
        <v/>
      </c>
      <c r="K47" s="95">
        <f>IF('Final Calculation Sheet'!$J$23="","",'Final Calculation Sheet'!$J$23)</f>
        <v/>
      </c>
      <c r="L47" s="95">
        <f>IF('Final Calculation Sheet'!$K$23="","",'Final Calculation Sheet'!$K$23)</f>
        <v/>
      </c>
      <c r="M47" s="95">
        <f>IF('Final Calculation Sheet'!$L$23="","",'Final Calculation Sheet'!$L$23)</f>
        <v/>
      </c>
      <c r="N47" s="95">
        <f>IF('Final Calculation Sheet'!$M$23="","",'Final Calculation Sheet'!$M$23)</f>
        <v/>
      </c>
      <c r="O47" s="96">
        <f>IF('Final Calculation Sheet'!$N$23="","",'Final Calculation Sheet'!$N$23)</f>
        <v/>
      </c>
      <c r="P47" s="95">
        <f>IF('Final Calculation Sheet'!$O$23="","",'Final Calculation Sheet'!$O$23)</f>
        <v/>
      </c>
      <c r="Q47" s="95">
        <f>IF('Final Calculation Sheet'!$P$23="","",'Final Calculation Sheet'!$P$23)</f>
        <v/>
      </c>
      <c r="R47" s="97">
        <f>IF('Final Calculation Sheet'!$Q$23="","",'Final Calculation Sheet'!$Q$23)</f>
        <v/>
      </c>
      <c r="S47" s="95">
        <f>IF('Final Calculation Sheet'!$R$23="","",'Final Calculation Sheet'!$R$23)</f>
        <v/>
      </c>
      <c r="T47" s="95">
        <f>IF('Final Calculation Sheet'!$S$23="","",'Final Calculation Sheet'!$S$23)</f>
        <v/>
      </c>
      <c r="U47" s="95">
        <f>IF('Final Calculation Sheet'!$T$23="","",'Final Calculation Sheet'!$T$23)</f>
        <v/>
      </c>
      <c r="V47" s="98">
        <f>IF('Final Calculation Sheet'!$U$23="","",'Final Calculation Sheet'!$U$23)</f>
        <v/>
      </c>
      <c r="W47" s="95">
        <f>IF('Final Calculation Sheet'!$V$23="","",'Final Calculation Sheet'!$V$23)</f>
        <v/>
      </c>
      <c r="X47" s="95">
        <f>IF('Final Calculation Sheet'!$W$23="","",'Final Calculation Sheet'!$W$23)</f>
        <v/>
      </c>
      <c r="Y47" s="95">
        <f>IF('Final Calculation Sheet'!$X$23="","",'Final Calculation Sheet'!$X$23)</f>
        <v/>
      </c>
      <c r="Z47" s="95">
        <f>IF('Final Calculation Sheet'!$Y$23="","",'Final Calculation Sheet'!$Y$23)</f>
        <v/>
      </c>
      <c r="AA47" s="95">
        <f>IF('Final Calculation Sheet'!$Z$23="","",'Final Calculation Sheet'!$Z$23)</f>
        <v/>
      </c>
      <c r="AB47" s="95">
        <f>IF('Final Calculation Sheet'!$AA$23="","",'Final Calculation Sheet'!$AA$23)</f>
        <v/>
      </c>
      <c r="AC47" s="95">
        <f>IF('Final Calculation Sheet'!$AB$23="","",'Final Calculation Sheet'!$AB$23)</f>
        <v/>
      </c>
      <c r="AD47" s="95">
        <f>IF('Final Calculation Sheet'!$AC$23="","",'Final Calculation Sheet'!$AC$23)</f>
        <v/>
      </c>
      <c r="AE47" s="95">
        <f>IF('Final Calculation Sheet'!$AD$23="","",'Final Calculation Sheet'!$AD$23)</f>
        <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
      </c>
      <c r="C48" s="76">
        <f>IF('Final Calculation Sheet'!$G$29="","",'Final Calculation Sheet'!$G$29)</f>
        <v/>
      </c>
      <c r="D48" s="80">
        <f>IF('Final Calculation Sheet'!$B$29="","",'Final Calculation Sheet'!$B$29)</f>
        <v/>
      </c>
      <c r="E48" s="80">
        <f>IF('Final Calculation Sheet'!$D$29="","",'Final Calculation Sheet'!$D$29)</f>
        <v/>
      </c>
      <c r="F48" s="80">
        <f>IF('Final Calculation Sheet'!$A$29="","",'Final Calculation Sheet'!$A$29)</f>
        <v/>
      </c>
      <c r="G48" s="80">
        <f>IF('Final Calculation Sheet'!$E$29="","",'Final Calculation Sheet'!$E$29)</f>
        <v/>
      </c>
      <c r="H48" s="70">
        <f>IF('Final Calculation Sheet'!$C$29="","",'Final Calculation Sheet'!$C$29)</f>
        <v/>
      </c>
      <c r="I48" s="70">
        <f>IF('Final Calculation Sheet'!$H$29="","",'Final Calculation Sheet'!$H$29)</f>
        <v/>
      </c>
      <c r="J48" s="70">
        <f>IF('Final Calculation Sheet'!$I$29="","",'Final Calculation Sheet'!$I$29)</f>
        <v/>
      </c>
      <c r="K48" s="70">
        <f>IF('Final Calculation Sheet'!$J$29="","",'Final Calculation Sheet'!$J$29)</f>
        <v/>
      </c>
      <c r="L48" s="70">
        <f>IF('Final Calculation Sheet'!$K$29="","",'Final Calculation Sheet'!$K$29)</f>
        <v/>
      </c>
      <c r="M48" s="70">
        <f>IF('Final Calculation Sheet'!$L$29="","",'Final Calculation Sheet'!$L$29)</f>
        <v/>
      </c>
      <c r="N48" s="70">
        <f>IF('Final Calculation Sheet'!$M$29="","",'Final Calculation Sheet'!$M$29)</f>
        <v/>
      </c>
      <c r="O48" s="71">
        <f>IF('Final Calculation Sheet'!$N$29="","",'Final Calculation Sheet'!$N$29)</f>
        <v/>
      </c>
      <c r="P48" s="70">
        <f>IF('Final Calculation Sheet'!$O$29="","",'Final Calculation Sheet'!$O$29)</f>
        <v/>
      </c>
      <c r="Q48" s="70">
        <f>IF('Final Calculation Sheet'!$P$29="","",'Final Calculation Sheet'!$P$29)</f>
        <v/>
      </c>
      <c r="R48" s="72">
        <f>IF('Final Calculation Sheet'!$Q$29="","",'Final Calculation Sheet'!$Q$29)</f>
        <v/>
      </c>
      <c r="S48" s="70">
        <f>IF('Final Calculation Sheet'!$R$29="","",'Final Calculation Sheet'!$R$29)</f>
        <v/>
      </c>
      <c r="T48" s="70">
        <f>IF('Final Calculation Sheet'!$S$29="","",'Final Calculation Sheet'!$S$29)</f>
        <v/>
      </c>
      <c r="U48" s="70">
        <f>IF('Final Calculation Sheet'!$T$29="","",'Final Calculation Sheet'!$T$29)</f>
        <v/>
      </c>
      <c r="V48" s="73">
        <f>IF('Final Calculation Sheet'!$U$29="","",'Final Calculation Sheet'!$U$29)</f>
        <v/>
      </c>
      <c r="W48" s="70">
        <f>IF('Final Calculation Sheet'!$V$29="","",'Final Calculation Sheet'!$V$29)</f>
        <v/>
      </c>
      <c r="X48" s="70">
        <f>IF('Final Calculation Sheet'!$W$29="","",'Final Calculation Sheet'!$W$29)</f>
        <v/>
      </c>
      <c r="Y48" s="70">
        <f>IF('Final Calculation Sheet'!$X$29="","",'Final Calculation Sheet'!$X$29)</f>
        <v/>
      </c>
      <c r="Z48" s="70">
        <f>IF('Final Calculation Sheet'!$Y$29="","",'Final Calculation Sheet'!$Y$29)</f>
        <v/>
      </c>
      <c r="AA48" s="70">
        <f>IF('Final Calculation Sheet'!$Z$29="","",'Final Calculation Sheet'!$Z$29)</f>
        <v/>
      </c>
      <c r="AB48" s="70">
        <f>IF('Final Calculation Sheet'!$AA$29="","",'Final Calculation Sheet'!$AA$29)</f>
        <v/>
      </c>
      <c r="AC48" s="70">
        <f>IF('Final Calculation Sheet'!$AB$29="","",'Final Calculation Sheet'!$AB$29)</f>
        <v/>
      </c>
      <c r="AD48" s="70">
        <f>IF('Final Calculation Sheet'!$AC$29="","",'Final Calculation Sheet'!$AC$29)</f>
        <v/>
      </c>
      <c r="AE48" s="70">
        <f>IF('Final Calculation Sheet'!$AD$29="","",'Final Calculation Sheet'!$AD$29)</f>
        <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
      </c>
      <c r="C49" s="92">
        <f>IF('Final Calculation Sheet'!$G$34="","",'Final Calculation Sheet'!$G$34)</f>
        <v/>
      </c>
      <c r="D49" s="94">
        <f>IF('Final Calculation Sheet'!$B$34="","",'Final Calculation Sheet'!$B$34)</f>
        <v/>
      </c>
      <c r="E49" s="94">
        <f>IF('Final Calculation Sheet'!$D$34="","",'Final Calculation Sheet'!$D$34)</f>
        <v/>
      </c>
      <c r="F49" s="94">
        <f>IF('Final Calculation Sheet'!$A$34="","",'Final Calculation Sheet'!$A$34)</f>
        <v/>
      </c>
      <c r="G49" s="94">
        <f>IF('Final Calculation Sheet'!$E$34="","",'Final Calculation Sheet'!$E$34)</f>
        <v/>
      </c>
      <c r="H49" s="95">
        <f>IF('Final Calculation Sheet'!$C$34="","",'Final Calculation Sheet'!$C$34)</f>
        <v/>
      </c>
      <c r="I49" s="95">
        <f>IF('Final Calculation Sheet'!$H$34="","",'Final Calculation Sheet'!$H$34)</f>
        <v/>
      </c>
      <c r="J49" s="95">
        <f>IF('Final Calculation Sheet'!$I$34="","",'Final Calculation Sheet'!$I$34)</f>
        <v/>
      </c>
      <c r="K49" s="95">
        <f>IF('Final Calculation Sheet'!$J$34="","",'Final Calculation Sheet'!$J$34)</f>
        <v/>
      </c>
      <c r="L49" s="95">
        <f>IF('Final Calculation Sheet'!$K$34="","",'Final Calculation Sheet'!$K$34)</f>
        <v/>
      </c>
      <c r="M49" s="95">
        <f>IF('Final Calculation Sheet'!$L$34="","",'Final Calculation Sheet'!$L$34)</f>
        <v/>
      </c>
      <c r="N49" s="95">
        <f>IF('Final Calculation Sheet'!$M$34="","",'Final Calculation Sheet'!$M$34)</f>
        <v/>
      </c>
      <c r="O49" s="96">
        <f>IF('Final Calculation Sheet'!$N$34="","",'Final Calculation Sheet'!$N$34)</f>
        <v/>
      </c>
      <c r="P49" s="95">
        <f>IF('Final Calculation Sheet'!$O$34="","",'Final Calculation Sheet'!$O$34)</f>
        <v/>
      </c>
      <c r="Q49" s="95">
        <f>IF('Final Calculation Sheet'!$P$34="","",'Final Calculation Sheet'!$P$34)</f>
        <v/>
      </c>
      <c r="R49" s="97">
        <f>IF('Final Calculation Sheet'!$Q$34="","",'Final Calculation Sheet'!$Q$34)</f>
        <v/>
      </c>
      <c r="S49" s="95">
        <f>IF('Final Calculation Sheet'!$R$34="","",'Final Calculation Sheet'!$R$34)</f>
        <v/>
      </c>
      <c r="T49" s="95">
        <f>IF('Final Calculation Sheet'!$S$34="","",'Final Calculation Sheet'!$S$34)</f>
        <v/>
      </c>
      <c r="U49" s="95">
        <f>IF('Final Calculation Sheet'!$T$34="","",'Final Calculation Sheet'!$T$34)</f>
        <v/>
      </c>
      <c r="V49" s="98">
        <f>IF('Final Calculation Sheet'!$U$34="","",'Final Calculation Sheet'!$U$34)</f>
        <v/>
      </c>
      <c r="W49" s="95">
        <f>IF('Final Calculation Sheet'!$V$34="","",'Final Calculation Sheet'!$V$34)</f>
        <v/>
      </c>
      <c r="X49" s="95">
        <f>IF('Final Calculation Sheet'!$W$34="","",'Final Calculation Sheet'!$W$34)</f>
        <v/>
      </c>
      <c r="Y49" s="95">
        <f>IF('Final Calculation Sheet'!$X$34="","",'Final Calculation Sheet'!$X$34)</f>
        <v/>
      </c>
      <c r="Z49" s="95">
        <f>IF('Final Calculation Sheet'!$Y$34="","",'Final Calculation Sheet'!$Y$34)</f>
        <v/>
      </c>
      <c r="AA49" s="95">
        <f>IF('Final Calculation Sheet'!$Z$34="","",'Final Calculation Sheet'!$Z$34)</f>
        <v/>
      </c>
      <c r="AB49" s="95">
        <f>IF('Final Calculation Sheet'!$AA$34="","",'Final Calculation Sheet'!$AA$34)</f>
        <v/>
      </c>
      <c r="AC49" s="95">
        <f>IF('Final Calculation Sheet'!$AB$34="","",'Final Calculation Sheet'!$AB$34)</f>
        <v/>
      </c>
      <c r="AD49" s="95">
        <f>IF('Final Calculation Sheet'!$AC$34="","",'Final Calculation Sheet'!$AC$34)</f>
        <v/>
      </c>
      <c r="AE49" s="95">
        <f>IF('Final Calculation Sheet'!$AD$34="","",'Final Calculation Sheet'!$AD$34)</f>
        <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
      </c>
      <c r="C50" s="76">
        <f>IF('Final Calculation Sheet'!$G$36="","",'Final Calculation Sheet'!$G$36)</f>
        <v/>
      </c>
      <c r="D50" s="80">
        <f>IF('Final Calculation Sheet'!$B$36="","",'Final Calculation Sheet'!$B$36)</f>
        <v/>
      </c>
      <c r="E50" s="80">
        <f>IF('Final Calculation Sheet'!$D$36="","",'Final Calculation Sheet'!$D$36)</f>
        <v/>
      </c>
      <c r="F50" s="80">
        <f>IF('Final Calculation Sheet'!$A$36="","",'Final Calculation Sheet'!$A$36)</f>
        <v/>
      </c>
      <c r="G50" s="80">
        <f>IF('Final Calculation Sheet'!$E$36="","",'Final Calculation Sheet'!$E$36)</f>
        <v/>
      </c>
      <c r="H50" s="70">
        <f>IF('Final Calculation Sheet'!$C$36="","",'Final Calculation Sheet'!$C$36)</f>
        <v/>
      </c>
      <c r="I50" s="70">
        <f>IF('Final Calculation Sheet'!$H$36="","",'Final Calculation Sheet'!$H$36)</f>
        <v/>
      </c>
      <c r="J50" s="70">
        <f>IF('Final Calculation Sheet'!$I$36="","",'Final Calculation Sheet'!$I$36)</f>
        <v/>
      </c>
      <c r="K50" s="70">
        <f>IF('Final Calculation Sheet'!$J$36="","",'Final Calculation Sheet'!$J$36)</f>
        <v/>
      </c>
      <c r="L50" s="70">
        <f>IF('Final Calculation Sheet'!$K$36="","",'Final Calculation Sheet'!$K$36)</f>
        <v/>
      </c>
      <c r="M50" s="70">
        <f>IF('Final Calculation Sheet'!$L$36="","",'Final Calculation Sheet'!$L$36)</f>
        <v/>
      </c>
      <c r="N50" s="70">
        <f>IF('Final Calculation Sheet'!$M$36="","",'Final Calculation Sheet'!$M$36)</f>
        <v/>
      </c>
      <c r="O50" s="71">
        <f>IF('Final Calculation Sheet'!$N$36="","",'Final Calculation Sheet'!$N$36)</f>
        <v/>
      </c>
      <c r="P50" s="70">
        <f>IF('Final Calculation Sheet'!$O$36="","",'Final Calculation Sheet'!$O$36)</f>
        <v/>
      </c>
      <c r="Q50" s="70">
        <f>IF('Final Calculation Sheet'!$P$36="","",'Final Calculation Sheet'!$P$36)</f>
        <v/>
      </c>
      <c r="R50" s="72">
        <f>IF('Final Calculation Sheet'!$Q$36="","",'Final Calculation Sheet'!$Q$36)</f>
        <v/>
      </c>
      <c r="S50" s="70">
        <f>IF('Final Calculation Sheet'!$R$36="","",'Final Calculation Sheet'!$R$36)</f>
        <v/>
      </c>
      <c r="T50" s="70">
        <f>IF('Final Calculation Sheet'!$S$36="","",'Final Calculation Sheet'!$S$36)</f>
        <v/>
      </c>
      <c r="U50" s="70">
        <f>IF('Final Calculation Sheet'!$T$36="","",'Final Calculation Sheet'!$T$36)</f>
        <v/>
      </c>
      <c r="V50" s="73">
        <f>IF('Final Calculation Sheet'!$U$36="","",'Final Calculation Sheet'!$U$36)</f>
        <v/>
      </c>
      <c r="W50" s="70">
        <f>IF('Final Calculation Sheet'!$V$36="","",'Final Calculation Sheet'!$V$36)</f>
        <v/>
      </c>
      <c r="X50" s="70">
        <f>IF('Final Calculation Sheet'!$W$36="","",'Final Calculation Sheet'!$W$36)</f>
        <v/>
      </c>
      <c r="Y50" s="70">
        <f>IF('Final Calculation Sheet'!$X$36="","",'Final Calculation Sheet'!$X$36)</f>
        <v/>
      </c>
      <c r="Z50" s="70">
        <f>IF('Final Calculation Sheet'!$Y$36="","",'Final Calculation Sheet'!$Y$36)</f>
        <v/>
      </c>
      <c r="AA50" s="70">
        <f>IF('Final Calculation Sheet'!$Z$36="","",'Final Calculation Sheet'!$Z$36)</f>
        <v/>
      </c>
      <c r="AB50" s="70">
        <f>IF('Final Calculation Sheet'!$AA$36="","",'Final Calculation Sheet'!$AA$36)</f>
        <v/>
      </c>
      <c r="AC50" s="70">
        <f>IF('Final Calculation Sheet'!$AB$36="","",'Final Calculation Sheet'!$AB$36)</f>
        <v/>
      </c>
      <c r="AD50" s="70">
        <f>IF('Final Calculation Sheet'!$AC$36="","",'Final Calculation Sheet'!$AC$36)</f>
        <v/>
      </c>
      <c r="AE50" s="70">
        <f>IF('Final Calculation Sheet'!$AD$36="","",'Final Calculation Sheet'!$AD$36)</f>
        <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f>ROWS($C$44:$C$50)&amp;" lot(s)"</f>
        <v/>
      </c>
      <c r="D51" s="83" t="inlineStr">
        <is>
          <t>SUBTOTAL — STERLING ENTERPRISES</t>
        </is>
      </c>
      <c r="E51" s="83" t="inlineStr">
        <is>
          <t>–</t>
        </is>
      </c>
      <c r="F51" s="83">
        <f>SUM(F44:F50)</f>
        <v/>
      </c>
      <c r="G51" s="83" t="inlineStr">
        <is>
          <t>–</t>
        </is>
      </c>
      <c r="H51" s="84" t="inlineStr">
        <is>
          <t>–</t>
        </is>
      </c>
      <c r="I51" s="84">
        <f>SUM(I44:I50)</f>
        <v/>
      </c>
      <c r="J51" s="84">
        <f>SUM(J44:J50)</f>
        <v/>
      </c>
      <c r="K51" s="84">
        <f>SUM(K44:K50)</f>
        <v/>
      </c>
      <c r="L51" s="84">
        <f>SUM(L44:L50)</f>
        <v/>
      </c>
      <c r="M51" s="84">
        <f>SUM(M44:M50)</f>
        <v/>
      </c>
      <c r="N51" s="84">
        <f>SUM(N44:N50)</f>
        <v/>
      </c>
      <c r="O51" s="85">
        <f>SUM(O44:O50)</f>
        <v/>
      </c>
      <c r="P51" s="84">
        <f>SUM(P44:P50)</f>
        <v/>
      </c>
      <c r="Q51" s="84">
        <f>SUM(Q44:Q50)</f>
        <v/>
      </c>
      <c r="R51" s="86" t="inlineStr">
        <is>
          <t>–</t>
        </is>
      </c>
      <c r="S51" s="84">
        <f>SUM(S44:S50)</f>
        <v/>
      </c>
      <c r="T51" s="84">
        <f>SUM(T44:T50)</f>
        <v/>
      </c>
      <c r="U51" s="84">
        <f>SUM(U44:U50)</f>
        <v/>
      </c>
      <c r="V51" s="87">
        <f>SUM(V44:V50)</f>
        <v/>
      </c>
      <c r="W51" s="84" t="inlineStr">
        <is>
          <t>–</t>
        </is>
      </c>
      <c r="X51" s="84">
        <f>SUM(X44:X50)</f>
        <v/>
      </c>
      <c r="Y51" s="84">
        <f>SUM(Y44:Y50)</f>
        <v/>
      </c>
      <c r="Z51" s="84" t="inlineStr">
        <is>
          <t>–</t>
        </is>
      </c>
      <c r="AA51" s="84">
        <f>SUM(AA44:AA50)</f>
        <v/>
      </c>
      <c r="AB51" s="84">
        <f>SUM(AB44:AB50)</f>
        <v/>
      </c>
      <c r="AC51" s="84" t="inlineStr">
        <is>
          <t>–</t>
        </is>
      </c>
      <c r="AD51" s="84">
        <f>SUM(AD44:AD50)</f>
        <v/>
      </c>
      <c r="AE51" s="84">
        <f>SUM(AE44:AE50)</f>
        <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
      </c>
      <c r="C52" s="76">
        <f>IF('Final Calculation Sheet'!$G$25="","",'Final Calculation Sheet'!$G$25)</f>
        <v/>
      </c>
      <c r="D52" s="80">
        <f>IF('Final Calculation Sheet'!$B$25="","",'Final Calculation Sheet'!$B$25)</f>
        <v/>
      </c>
      <c r="E52" s="80">
        <f>IF('Final Calculation Sheet'!$D$25="","",'Final Calculation Sheet'!$D$25)</f>
        <v/>
      </c>
      <c r="F52" s="80">
        <f>IF('Final Calculation Sheet'!$A$25="","",'Final Calculation Sheet'!$A$25)</f>
        <v/>
      </c>
      <c r="G52" s="80">
        <f>IF('Final Calculation Sheet'!$E$25="","",'Final Calculation Sheet'!$E$25)</f>
        <v/>
      </c>
      <c r="H52" s="70">
        <f>IF('Final Calculation Sheet'!$C$25="","",'Final Calculation Sheet'!$C$25)</f>
        <v/>
      </c>
      <c r="I52" s="70">
        <f>IF('Final Calculation Sheet'!$H$25="","",'Final Calculation Sheet'!$H$25)</f>
        <v/>
      </c>
      <c r="J52" s="70">
        <f>IF('Final Calculation Sheet'!$I$25="","",'Final Calculation Sheet'!$I$25)</f>
        <v/>
      </c>
      <c r="K52" s="70">
        <f>IF('Final Calculation Sheet'!$J$25="","",'Final Calculation Sheet'!$J$25)</f>
        <v/>
      </c>
      <c r="L52" s="70">
        <f>IF('Final Calculation Sheet'!$K$25="","",'Final Calculation Sheet'!$K$25)</f>
        <v/>
      </c>
      <c r="M52" s="70">
        <f>IF('Final Calculation Sheet'!$L$25="","",'Final Calculation Sheet'!$L$25)</f>
        <v/>
      </c>
      <c r="N52" s="70">
        <f>IF('Final Calculation Sheet'!$M$25="","",'Final Calculation Sheet'!$M$25)</f>
        <v/>
      </c>
      <c r="O52" s="71">
        <f>IF('Final Calculation Sheet'!$N$25="","",'Final Calculation Sheet'!$N$25)</f>
        <v/>
      </c>
      <c r="P52" s="70">
        <f>IF('Final Calculation Sheet'!$O$25="","",'Final Calculation Sheet'!$O$25)</f>
        <v/>
      </c>
      <c r="Q52" s="70">
        <f>IF('Final Calculation Sheet'!$P$25="","",'Final Calculation Sheet'!$P$25)</f>
        <v/>
      </c>
      <c r="R52" s="72">
        <f>IF('Final Calculation Sheet'!$Q$25="","",'Final Calculation Sheet'!$Q$25)</f>
        <v/>
      </c>
      <c r="S52" s="70">
        <f>IF('Final Calculation Sheet'!$R$25="","",'Final Calculation Sheet'!$R$25)</f>
        <v/>
      </c>
      <c r="T52" s="70">
        <f>IF('Final Calculation Sheet'!$S$25="","",'Final Calculation Sheet'!$S$25)</f>
        <v/>
      </c>
      <c r="U52" s="70">
        <f>IF('Final Calculation Sheet'!$T$25="","",'Final Calculation Sheet'!$T$25)</f>
        <v/>
      </c>
      <c r="V52" s="73">
        <f>IF('Final Calculation Sheet'!$U$25="","",'Final Calculation Sheet'!$U$25)</f>
        <v/>
      </c>
      <c r="W52" s="70">
        <f>IF('Final Calculation Sheet'!$V$25="","",'Final Calculation Sheet'!$V$25)</f>
        <v/>
      </c>
      <c r="X52" s="70">
        <f>IF('Final Calculation Sheet'!$W$25="","",'Final Calculation Sheet'!$W$25)</f>
        <v/>
      </c>
      <c r="Y52" s="70">
        <f>IF('Final Calculation Sheet'!$X$25="","",'Final Calculation Sheet'!$X$25)</f>
        <v/>
      </c>
      <c r="Z52" s="70">
        <f>IF('Final Calculation Sheet'!$Y$25="","",'Final Calculation Sheet'!$Y$25)</f>
        <v/>
      </c>
      <c r="AA52" s="70">
        <f>IF('Final Calculation Sheet'!$Z$25="","",'Final Calculation Sheet'!$Z$25)</f>
        <v/>
      </c>
      <c r="AB52" s="70">
        <f>IF('Final Calculation Sheet'!$AA$25="","",'Final Calculation Sheet'!$AA$25)</f>
        <v/>
      </c>
      <c r="AC52" s="70">
        <f>IF('Final Calculation Sheet'!$AB$25="","",'Final Calculation Sheet'!$AB$25)</f>
        <v/>
      </c>
      <c r="AD52" s="70">
        <f>IF('Final Calculation Sheet'!$AC$25="","",'Final Calculation Sheet'!$AC$25)</f>
        <v/>
      </c>
      <c r="AE52" s="70">
        <f>IF('Final Calculation Sheet'!$AD$25="","",'Final Calculation Sheet'!$AD$25)</f>
        <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
      </c>
      <c r="C53" s="92">
        <f>IF('Final Calculation Sheet'!$G$28="","",'Final Calculation Sheet'!$G$28)</f>
        <v/>
      </c>
      <c r="D53" s="94">
        <f>IF('Final Calculation Sheet'!$B$28="","",'Final Calculation Sheet'!$B$28)</f>
        <v/>
      </c>
      <c r="E53" s="94">
        <f>IF('Final Calculation Sheet'!$D$28="","",'Final Calculation Sheet'!$D$28)</f>
        <v/>
      </c>
      <c r="F53" s="94">
        <f>IF('Final Calculation Sheet'!$A$28="","",'Final Calculation Sheet'!$A$28)</f>
        <v/>
      </c>
      <c r="G53" s="94">
        <f>IF('Final Calculation Sheet'!$E$28="","",'Final Calculation Sheet'!$E$28)</f>
        <v/>
      </c>
      <c r="H53" s="95">
        <f>IF('Final Calculation Sheet'!$C$28="","",'Final Calculation Sheet'!$C$28)</f>
        <v/>
      </c>
      <c r="I53" s="95">
        <f>IF('Final Calculation Sheet'!$H$28="","",'Final Calculation Sheet'!$H$28)</f>
        <v/>
      </c>
      <c r="J53" s="95">
        <f>IF('Final Calculation Sheet'!$I$28="","",'Final Calculation Sheet'!$I$28)</f>
        <v/>
      </c>
      <c r="K53" s="95">
        <f>IF('Final Calculation Sheet'!$J$28="","",'Final Calculation Sheet'!$J$28)</f>
        <v/>
      </c>
      <c r="L53" s="95">
        <f>IF('Final Calculation Sheet'!$K$28="","",'Final Calculation Sheet'!$K$28)</f>
        <v/>
      </c>
      <c r="M53" s="95">
        <f>IF('Final Calculation Sheet'!$L$28="","",'Final Calculation Sheet'!$L$28)</f>
        <v/>
      </c>
      <c r="N53" s="95">
        <f>IF('Final Calculation Sheet'!$M$28="","",'Final Calculation Sheet'!$M$28)</f>
        <v/>
      </c>
      <c r="O53" s="96">
        <f>IF('Final Calculation Sheet'!$N$28="","",'Final Calculation Sheet'!$N$28)</f>
        <v/>
      </c>
      <c r="P53" s="95">
        <f>IF('Final Calculation Sheet'!$O$28="","",'Final Calculation Sheet'!$O$28)</f>
        <v/>
      </c>
      <c r="Q53" s="95">
        <f>IF('Final Calculation Sheet'!$P$28="","",'Final Calculation Sheet'!$P$28)</f>
        <v/>
      </c>
      <c r="R53" s="97">
        <f>IF('Final Calculation Sheet'!$Q$28="","",'Final Calculation Sheet'!$Q$28)</f>
        <v/>
      </c>
      <c r="S53" s="95">
        <f>IF('Final Calculation Sheet'!$R$28="","",'Final Calculation Sheet'!$R$28)</f>
        <v/>
      </c>
      <c r="T53" s="95">
        <f>IF('Final Calculation Sheet'!$S$28="","",'Final Calculation Sheet'!$S$28)</f>
        <v/>
      </c>
      <c r="U53" s="95">
        <f>IF('Final Calculation Sheet'!$T$28="","",'Final Calculation Sheet'!$T$28)</f>
        <v/>
      </c>
      <c r="V53" s="98">
        <f>IF('Final Calculation Sheet'!$U$28="","",'Final Calculation Sheet'!$U$28)</f>
        <v/>
      </c>
      <c r="W53" s="95">
        <f>IF('Final Calculation Sheet'!$V$28="","",'Final Calculation Sheet'!$V$28)</f>
        <v/>
      </c>
      <c r="X53" s="95">
        <f>IF('Final Calculation Sheet'!$W$28="","",'Final Calculation Sheet'!$W$28)</f>
        <v/>
      </c>
      <c r="Y53" s="95">
        <f>IF('Final Calculation Sheet'!$X$28="","",'Final Calculation Sheet'!$X$28)</f>
        <v/>
      </c>
      <c r="Z53" s="95">
        <f>IF('Final Calculation Sheet'!$Y$28="","",'Final Calculation Sheet'!$Y$28)</f>
        <v/>
      </c>
      <c r="AA53" s="95">
        <f>IF('Final Calculation Sheet'!$Z$28="","",'Final Calculation Sheet'!$Z$28)</f>
        <v/>
      </c>
      <c r="AB53" s="95">
        <f>IF('Final Calculation Sheet'!$AA$28="","",'Final Calculation Sheet'!$AA$28)</f>
        <v/>
      </c>
      <c r="AC53" s="95">
        <f>IF('Final Calculation Sheet'!$AB$28="","",'Final Calculation Sheet'!$AB$28)</f>
        <v/>
      </c>
      <c r="AD53" s="95">
        <f>IF('Final Calculation Sheet'!$AC$28="","",'Final Calculation Sheet'!$AC$28)</f>
        <v/>
      </c>
      <c r="AE53" s="95">
        <f>IF('Final Calculation Sheet'!$AD$28="","",'Final Calculation Sheet'!$AD$28)</f>
        <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
      </c>
      <c r="C54" s="76">
        <f>IF('Final Calculation Sheet'!$G$35="","",'Final Calculation Sheet'!$G$35)</f>
        <v/>
      </c>
      <c r="D54" s="80">
        <f>IF('Final Calculation Sheet'!$B$35="","",'Final Calculation Sheet'!$B$35)</f>
        <v/>
      </c>
      <c r="E54" s="80">
        <f>IF('Final Calculation Sheet'!$D$35="","",'Final Calculation Sheet'!$D$35)</f>
        <v/>
      </c>
      <c r="F54" s="80">
        <f>IF('Final Calculation Sheet'!$A$35="","",'Final Calculation Sheet'!$A$35)</f>
        <v/>
      </c>
      <c r="G54" s="80">
        <f>IF('Final Calculation Sheet'!$E$35="","",'Final Calculation Sheet'!$E$35)</f>
        <v/>
      </c>
      <c r="H54" s="70">
        <f>IF('Final Calculation Sheet'!$C$35="","",'Final Calculation Sheet'!$C$35)</f>
        <v/>
      </c>
      <c r="I54" s="70">
        <f>IF('Final Calculation Sheet'!$H$35="","",'Final Calculation Sheet'!$H$35)</f>
        <v/>
      </c>
      <c r="J54" s="70">
        <f>IF('Final Calculation Sheet'!$I$35="","",'Final Calculation Sheet'!$I$35)</f>
        <v/>
      </c>
      <c r="K54" s="70">
        <f>IF('Final Calculation Sheet'!$J$35="","",'Final Calculation Sheet'!$J$35)</f>
        <v/>
      </c>
      <c r="L54" s="70">
        <f>IF('Final Calculation Sheet'!$K$35="","",'Final Calculation Sheet'!$K$35)</f>
        <v/>
      </c>
      <c r="M54" s="70">
        <f>IF('Final Calculation Sheet'!$L$35="","",'Final Calculation Sheet'!$L$35)</f>
        <v/>
      </c>
      <c r="N54" s="70">
        <f>IF('Final Calculation Sheet'!$M$35="","",'Final Calculation Sheet'!$M$35)</f>
        <v/>
      </c>
      <c r="O54" s="71">
        <f>IF('Final Calculation Sheet'!$N$35="","",'Final Calculation Sheet'!$N$35)</f>
        <v/>
      </c>
      <c r="P54" s="70">
        <f>IF('Final Calculation Sheet'!$O$35="","",'Final Calculation Sheet'!$O$35)</f>
        <v/>
      </c>
      <c r="Q54" s="70">
        <f>IF('Final Calculation Sheet'!$P$35="","",'Final Calculation Sheet'!$P$35)</f>
        <v/>
      </c>
      <c r="R54" s="72">
        <f>IF('Final Calculation Sheet'!$Q$35="","",'Final Calculation Sheet'!$Q$35)</f>
        <v/>
      </c>
      <c r="S54" s="70">
        <f>IF('Final Calculation Sheet'!$R$35="","",'Final Calculation Sheet'!$R$35)</f>
        <v/>
      </c>
      <c r="T54" s="70">
        <f>IF('Final Calculation Sheet'!$S$35="","",'Final Calculation Sheet'!$S$35)</f>
        <v/>
      </c>
      <c r="U54" s="70">
        <f>IF('Final Calculation Sheet'!$T$35="","",'Final Calculation Sheet'!$T$35)</f>
        <v/>
      </c>
      <c r="V54" s="73">
        <f>IF('Final Calculation Sheet'!$U$35="","",'Final Calculation Sheet'!$U$35)</f>
        <v/>
      </c>
      <c r="W54" s="70">
        <f>IF('Final Calculation Sheet'!$V$35="","",'Final Calculation Sheet'!$V$35)</f>
        <v/>
      </c>
      <c r="X54" s="70">
        <f>IF('Final Calculation Sheet'!$W$35="","",'Final Calculation Sheet'!$W$35)</f>
        <v/>
      </c>
      <c r="Y54" s="70">
        <f>IF('Final Calculation Sheet'!$X$35="","",'Final Calculation Sheet'!$X$35)</f>
        <v/>
      </c>
      <c r="Z54" s="70">
        <f>IF('Final Calculation Sheet'!$Y$35="","",'Final Calculation Sheet'!$Y$35)</f>
        <v/>
      </c>
      <c r="AA54" s="70">
        <f>IF('Final Calculation Sheet'!$Z$35="","",'Final Calculation Sheet'!$Z$35)</f>
        <v/>
      </c>
      <c r="AB54" s="70">
        <f>IF('Final Calculation Sheet'!$AA$35="","",'Final Calculation Sheet'!$AA$35)</f>
        <v/>
      </c>
      <c r="AC54" s="70">
        <f>IF('Final Calculation Sheet'!$AB$35="","",'Final Calculation Sheet'!$AB$35)</f>
        <v/>
      </c>
      <c r="AD54" s="70">
        <f>IF('Final Calculation Sheet'!$AC$35="","",'Final Calculation Sheet'!$AC$35)</f>
        <v/>
      </c>
      <c r="AE54" s="70">
        <f>IF('Final Calculation Sheet'!$AD$35="","",'Final Calculation Sheet'!$AD$35)</f>
        <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f>ROWS($C$52:$C$54)&amp;" lot(s)"</f>
        <v/>
      </c>
      <c r="D55" s="83" t="inlineStr">
        <is>
          <t>SUBTOTAL — WATAN SCRAP TRADERS</t>
        </is>
      </c>
      <c r="E55" s="83" t="inlineStr">
        <is>
          <t>–</t>
        </is>
      </c>
      <c r="F55" s="83">
        <f>SUM(F52:F54)</f>
        <v/>
      </c>
      <c r="G55" s="83" t="inlineStr">
        <is>
          <t>–</t>
        </is>
      </c>
      <c r="H55" s="84" t="inlineStr">
        <is>
          <t>–</t>
        </is>
      </c>
      <c r="I55" s="84">
        <f>SUM(I52:I54)</f>
        <v/>
      </c>
      <c r="J55" s="84">
        <f>SUM(J52:J54)</f>
        <v/>
      </c>
      <c r="K55" s="84">
        <f>SUM(K52:K54)</f>
        <v/>
      </c>
      <c r="L55" s="84">
        <f>SUM(L52:L54)</f>
        <v/>
      </c>
      <c r="M55" s="84">
        <f>SUM(M52:M54)</f>
        <v/>
      </c>
      <c r="N55" s="84">
        <f>SUM(N52:N54)</f>
        <v/>
      </c>
      <c r="O55" s="85">
        <f>SUM(O52:O54)</f>
        <v/>
      </c>
      <c r="P55" s="84">
        <f>SUM(P52:P54)</f>
        <v/>
      </c>
      <c r="Q55" s="84">
        <f>SUM(Q52:Q54)</f>
        <v/>
      </c>
      <c r="R55" s="86" t="inlineStr">
        <is>
          <t>–</t>
        </is>
      </c>
      <c r="S55" s="84">
        <f>SUM(S52:S54)</f>
        <v/>
      </c>
      <c r="T55" s="84">
        <f>SUM(T52:T54)</f>
        <v/>
      </c>
      <c r="U55" s="84">
        <f>SUM(U52:U54)</f>
        <v/>
      </c>
      <c r="V55" s="87">
        <f>SUM(V52:V54)</f>
        <v/>
      </c>
      <c r="W55" s="84" t="inlineStr">
        <is>
          <t>–</t>
        </is>
      </c>
      <c r="X55" s="84">
        <f>SUM(X52:X54)</f>
        <v/>
      </c>
      <c r="Y55" s="84">
        <f>SUM(Y52:Y54)</f>
        <v/>
      </c>
      <c r="Z55" s="84" t="inlineStr">
        <is>
          <t>–</t>
        </is>
      </c>
      <c r="AA55" s="84">
        <f>SUM(AA52:AA54)</f>
        <v/>
      </c>
      <c r="AB55" s="84">
        <f>SUM(AB52:AB54)</f>
        <v/>
      </c>
      <c r="AC55" s="84" t="inlineStr">
        <is>
          <t>–</t>
        </is>
      </c>
      <c r="AD55" s="84">
        <f>SUM(AD52:AD54)</f>
        <v/>
      </c>
      <c r="AE55" s="84">
        <f>SUM(AE52:AE54)</f>
        <v/>
      </c>
      <c r="AF55" s="89">
        <f>IF(AE55&lt;=5,"SETTLED","OUTSTANDING")</f>
        <v/>
      </c>
      <c r="AG55" s="84" t="inlineStr">
        <is>
          <t>–</t>
        </is>
      </c>
      <c r="AH55" s="88" t="inlineStr">
        <is>
          <t>–</t>
        </is>
      </c>
      <c r="AI55" s="84" t="inlineStr">
        <is>
          <t>–</t>
        </is>
      </c>
    </row>
    <row r="56" ht="15" customHeight="1" s="137">
      <c r="A56" s="101" t="inlineStr">
        <is>
          <t>∑</t>
        </is>
      </c>
      <c r="B56" s="102" t="n"/>
      <c r="C56" s="102">
        <f>COUNTA('Final Calculation Sheet'!$G$4:$G$40)&amp;" lot(s)"</f>
        <v/>
      </c>
      <c r="D56" s="102" t="inlineStr">
        <is>
          <t>TOTAL — every buyer together</t>
        </is>
      </c>
      <c r="E56" s="102" t="inlineStr">
        <is>
          <t>–</t>
        </is>
      </c>
      <c r="F56" s="102">
        <f>SUM(F7,F10,F12,F14,F16,F30,F32,F35,F38,F40,F43,F51,F55)</f>
        <v/>
      </c>
      <c r="G56" s="102" t="inlineStr">
        <is>
          <t>–</t>
        </is>
      </c>
      <c r="H56" s="103" t="inlineStr">
        <is>
          <t>–</t>
        </is>
      </c>
      <c r="I56" s="103">
        <f>SUM(I7,I10,I12,I14,I16,I30,I32,I35,I38,I40,I43,I51,I55)</f>
        <v/>
      </c>
      <c r="J56" s="103">
        <f>SUM(J7,J10,J12,J14,J16,J30,J32,J35,J38,J40,J43,J51,J55)</f>
        <v/>
      </c>
      <c r="K56" s="103">
        <f>SUM(K7,K10,K12,K14,K16,K30,K32,K35,K38,K40,K43,K51,K55)</f>
        <v/>
      </c>
      <c r="L56" s="103">
        <f>SUM(L7,L10,L12,L14,L16,L30,L32,L35,L38,L40,L43,L51,L55)</f>
        <v/>
      </c>
      <c r="M56" s="103">
        <f>SUM(M7,M10,M12,M14,M16,M30,M32,M35,M38,M40,M43,M51,M55)</f>
        <v/>
      </c>
      <c r="N56" s="103">
        <f>SUM(N7,N10,N12,N14,N16,N30,N32,N35,N38,N40,N43,N51,N55)</f>
        <v/>
      </c>
      <c r="O56" s="104">
        <f>SUM(O7,O10,O12,O14,O16,O30,O32,O35,O38,O40,O43,O51,O55)</f>
        <v/>
      </c>
      <c r="P56" s="103">
        <f>SUM(P7,P10,P12,P14,P16,P30,P32,P35,P38,P40,P43,P51,P55)</f>
        <v/>
      </c>
      <c r="Q56" s="103">
        <f>SUM(Q7,Q10,Q12,Q14,Q16,Q30,Q32,Q35,Q38,Q40,Q43,Q51,Q55)</f>
        <v/>
      </c>
      <c r="R56" s="105" t="inlineStr">
        <is>
          <t>–</t>
        </is>
      </c>
      <c r="S56" s="103">
        <f>SUM(S7,S10,S12,S14,S16,S30,S32,S35,S38,S40,S43,S51,S55)</f>
        <v/>
      </c>
      <c r="T56" s="103">
        <f>SUM(T7,T10,T12,T14,T16,T30,T32,T35,T38,T40,T43,T51,T55)</f>
        <v/>
      </c>
      <c r="U56" s="103">
        <f>SUM(U7,U10,U12,U14,U16,U30,U32,U35,U38,U40,U43,U51,U55)</f>
        <v/>
      </c>
      <c r="V56" s="106">
        <f>SUM(V7,V10,V12,V14,V16,V30,V32,V35,V38,V40,V43,V51,V55)</f>
        <v/>
      </c>
      <c r="W56" s="103" t="inlineStr">
        <is>
          <t>–</t>
        </is>
      </c>
      <c r="X56" s="103">
        <f>SUM(X7,X10,X12,X14,X16,X30,X32,X35,X38,X40,X43,X51,X55)</f>
        <v/>
      </c>
      <c r="Y56" s="103">
        <f>SUM(Y7,Y10,Y12,Y14,Y16,Y30,Y32,Y35,Y38,Y40,Y43,Y51,Y55)</f>
        <v/>
      </c>
      <c r="Z56" s="103" t="inlineStr">
        <is>
          <t>–</t>
        </is>
      </c>
      <c r="AA56" s="103">
        <f>SUM(AA7,AA10,AA12,AA14,AA16,AA30,AA32,AA35,AA38,AA40,AA43,AA51,AA55)</f>
        <v/>
      </c>
      <c r="AB56" s="103">
        <f>SUM(AB7,AB10,AB12,AB14,AB16,AB30,AB32,AB35,AB38,AB40,AB43,AB51,AB55)</f>
        <v/>
      </c>
      <c r="AC56" s="103" t="inlineStr">
        <is>
          <t>–</t>
        </is>
      </c>
      <c r="AD56" s="103">
        <f>SUM(AD7,AD10,AD12,AD14,AD16,AD30,AD32,AD35,AD38,AD40,AD43,AD51,AD55)</f>
        <v/>
      </c>
      <c r="AE56" s="103">
        <f>SUM(AE7,AE10,AE12,AE14,AE16,AE30,AE32,AE35,AE38,AE40,AE43,AE51,AE55)</f>
        <v/>
      </c>
      <c r="AF56" s="108">
        <f>IF(AE56&lt;=5,"SETTLED","OUTSTANDING")</f>
        <v/>
      </c>
      <c r="AG56" s="103" t="inlineStr">
        <is>
          <t>–</t>
        </is>
      </c>
      <c r="AH56" s="107" t="inlineStr">
        <is>
          <t>–</t>
        </is>
      </c>
      <c r="AI56" s="103" t="inlineStr">
        <is>
          <t>–</t>
        </is>
      </c>
    </row>
    <row r="57" ht="15" customHeight="1" s="137">
      <c r="A57" s="109" t="inlineStr">
        <is>
          <t>∑</t>
        </is>
      </c>
      <c r="B57" s="110" t="n"/>
      <c r="C57" s="110">
        <f>COUNTA('Final Calculation Sheet'!$G$4:$G$40)&amp;" lot(s)"</f>
        <v/>
      </c>
      <c r="D57" s="110" t="inlineStr">
        <is>
          <t>GRAND TOTAL — cross-checked to source</t>
        </is>
      </c>
      <c r="E57" s="110" t="inlineStr">
        <is>
          <t>–</t>
        </is>
      </c>
      <c r="F57" s="110">
        <f>SUM('Final Calculation Sheet'!$A$4:$A$40)</f>
        <v/>
      </c>
      <c r="G57" s="110" t="inlineStr">
        <is>
          <t>–</t>
        </is>
      </c>
      <c r="H57" s="111" t="inlineStr">
        <is>
          <t>–</t>
        </is>
      </c>
      <c r="I57" s="111">
        <f>SUM('Final Calculation Sheet'!$H$4:$H$40)</f>
        <v/>
      </c>
      <c r="J57" s="111">
        <f>SUM('Final Calculation Sheet'!$I$4:$I$40)</f>
        <v/>
      </c>
      <c r="K57" s="111">
        <f>SUM('Final Calculation Sheet'!$J$4:$J$40)</f>
        <v/>
      </c>
      <c r="L57" s="111">
        <f>SUM('Final Calculation Sheet'!$K$4:$K$40)</f>
        <v/>
      </c>
      <c r="M57" s="111">
        <f>SUM('Final Calculation Sheet'!$L$4:$L$40)</f>
        <v/>
      </c>
      <c r="N57" s="111">
        <f>SUM('Final Calculation Sheet'!$M$4:$M$40)</f>
        <v/>
      </c>
      <c r="O57" s="112">
        <f>SUM('Final Calculation Sheet'!$N$4:$N$40)</f>
        <v/>
      </c>
      <c r="P57" s="111">
        <f>SUM('Final Calculation Sheet'!$O$4:$O$40)</f>
        <v/>
      </c>
      <c r="Q57" s="111">
        <f>SUM('Final Calculation Sheet'!$P$4:$P$40)</f>
        <v/>
      </c>
      <c r="R57" s="113" t="inlineStr">
        <is>
          <t>–</t>
        </is>
      </c>
      <c r="S57" s="111">
        <f>SUM('Final Calculation Sheet'!$R$4:$R$40)</f>
        <v/>
      </c>
      <c r="T57" s="111">
        <f>SUM('Final Calculation Sheet'!$S$4:$S$40)</f>
        <v/>
      </c>
      <c r="U57" s="111">
        <f>SUM('Final Calculation Sheet'!$T$4:$T$40)</f>
        <v/>
      </c>
      <c r="V57" s="114">
        <f>SUM('Final Calculation Sheet'!$U$4:$U$40)</f>
        <v/>
      </c>
      <c r="W57" s="111" t="inlineStr">
        <is>
          <t>–</t>
        </is>
      </c>
      <c r="X57" s="111">
        <f>SUM('Final Calculation Sheet'!$W$4:$W$40)</f>
        <v/>
      </c>
      <c r="Y57" s="111">
        <f>SUM('Final Calculation Sheet'!$X$4:$X$40)</f>
        <v/>
      </c>
      <c r="Z57" s="111" t="inlineStr">
        <is>
          <t>–</t>
        </is>
      </c>
      <c r="AA57" s="111">
        <f>SUM('Final Calculation Sheet'!$Z$4:$Z$40)</f>
        <v/>
      </c>
      <c r="AB57" s="111">
        <f>SUM('Final Calculation Sheet'!$AA$4:$AA$40)</f>
        <v/>
      </c>
      <c r="AC57" s="111" t="inlineStr">
        <is>
          <t>–</t>
        </is>
      </c>
      <c r="AD57" s="111">
        <f>SUM('Final Calculation Sheet'!$AC$4:$AC$40)</f>
        <v/>
      </c>
      <c r="AE57" s="111">
        <f>SUM('Final Calculation Sheet'!$AD$4:$AD$40)</f>
        <v/>
      </c>
      <c r="AF57" s="116">
        <f>IF(AE57&lt;=5,"SETTLED","OUTSTANDING")</f>
        <v/>
      </c>
      <c r="AG57" s="111" t="inlineStr">
        <is>
          <t>–</t>
        </is>
      </c>
      <c r="AH57" s="115" t="inlineStr">
        <is>
          <t>–</t>
        </is>
      </c>
      <c r="AI57" s="111" t="inlineStr">
        <is>
          <t>–</t>
        </is>
      </c>
    </row>
    <row r="59">
      <c r="A59" s="117" t="inlineStr">
        <is>
          <t>▸ MATCHED LOTS</t>
        </is>
      </c>
      <c r="B59" s="117" t="n"/>
      <c r="C59" s="117">
        <f>IF(COUNTIF($B$4:$AI$4,"&lt;&gt;")=0,"—",SUM($AJ$6:$AJ$42)&amp;" of 37")</f>
        <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f>IF($AL$60="","",1)</f>
        <v/>
      </c>
      <c r="B60" s="119">
        <f>IF($AL$60="","",IF(INDEX('Final Calculation Sheet'!$F$4:$F$40,$AL$60)="","",INDEX('Final Calculation Sheet'!$F$4:$F$40,$AL$60)))</f>
        <v/>
      </c>
      <c r="C60" s="119">
        <f>IF($AL$60="","",IF(INDEX('Final Calculation Sheet'!$G$4:$G$40,$AL$60)="","",INDEX('Final Calculation Sheet'!$G$4:$G$40,$AL$60)))</f>
        <v/>
      </c>
      <c r="D60" s="120">
        <f>IF(COUNTIF($B$4:$AI$4,"&lt;&gt;")=0,"↑ Pick a value from any SEARCH dropdown (or type) — matching lots will list here",IF($AL60="","",IF(INDEX('Final Calculation Sheet'!$B$4:$B$40,$AL60)="","",INDEX('Final Calculation Sheet'!$B$4:$B$40,$AL60))))</f>
        <v/>
      </c>
      <c r="E60" s="121">
        <f>IF($AL$60="","",IF(INDEX('Final Calculation Sheet'!$D$4:$D$40,$AL$60)="","",INDEX('Final Calculation Sheet'!$D$4:$D$40,$AL$60)))</f>
        <v/>
      </c>
      <c r="F60" s="121">
        <f>IF($AL$60="","",IF(INDEX('Final Calculation Sheet'!$A$4:$A$40,$AL$60)="","",INDEX('Final Calculation Sheet'!$A$4:$A$40,$AL$60)))</f>
        <v/>
      </c>
      <c r="G60" s="121">
        <f>IF($AL$60="","",IF(INDEX('Final Calculation Sheet'!$E$4:$E$40,$AL$60)="","",INDEX('Final Calculation Sheet'!$E$4:$E$40,$AL$60)))</f>
        <v/>
      </c>
      <c r="H60" s="122">
        <f>IF($AL$60="","",IF(INDEX('Final Calculation Sheet'!$C$4:$C$40,$AL$60)="","",INDEX('Final Calculation Sheet'!$C$4:$C$40,$AL$60)))</f>
        <v/>
      </c>
      <c r="I60" s="122">
        <f>IF($AL$60="","",IF(INDEX('Final Calculation Sheet'!$H$4:$H$40,$AL$60)="","",INDEX('Final Calculation Sheet'!$H$4:$H$40,$AL$60)))</f>
        <v/>
      </c>
      <c r="J60" s="122">
        <f>IF($AL$60="","",IF(INDEX('Final Calculation Sheet'!$I$4:$I$40,$AL$60)="","",INDEX('Final Calculation Sheet'!$I$4:$I$40,$AL$60)))</f>
        <v/>
      </c>
      <c r="K60" s="122">
        <f>IF($AL$60="","",IF(INDEX('Final Calculation Sheet'!$J$4:$J$40,$AL$60)="","",INDEX('Final Calculation Sheet'!$J$4:$J$40,$AL$60)))</f>
        <v/>
      </c>
      <c r="L60" s="122">
        <f>IF($AL$60="","",IF(INDEX('Final Calculation Sheet'!$K$4:$K$40,$AL$60)="","",INDEX('Final Calculation Sheet'!$K$4:$K$40,$AL$60)))</f>
        <v/>
      </c>
      <c r="M60" s="122">
        <f>IF($AL$60="","",IF(INDEX('Final Calculation Sheet'!$L$4:$L$40,$AL$60)="","",INDEX('Final Calculation Sheet'!$L$4:$L$40,$AL$60)))</f>
        <v/>
      </c>
      <c r="N60" s="122">
        <f>IF($AL$60="","",IF(INDEX('Final Calculation Sheet'!$M$4:$M$40,$AL$60)="","",INDEX('Final Calculation Sheet'!$M$4:$M$40,$AL$60)))</f>
        <v/>
      </c>
      <c r="O60" s="123">
        <f>IF($AL$60="","",IF(INDEX('Final Calculation Sheet'!$N$4:$N$40,$AL$60)="","",INDEX('Final Calculation Sheet'!$N$4:$N$40,$AL$60)))</f>
        <v/>
      </c>
      <c r="P60" s="122">
        <f>IF($AL$60="","",IF(INDEX('Final Calculation Sheet'!$O$4:$O$40,$AL$60)="","",INDEX('Final Calculation Sheet'!$O$4:$O$40,$AL$60)))</f>
        <v/>
      </c>
      <c r="Q60" s="122">
        <f>IF($AL$60="","",IF(INDEX('Final Calculation Sheet'!$P$4:$P$40,$AL$60)="","",INDEX('Final Calculation Sheet'!$P$4:$P$40,$AL$60)))</f>
        <v/>
      </c>
      <c r="R60" s="124">
        <f>IF($AL$60="","",IF(INDEX('Final Calculation Sheet'!$Q$4:$Q$40,$AL$60)="","",INDEX('Final Calculation Sheet'!$Q$4:$Q$40,$AL$60)))</f>
        <v/>
      </c>
      <c r="S60" s="122">
        <f>IF($AL$60="","",IF(INDEX('Final Calculation Sheet'!$R$4:$R$40,$AL$60)="","",INDEX('Final Calculation Sheet'!$R$4:$R$40,$AL$60)))</f>
        <v/>
      </c>
      <c r="T60" s="122">
        <f>IF($AL$60="","",IF(INDEX('Final Calculation Sheet'!$S$4:$S$40,$AL$60)="","",INDEX('Final Calculation Sheet'!$S$4:$S$40,$AL$60)))</f>
        <v/>
      </c>
      <c r="U60" s="122">
        <f>IF($AL$60="","",IF(INDEX('Final Calculation Sheet'!$T$4:$T$40,$AL$60)="","",INDEX('Final Calculation Sheet'!$T$4:$T$40,$AL$60)))</f>
        <v/>
      </c>
      <c r="V60" s="125">
        <f>IF($AL$60="","",IF(INDEX('Final Calculation Sheet'!$U$4:$U$40,$AL$60)="","",INDEX('Final Calculation Sheet'!$U$4:$U$40,$AL$60)))</f>
        <v/>
      </c>
      <c r="W60" s="122">
        <f>IF($AL$60="","",IF(INDEX('Final Calculation Sheet'!$V$4:$V$40,$AL$60)="","",INDEX('Final Calculation Sheet'!$V$4:$V$40,$AL$60)))</f>
        <v/>
      </c>
      <c r="X60" s="122">
        <f>IF($AL$60="","",IF(INDEX('Final Calculation Sheet'!$W$4:$W$40,$AL$60)="","",INDEX('Final Calculation Sheet'!$W$4:$W$40,$AL$60)))</f>
        <v/>
      </c>
      <c r="Y60" s="122">
        <f>IF($AL$60="","",IF(INDEX('Final Calculation Sheet'!$X$4:$X$40,$AL$60)="","",INDEX('Final Calculation Sheet'!$X$4:$X$40,$AL$60)))</f>
        <v/>
      </c>
      <c r="Z60" s="122">
        <f>IF($AL$60="","",IF(INDEX('Final Calculation Sheet'!$Y$4:$Y$40,$AL$60)="","",INDEX('Final Calculation Sheet'!$Y$4:$Y$40,$AL$60)))</f>
        <v/>
      </c>
      <c r="AA60" s="122">
        <f>IF($AL$60="","",IF(INDEX('Final Calculation Sheet'!$Z$4:$Z$40,$AL$60)="","",INDEX('Final Calculation Sheet'!$Z$4:$Z$40,$AL$60)))</f>
        <v/>
      </c>
      <c r="AB60" s="122">
        <f>IF($AL$60="","",IF(INDEX('Final Calculation Sheet'!$AA$4:$AA$40,$AL$60)="","",INDEX('Final Calculation Sheet'!$AA$4:$AA$40,$AL$60)))</f>
        <v/>
      </c>
      <c r="AC60" s="122">
        <f>IF($AL$60="","",IF(INDEX('Final Calculation Sheet'!$AB$4:$AB$40,$AL$60)="","",INDEX('Final Calculation Sheet'!$AB$4:$AB$40,$AL$60)))</f>
        <v/>
      </c>
      <c r="AD60" s="122">
        <f>IF($AL$60="","",IF(INDEX('Final Calculation Sheet'!$AC$4:$AC$40,$AL$60)="","",INDEX('Final Calculation Sheet'!$AC$4:$AC$40,$AL$60)))</f>
        <v/>
      </c>
      <c r="AE60" s="122">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f>IF(COUNTIF($B$4:$AI$4,"&lt;&gt;")=0,"",IFERROR(MATCH(1,$AK$6:$AK$42,0),""))</f>
        <v/>
      </c>
    </row>
    <row r="61">
      <c r="A61" s="128">
        <f>IF($AL$61="","",2)</f>
        <v/>
      </c>
      <c r="B61" s="129">
        <f>IF($AL$61="","",IF(INDEX('Final Calculation Sheet'!$F$4:$F$40,$AL$61)="","",INDEX('Final Calculation Sheet'!$F$4:$F$40,$AL$61)))</f>
        <v/>
      </c>
      <c r="C61" s="129">
        <f>IF($AL$61="","",IF(INDEX('Final Calculation Sheet'!$G$4:$G$40,$AL$61)="","",INDEX('Final Calculation Sheet'!$G$4:$G$40,$AL$61)))</f>
        <v/>
      </c>
      <c r="D61" s="130">
        <f>IF($AL$61="","",IF(INDEX('Final Calculation Sheet'!$B$4:$B$40,$AL$61)="","",INDEX('Final Calculation Sheet'!$B$4:$B$40,$AL$61)))</f>
        <v/>
      </c>
      <c r="E61" s="130">
        <f>IF($AL$61="","",IF(INDEX('Final Calculation Sheet'!$D$4:$D$40,$AL$61)="","",INDEX('Final Calculation Sheet'!$D$4:$D$40,$AL$61)))</f>
        <v/>
      </c>
      <c r="F61" s="130">
        <f>IF($AL$61="","",IF(INDEX('Final Calculation Sheet'!$A$4:$A$40,$AL$61)="","",INDEX('Final Calculation Sheet'!$A$4:$A$40,$AL$61)))</f>
        <v/>
      </c>
      <c r="G61" s="130">
        <f>IF($AL$61="","",IF(INDEX('Final Calculation Sheet'!$E$4:$E$40,$AL$61)="","",INDEX('Final Calculation Sheet'!$E$4:$E$40,$AL$61)))</f>
        <v/>
      </c>
      <c r="H61" s="131">
        <f>IF($AL$61="","",IF(INDEX('Final Calculation Sheet'!$C$4:$C$40,$AL$61)="","",INDEX('Final Calculation Sheet'!$C$4:$C$40,$AL$61)))</f>
        <v/>
      </c>
      <c r="I61" s="131">
        <f>IF($AL$61="","",IF(INDEX('Final Calculation Sheet'!$H$4:$H$40,$AL$61)="","",INDEX('Final Calculation Sheet'!$H$4:$H$40,$AL$61)))</f>
        <v/>
      </c>
      <c r="J61" s="131">
        <f>IF($AL$61="","",IF(INDEX('Final Calculation Sheet'!$I$4:$I$40,$AL$61)="","",INDEX('Final Calculation Sheet'!$I$4:$I$40,$AL$61)))</f>
        <v/>
      </c>
      <c r="K61" s="131">
        <f>IF($AL$61="","",IF(INDEX('Final Calculation Sheet'!$J$4:$J$40,$AL$61)="","",INDEX('Final Calculation Sheet'!$J$4:$J$40,$AL$61)))</f>
        <v/>
      </c>
      <c r="L61" s="131">
        <f>IF($AL$61="","",IF(INDEX('Final Calculation Sheet'!$K$4:$K$40,$AL$61)="","",INDEX('Final Calculation Sheet'!$K$4:$K$40,$AL$61)))</f>
        <v/>
      </c>
      <c r="M61" s="131">
        <f>IF($AL$61="","",IF(INDEX('Final Calculation Sheet'!$L$4:$L$40,$AL$61)="","",INDEX('Final Calculation Sheet'!$L$4:$L$40,$AL$61)))</f>
        <v/>
      </c>
      <c r="N61" s="131">
        <f>IF($AL$61="","",IF(INDEX('Final Calculation Sheet'!$M$4:$M$40,$AL$61)="","",INDEX('Final Calculation Sheet'!$M$4:$M$40,$AL$61)))</f>
        <v/>
      </c>
      <c r="O61" s="132">
        <f>IF($AL$61="","",IF(INDEX('Final Calculation Sheet'!$N$4:$N$40,$AL$61)="","",INDEX('Final Calculation Sheet'!$N$4:$N$40,$AL$61)))</f>
        <v/>
      </c>
      <c r="P61" s="131">
        <f>IF($AL$61="","",IF(INDEX('Final Calculation Sheet'!$O$4:$O$40,$AL$61)="","",INDEX('Final Calculation Sheet'!$O$4:$O$40,$AL$61)))</f>
        <v/>
      </c>
      <c r="Q61" s="131">
        <f>IF($AL$61="","",IF(INDEX('Final Calculation Sheet'!$P$4:$P$40,$AL$61)="","",INDEX('Final Calculation Sheet'!$P$4:$P$40,$AL$61)))</f>
        <v/>
      </c>
      <c r="R61" s="133">
        <f>IF($AL$61="","",IF(INDEX('Final Calculation Sheet'!$Q$4:$Q$40,$AL$61)="","",INDEX('Final Calculation Sheet'!$Q$4:$Q$40,$AL$61)))</f>
        <v/>
      </c>
      <c r="S61" s="131">
        <f>IF($AL$61="","",IF(INDEX('Final Calculation Sheet'!$R$4:$R$40,$AL$61)="","",INDEX('Final Calculation Sheet'!$R$4:$R$40,$AL$61)))</f>
        <v/>
      </c>
      <c r="T61" s="131">
        <f>IF($AL$61="","",IF(INDEX('Final Calculation Sheet'!$S$4:$S$40,$AL$61)="","",INDEX('Final Calculation Sheet'!$S$4:$S$40,$AL$61)))</f>
        <v/>
      </c>
      <c r="U61" s="131">
        <f>IF($AL$61="","",IF(INDEX('Final Calculation Sheet'!$T$4:$T$40,$AL$61)="","",INDEX('Final Calculation Sheet'!$T$4:$T$40,$AL$61)))</f>
        <v/>
      </c>
      <c r="V61" s="134">
        <f>IF($AL$61="","",IF(INDEX('Final Calculation Sheet'!$U$4:$U$40,$AL$61)="","",INDEX('Final Calculation Sheet'!$U$4:$U$40,$AL$61)))</f>
        <v/>
      </c>
      <c r="W61" s="131">
        <f>IF($AL$61="","",IF(INDEX('Final Calculation Sheet'!$V$4:$V$40,$AL$61)="","",INDEX('Final Calculation Sheet'!$V$4:$V$40,$AL$61)))</f>
        <v/>
      </c>
      <c r="X61" s="131">
        <f>IF($AL$61="","",IF(INDEX('Final Calculation Sheet'!$W$4:$W$40,$AL$61)="","",INDEX('Final Calculation Sheet'!$W$4:$W$40,$AL$61)))</f>
        <v/>
      </c>
      <c r="Y61" s="131">
        <f>IF($AL$61="","",IF(INDEX('Final Calculation Sheet'!$X$4:$X$40,$AL$61)="","",INDEX('Final Calculation Sheet'!$X$4:$X$40,$AL$61)))</f>
        <v/>
      </c>
      <c r="Z61" s="131">
        <f>IF($AL$61="","",IF(INDEX('Final Calculation Sheet'!$Y$4:$Y$40,$AL$61)="","",INDEX('Final Calculation Sheet'!$Y$4:$Y$40,$AL$61)))</f>
        <v/>
      </c>
      <c r="AA61" s="131">
        <f>IF($AL$61="","",IF(INDEX('Final Calculation Sheet'!$Z$4:$Z$40,$AL$61)="","",INDEX('Final Calculation Sheet'!$Z$4:$Z$40,$AL$61)))</f>
        <v/>
      </c>
      <c r="AB61" s="131">
        <f>IF($AL$61="","",IF(INDEX('Final Calculation Sheet'!$AA$4:$AA$40,$AL$61)="","",INDEX('Final Calculation Sheet'!$AA$4:$AA$40,$AL$61)))</f>
        <v/>
      </c>
      <c r="AC61" s="131">
        <f>IF($AL$61="","",IF(INDEX('Final Calculation Sheet'!$AB$4:$AB$40,$AL$61)="","",INDEX('Final Calculation Sheet'!$AB$4:$AB$40,$AL$61)))</f>
        <v/>
      </c>
      <c r="AD61" s="131">
        <f>IF($AL$61="","",IF(INDEX('Final Calculation Sheet'!$AC$4:$AC$40,$AL$61)="","",INDEX('Final Calculation Sheet'!$AC$4:$AC$40,$AL$61)))</f>
        <v/>
      </c>
      <c r="AE61" s="131">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f>IF(COUNTIF($B$4:$AI$4,"&lt;&gt;")=0,"",IFERROR(MATCH(2,$AK$6:$AK$42,0),""))</f>
        <v/>
      </c>
    </row>
    <row r="62">
      <c r="A62" s="118">
        <f>IF($AL$62="","",3)</f>
        <v/>
      </c>
      <c r="B62" s="119">
        <f>IF($AL$62="","",IF(INDEX('Final Calculation Sheet'!$F$4:$F$40,$AL$62)="","",INDEX('Final Calculation Sheet'!$F$4:$F$40,$AL$62)))</f>
        <v/>
      </c>
      <c r="C62" s="119">
        <f>IF($AL$62="","",IF(INDEX('Final Calculation Sheet'!$G$4:$G$40,$AL$62)="","",INDEX('Final Calculation Sheet'!$G$4:$G$40,$AL$62)))</f>
        <v/>
      </c>
      <c r="D62" s="121">
        <f>IF($AL$62="","",IF(INDEX('Final Calculation Sheet'!$B$4:$B$40,$AL$62)="","",INDEX('Final Calculation Sheet'!$B$4:$B$40,$AL$62)))</f>
        <v/>
      </c>
      <c r="E62" s="121">
        <f>IF($AL$62="","",IF(INDEX('Final Calculation Sheet'!$D$4:$D$40,$AL$62)="","",INDEX('Final Calculation Sheet'!$D$4:$D$40,$AL$62)))</f>
        <v/>
      </c>
      <c r="F62" s="121">
        <f>IF($AL$62="","",IF(INDEX('Final Calculation Sheet'!$A$4:$A$40,$AL$62)="","",INDEX('Final Calculation Sheet'!$A$4:$A$40,$AL$62)))</f>
        <v/>
      </c>
      <c r="G62" s="121">
        <f>IF($AL$62="","",IF(INDEX('Final Calculation Sheet'!$E$4:$E$40,$AL$62)="","",INDEX('Final Calculation Sheet'!$E$4:$E$40,$AL$62)))</f>
        <v/>
      </c>
      <c r="H62" s="122">
        <f>IF($AL$62="","",IF(INDEX('Final Calculation Sheet'!$C$4:$C$40,$AL$62)="","",INDEX('Final Calculation Sheet'!$C$4:$C$40,$AL$62)))</f>
        <v/>
      </c>
      <c r="I62" s="122">
        <f>IF($AL$62="","",IF(INDEX('Final Calculation Sheet'!$H$4:$H$40,$AL$62)="","",INDEX('Final Calculation Sheet'!$H$4:$H$40,$AL$62)))</f>
        <v/>
      </c>
      <c r="J62" s="122">
        <f>IF($AL$62="","",IF(INDEX('Final Calculation Sheet'!$I$4:$I$40,$AL$62)="","",INDEX('Final Calculation Sheet'!$I$4:$I$40,$AL$62)))</f>
        <v/>
      </c>
      <c r="K62" s="122">
        <f>IF($AL$62="","",IF(INDEX('Final Calculation Sheet'!$J$4:$J$40,$AL$62)="","",INDEX('Final Calculation Sheet'!$J$4:$J$40,$AL$62)))</f>
        <v/>
      </c>
      <c r="L62" s="122">
        <f>IF($AL$62="","",IF(INDEX('Final Calculation Sheet'!$K$4:$K$40,$AL$62)="","",INDEX('Final Calculation Sheet'!$K$4:$K$40,$AL$62)))</f>
        <v/>
      </c>
      <c r="M62" s="122">
        <f>IF($AL$62="","",IF(INDEX('Final Calculation Sheet'!$L$4:$L$40,$AL$62)="","",INDEX('Final Calculation Sheet'!$L$4:$L$40,$AL$62)))</f>
        <v/>
      </c>
      <c r="N62" s="122">
        <f>IF($AL$62="","",IF(INDEX('Final Calculation Sheet'!$M$4:$M$40,$AL$62)="","",INDEX('Final Calculation Sheet'!$M$4:$M$40,$AL$62)))</f>
        <v/>
      </c>
      <c r="O62" s="123">
        <f>IF($AL$62="","",IF(INDEX('Final Calculation Sheet'!$N$4:$N$40,$AL$62)="","",INDEX('Final Calculation Sheet'!$N$4:$N$40,$AL$62)))</f>
        <v/>
      </c>
      <c r="P62" s="122">
        <f>IF($AL$62="","",IF(INDEX('Final Calculation Sheet'!$O$4:$O$40,$AL$62)="","",INDEX('Final Calculation Sheet'!$O$4:$O$40,$AL$62)))</f>
        <v/>
      </c>
      <c r="Q62" s="122">
        <f>IF($AL$62="","",IF(INDEX('Final Calculation Sheet'!$P$4:$P$40,$AL$62)="","",INDEX('Final Calculation Sheet'!$P$4:$P$40,$AL$62)))</f>
        <v/>
      </c>
      <c r="R62" s="124">
        <f>IF($AL$62="","",IF(INDEX('Final Calculation Sheet'!$Q$4:$Q$40,$AL$62)="","",INDEX('Final Calculation Sheet'!$Q$4:$Q$40,$AL$62)))</f>
        <v/>
      </c>
      <c r="S62" s="122">
        <f>IF($AL$62="","",IF(INDEX('Final Calculation Sheet'!$R$4:$R$40,$AL$62)="","",INDEX('Final Calculation Sheet'!$R$4:$R$40,$AL$62)))</f>
        <v/>
      </c>
      <c r="T62" s="122">
        <f>IF($AL$62="","",IF(INDEX('Final Calculation Sheet'!$S$4:$S$40,$AL$62)="","",INDEX('Final Calculation Sheet'!$S$4:$S$40,$AL$62)))</f>
        <v/>
      </c>
      <c r="U62" s="122">
        <f>IF($AL$62="","",IF(INDEX('Final Calculation Sheet'!$T$4:$T$40,$AL$62)="","",INDEX('Final Calculation Sheet'!$T$4:$T$40,$AL$62)))</f>
        <v/>
      </c>
      <c r="V62" s="125">
        <f>IF($AL$62="","",IF(INDEX('Final Calculation Sheet'!$U$4:$U$40,$AL$62)="","",INDEX('Final Calculation Sheet'!$U$4:$U$40,$AL$62)))</f>
        <v/>
      </c>
      <c r="W62" s="122">
        <f>IF($AL$62="","",IF(INDEX('Final Calculation Sheet'!$V$4:$V$40,$AL$62)="","",INDEX('Final Calculation Sheet'!$V$4:$V$40,$AL$62)))</f>
        <v/>
      </c>
      <c r="X62" s="122">
        <f>IF($AL$62="","",IF(INDEX('Final Calculation Sheet'!$W$4:$W$40,$AL$62)="","",INDEX('Final Calculation Sheet'!$W$4:$W$40,$AL$62)))</f>
        <v/>
      </c>
      <c r="Y62" s="122">
        <f>IF($AL$62="","",IF(INDEX('Final Calculation Sheet'!$X$4:$X$40,$AL$62)="","",INDEX('Final Calculation Sheet'!$X$4:$X$40,$AL$62)))</f>
        <v/>
      </c>
      <c r="Z62" s="122">
        <f>IF($AL$62="","",IF(INDEX('Final Calculation Sheet'!$Y$4:$Y$40,$AL$62)="","",INDEX('Final Calculation Sheet'!$Y$4:$Y$40,$AL$62)))</f>
        <v/>
      </c>
      <c r="AA62" s="122">
        <f>IF($AL$62="","",IF(INDEX('Final Calculation Sheet'!$Z$4:$Z$40,$AL$62)="","",INDEX('Final Calculation Sheet'!$Z$4:$Z$40,$AL$62)))</f>
        <v/>
      </c>
      <c r="AB62" s="122">
        <f>IF($AL$62="","",IF(INDEX('Final Calculation Sheet'!$AA$4:$AA$40,$AL$62)="","",INDEX('Final Calculation Sheet'!$AA$4:$AA$40,$AL$62)))</f>
        <v/>
      </c>
      <c r="AC62" s="122">
        <f>IF($AL$62="","",IF(INDEX('Final Calculation Sheet'!$AB$4:$AB$40,$AL$62)="","",INDEX('Final Calculation Sheet'!$AB$4:$AB$40,$AL$62)))</f>
        <v/>
      </c>
      <c r="AD62" s="122">
        <f>IF($AL$62="","",IF(INDEX('Final Calculation Sheet'!$AC$4:$AC$40,$AL$62)="","",INDEX('Final Calculation Sheet'!$AC$4:$AC$40,$AL$62)))</f>
        <v/>
      </c>
      <c r="AE62" s="122">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f>IF(COUNTIF($B$4:$AI$4,"&lt;&gt;")=0,"",IFERROR(MATCH(3,$AK$6:$AK$42,0),""))</f>
        <v/>
      </c>
    </row>
    <row r="63">
      <c r="A63" s="128">
        <f>IF($AL$63="","",4)</f>
        <v/>
      </c>
      <c r="B63" s="129">
        <f>IF($AL$63="","",IF(INDEX('Final Calculation Sheet'!$F$4:$F$40,$AL$63)="","",INDEX('Final Calculation Sheet'!$F$4:$F$40,$AL$63)))</f>
        <v/>
      </c>
      <c r="C63" s="129">
        <f>IF($AL$63="","",IF(INDEX('Final Calculation Sheet'!$G$4:$G$40,$AL$63)="","",INDEX('Final Calculation Sheet'!$G$4:$G$40,$AL$63)))</f>
        <v/>
      </c>
      <c r="D63" s="130">
        <f>IF($AL$63="","",IF(INDEX('Final Calculation Sheet'!$B$4:$B$40,$AL$63)="","",INDEX('Final Calculation Sheet'!$B$4:$B$40,$AL$63)))</f>
        <v/>
      </c>
      <c r="E63" s="130">
        <f>IF($AL$63="","",IF(INDEX('Final Calculation Sheet'!$D$4:$D$40,$AL$63)="","",INDEX('Final Calculation Sheet'!$D$4:$D$40,$AL$63)))</f>
        <v/>
      </c>
      <c r="F63" s="130">
        <f>IF($AL$63="","",IF(INDEX('Final Calculation Sheet'!$A$4:$A$40,$AL$63)="","",INDEX('Final Calculation Sheet'!$A$4:$A$40,$AL$63)))</f>
        <v/>
      </c>
      <c r="G63" s="130">
        <f>IF($AL$63="","",IF(INDEX('Final Calculation Sheet'!$E$4:$E$40,$AL$63)="","",INDEX('Final Calculation Sheet'!$E$4:$E$40,$AL$63)))</f>
        <v/>
      </c>
      <c r="H63" s="131">
        <f>IF($AL$63="","",IF(INDEX('Final Calculation Sheet'!$C$4:$C$40,$AL$63)="","",INDEX('Final Calculation Sheet'!$C$4:$C$40,$AL$63)))</f>
        <v/>
      </c>
      <c r="I63" s="131">
        <f>IF($AL$63="","",IF(INDEX('Final Calculation Sheet'!$H$4:$H$40,$AL$63)="","",INDEX('Final Calculation Sheet'!$H$4:$H$40,$AL$63)))</f>
        <v/>
      </c>
      <c r="J63" s="131">
        <f>IF($AL$63="","",IF(INDEX('Final Calculation Sheet'!$I$4:$I$40,$AL$63)="","",INDEX('Final Calculation Sheet'!$I$4:$I$40,$AL$63)))</f>
        <v/>
      </c>
      <c r="K63" s="131">
        <f>IF($AL$63="","",IF(INDEX('Final Calculation Sheet'!$J$4:$J$40,$AL$63)="","",INDEX('Final Calculation Sheet'!$J$4:$J$40,$AL$63)))</f>
        <v/>
      </c>
      <c r="L63" s="131">
        <f>IF($AL$63="","",IF(INDEX('Final Calculation Sheet'!$K$4:$K$40,$AL$63)="","",INDEX('Final Calculation Sheet'!$K$4:$K$40,$AL$63)))</f>
        <v/>
      </c>
      <c r="M63" s="131">
        <f>IF($AL$63="","",IF(INDEX('Final Calculation Sheet'!$L$4:$L$40,$AL$63)="","",INDEX('Final Calculation Sheet'!$L$4:$L$40,$AL$63)))</f>
        <v/>
      </c>
      <c r="N63" s="131">
        <f>IF($AL$63="","",IF(INDEX('Final Calculation Sheet'!$M$4:$M$40,$AL$63)="","",INDEX('Final Calculation Sheet'!$M$4:$M$40,$AL$63)))</f>
        <v/>
      </c>
      <c r="O63" s="132">
        <f>IF($AL$63="","",IF(INDEX('Final Calculation Sheet'!$N$4:$N$40,$AL$63)="","",INDEX('Final Calculation Sheet'!$N$4:$N$40,$AL$63)))</f>
        <v/>
      </c>
      <c r="P63" s="131">
        <f>IF($AL$63="","",IF(INDEX('Final Calculation Sheet'!$O$4:$O$40,$AL$63)="","",INDEX('Final Calculation Sheet'!$O$4:$O$40,$AL$63)))</f>
        <v/>
      </c>
      <c r="Q63" s="131">
        <f>IF($AL$63="","",IF(INDEX('Final Calculation Sheet'!$P$4:$P$40,$AL$63)="","",INDEX('Final Calculation Sheet'!$P$4:$P$40,$AL$63)))</f>
        <v/>
      </c>
      <c r="R63" s="133">
        <f>IF($AL$63="","",IF(INDEX('Final Calculation Sheet'!$Q$4:$Q$40,$AL$63)="","",INDEX('Final Calculation Sheet'!$Q$4:$Q$40,$AL$63)))</f>
        <v/>
      </c>
      <c r="S63" s="131">
        <f>IF($AL$63="","",IF(INDEX('Final Calculation Sheet'!$R$4:$R$40,$AL$63)="","",INDEX('Final Calculation Sheet'!$R$4:$R$40,$AL$63)))</f>
        <v/>
      </c>
      <c r="T63" s="131">
        <f>IF($AL$63="","",IF(INDEX('Final Calculation Sheet'!$S$4:$S$40,$AL$63)="","",INDEX('Final Calculation Sheet'!$S$4:$S$40,$AL$63)))</f>
        <v/>
      </c>
      <c r="U63" s="131">
        <f>IF($AL$63="","",IF(INDEX('Final Calculation Sheet'!$T$4:$T$40,$AL$63)="","",INDEX('Final Calculation Sheet'!$T$4:$T$40,$AL$63)))</f>
        <v/>
      </c>
      <c r="V63" s="134">
        <f>IF($AL$63="","",IF(INDEX('Final Calculation Sheet'!$U$4:$U$40,$AL$63)="","",INDEX('Final Calculation Sheet'!$U$4:$U$40,$AL$63)))</f>
        <v/>
      </c>
      <c r="W63" s="131">
        <f>IF($AL$63="","",IF(INDEX('Final Calculation Sheet'!$V$4:$V$40,$AL$63)="","",INDEX('Final Calculation Sheet'!$V$4:$V$40,$AL$63)))</f>
        <v/>
      </c>
      <c r="X63" s="131">
        <f>IF($AL$63="","",IF(INDEX('Final Calculation Sheet'!$W$4:$W$40,$AL$63)="","",INDEX('Final Calculation Sheet'!$W$4:$W$40,$AL$63)))</f>
        <v/>
      </c>
      <c r="Y63" s="131">
        <f>IF($AL$63="","",IF(INDEX('Final Calculation Sheet'!$X$4:$X$40,$AL$63)="","",INDEX('Final Calculation Sheet'!$X$4:$X$40,$AL$63)))</f>
        <v/>
      </c>
      <c r="Z63" s="131">
        <f>IF($AL$63="","",IF(INDEX('Final Calculation Sheet'!$Y$4:$Y$40,$AL$63)="","",INDEX('Final Calculation Sheet'!$Y$4:$Y$40,$AL$63)))</f>
        <v/>
      </c>
      <c r="AA63" s="131">
        <f>IF($AL$63="","",IF(INDEX('Final Calculation Sheet'!$Z$4:$Z$40,$AL$63)="","",INDEX('Final Calculation Sheet'!$Z$4:$Z$40,$AL$63)))</f>
        <v/>
      </c>
      <c r="AB63" s="131">
        <f>IF($AL$63="","",IF(INDEX('Final Calculation Sheet'!$AA$4:$AA$40,$AL$63)="","",INDEX('Final Calculation Sheet'!$AA$4:$AA$40,$AL$63)))</f>
        <v/>
      </c>
      <c r="AC63" s="131">
        <f>IF($AL$63="","",IF(INDEX('Final Calculation Sheet'!$AB$4:$AB$40,$AL$63)="","",INDEX('Final Calculation Sheet'!$AB$4:$AB$40,$AL$63)))</f>
        <v/>
      </c>
      <c r="AD63" s="131">
        <f>IF($AL$63="","",IF(INDEX('Final Calculation Sheet'!$AC$4:$AC$40,$AL$63)="","",INDEX('Final Calculation Sheet'!$AC$4:$AC$40,$AL$63)))</f>
        <v/>
      </c>
      <c r="AE63" s="131">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f>IF(COUNTIF($B$4:$AI$4,"&lt;&gt;")=0,"",IFERROR(MATCH(4,$AK$6:$AK$42,0),""))</f>
        <v/>
      </c>
    </row>
    <row r="64">
      <c r="A64" s="118">
        <f>IF($AL$64="","",5)</f>
        <v/>
      </c>
      <c r="B64" s="119">
        <f>IF($AL$64="","",IF(INDEX('Final Calculation Sheet'!$F$4:$F$40,$AL$64)="","",INDEX('Final Calculation Sheet'!$F$4:$F$40,$AL$64)))</f>
        <v/>
      </c>
      <c r="C64" s="119">
        <f>IF($AL$64="","",IF(INDEX('Final Calculation Sheet'!$G$4:$G$40,$AL$64)="","",INDEX('Final Calculation Sheet'!$G$4:$G$40,$AL$64)))</f>
        <v/>
      </c>
      <c r="D64" s="121">
        <f>IF($AL$64="","",IF(INDEX('Final Calculation Sheet'!$B$4:$B$40,$AL$64)="","",INDEX('Final Calculation Sheet'!$B$4:$B$40,$AL$64)))</f>
        <v/>
      </c>
      <c r="E64" s="121">
        <f>IF($AL$64="","",IF(INDEX('Final Calculation Sheet'!$D$4:$D$40,$AL$64)="","",INDEX('Final Calculation Sheet'!$D$4:$D$40,$AL$64)))</f>
        <v/>
      </c>
      <c r="F64" s="121">
        <f>IF($AL$64="","",IF(INDEX('Final Calculation Sheet'!$A$4:$A$40,$AL$64)="","",INDEX('Final Calculation Sheet'!$A$4:$A$40,$AL$64)))</f>
        <v/>
      </c>
      <c r="G64" s="121">
        <f>IF($AL$64="","",IF(INDEX('Final Calculation Sheet'!$E$4:$E$40,$AL$64)="","",INDEX('Final Calculation Sheet'!$E$4:$E$40,$AL$64)))</f>
        <v/>
      </c>
      <c r="H64" s="122">
        <f>IF($AL$64="","",IF(INDEX('Final Calculation Sheet'!$C$4:$C$40,$AL$64)="","",INDEX('Final Calculation Sheet'!$C$4:$C$40,$AL$64)))</f>
        <v/>
      </c>
      <c r="I64" s="122">
        <f>IF($AL$64="","",IF(INDEX('Final Calculation Sheet'!$H$4:$H$40,$AL$64)="","",INDEX('Final Calculation Sheet'!$H$4:$H$40,$AL$64)))</f>
        <v/>
      </c>
      <c r="J64" s="122">
        <f>IF($AL$64="","",IF(INDEX('Final Calculation Sheet'!$I$4:$I$40,$AL$64)="","",INDEX('Final Calculation Sheet'!$I$4:$I$40,$AL$64)))</f>
        <v/>
      </c>
      <c r="K64" s="122">
        <f>IF($AL$64="","",IF(INDEX('Final Calculation Sheet'!$J$4:$J$40,$AL$64)="","",INDEX('Final Calculation Sheet'!$J$4:$J$40,$AL$64)))</f>
        <v/>
      </c>
      <c r="L64" s="122">
        <f>IF($AL$64="","",IF(INDEX('Final Calculation Sheet'!$K$4:$K$40,$AL$64)="","",INDEX('Final Calculation Sheet'!$K$4:$K$40,$AL$64)))</f>
        <v/>
      </c>
      <c r="M64" s="122">
        <f>IF($AL$64="","",IF(INDEX('Final Calculation Sheet'!$L$4:$L$40,$AL$64)="","",INDEX('Final Calculation Sheet'!$L$4:$L$40,$AL$64)))</f>
        <v/>
      </c>
      <c r="N64" s="122">
        <f>IF($AL$64="","",IF(INDEX('Final Calculation Sheet'!$M$4:$M$40,$AL$64)="","",INDEX('Final Calculation Sheet'!$M$4:$M$40,$AL$64)))</f>
        <v/>
      </c>
      <c r="O64" s="123">
        <f>IF($AL$64="","",IF(INDEX('Final Calculation Sheet'!$N$4:$N$40,$AL$64)="","",INDEX('Final Calculation Sheet'!$N$4:$N$40,$AL$64)))</f>
        <v/>
      </c>
      <c r="P64" s="122">
        <f>IF($AL$64="","",IF(INDEX('Final Calculation Sheet'!$O$4:$O$40,$AL$64)="","",INDEX('Final Calculation Sheet'!$O$4:$O$40,$AL$64)))</f>
        <v/>
      </c>
      <c r="Q64" s="122">
        <f>IF($AL$64="","",IF(INDEX('Final Calculation Sheet'!$P$4:$P$40,$AL$64)="","",INDEX('Final Calculation Sheet'!$P$4:$P$40,$AL$64)))</f>
        <v/>
      </c>
      <c r="R64" s="124">
        <f>IF($AL$64="","",IF(INDEX('Final Calculation Sheet'!$Q$4:$Q$40,$AL$64)="","",INDEX('Final Calculation Sheet'!$Q$4:$Q$40,$AL$64)))</f>
        <v/>
      </c>
      <c r="S64" s="122">
        <f>IF($AL$64="","",IF(INDEX('Final Calculation Sheet'!$R$4:$R$40,$AL$64)="","",INDEX('Final Calculation Sheet'!$R$4:$R$40,$AL$64)))</f>
        <v/>
      </c>
      <c r="T64" s="122">
        <f>IF($AL$64="","",IF(INDEX('Final Calculation Sheet'!$S$4:$S$40,$AL$64)="","",INDEX('Final Calculation Sheet'!$S$4:$S$40,$AL$64)))</f>
        <v/>
      </c>
      <c r="U64" s="122">
        <f>IF($AL$64="","",IF(INDEX('Final Calculation Sheet'!$T$4:$T$40,$AL$64)="","",INDEX('Final Calculation Sheet'!$T$4:$T$40,$AL$64)))</f>
        <v/>
      </c>
      <c r="V64" s="125">
        <f>IF($AL$64="","",IF(INDEX('Final Calculation Sheet'!$U$4:$U$40,$AL$64)="","",INDEX('Final Calculation Sheet'!$U$4:$U$40,$AL$64)))</f>
        <v/>
      </c>
      <c r="W64" s="122">
        <f>IF($AL$64="","",IF(INDEX('Final Calculation Sheet'!$V$4:$V$40,$AL$64)="","",INDEX('Final Calculation Sheet'!$V$4:$V$40,$AL$64)))</f>
        <v/>
      </c>
      <c r="X64" s="122">
        <f>IF($AL$64="","",IF(INDEX('Final Calculation Sheet'!$W$4:$W$40,$AL$64)="","",INDEX('Final Calculation Sheet'!$W$4:$W$40,$AL$64)))</f>
        <v/>
      </c>
      <c r="Y64" s="122">
        <f>IF($AL$64="","",IF(INDEX('Final Calculation Sheet'!$X$4:$X$40,$AL$64)="","",INDEX('Final Calculation Sheet'!$X$4:$X$40,$AL$64)))</f>
        <v/>
      </c>
      <c r="Z64" s="122">
        <f>IF($AL$64="","",IF(INDEX('Final Calculation Sheet'!$Y$4:$Y$40,$AL$64)="","",INDEX('Final Calculation Sheet'!$Y$4:$Y$40,$AL$64)))</f>
        <v/>
      </c>
      <c r="AA64" s="122">
        <f>IF($AL$64="","",IF(INDEX('Final Calculation Sheet'!$Z$4:$Z$40,$AL$64)="","",INDEX('Final Calculation Sheet'!$Z$4:$Z$40,$AL$64)))</f>
        <v/>
      </c>
      <c r="AB64" s="122">
        <f>IF($AL$64="","",IF(INDEX('Final Calculation Sheet'!$AA$4:$AA$40,$AL$64)="","",INDEX('Final Calculation Sheet'!$AA$4:$AA$40,$AL$64)))</f>
        <v/>
      </c>
      <c r="AC64" s="122">
        <f>IF($AL$64="","",IF(INDEX('Final Calculation Sheet'!$AB$4:$AB$40,$AL$64)="","",INDEX('Final Calculation Sheet'!$AB$4:$AB$40,$AL$64)))</f>
        <v/>
      </c>
      <c r="AD64" s="122">
        <f>IF($AL$64="","",IF(INDEX('Final Calculation Sheet'!$AC$4:$AC$40,$AL$64)="","",INDEX('Final Calculation Sheet'!$AC$4:$AC$40,$AL$64)))</f>
        <v/>
      </c>
      <c r="AE64" s="122">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f>IF(COUNTIF($B$4:$AI$4,"&lt;&gt;")=0,"",IFERROR(MATCH(5,$AK$6:$AK$42,0),""))</f>
        <v/>
      </c>
    </row>
    <row r="65">
      <c r="A65" s="128">
        <f>IF($AL$65="","",6)</f>
        <v/>
      </c>
      <c r="B65" s="129">
        <f>IF($AL$65="","",IF(INDEX('Final Calculation Sheet'!$F$4:$F$40,$AL$65)="","",INDEX('Final Calculation Sheet'!$F$4:$F$40,$AL$65)))</f>
        <v/>
      </c>
      <c r="C65" s="129">
        <f>IF($AL$65="","",IF(INDEX('Final Calculation Sheet'!$G$4:$G$40,$AL$65)="","",INDEX('Final Calculation Sheet'!$G$4:$G$40,$AL$65)))</f>
        <v/>
      </c>
      <c r="D65" s="130">
        <f>IF($AL$65="","",IF(INDEX('Final Calculation Sheet'!$B$4:$B$40,$AL$65)="","",INDEX('Final Calculation Sheet'!$B$4:$B$40,$AL$65)))</f>
        <v/>
      </c>
      <c r="E65" s="130">
        <f>IF($AL$65="","",IF(INDEX('Final Calculation Sheet'!$D$4:$D$40,$AL$65)="","",INDEX('Final Calculation Sheet'!$D$4:$D$40,$AL$65)))</f>
        <v/>
      </c>
      <c r="F65" s="130">
        <f>IF($AL$65="","",IF(INDEX('Final Calculation Sheet'!$A$4:$A$40,$AL$65)="","",INDEX('Final Calculation Sheet'!$A$4:$A$40,$AL$65)))</f>
        <v/>
      </c>
      <c r="G65" s="130">
        <f>IF($AL$65="","",IF(INDEX('Final Calculation Sheet'!$E$4:$E$40,$AL$65)="","",INDEX('Final Calculation Sheet'!$E$4:$E$40,$AL$65)))</f>
        <v/>
      </c>
      <c r="H65" s="131">
        <f>IF($AL$65="","",IF(INDEX('Final Calculation Sheet'!$C$4:$C$40,$AL$65)="","",INDEX('Final Calculation Sheet'!$C$4:$C$40,$AL$65)))</f>
        <v/>
      </c>
      <c r="I65" s="131">
        <f>IF($AL$65="","",IF(INDEX('Final Calculation Sheet'!$H$4:$H$40,$AL$65)="","",INDEX('Final Calculation Sheet'!$H$4:$H$40,$AL$65)))</f>
        <v/>
      </c>
      <c r="J65" s="131">
        <f>IF($AL$65="","",IF(INDEX('Final Calculation Sheet'!$I$4:$I$40,$AL$65)="","",INDEX('Final Calculation Sheet'!$I$4:$I$40,$AL$65)))</f>
        <v/>
      </c>
      <c r="K65" s="131">
        <f>IF($AL$65="","",IF(INDEX('Final Calculation Sheet'!$J$4:$J$40,$AL$65)="","",INDEX('Final Calculation Sheet'!$J$4:$J$40,$AL$65)))</f>
        <v/>
      </c>
      <c r="L65" s="131">
        <f>IF($AL$65="","",IF(INDEX('Final Calculation Sheet'!$K$4:$K$40,$AL$65)="","",INDEX('Final Calculation Sheet'!$K$4:$K$40,$AL$65)))</f>
        <v/>
      </c>
      <c r="M65" s="131">
        <f>IF($AL$65="","",IF(INDEX('Final Calculation Sheet'!$L$4:$L$40,$AL$65)="","",INDEX('Final Calculation Sheet'!$L$4:$L$40,$AL$65)))</f>
        <v/>
      </c>
      <c r="N65" s="131">
        <f>IF($AL$65="","",IF(INDEX('Final Calculation Sheet'!$M$4:$M$40,$AL$65)="","",INDEX('Final Calculation Sheet'!$M$4:$M$40,$AL$65)))</f>
        <v/>
      </c>
      <c r="O65" s="132">
        <f>IF($AL$65="","",IF(INDEX('Final Calculation Sheet'!$N$4:$N$40,$AL$65)="","",INDEX('Final Calculation Sheet'!$N$4:$N$40,$AL$65)))</f>
        <v/>
      </c>
      <c r="P65" s="131">
        <f>IF($AL$65="","",IF(INDEX('Final Calculation Sheet'!$O$4:$O$40,$AL$65)="","",INDEX('Final Calculation Sheet'!$O$4:$O$40,$AL$65)))</f>
        <v/>
      </c>
      <c r="Q65" s="131">
        <f>IF($AL$65="","",IF(INDEX('Final Calculation Sheet'!$P$4:$P$40,$AL$65)="","",INDEX('Final Calculation Sheet'!$P$4:$P$40,$AL$65)))</f>
        <v/>
      </c>
      <c r="R65" s="133">
        <f>IF($AL$65="","",IF(INDEX('Final Calculation Sheet'!$Q$4:$Q$40,$AL$65)="","",INDEX('Final Calculation Sheet'!$Q$4:$Q$40,$AL$65)))</f>
        <v/>
      </c>
      <c r="S65" s="131">
        <f>IF($AL$65="","",IF(INDEX('Final Calculation Sheet'!$R$4:$R$40,$AL$65)="","",INDEX('Final Calculation Sheet'!$R$4:$R$40,$AL$65)))</f>
        <v/>
      </c>
      <c r="T65" s="131">
        <f>IF($AL$65="","",IF(INDEX('Final Calculation Sheet'!$S$4:$S$40,$AL$65)="","",INDEX('Final Calculation Sheet'!$S$4:$S$40,$AL$65)))</f>
        <v/>
      </c>
      <c r="U65" s="131">
        <f>IF($AL$65="","",IF(INDEX('Final Calculation Sheet'!$T$4:$T$40,$AL$65)="","",INDEX('Final Calculation Sheet'!$T$4:$T$40,$AL$65)))</f>
        <v/>
      </c>
      <c r="V65" s="134">
        <f>IF($AL$65="","",IF(INDEX('Final Calculation Sheet'!$U$4:$U$40,$AL$65)="","",INDEX('Final Calculation Sheet'!$U$4:$U$40,$AL$65)))</f>
        <v/>
      </c>
      <c r="W65" s="131">
        <f>IF($AL$65="","",IF(INDEX('Final Calculation Sheet'!$V$4:$V$40,$AL$65)="","",INDEX('Final Calculation Sheet'!$V$4:$V$40,$AL$65)))</f>
        <v/>
      </c>
      <c r="X65" s="131">
        <f>IF($AL$65="","",IF(INDEX('Final Calculation Sheet'!$W$4:$W$40,$AL$65)="","",INDEX('Final Calculation Sheet'!$W$4:$W$40,$AL$65)))</f>
        <v/>
      </c>
      <c r="Y65" s="131">
        <f>IF($AL$65="","",IF(INDEX('Final Calculation Sheet'!$X$4:$X$40,$AL$65)="","",INDEX('Final Calculation Sheet'!$X$4:$X$40,$AL$65)))</f>
        <v/>
      </c>
      <c r="Z65" s="131">
        <f>IF($AL$65="","",IF(INDEX('Final Calculation Sheet'!$Y$4:$Y$40,$AL$65)="","",INDEX('Final Calculation Sheet'!$Y$4:$Y$40,$AL$65)))</f>
        <v/>
      </c>
      <c r="AA65" s="131">
        <f>IF($AL$65="","",IF(INDEX('Final Calculation Sheet'!$Z$4:$Z$40,$AL$65)="","",INDEX('Final Calculation Sheet'!$Z$4:$Z$40,$AL$65)))</f>
        <v/>
      </c>
      <c r="AB65" s="131">
        <f>IF($AL$65="","",IF(INDEX('Final Calculation Sheet'!$AA$4:$AA$40,$AL$65)="","",INDEX('Final Calculation Sheet'!$AA$4:$AA$40,$AL$65)))</f>
        <v/>
      </c>
      <c r="AC65" s="131">
        <f>IF($AL$65="","",IF(INDEX('Final Calculation Sheet'!$AB$4:$AB$40,$AL$65)="","",INDEX('Final Calculation Sheet'!$AB$4:$AB$40,$AL$65)))</f>
        <v/>
      </c>
      <c r="AD65" s="131">
        <f>IF($AL$65="","",IF(INDEX('Final Calculation Sheet'!$AC$4:$AC$40,$AL$65)="","",INDEX('Final Calculation Sheet'!$AC$4:$AC$40,$AL$65)))</f>
        <v/>
      </c>
      <c r="AE65" s="131">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f>IF(COUNTIF($B$4:$AI$4,"&lt;&gt;")=0,"",IFERROR(MATCH(6,$AK$6:$AK$42,0),""))</f>
        <v/>
      </c>
    </row>
    <row r="66">
      <c r="A66" s="118">
        <f>IF($AL$66="","",7)</f>
        <v/>
      </c>
      <c r="B66" s="119">
        <f>IF($AL$66="","",IF(INDEX('Final Calculation Sheet'!$F$4:$F$40,$AL$66)="","",INDEX('Final Calculation Sheet'!$F$4:$F$40,$AL$66)))</f>
        <v/>
      </c>
      <c r="C66" s="119">
        <f>IF($AL$66="","",IF(INDEX('Final Calculation Sheet'!$G$4:$G$40,$AL$66)="","",INDEX('Final Calculation Sheet'!$G$4:$G$40,$AL$66)))</f>
        <v/>
      </c>
      <c r="D66" s="121">
        <f>IF($AL$66="","",IF(INDEX('Final Calculation Sheet'!$B$4:$B$40,$AL$66)="","",INDEX('Final Calculation Sheet'!$B$4:$B$40,$AL$66)))</f>
        <v/>
      </c>
      <c r="E66" s="121">
        <f>IF($AL$66="","",IF(INDEX('Final Calculation Sheet'!$D$4:$D$40,$AL$66)="","",INDEX('Final Calculation Sheet'!$D$4:$D$40,$AL$66)))</f>
        <v/>
      </c>
      <c r="F66" s="121">
        <f>IF($AL$66="","",IF(INDEX('Final Calculation Sheet'!$A$4:$A$40,$AL$66)="","",INDEX('Final Calculation Sheet'!$A$4:$A$40,$AL$66)))</f>
        <v/>
      </c>
      <c r="G66" s="121">
        <f>IF($AL$66="","",IF(INDEX('Final Calculation Sheet'!$E$4:$E$40,$AL$66)="","",INDEX('Final Calculation Sheet'!$E$4:$E$40,$AL$66)))</f>
        <v/>
      </c>
      <c r="H66" s="122">
        <f>IF($AL$66="","",IF(INDEX('Final Calculation Sheet'!$C$4:$C$40,$AL$66)="","",INDEX('Final Calculation Sheet'!$C$4:$C$40,$AL$66)))</f>
        <v/>
      </c>
      <c r="I66" s="122">
        <f>IF($AL$66="","",IF(INDEX('Final Calculation Sheet'!$H$4:$H$40,$AL$66)="","",INDEX('Final Calculation Sheet'!$H$4:$H$40,$AL$66)))</f>
        <v/>
      </c>
      <c r="J66" s="122">
        <f>IF($AL$66="","",IF(INDEX('Final Calculation Sheet'!$I$4:$I$40,$AL$66)="","",INDEX('Final Calculation Sheet'!$I$4:$I$40,$AL$66)))</f>
        <v/>
      </c>
      <c r="K66" s="122">
        <f>IF($AL$66="","",IF(INDEX('Final Calculation Sheet'!$J$4:$J$40,$AL$66)="","",INDEX('Final Calculation Sheet'!$J$4:$J$40,$AL$66)))</f>
        <v/>
      </c>
      <c r="L66" s="122">
        <f>IF($AL$66="","",IF(INDEX('Final Calculation Sheet'!$K$4:$K$40,$AL$66)="","",INDEX('Final Calculation Sheet'!$K$4:$K$40,$AL$66)))</f>
        <v/>
      </c>
      <c r="M66" s="122">
        <f>IF($AL$66="","",IF(INDEX('Final Calculation Sheet'!$L$4:$L$40,$AL$66)="","",INDEX('Final Calculation Sheet'!$L$4:$L$40,$AL$66)))</f>
        <v/>
      </c>
      <c r="N66" s="122">
        <f>IF($AL$66="","",IF(INDEX('Final Calculation Sheet'!$M$4:$M$40,$AL$66)="","",INDEX('Final Calculation Sheet'!$M$4:$M$40,$AL$66)))</f>
        <v/>
      </c>
      <c r="O66" s="123">
        <f>IF($AL$66="","",IF(INDEX('Final Calculation Sheet'!$N$4:$N$40,$AL$66)="","",INDEX('Final Calculation Sheet'!$N$4:$N$40,$AL$66)))</f>
        <v/>
      </c>
      <c r="P66" s="122">
        <f>IF($AL$66="","",IF(INDEX('Final Calculation Sheet'!$O$4:$O$40,$AL$66)="","",INDEX('Final Calculation Sheet'!$O$4:$O$40,$AL$66)))</f>
        <v/>
      </c>
      <c r="Q66" s="122">
        <f>IF($AL$66="","",IF(INDEX('Final Calculation Sheet'!$P$4:$P$40,$AL$66)="","",INDEX('Final Calculation Sheet'!$P$4:$P$40,$AL$66)))</f>
        <v/>
      </c>
      <c r="R66" s="124">
        <f>IF($AL$66="","",IF(INDEX('Final Calculation Sheet'!$Q$4:$Q$40,$AL$66)="","",INDEX('Final Calculation Sheet'!$Q$4:$Q$40,$AL$66)))</f>
        <v/>
      </c>
      <c r="S66" s="122">
        <f>IF($AL$66="","",IF(INDEX('Final Calculation Sheet'!$R$4:$R$40,$AL$66)="","",INDEX('Final Calculation Sheet'!$R$4:$R$40,$AL$66)))</f>
        <v/>
      </c>
      <c r="T66" s="122">
        <f>IF($AL$66="","",IF(INDEX('Final Calculation Sheet'!$S$4:$S$40,$AL$66)="","",INDEX('Final Calculation Sheet'!$S$4:$S$40,$AL$66)))</f>
        <v/>
      </c>
      <c r="U66" s="122">
        <f>IF($AL$66="","",IF(INDEX('Final Calculation Sheet'!$T$4:$T$40,$AL$66)="","",INDEX('Final Calculation Sheet'!$T$4:$T$40,$AL$66)))</f>
        <v/>
      </c>
      <c r="V66" s="125">
        <f>IF($AL$66="","",IF(INDEX('Final Calculation Sheet'!$U$4:$U$40,$AL$66)="","",INDEX('Final Calculation Sheet'!$U$4:$U$40,$AL$66)))</f>
        <v/>
      </c>
      <c r="W66" s="122">
        <f>IF($AL$66="","",IF(INDEX('Final Calculation Sheet'!$V$4:$V$40,$AL$66)="","",INDEX('Final Calculation Sheet'!$V$4:$V$40,$AL$66)))</f>
        <v/>
      </c>
      <c r="X66" s="122">
        <f>IF($AL$66="","",IF(INDEX('Final Calculation Sheet'!$W$4:$W$40,$AL$66)="","",INDEX('Final Calculation Sheet'!$W$4:$W$40,$AL$66)))</f>
        <v/>
      </c>
      <c r="Y66" s="122">
        <f>IF($AL$66="","",IF(INDEX('Final Calculation Sheet'!$X$4:$X$40,$AL$66)="","",INDEX('Final Calculation Sheet'!$X$4:$X$40,$AL$66)))</f>
        <v/>
      </c>
      <c r="Z66" s="122">
        <f>IF($AL$66="","",IF(INDEX('Final Calculation Sheet'!$Y$4:$Y$40,$AL$66)="","",INDEX('Final Calculation Sheet'!$Y$4:$Y$40,$AL$66)))</f>
        <v/>
      </c>
      <c r="AA66" s="122">
        <f>IF($AL$66="","",IF(INDEX('Final Calculation Sheet'!$Z$4:$Z$40,$AL$66)="","",INDEX('Final Calculation Sheet'!$Z$4:$Z$40,$AL$66)))</f>
        <v/>
      </c>
      <c r="AB66" s="122">
        <f>IF($AL$66="","",IF(INDEX('Final Calculation Sheet'!$AA$4:$AA$40,$AL$66)="","",INDEX('Final Calculation Sheet'!$AA$4:$AA$40,$AL$66)))</f>
        <v/>
      </c>
      <c r="AC66" s="122">
        <f>IF($AL$66="","",IF(INDEX('Final Calculation Sheet'!$AB$4:$AB$40,$AL$66)="","",INDEX('Final Calculation Sheet'!$AB$4:$AB$40,$AL$66)))</f>
        <v/>
      </c>
      <c r="AD66" s="122">
        <f>IF($AL$66="","",IF(INDEX('Final Calculation Sheet'!$AC$4:$AC$40,$AL$66)="","",INDEX('Final Calculation Sheet'!$AC$4:$AC$40,$AL$66)))</f>
        <v/>
      </c>
      <c r="AE66" s="122">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f>IF(COUNTIF($B$4:$AI$4,"&lt;&gt;")=0,"",IFERROR(MATCH(7,$AK$6:$AK$42,0),""))</f>
        <v/>
      </c>
    </row>
    <row r="67">
      <c r="A67" s="128">
        <f>IF($AL$67="","",8)</f>
        <v/>
      </c>
      <c r="B67" s="129">
        <f>IF($AL$67="","",IF(INDEX('Final Calculation Sheet'!$F$4:$F$40,$AL$67)="","",INDEX('Final Calculation Sheet'!$F$4:$F$40,$AL$67)))</f>
        <v/>
      </c>
      <c r="C67" s="129">
        <f>IF($AL$67="","",IF(INDEX('Final Calculation Sheet'!$G$4:$G$40,$AL$67)="","",INDEX('Final Calculation Sheet'!$G$4:$G$40,$AL$67)))</f>
        <v/>
      </c>
      <c r="D67" s="130">
        <f>IF($AL$67="","",IF(INDEX('Final Calculation Sheet'!$B$4:$B$40,$AL$67)="","",INDEX('Final Calculation Sheet'!$B$4:$B$40,$AL$67)))</f>
        <v/>
      </c>
      <c r="E67" s="130">
        <f>IF($AL$67="","",IF(INDEX('Final Calculation Sheet'!$D$4:$D$40,$AL$67)="","",INDEX('Final Calculation Sheet'!$D$4:$D$40,$AL$67)))</f>
        <v/>
      </c>
      <c r="F67" s="130">
        <f>IF($AL$67="","",IF(INDEX('Final Calculation Sheet'!$A$4:$A$40,$AL$67)="","",INDEX('Final Calculation Sheet'!$A$4:$A$40,$AL$67)))</f>
        <v/>
      </c>
      <c r="G67" s="130">
        <f>IF($AL$67="","",IF(INDEX('Final Calculation Sheet'!$E$4:$E$40,$AL$67)="","",INDEX('Final Calculation Sheet'!$E$4:$E$40,$AL$67)))</f>
        <v/>
      </c>
      <c r="H67" s="131">
        <f>IF($AL$67="","",IF(INDEX('Final Calculation Sheet'!$C$4:$C$40,$AL$67)="","",INDEX('Final Calculation Sheet'!$C$4:$C$40,$AL$67)))</f>
        <v/>
      </c>
      <c r="I67" s="131">
        <f>IF($AL$67="","",IF(INDEX('Final Calculation Sheet'!$H$4:$H$40,$AL$67)="","",INDEX('Final Calculation Sheet'!$H$4:$H$40,$AL$67)))</f>
        <v/>
      </c>
      <c r="J67" s="131">
        <f>IF($AL$67="","",IF(INDEX('Final Calculation Sheet'!$I$4:$I$40,$AL$67)="","",INDEX('Final Calculation Sheet'!$I$4:$I$40,$AL$67)))</f>
        <v/>
      </c>
      <c r="K67" s="131">
        <f>IF($AL$67="","",IF(INDEX('Final Calculation Sheet'!$J$4:$J$40,$AL$67)="","",INDEX('Final Calculation Sheet'!$J$4:$J$40,$AL$67)))</f>
        <v/>
      </c>
      <c r="L67" s="131">
        <f>IF($AL$67="","",IF(INDEX('Final Calculation Sheet'!$K$4:$K$40,$AL$67)="","",INDEX('Final Calculation Sheet'!$K$4:$K$40,$AL$67)))</f>
        <v/>
      </c>
      <c r="M67" s="131">
        <f>IF($AL$67="","",IF(INDEX('Final Calculation Sheet'!$L$4:$L$40,$AL$67)="","",INDEX('Final Calculation Sheet'!$L$4:$L$40,$AL$67)))</f>
        <v/>
      </c>
      <c r="N67" s="131">
        <f>IF($AL$67="","",IF(INDEX('Final Calculation Sheet'!$M$4:$M$40,$AL$67)="","",INDEX('Final Calculation Sheet'!$M$4:$M$40,$AL$67)))</f>
        <v/>
      </c>
      <c r="O67" s="132">
        <f>IF($AL$67="","",IF(INDEX('Final Calculation Sheet'!$N$4:$N$40,$AL$67)="","",INDEX('Final Calculation Sheet'!$N$4:$N$40,$AL$67)))</f>
        <v/>
      </c>
      <c r="P67" s="131">
        <f>IF($AL$67="","",IF(INDEX('Final Calculation Sheet'!$O$4:$O$40,$AL$67)="","",INDEX('Final Calculation Sheet'!$O$4:$O$40,$AL$67)))</f>
        <v/>
      </c>
      <c r="Q67" s="131">
        <f>IF($AL$67="","",IF(INDEX('Final Calculation Sheet'!$P$4:$P$40,$AL$67)="","",INDEX('Final Calculation Sheet'!$P$4:$P$40,$AL$67)))</f>
        <v/>
      </c>
      <c r="R67" s="133">
        <f>IF($AL$67="","",IF(INDEX('Final Calculation Sheet'!$Q$4:$Q$40,$AL$67)="","",INDEX('Final Calculation Sheet'!$Q$4:$Q$40,$AL$67)))</f>
        <v/>
      </c>
      <c r="S67" s="131">
        <f>IF($AL$67="","",IF(INDEX('Final Calculation Sheet'!$R$4:$R$40,$AL$67)="","",INDEX('Final Calculation Sheet'!$R$4:$R$40,$AL$67)))</f>
        <v/>
      </c>
      <c r="T67" s="131">
        <f>IF($AL$67="","",IF(INDEX('Final Calculation Sheet'!$S$4:$S$40,$AL$67)="","",INDEX('Final Calculation Sheet'!$S$4:$S$40,$AL$67)))</f>
        <v/>
      </c>
      <c r="U67" s="131">
        <f>IF($AL$67="","",IF(INDEX('Final Calculation Sheet'!$T$4:$T$40,$AL$67)="","",INDEX('Final Calculation Sheet'!$T$4:$T$40,$AL$67)))</f>
        <v/>
      </c>
      <c r="V67" s="134">
        <f>IF($AL$67="","",IF(INDEX('Final Calculation Sheet'!$U$4:$U$40,$AL$67)="","",INDEX('Final Calculation Sheet'!$U$4:$U$40,$AL$67)))</f>
        <v/>
      </c>
      <c r="W67" s="131">
        <f>IF($AL$67="","",IF(INDEX('Final Calculation Sheet'!$V$4:$V$40,$AL$67)="","",INDEX('Final Calculation Sheet'!$V$4:$V$40,$AL$67)))</f>
        <v/>
      </c>
      <c r="X67" s="131">
        <f>IF($AL$67="","",IF(INDEX('Final Calculation Sheet'!$W$4:$W$40,$AL$67)="","",INDEX('Final Calculation Sheet'!$W$4:$W$40,$AL$67)))</f>
        <v/>
      </c>
      <c r="Y67" s="131">
        <f>IF($AL$67="","",IF(INDEX('Final Calculation Sheet'!$X$4:$X$40,$AL$67)="","",INDEX('Final Calculation Sheet'!$X$4:$X$40,$AL$67)))</f>
        <v/>
      </c>
      <c r="Z67" s="131">
        <f>IF($AL$67="","",IF(INDEX('Final Calculation Sheet'!$Y$4:$Y$40,$AL$67)="","",INDEX('Final Calculation Sheet'!$Y$4:$Y$40,$AL$67)))</f>
        <v/>
      </c>
      <c r="AA67" s="131">
        <f>IF($AL$67="","",IF(INDEX('Final Calculation Sheet'!$Z$4:$Z$40,$AL$67)="","",INDEX('Final Calculation Sheet'!$Z$4:$Z$40,$AL$67)))</f>
        <v/>
      </c>
      <c r="AB67" s="131">
        <f>IF($AL$67="","",IF(INDEX('Final Calculation Sheet'!$AA$4:$AA$40,$AL$67)="","",INDEX('Final Calculation Sheet'!$AA$4:$AA$40,$AL$67)))</f>
        <v/>
      </c>
      <c r="AC67" s="131">
        <f>IF($AL$67="","",IF(INDEX('Final Calculation Sheet'!$AB$4:$AB$40,$AL$67)="","",INDEX('Final Calculation Sheet'!$AB$4:$AB$40,$AL$67)))</f>
        <v/>
      </c>
      <c r="AD67" s="131">
        <f>IF($AL$67="","",IF(INDEX('Final Calculation Sheet'!$AC$4:$AC$40,$AL$67)="","",INDEX('Final Calculation Sheet'!$AC$4:$AC$40,$AL$67)))</f>
        <v/>
      </c>
      <c r="AE67" s="131">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f>IF(COUNTIF($B$4:$AI$4,"&lt;&gt;")=0,"",IFERROR(MATCH(8,$AK$6:$AK$42,0),""))</f>
        <v/>
      </c>
    </row>
    <row r="68">
      <c r="A68" s="118">
        <f>IF($AL$68="","",9)</f>
        <v/>
      </c>
      <c r="B68" s="119">
        <f>IF($AL$68="","",IF(INDEX('Final Calculation Sheet'!$F$4:$F$40,$AL$68)="","",INDEX('Final Calculation Sheet'!$F$4:$F$40,$AL$68)))</f>
        <v/>
      </c>
      <c r="C68" s="119">
        <f>IF($AL$68="","",IF(INDEX('Final Calculation Sheet'!$G$4:$G$40,$AL$68)="","",INDEX('Final Calculation Sheet'!$G$4:$G$40,$AL$68)))</f>
        <v/>
      </c>
      <c r="D68" s="121">
        <f>IF($AL$68="","",IF(INDEX('Final Calculation Sheet'!$B$4:$B$40,$AL$68)="","",INDEX('Final Calculation Sheet'!$B$4:$B$40,$AL$68)))</f>
        <v/>
      </c>
      <c r="E68" s="121">
        <f>IF($AL$68="","",IF(INDEX('Final Calculation Sheet'!$D$4:$D$40,$AL$68)="","",INDEX('Final Calculation Sheet'!$D$4:$D$40,$AL$68)))</f>
        <v/>
      </c>
      <c r="F68" s="121">
        <f>IF($AL$68="","",IF(INDEX('Final Calculation Sheet'!$A$4:$A$40,$AL$68)="","",INDEX('Final Calculation Sheet'!$A$4:$A$40,$AL$68)))</f>
        <v/>
      </c>
      <c r="G68" s="121">
        <f>IF($AL$68="","",IF(INDEX('Final Calculation Sheet'!$E$4:$E$40,$AL$68)="","",INDEX('Final Calculation Sheet'!$E$4:$E$40,$AL$68)))</f>
        <v/>
      </c>
      <c r="H68" s="122">
        <f>IF($AL$68="","",IF(INDEX('Final Calculation Sheet'!$C$4:$C$40,$AL$68)="","",INDEX('Final Calculation Sheet'!$C$4:$C$40,$AL$68)))</f>
        <v/>
      </c>
      <c r="I68" s="122">
        <f>IF($AL$68="","",IF(INDEX('Final Calculation Sheet'!$H$4:$H$40,$AL$68)="","",INDEX('Final Calculation Sheet'!$H$4:$H$40,$AL$68)))</f>
        <v/>
      </c>
      <c r="J68" s="122">
        <f>IF($AL$68="","",IF(INDEX('Final Calculation Sheet'!$I$4:$I$40,$AL$68)="","",INDEX('Final Calculation Sheet'!$I$4:$I$40,$AL$68)))</f>
        <v/>
      </c>
      <c r="K68" s="122">
        <f>IF($AL$68="","",IF(INDEX('Final Calculation Sheet'!$J$4:$J$40,$AL$68)="","",INDEX('Final Calculation Sheet'!$J$4:$J$40,$AL$68)))</f>
        <v/>
      </c>
      <c r="L68" s="122">
        <f>IF($AL$68="","",IF(INDEX('Final Calculation Sheet'!$K$4:$K$40,$AL$68)="","",INDEX('Final Calculation Sheet'!$K$4:$K$40,$AL$68)))</f>
        <v/>
      </c>
      <c r="M68" s="122">
        <f>IF($AL$68="","",IF(INDEX('Final Calculation Sheet'!$L$4:$L$40,$AL$68)="","",INDEX('Final Calculation Sheet'!$L$4:$L$40,$AL$68)))</f>
        <v/>
      </c>
      <c r="N68" s="122">
        <f>IF($AL$68="","",IF(INDEX('Final Calculation Sheet'!$M$4:$M$40,$AL$68)="","",INDEX('Final Calculation Sheet'!$M$4:$M$40,$AL$68)))</f>
        <v/>
      </c>
      <c r="O68" s="123">
        <f>IF($AL$68="","",IF(INDEX('Final Calculation Sheet'!$N$4:$N$40,$AL$68)="","",INDEX('Final Calculation Sheet'!$N$4:$N$40,$AL$68)))</f>
        <v/>
      </c>
      <c r="P68" s="122">
        <f>IF($AL$68="","",IF(INDEX('Final Calculation Sheet'!$O$4:$O$40,$AL$68)="","",INDEX('Final Calculation Sheet'!$O$4:$O$40,$AL$68)))</f>
        <v/>
      </c>
      <c r="Q68" s="122">
        <f>IF($AL$68="","",IF(INDEX('Final Calculation Sheet'!$P$4:$P$40,$AL$68)="","",INDEX('Final Calculation Sheet'!$P$4:$P$40,$AL$68)))</f>
        <v/>
      </c>
      <c r="R68" s="124">
        <f>IF($AL$68="","",IF(INDEX('Final Calculation Sheet'!$Q$4:$Q$40,$AL$68)="","",INDEX('Final Calculation Sheet'!$Q$4:$Q$40,$AL$68)))</f>
        <v/>
      </c>
      <c r="S68" s="122">
        <f>IF($AL$68="","",IF(INDEX('Final Calculation Sheet'!$R$4:$R$40,$AL$68)="","",INDEX('Final Calculation Sheet'!$R$4:$R$40,$AL$68)))</f>
        <v/>
      </c>
      <c r="T68" s="122">
        <f>IF($AL$68="","",IF(INDEX('Final Calculation Sheet'!$S$4:$S$40,$AL$68)="","",INDEX('Final Calculation Sheet'!$S$4:$S$40,$AL$68)))</f>
        <v/>
      </c>
      <c r="U68" s="122">
        <f>IF($AL$68="","",IF(INDEX('Final Calculation Sheet'!$T$4:$T$40,$AL$68)="","",INDEX('Final Calculation Sheet'!$T$4:$T$40,$AL$68)))</f>
        <v/>
      </c>
      <c r="V68" s="125">
        <f>IF($AL$68="","",IF(INDEX('Final Calculation Sheet'!$U$4:$U$40,$AL$68)="","",INDEX('Final Calculation Sheet'!$U$4:$U$40,$AL$68)))</f>
        <v/>
      </c>
      <c r="W68" s="122">
        <f>IF($AL$68="","",IF(INDEX('Final Calculation Sheet'!$V$4:$V$40,$AL$68)="","",INDEX('Final Calculation Sheet'!$V$4:$V$40,$AL$68)))</f>
        <v/>
      </c>
      <c r="X68" s="122">
        <f>IF($AL$68="","",IF(INDEX('Final Calculation Sheet'!$W$4:$W$40,$AL$68)="","",INDEX('Final Calculation Sheet'!$W$4:$W$40,$AL$68)))</f>
        <v/>
      </c>
      <c r="Y68" s="122">
        <f>IF($AL$68="","",IF(INDEX('Final Calculation Sheet'!$X$4:$X$40,$AL$68)="","",INDEX('Final Calculation Sheet'!$X$4:$X$40,$AL$68)))</f>
        <v/>
      </c>
      <c r="Z68" s="122">
        <f>IF($AL$68="","",IF(INDEX('Final Calculation Sheet'!$Y$4:$Y$40,$AL$68)="","",INDEX('Final Calculation Sheet'!$Y$4:$Y$40,$AL$68)))</f>
        <v/>
      </c>
      <c r="AA68" s="122">
        <f>IF($AL$68="","",IF(INDEX('Final Calculation Sheet'!$Z$4:$Z$40,$AL$68)="","",INDEX('Final Calculation Sheet'!$Z$4:$Z$40,$AL$68)))</f>
        <v/>
      </c>
      <c r="AB68" s="122">
        <f>IF($AL$68="","",IF(INDEX('Final Calculation Sheet'!$AA$4:$AA$40,$AL$68)="","",INDEX('Final Calculation Sheet'!$AA$4:$AA$40,$AL$68)))</f>
        <v/>
      </c>
      <c r="AC68" s="122">
        <f>IF($AL$68="","",IF(INDEX('Final Calculation Sheet'!$AB$4:$AB$40,$AL$68)="","",INDEX('Final Calculation Sheet'!$AB$4:$AB$40,$AL$68)))</f>
        <v/>
      </c>
      <c r="AD68" s="122">
        <f>IF($AL$68="","",IF(INDEX('Final Calculation Sheet'!$AC$4:$AC$40,$AL$68)="","",INDEX('Final Calculation Sheet'!$AC$4:$AC$40,$AL$68)))</f>
        <v/>
      </c>
      <c r="AE68" s="122">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f>IF(COUNTIF($B$4:$AI$4,"&lt;&gt;")=0,"",IFERROR(MATCH(9,$AK$6:$AK$42,0),""))</f>
        <v/>
      </c>
    </row>
    <row r="69">
      <c r="A69" s="128">
        <f>IF($AL$69="","",10)</f>
        <v/>
      </c>
      <c r="B69" s="129">
        <f>IF($AL$69="","",IF(INDEX('Final Calculation Sheet'!$F$4:$F$40,$AL$69)="","",INDEX('Final Calculation Sheet'!$F$4:$F$40,$AL$69)))</f>
        <v/>
      </c>
      <c r="C69" s="129">
        <f>IF($AL$69="","",IF(INDEX('Final Calculation Sheet'!$G$4:$G$40,$AL$69)="","",INDEX('Final Calculation Sheet'!$G$4:$G$40,$AL$69)))</f>
        <v/>
      </c>
      <c r="D69" s="130">
        <f>IF($AL$69="","",IF(INDEX('Final Calculation Sheet'!$B$4:$B$40,$AL$69)="","",INDEX('Final Calculation Sheet'!$B$4:$B$40,$AL$69)))</f>
        <v/>
      </c>
      <c r="E69" s="130">
        <f>IF($AL$69="","",IF(INDEX('Final Calculation Sheet'!$D$4:$D$40,$AL$69)="","",INDEX('Final Calculation Sheet'!$D$4:$D$40,$AL$69)))</f>
        <v/>
      </c>
      <c r="F69" s="130">
        <f>IF($AL$69="","",IF(INDEX('Final Calculation Sheet'!$A$4:$A$40,$AL$69)="","",INDEX('Final Calculation Sheet'!$A$4:$A$40,$AL$69)))</f>
        <v/>
      </c>
      <c r="G69" s="130">
        <f>IF($AL$69="","",IF(INDEX('Final Calculation Sheet'!$E$4:$E$40,$AL$69)="","",INDEX('Final Calculation Sheet'!$E$4:$E$40,$AL$69)))</f>
        <v/>
      </c>
      <c r="H69" s="131">
        <f>IF($AL$69="","",IF(INDEX('Final Calculation Sheet'!$C$4:$C$40,$AL$69)="","",INDEX('Final Calculation Sheet'!$C$4:$C$40,$AL$69)))</f>
        <v/>
      </c>
      <c r="I69" s="131">
        <f>IF($AL$69="","",IF(INDEX('Final Calculation Sheet'!$H$4:$H$40,$AL$69)="","",INDEX('Final Calculation Sheet'!$H$4:$H$40,$AL$69)))</f>
        <v/>
      </c>
      <c r="J69" s="131">
        <f>IF($AL$69="","",IF(INDEX('Final Calculation Sheet'!$I$4:$I$40,$AL$69)="","",INDEX('Final Calculation Sheet'!$I$4:$I$40,$AL$69)))</f>
        <v/>
      </c>
      <c r="K69" s="131">
        <f>IF($AL$69="","",IF(INDEX('Final Calculation Sheet'!$J$4:$J$40,$AL$69)="","",INDEX('Final Calculation Sheet'!$J$4:$J$40,$AL$69)))</f>
        <v/>
      </c>
      <c r="L69" s="131">
        <f>IF($AL$69="","",IF(INDEX('Final Calculation Sheet'!$K$4:$K$40,$AL$69)="","",INDEX('Final Calculation Sheet'!$K$4:$K$40,$AL$69)))</f>
        <v/>
      </c>
      <c r="M69" s="131">
        <f>IF($AL$69="","",IF(INDEX('Final Calculation Sheet'!$L$4:$L$40,$AL$69)="","",INDEX('Final Calculation Sheet'!$L$4:$L$40,$AL$69)))</f>
        <v/>
      </c>
      <c r="N69" s="131">
        <f>IF($AL$69="","",IF(INDEX('Final Calculation Sheet'!$M$4:$M$40,$AL$69)="","",INDEX('Final Calculation Sheet'!$M$4:$M$40,$AL$69)))</f>
        <v/>
      </c>
      <c r="O69" s="132">
        <f>IF($AL$69="","",IF(INDEX('Final Calculation Sheet'!$N$4:$N$40,$AL$69)="","",INDEX('Final Calculation Sheet'!$N$4:$N$40,$AL$69)))</f>
        <v/>
      </c>
      <c r="P69" s="131">
        <f>IF($AL$69="","",IF(INDEX('Final Calculation Sheet'!$O$4:$O$40,$AL$69)="","",INDEX('Final Calculation Sheet'!$O$4:$O$40,$AL$69)))</f>
        <v/>
      </c>
      <c r="Q69" s="131">
        <f>IF($AL$69="","",IF(INDEX('Final Calculation Sheet'!$P$4:$P$40,$AL$69)="","",INDEX('Final Calculation Sheet'!$P$4:$P$40,$AL$69)))</f>
        <v/>
      </c>
      <c r="R69" s="133">
        <f>IF($AL$69="","",IF(INDEX('Final Calculation Sheet'!$Q$4:$Q$40,$AL$69)="","",INDEX('Final Calculation Sheet'!$Q$4:$Q$40,$AL$69)))</f>
        <v/>
      </c>
      <c r="S69" s="131">
        <f>IF($AL$69="","",IF(INDEX('Final Calculation Sheet'!$R$4:$R$40,$AL$69)="","",INDEX('Final Calculation Sheet'!$R$4:$R$40,$AL$69)))</f>
        <v/>
      </c>
      <c r="T69" s="131">
        <f>IF($AL$69="","",IF(INDEX('Final Calculation Sheet'!$S$4:$S$40,$AL$69)="","",INDEX('Final Calculation Sheet'!$S$4:$S$40,$AL$69)))</f>
        <v/>
      </c>
      <c r="U69" s="131">
        <f>IF($AL$69="","",IF(INDEX('Final Calculation Sheet'!$T$4:$T$40,$AL$69)="","",INDEX('Final Calculation Sheet'!$T$4:$T$40,$AL$69)))</f>
        <v/>
      </c>
      <c r="V69" s="134">
        <f>IF($AL$69="","",IF(INDEX('Final Calculation Sheet'!$U$4:$U$40,$AL$69)="","",INDEX('Final Calculation Sheet'!$U$4:$U$40,$AL$69)))</f>
        <v/>
      </c>
      <c r="W69" s="131">
        <f>IF($AL$69="","",IF(INDEX('Final Calculation Sheet'!$V$4:$V$40,$AL$69)="","",INDEX('Final Calculation Sheet'!$V$4:$V$40,$AL$69)))</f>
        <v/>
      </c>
      <c r="X69" s="131">
        <f>IF($AL$69="","",IF(INDEX('Final Calculation Sheet'!$W$4:$W$40,$AL$69)="","",INDEX('Final Calculation Sheet'!$W$4:$W$40,$AL$69)))</f>
        <v/>
      </c>
      <c r="Y69" s="131">
        <f>IF($AL$69="","",IF(INDEX('Final Calculation Sheet'!$X$4:$X$40,$AL$69)="","",INDEX('Final Calculation Sheet'!$X$4:$X$40,$AL$69)))</f>
        <v/>
      </c>
      <c r="Z69" s="131">
        <f>IF($AL$69="","",IF(INDEX('Final Calculation Sheet'!$Y$4:$Y$40,$AL$69)="","",INDEX('Final Calculation Sheet'!$Y$4:$Y$40,$AL$69)))</f>
        <v/>
      </c>
      <c r="AA69" s="131">
        <f>IF($AL$69="","",IF(INDEX('Final Calculation Sheet'!$Z$4:$Z$40,$AL$69)="","",INDEX('Final Calculation Sheet'!$Z$4:$Z$40,$AL$69)))</f>
        <v/>
      </c>
      <c r="AB69" s="131">
        <f>IF($AL$69="","",IF(INDEX('Final Calculation Sheet'!$AA$4:$AA$40,$AL$69)="","",INDEX('Final Calculation Sheet'!$AA$4:$AA$40,$AL$69)))</f>
        <v/>
      </c>
      <c r="AC69" s="131">
        <f>IF($AL$69="","",IF(INDEX('Final Calculation Sheet'!$AB$4:$AB$40,$AL$69)="","",INDEX('Final Calculation Sheet'!$AB$4:$AB$40,$AL$69)))</f>
        <v/>
      </c>
      <c r="AD69" s="131">
        <f>IF($AL$69="","",IF(INDEX('Final Calculation Sheet'!$AC$4:$AC$40,$AL$69)="","",INDEX('Final Calculation Sheet'!$AC$4:$AC$40,$AL$69)))</f>
        <v/>
      </c>
      <c r="AE69" s="131">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f>IF(COUNTIF($B$4:$AI$4,"&lt;&gt;")=0,"",IFERROR(MATCH(10,$AK$6:$AK$42,0),""))</f>
        <v/>
      </c>
    </row>
    <row r="70">
      <c r="A70" s="118">
        <f>IF($AL$70="","",11)</f>
        <v/>
      </c>
      <c r="B70" s="119">
        <f>IF($AL$70="","",IF(INDEX('Final Calculation Sheet'!$F$4:$F$40,$AL$70)="","",INDEX('Final Calculation Sheet'!$F$4:$F$40,$AL$70)))</f>
        <v/>
      </c>
      <c r="C70" s="119">
        <f>IF($AL$70="","",IF(INDEX('Final Calculation Sheet'!$G$4:$G$40,$AL$70)="","",INDEX('Final Calculation Sheet'!$G$4:$G$40,$AL$70)))</f>
        <v/>
      </c>
      <c r="D70" s="121">
        <f>IF($AL$70="","",IF(INDEX('Final Calculation Sheet'!$B$4:$B$40,$AL$70)="","",INDEX('Final Calculation Sheet'!$B$4:$B$40,$AL$70)))</f>
        <v/>
      </c>
      <c r="E70" s="121">
        <f>IF($AL$70="","",IF(INDEX('Final Calculation Sheet'!$D$4:$D$40,$AL$70)="","",INDEX('Final Calculation Sheet'!$D$4:$D$40,$AL$70)))</f>
        <v/>
      </c>
      <c r="F70" s="121">
        <f>IF($AL$70="","",IF(INDEX('Final Calculation Sheet'!$A$4:$A$40,$AL$70)="","",INDEX('Final Calculation Sheet'!$A$4:$A$40,$AL$70)))</f>
        <v/>
      </c>
      <c r="G70" s="121">
        <f>IF($AL$70="","",IF(INDEX('Final Calculation Sheet'!$E$4:$E$40,$AL$70)="","",INDEX('Final Calculation Sheet'!$E$4:$E$40,$AL$70)))</f>
        <v/>
      </c>
      <c r="H70" s="122">
        <f>IF($AL$70="","",IF(INDEX('Final Calculation Sheet'!$C$4:$C$40,$AL$70)="","",INDEX('Final Calculation Sheet'!$C$4:$C$40,$AL$70)))</f>
        <v/>
      </c>
      <c r="I70" s="122">
        <f>IF($AL$70="","",IF(INDEX('Final Calculation Sheet'!$H$4:$H$40,$AL$70)="","",INDEX('Final Calculation Sheet'!$H$4:$H$40,$AL$70)))</f>
        <v/>
      </c>
      <c r="J70" s="122">
        <f>IF($AL$70="","",IF(INDEX('Final Calculation Sheet'!$I$4:$I$40,$AL$70)="","",INDEX('Final Calculation Sheet'!$I$4:$I$40,$AL$70)))</f>
        <v/>
      </c>
      <c r="K70" s="122">
        <f>IF($AL$70="","",IF(INDEX('Final Calculation Sheet'!$J$4:$J$40,$AL$70)="","",INDEX('Final Calculation Sheet'!$J$4:$J$40,$AL$70)))</f>
        <v/>
      </c>
      <c r="L70" s="122">
        <f>IF($AL$70="","",IF(INDEX('Final Calculation Sheet'!$K$4:$K$40,$AL$70)="","",INDEX('Final Calculation Sheet'!$K$4:$K$40,$AL$70)))</f>
        <v/>
      </c>
      <c r="M70" s="122">
        <f>IF($AL$70="","",IF(INDEX('Final Calculation Sheet'!$L$4:$L$40,$AL$70)="","",INDEX('Final Calculation Sheet'!$L$4:$L$40,$AL$70)))</f>
        <v/>
      </c>
      <c r="N70" s="122">
        <f>IF($AL$70="","",IF(INDEX('Final Calculation Sheet'!$M$4:$M$40,$AL$70)="","",INDEX('Final Calculation Sheet'!$M$4:$M$40,$AL$70)))</f>
        <v/>
      </c>
      <c r="O70" s="123">
        <f>IF($AL$70="","",IF(INDEX('Final Calculation Sheet'!$N$4:$N$40,$AL$70)="","",INDEX('Final Calculation Sheet'!$N$4:$N$40,$AL$70)))</f>
        <v/>
      </c>
      <c r="P70" s="122">
        <f>IF($AL$70="","",IF(INDEX('Final Calculation Sheet'!$O$4:$O$40,$AL$70)="","",INDEX('Final Calculation Sheet'!$O$4:$O$40,$AL$70)))</f>
        <v/>
      </c>
      <c r="Q70" s="122">
        <f>IF($AL$70="","",IF(INDEX('Final Calculation Sheet'!$P$4:$P$40,$AL$70)="","",INDEX('Final Calculation Sheet'!$P$4:$P$40,$AL$70)))</f>
        <v/>
      </c>
      <c r="R70" s="124">
        <f>IF($AL$70="","",IF(INDEX('Final Calculation Sheet'!$Q$4:$Q$40,$AL$70)="","",INDEX('Final Calculation Sheet'!$Q$4:$Q$40,$AL$70)))</f>
        <v/>
      </c>
      <c r="S70" s="122">
        <f>IF($AL$70="","",IF(INDEX('Final Calculation Sheet'!$R$4:$R$40,$AL$70)="","",INDEX('Final Calculation Sheet'!$R$4:$R$40,$AL$70)))</f>
        <v/>
      </c>
      <c r="T70" s="122">
        <f>IF($AL$70="","",IF(INDEX('Final Calculation Sheet'!$S$4:$S$40,$AL$70)="","",INDEX('Final Calculation Sheet'!$S$4:$S$40,$AL$70)))</f>
        <v/>
      </c>
      <c r="U70" s="122">
        <f>IF($AL$70="","",IF(INDEX('Final Calculation Sheet'!$T$4:$T$40,$AL$70)="","",INDEX('Final Calculation Sheet'!$T$4:$T$40,$AL$70)))</f>
        <v/>
      </c>
      <c r="V70" s="125">
        <f>IF($AL$70="","",IF(INDEX('Final Calculation Sheet'!$U$4:$U$40,$AL$70)="","",INDEX('Final Calculation Sheet'!$U$4:$U$40,$AL$70)))</f>
        <v/>
      </c>
      <c r="W70" s="122">
        <f>IF($AL$70="","",IF(INDEX('Final Calculation Sheet'!$V$4:$V$40,$AL$70)="","",INDEX('Final Calculation Sheet'!$V$4:$V$40,$AL$70)))</f>
        <v/>
      </c>
      <c r="X70" s="122">
        <f>IF($AL$70="","",IF(INDEX('Final Calculation Sheet'!$W$4:$W$40,$AL$70)="","",INDEX('Final Calculation Sheet'!$W$4:$W$40,$AL$70)))</f>
        <v/>
      </c>
      <c r="Y70" s="122">
        <f>IF($AL$70="","",IF(INDEX('Final Calculation Sheet'!$X$4:$X$40,$AL$70)="","",INDEX('Final Calculation Sheet'!$X$4:$X$40,$AL$70)))</f>
        <v/>
      </c>
      <c r="Z70" s="122">
        <f>IF($AL$70="","",IF(INDEX('Final Calculation Sheet'!$Y$4:$Y$40,$AL$70)="","",INDEX('Final Calculation Sheet'!$Y$4:$Y$40,$AL$70)))</f>
        <v/>
      </c>
      <c r="AA70" s="122">
        <f>IF($AL$70="","",IF(INDEX('Final Calculation Sheet'!$Z$4:$Z$40,$AL$70)="","",INDEX('Final Calculation Sheet'!$Z$4:$Z$40,$AL$70)))</f>
        <v/>
      </c>
      <c r="AB70" s="122">
        <f>IF($AL$70="","",IF(INDEX('Final Calculation Sheet'!$AA$4:$AA$40,$AL$70)="","",INDEX('Final Calculation Sheet'!$AA$4:$AA$40,$AL$70)))</f>
        <v/>
      </c>
      <c r="AC70" s="122">
        <f>IF($AL$70="","",IF(INDEX('Final Calculation Sheet'!$AB$4:$AB$40,$AL$70)="","",INDEX('Final Calculation Sheet'!$AB$4:$AB$40,$AL$70)))</f>
        <v/>
      </c>
      <c r="AD70" s="122">
        <f>IF($AL$70="","",IF(INDEX('Final Calculation Sheet'!$AC$4:$AC$40,$AL$70)="","",INDEX('Final Calculation Sheet'!$AC$4:$AC$40,$AL$70)))</f>
        <v/>
      </c>
      <c r="AE70" s="122">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f>IF(COUNTIF($B$4:$AI$4,"&lt;&gt;")=0,"",IFERROR(MATCH(11,$AK$6:$AK$42,0),""))</f>
        <v/>
      </c>
    </row>
    <row r="71">
      <c r="A71" s="128">
        <f>IF($AL$71="","",12)</f>
        <v/>
      </c>
      <c r="B71" s="129">
        <f>IF($AL$71="","",IF(INDEX('Final Calculation Sheet'!$F$4:$F$40,$AL$71)="","",INDEX('Final Calculation Sheet'!$F$4:$F$40,$AL$71)))</f>
        <v/>
      </c>
      <c r="C71" s="129">
        <f>IF($AL$71="","",IF(INDEX('Final Calculation Sheet'!$G$4:$G$40,$AL$71)="","",INDEX('Final Calculation Sheet'!$G$4:$G$40,$AL$71)))</f>
        <v/>
      </c>
      <c r="D71" s="130">
        <f>IF($AL$71="","",IF(INDEX('Final Calculation Sheet'!$B$4:$B$40,$AL$71)="","",INDEX('Final Calculation Sheet'!$B$4:$B$40,$AL$71)))</f>
        <v/>
      </c>
      <c r="E71" s="130">
        <f>IF($AL$71="","",IF(INDEX('Final Calculation Sheet'!$D$4:$D$40,$AL$71)="","",INDEX('Final Calculation Sheet'!$D$4:$D$40,$AL$71)))</f>
        <v/>
      </c>
      <c r="F71" s="130">
        <f>IF($AL$71="","",IF(INDEX('Final Calculation Sheet'!$A$4:$A$40,$AL$71)="","",INDEX('Final Calculation Sheet'!$A$4:$A$40,$AL$71)))</f>
        <v/>
      </c>
      <c r="G71" s="130">
        <f>IF($AL$71="","",IF(INDEX('Final Calculation Sheet'!$E$4:$E$40,$AL$71)="","",INDEX('Final Calculation Sheet'!$E$4:$E$40,$AL$71)))</f>
        <v/>
      </c>
      <c r="H71" s="131">
        <f>IF($AL$71="","",IF(INDEX('Final Calculation Sheet'!$C$4:$C$40,$AL$71)="","",INDEX('Final Calculation Sheet'!$C$4:$C$40,$AL$71)))</f>
        <v/>
      </c>
      <c r="I71" s="131">
        <f>IF($AL$71="","",IF(INDEX('Final Calculation Sheet'!$H$4:$H$40,$AL$71)="","",INDEX('Final Calculation Sheet'!$H$4:$H$40,$AL$71)))</f>
        <v/>
      </c>
      <c r="J71" s="131">
        <f>IF($AL$71="","",IF(INDEX('Final Calculation Sheet'!$I$4:$I$40,$AL$71)="","",INDEX('Final Calculation Sheet'!$I$4:$I$40,$AL$71)))</f>
        <v/>
      </c>
      <c r="K71" s="131">
        <f>IF($AL$71="","",IF(INDEX('Final Calculation Sheet'!$J$4:$J$40,$AL$71)="","",INDEX('Final Calculation Sheet'!$J$4:$J$40,$AL$71)))</f>
        <v/>
      </c>
      <c r="L71" s="131">
        <f>IF($AL$71="","",IF(INDEX('Final Calculation Sheet'!$K$4:$K$40,$AL$71)="","",INDEX('Final Calculation Sheet'!$K$4:$K$40,$AL$71)))</f>
        <v/>
      </c>
      <c r="M71" s="131">
        <f>IF($AL$71="","",IF(INDEX('Final Calculation Sheet'!$L$4:$L$40,$AL$71)="","",INDEX('Final Calculation Sheet'!$L$4:$L$40,$AL$71)))</f>
        <v/>
      </c>
      <c r="N71" s="131">
        <f>IF($AL$71="","",IF(INDEX('Final Calculation Sheet'!$M$4:$M$40,$AL$71)="","",INDEX('Final Calculation Sheet'!$M$4:$M$40,$AL$71)))</f>
        <v/>
      </c>
      <c r="O71" s="132">
        <f>IF($AL$71="","",IF(INDEX('Final Calculation Sheet'!$N$4:$N$40,$AL$71)="","",INDEX('Final Calculation Sheet'!$N$4:$N$40,$AL$71)))</f>
        <v/>
      </c>
      <c r="P71" s="131">
        <f>IF($AL$71="","",IF(INDEX('Final Calculation Sheet'!$O$4:$O$40,$AL$71)="","",INDEX('Final Calculation Sheet'!$O$4:$O$40,$AL$71)))</f>
        <v/>
      </c>
      <c r="Q71" s="131">
        <f>IF($AL$71="","",IF(INDEX('Final Calculation Sheet'!$P$4:$P$40,$AL$71)="","",INDEX('Final Calculation Sheet'!$P$4:$P$40,$AL$71)))</f>
        <v/>
      </c>
      <c r="R71" s="133">
        <f>IF($AL$71="","",IF(INDEX('Final Calculation Sheet'!$Q$4:$Q$40,$AL$71)="","",INDEX('Final Calculation Sheet'!$Q$4:$Q$40,$AL$71)))</f>
        <v/>
      </c>
      <c r="S71" s="131">
        <f>IF($AL$71="","",IF(INDEX('Final Calculation Sheet'!$R$4:$R$40,$AL$71)="","",INDEX('Final Calculation Sheet'!$R$4:$R$40,$AL$71)))</f>
        <v/>
      </c>
      <c r="T71" s="131">
        <f>IF($AL$71="","",IF(INDEX('Final Calculation Sheet'!$S$4:$S$40,$AL$71)="","",INDEX('Final Calculation Sheet'!$S$4:$S$40,$AL$71)))</f>
        <v/>
      </c>
      <c r="U71" s="131">
        <f>IF($AL$71="","",IF(INDEX('Final Calculation Sheet'!$T$4:$T$40,$AL$71)="","",INDEX('Final Calculation Sheet'!$T$4:$T$40,$AL$71)))</f>
        <v/>
      </c>
      <c r="V71" s="134">
        <f>IF($AL$71="","",IF(INDEX('Final Calculation Sheet'!$U$4:$U$40,$AL$71)="","",INDEX('Final Calculation Sheet'!$U$4:$U$40,$AL$71)))</f>
        <v/>
      </c>
      <c r="W71" s="131">
        <f>IF($AL$71="","",IF(INDEX('Final Calculation Sheet'!$V$4:$V$40,$AL$71)="","",INDEX('Final Calculation Sheet'!$V$4:$V$40,$AL$71)))</f>
        <v/>
      </c>
      <c r="X71" s="131">
        <f>IF($AL$71="","",IF(INDEX('Final Calculation Sheet'!$W$4:$W$40,$AL$71)="","",INDEX('Final Calculation Sheet'!$W$4:$W$40,$AL$71)))</f>
        <v/>
      </c>
      <c r="Y71" s="131">
        <f>IF($AL$71="","",IF(INDEX('Final Calculation Sheet'!$X$4:$X$40,$AL$71)="","",INDEX('Final Calculation Sheet'!$X$4:$X$40,$AL$71)))</f>
        <v/>
      </c>
      <c r="Z71" s="131">
        <f>IF($AL$71="","",IF(INDEX('Final Calculation Sheet'!$Y$4:$Y$40,$AL$71)="","",INDEX('Final Calculation Sheet'!$Y$4:$Y$40,$AL$71)))</f>
        <v/>
      </c>
      <c r="AA71" s="131">
        <f>IF($AL$71="","",IF(INDEX('Final Calculation Sheet'!$Z$4:$Z$40,$AL$71)="","",INDEX('Final Calculation Sheet'!$Z$4:$Z$40,$AL$71)))</f>
        <v/>
      </c>
      <c r="AB71" s="131">
        <f>IF($AL$71="","",IF(INDEX('Final Calculation Sheet'!$AA$4:$AA$40,$AL$71)="","",INDEX('Final Calculation Sheet'!$AA$4:$AA$40,$AL$71)))</f>
        <v/>
      </c>
      <c r="AC71" s="131">
        <f>IF($AL$71="","",IF(INDEX('Final Calculation Sheet'!$AB$4:$AB$40,$AL$71)="","",INDEX('Final Calculation Sheet'!$AB$4:$AB$40,$AL$71)))</f>
        <v/>
      </c>
      <c r="AD71" s="131">
        <f>IF($AL$71="","",IF(INDEX('Final Calculation Sheet'!$AC$4:$AC$40,$AL$71)="","",INDEX('Final Calculation Sheet'!$AC$4:$AC$40,$AL$71)))</f>
        <v/>
      </c>
      <c r="AE71" s="131">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f>IF(COUNTIF($B$4:$AI$4,"&lt;&gt;")=0,"",IFERROR(MATCH(12,$AK$6:$AK$42,0),""))</f>
        <v/>
      </c>
    </row>
    <row r="72">
      <c r="A72" s="118">
        <f>IF($AL$72="","",13)</f>
        <v/>
      </c>
      <c r="B72" s="119">
        <f>IF($AL$72="","",IF(INDEX('Final Calculation Sheet'!$F$4:$F$40,$AL$72)="","",INDEX('Final Calculation Sheet'!$F$4:$F$40,$AL$72)))</f>
        <v/>
      </c>
      <c r="C72" s="119">
        <f>IF($AL$72="","",IF(INDEX('Final Calculation Sheet'!$G$4:$G$40,$AL$72)="","",INDEX('Final Calculation Sheet'!$G$4:$G$40,$AL$72)))</f>
        <v/>
      </c>
      <c r="D72" s="121">
        <f>IF($AL$72="","",IF(INDEX('Final Calculation Sheet'!$B$4:$B$40,$AL$72)="","",INDEX('Final Calculation Sheet'!$B$4:$B$40,$AL$72)))</f>
        <v/>
      </c>
      <c r="E72" s="121">
        <f>IF($AL$72="","",IF(INDEX('Final Calculation Sheet'!$D$4:$D$40,$AL$72)="","",INDEX('Final Calculation Sheet'!$D$4:$D$40,$AL$72)))</f>
        <v/>
      </c>
      <c r="F72" s="121">
        <f>IF($AL$72="","",IF(INDEX('Final Calculation Sheet'!$A$4:$A$40,$AL$72)="","",INDEX('Final Calculation Sheet'!$A$4:$A$40,$AL$72)))</f>
        <v/>
      </c>
      <c r="G72" s="121">
        <f>IF($AL$72="","",IF(INDEX('Final Calculation Sheet'!$E$4:$E$40,$AL$72)="","",INDEX('Final Calculation Sheet'!$E$4:$E$40,$AL$72)))</f>
        <v/>
      </c>
      <c r="H72" s="122">
        <f>IF($AL$72="","",IF(INDEX('Final Calculation Sheet'!$C$4:$C$40,$AL$72)="","",INDEX('Final Calculation Sheet'!$C$4:$C$40,$AL$72)))</f>
        <v/>
      </c>
      <c r="I72" s="122">
        <f>IF($AL$72="","",IF(INDEX('Final Calculation Sheet'!$H$4:$H$40,$AL$72)="","",INDEX('Final Calculation Sheet'!$H$4:$H$40,$AL$72)))</f>
        <v/>
      </c>
      <c r="J72" s="122">
        <f>IF($AL$72="","",IF(INDEX('Final Calculation Sheet'!$I$4:$I$40,$AL$72)="","",INDEX('Final Calculation Sheet'!$I$4:$I$40,$AL$72)))</f>
        <v/>
      </c>
      <c r="K72" s="122">
        <f>IF($AL$72="","",IF(INDEX('Final Calculation Sheet'!$J$4:$J$40,$AL$72)="","",INDEX('Final Calculation Sheet'!$J$4:$J$40,$AL$72)))</f>
        <v/>
      </c>
      <c r="L72" s="122">
        <f>IF($AL$72="","",IF(INDEX('Final Calculation Sheet'!$K$4:$K$40,$AL$72)="","",INDEX('Final Calculation Sheet'!$K$4:$K$40,$AL$72)))</f>
        <v/>
      </c>
      <c r="M72" s="122">
        <f>IF($AL$72="","",IF(INDEX('Final Calculation Sheet'!$L$4:$L$40,$AL$72)="","",INDEX('Final Calculation Sheet'!$L$4:$L$40,$AL$72)))</f>
        <v/>
      </c>
      <c r="N72" s="122">
        <f>IF($AL$72="","",IF(INDEX('Final Calculation Sheet'!$M$4:$M$40,$AL$72)="","",INDEX('Final Calculation Sheet'!$M$4:$M$40,$AL$72)))</f>
        <v/>
      </c>
      <c r="O72" s="123">
        <f>IF($AL$72="","",IF(INDEX('Final Calculation Sheet'!$N$4:$N$40,$AL$72)="","",INDEX('Final Calculation Sheet'!$N$4:$N$40,$AL$72)))</f>
        <v/>
      </c>
      <c r="P72" s="122">
        <f>IF($AL$72="","",IF(INDEX('Final Calculation Sheet'!$O$4:$O$40,$AL$72)="","",INDEX('Final Calculation Sheet'!$O$4:$O$40,$AL$72)))</f>
        <v/>
      </c>
      <c r="Q72" s="122">
        <f>IF($AL$72="","",IF(INDEX('Final Calculation Sheet'!$P$4:$P$40,$AL$72)="","",INDEX('Final Calculation Sheet'!$P$4:$P$40,$AL$72)))</f>
        <v/>
      </c>
      <c r="R72" s="124">
        <f>IF($AL$72="","",IF(INDEX('Final Calculation Sheet'!$Q$4:$Q$40,$AL$72)="","",INDEX('Final Calculation Sheet'!$Q$4:$Q$40,$AL$72)))</f>
        <v/>
      </c>
      <c r="S72" s="122">
        <f>IF($AL$72="","",IF(INDEX('Final Calculation Sheet'!$R$4:$R$40,$AL$72)="","",INDEX('Final Calculation Sheet'!$R$4:$R$40,$AL$72)))</f>
        <v/>
      </c>
      <c r="T72" s="122">
        <f>IF($AL$72="","",IF(INDEX('Final Calculation Sheet'!$S$4:$S$40,$AL$72)="","",INDEX('Final Calculation Sheet'!$S$4:$S$40,$AL$72)))</f>
        <v/>
      </c>
      <c r="U72" s="122">
        <f>IF($AL$72="","",IF(INDEX('Final Calculation Sheet'!$T$4:$T$40,$AL$72)="","",INDEX('Final Calculation Sheet'!$T$4:$T$40,$AL$72)))</f>
        <v/>
      </c>
      <c r="V72" s="125">
        <f>IF($AL$72="","",IF(INDEX('Final Calculation Sheet'!$U$4:$U$40,$AL$72)="","",INDEX('Final Calculation Sheet'!$U$4:$U$40,$AL$72)))</f>
        <v/>
      </c>
      <c r="W72" s="122">
        <f>IF($AL$72="","",IF(INDEX('Final Calculation Sheet'!$V$4:$V$40,$AL$72)="","",INDEX('Final Calculation Sheet'!$V$4:$V$40,$AL$72)))</f>
        <v/>
      </c>
      <c r="X72" s="122">
        <f>IF($AL$72="","",IF(INDEX('Final Calculation Sheet'!$W$4:$W$40,$AL$72)="","",INDEX('Final Calculation Sheet'!$W$4:$W$40,$AL$72)))</f>
        <v/>
      </c>
      <c r="Y72" s="122">
        <f>IF($AL$72="","",IF(INDEX('Final Calculation Sheet'!$X$4:$X$40,$AL$72)="","",INDEX('Final Calculation Sheet'!$X$4:$X$40,$AL$72)))</f>
        <v/>
      </c>
      <c r="Z72" s="122">
        <f>IF($AL$72="","",IF(INDEX('Final Calculation Sheet'!$Y$4:$Y$40,$AL$72)="","",INDEX('Final Calculation Sheet'!$Y$4:$Y$40,$AL$72)))</f>
        <v/>
      </c>
      <c r="AA72" s="122">
        <f>IF($AL$72="","",IF(INDEX('Final Calculation Sheet'!$Z$4:$Z$40,$AL$72)="","",INDEX('Final Calculation Sheet'!$Z$4:$Z$40,$AL$72)))</f>
        <v/>
      </c>
      <c r="AB72" s="122">
        <f>IF($AL$72="","",IF(INDEX('Final Calculation Sheet'!$AA$4:$AA$40,$AL$72)="","",INDEX('Final Calculation Sheet'!$AA$4:$AA$40,$AL$72)))</f>
        <v/>
      </c>
      <c r="AC72" s="122">
        <f>IF($AL$72="","",IF(INDEX('Final Calculation Sheet'!$AB$4:$AB$40,$AL$72)="","",INDEX('Final Calculation Sheet'!$AB$4:$AB$40,$AL$72)))</f>
        <v/>
      </c>
      <c r="AD72" s="122">
        <f>IF($AL$72="","",IF(INDEX('Final Calculation Sheet'!$AC$4:$AC$40,$AL$72)="","",INDEX('Final Calculation Sheet'!$AC$4:$AC$40,$AL$72)))</f>
        <v/>
      </c>
      <c r="AE72" s="122">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f>IF(COUNTIF($B$4:$AI$4,"&lt;&gt;")=0,"",IFERROR(MATCH(13,$AK$6:$AK$42,0),""))</f>
        <v/>
      </c>
    </row>
    <row r="73">
      <c r="A73" s="128">
        <f>IF($AL$73="","",14)</f>
        <v/>
      </c>
      <c r="B73" s="129">
        <f>IF($AL$73="","",IF(INDEX('Final Calculation Sheet'!$F$4:$F$40,$AL$73)="","",INDEX('Final Calculation Sheet'!$F$4:$F$40,$AL$73)))</f>
        <v/>
      </c>
      <c r="C73" s="129">
        <f>IF($AL$73="","",IF(INDEX('Final Calculation Sheet'!$G$4:$G$40,$AL$73)="","",INDEX('Final Calculation Sheet'!$G$4:$G$40,$AL$73)))</f>
        <v/>
      </c>
      <c r="D73" s="130">
        <f>IF($AL$73="","",IF(INDEX('Final Calculation Sheet'!$B$4:$B$40,$AL$73)="","",INDEX('Final Calculation Sheet'!$B$4:$B$40,$AL$73)))</f>
        <v/>
      </c>
      <c r="E73" s="130">
        <f>IF($AL$73="","",IF(INDEX('Final Calculation Sheet'!$D$4:$D$40,$AL$73)="","",INDEX('Final Calculation Sheet'!$D$4:$D$40,$AL$73)))</f>
        <v/>
      </c>
      <c r="F73" s="130">
        <f>IF($AL$73="","",IF(INDEX('Final Calculation Sheet'!$A$4:$A$40,$AL$73)="","",INDEX('Final Calculation Sheet'!$A$4:$A$40,$AL$73)))</f>
        <v/>
      </c>
      <c r="G73" s="130">
        <f>IF($AL$73="","",IF(INDEX('Final Calculation Sheet'!$E$4:$E$40,$AL$73)="","",INDEX('Final Calculation Sheet'!$E$4:$E$40,$AL$73)))</f>
        <v/>
      </c>
      <c r="H73" s="131">
        <f>IF($AL$73="","",IF(INDEX('Final Calculation Sheet'!$C$4:$C$40,$AL$73)="","",INDEX('Final Calculation Sheet'!$C$4:$C$40,$AL$73)))</f>
        <v/>
      </c>
      <c r="I73" s="131">
        <f>IF($AL$73="","",IF(INDEX('Final Calculation Sheet'!$H$4:$H$40,$AL$73)="","",INDEX('Final Calculation Sheet'!$H$4:$H$40,$AL$73)))</f>
        <v/>
      </c>
      <c r="J73" s="131">
        <f>IF($AL$73="","",IF(INDEX('Final Calculation Sheet'!$I$4:$I$40,$AL$73)="","",INDEX('Final Calculation Sheet'!$I$4:$I$40,$AL$73)))</f>
        <v/>
      </c>
      <c r="K73" s="131">
        <f>IF($AL$73="","",IF(INDEX('Final Calculation Sheet'!$J$4:$J$40,$AL$73)="","",INDEX('Final Calculation Sheet'!$J$4:$J$40,$AL$73)))</f>
        <v/>
      </c>
      <c r="L73" s="131">
        <f>IF($AL$73="","",IF(INDEX('Final Calculation Sheet'!$K$4:$K$40,$AL$73)="","",INDEX('Final Calculation Sheet'!$K$4:$K$40,$AL$73)))</f>
        <v/>
      </c>
      <c r="M73" s="131">
        <f>IF($AL$73="","",IF(INDEX('Final Calculation Sheet'!$L$4:$L$40,$AL$73)="","",INDEX('Final Calculation Sheet'!$L$4:$L$40,$AL$73)))</f>
        <v/>
      </c>
      <c r="N73" s="131">
        <f>IF($AL$73="","",IF(INDEX('Final Calculation Sheet'!$M$4:$M$40,$AL$73)="","",INDEX('Final Calculation Sheet'!$M$4:$M$40,$AL$73)))</f>
        <v/>
      </c>
      <c r="O73" s="132">
        <f>IF($AL$73="","",IF(INDEX('Final Calculation Sheet'!$N$4:$N$40,$AL$73)="","",INDEX('Final Calculation Sheet'!$N$4:$N$40,$AL$73)))</f>
        <v/>
      </c>
      <c r="P73" s="131">
        <f>IF($AL$73="","",IF(INDEX('Final Calculation Sheet'!$O$4:$O$40,$AL$73)="","",INDEX('Final Calculation Sheet'!$O$4:$O$40,$AL$73)))</f>
        <v/>
      </c>
      <c r="Q73" s="131">
        <f>IF($AL$73="","",IF(INDEX('Final Calculation Sheet'!$P$4:$P$40,$AL$73)="","",INDEX('Final Calculation Sheet'!$P$4:$P$40,$AL$73)))</f>
        <v/>
      </c>
      <c r="R73" s="133">
        <f>IF($AL$73="","",IF(INDEX('Final Calculation Sheet'!$Q$4:$Q$40,$AL$73)="","",INDEX('Final Calculation Sheet'!$Q$4:$Q$40,$AL$73)))</f>
        <v/>
      </c>
      <c r="S73" s="131">
        <f>IF($AL$73="","",IF(INDEX('Final Calculation Sheet'!$R$4:$R$40,$AL$73)="","",INDEX('Final Calculation Sheet'!$R$4:$R$40,$AL$73)))</f>
        <v/>
      </c>
      <c r="T73" s="131">
        <f>IF($AL$73="","",IF(INDEX('Final Calculation Sheet'!$S$4:$S$40,$AL$73)="","",INDEX('Final Calculation Sheet'!$S$4:$S$40,$AL$73)))</f>
        <v/>
      </c>
      <c r="U73" s="131">
        <f>IF($AL$73="","",IF(INDEX('Final Calculation Sheet'!$T$4:$T$40,$AL$73)="","",INDEX('Final Calculation Sheet'!$T$4:$T$40,$AL$73)))</f>
        <v/>
      </c>
      <c r="V73" s="134">
        <f>IF($AL$73="","",IF(INDEX('Final Calculation Sheet'!$U$4:$U$40,$AL$73)="","",INDEX('Final Calculation Sheet'!$U$4:$U$40,$AL$73)))</f>
        <v/>
      </c>
      <c r="W73" s="131">
        <f>IF($AL$73="","",IF(INDEX('Final Calculation Sheet'!$V$4:$V$40,$AL$73)="","",INDEX('Final Calculation Sheet'!$V$4:$V$40,$AL$73)))</f>
        <v/>
      </c>
      <c r="X73" s="131">
        <f>IF($AL$73="","",IF(INDEX('Final Calculation Sheet'!$W$4:$W$40,$AL$73)="","",INDEX('Final Calculation Sheet'!$W$4:$W$40,$AL$73)))</f>
        <v/>
      </c>
      <c r="Y73" s="131">
        <f>IF($AL$73="","",IF(INDEX('Final Calculation Sheet'!$X$4:$X$40,$AL$73)="","",INDEX('Final Calculation Sheet'!$X$4:$X$40,$AL$73)))</f>
        <v/>
      </c>
      <c r="Z73" s="131">
        <f>IF($AL$73="","",IF(INDEX('Final Calculation Sheet'!$Y$4:$Y$40,$AL$73)="","",INDEX('Final Calculation Sheet'!$Y$4:$Y$40,$AL$73)))</f>
        <v/>
      </c>
      <c r="AA73" s="131">
        <f>IF($AL$73="","",IF(INDEX('Final Calculation Sheet'!$Z$4:$Z$40,$AL$73)="","",INDEX('Final Calculation Sheet'!$Z$4:$Z$40,$AL$73)))</f>
        <v/>
      </c>
      <c r="AB73" s="131">
        <f>IF($AL$73="","",IF(INDEX('Final Calculation Sheet'!$AA$4:$AA$40,$AL$73)="","",INDEX('Final Calculation Sheet'!$AA$4:$AA$40,$AL$73)))</f>
        <v/>
      </c>
      <c r="AC73" s="131">
        <f>IF($AL$73="","",IF(INDEX('Final Calculation Sheet'!$AB$4:$AB$40,$AL$73)="","",INDEX('Final Calculation Sheet'!$AB$4:$AB$40,$AL$73)))</f>
        <v/>
      </c>
      <c r="AD73" s="131">
        <f>IF($AL$73="","",IF(INDEX('Final Calculation Sheet'!$AC$4:$AC$40,$AL$73)="","",INDEX('Final Calculation Sheet'!$AC$4:$AC$40,$AL$73)))</f>
        <v/>
      </c>
      <c r="AE73" s="131">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f>IF(COUNTIF($B$4:$AI$4,"&lt;&gt;")=0,"",IFERROR(MATCH(14,$AK$6:$AK$42,0),""))</f>
        <v/>
      </c>
    </row>
    <row r="74">
      <c r="A74" s="118">
        <f>IF($AL$74="","",15)</f>
        <v/>
      </c>
      <c r="B74" s="119">
        <f>IF($AL$74="","",IF(INDEX('Final Calculation Sheet'!$F$4:$F$40,$AL$74)="","",INDEX('Final Calculation Sheet'!$F$4:$F$40,$AL$74)))</f>
        <v/>
      </c>
      <c r="C74" s="119">
        <f>IF($AL$74="","",IF(INDEX('Final Calculation Sheet'!$G$4:$G$40,$AL$74)="","",INDEX('Final Calculation Sheet'!$G$4:$G$40,$AL$74)))</f>
        <v/>
      </c>
      <c r="D74" s="121">
        <f>IF($AL$74="","",IF(INDEX('Final Calculation Sheet'!$B$4:$B$40,$AL$74)="","",INDEX('Final Calculation Sheet'!$B$4:$B$40,$AL$74)))</f>
        <v/>
      </c>
      <c r="E74" s="121">
        <f>IF($AL$74="","",IF(INDEX('Final Calculation Sheet'!$D$4:$D$40,$AL$74)="","",INDEX('Final Calculation Sheet'!$D$4:$D$40,$AL$74)))</f>
        <v/>
      </c>
      <c r="F74" s="121">
        <f>IF($AL$74="","",IF(INDEX('Final Calculation Sheet'!$A$4:$A$40,$AL$74)="","",INDEX('Final Calculation Sheet'!$A$4:$A$40,$AL$74)))</f>
        <v/>
      </c>
      <c r="G74" s="121">
        <f>IF($AL$74="","",IF(INDEX('Final Calculation Sheet'!$E$4:$E$40,$AL$74)="","",INDEX('Final Calculation Sheet'!$E$4:$E$40,$AL$74)))</f>
        <v/>
      </c>
      <c r="H74" s="122">
        <f>IF($AL$74="","",IF(INDEX('Final Calculation Sheet'!$C$4:$C$40,$AL$74)="","",INDEX('Final Calculation Sheet'!$C$4:$C$40,$AL$74)))</f>
        <v/>
      </c>
      <c r="I74" s="122">
        <f>IF($AL$74="","",IF(INDEX('Final Calculation Sheet'!$H$4:$H$40,$AL$74)="","",INDEX('Final Calculation Sheet'!$H$4:$H$40,$AL$74)))</f>
        <v/>
      </c>
      <c r="J74" s="122">
        <f>IF($AL$74="","",IF(INDEX('Final Calculation Sheet'!$I$4:$I$40,$AL$74)="","",INDEX('Final Calculation Sheet'!$I$4:$I$40,$AL$74)))</f>
        <v/>
      </c>
      <c r="K74" s="122">
        <f>IF($AL$74="","",IF(INDEX('Final Calculation Sheet'!$J$4:$J$40,$AL$74)="","",INDEX('Final Calculation Sheet'!$J$4:$J$40,$AL$74)))</f>
        <v/>
      </c>
      <c r="L74" s="122">
        <f>IF($AL$74="","",IF(INDEX('Final Calculation Sheet'!$K$4:$K$40,$AL$74)="","",INDEX('Final Calculation Sheet'!$K$4:$K$40,$AL$74)))</f>
        <v/>
      </c>
      <c r="M74" s="122">
        <f>IF($AL$74="","",IF(INDEX('Final Calculation Sheet'!$L$4:$L$40,$AL$74)="","",INDEX('Final Calculation Sheet'!$L$4:$L$40,$AL$74)))</f>
        <v/>
      </c>
      <c r="N74" s="122">
        <f>IF($AL$74="","",IF(INDEX('Final Calculation Sheet'!$M$4:$M$40,$AL$74)="","",INDEX('Final Calculation Sheet'!$M$4:$M$40,$AL$74)))</f>
        <v/>
      </c>
      <c r="O74" s="123">
        <f>IF($AL$74="","",IF(INDEX('Final Calculation Sheet'!$N$4:$N$40,$AL$74)="","",INDEX('Final Calculation Sheet'!$N$4:$N$40,$AL$74)))</f>
        <v/>
      </c>
      <c r="P74" s="122">
        <f>IF($AL$74="","",IF(INDEX('Final Calculation Sheet'!$O$4:$O$40,$AL$74)="","",INDEX('Final Calculation Sheet'!$O$4:$O$40,$AL$74)))</f>
        <v/>
      </c>
      <c r="Q74" s="122">
        <f>IF($AL$74="","",IF(INDEX('Final Calculation Sheet'!$P$4:$P$40,$AL$74)="","",INDEX('Final Calculation Sheet'!$P$4:$P$40,$AL$74)))</f>
        <v/>
      </c>
      <c r="R74" s="124">
        <f>IF($AL$74="","",IF(INDEX('Final Calculation Sheet'!$Q$4:$Q$40,$AL$74)="","",INDEX('Final Calculation Sheet'!$Q$4:$Q$40,$AL$74)))</f>
        <v/>
      </c>
      <c r="S74" s="122">
        <f>IF($AL$74="","",IF(INDEX('Final Calculation Sheet'!$R$4:$R$40,$AL$74)="","",INDEX('Final Calculation Sheet'!$R$4:$R$40,$AL$74)))</f>
        <v/>
      </c>
      <c r="T74" s="122">
        <f>IF($AL$74="","",IF(INDEX('Final Calculation Sheet'!$S$4:$S$40,$AL$74)="","",INDEX('Final Calculation Sheet'!$S$4:$S$40,$AL$74)))</f>
        <v/>
      </c>
      <c r="U74" s="122">
        <f>IF($AL$74="","",IF(INDEX('Final Calculation Sheet'!$T$4:$T$40,$AL$74)="","",INDEX('Final Calculation Sheet'!$T$4:$T$40,$AL$74)))</f>
        <v/>
      </c>
      <c r="V74" s="125">
        <f>IF($AL$74="","",IF(INDEX('Final Calculation Sheet'!$U$4:$U$40,$AL$74)="","",INDEX('Final Calculation Sheet'!$U$4:$U$40,$AL$74)))</f>
        <v/>
      </c>
      <c r="W74" s="122">
        <f>IF($AL$74="","",IF(INDEX('Final Calculation Sheet'!$V$4:$V$40,$AL$74)="","",INDEX('Final Calculation Sheet'!$V$4:$V$40,$AL$74)))</f>
        <v/>
      </c>
      <c r="X74" s="122">
        <f>IF($AL$74="","",IF(INDEX('Final Calculation Sheet'!$W$4:$W$40,$AL$74)="","",INDEX('Final Calculation Sheet'!$W$4:$W$40,$AL$74)))</f>
        <v/>
      </c>
      <c r="Y74" s="122">
        <f>IF($AL$74="","",IF(INDEX('Final Calculation Sheet'!$X$4:$X$40,$AL$74)="","",INDEX('Final Calculation Sheet'!$X$4:$X$40,$AL$74)))</f>
        <v/>
      </c>
      <c r="Z74" s="122">
        <f>IF($AL$74="","",IF(INDEX('Final Calculation Sheet'!$Y$4:$Y$40,$AL$74)="","",INDEX('Final Calculation Sheet'!$Y$4:$Y$40,$AL$74)))</f>
        <v/>
      </c>
      <c r="AA74" s="122">
        <f>IF($AL$74="","",IF(INDEX('Final Calculation Sheet'!$Z$4:$Z$40,$AL$74)="","",INDEX('Final Calculation Sheet'!$Z$4:$Z$40,$AL$74)))</f>
        <v/>
      </c>
      <c r="AB74" s="122">
        <f>IF($AL$74="","",IF(INDEX('Final Calculation Sheet'!$AA$4:$AA$40,$AL$74)="","",INDEX('Final Calculation Sheet'!$AA$4:$AA$40,$AL$74)))</f>
        <v/>
      </c>
      <c r="AC74" s="122">
        <f>IF($AL$74="","",IF(INDEX('Final Calculation Sheet'!$AB$4:$AB$40,$AL$74)="","",INDEX('Final Calculation Sheet'!$AB$4:$AB$40,$AL$74)))</f>
        <v/>
      </c>
      <c r="AD74" s="122">
        <f>IF($AL$74="","",IF(INDEX('Final Calculation Sheet'!$AC$4:$AC$40,$AL$74)="","",INDEX('Final Calculation Sheet'!$AC$4:$AC$40,$AL$74)))</f>
        <v/>
      </c>
      <c r="AE74" s="122">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f>IF(COUNTIF($B$4:$AI$4,"&lt;&gt;")=0,"",IFERROR(MATCH(15,$AK$6:$AK$42,0),""))</f>
        <v/>
      </c>
    </row>
    <row r="75">
      <c r="A75" s="128">
        <f>IF($AL$75="","",16)</f>
        <v/>
      </c>
      <c r="B75" s="129">
        <f>IF($AL$75="","",IF(INDEX('Final Calculation Sheet'!$F$4:$F$40,$AL$75)="","",INDEX('Final Calculation Sheet'!$F$4:$F$40,$AL$75)))</f>
        <v/>
      </c>
      <c r="C75" s="129">
        <f>IF($AL$75="","",IF(INDEX('Final Calculation Sheet'!$G$4:$G$40,$AL$75)="","",INDEX('Final Calculation Sheet'!$G$4:$G$40,$AL$75)))</f>
        <v/>
      </c>
      <c r="D75" s="130">
        <f>IF($AL$75="","",IF(INDEX('Final Calculation Sheet'!$B$4:$B$40,$AL$75)="","",INDEX('Final Calculation Sheet'!$B$4:$B$40,$AL$75)))</f>
        <v/>
      </c>
      <c r="E75" s="130">
        <f>IF($AL$75="","",IF(INDEX('Final Calculation Sheet'!$D$4:$D$40,$AL$75)="","",INDEX('Final Calculation Sheet'!$D$4:$D$40,$AL$75)))</f>
        <v/>
      </c>
      <c r="F75" s="130">
        <f>IF($AL$75="","",IF(INDEX('Final Calculation Sheet'!$A$4:$A$40,$AL$75)="","",INDEX('Final Calculation Sheet'!$A$4:$A$40,$AL$75)))</f>
        <v/>
      </c>
      <c r="G75" s="130">
        <f>IF($AL$75="","",IF(INDEX('Final Calculation Sheet'!$E$4:$E$40,$AL$75)="","",INDEX('Final Calculation Sheet'!$E$4:$E$40,$AL$75)))</f>
        <v/>
      </c>
      <c r="H75" s="131">
        <f>IF($AL$75="","",IF(INDEX('Final Calculation Sheet'!$C$4:$C$40,$AL$75)="","",INDEX('Final Calculation Sheet'!$C$4:$C$40,$AL$75)))</f>
        <v/>
      </c>
      <c r="I75" s="131">
        <f>IF($AL$75="","",IF(INDEX('Final Calculation Sheet'!$H$4:$H$40,$AL$75)="","",INDEX('Final Calculation Sheet'!$H$4:$H$40,$AL$75)))</f>
        <v/>
      </c>
      <c r="J75" s="131">
        <f>IF($AL$75="","",IF(INDEX('Final Calculation Sheet'!$I$4:$I$40,$AL$75)="","",INDEX('Final Calculation Sheet'!$I$4:$I$40,$AL$75)))</f>
        <v/>
      </c>
      <c r="K75" s="131">
        <f>IF($AL$75="","",IF(INDEX('Final Calculation Sheet'!$J$4:$J$40,$AL$75)="","",INDEX('Final Calculation Sheet'!$J$4:$J$40,$AL$75)))</f>
        <v/>
      </c>
      <c r="L75" s="131">
        <f>IF($AL$75="","",IF(INDEX('Final Calculation Sheet'!$K$4:$K$40,$AL$75)="","",INDEX('Final Calculation Sheet'!$K$4:$K$40,$AL$75)))</f>
        <v/>
      </c>
      <c r="M75" s="131">
        <f>IF($AL$75="","",IF(INDEX('Final Calculation Sheet'!$L$4:$L$40,$AL$75)="","",INDEX('Final Calculation Sheet'!$L$4:$L$40,$AL$75)))</f>
        <v/>
      </c>
      <c r="N75" s="131">
        <f>IF($AL$75="","",IF(INDEX('Final Calculation Sheet'!$M$4:$M$40,$AL$75)="","",INDEX('Final Calculation Sheet'!$M$4:$M$40,$AL$75)))</f>
        <v/>
      </c>
      <c r="O75" s="132">
        <f>IF($AL$75="","",IF(INDEX('Final Calculation Sheet'!$N$4:$N$40,$AL$75)="","",INDEX('Final Calculation Sheet'!$N$4:$N$40,$AL$75)))</f>
        <v/>
      </c>
      <c r="P75" s="131">
        <f>IF($AL$75="","",IF(INDEX('Final Calculation Sheet'!$O$4:$O$40,$AL$75)="","",INDEX('Final Calculation Sheet'!$O$4:$O$40,$AL$75)))</f>
        <v/>
      </c>
      <c r="Q75" s="131">
        <f>IF($AL$75="","",IF(INDEX('Final Calculation Sheet'!$P$4:$P$40,$AL$75)="","",INDEX('Final Calculation Sheet'!$P$4:$P$40,$AL$75)))</f>
        <v/>
      </c>
      <c r="R75" s="133">
        <f>IF($AL$75="","",IF(INDEX('Final Calculation Sheet'!$Q$4:$Q$40,$AL$75)="","",INDEX('Final Calculation Sheet'!$Q$4:$Q$40,$AL$75)))</f>
        <v/>
      </c>
      <c r="S75" s="131">
        <f>IF($AL$75="","",IF(INDEX('Final Calculation Sheet'!$R$4:$R$40,$AL$75)="","",INDEX('Final Calculation Sheet'!$R$4:$R$40,$AL$75)))</f>
        <v/>
      </c>
      <c r="T75" s="131">
        <f>IF($AL$75="","",IF(INDEX('Final Calculation Sheet'!$S$4:$S$40,$AL$75)="","",INDEX('Final Calculation Sheet'!$S$4:$S$40,$AL$75)))</f>
        <v/>
      </c>
      <c r="U75" s="131">
        <f>IF($AL$75="","",IF(INDEX('Final Calculation Sheet'!$T$4:$T$40,$AL$75)="","",INDEX('Final Calculation Sheet'!$T$4:$T$40,$AL$75)))</f>
        <v/>
      </c>
      <c r="V75" s="134">
        <f>IF($AL$75="","",IF(INDEX('Final Calculation Sheet'!$U$4:$U$40,$AL$75)="","",INDEX('Final Calculation Sheet'!$U$4:$U$40,$AL$75)))</f>
        <v/>
      </c>
      <c r="W75" s="131">
        <f>IF($AL$75="","",IF(INDEX('Final Calculation Sheet'!$V$4:$V$40,$AL$75)="","",INDEX('Final Calculation Sheet'!$V$4:$V$40,$AL$75)))</f>
        <v/>
      </c>
      <c r="X75" s="131">
        <f>IF($AL$75="","",IF(INDEX('Final Calculation Sheet'!$W$4:$W$40,$AL$75)="","",INDEX('Final Calculation Sheet'!$W$4:$W$40,$AL$75)))</f>
        <v/>
      </c>
      <c r="Y75" s="131">
        <f>IF($AL$75="","",IF(INDEX('Final Calculation Sheet'!$X$4:$X$40,$AL$75)="","",INDEX('Final Calculation Sheet'!$X$4:$X$40,$AL$75)))</f>
        <v/>
      </c>
      <c r="Z75" s="131">
        <f>IF($AL$75="","",IF(INDEX('Final Calculation Sheet'!$Y$4:$Y$40,$AL$75)="","",INDEX('Final Calculation Sheet'!$Y$4:$Y$40,$AL$75)))</f>
        <v/>
      </c>
      <c r="AA75" s="131">
        <f>IF($AL$75="","",IF(INDEX('Final Calculation Sheet'!$Z$4:$Z$40,$AL$75)="","",INDEX('Final Calculation Sheet'!$Z$4:$Z$40,$AL$75)))</f>
        <v/>
      </c>
      <c r="AB75" s="131">
        <f>IF($AL$75="","",IF(INDEX('Final Calculation Sheet'!$AA$4:$AA$40,$AL$75)="","",INDEX('Final Calculation Sheet'!$AA$4:$AA$40,$AL$75)))</f>
        <v/>
      </c>
      <c r="AC75" s="131">
        <f>IF($AL$75="","",IF(INDEX('Final Calculation Sheet'!$AB$4:$AB$40,$AL$75)="","",INDEX('Final Calculation Sheet'!$AB$4:$AB$40,$AL$75)))</f>
        <v/>
      </c>
      <c r="AD75" s="131">
        <f>IF($AL$75="","",IF(INDEX('Final Calculation Sheet'!$AC$4:$AC$40,$AL$75)="","",INDEX('Final Calculation Sheet'!$AC$4:$AC$40,$AL$75)))</f>
        <v/>
      </c>
      <c r="AE75" s="131">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f>IF(COUNTIF($B$4:$AI$4,"&lt;&gt;")=0,"",IFERROR(MATCH(16,$AK$6:$AK$42,0),""))</f>
        <v/>
      </c>
    </row>
    <row r="76">
      <c r="A76" s="118">
        <f>IF($AL$76="","",17)</f>
        <v/>
      </c>
      <c r="B76" s="119">
        <f>IF($AL$76="","",IF(INDEX('Final Calculation Sheet'!$F$4:$F$40,$AL$76)="","",INDEX('Final Calculation Sheet'!$F$4:$F$40,$AL$76)))</f>
        <v/>
      </c>
      <c r="C76" s="119">
        <f>IF($AL$76="","",IF(INDEX('Final Calculation Sheet'!$G$4:$G$40,$AL$76)="","",INDEX('Final Calculation Sheet'!$G$4:$G$40,$AL$76)))</f>
        <v/>
      </c>
      <c r="D76" s="121">
        <f>IF($AL$76="","",IF(INDEX('Final Calculation Sheet'!$B$4:$B$40,$AL$76)="","",INDEX('Final Calculation Sheet'!$B$4:$B$40,$AL$76)))</f>
        <v/>
      </c>
      <c r="E76" s="121">
        <f>IF($AL$76="","",IF(INDEX('Final Calculation Sheet'!$D$4:$D$40,$AL$76)="","",INDEX('Final Calculation Sheet'!$D$4:$D$40,$AL$76)))</f>
        <v/>
      </c>
      <c r="F76" s="121">
        <f>IF($AL$76="","",IF(INDEX('Final Calculation Sheet'!$A$4:$A$40,$AL$76)="","",INDEX('Final Calculation Sheet'!$A$4:$A$40,$AL$76)))</f>
        <v/>
      </c>
      <c r="G76" s="121">
        <f>IF($AL$76="","",IF(INDEX('Final Calculation Sheet'!$E$4:$E$40,$AL$76)="","",INDEX('Final Calculation Sheet'!$E$4:$E$40,$AL$76)))</f>
        <v/>
      </c>
      <c r="H76" s="122">
        <f>IF($AL$76="","",IF(INDEX('Final Calculation Sheet'!$C$4:$C$40,$AL$76)="","",INDEX('Final Calculation Sheet'!$C$4:$C$40,$AL$76)))</f>
        <v/>
      </c>
      <c r="I76" s="122">
        <f>IF($AL$76="","",IF(INDEX('Final Calculation Sheet'!$H$4:$H$40,$AL$76)="","",INDEX('Final Calculation Sheet'!$H$4:$H$40,$AL$76)))</f>
        <v/>
      </c>
      <c r="J76" s="122">
        <f>IF($AL$76="","",IF(INDEX('Final Calculation Sheet'!$I$4:$I$40,$AL$76)="","",INDEX('Final Calculation Sheet'!$I$4:$I$40,$AL$76)))</f>
        <v/>
      </c>
      <c r="K76" s="122">
        <f>IF($AL$76="","",IF(INDEX('Final Calculation Sheet'!$J$4:$J$40,$AL$76)="","",INDEX('Final Calculation Sheet'!$J$4:$J$40,$AL$76)))</f>
        <v/>
      </c>
      <c r="L76" s="122">
        <f>IF($AL$76="","",IF(INDEX('Final Calculation Sheet'!$K$4:$K$40,$AL$76)="","",INDEX('Final Calculation Sheet'!$K$4:$K$40,$AL$76)))</f>
        <v/>
      </c>
      <c r="M76" s="122">
        <f>IF($AL$76="","",IF(INDEX('Final Calculation Sheet'!$L$4:$L$40,$AL$76)="","",INDEX('Final Calculation Sheet'!$L$4:$L$40,$AL$76)))</f>
        <v/>
      </c>
      <c r="N76" s="122">
        <f>IF($AL$76="","",IF(INDEX('Final Calculation Sheet'!$M$4:$M$40,$AL$76)="","",INDEX('Final Calculation Sheet'!$M$4:$M$40,$AL$76)))</f>
        <v/>
      </c>
      <c r="O76" s="123">
        <f>IF($AL$76="","",IF(INDEX('Final Calculation Sheet'!$N$4:$N$40,$AL$76)="","",INDEX('Final Calculation Sheet'!$N$4:$N$40,$AL$76)))</f>
        <v/>
      </c>
      <c r="P76" s="122">
        <f>IF($AL$76="","",IF(INDEX('Final Calculation Sheet'!$O$4:$O$40,$AL$76)="","",INDEX('Final Calculation Sheet'!$O$4:$O$40,$AL$76)))</f>
        <v/>
      </c>
      <c r="Q76" s="122">
        <f>IF($AL$76="","",IF(INDEX('Final Calculation Sheet'!$P$4:$P$40,$AL$76)="","",INDEX('Final Calculation Sheet'!$P$4:$P$40,$AL$76)))</f>
        <v/>
      </c>
      <c r="R76" s="124">
        <f>IF($AL$76="","",IF(INDEX('Final Calculation Sheet'!$Q$4:$Q$40,$AL$76)="","",INDEX('Final Calculation Sheet'!$Q$4:$Q$40,$AL$76)))</f>
        <v/>
      </c>
      <c r="S76" s="122">
        <f>IF($AL$76="","",IF(INDEX('Final Calculation Sheet'!$R$4:$R$40,$AL$76)="","",INDEX('Final Calculation Sheet'!$R$4:$R$40,$AL$76)))</f>
        <v/>
      </c>
      <c r="T76" s="122">
        <f>IF($AL$76="","",IF(INDEX('Final Calculation Sheet'!$S$4:$S$40,$AL$76)="","",INDEX('Final Calculation Sheet'!$S$4:$S$40,$AL$76)))</f>
        <v/>
      </c>
      <c r="U76" s="122">
        <f>IF($AL$76="","",IF(INDEX('Final Calculation Sheet'!$T$4:$T$40,$AL$76)="","",INDEX('Final Calculation Sheet'!$T$4:$T$40,$AL$76)))</f>
        <v/>
      </c>
      <c r="V76" s="125">
        <f>IF($AL$76="","",IF(INDEX('Final Calculation Sheet'!$U$4:$U$40,$AL$76)="","",INDEX('Final Calculation Sheet'!$U$4:$U$40,$AL$76)))</f>
        <v/>
      </c>
      <c r="W76" s="122">
        <f>IF($AL$76="","",IF(INDEX('Final Calculation Sheet'!$V$4:$V$40,$AL$76)="","",INDEX('Final Calculation Sheet'!$V$4:$V$40,$AL$76)))</f>
        <v/>
      </c>
      <c r="X76" s="122">
        <f>IF($AL$76="","",IF(INDEX('Final Calculation Sheet'!$W$4:$W$40,$AL$76)="","",INDEX('Final Calculation Sheet'!$W$4:$W$40,$AL$76)))</f>
        <v/>
      </c>
      <c r="Y76" s="122">
        <f>IF($AL$76="","",IF(INDEX('Final Calculation Sheet'!$X$4:$X$40,$AL$76)="","",INDEX('Final Calculation Sheet'!$X$4:$X$40,$AL$76)))</f>
        <v/>
      </c>
      <c r="Z76" s="122">
        <f>IF($AL$76="","",IF(INDEX('Final Calculation Sheet'!$Y$4:$Y$40,$AL$76)="","",INDEX('Final Calculation Sheet'!$Y$4:$Y$40,$AL$76)))</f>
        <v/>
      </c>
      <c r="AA76" s="122">
        <f>IF($AL$76="","",IF(INDEX('Final Calculation Sheet'!$Z$4:$Z$40,$AL$76)="","",INDEX('Final Calculation Sheet'!$Z$4:$Z$40,$AL$76)))</f>
        <v/>
      </c>
      <c r="AB76" s="122">
        <f>IF($AL$76="","",IF(INDEX('Final Calculation Sheet'!$AA$4:$AA$40,$AL$76)="","",INDEX('Final Calculation Sheet'!$AA$4:$AA$40,$AL$76)))</f>
        <v/>
      </c>
      <c r="AC76" s="122">
        <f>IF($AL$76="","",IF(INDEX('Final Calculation Sheet'!$AB$4:$AB$40,$AL$76)="","",INDEX('Final Calculation Sheet'!$AB$4:$AB$40,$AL$76)))</f>
        <v/>
      </c>
      <c r="AD76" s="122">
        <f>IF($AL$76="","",IF(INDEX('Final Calculation Sheet'!$AC$4:$AC$40,$AL$76)="","",INDEX('Final Calculation Sheet'!$AC$4:$AC$40,$AL$76)))</f>
        <v/>
      </c>
      <c r="AE76" s="122">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f>IF(COUNTIF($B$4:$AI$4,"&lt;&gt;")=0,"",IFERROR(MATCH(17,$AK$6:$AK$42,0),""))</f>
        <v/>
      </c>
    </row>
    <row r="77">
      <c r="A77" s="128">
        <f>IF($AL$77="","",18)</f>
        <v/>
      </c>
      <c r="B77" s="129">
        <f>IF($AL$77="","",IF(INDEX('Final Calculation Sheet'!$F$4:$F$40,$AL$77)="","",INDEX('Final Calculation Sheet'!$F$4:$F$40,$AL$77)))</f>
        <v/>
      </c>
      <c r="C77" s="129">
        <f>IF($AL$77="","",IF(INDEX('Final Calculation Sheet'!$G$4:$G$40,$AL$77)="","",INDEX('Final Calculation Sheet'!$G$4:$G$40,$AL$77)))</f>
        <v/>
      </c>
      <c r="D77" s="130">
        <f>IF($AL$77="","",IF(INDEX('Final Calculation Sheet'!$B$4:$B$40,$AL$77)="","",INDEX('Final Calculation Sheet'!$B$4:$B$40,$AL$77)))</f>
        <v/>
      </c>
      <c r="E77" s="130">
        <f>IF($AL$77="","",IF(INDEX('Final Calculation Sheet'!$D$4:$D$40,$AL$77)="","",INDEX('Final Calculation Sheet'!$D$4:$D$40,$AL$77)))</f>
        <v/>
      </c>
      <c r="F77" s="130">
        <f>IF($AL$77="","",IF(INDEX('Final Calculation Sheet'!$A$4:$A$40,$AL$77)="","",INDEX('Final Calculation Sheet'!$A$4:$A$40,$AL$77)))</f>
        <v/>
      </c>
      <c r="G77" s="130">
        <f>IF($AL$77="","",IF(INDEX('Final Calculation Sheet'!$E$4:$E$40,$AL$77)="","",INDEX('Final Calculation Sheet'!$E$4:$E$40,$AL$77)))</f>
        <v/>
      </c>
      <c r="H77" s="131">
        <f>IF($AL$77="","",IF(INDEX('Final Calculation Sheet'!$C$4:$C$40,$AL$77)="","",INDEX('Final Calculation Sheet'!$C$4:$C$40,$AL$77)))</f>
        <v/>
      </c>
      <c r="I77" s="131">
        <f>IF($AL$77="","",IF(INDEX('Final Calculation Sheet'!$H$4:$H$40,$AL$77)="","",INDEX('Final Calculation Sheet'!$H$4:$H$40,$AL$77)))</f>
        <v/>
      </c>
      <c r="J77" s="131">
        <f>IF($AL$77="","",IF(INDEX('Final Calculation Sheet'!$I$4:$I$40,$AL$77)="","",INDEX('Final Calculation Sheet'!$I$4:$I$40,$AL$77)))</f>
        <v/>
      </c>
      <c r="K77" s="131">
        <f>IF($AL$77="","",IF(INDEX('Final Calculation Sheet'!$J$4:$J$40,$AL$77)="","",INDEX('Final Calculation Sheet'!$J$4:$J$40,$AL$77)))</f>
        <v/>
      </c>
      <c r="L77" s="131">
        <f>IF($AL$77="","",IF(INDEX('Final Calculation Sheet'!$K$4:$K$40,$AL$77)="","",INDEX('Final Calculation Sheet'!$K$4:$K$40,$AL$77)))</f>
        <v/>
      </c>
      <c r="M77" s="131">
        <f>IF($AL$77="","",IF(INDEX('Final Calculation Sheet'!$L$4:$L$40,$AL$77)="","",INDEX('Final Calculation Sheet'!$L$4:$L$40,$AL$77)))</f>
        <v/>
      </c>
      <c r="N77" s="131">
        <f>IF($AL$77="","",IF(INDEX('Final Calculation Sheet'!$M$4:$M$40,$AL$77)="","",INDEX('Final Calculation Sheet'!$M$4:$M$40,$AL$77)))</f>
        <v/>
      </c>
      <c r="O77" s="132">
        <f>IF($AL$77="","",IF(INDEX('Final Calculation Sheet'!$N$4:$N$40,$AL$77)="","",INDEX('Final Calculation Sheet'!$N$4:$N$40,$AL$77)))</f>
        <v/>
      </c>
      <c r="P77" s="131">
        <f>IF($AL$77="","",IF(INDEX('Final Calculation Sheet'!$O$4:$O$40,$AL$77)="","",INDEX('Final Calculation Sheet'!$O$4:$O$40,$AL$77)))</f>
        <v/>
      </c>
      <c r="Q77" s="131">
        <f>IF($AL$77="","",IF(INDEX('Final Calculation Sheet'!$P$4:$P$40,$AL$77)="","",INDEX('Final Calculation Sheet'!$P$4:$P$40,$AL$77)))</f>
        <v/>
      </c>
      <c r="R77" s="133">
        <f>IF($AL$77="","",IF(INDEX('Final Calculation Sheet'!$Q$4:$Q$40,$AL$77)="","",INDEX('Final Calculation Sheet'!$Q$4:$Q$40,$AL$77)))</f>
        <v/>
      </c>
      <c r="S77" s="131">
        <f>IF($AL$77="","",IF(INDEX('Final Calculation Sheet'!$R$4:$R$40,$AL$77)="","",INDEX('Final Calculation Sheet'!$R$4:$R$40,$AL$77)))</f>
        <v/>
      </c>
      <c r="T77" s="131">
        <f>IF($AL$77="","",IF(INDEX('Final Calculation Sheet'!$S$4:$S$40,$AL$77)="","",INDEX('Final Calculation Sheet'!$S$4:$S$40,$AL$77)))</f>
        <v/>
      </c>
      <c r="U77" s="131">
        <f>IF($AL$77="","",IF(INDEX('Final Calculation Sheet'!$T$4:$T$40,$AL$77)="","",INDEX('Final Calculation Sheet'!$T$4:$T$40,$AL$77)))</f>
        <v/>
      </c>
      <c r="V77" s="134">
        <f>IF($AL$77="","",IF(INDEX('Final Calculation Sheet'!$U$4:$U$40,$AL$77)="","",INDEX('Final Calculation Sheet'!$U$4:$U$40,$AL$77)))</f>
        <v/>
      </c>
      <c r="W77" s="131">
        <f>IF($AL$77="","",IF(INDEX('Final Calculation Sheet'!$V$4:$V$40,$AL$77)="","",INDEX('Final Calculation Sheet'!$V$4:$V$40,$AL$77)))</f>
        <v/>
      </c>
      <c r="X77" s="131">
        <f>IF($AL$77="","",IF(INDEX('Final Calculation Sheet'!$W$4:$W$40,$AL$77)="","",INDEX('Final Calculation Sheet'!$W$4:$W$40,$AL$77)))</f>
        <v/>
      </c>
      <c r="Y77" s="131">
        <f>IF($AL$77="","",IF(INDEX('Final Calculation Sheet'!$X$4:$X$40,$AL$77)="","",INDEX('Final Calculation Sheet'!$X$4:$X$40,$AL$77)))</f>
        <v/>
      </c>
      <c r="Z77" s="131">
        <f>IF($AL$77="","",IF(INDEX('Final Calculation Sheet'!$Y$4:$Y$40,$AL$77)="","",INDEX('Final Calculation Sheet'!$Y$4:$Y$40,$AL$77)))</f>
        <v/>
      </c>
      <c r="AA77" s="131">
        <f>IF($AL$77="","",IF(INDEX('Final Calculation Sheet'!$Z$4:$Z$40,$AL$77)="","",INDEX('Final Calculation Sheet'!$Z$4:$Z$40,$AL$77)))</f>
        <v/>
      </c>
      <c r="AB77" s="131">
        <f>IF($AL$77="","",IF(INDEX('Final Calculation Sheet'!$AA$4:$AA$40,$AL$77)="","",INDEX('Final Calculation Sheet'!$AA$4:$AA$40,$AL$77)))</f>
        <v/>
      </c>
      <c r="AC77" s="131">
        <f>IF($AL$77="","",IF(INDEX('Final Calculation Sheet'!$AB$4:$AB$40,$AL$77)="","",INDEX('Final Calculation Sheet'!$AB$4:$AB$40,$AL$77)))</f>
        <v/>
      </c>
      <c r="AD77" s="131">
        <f>IF($AL$77="","",IF(INDEX('Final Calculation Sheet'!$AC$4:$AC$40,$AL$77)="","",INDEX('Final Calculation Sheet'!$AC$4:$AC$40,$AL$77)))</f>
        <v/>
      </c>
      <c r="AE77" s="131">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f>IF(COUNTIF($B$4:$AI$4,"&lt;&gt;")=0,"",IFERROR(MATCH(18,$AK$6:$AK$42,0),""))</f>
        <v/>
      </c>
    </row>
    <row r="78">
      <c r="A78" s="118">
        <f>IF($AL$78="","",19)</f>
        <v/>
      </c>
      <c r="B78" s="119">
        <f>IF($AL$78="","",IF(INDEX('Final Calculation Sheet'!$F$4:$F$40,$AL$78)="","",INDEX('Final Calculation Sheet'!$F$4:$F$40,$AL$78)))</f>
        <v/>
      </c>
      <c r="C78" s="119">
        <f>IF($AL$78="","",IF(INDEX('Final Calculation Sheet'!$G$4:$G$40,$AL$78)="","",INDEX('Final Calculation Sheet'!$G$4:$G$40,$AL$78)))</f>
        <v/>
      </c>
      <c r="D78" s="121">
        <f>IF($AL$78="","",IF(INDEX('Final Calculation Sheet'!$B$4:$B$40,$AL$78)="","",INDEX('Final Calculation Sheet'!$B$4:$B$40,$AL$78)))</f>
        <v/>
      </c>
      <c r="E78" s="121">
        <f>IF($AL$78="","",IF(INDEX('Final Calculation Sheet'!$D$4:$D$40,$AL$78)="","",INDEX('Final Calculation Sheet'!$D$4:$D$40,$AL$78)))</f>
        <v/>
      </c>
      <c r="F78" s="121">
        <f>IF($AL$78="","",IF(INDEX('Final Calculation Sheet'!$A$4:$A$40,$AL$78)="","",INDEX('Final Calculation Sheet'!$A$4:$A$40,$AL$78)))</f>
        <v/>
      </c>
      <c r="G78" s="121">
        <f>IF($AL$78="","",IF(INDEX('Final Calculation Sheet'!$E$4:$E$40,$AL$78)="","",INDEX('Final Calculation Sheet'!$E$4:$E$40,$AL$78)))</f>
        <v/>
      </c>
      <c r="H78" s="122">
        <f>IF($AL$78="","",IF(INDEX('Final Calculation Sheet'!$C$4:$C$40,$AL$78)="","",INDEX('Final Calculation Sheet'!$C$4:$C$40,$AL$78)))</f>
        <v/>
      </c>
      <c r="I78" s="122">
        <f>IF($AL$78="","",IF(INDEX('Final Calculation Sheet'!$H$4:$H$40,$AL$78)="","",INDEX('Final Calculation Sheet'!$H$4:$H$40,$AL$78)))</f>
        <v/>
      </c>
      <c r="J78" s="122">
        <f>IF($AL$78="","",IF(INDEX('Final Calculation Sheet'!$I$4:$I$40,$AL$78)="","",INDEX('Final Calculation Sheet'!$I$4:$I$40,$AL$78)))</f>
        <v/>
      </c>
      <c r="K78" s="122">
        <f>IF($AL$78="","",IF(INDEX('Final Calculation Sheet'!$J$4:$J$40,$AL$78)="","",INDEX('Final Calculation Sheet'!$J$4:$J$40,$AL$78)))</f>
        <v/>
      </c>
      <c r="L78" s="122">
        <f>IF($AL$78="","",IF(INDEX('Final Calculation Sheet'!$K$4:$K$40,$AL$78)="","",INDEX('Final Calculation Sheet'!$K$4:$K$40,$AL$78)))</f>
        <v/>
      </c>
      <c r="M78" s="122">
        <f>IF($AL$78="","",IF(INDEX('Final Calculation Sheet'!$L$4:$L$40,$AL$78)="","",INDEX('Final Calculation Sheet'!$L$4:$L$40,$AL$78)))</f>
        <v/>
      </c>
      <c r="N78" s="122">
        <f>IF($AL$78="","",IF(INDEX('Final Calculation Sheet'!$M$4:$M$40,$AL$78)="","",INDEX('Final Calculation Sheet'!$M$4:$M$40,$AL$78)))</f>
        <v/>
      </c>
      <c r="O78" s="123">
        <f>IF($AL$78="","",IF(INDEX('Final Calculation Sheet'!$N$4:$N$40,$AL$78)="","",INDEX('Final Calculation Sheet'!$N$4:$N$40,$AL$78)))</f>
        <v/>
      </c>
      <c r="P78" s="122">
        <f>IF($AL$78="","",IF(INDEX('Final Calculation Sheet'!$O$4:$O$40,$AL$78)="","",INDEX('Final Calculation Sheet'!$O$4:$O$40,$AL$78)))</f>
        <v/>
      </c>
      <c r="Q78" s="122">
        <f>IF($AL$78="","",IF(INDEX('Final Calculation Sheet'!$P$4:$P$40,$AL$78)="","",INDEX('Final Calculation Sheet'!$P$4:$P$40,$AL$78)))</f>
        <v/>
      </c>
      <c r="R78" s="124">
        <f>IF($AL$78="","",IF(INDEX('Final Calculation Sheet'!$Q$4:$Q$40,$AL$78)="","",INDEX('Final Calculation Sheet'!$Q$4:$Q$40,$AL$78)))</f>
        <v/>
      </c>
      <c r="S78" s="122">
        <f>IF($AL$78="","",IF(INDEX('Final Calculation Sheet'!$R$4:$R$40,$AL$78)="","",INDEX('Final Calculation Sheet'!$R$4:$R$40,$AL$78)))</f>
        <v/>
      </c>
      <c r="T78" s="122">
        <f>IF($AL$78="","",IF(INDEX('Final Calculation Sheet'!$S$4:$S$40,$AL$78)="","",INDEX('Final Calculation Sheet'!$S$4:$S$40,$AL$78)))</f>
        <v/>
      </c>
      <c r="U78" s="122">
        <f>IF($AL$78="","",IF(INDEX('Final Calculation Sheet'!$T$4:$T$40,$AL$78)="","",INDEX('Final Calculation Sheet'!$T$4:$T$40,$AL$78)))</f>
        <v/>
      </c>
      <c r="V78" s="125">
        <f>IF($AL$78="","",IF(INDEX('Final Calculation Sheet'!$U$4:$U$40,$AL$78)="","",INDEX('Final Calculation Sheet'!$U$4:$U$40,$AL$78)))</f>
        <v/>
      </c>
      <c r="W78" s="122">
        <f>IF($AL$78="","",IF(INDEX('Final Calculation Sheet'!$V$4:$V$40,$AL$78)="","",INDEX('Final Calculation Sheet'!$V$4:$V$40,$AL$78)))</f>
        <v/>
      </c>
      <c r="X78" s="122">
        <f>IF($AL$78="","",IF(INDEX('Final Calculation Sheet'!$W$4:$W$40,$AL$78)="","",INDEX('Final Calculation Sheet'!$W$4:$W$40,$AL$78)))</f>
        <v/>
      </c>
      <c r="Y78" s="122">
        <f>IF($AL$78="","",IF(INDEX('Final Calculation Sheet'!$X$4:$X$40,$AL$78)="","",INDEX('Final Calculation Sheet'!$X$4:$X$40,$AL$78)))</f>
        <v/>
      </c>
      <c r="Z78" s="122">
        <f>IF($AL$78="","",IF(INDEX('Final Calculation Sheet'!$Y$4:$Y$40,$AL$78)="","",INDEX('Final Calculation Sheet'!$Y$4:$Y$40,$AL$78)))</f>
        <v/>
      </c>
      <c r="AA78" s="122">
        <f>IF($AL$78="","",IF(INDEX('Final Calculation Sheet'!$Z$4:$Z$40,$AL$78)="","",INDEX('Final Calculation Sheet'!$Z$4:$Z$40,$AL$78)))</f>
        <v/>
      </c>
      <c r="AB78" s="122">
        <f>IF($AL$78="","",IF(INDEX('Final Calculation Sheet'!$AA$4:$AA$40,$AL$78)="","",INDEX('Final Calculation Sheet'!$AA$4:$AA$40,$AL$78)))</f>
        <v/>
      </c>
      <c r="AC78" s="122">
        <f>IF($AL$78="","",IF(INDEX('Final Calculation Sheet'!$AB$4:$AB$40,$AL$78)="","",INDEX('Final Calculation Sheet'!$AB$4:$AB$40,$AL$78)))</f>
        <v/>
      </c>
      <c r="AD78" s="122">
        <f>IF($AL$78="","",IF(INDEX('Final Calculation Sheet'!$AC$4:$AC$40,$AL$78)="","",INDEX('Final Calculation Sheet'!$AC$4:$AC$40,$AL$78)))</f>
        <v/>
      </c>
      <c r="AE78" s="122">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f>IF(COUNTIF($B$4:$AI$4,"&lt;&gt;")=0,"",IFERROR(MATCH(19,$AK$6:$AK$42,0),""))</f>
        <v/>
      </c>
    </row>
    <row r="79">
      <c r="A79" s="128">
        <f>IF($AL$79="","",20)</f>
        <v/>
      </c>
      <c r="B79" s="129">
        <f>IF($AL$79="","",IF(INDEX('Final Calculation Sheet'!$F$4:$F$40,$AL$79)="","",INDEX('Final Calculation Sheet'!$F$4:$F$40,$AL$79)))</f>
        <v/>
      </c>
      <c r="C79" s="129">
        <f>IF($AL$79="","",IF(INDEX('Final Calculation Sheet'!$G$4:$G$40,$AL$79)="","",INDEX('Final Calculation Sheet'!$G$4:$G$40,$AL$79)))</f>
        <v/>
      </c>
      <c r="D79" s="130">
        <f>IF($AL$79="","",IF(INDEX('Final Calculation Sheet'!$B$4:$B$40,$AL$79)="","",INDEX('Final Calculation Sheet'!$B$4:$B$40,$AL$79)))</f>
        <v/>
      </c>
      <c r="E79" s="130">
        <f>IF($AL$79="","",IF(INDEX('Final Calculation Sheet'!$D$4:$D$40,$AL$79)="","",INDEX('Final Calculation Sheet'!$D$4:$D$40,$AL$79)))</f>
        <v/>
      </c>
      <c r="F79" s="130">
        <f>IF($AL$79="","",IF(INDEX('Final Calculation Sheet'!$A$4:$A$40,$AL$79)="","",INDEX('Final Calculation Sheet'!$A$4:$A$40,$AL$79)))</f>
        <v/>
      </c>
      <c r="G79" s="130">
        <f>IF($AL$79="","",IF(INDEX('Final Calculation Sheet'!$E$4:$E$40,$AL$79)="","",INDEX('Final Calculation Sheet'!$E$4:$E$40,$AL$79)))</f>
        <v/>
      </c>
      <c r="H79" s="131">
        <f>IF($AL$79="","",IF(INDEX('Final Calculation Sheet'!$C$4:$C$40,$AL$79)="","",INDEX('Final Calculation Sheet'!$C$4:$C$40,$AL$79)))</f>
        <v/>
      </c>
      <c r="I79" s="131">
        <f>IF($AL$79="","",IF(INDEX('Final Calculation Sheet'!$H$4:$H$40,$AL$79)="","",INDEX('Final Calculation Sheet'!$H$4:$H$40,$AL$79)))</f>
        <v/>
      </c>
      <c r="J79" s="131">
        <f>IF($AL$79="","",IF(INDEX('Final Calculation Sheet'!$I$4:$I$40,$AL$79)="","",INDEX('Final Calculation Sheet'!$I$4:$I$40,$AL$79)))</f>
        <v/>
      </c>
      <c r="K79" s="131">
        <f>IF($AL$79="","",IF(INDEX('Final Calculation Sheet'!$J$4:$J$40,$AL$79)="","",INDEX('Final Calculation Sheet'!$J$4:$J$40,$AL$79)))</f>
        <v/>
      </c>
      <c r="L79" s="131">
        <f>IF($AL$79="","",IF(INDEX('Final Calculation Sheet'!$K$4:$K$40,$AL$79)="","",INDEX('Final Calculation Sheet'!$K$4:$K$40,$AL$79)))</f>
        <v/>
      </c>
      <c r="M79" s="131">
        <f>IF($AL$79="","",IF(INDEX('Final Calculation Sheet'!$L$4:$L$40,$AL$79)="","",INDEX('Final Calculation Sheet'!$L$4:$L$40,$AL$79)))</f>
        <v/>
      </c>
      <c r="N79" s="131">
        <f>IF($AL$79="","",IF(INDEX('Final Calculation Sheet'!$M$4:$M$40,$AL$79)="","",INDEX('Final Calculation Sheet'!$M$4:$M$40,$AL$79)))</f>
        <v/>
      </c>
      <c r="O79" s="132">
        <f>IF($AL$79="","",IF(INDEX('Final Calculation Sheet'!$N$4:$N$40,$AL$79)="","",INDEX('Final Calculation Sheet'!$N$4:$N$40,$AL$79)))</f>
        <v/>
      </c>
      <c r="P79" s="131">
        <f>IF($AL$79="","",IF(INDEX('Final Calculation Sheet'!$O$4:$O$40,$AL$79)="","",INDEX('Final Calculation Sheet'!$O$4:$O$40,$AL$79)))</f>
        <v/>
      </c>
      <c r="Q79" s="131">
        <f>IF($AL$79="","",IF(INDEX('Final Calculation Sheet'!$P$4:$P$40,$AL$79)="","",INDEX('Final Calculation Sheet'!$P$4:$P$40,$AL$79)))</f>
        <v/>
      </c>
      <c r="R79" s="133">
        <f>IF($AL$79="","",IF(INDEX('Final Calculation Sheet'!$Q$4:$Q$40,$AL$79)="","",INDEX('Final Calculation Sheet'!$Q$4:$Q$40,$AL$79)))</f>
        <v/>
      </c>
      <c r="S79" s="131">
        <f>IF($AL$79="","",IF(INDEX('Final Calculation Sheet'!$R$4:$R$40,$AL$79)="","",INDEX('Final Calculation Sheet'!$R$4:$R$40,$AL$79)))</f>
        <v/>
      </c>
      <c r="T79" s="131">
        <f>IF($AL$79="","",IF(INDEX('Final Calculation Sheet'!$S$4:$S$40,$AL$79)="","",INDEX('Final Calculation Sheet'!$S$4:$S$40,$AL$79)))</f>
        <v/>
      </c>
      <c r="U79" s="131">
        <f>IF($AL$79="","",IF(INDEX('Final Calculation Sheet'!$T$4:$T$40,$AL$79)="","",INDEX('Final Calculation Sheet'!$T$4:$T$40,$AL$79)))</f>
        <v/>
      </c>
      <c r="V79" s="134">
        <f>IF($AL$79="","",IF(INDEX('Final Calculation Sheet'!$U$4:$U$40,$AL$79)="","",INDEX('Final Calculation Sheet'!$U$4:$U$40,$AL$79)))</f>
        <v/>
      </c>
      <c r="W79" s="131">
        <f>IF($AL$79="","",IF(INDEX('Final Calculation Sheet'!$V$4:$V$40,$AL$79)="","",INDEX('Final Calculation Sheet'!$V$4:$V$40,$AL$79)))</f>
        <v/>
      </c>
      <c r="X79" s="131">
        <f>IF($AL$79="","",IF(INDEX('Final Calculation Sheet'!$W$4:$W$40,$AL$79)="","",INDEX('Final Calculation Sheet'!$W$4:$W$40,$AL$79)))</f>
        <v/>
      </c>
      <c r="Y79" s="131">
        <f>IF($AL$79="","",IF(INDEX('Final Calculation Sheet'!$X$4:$X$40,$AL$79)="","",INDEX('Final Calculation Sheet'!$X$4:$X$40,$AL$79)))</f>
        <v/>
      </c>
      <c r="Z79" s="131">
        <f>IF($AL$79="","",IF(INDEX('Final Calculation Sheet'!$Y$4:$Y$40,$AL$79)="","",INDEX('Final Calculation Sheet'!$Y$4:$Y$40,$AL$79)))</f>
        <v/>
      </c>
      <c r="AA79" s="131">
        <f>IF($AL$79="","",IF(INDEX('Final Calculation Sheet'!$Z$4:$Z$40,$AL$79)="","",INDEX('Final Calculation Sheet'!$Z$4:$Z$40,$AL$79)))</f>
        <v/>
      </c>
      <c r="AB79" s="131">
        <f>IF($AL$79="","",IF(INDEX('Final Calculation Sheet'!$AA$4:$AA$40,$AL$79)="","",INDEX('Final Calculation Sheet'!$AA$4:$AA$40,$AL$79)))</f>
        <v/>
      </c>
      <c r="AC79" s="131">
        <f>IF($AL$79="","",IF(INDEX('Final Calculation Sheet'!$AB$4:$AB$40,$AL$79)="","",INDEX('Final Calculation Sheet'!$AB$4:$AB$40,$AL$79)))</f>
        <v/>
      </c>
      <c r="AD79" s="131">
        <f>IF($AL$79="","",IF(INDEX('Final Calculation Sheet'!$AC$4:$AC$40,$AL$79)="","",INDEX('Final Calculation Sheet'!$AC$4:$AC$40,$AL$79)))</f>
        <v/>
      </c>
      <c r="AE79" s="131">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f>IF(COUNTIF($B$4:$AI$4,"&lt;&gt;")=0,"",IFERROR(MATCH(20,$AK$6:$AK$42,0),""))</f>
        <v/>
      </c>
    </row>
    <row r="80">
      <c r="A80" s="118">
        <f>IF($AL$80="","",21)</f>
        <v/>
      </c>
      <c r="B80" s="119">
        <f>IF($AL$80="","",IF(INDEX('Final Calculation Sheet'!$F$4:$F$40,$AL$80)="","",INDEX('Final Calculation Sheet'!$F$4:$F$40,$AL$80)))</f>
        <v/>
      </c>
      <c r="C80" s="119">
        <f>IF($AL$80="","",IF(INDEX('Final Calculation Sheet'!$G$4:$G$40,$AL$80)="","",INDEX('Final Calculation Sheet'!$G$4:$G$40,$AL$80)))</f>
        <v/>
      </c>
      <c r="D80" s="121">
        <f>IF($AL$80="","",IF(INDEX('Final Calculation Sheet'!$B$4:$B$40,$AL$80)="","",INDEX('Final Calculation Sheet'!$B$4:$B$40,$AL$80)))</f>
        <v/>
      </c>
      <c r="E80" s="121">
        <f>IF($AL$80="","",IF(INDEX('Final Calculation Sheet'!$D$4:$D$40,$AL$80)="","",INDEX('Final Calculation Sheet'!$D$4:$D$40,$AL$80)))</f>
        <v/>
      </c>
      <c r="F80" s="121">
        <f>IF($AL$80="","",IF(INDEX('Final Calculation Sheet'!$A$4:$A$40,$AL$80)="","",INDEX('Final Calculation Sheet'!$A$4:$A$40,$AL$80)))</f>
        <v/>
      </c>
      <c r="G80" s="121">
        <f>IF($AL$80="","",IF(INDEX('Final Calculation Sheet'!$E$4:$E$40,$AL$80)="","",INDEX('Final Calculation Sheet'!$E$4:$E$40,$AL$80)))</f>
        <v/>
      </c>
      <c r="H80" s="122">
        <f>IF($AL$80="","",IF(INDEX('Final Calculation Sheet'!$C$4:$C$40,$AL$80)="","",INDEX('Final Calculation Sheet'!$C$4:$C$40,$AL$80)))</f>
        <v/>
      </c>
      <c r="I80" s="122">
        <f>IF($AL$80="","",IF(INDEX('Final Calculation Sheet'!$H$4:$H$40,$AL$80)="","",INDEX('Final Calculation Sheet'!$H$4:$H$40,$AL$80)))</f>
        <v/>
      </c>
      <c r="J80" s="122">
        <f>IF($AL$80="","",IF(INDEX('Final Calculation Sheet'!$I$4:$I$40,$AL$80)="","",INDEX('Final Calculation Sheet'!$I$4:$I$40,$AL$80)))</f>
        <v/>
      </c>
      <c r="K80" s="122">
        <f>IF($AL$80="","",IF(INDEX('Final Calculation Sheet'!$J$4:$J$40,$AL$80)="","",INDEX('Final Calculation Sheet'!$J$4:$J$40,$AL$80)))</f>
        <v/>
      </c>
      <c r="L80" s="122">
        <f>IF($AL$80="","",IF(INDEX('Final Calculation Sheet'!$K$4:$K$40,$AL$80)="","",INDEX('Final Calculation Sheet'!$K$4:$K$40,$AL$80)))</f>
        <v/>
      </c>
      <c r="M80" s="122">
        <f>IF($AL$80="","",IF(INDEX('Final Calculation Sheet'!$L$4:$L$40,$AL$80)="","",INDEX('Final Calculation Sheet'!$L$4:$L$40,$AL$80)))</f>
        <v/>
      </c>
      <c r="N80" s="122">
        <f>IF($AL$80="","",IF(INDEX('Final Calculation Sheet'!$M$4:$M$40,$AL$80)="","",INDEX('Final Calculation Sheet'!$M$4:$M$40,$AL$80)))</f>
        <v/>
      </c>
      <c r="O80" s="123">
        <f>IF($AL$80="","",IF(INDEX('Final Calculation Sheet'!$N$4:$N$40,$AL$80)="","",INDEX('Final Calculation Sheet'!$N$4:$N$40,$AL$80)))</f>
        <v/>
      </c>
      <c r="P80" s="122">
        <f>IF($AL$80="","",IF(INDEX('Final Calculation Sheet'!$O$4:$O$40,$AL$80)="","",INDEX('Final Calculation Sheet'!$O$4:$O$40,$AL$80)))</f>
        <v/>
      </c>
      <c r="Q80" s="122">
        <f>IF($AL$80="","",IF(INDEX('Final Calculation Sheet'!$P$4:$P$40,$AL$80)="","",INDEX('Final Calculation Sheet'!$P$4:$P$40,$AL$80)))</f>
        <v/>
      </c>
      <c r="R80" s="124">
        <f>IF($AL$80="","",IF(INDEX('Final Calculation Sheet'!$Q$4:$Q$40,$AL$80)="","",INDEX('Final Calculation Sheet'!$Q$4:$Q$40,$AL$80)))</f>
        <v/>
      </c>
      <c r="S80" s="122">
        <f>IF($AL$80="","",IF(INDEX('Final Calculation Sheet'!$R$4:$R$40,$AL$80)="","",INDEX('Final Calculation Sheet'!$R$4:$R$40,$AL$80)))</f>
        <v/>
      </c>
      <c r="T80" s="122">
        <f>IF($AL$80="","",IF(INDEX('Final Calculation Sheet'!$S$4:$S$40,$AL$80)="","",INDEX('Final Calculation Sheet'!$S$4:$S$40,$AL$80)))</f>
        <v/>
      </c>
      <c r="U80" s="122">
        <f>IF($AL$80="","",IF(INDEX('Final Calculation Sheet'!$T$4:$T$40,$AL$80)="","",INDEX('Final Calculation Sheet'!$T$4:$T$40,$AL$80)))</f>
        <v/>
      </c>
      <c r="V80" s="125">
        <f>IF($AL$80="","",IF(INDEX('Final Calculation Sheet'!$U$4:$U$40,$AL$80)="","",INDEX('Final Calculation Sheet'!$U$4:$U$40,$AL$80)))</f>
        <v/>
      </c>
      <c r="W80" s="122">
        <f>IF($AL$80="","",IF(INDEX('Final Calculation Sheet'!$V$4:$V$40,$AL$80)="","",INDEX('Final Calculation Sheet'!$V$4:$V$40,$AL$80)))</f>
        <v/>
      </c>
      <c r="X80" s="122">
        <f>IF($AL$80="","",IF(INDEX('Final Calculation Sheet'!$W$4:$W$40,$AL$80)="","",INDEX('Final Calculation Sheet'!$W$4:$W$40,$AL$80)))</f>
        <v/>
      </c>
      <c r="Y80" s="122">
        <f>IF($AL$80="","",IF(INDEX('Final Calculation Sheet'!$X$4:$X$40,$AL$80)="","",INDEX('Final Calculation Sheet'!$X$4:$X$40,$AL$80)))</f>
        <v/>
      </c>
      <c r="Z80" s="122">
        <f>IF($AL$80="","",IF(INDEX('Final Calculation Sheet'!$Y$4:$Y$40,$AL$80)="","",INDEX('Final Calculation Sheet'!$Y$4:$Y$40,$AL$80)))</f>
        <v/>
      </c>
      <c r="AA80" s="122">
        <f>IF($AL$80="","",IF(INDEX('Final Calculation Sheet'!$Z$4:$Z$40,$AL$80)="","",INDEX('Final Calculation Sheet'!$Z$4:$Z$40,$AL$80)))</f>
        <v/>
      </c>
      <c r="AB80" s="122">
        <f>IF($AL$80="","",IF(INDEX('Final Calculation Sheet'!$AA$4:$AA$40,$AL$80)="","",INDEX('Final Calculation Sheet'!$AA$4:$AA$40,$AL$80)))</f>
        <v/>
      </c>
      <c r="AC80" s="122">
        <f>IF($AL$80="","",IF(INDEX('Final Calculation Sheet'!$AB$4:$AB$40,$AL$80)="","",INDEX('Final Calculation Sheet'!$AB$4:$AB$40,$AL$80)))</f>
        <v/>
      </c>
      <c r="AD80" s="122">
        <f>IF($AL$80="","",IF(INDEX('Final Calculation Sheet'!$AC$4:$AC$40,$AL$80)="","",INDEX('Final Calculation Sheet'!$AC$4:$AC$40,$AL$80)))</f>
        <v/>
      </c>
      <c r="AE80" s="122">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f>IF(COUNTIF($B$4:$AI$4,"&lt;&gt;")=0,"",IFERROR(MATCH(21,$AK$6:$AK$42,0),""))</f>
        <v/>
      </c>
    </row>
    <row r="81">
      <c r="A81" s="128">
        <f>IF($AL$81="","",22)</f>
        <v/>
      </c>
      <c r="B81" s="129">
        <f>IF($AL$81="","",IF(INDEX('Final Calculation Sheet'!$F$4:$F$40,$AL$81)="","",INDEX('Final Calculation Sheet'!$F$4:$F$40,$AL$81)))</f>
        <v/>
      </c>
      <c r="C81" s="129">
        <f>IF($AL$81="","",IF(INDEX('Final Calculation Sheet'!$G$4:$G$40,$AL$81)="","",INDEX('Final Calculation Sheet'!$G$4:$G$40,$AL$81)))</f>
        <v/>
      </c>
      <c r="D81" s="130">
        <f>IF($AL$81="","",IF(INDEX('Final Calculation Sheet'!$B$4:$B$40,$AL$81)="","",INDEX('Final Calculation Sheet'!$B$4:$B$40,$AL$81)))</f>
        <v/>
      </c>
      <c r="E81" s="130">
        <f>IF($AL$81="","",IF(INDEX('Final Calculation Sheet'!$D$4:$D$40,$AL$81)="","",INDEX('Final Calculation Sheet'!$D$4:$D$40,$AL$81)))</f>
        <v/>
      </c>
      <c r="F81" s="130">
        <f>IF($AL$81="","",IF(INDEX('Final Calculation Sheet'!$A$4:$A$40,$AL$81)="","",INDEX('Final Calculation Sheet'!$A$4:$A$40,$AL$81)))</f>
        <v/>
      </c>
      <c r="G81" s="130">
        <f>IF($AL$81="","",IF(INDEX('Final Calculation Sheet'!$E$4:$E$40,$AL$81)="","",INDEX('Final Calculation Sheet'!$E$4:$E$40,$AL$81)))</f>
        <v/>
      </c>
      <c r="H81" s="131">
        <f>IF($AL$81="","",IF(INDEX('Final Calculation Sheet'!$C$4:$C$40,$AL$81)="","",INDEX('Final Calculation Sheet'!$C$4:$C$40,$AL$81)))</f>
        <v/>
      </c>
      <c r="I81" s="131">
        <f>IF($AL$81="","",IF(INDEX('Final Calculation Sheet'!$H$4:$H$40,$AL$81)="","",INDEX('Final Calculation Sheet'!$H$4:$H$40,$AL$81)))</f>
        <v/>
      </c>
      <c r="J81" s="131">
        <f>IF($AL$81="","",IF(INDEX('Final Calculation Sheet'!$I$4:$I$40,$AL$81)="","",INDEX('Final Calculation Sheet'!$I$4:$I$40,$AL$81)))</f>
        <v/>
      </c>
      <c r="K81" s="131">
        <f>IF($AL$81="","",IF(INDEX('Final Calculation Sheet'!$J$4:$J$40,$AL$81)="","",INDEX('Final Calculation Sheet'!$J$4:$J$40,$AL$81)))</f>
        <v/>
      </c>
      <c r="L81" s="131">
        <f>IF($AL$81="","",IF(INDEX('Final Calculation Sheet'!$K$4:$K$40,$AL$81)="","",INDEX('Final Calculation Sheet'!$K$4:$K$40,$AL$81)))</f>
        <v/>
      </c>
      <c r="M81" s="131">
        <f>IF($AL$81="","",IF(INDEX('Final Calculation Sheet'!$L$4:$L$40,$AL$81)="","",INDEX('Final Calculation Sheet'!$L$4:$L$40,$AL$81)))</f>
        <v/>
      </c>
      <c r="N81" s="131">
        <f>IF($AL$81="","",IF(INDEX('Final Calculation Sheet'!$M$4:$M$40,$AL$81)="","",INDEX('Final Calculation Sheet'!$M$4:$M$40,$AL$81)))</f>
        <v/>
      </c>
      <c r="O81" s="132">
        <f>IF($AL$81="","",IF(INDEX('Final Calculation Sheet'!$N$4:$N$40,$AL$81)="","",INDEX('Final Calculation Sheet'!$N$4:$N$40,$AL$81)))</f>
        <v/>
      </c>
      <c r="P81" s="131">
        <f>IF($AL$81="","",IF(INDEX('Final Calculation Sheet'!$O$4:$O$40,$AL$81)="","",INDEX('Final Calculation Sheet'!$O$4:$O$40,$AL$81)))</f>
        <v/>
      </c>
      <c r="Q81" s="131">
        <f>IF($AL$81="","",IF(INDEX('Final Calculation Sheet'!$P$4:$P$40,$AL$81)="","",INDEX('Final Calculation Sheet'!$P$4:$P$40,$AL$81)))</f>
        <v/>
      </c>
      <c r="R81" s="133">
        <f>IF($AL$81="","",IF(INDEX('Final Calculation Sheet'!$Q$4:$Q$40,$AL$81)="","",INDEX('Final Calculation Sheet'!$Q$4:$Q$40,$AL$81)))</f>
        <v/>
      </c>
      <c r="S81" s="131">
        <f>IF($AL$81="","",IF(INDEX('Final Calculation Sheet'!$R$4:$R$40,$AL$81)="","",INDEX('Final Calculation Sheet'!$R$4:$R$40,$AL$81)))</f>
        <v/>
      </c>
      <c r="T81" s="131">
        <f>IF($AL$81="","",IF(INDEX('Final Calculation Sheet'!$S$4:$S$40,$AL$81)="","",INDEX('Final Calculation Sheet'!$S$4:$S$40,$AL$81)))</f>
        <v/>
      </c>
      <c r="U81" s="131">
        <f>IF($AL$81="","",IF(INDEX('Final Calculation Sheet'!$T$4:$T$40,$AL$81)="","",INDEX('Final Calculation Sheet'!$T$4:$T$40,$AL$81)))</f>
        <v/>
      </c>
      <c r="V81" s="134">
        <f>IF($AL$81="","",IF(INDEX('Final Calculation Sheet'!$U$4:$U$40,$AL$81)="","",INDEX('Final Calculation Sheet'!$U$4:$U$40,$AL$81)))</f>
        <v/>
      </c>
      <c r="W81" s="131">
        <f>IF($AL$81="","",IF(INDEX('Final Calculation Sheet'!$V$4:$V$40,$AL$81)="","",INDEX('Final Calculation Sheet'!$V$4:$V$40,$AL$81)))</f>
        <v/>
      </c>
      <c r="X81" s="131">
        <f>IF($AL$81="","",IF(INDEX('Final Calculation Sheet'!$W$4:$W$40,$AL$81)="","",INDEX('Final Calculation Sheet'!$W$4:$W$40,$AL$81)))</f>
        <v/>
      </c>
      <c r="Y81" s="131">
        <f>IF($AL$81="","",IF(INDEX('Final Calculation Sheet'!$X$4:$X$40,$AL$81)="","",INDEX('Final Calculation Sheet'!$X$4:$X$40,$AL$81)))</f>
        <v/>
      </c>
      <c r="Z81" s="131">
        <f>IF($AL$81="","",IF(INDEX('Final Calculation Sheet'!$Y$4:$Y$40,$AL$81)="","",INDEX('Final Calculation Sheet'!$Y$4:$Y$40,$AL$81)))</f>
        <v/>
      </c>
      <c r="AA81" s="131">
        <f>IF($AL$81="","",IF(INDEX('Final Calculation Sheet'!$Z$4:$Z$40,$AL$81)="","",INDEX('Final Calculation Sheet'!$Z$4:$Z$40,$AL$81)))</f>
        <v/>
      </c>
      <c r="AB81" s="131">
        <f>IF($AL$81="","",IF(INDEX('Final Calculation Sheet'!$AA$4:$AA$40,$AL$81)="","",INDEX('Final Calculation Sheet'!$AA$4:$AA$40,$AL$81)))</f>
        <v/>
      </c>
      <c r="AC81" s="131">
        <f>IF($AL$81="","",IF(INDEX('Final Calculation Sheet'!$AB$4:$AB$40,$AL$81)="","",INDEX('Final Calculation Sheet'!$AB$4:$AB$40,$AL$81)))</f>
        <v/>
      </c>
      <c r="AD81" s="131">
        <f>IF($AL$81="","",IF(INDEX('Final Calculation Sheet'!$AC$4:$AC$40,$AL$81)="","",INDEX('Final Calculation Sheet'!$AC$4:$AC$40,$AL$81)))</f>
        <v/>
      </c>
      <c r="AE81" s="131">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f>IF(COUNTIF($B$4:$AI$4,"&lt;&gt;")=0,"",IFERROR(MATCH(22,$AK$6:$AK$42,0),""))</f>
        <v/>
      </c>
    </row>
    <row r="82">
      <c r="A82" s="118">
        <f>IF($AL$82="","",23)</f>
        <v/>
      </c>
      <c r="B82" s="119">
        <f>IF($AL$82="","",IF(INDEX('Final Calculation Sheet'!$F$4:$F$40,$AL$82)="","",INDEX('Final Calculation Sheet'!$F$4:$F$40,$AL$82)))</f>
        <v/>
      </c>
      <c r="C82" s="119">
        <f>IF($AL$82="","",IF(INDEX('Final Calculation Sheet'!$G$4:$G$40,$AL$82)="","",INDEX('Final Calculation Sheet'!$G$4:$G$40,$AL$82)))</f>
        <v/>
      </c>
      <c r="D82" s="121">
        <f>IF($AL$82="","",IF(INDEX('Final Calculation Sheet'!$B$4:$B$40,$AL$82)="","",INDEX('Final Calculation Sheet'!$B$4:$B$40,$AL$82)))</f>
        <v/>
      </c>
      <c r="E82" s="121">
        <f>IF($AL$82="","",IF(INDEX('Final Calculation Sheet'!$D$4:$D$40,$AL$82)="","",INDEX('Final Calculation Sheet'!$D$4:$D$40,$AL$82)))</f>
        <v/>
      </c>
      <c r="F82" s="121">
        <f>IF($AL$82="","",IF(INDEX('Final Calculation Sheet'!$A$4:$A$40,$AL$82)="","",INDEX('Final Calculation Sheet'!$A$4:$A$40,$AL$82)))</f>
        <v/>
      </c>
      <c r="G82" s="121">
        <f>IF($AL$82="","",IF(INDEX('Final Calculation Sheet'!$E$4:$E$40,$AL$82)="","",INDEX('Final Calculation Sheet'!$E$4:$E$40,$AL$82)))</f>
        <v/>
      </c>
      <c r="H82" s="122">
        <f>IF($AL$82="","",IF(INDEX('Final Calculation Sheet'!$C$4:$C$40,$AL$82)="","",INDEX('Final Calculation Sheet'!$C$4:$C$40,$AL$82)))</f>
        <v/>
      </c>
      <c r="I82" s="122">
        <f>IF($AL$82="","",IF(INDEX('Final Calculation Sheet'!$H$4:$H$40,$AL$82)="","",INDEX('Final Calculation Sheet'!$H$4:$H$40,$AL$82)))</f>
        <v/>
      </c>
      <c r="J82" s="122">
        <f>IF($AL$82="","",IF(INDEX('Final Calculation Sheet'!$I$4:$I$40,$AL$82)="","",INDEX('Final Calculation Sheet'!$I$4:$I$40,$AL$82)))</f>
        <v/>
      </c>
      <c r="K82" s="122">
        <f>IF($AL$82="","",IF(INDEX('Final Calculation Sheet'!$J$4:$J$40,$AL$82)="","",INDEX('Final Calculation Sheet'!$J$4:$J$40,$AL$82)))</f>
        <v/>
      </c>
      <c r="L82" s="122">
        <f>IF($AL$82="","",IF(INDEX('Final Calculation Sheet'!$K$4:$K$40,$AL$82)="","",INDEX('Final Calculation Sheet'!$K$4:$K$40,$AL$82)))</f>
        <v/>
      </c>
      <c r="M82" s="122">
        <f>IF($AL$82="","",IF(INDEX('Final Calculation Sheet'!$L$4:$L$40,$AL$82)="","",INDEX('Final Calculation Sheet'!$L$4:$L$40,$AL$82)))</f>
        <v/>
      </c>
      <c r="N82" s="122">
        <f>IF($AL$82="","",IF(INDEX('Final Calculation Sheet'!$M$4:$M$40,$AL$82)="","",INDEX('Final Calculation Sheet'!$M$4:$M$40,$AL$82)))</f>
        <v/>
      </c>
      <c r="O82" s="123">
        <f>IF($AL$82="","",IF(INDEX('Final Calculation Sheet'!$N$4:$N$40,$AL$82)="","",INDEX('Final Calculation Sheet'!$N$4:$N$40,$AL$82)))</f>
        <v/>
      </c>
      <c r="P82" s="122">
        <f>IF($AL$82="","",IF(INDEX('Final Calculation Sheet'!$O$4:$O$40,$AL$82)="","",INDEX('Final Calculation Sheet'!$O$4:$O$40,$AL$82)))</f>
        <v/>
      </c>
      <c r="Q82" s="122">
        <f>IF($AL$82="","",IF(INDEX('Final Calculation Sheet'!$P$4:$P$40,$AL$82)="","",INDEX('Final Calculation Sheet'!$P$4:$P$40,$AL$82)))</f>
        <v/>
      </c>
      <c r="R82" s="124">
        <f>IF($AL$82="","",IF(INDEX('Final Calculation Sheet'!$Q$4:$Q$40,$AL$82)="","",INDEX('Final Calculation Sheet'!$Q$4:$Q$40,$AL$82)))</f>
        <v/>
      </c>
      <c r="S82" s="122">
        <f>IF($AL$82="","",IF(INDEX('Final Calculation Sheet'!$R$4:$R$40,$AL$82)="","",INDEX('Final Calculation Sheet'!$R$4:$R$40,$AL$82)))</f>
        <v/>
      </c>
      <c r="T82" s="122">
        <f>IF($AL$82="","",IF(INDEX('Final Calculation Sheet'!$S$4:$S$40,$AL$82)="","",INDEX('Final Calculation Sheet'!$S$4:$S$40,$AL$82)))</f>
        <v/>
      </c>
      <c r="U82" s="122">
        <f>IF($AL$82="","",IF(INDEX('Final Calculation Sheet'!$T$4:$T$40,$AL$82)="","",INDEX('Final Calculation Sheet'!$T$4:$T$40,$AL$82)))</f>
        <v/>
      </c>
      <c r="V82" s="125">
        <f>IF($AL$82="","",IF(INDEX('Final Calculation Sheet'!$U$4:$U$40,$AL$82)="","",INDEX('Final Calculation Sheet'!$U$4:$U$40,$AL$82)))</f>
        <v/>
      </c>
      <c r="W82" s="122">
        <f>IF($AL$82="","",IF(INDEX('Final Calculation Sheet'!$V$4:$V$40,$AL$82)="","",INDEX('Final Calculation Sheet'!$V$4:$V$40,$AL$82)))</f>
        <v/>
      </c>
      <c r="X82" s="122">
        <f>IF($AL$82="","",IF(INDEX('Final Calculation Sheet'!$W$4:$W$40,$AL$82)="","",INDEX('Final Calculation Sheet'!$W$4:$W$40,$AL$82)))</f>
        <v/>
      </c>
      <c r="Y82" s="122">
        <f>IF($AL$82="","",IF(INDEX('Final Calculation Sheet'!$X$4:$X$40,$AL$82)="","",INDEX('Final Calculation Sheet'!$X$4:$X$40,$AL$82)))</f>
        <v/>
      </c>
      <c r="Z82" s="122">
        <f>IF($AL$82="","",IF(INDEX('Final Calculation Sheet'!$Y$4:$Y$40,$AL$82)="","",INDEX('Final Calculation Sheet'!$Y$4:$Y$40,$AL$82)))</f>
        <v/>
      </c>
      <c r="AA82" s="122">
        <f>IF($AL$82="","",IF(INDEX('Final Calculation Sheet'!$Z$4:$Z$40,$AL$82)="","",INDEX('Final Calculation Sheet'!$Z$4:$Z$40,$AL$82)))</f>
        <v/>
      </c>
      <c r="AB82" s="122">
        <f>IF($AL$82="","",IF(INDEX('Final Calculation Sheet'!$AA$4:$AA$40,$AL$82)="","",INDEX('Final Calculation Sheet'!$AA$4:$AA$40,$AL$82)))</f>
        <v/>
      </c>
      <c r="AC82" s="122">
        <f>IF($AL$82="","",IF(INDEX('Final Calculation Sheet'!$AB$4:$AB$40,$AL$82)="","",INDEX('Final Calculation Sheet'!$AB$4:$AB$40,$AL$82)))</f>
        <v/>
      </c>
      <c r="AD82" s="122">
        <f>IF($AL$82="","",IF(INDEX('Final Calculation Sheet'!$AC$4:$AC$40,$AL$82)="","",INDEX('Final Calculation Sheet'!$AC$4:$AC$40,$AL$82)))</f>
        <v/>
      </c>
      <c r="AE82" s="122">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f>IF(COUNTIF($B$4:$AI$4,"&lt;&gt;")=0,"",IFERROR(MATCH(23,$AK$6:$AK$42,0),""))</f>
        <v/>
      </c>
    </row>
    <row r="83">
      <c r="A83" s="128">
        <f>IF($AL$83="","",24)</f>
        <v/>
      </c>
      <c r="B83" s="129">
        <f>IF($AL$83="","",IF(INDEX('Final Calculation Sheet'!$F$4:$F$40,$AL$83)="","",INDEX('Final Calculation Sheet'!$F$4:$F$40,$AL$83)))</f>
        <v/>
      </c>
      <c r="C83" s="129">
        <f>IF($AL$83="","",IF(INDEX('Final Calculation Sheet'!$G$4:$G$40,$AL$83)="","",INDEX('Final Calculation Sheet'!$G$4:$G$40,$AL$83)))</f>
        <v/>
      </c>
      <c r="D83" s="130">
        <f>IF($AL$83="","",IF(INDEX('Final Calculation Sheet'!$B$4:$B$40,$AL$83)="","",INDEX('Final Calculation Sheet'!$B$4:$B$40,$AL$83)))</f>
        <v/>
      </c>
      <c r="E83" s="130">
        <f>IF($AL$83="","",IF(INDEX('Final Calculation Sheet'!$D$4:$D$40,$AL$83)="","",INDEX('Final Calculation Sheet'!$D$4:$D$40,$AL$83)))</f>
        <v/>
      </c>
      <c r="F83" s="130">
        <f>IF($AL$83="","",IF(INDEX('Final Calculation Sheet'!$A$4:$A$40,$AL$83)="","",INDEX('Final Calculation Sheet'!$A$4:$A$40,$AL$83)))</f>
        <v/>
      </c>
      <c r="G83" s="130">
        <f>IF($AL$83="","",IF(INDEX('Final Calculation Sheet'!$E$4:$E$40,$AL$83)="","",INDEX('Final Calculation Sheet'!$E$4:$E$40,$AL$83)))</f>
        <v/>
      </c>
      <c r="H83" s="131">
        <f>IF($AL$83="","",IF(INDEX('Final Calculation Sheet'!$C$4:$C$40,$AL$83)="","",INDEX('Final Calculation Sheet'!$C$4:$C$40,$AL$83)))</f>
        <v/>
      </c>
      <c r="I83" s="131">
        <f>IF($AL$83="","",IF(INDEX('Final Calculation Sheet'!$H$4:$H$40,$AL$83)="","",INDEX('Final Calculation Sheet'!$H$4:$H$40,$AL$83)))</f>
        <v/>
      </c>
      <c r="J83" s="131">
        <f>IF($AL$83="","",IF(INDEX('Final Calculation Sheet'!$I$4:$I$40,$AL$83)="","",INDEX('Final Calculation Sheet'!$I$4:$I$40,$AL$83)))</f>
        <v/>
      </c>
      <c r="K83" s="131">
        <f>IF($AL$83="","",IF(INDEX('Final Calculation Sheet'!$J$4:$J$40,$AL$83)="","",INDEX('Final Calculation Sheet'!$J$4:$J$40,$AL$83)))</f>
        <v/>
      </c>
      <c r="L83" s="131">
        <f>IF($AL$83="","",IF(INDEX('Final Calculation Sheet'!$K$4:$K$40,$AL$83)="","",INDEX('Final Calculation Sheet'!$K$4:$K$40,$AL$83)))</f>
        <v/>
      </c>
      <c r="M83" s="131">
        <f>IF($AL$83="","",IF(INDEX('Final Calculation Sheet'!$L$4:$L$40,$AL$83)="","",INDEX('Final Calculation Sheet'!$L$4:$L$40,$AL$83)))</f>
        <v/>
      </c>
      <c r="N83" s="131">
        <f>IF($AL$83="","",IF(INDEX('Final Calculation Sheet'!$M$4:$M$40,$AL$83)="","",INDEX('Final Calculation Sheet'!$M$4:$M$40,$AL$83)))</f>
        <v/>
      </c>
      <c r="O83" s="132">
        <f>IF($AL$83="","",IF(INDEX('Final Calculation Sheet'!$N$4:$N$40,$AL$83)="","",INDEX('Final Calculation Sheet'!$N$4:$N$40,$AL$83)))</f>
        <v/>
      </c>
      <c r="P83" s="131">
        <f>IF($AL$83="","",IF(INDEX('Final Calculation Sheet'!$O$4:$O$40,$AL$83)="","",INDEX('Final Calculation Sheet'!$O$4:$O$40,$AL$83)))</f>
        <v/>
      </c>
      <c r="Q83" s="131">
        <f>IF($AL$83="","",IF(INDEX('Final Calculation Sheet'!$P$4:$P$40,$AL$83)="","",INDEX('Final Calculation Sheet'!$P$4:$P$40,$AL$83)))</f>
        <v/>
      </c>
      <c r="R83" s="133">
        <f>IF($AL$83="","",IF(INDEX('Final Calculation Sheet'!$Q$4:$Q$40,$AL$83)="","",INDEX('Final Calculation Sheet'!$Q$4:$Q$40,$AL$83)))</f>
        <v/>
      </c>
      <c r="S83" s="131">
        <f>IF($AL$83="","",IF(INDEX('Final Calculation Sheet'!$R$4:$R$40,$AL$83)="","",INDEX('Final Calculation Sheet'!$R$4:$R$40,$AL$83)))</f>
        <v/>
      </c>
      <c r="T83" s="131">
        <f>IF($AL$83="","",IF(INDEX('Final Calculation Sheet'!$S$4:$S$40,$AL$83)="","",INDEX('Final Calculation Sheet'!$S$4:$S$40,$AL$83)))</f>
        <v/>
      </c>
      <c r="U83" s="131">
        <f>IF($AL$83="","",IF(INDEX('Final Calculation Sheet'!$T$4:$T$40,$AL$83)="","",INDEX('Final Calculation Sheet'!$T$4:$T$40,$AL$83)))</f>
        <v/>
      </c>
      <c r="V83" s="134">
        <f>IF($AL$83="","",IF(INDEX('Final Calculation Sheet'!$U$4:$U$40,$AL$83)="","",INDEX('Final Calculation Sheet'!$U$4:$U$40,$AL$83)))</f>
        <v/>
      </c>
      <c r="W83" s="131">
        <f>IF($AL$83="","",IF(INDEX('Final Calculation Sheet'!$V$4:$V$40,$AL$83)="","",INDEX('Final Calculation Sheet'!$V$4:$V$40,$AL$83)))</f>
        <v/>
      </c>
      <c r="X83" s="131">
        <f>IF($AL$83="","",IF(INDEX('Final Calculation Sheet'!$W$4:$W$40,$AL$83)="","",INDEX('Final Calculation Sheet'!$W$4:$W$40,$AL$83)))</f>
        <v/>
      </c>
      <c r="Y83" s="131">
        <f>IF($AL$83="","",IF(INDEX('Final Calculation Sheet'!$X$4:$X$40,$AL$83)="","",INDEX('Final Calculation Sheet'!$X$4:$X$40,$AL$83)))</f>
        <v/>
      </c>
      <c r="Z83" s="131">
        <f>IF($AL$83="","",IF(INDEX('Final Calculation Sheet'!$Y$4:$Y$40,$AL$83)="","",INDEX('Final Calculation Sheet'!$Y$4:$Y$40,$AL$83)))</f>
        <v/>
      </c>
      <c r="AA83" s="131">
        <f>IF($AL$83="","",IF(INDEX('Final Calculation Sheet'!$Z$4:$Z$40,$AL$83)="","",INDEX('Final Calculation Sheet'!$Z$4:$Z$40,$AL$83)))</f>
        <v/>
      </c>
      <c r="AB83" s="131">
        <f>IF($AL$83="","",IF(INDEX('Final Calculation Sheet'!$AA$4:$AA$40,$AL$83)="","",INDEX('Final Calculation Sheet'!$AA$4:$AA$40,$AL$83)))</f>
        <v/>
      </c>
      <c r="AC83" s="131">
        <f>IF($AL$83="","",IF(INDEX('Final Calculation Sheet'!$AB$4:$AB$40,$AL$83)="","",INDEX('Final Calculation Sheet'!$AB$4:$AB$40,$AL$83)))</f>
        <v/>
      </c>
      <c r="AD83" s="131">
        <f>IF($AL$83="","",IF(INDEX('Final Calculation Sheet'!$AC$4:$AC$40,$AL$83)="","",INDEX('Final Calculation Sheet'!$AC$4:$AC$40,$AL$83)))</f>
        <v/>
      </c>
      <c r="AE83" s="131">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f>IF(COUNTIF($B$4:$AI$4,"&lt;&gt;")=0,"",IFERROR(MATCH(24,$AK$6:$AK$42,0),""))</f>
        <v/>
      </c>
    </row>
    <row r="84">
      <c r="A84" s="118">
        <f>IF($AL$84="","",25)</f>
        <v/>
      </c>
      <c r="B84" s="119">
        <f>IF($AL$84="","",IF(INDEX('Final Calculation Sheet'!$F$4:$F$40,$AL$84)="","",INDEX('Final Calculation Sheet'!$F$4:$F$40,$AL$84)))</f>
        <v/>
      </c>
      <c r="C84" s="119">
        <f>IF($AL$84="","",IF(INDEX('Final Calculation Sheet'!$G$4:$G$40,$AL$84)="","",INDEX('Final Calculation Sheet'!$G$4:$G$40,$AL$84)))</f>
        <v/>
      </c>
      <c r="D84" s="121">
        <f>IF($AL$84="","",IF(INDEX('Final Calculation Sheet'!$B$4:$B$40,$AL$84)="","",INDEX('Final Calculation Sheet'!$B$4:$B$40,$AL$84)))</f>
        <v/>
      </c>
      <c r="E84" s="121">
        <f>IF($AL$84="","",IF(INDEX('Final Calculation Sheet'!$D$4:$D$40,$AL$84)="","",INDEX('Final Calculation Sheet'!$D$4:$D$40,$AL$84)))</f>
        <v/>
      </c>
      <c r="F84" s="121">
        <f>IF($AL$84="","",IF(INDEX('Final Calculation Sheet'!$A$4:$A$40,$AL$84)="","",INDEX('Final Calculation Sheet'!$A$4:$A$40,$AL$84)))</f>
        <v/>
      </c>
      <c r="G84" s="121">
        <f>IF($AL$84="","",IF(INDEX('Final Calculation Sheet'!$E$4:$E$40,$AL$84)="","",INDEX('Final Calculation Sheet'!$E$4:$E$40,$AL$84)))</f>
        <v/>
      </c>
      <c r="H84" s="122">
        <f>IF($AL$84="","",IF(INDEX('Final Calculation Sheet'!$C$4:$C$40,$AL$84)="","",INDEX('Final Calculation Sheet'!$C$4:$C$40,$AL$84)))</f>
        <v/>
      </c>
      <c r="I84" s="122">
        <f>IF($AL$84="","",IF(INDEX('Final Calculation Sheet'!$H$4:$H$40,$AL$84)="","",INDEX('Final Calculation Sheet'!$H$4:$H$40,$AL$84)))</f>
        <v/>
      </c>
      <c r="J84" s="122">
        <f>IF($AL$84="","",IF(INDEX('Final Calculation Sheet'!$I$4:$I$40,$AL$84)="","",INDEX('Final Calculation Sheet'!$I$4:$I$40,$AL$84)))</f>
        <v/>
      </c>
      <c r="K84" s="122">
        <f>IF($AL$84="","",IF(INDEX('Final Calculation Sheet'!$J$4:$J$40,$AL$84)="","",INDEX('Final Calculation Sheet'!$J$4:$J$40,$AL$84)))</f>
        <v/>
      </c>
      <c r="L84" s="122">
        <f>IF($AL$84="","",IF(INDEX('Final Calculation Sheet'!$K$4:$K$40,$AL$84)="","",INDEX('Final Calculation Sheet'!$K$4:$K$40,$AL$84)))</f>
        <v/>
      </c>
      <c r="M84" s="122">
        <f>IF($AL$84="","",IF(INDEX('Final Calculation Sheet'!$L$4:$L$40,$AL$84)="","",INDEX('Final Calculation Sheet'!$L$4:$L$40,$AL$84)))</f>
        <v/>
      </c>
      <c r="N84" s="122">
        <f>IF($AL$84="","",IF(INDEX('Final Calculation Sheet'!$M$4:$M$40,$AL$84)="","",INDEX('Final Calculation Sheet'!$M$4:$M$40,$AL$84)))</f>
        <v/>
      </c>
      <c r="O84" s="123">
        <f>IF($AL$84="","",IF(INDEX('Final Calculation Sheet'!$N$4:$N$40,$AL$84)="","",INDEX('Final Calculation Sheet'!$N$4:$N$40,$AL$84)))</f>
        <v/>
      </c>
      <c r="P84" s="122">
        <f>IF($AL$84="","",IF(INDEX('Final Calculation Sheet'!$O$4:$O$40,$AL$84)="","",INDEX('Final Calculation Sheet'!$O$4:$O$40,$AL$84)))</f>
        <v/>
      </c>
      <c r="Q84" s="122">
        <f>IF($AL$84="","",IF(INDEX('Final Calculation Sheet'!$P$4:$P$40,$AL$84)="","",INDEX('Final Calculation Sheet'!$P$4:$P$40,$AL$84)))</f>
        <v/>
      </c>
      <c r="R84" s="124">
        <f>IF($AL$84="","",IF(INDEX('Final Calculation Sheet'!$Q$4:$Q$40,$AL$84)="","",INDEX('Final Calculation Sheet'!$Q$4:$Q$40,$AL$84)))</f>
        <v/>
      </c>
      <c r="S84" s="122">
        <f>IF($AL$84="","",IF(INDEX('Final Calculation Sheet'!$R$4:$R$40,$AL$84)="","",INDEX('Final Calculation Sheet'!$R$4:$R$40,$AL$84)))</f>
        <v/>
      </c>
      <c r="T84" s="122">
        <f>IF($AL$84="","",IF(INDEX('Final Calculation Sheet'!$S$4:$S$40,$AL$84)="","",INDEX('Final Calculation Sheet'!$S$4:$S$40,$AL$84)))</f>
        <v/>
      </c>
      <c r="U84" s="122">
        <f>IF($AL$84="","",IF(INDEX('Final Calculation Sheet'!$T$4:$T$40,$AL$84)="","",INDEX('Final Calculation Sheet'!$T$4:$T$40,$AL$84)))</f>
        <v/>
      </c>
      <c r="V84" s="125">
        <f>IF($AL$84="","",IF(INDEX('Final Calculation Sheet'!$U$4:$U$40,$AL$84)="","",INDEX('Final Calculation Sheet'!$U$4:$U$40,$AL$84)))</f>
        <v/>
      </c>
      <c r="W84" s="122">
        <f>IF($AL$84="","",IF(INDEX('Final Calculation Sheet'!$V$4:$V$40,$AL$84)="","",INDEX('Final Calculation Sheet'!$V$4:$V$40,$AL$84)))</f>
        <v/>
      </c>
      <c r="X84" s="122">
        <f>IF($AL$84="","",IF(INDEX('Final Calculation Sheet'!$W$4:$W$40,$AL$84)="","",INDEX('Final Calculation Sheet'!$W$4:$W$40,$AL$84)))</f>
        <v/>
      </c>
      <c r="Y84" s="122">
        <f>IF($AL$84="","",IF(INDEX('Final Calculation Sheet'!$X$4:$X$40,$AL$84)="","",INDEX('Final Calculation Sheet'!$X$4:$X$40,$AL$84)))</f>
        <v/>
      </c>
      <c r="Z84" s="122">
        <f>IF($AL$84="","",IF(INDEX('Final Calculation Sheet'!$Y$4:$Y$40,$AL$84)="","",INDEX('Final Calculation Sheet'!$Y$4:$Y$40,$AL$84)))</f>
        <v/>
      </c>
      <c r="AA84" s="122">
        <f>IF($AL$84="","",IF(INDEX('Final Calculation Sheet'!$Z$4:$Z$40,$AL$84)="","",INDEX('Final Calculation Sheet'!$Z$4:$Z$40,$AL$84)))</f>
        <v/>
      </c>
      <c r="AB84" s="122">
        <f>IF($AL$84="","",IF(INDEX('Final Calculation Sheet'!$AA$4:$AA$40,$AL$84)="","",INDEX('Final Calculation Sheet'!$AA$4:$AA$40,$AL$84)))</f>
        <v/>
      </c>
      <c r="AC84" s="122">
        <f>IF($AL$84="","",IF(INDEX('Final Calculation Sheet'!$AB$4:$AB$40,$AL$84)="","",INDEX('Final Calculation Sheet'!$AB$4:$AB$40,$AL$84)))</f>
        <v/>
      </c>
      <c r="AD84" s="122">
        <f>IF($AL$84="","",IF(INDEX('Final Calculation Sheet'!$AC$4:$AC$40,$AL$84)="","",INDEX('Final Calculation Sheet'!$AC$4:$AC$40,$AL$84)))</f>
        <v/>
      </c>
      <c r="AE84" s="122">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f>IF(COUNTIF($B$4:$AI$4,"&lt;&gt;")=0,"",IFERROR(MATCH(25,$AK$6:$AK$42,0),""))</f>
        <v/>
      </c>
    </row>
    <row r="85">
      <c r="A85" s="128">
        <f>IF($AL$85="","",26)</f>
        <v/>
      </c>
      <c r="B85" s="129">
        <f>IF($AL$85="","",IF(INDEX('Final Calculation Sheet'!$F$4:$F$40,$AL$85)="","",INDEX('Final Calculation Sheet'!$F$4:$F$40,$AL$85)))</f>
        <v/>
      </c>
      <c r="C85" s="129">
        <f>IF($AL$85="","",IF(INDEX('Final Calculation Sheet'!$G$4:$G$40,$AL$85)="","",INDEX('Final Calculation Sheet'!$G$4:$G$40,$AL$85)))</f>
        <v/>
      </c>
      <c r="D85" s="130">
        <f>IF($AL$85="","",IF(INDEX('Final Calculation Sheet'!$B$4:$B$40,$AL$85)="","",INDEX('Final Calculation Sheet'!$B$4:$B$40,$AL$85)))</f>
        <v/>
      </c>
      <c r="E85" s="130">
        <f>IF($AL$85="","",IF(INDEX('Final Calculation Sheet'!$D$4:$D$40,$AL$85)="","",INDEX('Final Calculation Sheet'!$D$4:$D$40,$AL$85)))</f>
        <v/>
      </c>
      <c r="F85" s="130">
        <f>IF($AL$85="","",IF(INDEX('Final Calculation Sheet'!$A$4:$A$40,$AL$85)="","",INDEX('Final Calculation Sheet'!$A$4:$A$40,$AL$85)))</f>
        <v/>
      </c>
      <c r="G85" s="130">
        <f>IF($AL$85="","",IF(INDEX('Final Calculation Sheet'!$E$4:$E$40,$AL$85)="","",INDEX('Final Calculation Sheet'!$E$4:$E$40,$AL$85)))</f>
        <v/>
      </c>
      <c r="H85" s="131">
        <f>IF($AL$85="","",IF(INDEX('Final Calculation Sheet'!$C$4:$C$40,$AL$85)="","",INDEX('Final Calculation Sheet'!$C$4:$C$40,$AL$85)))</f>
        <v/>
      </c>
      <c r="I85" s="131">
        <f>IF($AL$85="","",IF(INDEX('Final Calculation Sheet'!$H$4:$H$40,$AL$85)="","",INDEX('Final Calculation Sheet'!$H$4:$H$40,$AL$85)))</f>
        <v/>
      </c>
      <c r="J85" s="131">
        <f>IF($AL$85="","",IF(INDEX('Final Calculation Sheet'!$I$4:$I$40,$AL$85)="","",INDEX('Final Calculation Sheet'!$I$4:$I$40,$AL$85)))</f>
        <v/>
      </c>
      <c r="K85" s="131">
        <f>IF($AL$85="","",IF(INDEX('Final Calculation Sheet'!$J$4:$J$40,$AL$85)="","",INDEX('Final Calculation Sheet'!$J$4:$J$40,$AL$85)))</f>
        <v/>
      </c>
      <c r="L85" s="131">
        <f>IF($AL$85="","",IF(INDEX('Final Calculation Sheet'!$K$4:$K$40,$AL$85)="","",INDEX('Final Calculation Sheet'!$K$4:$K$40,$AL$85)))</f>
        <v/>
      </c>
      <c r="M85" s="131">
        <f>IF($AL$85="","",IF(INDEX('Final Calculation Sheet'!$L$4:$L$40,$AL$85)="","",INDEX('Final Calculation Sheet'!$L$4:$L$40,$AL$85)))</f>
        <v/>
      </c>
      <c r="N85" s="131">
        <f>IF($AL$85="","",IF(INDEX('Final Calculation Sheet'!$M$4:$M$40,$AL$85)="","",INDEX('Final Calculation Sheet'!$M$4:$M$40,$AL$85)))</f>
        <v/>
      </c>
      <c r="O85" s="132">
        <f>IF($AL$85="","",IF(INDEX('Final Calculation Sheet'!$N$4:$N$40,$AL$85)="","",INDEX('Final Calculation Sheet'!$N$4:$N$40,$AL$85)))</f>
        <v/>
      </c>
      <c r="P85" s="131">
        <f>IF($AL$85="","",IF(INDEX('Final Calculation Sheet'!$O$4:$O$40,$AL$85)="","",INDEX('Final Calculation Sheet'!$O$4:$O$40,$AL$85)))</f>
        <v/>
      </c>
      <c r="Q85" s="131">
        <f>IF($AL$85="","",IF(INDEX('Final Calculation Sheet'!$P$4:$P$40,$AL$85)="","",INDEX('Final Calculation Sheet'!$P$4:$P$40,$AL$85)))</f>
        <v/>
      </c>
      <c r="R85" s="133">
        <f>IF($AL$85="","",IF(INDEX('Final Calculation Sheet'!$Q$4:$Q$40,$AL$85)="","",INDEX('Final Calculation Sheet'!$Q$4:$Q$40,$AL$85)))</f>
        <v/>
      </c>
      <c r="S85" s="131">
        <f>IF($AL$85="","",IF(INDEX('Final Calculation Sheet'!$R$4:$R$40,$AL$85)="","",INDEX('Final Calculation Sheet'!$R$4:$R$40,$AL$85)))</f>
        <v/>
      </c>
      <c r="T85" s="131">
        <f>IF($AL$85="","",IF(INDEX('Final Calculation Sheet'!$S$4:$S$40,$AL$85)="","",INDEX('Final Calculation Sheet'!$S$4:$S$40,$AL$85)))</f>
        <v/>
      </c>
      <c r="U85" s="131">
        <f>IF($AL$85="","",IF(INDEX('Final Calculation Sheet'!$T$4:$T$40,$AL$85)="","",INDEX('Final Calculation Sheet'!$T$4:$T$40,$AL$85)))</f>
        <v/>
      </c>
      <c r="V85" s="134">
        <f>IF($AL$85="","",IF(INDEX('Final Calculation Sheet'!$U$4:$U$40,$AL$85)="","",INDEX('Final Calculation Sheet'!$U$4:$U$40,$AL$85)))</f>
        <v/>
      </c>
      <c r="W85" s="131">
        <f>IF($AL$85="","",IF(INDEX('Final Calculation Sheet'!$V$4:$V$40,$AL$85)="","",INDEX('Final Calculation Sheet'!$V$4:$V$40,$AL$85)))</f>
        <v/>
      </c>
      <c r="X85" s="131">
        <f>IF($AL$85="","",IF(INDEX('Final Calculation Sheet'!$W$4:$W$40,$AL$85)="","",INDEX('Final Calculation Sheet'!$W$4:$W$40,$AL$85)))</f>
        <v/>
      </c>
      <c r="Y85" s="131">
        <f>IF($AL$85="","",IF(INDEX('Final Calculation Sheet'!$X$4:$X$40,$AL$85)="","",INDEX('Final Calculation Sheet'!$X$4:$X$40,$AL$85)))</f>
        <v/>
      </c>
      <c r="Z85" s="131">
        <f>IF($AL$85="","",IF(INDEX('Final Calculation Sheet'!$Y$4:$Y$40,$AL$85)="","",INDEX('Final Calculation Sheet'!$Y$4:$Y$40,$AL$85)))</f>
        <v/>
      </c>
      <c r="AA85" s="131">
        <f>IF($AL$85="","",IF(INDEX('Final Calculation Sheet'!$Z$4:$Z$40,$AL$85)="","",INDEX('Final Calculation Sheet'!$Z$4:$Z$40,$AL$85)))</f>
        <v/>
      </c>
      <c r="AB85" s="131">
        <f>IF($AL$85="","",IF(INDEX('Final Calculation Sheet'!$AA$4:$AA$40,$AL$85)="","",INDEX('Final Calculation Sheet'!$AA$4:$AA$40,$AL$85)))</f>
        <v/>
      </c>
      <c r="AC85" s="131">
        <f>IF($AL$85="","",IF(INDEX('Final Calculation Sheet'!$AB$4:$AB$40,$AL$85)="","",INDEX('Final Calculation Sheet'!$AB$4:$AB$40,$AL$85)))</f>
        <v/>
      </c>
      <c r="AD85" s="131">
        <f>IF($AL$85="","",IF(INDEX('Final Calculation Sheet'!$AC$4:$AC$40,$AL$85)="","",INDEX('Final Calculation Sheet'!$AC$4:$AC$40,$AL$85)))</f>
        <v/>
      </c>
      <c r="AE85" s="131">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f>IF(COUNTIF($B$4:$AI$4,"&lt;&gt;")=0,"",IFERROR(MATCH(26,$AK$6:$AK$42,0),""))</f>
        <v/>
      </c>
    </row>
    <row r="86">
      <c r="A86" s="118">
        <f>IF($AL$86="","",27)</f>
        <v/>
      </c>
      <c r="B86" s="119">
        <f>IF($AL$86="","",IF(INDEX('Final Calculation Sheet'!$F$4:$F$40,$AL$86)="","",INDEX('Final Calculation Sheet'!$F$4:$F$40,$AL$86)))</f>
        <v/>
      </c>
      <c r="C86" s="119">
        <f>IF($AL$86="","",IF(INDEX('Final Calculation Sheet'!$G$4:$G$40,$AL$86)="","",INDEX('Final Calculation Sheet'!$G$4:$G$40,$AL$86)))</f>
        <v/>
      </c>
      <c r="D86" s="121">
        <f>IF($AL$86="","",IF(INDEX('Final Calculation Sheet'!$B$4:$B$40,$AL$86)="","",INDEX('Final Calculation Sheet'!$B$4:$B$40,$AL$86)))</f>
        <v/>
      </c>
      <c r="E86" s="121">
        <f>IF($AL$86="","",IF(INDEX('Final Calculation Sheet'!$D$4:$D$40,$AL$86)="","",INDEX('Final Calculation Sheet'!$D$4:$D$40,$AL$86)))</f>
        <v/>
      </c>
      <c r="F86" s="121">
        <f>IF($AL$86="","",IF(INDEX('Final Calculation Sheet'!$A$4:$A$40,$AL$86)="","",INDEX('Final Calculation Sheet'!$A$4:$A$40,$AL$86)))</f>
        <v/>
      </c>
      <c r="G86" s="121">
        <f>IF($AL$86="","",IF(INDEX('Final Calculation Sheet'!$E$4:$E$40,$AL$86)="","",INDEX('Final Calculation Sheet'!$E$4:$E$40,$AL$86)))</f>
        <v/>
      </c>
      <c r="H86" s="122">
        <f>IF($AL$86="","",IF(INDEX('Final Calculation Sheet'!$C$4:$C$40,$AL$86)="","",INDEX('Final Calculation Sheet'!$C$4:$C$40,$AL$86)))</f>
        <v/>
      </c>
      <c r="I86" s="122">
        <f>IF($AL$86="","",IF(INDEX('Final Calculation Sheet'!$H$4:$H$40,$AL$86)="","",INDEX('Final Calculation Sheet'!$H$4:$H$40,$AL$86)))</f>
        <v/>
      </c>
      <c r="J86" s="122">
        <f>IF($AL$86="","",IF(INDEX('Final Calculation Sheet'!$I$4:$I$40,$AL$86)="","",INDEX('Final Calculation Sheet'!$I$4:$I$40,$AL$86)))</f>
        <v/>
      </c>
      <c r="K86" s="122">
        <f>IF($AL$86="","",IF(INDEX('Final Calculation Sheet'!$J$4:$J$40,$AL$86)="","",INDEX('Final Calculation Sheet'!$J$4:$J$40,$AL$86)))</f>
        <v/>
      </c>
      <c r="L86" s="122">
        <f>IF($AL$86="","",IF(INDEX('Final Calculation Sheet'!$K$4:$K$40,$AL$86)="","",INDEX('Final Calculation Sheet'!$K$4:$K$40,$AL$86)))</f>
        <v/>
      </c>
      <c r="M86" s="122">
        <f>IF($AL$86="","",IF(INDEX('Final Calculation Sheet'!$L$4:$L$40,$AL$86)="","",INDEX('Final Calculation Sheet'!$L$4:$L$40,$AL$86)))</f>
        <v/>
      </c>
      <c r="N86" s="122">
        <f>IF($AL$86="","",IF(INDEX('Final Calculation Sheet'!$M$4:$M$40,$AL$86)="","",INDEX('Final Calculation Sheet'!$M$4:$M$40,$AL$86)))</f>
        <v/>
      </c>
      <c r="O86" s="123">
        <f>IF($AL$86="","",IF(INDEX('Final Calculation Sheet'!$N$4:$N$40,$AL$86)="","",INDEX('Final Calculation Sheet'!$N$4:$N$40,$AL$86)))</f>
        <v/>
      </c>
      <c r="P86" s="122">
        <f>IF($AL$86="","",IF(INDEX('Final Calculation Sheet'!$O$4:$O$40,$AL$86)="","",INDEX('Final Calculation Sheet'!$O$4:$O$40,$AL$86)))</f>
        <v/>
      </c>
      <c r="Q86" s="122">
        <f>IF($AL$86="","",IF(INDEX('Final Calculation Sheet'!$P$4:$P$40,$AL$86)="","",INDEX('Final Calculation Sheet'!$P$4:$P$40,$AL$86)))</f>
        <v/>
      </c>
      <c r="R86" s="124">
        <f>IF($AL$86="","",IF(INDEX('Final Calculation Sheet'!$Q$4:$Q$40,$AL$86)="","",INDEX('Final Calculation Sheet'!$Q$4:$Q$40,$AL$86)))</f>
        <v/>
      </c>
      <c r="S86" s="122">
        <f>IF($AL$86="","",IF(INDEX('Final Calculation Sheet'!$R$4:$R$40,$AL$86)="","",INDEX('Final Calculation Sheet'!$R$4:$R$40,$AL$86)))</f>
        <v/>
      </c>
      <c r="T86" s="122">
        <f>IF($AL$86="","",IF(INDEX('Final Calculation Sheet'!$S$4:$S$40,$AL$86)="","",INDEX('Final Calculation Sheet'!$S$4:$S$40,$AL$86)))</f>
        <v/>
      </c>
      <c r="U86" s="122">
        <f>IF($AL$86="","",IF(INDEX('Final Calculation Sheet'!$T$4:$T$40,$AL$86)="","",INDEX('Final Calculation Sheet'!$T$4:$T$40,$AL$86)))</f>
        <v/>
      </c>
      <c r="V86" s="125">
        <f>IF($AL$86="","",IF(INDEX('Final Calculation Sheet'!$U$4:$U$40,$AL$86)="","",INDEX('Final Calculation Sheet'!$U$4:$U$40,$AL$86)))</f>
        <v/>
      </c>
      <c r="W86" s="122">
        <f>IF($AL$86="","",IF(INDEX('Final Calculation Sheet'!$V$4:$V$40,$AL$86)="","",INDEX('Final Calculation Sheet'!$V$4:$V$40,$AL$86)))</f>
        <v/>
      </c>
      <c r="X86" s="122">
        <f>IF($AL$86="","",IF(INDEX('Final Calculation Sheet'!$W$4:$W$40,$AL$86)="","",INDEX('Final Calculation Sheet'!$W$4:$W$40,$AL$86)))</f>
        <v/>
      </c>
      <c r="Y86" s="122">
        <f>IF($AL$86="","",IF(INDEX('Final Calculation Sheet'!$X$4:$X$40,$AL$86)="","",INDEX('Final Calculation Sheet'!$X$4:$X$40,$AL$86)))</f>
        <v/>
      </c>
      <c r="Z86" s="122">
        <f>IF($AL$86="","",IF(INDEX('Final Calculation Sheet'!$Y$4:$Y$40,$AL$86)="","",INDEX('Final Calculation Sheet'!$Y$4:$Y$40,$AL$86)))</f>
        <v/>
      </c>
      <c r="AA86" s="122">
        <f>IF($AL$86="","",IF(INDEX('Final Calculation Sheet'!$Z$4:$Z$40,$AL$86)="","",INDEX('Final Calculation Sheet'!$Z$4:$Z$40,$AL$86)))</f>
        <v/>
      </c>
      <c r="AB86" s="122">
        <f>IF($AL$86="","",IF(INDEX('Final Calculation Sheet'!$AA$4:$AA$40,$AL$86)="","",INDEX('Final Calculation Sheet'!$AA$4:$AA$40,$AL$86)))</f>
        <v/>
      </c>
      <c r="AC86" s="122">
        <f>IF($AL$86="","",IF(INDEX('Final Calculation Sheet'!$AB$4:$AB$40,$AL$86)="","",INDEX('Final Calculation Sheet'!$AB$4:$AB$40,$AL$86)))</f>
        <v/>
      </c>
      <c r="AD86" s="122">
        <f>IF($AL$86="","",IF(INDEX('Final Calculation Sheet'!$AC$4:$AC$40,$AL$86)="","",INDEX('Final Calculation Sheet'!$AC$4:$AC$40,$AL$86)))</f>
        <v/>
      </c>
      <c r="AE86" s="122">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f>IF(COUNTIF($B$4:$AI$4,"&lt;&gt;")=0,"",IFERROR(MATCH(27,$AK$6:$AK$42,0),""))</f>
        <v/>
      </c>
    </row>
    <row r="87">
      <c r="A87" s="128">
        <f>IF($AL$87="","",28)</f>
        <v/>
      </c>
      <c r="B87" s="129">
        <f>IF($AL$87="","",IF(INDEX('Final Calculation Sheet'!$F$4:$F$40,$AL$87)="","",INDEX('Final Calculation Sheet'!$F$4:$F$40,$AL$87)))</f>
        <v/>
      </c>
      <c r="C87" s="129">
        <f>IF($AL$87="","",IF(INDEX('Final Calculation Sheet'!$G$4:$G$40,$AL$87)="","",INDEX('Final Calculation Sheet'!$G$4:$G$40,$AL$87)))</f>
        <v/>
      </c>
      <c r="D87" s="130">
        <f>IF($AL$87="","",IF(INDEX('Final Calculation Sheet'!$B$4:$B$40,$AL$87)="","",INDEX('Final Calculation Sheet'!$B$4:$B$40,$AL$87)))</f>
        <v/>
      </c>
      <c r="E87" s="130">
        <f>IF($AL$87="","",IF(INDEX('Final Calculation Sheet'!$D$4:$D$40,$AL$87)="","",INDEX('Final Calculation Sheet'!$D$4:$D$40,$AL$87)))</f>
        <v/>
      </c>
      <c r="F87" s="130">
        <f>IF($AL$87="","",IF(INDEX('Final Calculation Sheet'!$A$4:$A$40,$AL$87)="","",INDEX('Final Calculation Sheet'!$A$4:$A$40,$AL$87)))</f>
        <v/>
      </c>
      <c r="G87" s="130">
        <f>IF($AL$87="","",IF(INDEX('Final Calculation Sheet'!$E$4:$E$40,$AL$87)="","",INDEX('Final Calculation Sheet'!$E$4:$E$40,$AL$87)))</f>
        <v/>
      </c>
      <c r="H87" s="131">
        <f>IF($AL$87="","",IF(INDEX('Final Calculation Sheet'!$C$4:$C$40,$AL$87)="","",INDEX('Final Calculation Sheet'!$C$4:$C$40,$AL$87)))</f>
        <v/>
      </c>
      <c r="I87" s="131">
        <f>IF($AL$87="","",IF(INDEX('Final Calculation Sheet'!$H$4:$H$40,$AL$87)="","",INDEX('Final Calculation Sheet'!$H$4:$H$40,$AL$87)))</f>
        <v/>
      </c>
      <c r="J87" s="131">
        <f>IF($AL$87="","",IF(INDEX('Final Calculation Sheet'!$I$4:$I$40,$AL$87)="","",INDEX('Final Calculation Sheet'!$I$4:$I$40,$AL$87)))</f>
        <v/>
      </c>
      <c r="K87" s="131">
        <f>IF($AL$87="","",IF(INDEX('Final Calculation Sheet'!$J$4:$J$40,$AL$87)="","",INDEX('Final Calculation Sheet'!$J$4:$J$40,$AL$87)))</f>
        <v/>
      </c>
      <c r="L87" s="131">
        <f>IF($AL$87="","",IF(INDEX('Final Calculation Sheet'!$K$4:$K$40,$AL$87)="","",INDEX('Final Calculation Sheet'!$K$4:$K$40,$AL$87)))</f>
        <v/>
      </c>
      <c r="M87" s="131">
        <f>IF($AL$87="","",IF(INDEX('Final Calculation Sheet'!$L$4:$L$40,$AL$87)="","",INDEX('Final Calculation Sheet'!$L$4:$L$40,$AL$87)))</f>
        <v/>
      </c>
      <c r="N87" s="131">
        <f>IF($AL$87="","",IF(INDEX('Final Calculation Sheet'!$M$4:$M$40,$AL$87)="","",INDEX('Final Calculation Sheet'!$M$4:$M$40,$AL$87)))</f>
        <v/>
      </c>
      <c r="O87" s="132">
        <f>IF($AL$87="","",IF(INDEX('Final Calculation Sheet'!$N$4:$N$40,$AL$87)="","",INDEX('Final Calculation Sheet'!$N$4:$N$40,$AL$87)))</f>
        <v/>
      </c>
      <c r="P87" s="131">
        <f>IF($AL$87="","",IF(INDEX('Final Calculation Sheet'!$O$4:$O$40,$AL$87)="","",INDEX('Final Calculation Sheet'!$O$4:$O$40,$AL$87)))</f>
        <v/>
      </c>
      <c r="Q87" s="131">
        <f>IF($AL$87="","",IF(INDEX('Final Calculation Sheet'!$P$4:$P$40,$AL$87)="","",INDEX('Final Calculation Sheet'!$P$4:$P$40,$AL$87)))</f>
        <v/>
      </c>
      <c r="R87" s="133">
        <f>IF($AL$87="","",IF(INDEX('Final Calculation Sheet'!$Q$4:$Q$40,$AL$87)="","",INDEX('Final Calculation Sheet'!$Q$4:$Q$40,$AL$87)))</f>
        <v/>
      </c>
      <c r="S87" s="131">
        <f>IF($AL$87="","",IF(INDEX('Final Calculation Sheet'!$R$4:$R$40,$AL$87)="","",INDEX('Final Calculation Sheet'!$R$4:$R$40,$AL$87)))</f>
        <v/>
      </c>
      <c r="T87" s="131">
        <f>IF($AL$87="","",IF(INDEX('Final Calculation Sheet'!$S$4:$S$40,$AL$87)="","",INDEX('Final Calculation Sheet'!$S$4:$S$40,$AL$87)))</f>
        <v/>
      </c>
      <c r="U87" s="131">
        <f>IF($AL$87="","",IF(INDEX('Final Calculation Sheet'!$T$4:$T$40,$AL$87)="","",INDEX('Final Calculation Sheet'!$T$4:$T$40,$AL$87)))</f>
        <v/>
      </c>
      <c r="V87" s="134">
        <f>IF($AL$87="","",IF(INDEX('Final Calculation Sheet'!$U$4:$U$40,$AL$87)="","",INDEX('Final Calculation Sheet'!$U$4:$U$40,$AL$87)))</f>
        <v/>
      </c>
      <c r="W87" s="131">
        <f>IF($AL$87="","",IF(INDEX('Final Calculation Sheet'!$V$4:$V$40,$AL$87)="","",INDEX('Final Calculation Sheet'!$V$4:$V$40,$AL$87)))</f>
        <v/>
      </c>
      <c r="X87" s="131">
        <f>IF($AL$87="","",IF(INDEX('Final Calculation Sheet'!$W$4:$W$40,$AL$87)="","",INDEX('Final Calculation Sheet'!$W$4:$W$40,$AL$87)))</f>
        <v/>
      </c>
      <c r="Y87" s="131">
        <f>IF($AL$87="","",IF(INDEX('Final Calculation Sheet'!$X$4:$X$40,$AL$87)="","",INDEX('Final Calculation Sheet'!$X$4:$X$40,$AL$87)))</f>
        <v/>
      </c>
      <c r="Z87" s="131">
        <f>IF($AL$87="","",IF(INDEX('Final Calculation Sheet'!$Y$4:$Y$40,$AL$87)="","",INDEX('Final Calculation Sheet'!$Y$4:$Y$40,$AL$87)))</f>
        <v/>
      </c>
      <c r="AA87" s="131">
        <f>IF($AL$87="","",IF(INDEX('Final Calculation Sheet'!$Z$4:$Z$40,$AL$87)="","",INDEX('Final Calculation Sheet'!$Z$4:$Z$40,$AL$87)))</f>
        <v/>
      </c>
      <c r="AB87" s="131">
        <f>IF($AL$87="","",IF(INDEX('Final Calculation Sheet'!$AA$4:$AA$40,$AL$87)="","",INDEX('Final Calculation Sheet'!$AA$4:$AA$40,$AL$87)))</f>
        <v/>
      </c>
      <c r="AC87" s="131">
        <f>IF($AL$87="","",IF(INDEX('Final Calculation Sheet'!$AB$4:$AB$40,$AL$87)="","",INDEX('Final Calculation Sheet'!$AB$4:$AB$40,$AL$87)))</f>
        <v/>
      </c>
      <c r="AD87" s="131">
        <f>IF($AL$87="","",IF(INDEX('Final Calculation Sheet'!$AC$4:$AC$40,$AL$87)="","",INDEX('Final Calculation Sheet'!$AC$4:$AC$40,$AL$87)))</f>
        <v/>
      </c>
      <c r="AE87" s="131">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f>IF(COUNTIF($B$4:$AI$4,"&lt;&gt;")=0,"",IFERROR(MATCH(28,$AK$6:$AK$42,0),""))</f>
        <v/>
      </c>
    </row>
    <row r="88">
      <c r="A88" s="118">
        <f>IF($AL$88="","",29)</f>
        <v/>
      </c>
      <c r="B88" s="119">
        <f>IF($AL$88="","",IF(INDEX('Final Calculation Sheet'!$F$4:$F$40,$AL$88)="","",INDEX('Final Calculation Sheet'!$F$4:$F$40,$AL$88)))</f>
        <v/>
      </c>
      <c r="C88" s="119">
        <f>IF($AL$88="","",IF(INDEX('Final Calculation Sheet'!$G$4:$G$40,$AL$88)="","",INDEX('Final Calculation Sheet'!$G$4:$G$40,$AL$88)))</f>
        <v/>
      </c>
      <c r="D88" s="121">
        <f>IF($AL$88="","",IF(INDEX('Final Calculation Sheet'!$B$4:$B$40,$AL$88)="","",INDEX('Final Calculation Sheet'!$B$4:$B$40,$AL$88)))</f>
        <v/>
      </c>
      <c r="E88" s="121">
        <f>IF($AL$88="","",IF(INDEX('Final Calculation Sheet'!$D$4:$D$40,$AL$88)="","",INDEX('Final Calculation Sheet'!$D$4:$D$40,$AL$88)))</f>
        <v/>
      </c>
      <c r="F88" s="121">
        <f>IF($AL$88="","",IF(INDEX('Final Calculation Sheet'!$A$4:$A$40,$AL$88)="","",INDEX('Final Calculation Sheet'!$A$4:$A$40,$AL$88)))</f>
        <v/>
      </c>
      <c r="G88" s="121">
        <f>IF($AL$88="","",IF(INDEX('Final Calculation Sheet'!$E$4:$E$40,$AL$88)="","",INDEX('Final Calculation Sheet'!$E$4:$E$40,$AL$88)))</f>
        <v/>
      </c>
      <c r="H88" s="122">
        <f>IF($AL$88="","",IF(INDEX('Final Calculation Sheet'!$C$4:$C$40,$AL$88)="","",INDEX('Final Calculation Sheet'!$C$4:$C$40,$AL$88)))</f>
        <v/>
      </c>
      <c r="I88" s="122">
        <f>IF($AL$88="","",IF(INDEX('Final Calculation Sheet'!$H$4:$H$40,$AL$88)="","",INDEX('Final Calculation Sheet'!$H$4:$H$40,$AL$88)))</f>
        <v/>
      </c>
      <c r="J88" s="122">
        <f>IF($AL$88="","",IF(INDEX('Final Calculation Sheet'!$I$4:$I$40,$AL$88)="","",INDEX('Final Calculation Sheet'!$I$4:$I$40,$AL$88)))</f>
        <v/>
      </c>
      <c r="K88" s="122">
        <f>IF($AL$88="","",IF(INDEX('Final Calculation Sheet'!$J$4:$J$40,$AL$88)="","",INDEX('Final Calculation Sheet'!$J$4:$J$40,$AL$88)))</f>
        <v/>
      </c>
      <c r="L88" s="122">
        <f>IF($AL$88="","",IF(INDEX('Final Calculation Sheet'!$K$4:$K$40,$AL$88)="","",INDEX('Final Calculation Sheet'!$K$4:$K$40,$AL$88)))</f>
        <v/>
      </c>
      <c r="M88" s="122">
        <f>IF($AL$88="","",IF(INDEX('Final Calculation Sheet'!$L$4:$L$40,$AL$88)="","",INDEX('Final Calculation Sheet'!$L$4:$L$40,$AL$88)))</f>
        <v/>
      </c>
      <c r="N88" s="122">
        <f>IF($AL$88="","",IF(INDEX('Final Calculation Sheet'!$M$4:$M$40,$AL$88)="","",INDEX('Final Calculation Sheet'!$M$4:$M$40,$AL$88)))</f>
        <v/>
      </c>
      <c r="O88" s="123">
        <f>IF($AL$88="","",IF(INDEX('Final Calculation Sheet'!$N$4:$N$40,$AL$88)="","",INDEX('Final Calculation Sheet'!$N$4:$N$40,$AL$88)))</f>
        <v/>
      </c>
      <c r="P88" s="122">
        <f>IF($AL$88="","",IF(INDEX('Final Calculation Sheet'!$O$4:$O$40,$AL$88)="","",INDEX('Final Calculation Sheet'!$O$4:$O$40,$AL$88)))</f>
        <v/>
      </c>
      <c r="Q88" s="122">
        <f>IF($AL$88="","",IF(INDEX('Final Calculation Sheet'!$P$4:$P$40,$AL$88)="","",INDEX('Final Calculation Sheet'!$P$4:$P$40,$AL$88)))</f>
        <v/>
      </c>
      <c r="R88" s="124">
        <f>IF($AL$88="","",IF(INDEX('Final Calculation Sheet'!$Q$4:$Q$40,$AL$88)="","",INDEX('Final Calculation Sheet'!$Q$4:$Q$40,$AL$88)))</f>
        <v/>
      </c>
      <c r="S88" s="122">
        <f>IF($AL$88="","",IF(INDEX('Final Calculation Sheet'!$R$4:$R$40,$AL$88)="","",INDEX('Final Calculation Sheet'!$R$4:$R$40,$AL$88)))</f>
        <v/>
      </c>
      <c r="T88" s="122">
        <f>IF($AL$88="","",IF(INDEX('Final Calculation Sheet'!$S$4:$S$40,$AL$88)="","",INDEX('Final Calculation Sheet'!$S$4:$S$40,$AL$88)))</f>
        <v/>
      </c>
      <c r="U88" s="122">
        <f>IF($AL$88="","",IF(INDEX('Final Calculation Sheet'!$T$4:$T$40,$AL$88)="","",INDEX('Final Calculation Sheet'!$T$4:$T$40,$AL$88)))</f>
        <v/>
      </c>
      <c r="V88" s="125">
        <f>IF($AL$88="","",IF(INDEX('Final Calculation Sheet'!$U$4:$U$40,$AL$88)="","",INDEX('Final Calculation Sheet'!$U$4:$U$40,$AL$88)))</f>
        <v/>
      </c>
      <c r="W88" s="122">
        <f>IF($AL$88="","",IF(INDEX('Final Calculation Sheet'!$V$4:$V$40,$AL$88)="","",INDEX('Final Calculation Sheet'!$V$4:$V$40,$AL$88)))</f>
        <v/>
      </c>
      <c r="X88" s="122">
        <f>IF($AL$88="","",IF(INDEX('Final Calculation Sheet'!$W$4:$W$40,$AL$88)="","",INDEX('Final Calculation Sheet'!$W$4:$W$40,$AL$88)))</f>
        <v/>
      </c>
      <c r="Y88" s="122">
        <f>IF($AL$88="","",IF(INDEX('Final Calculation Sheet'!$X$4:$X$40,$AL$88)="","",INDEX('Final Calculation Sheet'!$X$4:$X$40,$AL$88)))</f>
        <v/>
      </c>
      <c r="Z88" s="122">
        <f>IF($AL$88="","",IF(INDEX('Final Calculation Sheet'!$Y$4:$Y$40,$AL$88)="","",INDEX('Final Calculation Sheet'!$Y$4:$Y$40,$AL$88)))</f>
        <v/>
      </c>
      <c r="AA88" s="122">
        <f>IF($AL$88="","",IF(INDEX('Final Calculation Sheet'!$Z$4:$Z$40,$AL$88)="","",INDEX('Final Calculation Sheet'!$Z$4:$Z$40,$AL$88)))</f>
        <v/>
      </c>
      <c r="AB88" s="122">
        <f>IF($AL$88="","",IF(INDEX('Final Calculation Sheet'!$AA$4:$AA$40,$AL$88)="","",INDEX('Final Calculation Sheet'!$AA$4:$AA$40,$AL$88)))</f>
        <v/>
      </c>
      <c r="AC88" s="122">
        <f>IF($AL$88="","",IF(INDEX('Final Calculation Sheet'!$AB$4:$AB$40,$AL$88)="","",INDEX('Final Calculation Sheet'!$AB$4:$AB$40,$AL$88)))</f>
        <v/>
      </c>
      <c r="AD88" s="122">
        <f>IF($AL$88="","",IF(INDEX('Final Calculation Sheet'!$AC$4:$AC$40,$AL$88)="","",INDEX('Final Calculation Sheet'!$AC$4:$AC$40,$AL$88)))</f>
        <v/>
      </c>
      <c r="AE88" s="122">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f>IF(COUNTIF($B$4:$AI$4,"&lt;&gt;")=0,"",IFERROR(MATCH(29,$AK$6:$AK$42,0),""))</f>
        <v/>
      </c>
    </row>
    <row r="89">
      <c r="A89" s="128">
        <f>IF($AL$89="","",30)</f>
        <v/>
      </c>
      <c r="B89" s="129">
        <f>IF($AL$89="","",IF(INDEX('Final Calculation Sheet'!$F$4:$F$40,$AL$89)="","",INDEX('Final Calculation Sheet'!$F$4:$F$40,$AL$89)))</f>
        <v/>
      </c>
      <c r="C89" s="129">
        <f>IF($AL$89="","",IF(INDEX('Final Calculation Sheet'!$G$4:$G$40,$AL$89)="","",INDEX('Final Calculation Sheet'!$G$4:$G$40,$AL$89)))</f>
        <v/>
      </c>
      <c r="D89" s="130">
        <f>IF($AL$89="","",IF(INDEX('Final Calculation Sheet'!$B$4:$B$40,$AL$89)="","",INDEX('Final Calculation Sheet'!$B$4:$B$40,$AL$89)))</f>
        <v/>
      </c>
      <c r="E89" s="130">
        <f>IF($AL$89="","",IF(INDEX('Final Calculation Sheet'!$D$4:$D$40,$AL$89)="","",INDEX('Final Calculation Sheet'!$D$4:$D$40,$AL$89)))</f>
        <v/>
      </c>
      <c r="F89" s="130">
        <f>IF($AL$89="","",IF(INDEX('Final Calculation Sheet'!$A$4:$A$40,$AL$89)="","",INDEX('Final Calculation Sheet'!$A$4:$A$40,$AL$89)))</f>
        <v/>
      </c>
      <c r="G89" s="130">
        <f>IF($AL$89="","",IF(INDEX('Final Calculation Sheet'!$E$4:$E$40,$AL$89)="","",INDEX('Final Calculation Sheet'!$E$4:$E$40,$AL$89)))</f>
        <v/>
      </c>
      <c r="H89" s="131">
        <f>IF($AL$89="","",IF(INDEX('Final Calculation Sheet'!$C$4:$C$40,$AL$89)="","",INDEX('Final Calculation Sheet'!$C$4:$C$40,$AL$89)))</f>
        <v/>
      </c>
      <c r="I89" s="131">
        <f>IF($AL$89="","",IF(INDEX('Final Calculation Sheet'!$H$4:$H$40,$AL$89)="","",INDEX('Final Calculation Sheet'!$H$4:$H$40,$AL$89)))</f>
        <v/>
      </c>
      <c r="J89" s="131">
        <f>IF($AL$89="","",IF(INDEX('Final Calculation Sheet'!$I$4:$I$40,$AL$89)="","",INDEX('Final Calculation Sheet'!$I$4:$I$40,$AL$89)))</f>
        <v/>
      </c>
      <c r="K89" s="131">
        <f>IF($AL$89="","",IF(INDEX('Final Calculation Sheet'!$J$4:$J$40,$AL$89)="","",INDEX('Final Calculation Sheet'!$J$4:$J$40,$AL$89)))</f>
        <v/>
      </c>
      <c r="L89" s="131">
        <f>IF($AL$89="","",IF(INDEX('Final Calculation Sheet'!$K$4:$K$40,$AL$89)="","",INDEX('Final Calculation Sheet'!$K$4:$K$40,$AL$89)))</f>
        <v/>
      </c>
      <c r="M89" s="131">
        <f>IF($AL$89="","",IF(INDEX('Final Calculation Sheet'!$L$4:$L$40,$AL$89)="","",INDEX('Final Calculation Sheet'!$L$4:$L$40,$AL$89)))</f>
        <v/>
      </c>
      <c r="N89" s="131">
        <f>IF($AL$89="","",IF(INDEX('Final Calculation Sheet'!$M$4:$M$40,$AL$89)="","",INDEX('Final Calculation Sheet'!$M$4:$M$40,$AL$89)))</f>
        <v/>
      </c>
      <c r="O89" s="132">
        <f>IF($AL$89="","",IF(INDEX('Final Calculation Sheet'!$N$4:$N$40,$AL$89)="","",INDEX('Final Calculation Sheet'!$N$4:$N$40,$AL$89)))</f>
        <v/>
      </c>
      <c r="P89" s="131">
        <f>IF($AL$89="","",IF(INDEX('Final Calculation Sheet'!$O$4:$O$40,$AL$89)="","",INDEX('Final Calculation Sheet'!$O$4:$O$40,$AL$89)))</f>
        <v/>
      </c>
      <c r="Q89" s="131">
        <f>IF($AL$89="","",IF(INDEX('Final Calculation Sheet'!$P$4:$P$40,$AL$89)="","",INDEX('Final Calculation Sheet'!$P$4:$P$40,$AL$89)))</f>
        <v/>
      </c>
      <c r="R89" s="133">
        <f>IF($AL$89="","",IF(INDEX('Final Calculation Sheet'!$Q$4:$Q$40,$AL$89)="","",INDEX('Final Calculation Sheet'!$Q$4:$Q$40,$AL$89)))</f>
        <v/>
      </c>
      <c r="S89" s="131">
        <f>IF($AL$89="","",IF(INDEX('Final Calculation Sheet'!$R$4:$R$40,$AL$89)="","",INDEX('Final Calculation Sheet'!$R$4:$R$40,$AL$89)))</f>
        <v/>
      </c>
      <c r="T89" s="131">
        <f>IF($AL$89="","",IF(INDEX('Final Calculation Sheet'!$S$4:$S$40,$AL$89)="","",INDEX('Final Calculation Sheet'!$S$4:$S$40,$AL$89)))</f>
        <v/>
      </c>
      <c r="U89" s="131">
        <f>IF($AL$89="","",IF(INDEX('Final Calculation Sheet'!$T$4:$T$40,$AL$89)="","",INDEX('Final Calculation Sheet'!$T$4:$T$40,$AL$89)))</f>
        <v/>
      </c>
      <c r="V89" s="134">
        <f>IF($AL$89="","",IF(INDEX('Final Calculation Sheet'!$U$4:$U$40,$AL$89)="","",INDEX('Final Calculation Sheet'!$U$4:$U$40,$AL$89)))</f>
        <v/>
      </c>
      <c r="W89" s="131">
        <f>IF($AL$89="","",IF(INDEX('Final Calculation Sheet'!$V$4:$V$40,$AL$89)="","",INDEX('Final Calculation Sheet'!$V$4:$V$40,$AL$89)))</f>
        <v/>
      </c>
      <c r="X89" s="131">
        <f>IF($AL$89="","",IF(INDEX('Final Calculation Sheet'!$W$4:$W$40,$AL$89)="","",INDEX('Final Calculation Sheet'!$W$4:$W$40,$AL$89)))</f>
        <v/>
      </c>
      <c r="Y89" s="131">
        <f>IF($AL$89="","",IF(INDEX('Final Calculation Sheet'!$X$4:$X$40,$AL$89)="","",INDEX('Final Calculation Sheet'!$X$4:$X$40,$AL$89)))</f>
        <v/>
      </c>
      <c r="Z89" s="131">
        <f>IF($AL$89="","",IF(INDEX('Final Calculation Sheet'!$Y$4:$Y$40,$AL$89)="","",INDEX('Final Calculation Sheet'!$Y$4:$Y$40,$AL$89)))</f>
        <v/>
      </c>
      <c r="AA89" s="131">
        <f>IF($AL$89="","",IF(INDEX('Final Calculation Sheet'!$Z$4:$Z$40,$AL$89)="","",INDEX('Final Calculation Sheet'!$Z$4:$Z$40,$AL$89)))</f>
        <v/>
      </c>
      <c r="AB89" s="131">
        <f>IF($AL$89="","",IF(INDEX('Final Calculation Sheet'!$AA$4:$AA$40,$AL$89)="","",INDEX('Final Calculation Sheet'!$AA$4:$AA$40,$AL$89)))</f>
        <v/>
      </c>
      <c r="AC89" s="131">
        <f>IF($AL$89="","",IF(INDEX('Final Calculation Sheet'!$AB$4:$AB$40,$AL$89)="","",INDEX('Final Calculation Sheet'!$AB$4:$AB$40,$AL$89)))</f>
        <v/>
      </c>
      <c r="AD89" s="131">
        <f>IF($AL$89="","",IF(INDEX('Final Calculation Sheet'!$AC$4:$AC$40,$AL$89)="","",INDEX('Final Calculation Sheet'!$AC$4:$AC$40,$AL$89)))</f>
        <v/>
      </c>
      <c r="AE89" s="131">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f>IF(COUNTIF($B$4:$AI$4,"&lt;&gt;")=0,"",IFERROR(MATCH(30,$AK$6:$AK$42,0),""))</f>
        <v/>
      </c>
    </row>
    <row r="90">
      <c r="A90" s="118">
        <f>IF($AL$90="","",31)</f>
        <v/>
      </c>
      <c r="B90" s="119">
        <f>IF($AL$90="","",IF(INDEX('Final Calculation Sheet'!$F$4:$F$40,$AL$90)="","",INDEX('Final Calculation Sheet'!$F$4:$F$40,$AL$90)))</f>
        <v/>
      </c>
      <c r="C90" s="119">
        <f>IF($AL$90="","",IF(INDEX('Final Calculation Sheet'!$G$4:$G$40,$AL$90)="","",INDEX('Final Calculation Sheet'!$G$4:$G$40,$AL$90)))</f>
        <v/>
      </c>
      <c r="D90" s="121">
        <f>IF($AL$90="","",IF(INDEX('Final Calculation Sheet'!$B$4:$B$40,$AL$90)="","",INDEX('Final Calculation Sheet'!$B$4:$B$40,$AL$90)))</f>
        <v/>
      </c>
      <c r="E90" s="121">
        <f>IF($AL$90="","",IF(INDEX('Final Calculation Sheet'!$D$4:$D$40,$AL$90)="","",INDEX('Final Calculation Sheet'!$D$4:$D$40,$AL$90)))</f>
        <v/>
      </c>
      <c r="F90" s="121">
        <f>IF($AL$90="","",IF(INDEX('Final Calculation Sheet'!$A$4:$A$40,$AL$90)="","",INDEX('Final Calculation Sheet'!$A$4:$A$40,$AL$90)))</f>
        <v/>
      </c>
      <c r="G90" s="121">
        <f>IF($AL$90="","",IF(INDEX('Final Calculation Sheet'!$E$4:$E$40,$AL$90)="","",INDEX('Final Calculation Sheet'!$E$4:$E$40,$AL$90)))</f>
        <v/>
      </c>
      <c r="H90" s="122">
        <f>IF($AL$90="","",IF(INDEX('Final Calculation Sheet'!$C$4:$C$40,$AL$90)="","",INDEX('Final Calculation Sheet'!$C$4:$C$40,$AL$90)))</f>
        <v/>
      </c>
      <c r="I90" s="122">
        <f>IF($AL$90="","",IF(INDEX('Final Calculation Sheet'!$H$4:$H$40,$AL$90)="","",INDEX('Final Calculation Sheet'!$H$4:$H$40,$AL$90)))</f>
        <v/>
      </c>
      <c r="J90" s="122">
        <f>IF($AL$90="","",IF(INDEX('Final Calculation Sheet'!$I$4:$I$40,$AL$90)="","",INDEX('Final Calculation Sheet'!$I$4:$I$40,$AL$90)))</f>
        <v/>
      </c>
      <c r="K90" s="122">
        <f>IF($AL$90="","",IF(INDEX('Final Calculation Sheet'!$J$4:$J$40,$AL$90)="","",INDEX('Final Calculation Sheet'!$J$4:$J$40,$AL$90)))</f>
        <v/>
      </c>
      <c r="L90" s="122">
        <f>IF($AL$90="","",IF(INDEX('Final Calculation Sheet'!$K$4:$K$40,$AL$90)="","",INDEX('Final Calculation Sheet'!$K$4:$K$40,$AL$90)))</f>
        <v/>
      </c>
      <c r="M90" s="122">
        <f>IF($AL$90="","",IF(INDEX('Final Calculation Sheet'!$L$4:$L$40,$AL$90)="","",INDEX('Final Calculation Sheet'!$L$4:$L$40,$AL$90)))</f>
        <v/>
      </c>
      <c r="N90" s="122">
        <f>IF($AL$90="","",IF(INDEX('Final Calculation Sheet'!$M$4:$M$40,$AL$90)="","",INDEX('Final Calculation Sheet'!$M$4:$M$40,$AL$90)))</f>
        <v/>
      </c>
      <c r="O90" s="123">
        <f>IF($AL$90="","",IF(INDEX('Final Calculation Sheet'!$N$4:$N$40,$AL$90)="","",INDEX('Final Calculation Sheet'!$N$4:$N$40,$AL$90)))</f>
        <v/>
      </c>
      <c r="P90" s="122">
        <f>IF($AL$90="","",IF(INDEX('Final Calculation Sheet'!$O$4:$O$40,$AL$90)="","",INDEX('Final Calculation Sheet'!$O$4:$O$40,$AL$90)))</f>
        <v/>
      </c>
      <c r="Q90" s="122">
        <f>IF($AL$90="","",IF(INDEX('Final Calculation Sheet'!$P$4:$P$40,$AL$90)="","",INDEX('Final Calculation Sheet'!$P$4:$P$40,$AL$90)))</f>
        <v/>
      </c>
      <c r="R90" s="124">
        <f>IF($AL$90="","",IF(INDEX('Final Calculation Sheet'!$Q$4:$Q$40,$AL$90)="","",INDEX('Final Calculation Sheet'!$Q$4:$Q$40,$AL$90)))</f>
        <v/>
      </c>
      <c r="S90" s="122">
        <f>IF($AL$90="","",IF(INDEX('Final Calculation Sheet'!$R$4:$R$40,$AL$90)="","",INDEX('Final Calculation Sheet'!$R$4:$R$40,$AL$90)))</f>
        <v/>
      </c>
      <c r="T90" s="122">
        <f>IF($AL$90="","",IF(INDEX('Final Calculation Sheet'!$S$4:$S$40,$AL$90)="","",INDEX('Final Calculation Sheet'!$S$4:$S$40,$AL$90)))</f>
        <v/>
      </c>
      <c r="U90" s="122">
        <f>IF($AL$90="","",IF(INDEX('Final Calculation Sheet'!$T$4:$T$40,$AL$90)="","",INDEX('Final Calculation Sheet'!$T$4:$T$40,$AL$90)))</f>
        <v/>
      </c>
      <c r="V90" s="125">
        <f>IF($AL$90="","",IF(INDEX('Final Calculation Sheet'!$U$4:$U$40,$AL$90)="","",INDEX('Final Calculation Sheet'!$U$4:$U$40,$AL$90)))</f>
        <v/>
      </c>
      <c r="W90" s="122">
        <f>IF($AL$90="","",IF(INDEX('Final Calculation Sheet'!$V$4:$V$40,$AL$90)="","",INDEX('Final Calculation Sheet'!$V$4:$V$40,$AL$90)))</f>
        <v/>
      </c>
      <c r="X90" s="122">
        <f>IF($AL$90="","",IF(INDEX('Final Calculation Sheet'!$W$4:$W$40,$AL$90)="","",INDEX('Final Calculation Sheet'!$W$4:$W$40,$AL$90)))</f>
        <v/>
      </c>
      <c r="Y90" s="122">
        <f>IF($AL$90="","",IF(INDEX('Final Calculation Sheet'!$X$4:$X$40,$AL$90)="","",INDEX('Final Calculation Sheet'!$X$4:$X$40,$AL$90)))</f>
        <v/>
      </c>
      <c r="Z90" s="122">
        <f>IF($AL$90="","",IF(INDEX('Final Calculation Sheet'!$Y$4:$Y$40,$AL$90)="","",INDEX('Final Calculation Sheet'!$Y$4:$Y$40,$AL$90)))</f>
        <v/>
      </c>
      <c r="AA90" s="122">
        <f>IF($AL$90="","",IF(INDEX('Final Calculation Sheet'!$Z$4:$Z$40,$AL$90)="","",INDEX('Final Calculation Sheet'!$Z$4:$Z$40,$AL$90)))</f>
        <v/>
      </c>
      <c r="AB90" s="122">
        <f>IF($AL$90="","",IF(INDEX('Final Calculation Sheet'!$AA$4:$AA$40,$AL$90)="","",INDEX('Final Calculation Sheet'!$AA$4:$AA$40,$AL$90)))</f>
        <v/>
      </c>
      <c r="AC90" s="122">
        <f>IF($AL$90="","",IF(INDEX('Final Calculation Sheet'!$AB$4:$AB$40,$AL$90)="","",INDEX('Final Calculation Sheet'!$AB$4:$AB$40,$AL$90)))</f>
        <v/>
      </c>
      <c r="AD90" s="122">
        <f>IF($AL$90="","",IF(INDEX('Final Calculation Sheet'!$AC$4:$AC$40,$AL$90)="","",INDEX('Final Calculation Sheet'!$AC$4:$AC$40,$AL$90)))</f>
        <v/>
      </c>
      <c r="AE90" s="122">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f>IF(COUNTIF($B$4:$AI$4,"&lt;&gt;")=0,"",IFERROR(MATCH(31,$AK$6:$AK$42,0),""))</f>
        <v/>
      </c>
    </row>
    <row r="91">
      <c r="A91" s="128">
        <f>IF($AL$91="","",32)</f>
        <v/>
      </c>
      <c r="B91" s="129">
        <f>IF($AL$91="","",IF(INDEX('Final Calculation Sheet'!$F$4:$F$40,$AL$91)="","",INDEX('Final Calculation Sheet'!$F$4:$F$40,$AL$91)))</f>
        <v/>
      </c>
      <c r="C91" s="129">
        <f>IF($AL$91="","",IF(INDEX('Final Calculation Sheet'!$G$4:$G$40,$AL$91)="","",INDEX('Final Calculation Sheet'!$G$4:$G$40,$AL$91)))</f>
        <v/>
      </c>
      <c r="D91" s="130">
        <f>IF($AL$91="","",IF(INDEX('Final Calculation Sheet'!$B$4:$B$40,$AL$91)="","",INDEX('Final Calculation Sheet'!$B$4:$B$40,$AL$91)))</f>
        <v/>
      </c>
      <c r="E91" s="130">
        <f>IF($AL$91="","",IF(INDEX('Final Calculation Sheet'!$D$4:$D$40,$AL$91)="","",INDEX('Final Calculation Sheet'!$D$4:$D$40,$AL$91)))</f>
        <v/>
      </c>
      <c r="F91" s="130">
        <f>IF($AL$91="","",IF(INDEX('Final Calculation Sheet'!$A$4:$A$40,$AL$91)="","",INDEX('Final Calculation Sheet'!$A$4:$A$40,$AL$91)))</f>
        <v/>
      </c>
      <c r="G91" s="130">
        <f>IF($AL$91="","",IF(INDEX('Final Calculation Sheet'!$E$4:$E$40,$AL$91)="","",INDEX('Final Calculation Sheet'!$E$4:$E$40,$AL$91)))</f>
        <v/>
      </c>
      <c r="H91" s="131">
        <f>IF($AL$91="","",IF(INDEX('Final Calculation Sheet'!$C$4:$C$40,$AL$91)="","",INDEX('Final Calculation Sheet'!$C$4:$C$40,$AL$91)))</f>
        <v/>
      </c>
      <c r="I91" s="131">
        <f>IF($AL$91="","",IF(INDEX('Final Calculation Sheet'!$H$4:$H$40,$AL$91)="","",INDEX('Final Calculation Sheet'!$H$4:$H$40,$AL$91)))</f>
        <v/>
      </c>
      <c r="J91" s="131">
        <f>IF($AL$91="","",IF(INDEX('Final Calculation Sheet'!$I$4:$I$40,$AL$91)="","",INDEX('Final Calculation Sheet'!$I$4:$I$40,$AL$91)))</f>
        <v/>
      </c>
      <c r="K91" s="131">
        <f>IF($AL$91="","",IF(INDEX('Final Calculation Sheet'!$J$4:$J$40,$AL$91)="","",INDEX('Final Calculation Sheet'!$J$4:$J$40,$AL$91)))</f>
        <v/>
      </c>
      <c r="L91" s="131">
        <f>IF($AL$91="","",IF(INDEX('Final Calculation Sheet'!$K$4:$K$40,$AL$91)="","",INDEX('Final Calculation Sheet'!$K$4:$K$40,$AL$91)))</f>
        <v/>
      </c>
      <c r="M91" s="131">
        <f>IF($AL$91="","",IF(INDEX('Final Calculation Sheet'!$L$4:$L$40,$AL$91)="","",INDEX('Final Calculation Sheet'!$L$4:$L$40,$AL$91)))</f>
        <v/>
      </c>
      <c r="N91" s="131">
        <f>IF($AL$91="","",IF(INDEX('Final Calculation Sheet'!$M$4:$M$40,$AL$91)="","",INDEX('Final Calculation Sheet'!$M$4:$M$40,$AL$91)))</f>
        <v/>
      </c>
      <c r="O91" s="132">
        <f>IF($AL$91="","",IF(INDEX('Final Calculation Sheet'!$N$4:$N$40,$AL$91)="","",INDEX('Final Calculation Sheet'!$N$4:$N$40,$AL$91)))</f>
        <v/>
      </c>
      <c r="P91" s="131">
        <f>IF($AL$91="","",IF(INDEX('Final Calculation Sheet'!$O$4:$O$40,$AL$91)="","",INDEX('Final Calculation Sheet'!$O$4:$O$40,$AL$91)))</f>
        <v/>
      </c>
      <c r="Q91" s="131">
        <f>IF($AL$91="","",IF(INDEX('Final Calculation Sheet'!$P$4:$P$40,$AL$91)="","",INDEX('Final Calculation Sheet'!$P$4:$P$40,$AL$91)))</f>
        <v/>
      </c>
      <c r="R91" s="133">
        <f>IF($AL$91="","",IF(INDEX('Final Calculation Sheet'!$Q$4:$Q$40,$AL$91)="","",INDEX('Final Calculation Sheet'!$Q$4:$Q$40,$AL$91)))</f>
        <v/>
      </c>
      <c r="S91" s="131">
        <f>IF($AL$91="","",IF(INDEX('Final Calculation Sheet'!$R$4:$R$40,$AL$91)="","",INDEX('Final Calculation Sheet'!$R$4:$R$40,$AL$91)))</f>
        <v/>
      </c>
      <c r="T91" s="131">
        <f>IF($AL$91="","",IF(INDEX('Final Calculation Sheet'!$S$4:$S$40,$AL$91)="","",INDEX('Final Calculation Sheet'!$S$4:$S$40,$AL$91)))</f>
        <v/>
      </c>
      <c r="U91" s="131">
        <f>IF($AL$91="","",IF(INDEX('Final Calculation Sheet'!$T$4:$T$40,$AL$91)="","",INDEX('Final Calculation Sheet'!$T$4:$T$40,$AL$91)))</f>
        <v/>
      </c>
      <c r="V91" s="134">
        <f>IF($AL$91="","",IF(INDEX('Final Calculation Sheet'!$U$4:$U$40,$AL$91)="","",INDEX('Final Calculation Sheet'!$U$4:$U$40,$AL$91)))</f>
        <v/>
      </c>
      <c r="W91" s="131">
        <f>IF($AL$91="","",IF(INDEX('Final Calculation Sheet'!$V$4:$V$40,$AL$91)="","",INDEX('Final Calculation Sheet'!$V$4:$V$40,$AL$91)))</f>
        <v/>
      </c>
      <c r="X91" s="131">
        <f>IF($AL$91="","",IF(INDEX('Final Calculation Sheet'!$W$4:$W$40,$AL$91)="","",INDEX('Final Calculation Sheet'!$W$4:$W$40,$AL$91)))</f>
        <v/>
      </c>
      <c r="Y91" s="131">
        <f>IF($AL$91="","",IF(INDEX('Final Calculation Sheet'!$X$4:$X$40,$AL$91)="","",INDEX('Final Calculation Sheet'!$X$4:$X$40,$AL$91)))</f>
        <v/>
      </c>
      <c r="Z91" s="131">
        <f>IF($AL$91="","",IF(INDEX('Final Calculation Sheet'!$Y$4:$Y$40,$AL$91)="","",INDEX('Final Calculation Sheet'!$Y$4:$Y$40,$AL$91)))</f>
        <v/>
      </c>
      <c r="AA91" s="131">
        <f>IF($AL$91="","",IF(INDEX('Final Calculation Sheet'!$Z$4:$Z$40,$AL$91)="","",INDEX('Final Calculation Sheet'!$Z$4:$Z$40,$AL$91)))</f>
        <v/>
      </c>
      <c r="AB91" s="131">
        <f>IF($AL$91="","",IF(INDEX('Final Calculation Sheet'!$AA$4:$AA$40,$AL$91)="","",INDEX('Final Calculation Sheet'!$AA$4:$AA$40,$AL$91)))</f>
        <v/>
      </c>
      <c r="AC91" s="131">
        <f>IF($AL$91="","",IF(INDEX('Final Calculation Sheet'!$AB$4:$AB$40,$AL$91)="","",INDEX('Final Calculation Sheet'!$AB$4:$AB$40,$AL$91)))</f>
        <v/>
      </c>
      <c r="AD91" s="131">
        <f>IF($AL$91="","",IF(INDEX('Final Calculation Sheet'!$AC$4:$AC$40,$AL$91)="","",INDEX('Final Calculation Sheet'!$AC$4:$AC$40,$AL$91)))</f>
        <v/>
      </c>
      <c r="AE91" s="131">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f>IF(COUNTIF($B$4:$AI$4,"&lt;&gt;")=0,"",IFERROR(MATCH(32,$AK$6:$AK$42,0),""))</f>
        <v/>
      </c>
    </row>
    <row r="92">
      <c r="A92" s="118">
        <f>IF($AL$92="","",33)</f>
        <v/>
      </c>
      <c r="B92" s="119">
        <f>IF($AL$92="","",IF(INDEX('Final Calculation Sheet'!$F$4:$F$40,$AL$92)="","",INDEX('Final Calculation Sheet'!$F$4:$F$40,$AL$92)))</f>
        <v/>
      </c>
      <c r="C92" s="119">
        <f>IF($AL$92="","",IF(INDEX('Final Calculation Sheet'!$G$4:$G$40,$AL$92)="","",INDEX('Final Calculation Sheet'!$G$4:$G$40,$AL$92)))</f>
        <v/>
      </c>
      <c r="D92" s="121">
        <f>IF($AL$92="","",IF(INDEX('Final Calculation Sheet'!$B$4:$B$40,$AL$92)="","",INDEX('Final Calculation Sheet'!$B$4:$B$40,$AL$92)))</f>
        <v/>
      </c>
      <c r="E92" s="121">
        <f>IF($AL$92="","",IF(INDEX('Final Calculation Sheet'!$D$4:$D$40,$AL$92)="","",INDEX('Final Calculation Sheet'!$D$4:$D$40,$AL$92)))</f>
        <v/>
      </c>
      <c r="F92" s="121">
        <f>IF($AL$92="","",IF(INDEX('Final Calculation Sheet'!$A$4:$A$40,$AL$92)="","",INDEX('Final Calculation Sheet'!$A$4:$A$40,$AL$92)))</f>
        <v/>
      </c>
      <c r="G92" s="121">
        <f>IF($AL$92="","",IF(INDEX('Final Calculation Sheet'!$E$4:$E$40,$AL$92)="","",INDEX('Final Calculation Sheet'!$E$4:$E$40,$AL$92)))</f>
        <v/>
      </c>
      <c r="H92" s="122">
        <f>IF($AL$92="","",IF(INDEX('Final Calculation Sheet'!$C$4:$C$40,$AL$92)="","",INDEX('Final Calculation Sheet'!$C$4:$C$40,$AL$92)))</f>
        <v/>
      </c>
      <c r="I92" s="122">
        <f>IF($AL$92="","",IF(INDEX('Final Calculation Sheet'!$H$4:$H$40,$AL$92)="","",INDEX('Final Calculation Sheet'!$H$4:$H$40,$AL$92)))</f>
        <v/>
      </c>
      <c r="J92" s="122">
        <f>IF($AL$92="","",IF(INDEX('Final Calculation Sheet'!$I$4:$I$40,$AL$92)="","",INDEX('Final Calculation Sheet'!$I$4:$I$40,$AL$92)))</f>
        <v/>
      </c>
      <c r="K92" s="122">
        <f>IF($AL$92="","",IF(INDEX('Final Calculation Sheet'!$J$4:$J$40,$AL$92)="","",INDEX('Final Calculation Sheet'!$J$4:$J$40,$AL$92)))</f>
        <v/>
      </c>
      <c r="L92" s="122">
        <f>IF($AL$92="","",IF(INDEX('Final Calculation Sheet'!$K$4:$K$40,$AL$92)="","",INDEX('Final Calculation Sheet'!$K$4:$K$40,$AL$92)))</f>
        <v/>
      </c>
      <c r="M92" s="122">
        <f>IF($AL$92="","",IF(INDEX('Final Calculation Sheet'!$L$4:$L$40,$AL$92)="","",INDEX('Final Calculation Sheet'!$L$4:$L$40,$AL$92)))</f>
        <v/>
      </c>
      <c r="N92" s="122">
        <f>IF($AL$92="","",IF(INDEX('Final Calculation Sheet'!$M$4:$M$40,$AL$92)="","",INDEX('Final Calculation Sheet'!$M$4:$M$40,$AL$92)))</f>
        <v/>
      </c>
      <c r="O92" s="123">
        <f>IF($AL$92="","",IF(INDEX('Final Calculation Sheet'!$N$4:$N$40,$AL$92)="","",INDEX('Final Calculation Sheet'!$N$4:$N$40,$AL$92)))</f>
        <v/>
      </c>
      <c r="P92" s="122">
        <f>IF($AL$92="","",IF(INDEX('Final Calculation Sheet'!$O$4:$O$40,$AL$92)="","",INDEX('Final Calculation Sheet'!$O$4:$O$40,$AL$92)))</f>
        <v/>
      </c>
      <c r="Q92" s="122">
        <f>IF($AL$92="","",IF(INDEX('Final Calculation Sheet'!$P$4:$P$40,$AL$92)="","",INDEX('Final Calculation Sheet'!$P$4:$P$40,$AL$92)))</f>
        <v/>
      </c>
      <c r="R92" s="124">
        <f>IF($AL$92="","",IF(INDEX('Final Calculation Sheet'!$Q$4:$Q$40,$AL$92)="","",INDEX('Final Calculation Sheet'!$Q$4:$Q$40,$AL$92)))</f>
        <v/>
      </c>
      <c r="S92" s="122">
        <f>IF($AL$92="","",IF(INDEX('Final Calculation Sheet'!$R$4:$R$40,$AL$92)="","",INDEX('Final Calculation Sheet'!$R$4:$R$40,$AL$92)))</f>
        <v/>
      </c>
      <c r="T92" s="122">
        <f>IF($AL$92="","",IF(INDEX('Final Calculation Sheet'!$S$4:$S$40,$AL$92)="","",INDEX('Final Calculation Sheet'!$S$4:$S$40,$AL$92)))</f>
        <v/>
      </c>
      <c r="U92" s="122">
        <f>IF($AL$92="","",IF(INDEX('Final Calculation Sheet'!$T$4:$T$40,$AL$92)="","",INDEX('Final Calculation Sheet'!$T$4:$T$40,$AL$92)))</f>
        <v/>
      </c>
      <c r="V92" s="125">
        <f>IF($AL$92="","",IF(INDEX('Final Calculation Sheet'!$U$4:$U$40,$AL$92)="","",INDEX('Final Calculation Sheet'!$U$4:$U$40,$AL$92)))</f>
        <v/>
      </c>
      <c r="W92" s="122">
        <f>IF($AL$92="","",IF(INDEX('Final Calculation Sheet'!$V$4:$V$40,$AL$92)="","",INDEX('Final Calculation Sheet'!$V$4:$V$40,$AL$92)))</f>
        <v/>
      </c>
      <c r="X92" s="122">
        <f>IF($AL$92="","",IF(INDEX('Final Calculation Sheet'!$W$4:$W$40,$AL$92)="","",INDEX('Final Calculation Sheet'!$W$4:$W$40,$AL$92)))</f>
        <v/>
      </c>
      <c r="Y92" s="122">
        <f>IF($AL$92="","",IF(INDEX('Final Calculation Sheet'!$X$4:$X$40,$AL$92)="","",INDEX('Final Calculation Sheet'!$X$4:$X$40,$AL$92)))</f>
        <v/>
      </c>
      <c r="Z92" s="122">
        <f>IF($AL$92="","",IF(INDEX('Final Calculation Sheet'!$Y$4:$Y$40,$AL$92)="","",INDEX('Final Calculation Sheet'!$Y$4:$Y$40,$AL$92)))</f>
        <v/>
      </c>
      <c r="AA92" s="122">
        <f>IF($AL$92="","",IF(INDEX('Final Calculation Sheet'!$Z$4:$Z$40,$AL$92)="","",INDEX('Final Calculation Sheet'!$Z$4:$Z$40,$AL$92)))</f>
        <v/>
      </c>
      <c r="AB92" s="122">
        <f>IF($AL$92="","",IF(INDEX('Final Calculation Sheet'!$AA$4:$AA$40,$AL$92)="","",INDEX('Final Calculation Sheet'!$AA$4:$AA$40,$AL$92)))</f>
        <v/>
      </c>
      <c r="AC92" s="122">
        <f>IF($AL$92="","",IF(INDEX('Final Calculation Sheet'!$AB$4:$AB$40,$AL$92)="","",INDEX('Final Calculation Sheet'!$AB$4:$AB$40,$AL$92)))</f>
        <v/>
      </c>
      <c r="AD92" s="122">
        <f>IF($AL$92="","",IF(INDEX('Final Calculation Sheet'!$AC$4:$AC$40,$AL$92)="","",INDEX('Final Calculation Sheet'!$AC$4:$AC$40,$AL$92)))</f>
        <v/>
      </c>
      <c r="AE92" s="122">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f>IF(COUNTIF($B$4:$AI$4,"&lt;&gt;")=0,"",IFERROR(MATCH(33,$AK$6:$AK$42,0),""))</f>
        <v/>
      </c>
    </row>
    <row r="93">
      <c r="A93" s="128">
        <f>IF($AL$93="","",34)</f>
        <v/>
      </c>
      <c r="B93" s="129">
        <f>IF($AL$93="","",IF(INDEX('Final Calculation Sheet'!$F$4:$F$40,$AL$93)="","",INDEX('Final Calculation Sheet'!$F$4:$F$40,$AL$93)))</f>
        <v/>
      </c>
      <c r="C93" s="129">
        <f>IF($AL$93="","",IF(INDEX('Final Calculation Sheet'!$G$4:$G$40,$AL$93)="","",INDEX('Final Calculation Sheet'!$G$4:$G$40,$AL$93)))</f>
        <v/>
      </c>
      <c r="D93" s="130">
        <f>IF($AL$93="","",IF(INDEX('Final Calculation Sheet'!$B$4:$B$40,$AL$93)="","",INDEX('Final Calculation Sheet'!$B$4:$B$40,$AL$93)))</f>
        <v/>
      </c>
      <c r="E93" s="130">
        <f>IF($AL$93="","",IF(INDEX('Final Calculation Sheet'!$D$4:$D$40,$AL$93)="","",INDEX('Final Calculation Sheet'!$D$4:$D$40,$AL$93)))</f>
        <v/>
      </c>
      <c r="F93" s="130">
        <f>IF($AL$93="","",IF(INDEX('Final Calculation Sheet'!$A$4:$A$40,$AL$93)="","",INDEX('Final Calculation Sheet'!$A$4:$A$40,$AL$93)))</f>
        <v/>
      </c>
      <c r="G93" s="130">
        <f>IF($AL$93="","",IF(INDEX('Final Calculation Sheet'!$E$4:$E$40,$AL$93)="","",INDEX('Final Calculation Sheet'!$E$4:$E$40,$AL$93)))</f>
        <v/>
      </c>
      <c r="H93" s="131">
        <f>IF($AL$93="","",IF(INDEX('Final Calculation Sheet'!$C$4:$C$40,$AL$93)="","",INDEX('Final Calculation Sheet'!$C$4:$C$40,$AL$93)))</f>
        <v/>
      </c>
      <c r="I93" s="131">
        <f>IF($AL$93="","",IF(INDEX('Final Calculation Sheet'!$H$4:$H$40,$AL$93)="","",INDEX('Final Calculation Sheet'!$H$4:$H$40,$AL$93)))</f>
        <v/>
      </c>
      <c r="J93" s="131">
        <f>IF($AL$93="","",IF(INDEX('Final Calculation Sheet'!$I$4:$I$40,$AL$93)="","",INDEX('Final Calculation Sheet'!$I$4:$I$40,$AL$93)))</f>
        <v/>
      </c>
      <c r="K93" s="131">
        <f>IF($AL$93="","",IF(INDEX('Final Calculation Sheet'!$J$4:$J$40,$AL$93)="","",INDEX('Final Calculation Sheet'!$J$4:$J$40,$AL$93)))</f>
        <v/>
      </c>
      <c r="L93" s="131">
        <f>IF($AL$93="","",IF(INDEX('Final Calculation Sheet'!$K$4:$K$40,$AL$93)="","",INDEX('Final Calculation Sheet'!$K$4:$K$40,$AL$93)))</f>
        <v/>
      </c>
      <c r="M93" s="131">
        <f>IF($AL$93="","",IF(INDEX('Final Calculation Sheet'!$L$4:$L$40,$AL$93)="","",INDEX('Final Calculation Sheet'!$L$4:$L$40,$AL$93)))</f>
        <v/>
      </c>
      <c r="N93" s="131">
        <f>IF($AL$93="","",IF(INDEX('Final Calculation Sheet'!$M$4:$M$40,$AL$93)="","",INDEX('Final Calculation Sheet'!$M$4:$M$40,$AL$93)))</f>
        <v/>
      </c>
      <c r="O93" s="132">
        <f>IF($AL$93="","",IF(INDEX('Final Calculation Sheet'!$N$4:$N$40,$AL$93)="","",INDEX('Final Calculation Sheet'!$N$4:$N$40,$AL$93)))</f>
        <v/>
      </c>
      <c r="P93" s="131">
        <f>IF($AL$93="","",IF(INDEX('Final Calculation Sheet'!$O$4:$O$40,$AL$93)="","",INDEX('Final Calculation Sheet'!$O$4:$O$40,$AL$93)))</f>
        <v/>
      </c>
      <c r="Q93" s="131">
        <f>IF($AL$93="","",IF(INDEX('Final Calculation Sheet'!$P$4:$P$40,$AL$93)="","",INDEX('Final Calculation Sheet'!$P$4:$P$40,$AL$93)))</f>
        <v/>
      </c>
      <c r="R93" s="133">
        <f>IF($AL$93="","",IF(INDEX('Final Calculation Sheet'!$Q$4:$Q$40,$AL$93)="","",INDEX('Final Calculation Sheet'!$Q$4:$Q$40,$AL$93)))</f>
        <v/>
      </c>
      <c r="S93" s="131">
        <f>IF($AL$93="","",IF(INDEX('Final Calculation Sheet'!$R$4:$R$40,$AL$93)="","",INDEX('Final Calculation Sheet'!$R$4:$R$40,$AL$93)))</f>
        <v/>
      </c>
      <c r="T93" s="131">
        <f>IF($AL$93="","",IF(INDEX('Final Calculation Sheet'!$S$4:$S$40,$AL$93)="","",INDEX('Final Calculation Sheet'!$S$4:$S$40,$AL$93)))</f>
        <v/>
      </c>
      <c r="U93" s="131">
        <f>IF($AL$93="","",IF(INDEX('Final Calculation Sheet'!$T$4:$T$40,$AL$93)="","",INDEX('Final Calculation Sheet'!$T$4:$T$40,$AL$93)))</f>
        <v/>
      </c>
      <c r="V93" s="134">
        <f>IF($AL$93="","",IF(INDEX('Final Calculation Sheet'!$U$4:$U$40,$AL$93)="","",INDEX('Final Calculation Sheet'!$U$4:$U$40,$AL$93)))</f>
        <v/>
      </c>
      <c r="W93" s="131">
        <f>IF($AL$93="","",IF(INDEX('Final Calculation Sheet'!$V$4:$V$40,$AL$93)="","",INDEX('Final Calculation Sheet'!$V$4:$V$40,$AL$93)))</f>
        <v/>
      </c>
      <c r="X93" s="131">
        <f>IF($AL$93="","",IF(INDEX('Final Calculation Sheet'!$W$4:$W$40,$AL$93)="","",INDEX('Final Calculation Sheet'!$W$4:$W$40,$AL$93)))</f>
        <v/>
      </c>
      <c r="Y93" s="131">
        <f>IF($AL$93="","",IF(INDEX('Final Calculation Sheet'!$X$4:$X$40,$AL$93)="","",INDEX('Final Calculation Sheet'!$X$4:$X$40,$AL$93)))</f>
        <v/>
      </c>
      <c r="Z93" s="131">
        <f>IF($AL$93="","",IF(INDEX('Final Calculation Sheet'!$Y$4:$Y$40,$AL$93)="","",INDEX('Final Calculation Sheet'!$Y$4:$Y$40,$AL$93)))</f>
        <v/>
      </c>
      <c r="AA93" s="131">
        <f>IF($AL$93="","",IF(INDEX('Final Calculation Sheet'!$Z$4:$Z$40,$AL$93)="","",INDEX('Final Calculation Sheet'!$Z$4:$Z$40,$AL$93)))</f>
        <v/>
      </c>
      <c r="AB93" s="131">
        <f>IF($AL$93="","",IF(INDEX('Final Calculation Sheet'!$AA$4:$AA$40,$AL$93)="","",INDEX('Final Calculation Sheet'!$AA$4:$AA$40,$AL$93)))</f>
        <v/>
      </c>
      <c r="AC93" s="131">
        <f>IF($AL$93="","",IF(INDEX('Final Calculation Sheet'!$AB$4:$AB$40,$AL$93)="","",INDEX('Final Calculation Sheet'!$AB$4:$AB$40,$AL$93)))</f>
        <v/>
      </c>
      <c r="AD93" s="131">
        <f>IF($AL$93="","",IF(INDEX('Final Calculation Sheet'!$AC$4:$AC$40,$AL$93)="","",INDEX('Final Calculation Sheet'!$AC$4:$AC$40,$AL$93)))</f>
        <v/>
      </c>
      <c r="AE93" s="131">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f>IF(COUNTIF($B$4:$AI$4,"&lt;&gt;")=0,"",IFERROR(MATCH(34,$AK$6:$AK$42,0),""))</f>
        <v/>
      </c>
    </row>
    <row r="94">
      <c r="A94" s="118">
        <f>IF($AL$94="","",35)</f>
        <v/>
      </c>
      <c r="B94" s="119">
        <f>IF($AL$94="","",IF(INDEX('Final Calculation Sheet'!$F$4:$F$40,$AL$94)="","",INDEX('Final Calculation Sheet'!$F$4:$F$40,$AL$94)))</f>
        <v/>
      </c>
      <c r="C94" s="119">
        <f>IF($AL$94="","",IF(INDEX('Final Calculation Sheet'!$G$4:$G$40,$AL$94)="","",INDEX('Final Calculation Sheet'!$G$4:$G$40,$AL$94)))</f>
        <v/>
      </c>
      <c r="D94" s="121">
        <f>IF($AL$94="","",IF(INDEX('Final Calculation Sheet'!$B$4:$B$40,$AL$94)="","",INDEX('Final Calculation Sheet'!$B$4:$B$40,$AL$94)))</f>
        <v/>
      </c>
      <c r="E94" s="121">
        <f>IF($AL$94="","",IF(INDEX('Final Calculation Sheet'!$D$4:$D$40,$AL$94)="","",INDEX('Final Calculation Sheet'!$D$4:$D$40,$AL$94)))</f>
        <v/>
      </c>
      <c r="F94" s="121">
        <f>IF($AL$94="","",IF(INDEX('Final Calculation Sheet'!$A$4:$A$40,$AL$94)="","",INDEX('Final Calculation Sheet'!$A$4:$A$40,$AL$94)))</f>
        <v/>
      </c>
      <c r="G94" s="121">
        <f>IF($AL$94="","",IF(INDEX('Final Calculation Sheet'!$E$4:$E$40,$AL$94)="","",INDEX('Final Calculation Sheet'!$E$4:$E$40,$AL$94)))</f>
        <v/>
      </c>
      <c r="H94" s="122">
        <f>IF($AL$94="","",IF(INDEX('Final Calculation Sheet'!$C$4:$C$40,$AL$94)="","",INDEX('Final Calculation Sheet'!$C$4:$C$40,$AL$94)))</f>
        <v/>
      </c>
      <c r="I94" s="122">
        <f>IF($AL$94="","",IF(INDEX('Final Calculation Sheet'!$H$4:$H$40,$AL$94)="","",INDEX('Final Calculation Sheet'!$H$4:$H$40,$AL$94)))</f>
        <v/>
      </c>
      <c r="J94" s="122">
        <f>IF($AL$94="","",IF(INDEX('Final Calculation Sheet'!$I$4:$I$40,$AL$94)="","",INDEX('Final Calculation Sheet'!$I$4:$I$40,$AL$94)))</f>
        <v/>
      </c>
      <c r="K94" s="122">
        <f>IF($AL$94="","",IF(INDEX('Final Calculation Sheet'!$J$4:$J$40,$AL$94)="","",INDEX('Final Calculation Sheet'!$J$4:$J$40,$AL$94)))</f>
        <v/>
      </c>
      <c r="L94" s="122">
        <f>IF($AL$94="","",IF(INDEX('Final Calculation Sheet'!$K$4:$K$40,$AL$94)="","",INDEX('Final Calculation Sheet'!$K$4:$K$40,$AL$94)))</f>
        <v/>
      </c>
      <c r="M94" s="122">
        <f>IF($AL$94="","",IF(INDEX('Final Calculation Sheet'!$L$4:$L$40,$AL$94)="","",INDEX('Final Calculation Sheet'!$L$4:$L$40,$AL$94)))</f>
        <v/>
      </c>
      <c r="N94" s="122">
        <f>IF($AL$94="","",IF(INDEX('Final Calculation Sheet'!$M$4:$M$40,$AL$94)="","",INDEX('Final Calculation Sheet'!$M$4:$M$40,$AL$94)))</f>
        <v/>
      </c>
      <c r="O94" s="123">
        <f>IF($AL$94="","",IF(INDEX('Final Calculation Sheet'!$N$4:$N$40,$AL$94)="","",INDEX('Final Calculation Sheet'!$N$4:$N$40,$AL$94)))</f>
        <v/>
      </c>
      <c r="P94" s="122">
        <f>IF($AL$94="","",IF(INDEX('Final Calculation Sheet'!$O$4:$O$40,$AL$94)="","",INDEX('Final Calculation Sheet'!$O$4:$O$40,$AL$94)))</f>
        <v/>
      </c>
      <c r="Q94" s="122">
        <f>IF($AL$94="","",IF(INDEX('Final Calculation Sheet'!$P$4:$P$40,$AL$94)="","",INDEX('Final Calculation Sheet'!$P$4:$P$40,$AL$94)))</f>
        <v/>
      </c>
      <c r="R94" s="124">
        <f>IF($AL$94="","",IF(INDEX('Final Calculation Sheet'!$Q$4:$Q$40,$AL$94)="","",INDEX('Final Calculation Sheet'!$Q$4:$Q$40,$AL$94)))</f>
        <v/>
      </c>
      <c r="S94" s="122">
        <f>IF($AL$94="","",IF(INDEX('Final Calculation Sheet'!$R$4:$R$40,$AL$94)="","",INDEX('Final Calculation Sheet'!$R$4:$R$40,$AL$94)))</f>
        <v/>
      </c>
      <c r="T94" s="122">
        <f>IF($AL$94="","",IF(INDEX('Final Calculation Sheet'!$S$4:$S$40,$AL$94)="","",INDEX('Final Calculation Sheet'!$S$4:$S$40,$AL$94)))</f>
        <v/>
      </c>
      <c r="U94" s="122">
        <f>IF($AL$94="","",IF(INDEX('Final Calculation Sheet'!$T$4:$T$40,$AL$94)="","",INDEX('Final Calculation Sheet'!$T$4:$T$40,$AL$94)))</f>
        <v/>
      </c>
      <c r="V94" s="125">
        <f>IF($AL$94="","",IF(INDEX('Final Calculation Sheet'!$U$4:$U$40,$AL$94)="","",INDEX('Final Calculation Sheet'!$U$4:$U$40,$AL$94)))</f>
        <v/>
      </c>
      <c r="W94" s="122">
        <f>IF($AL$94="","",IF(INDEX('Final Calculation Sheet'!$V$4:$V$40,$AL$94)="","",INDEX('Final Calculation Sheet'!$V$4:$V$40,$AL$94)))</f>
        <v/>
      </c>
      <c r="X94" s="122">
        <f>IF($AL$94="","",IF(INDEX('Final Calculation Sheet'!$W$4:$W$40,$AL$94)="","",INDEX('Final Calculation Sheet'!$W$4:$W$40,$AL$94)))</f>
        <v/>
      </c>
      <c r="Y94" s="122">
        <f>IF($AL$94="","",IF(INDEX('Final Calculation Sheet'!$X$4:$X$40,$AL$94)="","",INDEX('Final Calculation Sheet'!$X$4:$X$40,$AL$94)))</f>
        <v/>
      </c>
      <c r="Z94" s="122">
        <f>IF($AL$94="","",IF(INDEX('Final Calculation Sheet'!$Y$4:$Y$40,$AL$94)="","",INDEX('Final Calculation Sheet'!$Y$4:$Y$40,$AL$94)))</f>
        <v/>
      </c>
      <c r="AA94" s="122">
        <f>IF($AL$94="","",IF(INDEX('Final Calculation Sheet'!$Z$4:$Z$40,$AL$94)="","",INDEX('Final Calculation Sheet'!$Z$4:$Z$40,$AL$94)))</f>
        <v/>
      </c>
      <c r="AB94" s="122">
        <f>IF($AL$94="","",IF(INDEX('Final Calculation Sheet'!$AA$4:$AA$40,$AL$94)="","",INDEX('Final Calculation Sheet'!$AA$4:$AA$40,$AL$94)))</f>
        <v/>
      </c>
      <c r="AC94" s="122">
        <f>IF($AL$94="","",IF(INDEX('Final Calculation Sheet'!$AB$4:$AB$40,$AL$94)="","",INDEX('Final Calculation Sheet'!$AB$4:$AB$40,$AL$94)))</f>
        <v/>
      </c>
      <c r="AD94" s="122">
        <f>IF($AL$94="","",IF(INDEX('Final Calculation Sheet'!$AC$4:$AC$40,$AL$94)="","",INDEX('Final Calculation Sheet'!$AC$4:$AC$40,$AL$94)))</f>
        <v/>
      </c>
      <c r="AE94" s="122">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f>IF(COUNTIF($B$4:$AI$4,"&lt;&gt;")=0,"",IFERROR(MATCH(35,$AK$6:$AK$42,0),""))</f>
        <v/>
      </c>
    </row>
    <row r="95">
      <c r="A95" s="128">
        <f>IF($AL$95="","",36)</f>
        <v/>
      </c>
      <c r="B95" s="129">
        <f>IF($AL$95="","",IF(INDEX('Final Calculation Sheet'!$F$4:$F$40,$AL$95)="","",INDEX('Final Calculation Sheet'!$F$4:$F$40,$AL$95)))</f>
        <v/>
      </c>
      <c r="C95" s="129">
        <f>IF($AL$95="","",IF(INDEX('Final Calculation Sheet'!$G$4:$G$40,$AL$95)="","",INDEX('Final Calculation Sheet'!$G$4:$G$40,$AL$95)))</f>
        <v/>
      </c>
      <c r="D95" s="130">
        <f>IF($AL$95="","",IF(INDEX('Final Calculation Sheet'!$B$4:$B$40,$AL$95)="","",INDEX('Final Calculation Sheet'!$B$4:$B$40,$AL$95)))</f>
        <v/>
      </c>
      <c r="E95" s="130">
        <f>IF($AL$95="","",IF(INDEX('Final Calculation Sheet'!$D$4:$D$40,$AL$95)="","",INDEX('Final Calculation Sheet'!$D$4:$D$40,$AL$95)))</f>
        <v/>
      </c>
      <c r="F95" s="130">
        <f>IF($AL$95="","",IF(INDEX('Final Calculation Sheet'!$A$4:$A$40,$AL$95)="","",INDEX('Final Calculation Sheet'!$A$4:$A$40,$AL$95)))</f>
        <v/>
      </c>
      <c r="G95" s="130">
        <f>IF($AL$95="","",IF(INDEX('Final Calculation Sheet'!$E$4:$E$40,$AL$95)="","",INDEX('Final Calculation Sheet'!$E$4:$E$40,$AL$95)))</f>
        <v/>
      </c>
      <c r="H95" s="131">
        <f>IF($AL$95="","",IF(INDEX('Final Calculation Sheet'!$C$4:$C$40,$AL$95)="","",INDEX('Final Calculation Sheet'!$C$4:$C$40,$AL$95)))</f>
        <v/>
      </c>
      <c r="I95" s="131">
        <f>IF($AL$95="","",IF(INDEX('Final Calculation Sheet'!$H$4:$H$40,$AL$95)="","",INDEX('Final Calculation Sheet'!$H$4:$H$40,$AL$95)))</f>
        <v/>
      </c>
      <c r="J95" s="131">
        <f>IF($AL$95="","",IF(INDEX('Final Calculation Sheet'!$I$4:$I$40,$AL$95)="","",INDEX('Final Calculation Sheet'!$I$4:$I$40,$AL$95)))</f>
        <v/>
      </c>
      <c r="K95" s="131">
        <f>IF($AL$95="","",IF(INDEX('Final Calculation Sheet'!$J$4:$J$40,$AL$95)="","",INDEX('Final Calculation Sheet'!$J$4:$J$40,$AL$95)))</f>
        <v/>
      </c>
      <c r="L95" s="131">
        <f>IF($AL$95="","",IF(INDEX('Final Calculation Sheet'!$K$4:$K$40,$AL$95)="","",INDEX('Final Calculation Sheet'!$K$4:$K$40,$AL$95)))</f>
        <v/>
      </c>
      <c r="M95" s="131">
        <f>IF($AL$95="","",IF(INDEX('Final Calculation Sheet'!$L$4:$L$40,$AL$95)="","",INDEX('Final Calculation Sheet'!$L$4:$L$40,$AL$95)))</f>
        <v/>
      </c>
      <c r="N95" s="131">
        <f>IF($AL$95="","",IF(INDEX('Final Calculation Sheet'!$M$4:$M$40,$AL$95)="","",INDEX('Final Calculation Sheet'!$M$4:$M$40,$AL$95)))</f>
        <v/>
      </c>
      <c r="O95" s="132">
        <f>IF($AL$95="","",IF(INDEX('Final Calculation Sheet'!$N$4:$N$40,$AL$95)="","",INDEX('Final Calculation Sheet'!$N$4:$N$40,$AL$95)))</f>
        <v/>
      </c>
      <c r="P95" s="131">
        <f>IF($AL$95="","",IF(INDEX('Final Calculation Sheet'!$O$4:$O$40,$AL$95)="","",INDEX('Final Calculation Sheet'!$O$4:$O$40,$AL$95)))</f>
        <v/>
      </c>
      <c r="Q95" s="131">
        <f>IF($AL$95="","",IF(INDEX('Final Calculation Sheet'!$P$4:$P$40,$AL$95)="","",INDEX('Final Calculation Sheet'!$P$4:$P$40,$AL$95)))</f>
        <v/>
      </c>
      <c r="R95" s="133">
        <f>IF($AL$95="","",IF(INDEX('Final Calculation Sheet'!$Q$4:$Q$40,$AL$95)="","",INDEX('Final Calculation Sheet'!$Q$4:$Q$40,$AL$95)))</f>
        <v/>
      </c>
      <c r="S95" s="131">
        <f>IF($AL$95="","",IF(INDEX('Final Calculation Sheet'!$R$4:$R$40,$AL$95)="","",INDEX('Final Calculation Sheet'!$R$4:$R$40,$AL$95)))</f>
        <v/>
      </c>
      <c r="T95" s="131">
        <f>IF($AL$95="","",IF(INDEX('Final Calculation Sheet'!$S$4:$S$40,$AL$95)="","",INDEX('Final Calculation Sheet'!$S$4:$S$40,$AL$95)))</f>
        <v/>
      </c>
      <c r="U95" s="131">
        <f>IF($AL$95="","",IF(INDEX('Final Calculation Sheet'!$T$4:$T$40,$AL$95)="","",INDEX('Final Calculation Sheet'!$T$4:$T$40,$AL$95)))</f>
        <v/>
      </c>
      <c r="V95" s="134">
        <f>IF($AL$95="","",IF(INDEX('Final Calculation Sheet'!$U$4:$U$40,$AL$95)="","",INDEX('Final Calculation Sheet'!$U$4:$U$40,$AL$95)))</f>
        <v/>
      </c>
      <c r="W95" s="131">
        <f>IF($AL$95="","",IF(INDEX('Final Calculation Sheet'!$V$4:$V$40,$AL$95)="","",INDEX('Final Calculation Sheet'!$V$4:$V$40,$AL$95)))</f>
        <v/>
      </c>
      <c r="X95" s="131">
        <f>IF($AL$95="","",IF(INDEX('Final Calculation Sheet'!$W$4:$W$40,$AL$95)="","",INDEX('Final Calculation Sheet'!$W$4:$W$40,$AL$95)))</f>
        <v/>
      </c>
      <c r="Y95" s="131">
        <f>IF($AL$95="","",IF(INDEX('Final Calculation Sheet'!$X$4:$X$40,$AL$95)="","",INDEX('Final Calculation Sheet'!$X$4:$X$40,$AL$95)))</f>
        <v/>
      </c>
      <c r="Z95" s="131">
        <f>IF($AL$95="","",IF(INDEX('Final Calculation Sheet'!$Y$4:$Y$40,$AL$95)="","",INDEX('Final Calculation Sheet'!$Y$4:$Y$40,$AL$95)))</f>
        <v/>
      </c>
      <c r="AA95" s="131">
        <f>IF($AL$95="","",IF(INDEX('Final Calculation Sheet'!$Z$4:$Z$40,$AL$95)="","",INDEX('Final Calculation Sheet'!$Z$4:$Z$40,$AL$95)))</f>
        <v/>
      </c>
      <c r="AB95" s="131">
        <f>IF($AL$95="","",IF(INDEX('Final Calculation Sheet'!$AA$4:$AA$40,$AL$95)="","",INDEX('Final Calculation Sheet'!$AA$4:$AA$40,$AL$95)))</f>
        <v/>
      </c>
      <c r="AC95" s="131">
        <f>IF($AL$95="","",IF(INDEX('Final Calculation Sheet'!$AB$4:$AB$40,$AL$95)="","",INDEX('Final Calculation Sheet'!$AB$4:$AB$40,$AL$95)))</f>
        <v/>
      </c>
      <c r="AD95" s="131">
        <f>IF($AL$95="","",IF(INDEX('Final Calculation Sheet'!$AC$4:$AC$40,$AL$95)="","",INDEX('Final Calculation Sheet'!$AC$4:$AC$40,$AL$95)))</f>
        <v/>
      </c>
      <c r="AE95" s="131">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f>IF(COUNTIF($B$4:$AI$4,"&lt;&gt;")=0,"",IFERROR(MATCH(36,$AK$6:$AK$42,0),""))</f>
        <v/>
      </c>
    </row>
    <row r="96">
      <c r="A96" s="118">
        <f>IF($AL$96="","",37)</f>
        <v/>
      </c>
      <c r="B96" s="119">
        <f>IF($AL$96="","",IF(INDEX('Final Calculation Sheet'!$F$4:$F$40,$AL$96)="","",INDEX('Final Calculation Sheet'!$F$4:$F$40,$AL$96)))</f>
        <v/>
      </c>
      <c r="C96" s="119">
        <f>IF($AL$96="","",IF(INDEX('Final Calculation Sheet'!$G$4:$G$40,$AL$96)="","",INDEX('Final Calculation Sheet'!$G$4:$G$40,$AL$96)))</f>
        <v/>
      </c>
      <c r="D96" s="121">
        <f>IF($AL$96="","",IF(INDEX('Final Calculation Sheet'!$B$4:$B$40,$AL$96)="","",INDEX('Final Calculation Sheet'!$B$4:$B$40,$AL$96)))</f>
        <v/>
      </c>
      <c r="E96" s="121">
        <f>IF($AL$96="","",IF(INDEX('Final Calculation Sheet'!$D$4:$D$40,$AL$96)="","",INDEX('Final Calculation Sheet'!$D$4:$D$40,$AL$96)))</f>
        <v/>
      </c>
      <c r="F96" s="121">
        <f>IF($AL$96="","",IF(INDEX('Final Calculation Sheet'!$A$4:$A$40,$AL$96)="","",INDEX('Final Calculation Sheet'!$A$4:$A$40,$AL$96)))</f>
        <v/>
      </c>
      <c r="G96" s="121">
        <f>IF($AL$96="","",IF(INDEX('Final Calculation Sheet'!$E$4:$E$40,$AL$96)="","",INDEX('Final Calculation Sheet'!$E$4:$E$40,$AL$96)))</f>
        <v/>
      </c>
      <c r="H96" s="122">
        <f>IF($AL$96="","",IF(INDEX('Final Calculation Sheet'!$C$4:$C$40,$AL$96)="","",INDEX('Final Calculation Sheet'!$C$4:$C$40,$AL$96)))</f>
        <v/>
      </c>
      <c r="I96" s="122">
        <f>IF($AL$96="","",IF(INDEX('Final Calculation Sheet'!$H$4:$H$40,$AL$96)="","",INDEX('Final Calculation Sheet'!$H$4:$H$40,$AL$96)))</f>
        <v/>
      </c>
      <c r="J96" s="122">
        <f>IF($AL$96="","",IF(INDEX('Final Calculation Sheet'!$I$4:$I$40,$AL$96)="","",INDEX('Final Calculation Sheet'!$I$4:$I$40,$AL$96)))</f>
        <v/>
      </c>
      <c r="K96" s="122">
        <f>IF($AL$96="","",IF(INDEX('Final Calculation Sheet'!$J$4:$J$40,$AL$96)="","",INDEX('Final Calculation Sheet'!$J$4:$J$40,$AL$96)))</f>
        <v/>
      </c>
      <c r="L96" s="122">
        <f>IF($AL$96="","",IF(INDEX('Final Calculation Sheet'!$K$4:$K$40,$AL$96)="","",INDEX('Final Calculation Sheet'!$K$4:$K$40,$AL$96)))</f>
        <v/>
      </c>
      <c r="M96" s="122">
        <f>IF($AL$96="","",IF(INDEX('Final Calculation Sheet'!$L$4:$L$40,$AL$96)="","",INDEX('Final Calculation Sheet'!$L$4:$L$40,$AL$96)))</f>
        <v/>
      </c>
      <c r="N96" s="122">
        <f>IF($AL$96="","",IF(INDEX('Final Calculation Sheet'!$M$4:$M$40,$AL$96)="","",INDEX('Final Calculation Sheet'!$M$4:$M$40,$AL$96)))</f>
        <v/>
      </c>
      <c r="O96" s="123">
        <f>IF($AL$96="","",IF(INDEX('Final Calculation Sheet'!$N$4:$N$40,$AL$96)="","",INDEX('Final Calculation Sheet'!$N$4:$N$40,$AL$96)))</f>
        <v/>
      </c>
      <c r="P96" s="122">
        <f>IF($AL$96="","",IF(INDEX('Final Calculation Sheet'!$O$4:$O$40,$AL$96)="","",INDEX('Final Calculation Sheet'!$O$4:$O$40,$AL$96)))</f>
        <v/>
      </c>
      <c r="Q96" s="122">
        <f>IF($AL$96="","",IF(INDEX('Final Calculation Sheet'!$P$4:$P$40,$AL$96)="","",INDEX('Final Calculation Sheet'!$P$4:$P$40,$AL$96)))</f>
        <v/>
      </c>
      <c r="R96" s="124">
        <f>IF($AL$96="","",IF(INDEX('Final Calculation Sheet'!$Q$4:$Q$40,$AL$96)="","",INDEX('Final Calculation Sheet'!$Q$4:$Q$40,$AL$96)))</f>
        <v/>
      </c>
      <c r="S96" s="122">
        <f>IF($AL$96="","",IF(INDEX('Final Calculation Sheet'!$R$4:$R$40,$AL$96)="","",INDEX('Final Calculation Sheet'!$R$4:$R$40,$AL$96)))</f>
        <v/>
      </c>
      <c r="T96" s="122">
        <f>IF($AL$96="","",IF(INDEX('Final Calculation Sheet'!$S$4:$S$40,$AL$96)="","",INDEX('Final Calculation Sheet'!$S$4:$S$40,$AL$96)))</f>
        <v/>
      </c>
      <c r="U96" s="122">
        <f>IF($AL$96="","",IF(INDEX('Final Calculation Sheet'!$T$4:$T$40,$AL$96)="","",INDEX('Final Calculation Sheet'!$T$4:$T$40,$AL$96)))</f>
        <v/>
      </c>
      <c r="V96" s="125">
        <f>IF($AL$96="","",IF(INDEX('Final Calculation Sheet'!$U$4:$U$40,$AL$96)="","",INDEX('Final Calculation Sheet'!$U$4:$U$40,$AL$96)))</f>
        <v/>
      </c>
      <c r="W96" s="122">
        <f>IF($AL$96="","",IF(INDEX('Final Calculation Sheet'!$V$4:$V$40,$AL$96)="","",INDEX('Final Calculation Sheet'!$V$4:$V$40,$AL$96)))</f>
        <v/>
      </c>
      <c r="X96" s="122">
        <f>IF($AL$96="","",IF(INDEX('Final Calculation Sheet'!$W$4:$W$40,$AL$96)="","",INDEX('Final Calculation Sheet'!$W$4:$W$40,$AL$96)))</f>
        <v/>
      </c>
      <c r="Y96" s="122">
        <f>IF($AL$96="","",IF(INDEX('Final Calculation Sheet'!$X$4:$X$40,$AL$96)="","",INDEX('Final Calculation Sheet'!$X$4:$X$40,$AL$96)))</f>
        <v/>
      </c>
      <c r="Z96" s="122">
        <f>IF($AL$96="","",IF(INDEX('Final Calculation Sheet'!$Y$4:$Y$40,$AL$96)="","",INDEX('Final Calculation Sheet'!$Y$4:$Y$40,$AL$96)))</f>
        <v/>
      </c>
      <c r="AA96" s="122">
        <f>IF($AL$96="","",IF(INDEX('Final Calculation Sheet'!$Z$4:$Z$40,$AL$96)="","",INDEX('Final Calculation Sheet'!$Z$4:$Z$40,$AL$96)))</f>
        <v/>
      </c>
      <c r="AB96" s="122">
        <f>IF($AL$96="","",IF(INDEX('Final Calculation Sheet'!$AA$4:$AA$40,$AL$96)="","",INDEX('Final Calculation Sheet'!$AA$4:$AA$40,$AL$96)))</f>
        <v/>
      </c>
      <c r="AC96" s="122">
        <f>IF($AL$96="","",IF(INDEX('Final Calculation Sheet'!$AB$4:$AB$40,$AL$96)="","",INDEX('Final Calculation Sheet'!$AB$4:$AB$40,$AL$96)))</f>
        <v/>
      </c>
      <c r="AD96" s="122">
        <f>IF($AL$96="","",IF(INDEX('Final Calculation Sheet'!$AC$4:$AC$40,$AL$96)="","",INDEX('Final Calculation Sheet'!$AC$4:$AC$40,$AL$96)))</f>
        <v/>
      </c>
      <c r="AE96" s="122">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=SUGN_B_DEP</formula1>
    </dataValidation>
    <dataValidation sqref="C4" showDropDown="0" showInputMessage="0" showErrorMessage="0" allowBlank="0" type="list">
      <formula1>SUGN_C</formula1>
      <formula2>0</formula2>
    </dataValidation>
    <dataValidation sqref="D4" showDropDown="0" showInputMessage="0" showErrorMessage="0" allowBlank="0" type="list">
      <formula1>SUGN_D_DEP</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HA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c r="GC3" t="inlineStr">
        <is>
          <t>DEP B-FINAL (Lot No by Final!G2)</t>
        </is>
      </c>
      <c r="GH3" t="inlineStr">
        <is>
          <t>DEP B-LIVE (Lot No by Live!C4)</t>
        </is>
      </c>
      <c r="GM3" t="inlineStr">
        <is>
          <t>DEP B-BG (Lot No by BuyerGroups!C4)</t>
        </is>
      </c>
      <c r="GR3" t="inlineStr">
        <is>
          <t>DEP D-FINAL (Lot Name by Final!G2)</t>
        </is>
      </c>
      <c r="GW3" t="inlineStr">
        <is>
          <t>DEP D-BG (Lot Name by BuyerGroups!C4)</t>
        </is>
      </c>
    </row>
    <row r="4">
      <c r="A4">
        <f>IF('Final Calculation Sheet'!$F$4="","",'Final Calculation Sheet'!$F$4)</f>
        <v/>
      </c>
      <c r="B4">
        <f>IF(A4="","",COUNTIFS(A$4:A$114,"&lt;"&amp;A4,A$4:A$114,"&lt;&gt;"&amp;"")+COUNTIF(A$4:A4,A4))</f>
        <v/>
      </c>
      <c r="C4">
        <f>IF(ROW()-3&gt;COUNTIF(A$4:A$114,"&lt;&gt;"&amp;""),"",INDEX(A$4:A$114,MATCH(ROW()-3,B$4:B$114,0)))</f>
        <v/>
      </c>
      <c r="D4">
        <f>IF(AND(C4&lt;&gt;"",COUNTIF(C$4:C4,C4)=1),1,0)</f>
        <v/>
      </c>
      <c r="E4">
        <f>IF(ROW()-3&gt;MAX(D$4:D$114),"",INDEX(C$4:C$114,MATCH(ROW()-3,D$4:D$114,0)))</f>
        <v/>
      </c>
      <c r="F4">
        <f>ROW()-3</f>
        <v/>
      </c>
      <c r="G4">
        <f>IF(F4="","",COUNTIFS(F$4:F$40,"&lt;"&amp;F4,F$4:F$40,"&lt;&gt;"&amp;"")+COUNTIF(F$4:F4,F4))</f>
        <v/>
      </c>
      <c r="H4">
        <f>IF(ROW()-3&gt;COUNTIF(F$4:F$40,"&lt;&gt;"&amp;""),"",INDEX(F$4:F$40,MATCH(ROW()-3,G$4:G$40,0)))</f>
        <v/>
      </c>
      <c r="I4">
        <f>IF(AND(H4&lt;&gt;"",COUNTIF(H$4:H4,H4)=1),1,0)</f>
        <v/>
      </c>
      <c r="J4">
        <f>IF(ROW()-3&gt;MAX(I$4:I$40),"",INDEX(H$4:H$40,MATCH(ROW()-3,I$4:I$40,0)))</f>
        <v/>
      </c>
      <c r="K4">
        <f>IF('Final Calculation Sheet'!$F$4="","",'Final Calculation Sheet'!$F$4)</f>
        <v/>
      </c>
      <c r="L4">
        <f>IF(K4="","",COUNTIFS(K$4:K$40,"&lt;"&amp;K4,K$4:K$40,"&lt;&gt;"&amp;"")+COUNTIF(K$4:K4,K4))</f>
        <v/>
      </c>
      <c r="M4">
        <f>IF(ROW()-3&gt;COUNTIF(K$4:K$40,"&lt;&gt;"&amp;""),"",INDEX(K$4:K$40,MATCH(ROW()-3,L$4:L$40,0)))</f>
        <v/>
      </c>
      <c r="N4">
        <f>IF(AND(M4&lt;&gt;"",COUNTIF(M$4:M4,M4)=1),1,0)</f>
        <v/>
      </c>
      <c r="O4">
        <f>IF(ROW()-3&gt;MAX(N$4:N$40),"",INDEX(M$4:M$40,MATCH(ROW()-3,N$4:N$40,0)))</f>
        <v/>
      </c>
      <c r="P4">
        <f>IF('Final Calculation Sheet'!$G$4="","",'Final Calculation Sheet'!$G$4)</f>
        <v/>
      </c>
      <c r="Q4">
        <f>IF(P4="","",COUNTIFS(P$4:P$40,"&lt;"&amp;P4,P$4:P$40,"&lt;&gt;"&amp;"")+COUNTIF(P$4:P4,P4))</f>
        <v/>
      </c>
      <c r="R4">
        <f>IF(ROW()-3&gt;COUNTIF(P$4:P$40,"&lt;&gt;"&amp;""),"",INDEX(P$4:P$40,MATCH(ROW()-3,Q$4:Q$40,0)))</f>
        <v/>
      </c>
      <c r="S4">
        <f>IF(AND(R4&lt;&gt;"",COUNTIF(R$4:R4,R4)=1),1,0)</f>
        <v/>
      </c>
      <c r="T4">
        <f>IF(ROW()-3&gt;MAX(S$4:S$40),"",INDEX(R$4:R$40,MATCH(ROW()-3,S$4:S$40,0)))</f>
        <v/>
      </c>
      <c r="U4">
        <f>IF('Final Calculation Sheet'!$B$4="","",'Final Calculation Sheet'!$B$4)</f>
        <v/>
      </c>
      <c r="V4">
        <f>IF(U4="","",COUNTIFS(U$4:U$40,"&lt;"&amp;U4,U$4:U$40,"&lt;&gt;"&amp;"")+COUNTIF(U$4:U4,U4))</f>
        <v/>
      </c>
      <c r="W4">
        <f>IF(ROW()-3&gt;COUNTIF(U$4:U$40,"&lt;&gt;"&amp;""),"",INDEX(U$4:U$40,MATCH(ROW()-3,V$4:V$40,0)))</f>
        <v/>
      </c>
      <c r="X4">
        <f>IF(AND(W4&lt;&gt;"",COUNTIF(W$4:W4,W4)=1),1,0)</f>
        <v/>
      </c>
      <c r="Y4">
        <f>IF(ROW()-3&gt;MAX(X$4:X$40),"",INDEX(W$4:W$40,MATCH(ROW()-3,X$4:X$40,0)))</f>
        <v/>
      </c>
      <c r="Z4">
        <f>IF('Final Calculation Sheet'!$D$4="","",'Final Calculation Sheet'!$D$4)</f>
        <v/>
      </c>
      <c r="AA4">
        <f>IF(Z4="","",COUNTIFS(Z$4:Z$40,"&lt;"&amp;Z4,Z$4:Z$40,"&lt;&gt;"&amp;"")+COUNTIF(Z$4:Z4,Z4))</f>
        <v/>
      </c>
      <c r="AB4">
        <f>IF(ROW()-3&gt;COUNTIF(Z$4:Z$40,"&lt;&gt;"&amp;""),"",INDEX(Z$4:Z$40,MATCH(ROW()-3,AA$4:AA$40,0)))</f>
        <v/>
      </c>
      <c r="AC4">
        <f>IF(AND(AB4&lt;&gt;"",COUNTIF(AB$4:AB4,AB4)=1),1,0)</f>
        <v/>
      </c>
      <c r="AD4">
        <f>IF(ROW()-3&gt;MAX(AC$4:AC$40),"",INDEX(AB$4:AB$40,MATCH(ROW()-3,AC$4:AC$40,0)))</f>
        <v/>
      </c>
      <c r="AE4">
        <f>IF('Final Calculation Sheet'!$A$4="","",'Final Calculation Sheet'!$A$4)</f>
        <v/>
      </c>
      <c r="AF4">
        <f>IF(AE4="","",COUNTIFS(AE$4:AE$40,"&lt;"&amp;AE4,AE$4:AE$40,"&lt;&gt;"&amp;"")+COUNTIF(AE$4:AE4,AE4))</f>
        <v/>
      </c>
      <c r="AG4">
        <f>IF(ROW()-3&gt;COUNTIF(AE$4:AE$40,"&lt;&gt;"&amp;""),"",INDEX(AE$4:AE$40,MATCH(ROW()-3,AF$4:AF$40,0)))</f>
        <v/>
      </c>
      <c r="AH4">
        <f>IF(AND(AG4&lt;&gt;"",COUNTIF(AG$4:AG4,AG4)=1),1,0)</f>
        <v/>
      </c>
      <c r="AI4">
        <f>IF(ROW()-3&gt;MAX(AH$4:AH$40),"",INDEX(AG$4:AG$40,MATCH(ROW()-3,AH$4:AH$40,0)))</f>
        <v/>
      </c>
      <c r="AJ4">
        <f>IF('Final Calculation Sheet'!$E$4="","",'Final Calculation Sheet'!$E$4)</f>
        <v/>
      </c>
      <c r="AK4">
        <f>IF(AJ4="","",COUNTIFS(AJ$4:AJ$40,"&lt;"&amp;AJ4,AJ$4:AJ$40,"&lt;&gt;"&amp;"")+COUNTIF(AJ$4:AJ4,AJ4))</f>
        <v/>
      </c>
      <c r="AL4">
        <f>IF(ROW()-3&gt;COUNTIF(AJ$4:AJ$40,"&lt;&gt;"&amp;""),"",INDEX(AJ$4:AJ$40,MATCH(ROW()-3,AK$4:AK$40,0)))</f>
        <v/>
      </c>
      <c r="AM4">
        <f>IF(AND(AL4&lt;&gt;"",COUNTIF(AL$4:AL4,AL4)=1),1,0)</f>
        <v/>
      </c>
      <c r="AN4">
        <f>IF(ROW()-3&gt;MAX(AM$4:AM$40),"",INDEX(AL$4:AL$40,MATCH(ROW()-3,AM$4:AM$40,0)))</f>
        <v/>
      </c>
      <c r="AO4" s="55">
        <f>IF('Final Calculation Sheet'!$C$4="","",'Final Calculation Sheet'!$C$4)</f>
        <v/>
      </c>
      <c r="AP4">
        <f>IF(AO4="","",COUNTIFS(AO$4:AO$40,"&lt;"&amp;AO4,AO$4:AO$40,"&lt;&gt;"&amp;"")+COUNTIF(AO$4:AO4,AO4))</f>
        <v/>
      </c>
      <c r="AQ4" s="55">
        <f>IF(ROW()-3&gt;COUNTIF(AO$4:AO$40,"&lt;&gt;"&amp;""),"",INDEX(AO$4:AO$40,MATCH(ROW()-3,AP$4:AP$40,0)))</f>
        <v/>
      </c>
      <c r="AR4">
        <f>IF(AND(AQ4&lt;&gt;"",COUNTIF(AQ$4:AQ4,AQ4)=1),1,0)</f>
        <v/>
      </c>
      <c r="AS4" s="55">
        <f>IF(ROW()-3&gt;MAX(AR$4:AR$40),"",INDEX(AQ$4:AQ$40,MATCH(ROW()-3,AR$4:AR$40,0)))</f>
        <v/>
      </c>
      <c r="AT4" s="55">
        <f>IF('Final Calculation Sheet'!$H$4="","",'Final Calculation Sheet'!$H$4)</f>
        <v/>
      </c>
      <c r="AU4">
        <f>IF(AT4="","",COUNTIFS(AT$4:AT$40,"&lt;"&amp;AT4,AT$4:AT$40,"&lt;&gt;"&amp;"")+COUNTIF(AT$4:AT4,AT4))</f>
        <v/>
      </c>
      <c r="AV4" s="55">
        <f>IF(ROW()-3&gt;COUNTIF(AT$4:AT$40,"&lt;&gt;"&amp;""),"",INDEX(AT$4:AT$40,MATCH(ROW()-3,AU$4:AU$40,0)))</f>
        <v/>
      </c>
      <c r="AW4">
        <f>IF(AND(AV4&lt;&gt;"",COUNTIF(AV$4:AV4,AV4)=1),1,0)</f>
        <v/>
      </c>
      <c r="AX4" s="55">
        <f>IF(ROW()-3&gt;MAX(AW$4:AW$40),"",INDEX(AV$4:AV$40,MATCH(ROW()-3,AW$4:AW$40,0)))</f>
        <v/>
      </c>
      <c r="AY4" s="55">
        <f>IF('Final Calculation Sheet'!$I$4="","",'Final Calculation Sheet'!$I$4)</f>
        <v/>
      </c>
      <c r="AZ4">
        <f>IF(AY4="","",COUNTIFS(AY$4:AY$40,"&lt;"&amp;AY4,AY$4:AY$40,"&lt;&gt;"&amp;"")+COUNTIF(AY$4:AY4,AY4))</f>
        <v/>
      </c>
      <c r="BA4" s="55">
        <f>IF(ROW()-3&gt;COUNTIF(AY$4:AY$40,"&lt;&gt;"&amp;""),"",INDEX(AY$4:AY$40,MATCH(ROW()-3,AZ$4:AZ$40,0)))</f>
        <v/>
      </c>
      <c r="BB4">
        <f>IF(AND(BA4&lt;&gt;"",COUNTIF(BA$4:BA4,BA4)=1),1,0)</f>
        <v/>
      </c>
      <c r="BC4" s="55">
        <f>IF(ROW()-3&gt;MAX(BB$4:BB$40),"",INDEX(BA$4:BA$40,MATCH(ROW()-3,BB$4:BB$40,0)))</f>
        <v/>
      </c>
      <c r="BD4" s="55">
        <f>IF('Final Calculation Sheet'!$J$4="","",'Final Calculation Sheet'!$J$4)</f>
        <v/>
      </c>
      <c r="BE4">
        <f>IF(BD4="","",COUNTIFS(BD$4:BD$40,"&lt;"&amp;BD4,BD$4:BD$40,"&lt;&gt;"&amp;"")+COUNTIF(BD$4:BD4,BD4))</f>
        <v/>
      </c>
      <c r="BF4" s="55">
        <f>IF(ROW()-3&gt;COUNTIF(BD$4:BD$40,"&lt;&gt;"&amp;""),"",INDEX(BD$4:BD$40,MATCH(ROW()-3,BE$4:BE$40,0)))</f>
        <v/>
      </c>
      <c r="BG4">
        <f>IF(AND(BF4&lt;&gt;"",COUNTIF(BF$4:BF4,BF4)=1),1,0)</f>
        <v/>
      </c>
      <c r="BH4" s="55">
        <f>IF(ROW()-3&gt;MAX(BG$4:BG$40),"",INDEX(BF$4:BF$40,MATCH(ROW()-3,BG$4:BG$40,0)))</f>
        <v/>
      </c>
      <c r="BI4" s="55">
        <f>IF('Final Calculation Sheet'!$K$4="","",'Final Calculation Sheet'!$K$4)</f>
        <v/>
      </c>
      <c r="BJ4">
        <f>IF(BI4="","",COUNTIFS(BI$4:BI$40,"&lt;"&amp;BI4,BI$4:BI$40,"&lt;&gt;"&amp;"")+COUNTIF(BI$4:BI4,BI4))</f>
        <v/>
      </c>
      <c r="BK4" s="55">
        <f>IF(ROW()-3&gt;COUNTIF(BI$4:BI$40,"&lt;&gt;"&amp;""),"",INDEX(BI$4:BI$40,MATCH(ROW()-3,BJ$4:BJ$40,0)))</f>
        <v/>
      </c>
      <c r="BL4">
        <f>IF(AND(BK4&lt;&gt;"",COUNTIF(BK$4:BK4,BK4)=1),1,0)</f>
        <v/>
      </c>
      <c r="BM4" s="55">
        <f>IF(ROW()-3&gt;MAX(BL$4:BL$40),"",INDEX(BK$4:BK$40,MATCH(ROW()-3,BL$4:BL$40,0)))</f>
        <v/>
      </c>
      <c r="BN4" s="55">
        <f>IF('Final Calculation Sheet'!$L$4="","",'Final Calculation Sheet'!$L$4)</f>
        <v/>
      </c>
      <c r="BO4">
        <f>IF(BN4="","",COUNTIFS(BN$4:BN$40,"&lt;"&amp;BN4,BN$4:BN$40,"&lt;&gt;"&amp;"")+COUNTIF(BN$4:BN4,BN4))</f>
        <v/>
      </c>
      <c r="BP4" s="55">
        <f>IF(ROW()-3&gt;COUNTIF(BN$4:BN$40,"&lt;&gt;"&amp;""),"",INDEX(BN$4:BN$40,MATCH(ROW()-3,BO$4:BO$40,0)))</f>
        <v/>
      </c>
      <c r="BQ4">
        <f>IF(AND(BP4&lt;&gt;"",COUNTIF(BP$4:BP4,BP4)=1),1,0)</f>
        <v/>
      </c>
      <c r="BR4" s="55">
        <f>IF(ROW()-3&gt;MAX(BQ$4:BQ$40),"",INDEX(BP$4:BP$40,MATCH(ROW()-3,BQ$4:BQ$40,0)))</f>
        <v/>
      </c>
      <c r="BS4" s="55">
        <f>IF('Final Calculation Sheet'!$M$4="","",'Final Calculation Sheet'!$M$4)</f>
        <v/>
      </c>
      <c r="BT4">
        <f>IF(BS4="","",COUNTIFS(BS$4:BS$40,"&lt;"&amp;BS4,BS$4:BS$40,"&lt;&gt;"&amp;"")+COUNTIF(BS$4:BS4,BS4))</f>
        <v/>
      </c>
      <c r="BU4" s="55">
        <f>IF(ROW()-3&gt;COUNTIF(BS$4:BS$40,"&lt;&gt;"&amp;""),"",INDEX(BS$4:BS$40,MATCH(ROW()-3,BT$4:BT$40,0)))</f>
        <v/>
      </c>
      <c r="BV4">
        <f>IF(AND(BU4&lt;&gt;"",COUNTIF(BU$4:BU4,BU4)=1),1,0)</f>
        <v/>
      </c>
      <c r="BW4" s="55">
        <f>IF(ROW()-3&gt;MAX(BV$4:BV$40),"",INDEX(BU$4:BU$40,MATCH(ROW()-3,BV$4:BV$40,0)))</f>
        <v/>
      </c>
      <c r="BX4" s="138">
        <f>IF('Final Calculation Sheet'!$N$4="","",'Final Calculation Sheet'!$N$4)</f>
        <v/>
      </c>
      <c r="BY4">
        <f>IF(BX4="","",COUNTIFS(BX$4:BX$40,"&lt;"&amp;BX4,BX$4:BX$40,"&lt;&gt;"&amp;"")+COUNTIF(BX$4:BX4,BX4))</f>
        <v/>
      </c>
      <c r="BZ4" s="138">
        <f>IF(ROW()-3&gt;COUNTIF(BX$4:BX$40,"&lt;&gt;"&amp;""),"",INDEX(BX$4:BX$40,MATCH(ROW()-3,BY$4:BY$40,0)))</f>
        <v/>
      </c>
      <c r="CA4">
        <f>IF(AND(BZ4&lt;&gt;"",COUNTIF(BZ$4:BZ4,BZ4)=1),1,0)</f>
        <v/>
      </c>
      <c r="CB4" s="138">
        <f>IF(ROW()-3&gt;MAX(CA$4:CA$40),"",INDEX(BZ$4:BZ$40,MATCH(ROW()-3,CA$4:CA$40,0)))</f>
        <v/>
      </c>
      <c r="CC4" s="55">
        <f>IF('Final Calculation Sheet'!$O$4="","",'Final Calculation Sheet'!$O$4)</f>
        <v/>
      </c>
      <c r="CD4">
        <f>IF(CC4="","",COUNTIFS(CC$4:CC$40,"&lt;"&amp;CC4,CC$4:CC$40,"&lt;&gt;"&amp;"")+COUNTIF(CC$4:CC4,CC4))</f>
        <v/>
      </c>
      <c r="CE4" s="55">
        <f>IF(ROW()-3&gt;COUNTIF(CC$4:CC$40,"&lt;&gt;"&amp;""),"",INDEX(CC$4:CC$40,MATCH(ROW()-3,CD$4:CD$40,0)))</f>
        <v/>
      </c>
      <c r="CF4">
        <f>IF(AND(CE4&lt;&gt;"",COUNTIF(CE$4:CE4,CE4)=1),1,0)</f>
        <v/>
      </c>
      <c r="CG4" s="55">
        <f>IF(ROW()-3&gt;MAX(CF$4:CF$40),"",INDEX(CE$4:CE$40,MATCH(ROW()-3,CF$4:CF$40,0)))</f>
        <v/>
      </c>
      <c r="CH4" s="55">
        <f>IF('Final Calculation Sheet'!$P$4="","",'Final Calculation Sheet'!$P$4)</f>
        <v/>
      </c>
      <c r="CI4">
        <f>IF(CH4="","",COUNTIFS(CH$4:CH$40,"&lt;"&amp;CH4,CH$4:CH$40,"&lt;&gt;"&amp;"")+COUNTIF(CH$4:CH4,CH4))</f>
        <v/>
      </c>
      <c r="CJ4" s="55">
        <f>IF(ROW()-3&gt;COUNTIF(CH$4:CH$40,"&lt;&gt;"&amp;""),"",INDEX(CH$4:CH$40,MATCH(ROW()-3,CI$4:CI$40,0)))</f>
        <v/>
      </c>
      <c r="CK4">
        <f>IF(AND(CJ4&lt;&gt;"",COUNTIF(CJ$4:CJ4,CJ4)=1),1,0)</f>
        <v/>
      </c>
      <c r="CL4" s="55">
        <f>IF(ROW()-3&gt;MAX(CK$4:CK$40),"",INDEX(CJ$4:CJ$40,MATCH(ROW()-3,CK$4:CK$40,0)))</f>
        <v/>
      </c>
      <c r="CM4" s="139">
        <f>IF('Final Calculation Sheet'!$Q$4="","",'Final Calculation Sheet'!$Q$4)</f>
        <v/>
      </c>
      <c r="CN4">
        <f>IF(CM4="","",COUNTIFS(CM$4:CM$40,"&lt;"&amp;CM4,CM$4:CM$40,"&lt;&gt;"&amp;"")+COUNTIF(CM$4:CM4,CM4))</f>
        <v/>
      </c>
      <c r="CO4" s="139">
        <f>IF(ROW()-3&gt;COUNTIF(CM$4:CM$40,"&lt;&gt;"&amp;""),"",INDEX(CM$4:CM$40,MATCH(ROW()-3,CN$4:CN$40,0)))</f>
        <v/>
      </c>
      <c r="CP4">
        <f>IF(AND(CO4&lt;&gt;"",COUNTIF(CO$4:CO4,CO4)=1),1,0)</f>
        <v/>
      </c>
      <c r="CQ4" s="139">
        <f>IF(ROW()-3&gt;MAX(CP$4:CP$40),"",INDEX(CO$4:CO$40,MATCH(ROW()-3,CP$4:CP$40,0)))</f>
        <v/>
      </c>
      <c r="CR4" s="55">
        <f>IF('Final Calculation Sheet'!$R$4="","",'Final Calculation Sheet'!$R$4)</f>
        <v/>
      </c>
      <c r="CS4">
        <f>IF(CR4="","",COUNTIFS(CR$4:CR$40,"&lt;"&amp;CR4,CR$4:CR$40,"&lt;&gt;"&amp;"")+COUNTIF(CR$4:CR4,CR4))</f>
        <v/>
      </c>
      <c r="CT4" s="55">
        <f>IF(ROW()-3&gt;COUNTIF(CR$4:CR$40,"&lt;&gt;"&amp;""),"",INDEX(CR$4:CR$40,MATCH(ROW()-3,CS$4:CS$40,0)))</f>
        <v/>
      </c>
      <c r="CU4">
        <f>IF(AND(CT4&lt;&gt;"",COUNTIF(CT$4:CT4,CT4)=1),1,0)</f>
        <v/>
      </c>
      <c r="CV4" s="55">
        <f>IF(ROW()-3&gt;MAX(CU$4:CU$40),"",INDEX(CT$4:CT$40,MATCH(ROW()-3,CU$4:CU$40,0)))</f>
        <v/>
      </c>
      <c r="CW4" s="55">
        <f>IF('Final Calculation Sheet'!$S$4="","",'Final Calculation Sheet'!$S$4)</f>
        <v/>
      </c>
      <c r="CX4">
        <f>IF(CW4="","",COUNTIFS(CW$4:CW$40,"&lt;"&amp;CW4,CW$4:CW$40,"&lt;&gt;"&amp;"")+COUNTIF(CW$4:CW4,CW4))</f>
        <v/>
      </c>
      <c r="CY4" s="55">
        <f>IF(ROW()-3&gt;COUNTIF(CW$4:CW$40,"&lt;&gt;"&amp;""),"",INDEX(CW$4:CW$40,MATCH(ROW()-3,CX$4:CX$40,0)))</f>
        <v/>
      </c>
      <c r="CZ4">
        <f>IF(AND(CY4&lt;&gt;"",COUNTIF(CY$4:CY4,CY4)=1),1,0)</f>
        <v/>
      </c>
      <c r="DA4" s="55">
        <f>IF(ROW()-3&gt;MAX(CZ$4:CZ$40),"",INDEX(CY$4:CY$40,MATCH(ROW()-3,CZ$4:CZ$40,0)))</f>
        <v/>
      </c>
      <c r="DB4" s="55">
        <f>IF('Final Calculation Sheet'!$T$4="","",'Final Calculation Sheet'!$T$4)</f>
        <v/>
      </c>
      <c r="DC4">
        <f>IF(DB4="","",COUNTIFS(DB$4:DB$40,"&lt;"&amp;DB4,DB$4:DB$40,"&lt;&gt;"&amp;"")+COUNTIF(DB$4:DB4,DB4))</f>
        <v/>
      </c>
      <c r="DD4" s="55">
        <f>IF(ROW()-3&gt;COUNTIF(DB$4:DB$40,"&lt;&gt;"&amp;""),"",INDEX(DB$4:DB$40,MATCH(ROW()-3,DC$4:DC$40,0)))</f>
        <v/>
      </c>
      <c r="DE4">
        <f>IF(AND(DD4&lt;&gt;"",COUNTIF(DD$4:DD4,DD4)=1),1,0)</f>
        <v/>
      </c>
      <c r="DF4" s="55">
        <f>IF(ROW()-3&gt;MAX(DE$4:DE$40),"",INDEX(DD$4:DD$40,MATCH(ROW()-3,DE$4:DE$40,0)))</f>
        <v/>
      </c>
      <c r="DG4" s="140">
        <f>IF('Final Calculation Sheet'!$U$4="","",'Final Calculation Sheet'!$U$4)</f>
        <v/>
      </c>
      <c r="DH4">
        <f>IF(DG4="","",COUNTIFS(DG$4:DG$40,"&lt;"&amp;DG4,DG$4:DG$40,"&lt;&gt;"&amp;"")+COUNTIF(DG$4:DG4,DG4))</f>
        <v/>
      </c>
      <c r="DI4" s="140">
        <f>IF(ROW()-3&gt;COUNTIF(DG$4:DG$40,"&lt;&gt;"&amp;""),"",INDEX(DG$4:DG$40,MATCH(ROW()-3,DH$4:DH$40,0)))</f>
        <v/>
      </c>
      <c r="DJ4">
        <f>IF(AND(DI4&lt;&gt;"",COUNTIF(DI$4:DI4,DI4)=1),1,0)</f>
        <v/>
      </c>
      <c r="DK4" s="140">
        <f>IF(ROW()-3&gt;MAX(DJ$4:DJ$40),"",INDEX(DI$4:DI$40,MATCH(ROW()-3,DJ$4:DJ$40,0)))</f>
        <v/>
      </c>
      <c r="DL4">
        <f>IF('Final Calculation Sheet'!$V$4="","",'Final Calculation Sheet'!$V$4)</f>
        <v/>
      </c>
      <c r="DM4">
        <f>IF(DL4="","",COUNTIFS(DL$4:DL$40,"&lt;"&amp;DL4,DL$4:DL$40,"&lt;&gt;"&amp;"")+COUNTIF(DL$4:DL4,DL4))</f>
        <v/>
      </c>
      <c r="DN4">
        <f>IF(ROW()-3&gt;COUNTIF(DL$4:DL$40,"&lt;&gt;"&amp;""),"",INDEX(DL$4:DL$40,MATCH(ROW()-3,DM$4:DM$40,0)))</f>
        <v/>
      </c>
      <c r="DO4">
        <f>IF(AND(DN4&lt;&gt;"",COUNTIF(DN$4:DN4,DN4)=1),1,0)</f>
        <v/>
      </c>
      <c r="DP4">
        <f>IF(ROW()-3&gt;MAX(DO$4:DO$40),"",INDEX(DN$4:DN$40,MATCH(ROW()-3,DO$4:DO$40,0)))</f>
        <v/>
      </c>
      <c r="DQ4" s="55">
        <f>IF('Final Calculation Sheet'!$W$4="","",'Final Calculation Sheet'!$W$4)</f>
        <v/>
      </c>
      <c r="DR4">
        <f>IF(DQ4="","",COUNTIFS(DQ$4:DQ$40,"&lt;"&amp;DQ4,DQ$4:DQ$40,"&lt;&gt;"&amp;"")+COUNTIF(DQ$4:DQ4,DQ4))</f>
        <v/>
      </c>
      <c r="DS4" s="55">
        <f>IF(ROW()-3&gt;COUNTIF(DQ$4:DQ$40,"&lt;&gt;"&amp;""),"",INDEX(DQ$4:DQ$40,MATCH(ROW()-3,DR$4:DR$40,0)))</f>
        <v/>
      </c>
      <c r="DT4">
        <f>IF(AND(DS4&lt;&gt;"",COUNTIF(DS$4:DS4,DS4)=1),1,0)</f>
        <v/>
      </c>
      <c r="DU4" s="55">
        <f>IF(ROW()-3&gt;MAX(DT$4:DT$40),"",INDEX(DS$4:DS$40,MATCH(ROW()-3,DT$4:DT$40,0)))</f>
        <v/>
      </c>
      <c r="DV4" s="55">
        <f>IF('Final Calculation Sheet'!$X$4="","",'Final Calculation Sheet'!$X$4)</f>
        <v/>
      </c>
      <c r="DW4">
        <f>IF(DV4="","",COUNTIFS(DV$4:DV$40,"&lt;"&amp;DV4,DV$4:DV$40,"&lt;&gt;"&amp;"")+COUNTIF(DV$4:DV4,DV4))</f>
        <v/>
      </c>
      <c r="DX4" s="55">
        <f>IF(ROW()-3&gt;COUNTIF(DV$4:DV$40,"&lt;&gt;"&amp;""),"",INDEX(DV$4:DV$40,MATCH(ROW()-3,DW$4:DW$40,0)))</f>
        <v/>
      </c>
      <c r="DY4">
        <f>IF(AND(DX4&lt;&gt;"",COUNTIF(DX$4:DX4,DX4)=1),1,0)</f>
        <v/>
      </c>
      <c r="DZ4">
        <f>IF(ROW()-3&gt;MAX(DY$4:DY$40),"",INDEX(DX$4:DX$40,MATCH(ROW()-3,DY$4:DY$40,0)))</f>
        <v/>
      </c>
      <c r="EA4">
        <f>IF('Final Calculation Sheet'!$Y$4="","",'Final Calculation Sheet'!$Y$4)</f>
        <v/>
      </c>
      <c r="EB4">
        <f>IF(EA4="","",COUNTIFS(EA$4:EA$40,"&lt;"&amp;EA4,EA$4:EA$40,"&lt;&gt;"&amp;"")+COUNTIF(EA$4:EA4,EA4))</f>
        <v/>
      </c>
      <c r="EC4" s="55">
        <f>IF(ROW()-3&gt;COUNTIF(EA$4:EA$40,"&lt;&gt;"&amp;""),"",INDEX(EA$4:EA$40,MATCH(ROW()-3,EB$4:EB$40,0)))</f>
        <v/>
      </c>
      <c r="ED4">
        <f>IF(AND(EC4&lt;&gt;"",COUNTIF(EC$4:EC4,EC4)=1),1,0)</f>
        <v/>
      </c>
      <c r="EE4">
        <f>IF(ROW()-3&gt;MAX(ED$4:ED$40),"",INDEX(EC$4:EC$40,MATCH(ROW()-3,ED$4:ED$40,0)))</f>
        <v/>
      </c>
      <c r="EF4" s="55">
        <f>IF('Final Calculation Sheet'!$Z$4="","",'Final Calculation Sheet'!$Z$4)</f>
        <v/>
      </c>
      <c r="EG4">
        <f>IF(EF4="","",COUNTIFS(EF$4:EF$40,"&lt;"&amp;EF4,EF$4:EF$40,"&lt;&gt;"&amp;"")+COUNTIF(EF$4:EF4,EF4))</f>
        <v/>
      </c>
      <c r="EH4" s="55">
        <f>IF(ROW()-3&gt;COUNTIF(EF$4:EF$40,"&lt;&gt;"&amp;""),"",INDEX(EF$4:EF$40,MATCH(ROW()-3,EG$4:EG$40,0)))</f>
        <v/>
      </c>
      <c r="EI4">
        <f>IF(AND(EH4&lt;&gt;"",COUNTIF(EH$4:EH4,EH4)=1),1,0)</f>
        <v/>
      </c>
      <c r="EJ4" s="55">
        <f>IF(ROW()-3&gt;MAX(EI$4:EI$40),"",INDEX(EH$4:EH$40,MATCH(ROW()-3,EI$4:EI$40,0)))</f>
        <v/>
      </c>
      <c r="EK4">
        <f>IF('Final Calculation Sheet'!$AA$4="","",'Final Calculation Sheet'!$AA$4)</f>
        <v/>
      </c>
      <c r="EL4">
        <f>IF(EK4="","",COUNTIFS(EK$4:EK$40,"&lt;"&amp;EK4,EK$4:EK$40,"&lt;&gt;"&amp;"")+COUNTIF(EK$4:EK4,EK4))</f>
        <v/>
      </c>
      <c r="EM4" s="55">
        <f>IF(ROW()-3&gt;COUNTIF(EK$4:EK$40,"&lt;&gt;"&amp;""),"",INDEX(EK$4:EK$40,MATCH(ROW()-3,EL$4:EL$40,0)))</f>
        <v/>
      </c>
      <c r="EN4">
        <f>IF(AND(EM4&lt;&gt;"",COUNTIF(EM$4:EM4,EM4)=1),1,0)</f>
        <v/>
      </c>
      <c r="EO4">
        <f>IF(ROW()-3&gt;MAX(EN$4:EN$40),"",INDEX(EM$4:EM$40,MATCH(ROW()-3,EN$4:EN$40,0)))</f>
        <v/>
      </c>
      <c r="EP4">
        <f>IF('Final Calculation Sheet'!$AB$4="","",'Final Calculation Sheet'!$AB$4)</f>
        <v/>
      </c>
      <c r="EQ4">
        <f>IF(EP4="","",COUNTIFS(EP$4:EP$40,"&lt;"&amp;EP4,EP$4:EP$40,"&lt;&gt;"&amp;"")+COUNTIF(EP$4:EP4,EP4))</f>
        <v/>
      </c>
      <c r="ER4">
        <f>IF(ROW()-3&gt;COUNTIF(EP$4:EP$40,"&lt;&gt;"&amp;""),"",INDEX(EP$4:EP$40,MATCH(ROW()-3,EQ$4:EQ$40,0)))</f>
        <v/>
      </c>
      <c r="ES4">
        <f>IF(AND(ER4&lt;&gt;"",COUNTIF(ER$4:ER4,ER4)=1),1,0)</f>
        <v/>
      </c>
      <c r="ET4">
        <f>IF(ROW()-3&gt;MAX(ES$4:ES$40),"",INDEX(ER$4:ER$40,MATCH(ROW()-3,ES$4:ES$40,0)))</f>
        <v/>
      </c>
      <c r="EU4" s="55">
        <f>IF('Final Calculation Sheet'!$AC$4="","",'Final Calculation Sheet'!$AC$4)</f>
        <v/>
      </c>
      <c r="EV4">
        <f>IF(EU4="","",COUNTIFS(EU$4:EU$40,"&lt;"&amp;EU4,EU$4:EU$40,"&lt;&gt;"&amp;"")+COUNTIF(EU$4:EU4,EU4))</f>
        <v/>
      </c>
      <c r="EW4" s="55">
        <f>IF(ROW()-3&gt;COUNTIF(EU$4:EU$40,"&lt;&gt;"&amp;""),"",INDEX(EU$4:EU$40,MATCH(ROW()-3,EV$4:EV$40,0)))</f>
        <v/>
      </c>
      <c r="EX4">
        <f>IF(AND(EW4&lt;&gt;"",COUNTIF(EW$4:EW4,EW4)=1),1,0)</f>
        <v/>
      </c>
      <c r="EY4" s="55">
        <f>IF(ROW()-3&gt;MAX(EX$4:EX$40),"",INDEX(EW$4:EW$40,MATCH(ROW()-3,EX$4:EX$40,0)))</f>
        <v/>
      </c>
      <c r="EZ4" s="55">
        <f>IF('Final Calculation Sheet'!$AD$4="","",'Final Calculation Sheet'!$AD$4)</f>
        <v/>
      </c>
      <c r="FA4">
        <f>IF(EZ4="","",COUNTIFS(EZ$4:EZ$40,"&lt;"&amp;EZ4,EZ$4:EZ$40,"&lt;&gt;"&amp;"")+COUNTIF(EZ$4:EZ4,EZ4))</f>
        <v/>
      </c>
      <c r="FB4" s="55">
        <f>IF(ROW()-3&gt;COUNTIF(EZ$4:EZ$40,"&lt;&gt;"&amp;""),"",INDEX(EZ$4:EZ$40,MATCH(ROW()-3,FA$4:FA$40,0)))</f>
        <v/>
      </c>
      <c r="FC4">
        <f>IF(AND(FB4&lt;&gt;"",COUNTIF(FB$4:FB4,FB4)=1),1,0)</f>
        <v/>
      </c>
      <c r="FD4" s="55">
        <f>IF(ROW()-3&gt;MAX(FC$4:FC$40),"",INDEX(FB$4:FB$40,MATCH(ROW()-3,FC$4:FC$40,0)))</f>
        <v/>
      </c>
      <c r="FE4">
        <f>IF('Final Calculation Sheet'!$AF$4="","",'Final Calculation Sheet'!$AF$4)</f>
        <v/>
      </c>
      <c r="FF4">
        <f>IF(FE4="","",COUNTIFS(FE$4:FE$40,"&lt;"&amp;FE4,FE$4:FE$40,"&lt;&gt;"&amp;"")+COUNTIF(FE$4:FE4,FE4))</f>
        <v/>
      </c>
      <c r="FG4">
        <f>IF(ROW()-3&gt;COUNTIF(FE$4:FE$40,"&lt;&gt;"&amp;""),"",INDEX(FE$4:FE$40,MATCH(ROW()-3,FF$4:FF$40,0)))</f>
        <v/>
      </c>
      <c r="FH4">
        <f>IF(AND(FG4&lt;&gt;"",COUNTIF(FG$4:FG4,FG4)=1),1,0)</f>
        <v/>
      </c>
      <c r="FI4">
        <f>IF(ROW()-3&gt;MAX(FH$4:FH$40),"",INDEX(FG$4:FG$40,MATCH(ROW()-3,FH$4:FH$40,0)))</f>
        <v/>
      </c>
      <c r="FJ4" s="141">
        <f>IF('Final Calculation Sheet'!$AG$4="","",'Final Calculation Sheet'!$AG$4)</f>
        <v/>
      </c>
      <c r="FK4">
        <f>IF(FJ4="","",COUNTIFS(FJ$4:FJ$40,"&lt;"&amp;FJ4,FJ$4:FJ$40,"&lt;&gt;"&amp;"")+COUNTIF(FJ$4:FJ4,FJ4))</f>
        <v/>
      </c>
      <c r="FL4" s="141">
        <f>IF(ROW()-3&gt;COUNTIF(FJ$4:FJ$40,"&lt;&gt;"&amp;""),"",INDEX(FJ$4:FJ$40,MATCH(ROW()-3,FK$4:FK$40,0)))</f>
        <v/>
      </c>
      <c r="FM4">
        <f>IF(AND(FL4&lt;&gt;"",COUNTIF(FL$4:FL4,FL4)=1),1,0)</f>
        <v/>
      </c>
      <c r="FN4">
        <f>IF(ROW()-3&gt;MAX(FM$4:FM$40),"",INDEX(FL$4:FL$40,MATCH(ROW()-3,FM$4:FM$40,0)))</f>
        <v/>
      </c>
      <c r="FO4">
        <f>IF('Final Calculation Sheet'!$AH$4="","",'Final Calculation Sheet'!$AH$4)</f>
        <v/>
      </c>
      <c r="FP4">
        <f>IF(FO4="","",COUNTIFS(FO$4:FO$40,"&lt;"&amp;FO4,FO$4:FO$40,"&lt;&gt;"&amp;"")+COUNTIF(FO$4:FO4,FO4))</f>
        <v/>
      </c>
      <c r="FQ4">
        <f>IF(ROW()-3&gt;COUNTIF(FO$4:FO$40,"&lt;&gt;"&amp;""),"",INDEX(FO$4:FO$40,MATCH(ROW()-3,FP$4:FP$40,0)))</f>
        <v/>
      </c>
      <c r="FR4">
        <f>IF(AND(FQ4&lt;&gt;"",COUNTIF(FQ$4:FQ4,FQ4)=1),1,0)</f>
        <v/>
      </c>
      <c r="FS4">
        <f>IF(ROW()-3&gt;MAX(FR$4:FR$40),"",INDEX(FQ$4:FQ$40,MATCH(ROW()-3,FR$4:FR$40,0)))</f>
        <v/>
      </c>
      <c r="FT4" t="inlineStr">
        <is>
          <t>SETTLED</t>
        </is>
      </c>
      <c r="FU4">
        <f>IF(FT4="","",COUNTIFS(FT$4:FT$40,"&lt;"&amp;FT4,FT$4:FT$40,"&lt;&gt;"&amp;"")+COUNTIF(FT$4:FT4,FT4))</f>
        <v/>
      </c>
      <c r="FV4">
        <f>IF(ROW()-3&gt;COUNTIF(FT$4:FT$40,"&lt;&gt;"&amp;""),"",INDEX(FT$4:FT$40,MATCH(ROW()-3,FU$4:FU$40,0)))</f>
        <v/>
      </c>
      <c r="FW4">
        <f>IF(AND(FV4&lt;&gt;"",COUNTIF(FV$4:FV4,FV4)=1),1,0)</f>
        <v/>
      </c>
      <c r="FX4">
        <f>IF(ROW()-3&gt;MAX(FW$4:FW$40),"",INDEX(FV$4:FV$40,MATCH(ROW()-3,FW$4:FW$40,0)))</f>
        <v/>
      </c>
      <c r="FZ4">
        <f>IF($Y$4="",FALSE,SUMPRODUCT(('Final Calculation Sheet'!$B$4:$B$40=$Y$4)*($FY$6:$FY$42=1))&gt;0)</f>
        <v/>
      </c>
      <c r="GA4">
        <f>--($FZ$4)</f>
        <v/>
      </c>
      <c r="GB4">
        <f>IF(ROW()-3&gt;MAX($GA$4:$GA$40),"",INDEX($Y$4:$Y$40,MATCH(ROW()-3,$GA$4:$GA$40,0)))</f>
        <v/>
      </c>
      <c r="GC4">
        <f>IF('Final Calculation Sheet'!$F$4="","",IF(TRIM('Final Calculation Sheet'!$G$2)="",'Final Calculation Sheet'!$F$4,IF(TRIM('Final Calculation Sheet'!$G$2)="(nonblank)",IF('Final Calculation Sheet'!$G$4&lt;&gt;"",'Final Calculation Sheet'!$F$4,""),IF(TRIM('Final Calculation Sheet'!$G$2)="(blank)",IF('Final Calculation Sheet'!$G$4="",'Final Calculation Sheet'!$F$4,""),IF(ISNUMBER(SEARCH(TRIM('Final Calculation Sheet'!$G$2),'Final Calculation Sheet'!$G$4)),'Final Calculation Sheet'!$F$4,"")))))</f>
        <v/>
      </c>
      <c r="GD4">
        <f>IF(GC4="","",COUNTIFS(GC$4:GC$40,"&lt;"&amp;GC4,GC$4:GC$40,"&lt;&gt;"&amp;"")+COUNTIF(GC$4:GC4,GC4))</f>
        <v/>
      </c>
      <c r="GE4">
        <f>IF(ROW()-3&gt;COUNTIF(GC$4:GC$40,"&lt;&gt;"&amp;""),"",INDEX(GC$4:GC$40,MATCH(ROW()-3,GD$4:GD$40,0)))</f>
        <v/>
      </c>
      <c r="GF4">
        <f>IF(AND(GE4&lt;&gt;"",COUNTIF(GE$4:GE4,GE4)=1),1,0)</f>
        <v/>
      </c>
      <c r="GG4">
        <f>IF(ROW()-3&gt;MAX(GF$4:GF$40),"",INDEX(GE$4:GE$40,MATCH(ROW()-3,GF$4:GF$40,0)))</f>
        <v/>
      </c>
      <c r="GH4">
        <f>IF('Final Calculation Sheet'!$F$4="","",IF('Live Search'!$BO$5=1,'Final Calculation Sheet'!$F$4,""))</f>
        <v/>
      </c>
      <c r="GI4">
        <f>IF(GH4="","",COUNTIFS(GH$4:GH$40,"&lt;"&amp;GH4,GH$4:GH$40,"&lt;&gt;"&amp;"")+COUNTIF(GH$4:GH4,GH4))</f>
        <v/>
      </c>
      <c r="GJ4">
        <f>IF(ROW()-3&gt;COUNTIF(GH$4:GH$40,"&lt;&gt;"&amp;""),"",INDEX(GH$4:GH$40,MATCH(ROW()-3,GI$4:GI$40,0)))</f>
        <v/>
      </c>
      <c r="GK4">
        <f>IF(AND(GJ4&lt;&gt;"",COUNTIF(GJ$4:GJ4,GJ4)=1),1,0)</f>
        <v/>
      </c>
      <c r="GL4">
        <f>IF(ROW()-3&gt;MAX(GK$4:GK$40),"",INDEX(GJ$4:GJ$40,MATCH(ROW()-3,GK$4:GK$40,0)))</f>
        <v/>
      </c>
      <c r="GM4">
        <f>IF('Final Calculation Sheet'!$F$4="","",IF(TRIM('Buyer Groups'!$C$4)="",'Final Calculation Sheet'!$F$4,IF(TRIM('Buyer Groups'!$C$4)="(nonblank)",IF('Final Calculation Sheet'!$G$4&lt;&gt;"",'Final Calculation Sheet'!$F$4,""),IF(TRIM('Buyer Groups'!$C$4)="(blank)",IF('Final Calculation Sheet'!$G$4="",'Final Calculation Sheet'!$F$4,""),IF(ISNUMBER(SEARCH(TRIM('Buyer Groups'!$C$4),'Final Calculation Sheet'!$G$4)),'Final Calculation Sheet'!$F$4,"")))))</f>
        <v/>
      </c>
      <c r="GN4">
        <f>IF(GM4="","",COUNTIFS(GM$4:GM$40,"&lt;"&amp;GM4,GM$4:GM$40,"&lt;&gt;"&amp;"")+COUNTIF(GM$4:GM4,GM4))</f>
        <v/>
      </c>
      <c r="GO4">
        <f>IF(ROW()-3&gt;COUNTIF(GM$4:GM$40,"&lt;&gt;"&amp;""),"",INDEX(GM$4:GM$40,MATCH(ROW()-3,GN$4:GN$40,0)))</f>
        <v/>
      </c>
      <c r="GP4">
        <f>IF(AND(GO4&lt;&gt;"",COUNTIF(GO$4:GO4,GO4)=1),1,0)</f>
        <v/>
      </c>
      <c r="GQ4">
        <f>IF(ROW()-3&gt;MAX(GP$4:GP$40),"",INDEX(GO$4:GO$40,MATCH(ROW()-3,GP$4:GP$40,0)))</f>
        <v/>
      </c>
      <c r="GR4">
        <f>IF('Final Calculation Sheet'!$B$4="","",IF(TRIM('Final Calculation Sheet'!$G$2)="",'Final Calculation Sheet'!$B$4,IF(TRIM('Final Calculation Sheet'!$G$2)="(nonblank)",IF('Final Calculation Sheet'!$G$4&lt;&gt;"",'Final Calculation Sheet'!$B$4,""),IF(TRIM('Final Calculation Sheet'!$G$2)="(blank)",IF('Final Calculation Sheet'!$G$4="",'Final Calculation Sheet'!$B$4,""),IF(ISNUMBER(SEARCH(TRIM('Final Calculation Sheet'!$G$2),'Final Calculation Sheet'!$G$4)),'Final Calculation Sheet'!$B$4,"")))))</f>
        <v/>
      </c>
      <c r="GS4">
        <f>IF(GR4="","",COUNTIFS(GR$4:GR$40,"&lt;"&amp;GR4,GR$4:GR$40,"&lt;&gt;"&amp;"")+COUNTIF(GR$4:GR4,GR4))</f>
        <v/>
      </c>
      <c r="GT4">
        <f>IF(ROW()-3&gt;COUNTIF(GR$4:GR$40,"&lt;&gt;"&amp;""),"",INDEX(GR$4:GR$40,MATCH(ROW()-3,GS$4:GS$40,0)))</f>
        <v/>
      </c>
      <c r="GU4">
        <f>IF(AND(GT4&lt;&gt;"",COUNTIF(GT$4:GT4,GT4)=1),1,0)</f>
        <v/>
      </c>
      <c r="GV4">
        <f>IF(ROW()-3&gt;MAX(GU$4:GU$40),"",INDEX(GT$4:GT$40,MATCH(ROW()-3,GU$4:GU$40,0)))</f>
        <v/>
      </c>
      <c r="GW4">
        <f>IF('Final Calculation Sheet'!$B$4="","",IF(TRIM('Buyer Groups'!$C$4)="",'Final Calculation Sheet'!$B$4,IF(TRIM('Buyer Groups'!$C$4)="(nonblank)",IF('Final Calculation Sheet'!$G$4&lt;&gt;"",'Final Calculation Sheet'!$B$4,""),IF(TRIM('Buyer Groups'!$C$4)="(blank)",IF('Final Calculation Sheet'!$G$4="",'Final Calculation Sheet'!$B$4,""),IF(ISNUMBER(SEARCH(TRIM('Buyer Groups'!$C$4),'Final Calculation Sheet'!$G$4)),'Final Calculation Sheet'!$B$4,"")))))</f>
        <v/>
      </c>
      <c r="GX4">
        <f>IF(GW4="","",COUNTIFS(GW$4:GW$40,"&lt;"&amp;GW4,GW$4:GW$40,"&lt;&gt;"&amp;"")+COUNTIF(GW$4:GW4,GW4))</f>
        <v/>
      </c>
      <c r="GY4">
        <f>IF(ROW()-3&gt;COUNTIF(GW$4:GW$40,"&lt;&gt;"&amp;""),"",INDEX(GW$4:GW$40,MATCH(ROW()-3,GX$4:GX$40,0)))</f>
        <v/>
      </c>
      <c r="GZ4">
        <f>IF(AND(GY4&lt;&gt;"",COUNTIF(GY$4:GY4,GY4)=1),1,0)</f>
        <v/>
      </c>
      <c r="HA4">
        <f>IF(ROW()-3&gt;MAX(GZ$4:GZ$40),"",INDEX(GY$4:GY$40,MATCH(ROW()-3,GZ$4:GZ$40,0)))</f>
        <v/>
      </c>
    </row>
    <row r="5">
      <c r="A5">
        <f>IF('Final Calculation Sheet'!$F$5="","",'Final Calculation Sheet'!$F$5)</f>
        <v/>
      </c>
      <c r="B5">
        <f>IF(A5="","",COUNTIFS(A$4:A$114,"&lt;"&amp;A5,A$4:A$114,"&lt;&gt;"&amp;"")+COUNTIF(A$4:A5,A5))</f>
        <v/>
      </c>
      <c r="C5">
        <f>IF(ROW()-3&gt;COUNTIF(A$4:A$114,"&lt;&gt;"&amp;""),"",INDEX(A$4:A$114,MATCH(ROW()-3,B$4:B$114,0)))</f>
        <v/>
      </c>
      <c r="D5">
        <f>D4+IF(AND(C5&lt;&gt;"",COUNTIF(C$4:C5,C5)=1),1,0)</f>
        <v/>
      </c>
      <c r="E5">
        <f>IF(ROW()-3&gt;MAX(D$4:D$114),"",INDEX(C$4:C$114,MATCH(ROW()-3,D$4:D$114,0)))</f>
        <v/>
      </c>
      <c r="F5">
        <f>ROW()-3</f>
        <v/>
      </c>
      <c r="G5">
        <f>IF(F5="","",COUNTIFS(F$4:F$40,"&lt;"&amp;F5,F$4:F$40,"&lt;&gt;"&amp;"")+COUNTIF(F$4:F5,F5))</f>
        <v/>
      </c>
      <c r="H5">
        <f>IF(ROW()-3&gt;COUNTIF(F$4:F$40,"&lt;&gt;"&amp;""),"",INDEX(F$4:F$40,MATCH(ROW()-3,G$4:G$40,0)))</f>
        <v/>
      </c>
      <c r="I5">
        <f>I4+IF(AND(H5&lt;&gt;"",COUNTIF(H$4:H5,H5)=1),1,0)</f>
        <v/>
      </c>
      <c r="J5">
        <f>IF(ROW()-3&gt;MAX(I$4:I$40),"",INDEX(H$4:H$40,MATCH(ROW()-3,I$4:I$40,0)))</f>
        <v/>
      </c>
      <c r="K5">
        <f>IF('Final Calculation Sheet'!$F$5="","",'Final Calculation Sheet'!$F$5)</f>
        <v/>
      </c>
      <c r="L5">
        <f>IF(K5="","",COUNTIFS(K$4:K$40,"&lt;"&amp;K5,K$4:K$40,"&lt;&gt;"&amp;"")+COUNTIF(K$4:K5,K5))</f>
        <v/>
      </c>
      <c r="M5">
        <f>IF(ROW()-3&gt;COUNTIF(K$4:K$40,"&lt;&gt;"&amp;""),"",INDEX(K$4:K$40,MATCH(ROW()-3,L$4:L$40,0)))</f>
        <v/>
      </c>
      <c r="N5">
        <f>N4+IF(AND(M5&lt;&gt;"",COUNTIF(M$4:M5,M5)=1),1,0)</f>
        <v/>
      </c>
      <c r="O5">
        <f>IF(ROW()-3&gt;MAX(N$4:N$40),"",INDEX(M$4:M$40,MATCH(ROW()-3,N$4:N$40,0)))</f>
        <v/>
      </c>
      <c r="P5">
        <f>IF('Final Calculation Sheet'!$G$5="","",'Final Calculation Sheet'!$G$5)</f>
        <v/>
      </c>
      <c r="Q5">
        <f>IF(P5="","",COUNTIFS(P$4:P$40,"&lt;"&amp;P5,P$4:P$40,"&lt;&gt;"&amp;"")+COUNTIF(P$4:P5,P5))</f>
        <v/>
      </c>
      <c r="R5">
        <f>IF(ROW()-3&gt;COUNTIF(P$4:P$40,"&lt;&gt;"&amp;""),"",INDEX(P$4:P$40,MATCH(ROW()-3,Q$4:Q$40,0)))</f>
        <v/>
      </c>
      <c r="S5">
        <f>S4+IF(AND(R5&lt;&gt;"",COUNTIF(R$4:R5,R5)=1),1,0)</f>
        <v/>
      </c>
      <c r="T5">
        <f>IF(ROW()-3&gt;MAX(S$4:S$40),"",INDEX(R$4:R$40,MATCH(ROW()-3,S$4:S$40,0)))</f>
        <v/>
      </c>
      <c r="U5">
        <f>IF('Final Calculation Sheet'!$B$5="","",'Final Calculation Sheet'!$B$5)</f>
        <v/>
      </c>
      <c r="V5">
        <f>IF(U5="","",COUNTIFS(U$4:U$40,"&lt;"&amp;U5,U$4:U$40,"&lt;&gt;"&amp;"")+COUNTIF(U$4:U5,U5))</f>
        <v/>
      </c>
      <c r="W5">
        <f>IF(ROW()-3&gt;COUNTIF(U$4:U$40,"&lt;&gt;"&amp;""),"",INDEX(U$4:U$40,MATCH(ROW()-3,V$4:V$40,0)))</f>
        <v/>
      </c>
      <c r="X5">
        <f>X4+IF(AND(W5&lt;&gt;"",COUNTIF(W$4:W5,W5)=1),1,0)</f>
        <v/>
      </c>
      <c r="Y5">
        <f>IF(ROW()-3&gt;MAX(X$4:X$40),"",INDEX(W$4:W$40,MATCH(ROW()-3,X$4:X$40,0)))</f>
        <v/>
      </c>
      <c r="Z5">
        <f>IF('Final Calculation Sheet'!$D$5="","",'Final Calculation Sheet'!$D$5)</f>
        <v/>
      </c>
      <c r="AA5">
        <f>IF(Z5="","",COUNTIFS(Z$4:Z$40,"&lt;"&amp;Z5,Z$4:Z$40,"&lt;&gt;"&amp;"")+COUNTIF(Z$4:Z5,Z5))</f>
        <v/>
      </c>
      <c r="AB5">
        <f>IF(ROW()-3&gt;COUNTIF(Z$4:Z$40,"&lt;&gt;"&amp;""),"",INDEX(Z$4:Z$40,MATCH(ROW()-3,AA$4:AA$40,0)))</f>
        <v/>
      </c>
      <c r="AC5">
        <f>AC4+IF(AND(AB5&lt;&gt;"",COUNTIF(AB$4:AB5,AB5)=1),1,0)</f>
        <v/>
      </c>
      <c r="AD5">
        <f>IF(ROW()-3&gt;MAX(AC$4:AC$40),"",INDEX(AB$4:AB$40,MATCH(ROW()-3,AC$4:AC$40,0)))</f>
        <v/>
      </c>
      <c r="AE5">
        <f>IF('Final Calculation Sheet'!$A$5="","",'Final Calculation Sheet'!$A$5)</f>
        <v/>
      </c>
      <c r="AF5">
        <f>IF(AE5="","",COUNTIFS(AE$4:AE$40,"&lt;"&amp;AE5,AE$4:AE$40,"&lt;&gt;"&amp;"")+COUNTIF(AE$4:AE5,AE5))</f>
        <v/>
      </c>
      <c r="AG5">
        <f>IF(ROW()-3&gt;COUNTIF(AE$4:AE$40,"&lt;&gt;"&amp;""),"",INDEX(AE$4:AE$40,MATCH(ROW()-3,AF$4:AF$40,0)))</f>
        <v/>
      </c>
      <c r="AH5">
        <f>AH4+IF(AND(AG5&lt;&gt;"",COUNTIF(AG$4:AG5,AG5)=1),1,0)</f>
        <v/>
      </c>
      <c r="AI5">
        <f>IF(ROW()-3&gt;MAX(AH$4:AH$40),"",INDEX(AG$4:AG$40,MATCH(ROW()-3,AH$4:AH$40,0)))</f>
        <v/>
      </c>
      <c r="AJ5">
        <f>IF('Final Calculation Sheet'!$E$5="","",'Final Calculation Sheet'!$E$5)</f>
        <v/>
      </c>
      <c r="AK5">
        <f>IF(AJ5="","",COUNTIFS(AJ$4:AJ$40,"&lt;"&amp;AJ5,AJ$4:AJ$40,"&lt;&gt;"&amp;"")+COUNTIF(AJ$4:AJ5,AJ5))</f>
        <v/>
      </c>
      <c r="AL5">
        <f>IF(ROW()-3&gt;COUNTIF(AJ$4:AJ$40,"&lt;&gt;"&amp;""),"",INDEX(AJ$4:AJ$40,MATCH(ROW()-3,AK$4:AK$40,0)))</f>
        <v/>
      </c>
      <c r="AM5">
        <f>AM4+IF(AND(AL5&lt;&gt;"",COUNTIF(AL$4:AL5,AL5)=1),1,0)</f>
        <v/>
      </c>
      <c r="AN5">
        <f>IF(ROW()-3&gt;MAX(AM$4:AM$40),"",INDEX(AL$4:AL$40,MATCH(ROW()-3,AM$4:AM$40,0)))</f>
        <v/>
      </c>
      <c r="AO5" s="55">
        <f>IF('Final Calculation Sheet'!$C$5="","",'Final Calculation Sheet'!$C$5)</f>
        <v/>
      </c>
      <c r="AP5">
        <f>IF(AO5="","",COUNTIFS(AO$4:AO$40,"&lt;"&amp;AO5,AO$4:AO$40,"&lt;&gt;"&amp;"")+COUNTIF(AO$4:AO5,AO5))</f>
        <v/>
      </c>
      <c r="AQ5" s="55">
        <f>IF(ROW()-3&gt;COUNTIF(AO$4:AO$40,"&lt;&gt;"&amp;""),"",INDEX(AO$4:AO$40,MATCH(ROW()-3,AP$4:AP$40,0)))</f>
        <v/>
      </c>
      <c r="AR5">
        <f>AR4+IF(AND(AQ5&lt;&gt;"",COUNTIF(AQ$4:AQ5,AQ5)=1),1,0)</f>
        <v/>
      </c>
      <c r="AS5" s="55">
        <f>IF(ROW()-3&gt;MAX(AR$4:AR$40),"",INDEX(AQ$4:AQ$40,MATCH(ROW()-3,AR$4:AR$40,0)))</f>
        <v/>
      </c>
      <c r="AT5" s="55">
        <f>IF('Final Calculation Sheet'!$H$5="","",'Final Calculation Sheet'!$H$5)</f>
        <v/>
      </c>
      <c r="AU5">
        <f>IF(AT5="","",COUNTIFS(AT$4:AT$40,"&lt;"&amp;AT5,AT$4:AT$40,"&lt;&gt;"&amp;"")+COUNTIF(AT$4:AT5,AT5))</f>
        <v/>
      </c>
      <c r="AV5" s="55">
        <f>IF(ROW()-3&gt;COUNTIF(AT$4:AT$40,"&lt;&gt;"&amp;""),"",INDEX(AT$4:AT$40,MATCH(ROW()-3,AU$4:AU$40,0)))</f>
        <v/>
      </c>
      <c r="AW5">
        <f>AW4+IF(AND(AV5&lt;&gt;"",COUNTIF(AV$4:AV5,AV5)=1),1,0)</f>
        <v/>
      </c>
      <c r="AX5" s="55">
        <f>IF(ROW()-3&gt;MAX(AW$4:AW$40),"",INDEX(AV$4:AV$40,MATCH(ROW()-3,AW$4:AW$40,0)))</f>
        <v/>
      </c>
      <c r="AY5" s="55">
        <f>IF('Final Calculation Sheet'!$I$5="","",'Final Calculation Sheet'!$I$5)</f>
        <v/>
      </c>
      <c r="AZ5">
        <f>IF(AY5="","",COUNTIFS(AY$4:AY$40,"&lt;"&amp;AY5,AY$4:AY$40,"&lt;&gt;"&amp;"")+COUNTIF(AY$4:AY5,AY5))</f>
        <v/>
      </c>
      <c r="BA5" s="55">
        <f>IF(ROW()-3&gt;COUNTIF(AY$4:AY$40,"&lt;&gt;"&amp;""),"",INDEX(AY$4:AY$40,MATCH(ROW()-3,AZ$4:AZ$40,0)))</f>
        <v/>
      </c>
      <c r="BB5">
        <f>BB4+IF(AND(BA5&lt;&gt;"",COUNTIF(BA$4:BA5,BA5)=1),1,0)</f>
        <v/>
      </c>
      <c r="BC5" s="55">
        <f>IF(ROW()-3&gt;MAX(BB$4:BB$40),"",INDEX(BA$4:BA$40,MATCH(ROW()-3,BB$4:BB$40,0)))</f>
        <v/>
      </c>
      <c r="BD5" s="55">
        <f>IF('Final Calculation Sheet'!$J$5="","",'Final Calculation Sheet'!$J$5)</f>
        <v/>
      </c>
      <c r="BE5">
        <f>IF(BD5="","",COUNTIFS(BD$4:BD$40,"&lt;"&amp;BD5,BD$4:BD$40,"&lt;&gt;"&amp;"")+COUNTIF(BD$4:BD5,BD5))</f>
        <v/>
      </c>
      <c r="BF5" s="55">
        <f>IF(ROW()-3&gt;COUNTIF(BD$4:BD$40,"&lt;&gt;"&amp;""),"",INDEX(BD$4:BD$40,MATCH(ROW()-3,BE$4:BE$40,0)))</f>
        <v/>
      </c>
      <c r="BG5">
        <f>BG4+IF(AND(BF5&lt;&gt;"",COUNTIF(BF$4:BF5,BF5)=1),1,0)</f>
        <v/>
      </c>
      <c r="BH5" s="55">
        <f>IF(ROW()-3&gt;MAX(BG$4:BG$40),"",INDEX(BF$4:BF$40,MATCH(ROW()-3,BG$4:BG$40,0)))</f>
        <v/>
      </c>
      <c r="BI5" s="55">
        <f>IF('Final Calculation Sheet'!$K$5="","",'Final Calculation Sheet'!$K$5)</f>
        <v/>
      </c>
      <c r="BJ5">
        <f>IF(BI5="","",COUNTIFS(BI$4:BI$40,"&lt;"&amp;BI5,BI$4:BI$40,"&lt;&gt;"&amp;"")+COUNTIF(BI$4:BI5,BI5))</f>
        <v/>
      </c>
      <c r="BK5" s="55">
        <f>IF(ROW()-3&gt;COUNTIF(BI$4:BI$40,"&lt;&gt;"&amp;""),"",INDEX(BI$4:BI$40,MATCH(ROW()-3,BJ$4:BJ$40,0)))</f>
        <v/>
      </c>
      <c r="BL5">
        <f>BL4+IF(AND(BK5&lt;&gt;"",COUNTIF(BK$4:BK5,BK5)=1),1,0)</f>
        <v/>
      </c>
      <c r="BM5" s="55">
        <f>IF(ROW()-3&gt;MAX(BL$4:BL$40),"",INDEX(BK$4:BK$40,MATCH(ROW()-3,BL$4:BL$40,0)))</f>
        <v/>
      </c>
      <c r="BN5" s="55">
        <f>IF('Final Calculation Sheet'!$L$5="","",'Final Calculation Sheet'!$L$5)</f>
        <v/>
      </c>
      <c r="BO5">
        <f>IF(BN5="","",COUNTIFS(BN$4:BN$40,"&lt;"&amp;BN5,BN$4:BN$40,"&lt;&gt;"&amp;"")+COUNTIF(BN$4:BN5,BN5))</f>
        <v/>
      </c>
      <c r="BP5" s="55">
        <f>IF(ROW()-3&gt;COUNTIF(BN$4:BN$40,"&lt;&gt;"&amp;""),"",INDEX(BN$4:BN$40,MATCH(ROW()-3,BO$4:BO$40,0)))</f>
        <v/>
      </c>
      <c r="BQ5">
        <f>BQ4+IF(AND(BP5&lt;&gt;"",COUNTIF(BP$4:BP5,BP5)=1),1,0)</f>
        <v/>
      </c>
      <c r="BR5" s="55">
        <f>IF(ROW()-3&gt;MAX(BQ$4:BQ$40),"",INDEX(BP$4:BP$40,MATCH(ROW()-3,BQ$4:BQ$40,0)))</f>
        <v/>
      </c>
      <c r="BS5" s="55">
        <f>IF('Final Calculation Sheet'!$M$5="","",'Final Calculation Sheet'!$M$5)</f>
        <v/>
      </c>
      <c r="BT5">
        <f>IF(BS5="","",COUNTIFS(BS$4:BS$40,"&lt;"&amp;BS5,BS$4:BS$40,"&lt;&gt;"&amp;"")+COUNTIF(BS$4:BS5,BS5))</f>
        <v/>
      </c>
      <c r="BU5" s="55">
        <f>IF(ROW()-3&gt;COUNTIF(BS$4:BS$40,"&lt;&gt;"&amp;""),"",INDEX(BS$4:BS$40,MATCH(ROW()-3,BT$4:BT$40,0)))</f>
        <v/>
      </c>
      <c r="BV5">
        <f>BV4+IF(AND(BU5&lt;&gt;"",COUNTIF(BU$4:BU5,BU5)=1),1,0)</f>
        <v/>
      </c>
      <c r="BW5" s="55">
        <f>IF(ROW()-3&gt;MAX(BV$4:BV$40),"",INDEX(BU$4:BU$40,MATCH(ROW()-3,BV$4:BV$40,0)))</f>
        <v/>
      </c>
      <c r="BX5" s="138">
        <f>IF('Final Calculation Sheet'!$N$5="","",'Final Calculation Sheet'!$N$5)</f>
        <v/>
      </c>
      <c r="BY5">
        <f>IF(BX5="","",COUNTIFS(BX$4:BX$40,"&lt;"&amp;BX5,BX$4:BX$40,"&lt;&gt;"&amp;"")+COUNTIF(BX$4:BX5,BX5))</f>
        <v/>
      </c>
      <c r="BZ5" s="138">
        <f>IF(ROW()-3&gt;COUNTIF(BX$4:BX$40,"&lt;&gt;"&amp;""),"",INDEX(BX$4:BX$40,MATCH(ROW()-3,BY$4:BY$40,0)))</f>
        <v/>
      </c>
      <c r="CA5">
        <f>CA4+IF(AND(BZ5&lt;&gt;"",COUNTIF(BZ$4:BZ5,BZ5)=1),1,0)</f>
        <v/>
      </c>
      <c r="CB5" s="138">
        <f>IF(ROW()-3&gt;MAX(CA$4:CA$40),"",INDEX(BZ$4:BZ$40,MATCH(ROW()-3,CA$4:CA$40,0)))</f>
        <v/>
      </c>
      <c r="CC5" s="55">
        <f>IF('Final Calculation Sheet'!$O$5="","",'Final Calculation Sheet'!$O$5)</f>
        <v/>
      </c>
      <c r="CD5">
        <f>IF(CC5="","",COUNTIFS(CC$4:CC$40,"&lt;"&amp;CC5,CC$4:CC$40,"&lt;&gt;"&amp;"")+COUNTIF(CC$4:CC5,CC5))</f>
        <v/>
      </c>
      <c r="CE5" s="55">
        <f>IF(ROW()-3&gt;COUNTIF(CC$4:CC$40,"&lt;&gt;"&amp;""),"",INDEX(CC$4:CC$40,MATCH(ROW()-3,CD$4:CD$40,0)))</f>
        <v/>
      </c>
      <c r="CF5">
        <f>CF4+IF(AND(CE5&lt;&gt;"",COUNTIF(CE$4:CE5,CE5)=1),1,0)</f>
        <v/>
      </c>
      <c r="CG5" s="55">
        <f>IF(ROW()-3&gt;MAX(CF$4:CF$40),"",INDEX(CE$4:CE$40,MATCH(ROW()-3,CF$4:CF$40,0)))</f>
        <v/>
      </c>
      <c r="CH5" s="55">
        <f>IF('Final Calculation Sheet'!$P$5="","",'Final Calculation Sheet'!$P$5)</f>
        <v/>
      </c>
      <c r="CI5">
        <f>IF(CH5="","",COUNTIFS(CH$4:CH$40,"&lt;"&amp;CH5,CH$4:CH$40,"&lt;&gt;"&amp;"")+COUNTIF(CH$4:CH5,CH5))</f>
        <v/>
      </c>
      <c r="CJ5" s="55">
        <f>IF(ROW()-3&gt;COUNTIF(CH$4:CH$40,"&lt;&gt;"&amp;""),"",INDEX(CH$4:CH$40,MATCH(ROW()-3,CI$4:CI$40,0)))</f>
        <v/>
      </c>
      <c r="CK5">
        <f>CK4+IF(AND(CJ5&lt;&gt;"",COUNTIF(CJ$4:CJ5,CJ5)=1),1,0)</f>
        <v/>
      </c>
      <c r="CL5" s="55">
        <f>IF(ROW()-3&gt;MAX(CK$4:CK$40),"",INDEX(CJ$4:CJ$40,MATCH(ROW()-3,CK$4:CK$40,0)))</f>
        <v/>
      </c>
      <c r="CM5" s="139">
        <f>IF('Final Calculation Sheet'!$Q$5="","",'Final Calculation Sheet'!$Q$5)</f>
        <v/>
      </c>
      <c r="CN5">
        <f>IF(CM5="","",COUNTIFS(CM$4:CM$40,"&lt;"&amp;CM5,CM$4:CM$40,"&lt;&gt;"&amp;"")+COUNTIF(CM$4:CM5,CM5))</f>
        <v/>
      </c>
      <c r="CO5" s="139">
        <f>IF(ROW()-3&gt;COUNTIF(CM$4:CM$40,"&lt;&gt;"&amp;""),"",INDEX(CM$4:CM$40,MATCH(ROW()-3,CN$4:CN$40,0)))</f>
        <v/>
      </c>
      <c r="CP5">
        <f>CP4+IF(AND(CO5&lt;&gt;"",COUNTIF(CO$4:CO5,CO5)=1),1,0)</f>
        <v/>
      </c>
      <c r="CQ5" s="139">
        <f>IF(ROW()-3&gt;MAX(CP$4:CP$40),"",INDEX(CO$4:CO$40,MATCH(ROW()-3,CP$4:CP$40,0)))</f>
        <v/>
      </c>
      <c r="CR5" s="55">
        <f>IF('Final Calculation Sheet'!$R$5="","",'Final Calculation Sheet'!$R$5)</f>
        <v/>
      </c>
      <c r="CS5">
        <f>IF(CR5="","",COUNTIFS(CR$4:CR$40,"&lt;"&amp;CR5,CR$4:CR$40,"&lt;&gt;"&amp;"")+COUNTIF(CR$4:CR5,CR5))</f>
        <v/>
      </c>
      <c r="CT5" s="55">
        <f>IF(ROW()-3&gt;COUNTIF(CR$4:CR$40,"&lt;&gt;"&amp;""),"",INDEX(CR$4:CR$40,MATCH(ROW()-3,CS$4:CS$40,0)))</f>
        <v/>
      </c>
      <c r="CU5">
        <f>CU4+IF(AND(CT5&lt;&gt;"",COUNTIF(CT$4:CT5,CT5)=1),1,0)</f>
        <v/>
      </c>
      <c r="CV5" s="55">
        <f>IF(ROW()-3&gt;MAX(CU$4:CU$40),"",INDEX(CT$4:CT$40,MATCH(ROW()-3,CU$4:CU$40,0)))</f>
        <v/>
      </c>
      <c r="CW5" s="55">
        <f>IF('Final Calculation Sheet'!$S$5="","",'Final Calculation Sheet'!$S$5)</f>
        <v/>
      </c>
      <c r="CX5">
        <f>IF(CW5="","",COUNTIFS(CW$4:CW$40,"&lt;"&amp;CW5,CW$4:CW$40,"&lt;&gt;"&amp;"")+COUNTIF(CW$4:CW5,CW5))</f>
        <v/>
      </c>
      <c r="CY5" s="55">
        <f>IF(ROW()-3&gt;COUNTIF(CW$4:CW$40,"&lt;&gt;"&amp;""),"",INDEX(CW$4:CW$40,MATCH(ROW()-3,CX$4:CX$40,0)))</f>
        <v/>
      </c>
      <c r="CZ5">
        <f>CZ4+IF(AND(CY5&lt;&gt;"",COUNTIF(CY$4:CY5,CY5)=1),1,0)</f>
        <v/>
      </c>
      <c r="DA5" s="55">
        <f>IF(ROW()-3&gt;MAX(CZ$4:CZ$40),"",INDEX(CY$4:CY$40,MATCH(ROW()-3,CZ$4:CZ$40,0)))</f>
        <v/>
      </c>
      <c r="DB5" s="55">
        <f>IF('Final Calculation Sheet'!$T$5="","",'Final Calculation Sheet'!$T$5)</f>
        <v/>
      </c>
      <c r="DC5">
        <f>IF(DB5="","",COUNTIFS(DB$4:DB$40,"&lt;"&amp;DB5,DB$4:DB$40,"&lt;&gt;"&amp;"")+COUNTIF(DB$4:DB5,DB5))</f>
        <v/>
      </c>
      <c r="DD5" s="55">
        <f>IF(ROW()-3&gt;COUNTIF(DB$4:DB$40,"&lt;&gt;"&amp;""),"",INDEX(DB$4:DB$40,MATCH(ROW()-3,DC$4:DC$40,0)))</f>
        <v/>
      </c>
      <c r="DE5">
        <f>DE4+IF(AND(DD5&lt;&gt;"",COUNTIF(DD$4:DD5,DD5)=1),1,0)</f>
        <v/>
      </c>
      <c r="DF5" s="55">
        <f>IF(ROW()-3&gt;MAX(DE$4:DE$40),"",INDEX(DD$4:DD$40,MATCH(ROW()-3,DE$4:DE$40,0)))</f>
        <v/>
      </c>
      <c r="DG5" s="140">
        <f>IF('Final Calculation Sheet'!$U$5="","",'Final Calculation Sheet'!$U$5)</f>
        <v/>
      </c>
      <c r="DH5">
        <f>IF(DG5="","",COUNTIFS(DG$4:DG$40,"&lt;"&amp;DG5,DG$4:DG$40,"&lt;&gt;"&amp;"")+COUNTIF(DG$4:DG5,DG5))</f>
        <v/>
      </c>
      <c r="DI5" s="140">
        <f>IF(ROW()-3&gt;COUNTIF(DG$4:DG$40,"&lt;&gt;"&amp;""),"",INDEX(DG$4:DG$40,MATCH(ROW()-3,DH$4:DH$40,0)))</f>
        <v/>
      </c>
      <c r="DJ5">
        <f>DJ4+IF(AND(DI5&lt;&gt;"",COUNTIF(DI$4:DI5,DI5)=1),1,0)</f>
        <v/>
      </c>
      <c r="DK5" s="140">
        <f>IF(ROW()-3&gt;MAX(DJ$4:DJ$40),"",INDEX(DI$4:DI$40,MATCH(ROW()-3,DJ$4:DJ$40,0)))</f>
        <v/>
      </c>
      <c r="DL5">
        <f>IF('Final Calculation Sheet'!$V$5="","",'Final Calculation Sheet'!$V$5)</f>
        <v/>
      </c>
      <c r="DM5">
        <f>IF(DL5="","",COUNTIFS(DL$4:DL$40,"&lt;"&amp;DL5,DL$4:DL$40,"&lt;&gt;"&amp;"")+COUNTIF(DL$4:DL5,DL5))</f>
        <v/>
      </c>
      <c r="DN5">
        <f>IF(ROW()-3&gt;COUNTIF(DL$4:DL$40,"&lt;&gt;"&amp;""),"",INDEX(DL$4:DL$40,MATCH(ROW()-3,DM$4:DM$40,0)))</f>
        <v/>
      </c>
      <c r="DO5">
        <f>DO4+IF(AND(DN5&lt;&gt;"",COUNTIF(DN$4:DN5,DN5)=1),1,0)</f>
        <v/>
      </c>
      <c r="DP5">
        <f>IF(ROW()-3&gt;MAX(DO$4:DO$40),"",INDEX(DN$4:DN$40,MATCH(ROW()-3,DO$4:DO$40,0)))</f>
        <v/>
      </c>
      <c r="DQ5" s="55">
        <f>IF('Final Calculation Sheet'!$W$5="","",'Final Calculation Sheet'!$W$5)</f>
        <v/>
      </c>
      <c r="DR5">
        <f>IF(DQ5="","",COUNTIFS(DQ$4:DQ$40,"&lt;"&amp;DQ5,DQ$4:DQ$40,"&lt;&gt;"&amp;"")+COUNTIF(DQ$4:DQ5,DQ5))</f>
        <v/>
      </c>
      <c r="DS5" s="55">
        <f>IF(ROW()-3&gt;COUNTIF(DQ$4:DQ$40,"&lt;&gt;"&amp;""),"",INDEX(DQ$4:DQ$40,MATCH(ROW()-3,DR$4:DR$40,0)))</f>
        <v/>
      </c>
      <c r="DT5">
        <f>DT4+IF(AND(DS5&lt;&gt;"",COUNTIF(DS$4:DS5,DS5)=1),1,0)</f>
        <v/>
      </c>
      <c r="DU5" s="55">
        <f>IF(ROW()-3&gt;MAX(DT$4:DT$40),"",INDEX(DS$4:DS$40,MATCH(ROW()-3,DT$4:DT$40,0)))</f>
        <v/>
      </c>
      <c r="DV5" s="55">
        <f>IF('Final Calculation Sheet'!$X$5="","",'Final Calculation Sheet'!$X$5)</f>
        <v/>
      </c>
      <c r="DW5">
        <f>IF(DV5="","",COUNTIFS(DV$4:DV$40,"&lt;"&amp;DV5,DV$4:DV$40,"&lt;&gt;"&amp;"")+COUNTIF(DV$4:DV5,DV5))</f>
        <v/>
      </c>
      <c r="DX5" s="55">
        <f>IF(ROW()-3&gt;COUNTIF(DV$4:DV$40,"&lt;&gt;"&amp;""),"",INDEX(DV$4:DV$40,MATCH(ROW()-3,DW$4:DW$40,0)))</f>
        <v/>
      </c>
      <c r="DY5">
        <f>DY4+IF(AND(DX5&lt;&gt;"",COUNTIF(DX$4:DX5,DX5)=1),1,0)</f>
        <v/>
      </c>
      <c r="DZ5">
        <f>IF(ROW()-3&gt;MAX(DY$4:DY$40),"",INDEX(DX$4:DX$40,MATCH(ROW()-3,DY$4:DY$40,0)))</f>
        <v/>
      </c>
      <c r="EA5">
        <f>IF('Final Calculation Sheet'!$Y$5="","",'Final Calculation Sheet'!$Y$5)</f>
        <v/>
      </c>
      <c r="EB5">
        <f>IF(EA5="","",COUNTIFS(EA$4:EA$40,"&lt;"&amp;EA5,EA$4:EA$40,"&lt;&gt;"&amp;"")+COUNTIF(EA$4:EA5,EA5))</f>
        <v/>
      </c>
      <c r="EC5" s="55">
        <f>IF(ROW()-3&gt;COUNTIF(EA$4:EA$40,"&lt;&gt;"&amp;""),"",INDEX(EA$4:EA$40,MATCH(ROW()-3,EB$4:EB$40,0)))</f>
        <v/>
      </c>
      <c r="ED5">
        <f>ED4+IF(AND(EC5&lt;&gt;"",COUNTIF(EC$4:EC5,EC5)=1),1,0)</f>
        <v/>
      </c>
      <c r="EE5">
        <f>IF(ROW()-3&gt;MAX(ED$4:ED$40),"",INDEX(EC$4:EC$40,MATCH(ROW()-3,ED$4:ED$40,0)))</f>
        <v/>
      </c>
      <c r="EF5" s="55">
        <f>IF('Final Calculation Sheet'!$Z$5="","",'Final Calculation Sheet'!$Z$5)</f>
        <v/>
      </c>
      <c r="EG5">
        <f>IF(EF5="","",COUNTIFS(EF$4:EF$40,"&lt;"&amp;EF5,EF$4:EF$40,"&lt;&gt;"&amp;"")+COUNTIF(EF$4:EF5,EF5))</f>
        <v/>
      </c>
      <c r="EH5" s="55">
        <f>IF(ROW()-3&gt;COUNTIF(EF$4:EF$40,"&lt;&gt;"&amp;""),"",INDEX(EF$4:EF$40,MATCH(ROW()-3,EG$4:EG$40,0)))</f>
        <v/>
      </c>
      <c r="EI5">
        <f>EI4+IF(AND(EH5&lt;&gt;"",COUNTIF(EH$4:EH5,EH5)=1),1,0)</f>
        <v/>
      </c>
      <c r="EJ5" s="55">
        <f>IF(ROW()-3&gt;MAX(EI$4:EI$40),"",INDEX(EH$4:EH$40,MATCH(ROW()-3,EI$4:EI$40,0)))</f>
        <v/>
      </c>
      <c r="EK5">
        <f>IF('Final Calculation Sheet'!$AA$5="","",'Final Calculation Sheet'!$AA$5)</f>
        <v/>
      </c>
      <c r="EL5">
        <f>IF(EK5="","",COUNTIFS(EK$4:EK$40,"&lt;"&amp;EK5,EK$4:EK$40,"&lt;&gt;"&amp;"")+COUNTIF(EK$4:EK5,EK5))</f>
        <v/>
      </c>
      <c r="EM5" s="55">
        <f>IF(ROW()-3&gt;COUNTIF(EK$4:EK$40,"&lt;&gt;"&amp;""),"",INDEX(EK$4:EK$40,MATCH(ROW()-3,EL$4:EL$40,0)))</f>
        <v/>
      </c>
      <c r="EN5">
        <f>EN4+IF(AND(EM5&lt;&gt;"",COUNTIF(EM$4:EM5,EM5)=1),1,0)</f>
        <v/>
      </c>
      <c r="EO5">
        <f>IF(ROW()-3&gt;MAX(EN$4:EN$40),"",INDEX(EM$4:EM$40,MATCH(ROW()-3,EN$4:EN$40,0)))</f>
        <v/>
      </c>
      <c r="EP5">
        <f>IF('Final Calculation Sheet'!$AB$5="","",'Final Calculation Sheet'!$AB$5)</f>
        <v/>
      </c>
      <c r="EQ5">
        <f>IF(EP5="","",COUNTIFS(EP$4:EP$40,"&lt;"&amp;EP5,EP$4:EP$40,"&lt;&gt;"&amp;"")+COUNTIF(EP$4:EP5,EP5))</f>
        <v/>
      </c>
      <c r="ER5">
        <f>IF(ROW()-3&gt;COUNTIF(EP$4:EP$40,"&lt;&gt;"&amp;""),"",INDEX(EP$4:EP$40,MATCH(ROW()-3,EQ$4:EQ$40,0)))</f>
        <v/>
      </c>
      <c r="ES5">
        <f>ES4+IF(AND(ER5&lt;&gt;"",COUNTIF(ER$4:ER5,ER5)=1),1,0)</f>
        <v/>
      </c>
      <c r="ET5">
        <f>IF(ROW()-3&gt;MAX(ES$4:ES$40),"",INDEX(ER$4:ER$40,MATCH(ROW()-3,ES$4:ES$40,0)))</f>
        <v/>
      </c>
      <c r="EU5" s="55">
        <f>IF('Final Calculation Sheet'!$AC$5="","",'Final Calculation Sheet'!$AC$5)</f>
        <v/>
      </c>
      <c r="EV5">
        <f>IF(EU5="","",COUNTIFS(EU$4:EU$40,"&lt;"&amp;EU5,EU$4:EU$40,"&lt;&gt;"&amp;"")+COUNTIF(EU$4:EU5,EU5))</f>
        <v/>
      </c>
      <c r="EW5" s="55">
        <f>IF(ROW()-3&gt;COUNTIF(EU$4:EU$40,"&lt;&gt;"&amp;""),"",INDEX(EU$4:EU$40,MATCH(ROW()-3,EV$4:EV$40,0)))</f>
        <v/>
      </c>
      <c r="EX5">
        <f>EX4+IF(AND(EW5&lt;&gt;"",COUNTIF(EW$4:EW5,EW5)=1),1,0)</f>
        <v/>
      </c>
      <c r="EY5" s="55">
        <f>IF(ROW()-3&gt;MAX(EX$4:EX$40),"",INDEX(EW$4:EW$40,MATCH(ROW()-3,EX$4:EX$40,0)))</f>
        <v/>
      </c>
      <c r="EZ5" s="55">
        <f>IF('Final Calculation Sheet'!$AD$5="","",'Final Calculation Sheet'!$AD$5)</f>
        <v/>
      </c>
      <c r="FA5">
        <f>IF(EZ5="","",COUNTIFS(EZ$4:EZ$40,"&lt;"&amp;EZ5,EZ$4:EZ$40,"&lt;&gt;"&amp;"")+COUNTIF(EZ$4:EZ5,EZ5))</f>
        <v/>
      </c>
      <c r="FB5" s="55">
        <f>IF(ROW()-3&gt;COUNTIF(EZ$4:EZ$40,"&lt;&gt;"&amp;""),"",INDEX(EZ$4:EZ$40,MATCH(ROW()-3,FA$4:FA$40,0)))</f>
        <v/>
      </c>
      <c r="FC5">
        <f>FC4+IF(AND(FB5&lt;&gt;"",COUNTIF(FB$4:FB5,FB5)=1),1,0)</f>
        <v/>
      </c>
      <c r="FD5" s="55">
        <f>IF(ROW()-3&gt;MAX(FC$4:FC$40),"",INDEX(FB$4:FB$40,MATCH(ROW()-3,FC$4:FC$40,0)))</f>
        <v/>
      </c>
      <c r="FE5">
        <f>IF('Final Calculation Sheet'!$AF$5="","",'Final Calculation Sheet'!$AF$5)</f>
        <v/>
      </c>
      <c r="FF5">
        <f>IF(FE5="","",COUNTIFS(FE$4:FE$40,"&lt;"&amp;FE5,FE$4:FE$40,"&lt;&gt;"&amp;"")+COUNTIF(FE$4:FE5,FE5))</f>
        <v/>
      </c>
      <c r="FG5">
        <f>IF(ROW()-3&gt;COUNTIF(FE$4:FE$40,"&lt;&gt;"&amp;""),"",INDEX(FE$4:FE$40,MATCH(ROW()-3,FF$4:FF$40,0)))</f>
        <v/>
      </c>
      <c r="FH5">
        <f>FH4+IF(AND(FG5&lt;&gt;"",COUNTIF(FG$4:FG5,FG5)=1),1,0)</f>
        <v/>
      </c>
      <c r="FI5">
        <f>IF(ROW()-3&gt;MAX(FH$4:FH$40),"",INDEX(FG$4:FG$40,MATCH(ROW()-3,FH$4:FH$40,0)))</f>
        <v/>
      </c>
      <c r="FJ5" s="141">
        <f>IF('Final Calculation Sheet'!$AG$5="","",'Final Calculation Sheet'!$AG$5)</f>
        <v/>
      </c>
      <c r="FK5">
        <f>IF(FJ5="","",COUNTIFS(FJ$4:FJ$40,"&lt;"&amp;FJ5,FJ$4:FJ$40,"&lt;&gt;"&amp;"")+COUNTIF(FJ$4:FJ5,FJ5))</f>
        <v/>
      </c>
      <c r="FL5" s="141">
        <f>IF(ROW()-3&gt;COUNTIF(FJ$4:FJ$40,"&lt;&gt;"&amp;""),"",INDEX(FJ$4:FJ$40,MATCH(ROW()-3,FK$4:FK$40,0)))</f>
        <v/>
      </c>
      <c r="FM5">
        <f>FM4+IF(AND(FL5&lt;&gt;"",COUNTIF(FL$4:FL5,FL5)=1),1,0)</f>
        <v/>
      </c>
      <c r="FN5">
        <f>IF(ROW()-3&gt;MAX(FM$4:FM$40),"",INDEX(FL$4:FL$40,MATCH(ROW()-3,FM$4:FM$40,0)))</f>
        <v/>
      </c>
      <c r="FO5">
        <f>IF('Final Calculation Sheet'!$AH$5="","",'Final Calculation Sheet'!$AH$5)</f>
        <v/>
      </c>
      <c r="FP5">
        <f>IF(FO5="","",COUNTIFS(FO$4:FO$40,"&lt;"&amp;FO5,FO$4:FO$40,"&lt;&gt;"&amp;"")+COUNTIF(FO$4:FO5,FO5))</f>
        <v/>
      </c>
      <c r="FQ5">
        <f>IF(ROW()-3&gt;COUNTIF(FO$4:FO$40,"&lt;&gt;"&amp;""),"",INDEX(FO$4:FO$40,MATCH(ROW()-3,FP$4:FP$40,0)))</f>
        <v/>
      </c>
      <c r="FR5">
        <f>FR4+IF(AND(FQ5&lt;&gt;"",COUNTIF(FQ$4:FQ5,FQ5)=1),1,0)</f>
        <v/>
      </c>
      <c r="FS5">
        <f>IF(ROW()-3&gt;MAX(FR$4:FR$40),"",INDEX(FQ$4:FQ$40,MATCH(ROW()-3,FR$4:FR$40,0)))</f>
        <v/>
      </c>
      <c r="FT5" t="inlineStr">
        <is>
          <t>OUTSTANDING</t>
        </is>
      </c>
      <c r="FU5">
        <f>IF(FT5="","",COUNTIFS(FT$4:FT$40,"&lt;"&amp;FT5,FT$4:FT$40,"&lt;&gt;"&amp;"")+COUNTIF(FT$4:FT5,FT5))</f>
        <v/>
      </c>
      <c r="FV5">
        <f>IF(ROW()-3&gt;COUNTIF(FT$4:FT$40,"&lt;&gt;"&amp;""),"",INDEX(FT$4:FT$40,MATCH(ROW()-3,FU$4:FU$40,0)))</f>
        <v/>
      </c>
      <c r="FW5">
        <f>FW4+IF(AND(FV5&lt;&gt;"",COUNTIF(FV$4:FV5,FV5)=1),1,0)</f>
        <v/>
      </c>
      <c r="FX5">
        <f>IF(ROW()-3&gt;MAX(FW$4:FW$40),"",INDEX(FV$4:FV$40,MATCH(ROW()-3,FW$4:FW$40,0)))</f>
        <v/>
      </c>
      <c r="FZ5">
        <f>IF($Y$5="",FALSE,SUMPRODUCT(('Final Calculation Sheet'!$B$4:$B$40=$Y$5)*($FY$6:$FY$42=1))&gt;0)</f>
        <v/>
      </c>
      <c r="GA5">
        <f>$GA$4+--($FZ$5)</f>
        <v/>
      </c>
      <c r="GB5">
        <f>IF(ROW()-3&gt;MAX($GA$4:$GA$40),"",INDEX($Y$4:$Y$40,MATCH(ROW()-3,$GA$4:$GA$40,0)))</f>
        <v/>
      </c>
      <c r="GC5">
        <f>IF('Final Calculation Sheet'!$F$5="","",IF(TRIM('Final Calculation Sheet'!$G$2)="",'Final Calculation Sheet'!$F$5,IF(TRIM('Final Calculation Sheet'!$G$2)="(nonblank)",IF('Final Calculation Sheet'!$G$5&lt;&gt;"",'Final Calculation Sheet'!$F$5,""),IF(TRIM('Final Calculation Sheet'!$G$2)="(blank)",IF('Final Calculation Sheet'!$G$5="",'Final Calculation Sheet'!$F$5,""),IF(ISNUMBER(SEARCH(TRIM('Final Calculation Sheet'!$G$2),'Final Calculation Sheet'!$G$5)),'Final Calculation Sheet'!$F$5,"")))))</f>
        <v/>
      </c>
      <c r="GD5">
        <f>IF(GC5="","",COUNTIFS(GC$4:GC$40,"&lt;"&amp;GC5,GC$4:GC$40,"&lt;&gt;"&amp;"")+COUNTIF(GC$4:GC5,GC5))</f>
        <v/>
      </c>
      <c r="GE5">
        <f>IF(ROW()-3&gt;COUNTIF(GC$4:GC$40,"&lt;&gt;"&amp;""),"",INDEX(GC$4:GC$40,MATCH(ROW()-3,GD$4:GD$40,0)))</f>
        <v/>
      </c>
      <c r="GF5">
        <f>GF4+IF(AND(GE5&lt;&gt;"",COUNTIF(GE$4:GE5,GE5)=1),1,0)</f>
        <v/>
      </c>
      <c r="GG5">
        <f>IF(ROW()-3&gt;MAX(GF$4:GF$40),"",INDEX(GE$4:GE$40,MATCH(ROW()-3,GF$4:GF$40,0)))</f>
        <v/>
      </c>
      <c r="GH5">
        <f>IF('Final Calculation Sheet'!$F$5="","",IF('Live Search'!$BO$6=1,'Final Calculation Sheet'!$F$5,""))</f>
        <v/>
      </c>
      <c r="GI5">
        <f>IF(GH5="","",COUNTIFS(GH$4:GH$40,"&lt;"&amp;GH5,GH$4:GH$40,"&lt;&gt;"&amp;"")+COUNTIF(GH$4:GH5,GH5))</f>
        <v/>
      </c>
      <c r="GJ5">
        <f>IF(ROW()-3&gt;COUNTIF(GH$4:GH$40,"&lt;&gt;"&amp;""),"",INDEX(GH$4:GH$40,MATCH(ROW()-3,GI$4:GI$40,0)))</f>
        <v/>
      </c>
      <c r="GK5">
        <f>GK4+IF(AND(GJ5&lt;&gt;"",COUNTIF(GJ$4:GJ5,GJ5)=1),1,0)</f>
        <v/>
      </c>
      <c r="GL5">
        <f>IF(ROW()-3&gt;MAX(GK$4:GK$40),"",INDEX(GJ$4:GJ$40,MATCH(ROW()-3,GK$4:GK$40,0)))</f>
        <v/>
      </c>
      <c r="GM5">
        <f>IF('Final Calculation Sheet'!$F$5="","",IF(TRIM('Buyer Groups'!$C$4)="",'Final Calculation Sheet'!$F$5,IF(TRIM('Buyer Groups'!$C$4)="(nonblank)",IF('Final Calculation Sheet'!$G$5&lt;&gt;"",'Final Calculation Sheet'!$F$5,""),IF(TRIM('Buyer Groups'!$C$4)="(blank)",IF('Final Calculation Sheet'!$G$5="",'Final Calculation Sheet'!$F$5,""),IF(ISNUMBER(SEARCH(TRIM('Buyer Groups'!$C$4),'Final Calculation Sheet'!$G$5)),'Final Calculation Sheet'!$F$5,"")))))</f>
        <v/>
      </c>
      <c r="GN5">
        <f>IF(GM5="","",COUNTIFS(GM$4:GM$40,"&lt;"&amp;GM5,GM$4:GM$40,"&lt;&gt;"&amp;"")+COUNTIF(GM$4:GM5,GM5))</f>
        <v/>
      </c>
      <c r="GO5">
        <f>IF(ROW()-3&gt;COUNTIF(GM$4:GM$40,"&lt;&gt;"&amp;""),"",INDEX(GM$4:GM$40,MATCH(ROW()-3,GN$4:GN$40,0)))</f>
        <v/>
      </c>
      <c r="GP5">
        <f>GP4+IF(AND(GO5&lt;&gt;"",COUNTIF(GO$4:GO5,GO5)=1),1,0)</f>
        <v/>
      </c>
      <c r="GQ5">
        <f>IF(ROW()-3&gt;MAX(GP$4:GP$40),"",INDEX(GO$4:GO$40,MATCH(ROW()-3,GP$4:GP$40,0)))</f>
        <v/>
      </c>
      <c r="GR5">
        <f>IF('Final Calculation Sheet'!$B$5="","",IF(TRIM('Final Calculation Sheet'!$G$2)="",'Final Calculation Sheet'!$B$5,IF(TRIM('Final Calculation Sheet'!$G$2)="(nonblank)",IF('Final Calculation Sheet'!$G$5&lt;&gt;"",'Final Calculation Sheet'!$B$5,""),IF(TRIM('Final Calculation Sheet'!$G$2)="(blank)",IF('Final Calculation Sheet'!$G$5="",'Final Calculation Sheet'!$B$5,""),IF(ISNUMBER(SEARCH(TRIM('Final Calculation Sheet'!$G$2),'Final Calculation Sheet'!$G$5)),'Final Calculation Sheet'!$B$5,"")))))</f>
        <v/>
      </c>
      <c r="GS5">
        <f>IF(GR5="","",COUNTIFS(GR$4:GR$40,"&lt;"&amp;GR5,GR$4:GR$40,"&lt;&gt;"&amp;"")+COUNTIF(GR$4:GR5,GR5))</f>
        <v/>
      </c>
      <c r="GT5">
        <f>IF(ROW()-3&gt;COUNTIF(GR$4:GR$40,"&lt;&gt;"&amp;""),"",INDEX(GR$4:GR$40,MATCH(ROW()-3,GS$4:GS$40,0)))</f>
        <v/>
      </c>
      <c r="GU5">
        <f>GU4+IF(AND(GT5&lt;&gt;"",COUNTIF(GT$4:GT5,GT5)=1),1,0)</f>
        <v/>
      </c>
      <c r="GV5">
        <f>IF(ROW()-3&gt;MAX(GU$4:GU$40),"",INDEX(GT$4:GT$40,MATCH(ROW()-3,GU$4:GU$40,0)))</f>
        <v/>
      </c>
      <c r="GW5">
        <f>IF('Final Calculation Sheet'!$B$5="","",IF(TRIM('Buyer Groups'!$C$4)="",'Final Calculation Sheet'!$B$5,IF(TRIM('Buyer Groups'!$C$4)="(nonblank)",IF('Final Calculation Sheet'!$G$5&lt;&gt;"",'Final Calculation Sheet'!$B$5,""),IF(TRIM('Buyer Groups'!$C$4)="(blank)",IF('Final Calculation Sheet'!$G$5="",'Final Calculation Sheet'!$B$5,""),IF(ISNUMBER(SEARCH(TRIM('Buyer Groups'!$C$4),'Final Calculation Sheet'!$G$5)),'Final Calculation Sheet'!$B$5,"")))))</f>
        <v/>
      </c>
      <c r="GX5">
        <f>IF(GW5="","",COUNTIFS(GW$4:GW$40,"&lt;"&amp;GW5,GW$4:GW$40,"&lt;&gt;"&amp;"")+COUNTIF(GW$4:GW5,GW5))</f>
        <v/>
      </c>
      <c r="GY5">
        <f>IF(ROW()-3&gt;COUNTIF(GW$4:GW$40,"&lt;&gt;"&amp;""),"",INDEX(GW$4:GW$40,MATCH(ROW()-3,GX$4:GX$40,0)))</f>
        <v/>
      </c>
      <c r="GZ5">
        <f>GZ4+IF(AND(GY5&lt;&gt;"",COUNTIF(GY$4:GY5,GY5)=1),1,0)</f>
        <v/>
      </c>
      <c r="HA5">
        <f>IF(ROW()-3&gt;MAX(GZ$4:GZ$40),"",INDEX(GY$4:GY$40,MATCH(ROW()-3,GZ$4:GZ$40,0)))</f>
        <v/>
      </c>
    </row>
    <row r="6">
      <c r="A6">
        <f>IF('Final Calculation Sheet'!$F$6="","",'Final Calculation Sheet'!$F$6)</f>
        <v/>
      </c>
      <c r="B6">
        <f>IF(A6="","",COUNTIFS(A$4:A$114,"&lt;"&amp;A6,A$4:A$114,"&lt;&gt;"&amp;"")+COUNTIF(A$4:A6,A6))</f>
        <v/>
      </c>
      <c r="C6">
        <f>IF(ROW()-3&gt;COUNTIF(A$4:A$114,"&lt;&gt;"&amp;""),"",INDEX(A$4:A$114,MATCH(ROW()-3,B$4:B$114,0)))</f>
        <v/>
      </c>
      <c r="D6">
        <f>D5+IF(AND(C6&lt;&gt;"",COUNTIF(C$4:C6,C6)=1),1,0)</f>
        <v/>
      </c>
      <c r="E6">
        <f>IF(ROW()-3&gt;MAX(D$4:D$114),"",INDEX(C$4:C$114,MATCH(ROW()-3,D$4:D$114,0)))</f>
        <v/>
      </c>
      <c r="F6">
        <f>ROW()-3</f>
        <v/>
      </c>
      <c r="G6">
        <f>IF(F6="","",COUNTIFS(F$4:F$40,"&lt;"&amp;F6,F$4:F$40,"&lt;&gt;"&amp;"")+COUNTIF(F$4:F6,F6))</f>
        <v/>
      </c>
      <c r="H6">
        <f>IF(ROW()-3&gt;COUNTIF(F$4:F$40,"&lt;&gt;"&amp;""),"",INDEX(F$4:F$40,MATCH(ROW()-3,G$4:G$40,0)))</f>
        <v/>
      </c>
      <c r="I6">
        <f>I5+IF(AND(H6&lt;&gt;"",COUNTIF(H$4:H6,H6)=1),1,0)</f>
        <v/>
      </c>
      <c r="J6">
        <f>IF(ROW()-3&gt;MAX(I$4:I$40),"",INDEX(H$4:H$40,MATCH(ROW()-3,I$4:I$40,0)))</f>
        <v/>
      </c>
      <c r="K6">
        <f>IF('Final Calculation Sheet'!$F$6="","",'Final Calculation Sheet'!$F$6)</f>
        <v/>
      </c>
      <c r="L6">
        <f>IF(K6="","",COUNTIFS(K$4:K$40,"&lt;"&amp;K6,K$4:K$40,"&lt;&gt;"&amp;"")+COUNTIF(K$4:K6,K6))</f>
        <v/>
      </c>
      <c r="M6">
        <f>IF(ROW()-3&gt;COUNTIF(K$4:K$40,"&lt;&gt;"&amp;""),"",INDEX(K$4:K$40,MATCH(ROW()-3,L$4:L$40,0)))</f>
        <v/>
      </c>
      <c r="N6">
        <f>N5+IF(AND(M6&lt;&gt;"",COUNTIF(M$4:M6,M6)=1),1,0)</f>
        <v/>
      </c>
      <c r="O6">
        <f>IF(ROW()-3&gt;MAX(N$4:N$40),"",INDEX(M$4:M$40,MATCH(ROW()-3,N$4:N$40,0)))</f>
        <v/>
      </c>
      <c r="P6">
        <f>IF('Final Calculation Sheet'!$G$6="","",'Final Calculation Sheet'!$G$6)</f>
        <v/>
      </c>
      <c r="Q6">
        <f>IF(P6="","",COUNTIFS(P$4:P$40,"&lt;"&amp;P6,P$4:P$40,"&lt;&gt;"&amp;"")+COUNTIF(P$4:P6,P6))</f>
        <v/>
      </c>
      <c r="R6">
        <f>IF(ROW()-3&gt;COUNTIF(P$4:P$40,"&lt;&gt;"&amp;""),"",INDEX(P$4:P$40,MATCH(ROW()-3,Q$4:Q$40,0)))</f>
        <v/>
      </c>
      <c r="S6">
        <f>S5+IF(AND(R6&lt;&gt;"",COUNTIF(R$4:R6,R6)=1),1,0)</f>
        <v/>
      </c>
      <c r="T6">
        <f>IF(ROW()-3&gt;MAX(S$4:S$40),"",INDEX(R$4:R$40,MATCH(ROW()-3,S$4:S$40,0)))</f>
        <v/>
      </c>
      <c r="U6">
        <f>IF('Final Calculation Sheet'!$B$6="","",'Final Calculation Sheet'!$B$6)</f>
        <v/>
      </c>
      <c r="V6">
        <f>IF(U6="","",COUNTIFS(U$4:U$40,"&lt;"&amp;U6,U$4:U$40,"&lt;&gt;"&amp;"")+COUNTIF(U$4:U6,U6))</f>
        <v/>
      </c>
      <c r="W6">
        <f>IF(ROW()-3&gt;COUNTIF(U$4:U$40,"&lt;&gt;"&amp;""),"",INDEX(U$4:U$40,MATCH(ROW()-3,V$4:V$40,0)))</f>
        <v/>
      </c>
      <c r="X6">
        <f>X5+IF(AND(W6&lt;&gt;"",COUNTIF(W$4:W6,W6)=1),1,0)</f>
        <v/>
      </c>
      <c r="Y6">
        <f>IF(ROW()-3&gt;MAX(X$4:X$40),"",INDEX(W$4:W$40,MATCH(ROW()-3,X$4:X$40,0)))</f>
        <v/>
      </c>
      <c r="Z6">
        <f>IF('Final Calculation Sheet'!$D$6="","",'Final Calculation Sheet'!$D$6)</f>
        <v/>
      </c>
      <c r="AA6">
        <f>IF(Z6="","",COUNTIFS(Z$4:Z$40,"&lt;"&amp;Z6,Z$4:Z$40,"&lt;&gt;"&amp;"")+COUNTIF(Z$4:Z6,Z6))</f>
        <v/>
      </c>
      <c r="AB6">
        <f>IF(ROW()-3&gt;COUNTIF(Z$4:Z$40,"&lt;&gt;"&amp;""),"",INDEX(Z$4:Z$40,MATCH(ROW()-3,AA$4:AA$40,0)))</f>
        <v/>
      </c>
      <c r="AC6">
        <f>AC5+IF(AND(AB6&lt;&gt;"",COUNTIF(AB$4:AB6,AB6)=1),1,0)</f>
        <v/>
      </c>
      <c r="AD6">
        <f>IF(ROW()-3&gt;MAX(AC$4:AC$40),"",INDEX(AB$4:AB$40,MATCH(ROW()-3,AC$4:AC$40,0)))</f>
        <v/>
      </c>
      <c r="AE6">
        <f>IF('Final Calculation Sheet'!$A$6="","",'Final Calculation Sheet'!$A$6)</f>
        <v/>
      </c>
      <c r="AF6">
        <f>IF(AE6="","",COUNTIFS(AE$4:AE$40,"&lt;"&amp;AE6,AE$4:AE$40,"&lt;&gt;"&amp;"")+COUNTIF(AE$4:AE6,AE6))</f>
        <v/>
      </c>
      <c r="AG6">
        <f>IF(ROW()-3&gt;COUNTIF(AE$4:AE$40,"&lt;&gt;"&amp;""),"",INDEX(AE$4:AE$40,MATCH(ROW()-3,AF$4:AF$40,0)))</f>
        <v/>
      </c>
      <c r="AH6">
        <f>AH5+IF(AND(AG6&lt;&gt;"",COUNTIF(AG$4:AG6,AG6)=1),1,0)</f>
        <v/>
      </c>
      <c r="AI6">
        <f>IF(ROW()-3&gt;MAX(AH$4:AH$40),"",INDEX(AG$4:AG$40,MATCH(ROW()-3,AH$4:AH$40,0)))</f>
        <v/>
      </c>
      <c r="AJ6">
        <f>IF('Final Calculation Sheet'!$E$6="","",'Final Calculation Sheet'!$E$6)</f>
        <v/>
      </c>
      <c r="AK6">
        <f>IF(AJ6="","",COUNTIFS(AJ$4:AJ$40,"&lt;"&amp;AJ6,AJ$4:AJ$40,"&lt;&gt;"&amp;"")+COUNTIF(AJ$4:AJ6,AJ6))</f>
        <v/>
      </c>
      <c r="AL6">
        <f>IF(ROW()-3&gt;COUNTIF(AJ$4:AJ$40,"&lt;&gt;"&amp;""),"",INDEX(AJ$4:AJ$40,MATCH(ROW()-3,AK$4:AK$40,0)))</f>
        <v/>
      </c>
      <c r="AM6">
        <f>AM5+IF(AND(AL6&lt;&gt;"",COUNTIF(AL$4:AL6,AL6)=1),1,0)</f>
        <v/>
      </c>
      <c r="AN6">
        <f>IF(ROW()-3&gt;MAX(AM$4:AM$40),"",INDEX(AL$4:AL$40,MATCH(ROW()-3,AM$4:AM$40,0)))</f>
        <v/>
      </c>
      <c r="AO6" s="55">
        <f>IF('Final Calculation Sheet'!$C$6="","",'Final Calculation Sheet'!$C$6)</f>
        <v/>
      </c>
      <c r="AP6">
        <f>IF(AO6="","",COUNTIFS(AO$4:AO$40,"&lt;"&amp;AO6,AO$4:AO$40,"&lt;&gt;"&amp;"")+COUNTIF(AO$4:AO6,AO6))</f>
        <v/>
      </c>
      <c r="AQ6" s="55">
        <f>IF(ROW()-3&gt;COUNTIF(AO$4:AO$40,"&lt;&gt;"&amp;""),"",INDEX(AO$4:AO$40,MATCH(ROW()-3,AP$4:AP$40,0)))</f>
        <v/>
      </c>
      <c r="AR6">
        <f>AR5+IF(AND(AQ6&lt;&gt;"",COUNTIF(AQ$4:AQ6,AQ6)=1),1,0)</f>
        <v/>
      </c>
      <c r="AS6" s="55">
        <f>IF(ROW()-3&gt;MAX(AR$4:AR$40),"",INDEX(AQ$4:AQ$40,MATCH(ROW()-3,AR$4:AR$40,0)))</f>
        <v/>
      </c>
      <c r="AT6" s="55">
        <f>IF('Final Calculation Sheet'!$H$6="","",'Final Calculation Sheet'!$H$6)</f>
        <v/>
      </c>
      <c r="AU6">
        <f>IF(AT6="","",COUNTIFS(AT$4:AT$40,"&lt;"&amp;AT6,AT$4:AT$40,"&lt;&gt;"&amp;"")+COUNTIF(AT$4:AT6,AT6))</f>
        <v/>
      </c>
      <c r="AV6" s="55">
        <f>IF(ROW()-3&gt;COUNTIF(AT$4:AT$40,"&lt;&gt;"&amp;""),"",INDEX(AT$4:AT$40,MATCH(ROW()-3,AU$4:AU$40,0)))</f>
        <v/>
      </c>
      <c r="AW6">
        <f>AW5+IF(AND(AV6&lt;&gt;"",COUNTIF(AV$4:AV6,AV6)=1),1,0)</f>
        <v/>
      </c>
      <c r="AX6" s="55">
        <f>IF(ROW()-3&gt;MAX(AW$4:AW$40),"",INDEX(AV$4:AV$40,MATCH(ROW()-3,AW$4:AW$40,0)))</f>
        <v/>
      </c>
      <c r="AY6" s="55">
        <f>IF('Final Calculation Sheet'!$I$6="","",'Final Calculation Sheet'!$I$6)</f>
        <v/>
      </c>
      <c r="AZ6">
        <f>IF(AY6="","",COUNTIFS(AY$4:AY$40,"&lt;"&amp;AY6,AY$4:AY$40,"&lt;&gt;"&amp;"")+COUNTIF(AY$4:AY6,AY6))</f>
        <v/>
      </c>
      <c r="BA6" s="55">
        <f>IF(ROW()-3&gt;COUNTIF(AY$4:AY$40,"&lt;&gt;"&amp;""),"",INDEX(AY$4:AY$40,MATCH(ROW()-3,AZ$4:AZ$40,0)))</f>
        <v/>
      </c>
      <c r="BB6">
        <f>BB5+IF(AND(BA6&lt;&gt;"",COUNTIF(BA$4:BA6,BA6)=1),1,0)</f>
        <v/>
      </c>
      <c r="BC6" s="55">
        <f>IF(ROW()-3&gt;MAX(BB$4:BB$40),"",INDEX(BA$4:BA$40,MATCH(ROW()-3,BB$4:BB$40,0)))</f>
        <v/>
      </c>
      <c r="BD6" s="55">
        <f>IF('Final Calculation Sheet'!$J$6="","",'Final Calculation Sheet'!$J$6)</f>
        <v/>
      </c>
      <c r="BE6">
        <f>IF(BD6="","",COUNTIFS(BD$4:BD$40,"&lt;"&amp;BD6,BD$4:BD$40,"&lt;&gt;"&amp;"")+COUNTIF(BD$4:BD6,BD6))</f>
        <v/>
      </c>
      <c r="BF6" s="55">
        <f>IF(ROW()-3&gt;COUNTIF(BD$4:BD$40,"&lt;&gt;"&amp;""),"",INDEX(BD$4:BD$40,MATCH(ROW()-3,BE$4:BE$40,0)))</f>
        <v/>
      </c>
      <c r="BG6">
        <f>BG5+IF(AND(BF6&lt;&gt;"",COUNTIF(BF$4:BF6,BF6)=1),1,0)</f>
        <v/>
      </c>
      <c r="BH6" s="55">
        <f>IF(ROW()-3&gt;MAX(BG$4:BG$40),"",INDEX(BF$4:BF$40,MATCH(ROW()-3,BG$4:BG$40,0)))</f>
        <v/>
      </c>
      <c r="BI6" s="55">
        <f>IF('Final Calculation Sheet'!$K$6="","",'Final Calculation Sheet'!$K$6)</f>
        <v/>
      </c>
      <c r="BJ6">
        <f>IF(BI6="","",COUNTIFS(BI$4:BI$40,"&lt;"&amp;BI6,BI$4:BI$40,"&lt;&gt;"&amp;"")+COUNTIF(BI$4:BI6,BI6))</f>
        <v/>
      </c>
      <c r="BK6" s="55">
        <f>IF(ROW()-3&gt;COUNTIF(BI$4:BI$40,"&lt;&gt;"&amp;""),"",INDEX(BI$4:BI$40,MATCH(ROW()-3,BJ$4:BJ$40,0)))</f>
        <v/>
      </c>
      <c r="BL6">
        <f>BL5+IF(AND(BK6&lt;&gt;"",COUNTIF(BK$4:BK6,BK6)=1),1,0)</f>
        <v/>
      </c>
      <c r="BM6" s="55">
        <f>IF(ROW()-3&gt;MAX(BL$4:BL$40),"",INDEX(BK$4:BK$40,MATCH(ROW()-3,BL$4:BL$40,0)))</f>
        <v/>
      </c>
      <c r="BN6" s="55">
        <f>IF('Final Calculation Sheet'!$L$6="","",'Final Calculation Sheet'!$L$6)</f>
        <v/>
      </c>
      <c r="BO6">
        <f>IF(BN6="","",COUNTIFS(BN$4:BN$40,"&lt;"&amp;BN6,BN$4:BN$40,"&lt;&gt;"&amp;"")+COUNTIF(BN$4:BN6,BN6))</f>
        <v/>
      </c>
      <c r="BP6" s="55">
        <f>IF(ROW()-3&gt;COUNTIF(BN$4:BN$40,"&lt;&gt;"&amp;""),"",INDEX(BN$4:BN$40,MATCH(ROW()-3,BO$4:BO$40,0)))</f>
        <v/>
      </c>
      <c r="BQ6">
        <f>BQ5+IF(AND(BP6&lt;&gt;"",COUNTIF(BP$4:BP6,BP6)=1),1,0)</f>
        <v/>
      </c>
      <c r="BR6" s="55">
        <f>IF(ROW()-3&gt;MAX(BQ$4:BQ$40),"",INDEX(BP$4:BP$40,MATCH(ROW()-3,BQ$4:BQ$40,0)))</f>
        <v/>
      </c>
      <c r="BS6" s="55">
        <f>IF('Final Calculation Sheet'!$M$6="","",'Final Calculation Sheet'!$M$6)</f>
        <v/>
      </c>
      <c r="BT6">
        <f>IF(BS6="","",COUNTIFS(BS$4:BS$40,"&lt;"&amp;BS6,BS$4:BS$40,"&lt;&gt;"&amp;"")+COUNTIF(BS$4:BS6,BS6))</f>
        <v/>
      </c>
      <c r="BU6" s="55">
        <f>IF(ROW()-3&gt;COUNTIF(BS$4:BS$40,"&lt;&gt;"&amp;""),"",INDEX(BS$4:BS$40,MATCH(ROW()-3,BT$4:BT$40,0)))</f>
        <v/>
      </c>
      <c r="BV6">
        <f>BV5+IF(AND(BU6&lt;&gt;"",COUNTIF(BU$4:BU6,BU6)=1),1,0)</f>
        <v/>
      </c>
      <c r="BW6" s="55">
        <f>IF(ROW()-3&gt;MAX(BV$4:BV$40),"",INDEX(BU$4:BU$40,MATCH(ROW()-3,BV$4:BV$40,0)))</f>
        <v/>
      </c>
      <c r="BX6" s="138">
        <f>IF('Final Calculation Sheet'!$N$6="","",'Final Calculation Sheet'!$N$6)</f>
        <v/>
      </c>
      <c r="BY6">
        <f>IF(BX6="","",COUNTIFS(BX$4:BX$40,"&lt;"&amp;BX6,BX$4:BX$40,"&lt;&gt;"&amp;"")+COUNTIF(BX$4:BX6,BX6))</f>
        <v/>
      </c>
      <c r="BZ6" s="138">
        <f>IF(ROW()-3&gt;COUNTIF(BX$4:BX$40,"&lt;&gt;"&amp;""),"",INDEX(BX$4:BX$40,MATCH(ROW()-3,BY$4:BY$40,0)))</f>
        <v/>
      </c>
      <c r="CA6">
        <f>CA5+IF(AND(BZ6&lt;&gt;"",COUNTIF(BZ$4:BZ6,BZ6)=1),1,0)</f>
        <v/>
      </c>
      <c r="CB6" s="138">
        <f>IF(ROW()-3&gt;MAX(CA$4:CA$40),"",INDEX(BZ$4:BZ$40,MATCH(ROW()-3,CA$4:CA$40,0)))</f>
        <v/>
      </c>
      <c r="CC6" s="55">
        <f>IF('Final Calculation Sheet'!$O$6="","",'Final Calculation Sheet'!$O$6)</f>
        <v/>
      </c>
      <c r="CD6">
        <f>IF(CC6="","",COUNTIFS(CC$4:CC$40,"&lt;"&amp;CC6,CC$4:CC$40,"&lt;&gt;"&amp;"")+COUNTIF(CC$4:CC6,CC6))</f>
        <v/>
      </c>
      <c r="CE6" s="55">
        <f>IF(ROW()-3&gt;COUNTIF(CC$4:CC$40,"&lt;&gt;"&amp;""),"",INDEX(CC$4:CC$40,MATCH(ROW()-3,CD$4:CD$40,0)))</f>
        <v/>
      </c>
      <c r="CF6">
        <f>CF5+IF(AND(CE6&lt;&gt;"",COUNTIF(CE$4:CE6,CE6)=1),1,0)</f>
        <v/>
      </c>
      <c r="CG6" s="55">
        <f>IF(ROW()-3&gt;MAX(CF$4:CF$40),"",INDEX(CE$4:CE$40,MATCH(ROW()-3,CF$4:CF$40,0)))</f>
        <v/>
      </c>
      <c r="CH6" s="55">
        <f>IF('Final Calculation Sheet'!$P$6="","",'Final Calculation Sheet'!$P$6)</f>
        <v/>
      </c>
      <c r="CI6">
        <f>IF(CH6="","",COUNTIFS(CH$4:CH$40,"&lt;"&amp;CH6,CH$4:CH$40,"&lt;&gt;"&amp;"")+COUNTIF(CH$4:CH6,CH6))</f>
        <v/>
      </c>
      <c r="CJ6" s="55">
        <f>IF(ROW()-3&gt;COUNTIF(CH$4:CH$40,"&lt;&gt;"&amp;""),"",INDEX(CH$4:CH$40,MATCH(ROW()-3,CI$4:CI$40,0)))</f>
        <v/>
      </c>
      <c r="CK6">
        <f>CK5+IF(AND(CJ6&lt;&gt;"",COUNTIF(CJ$4:CJ6,CJ6)=1),1,0)</f>
        <v/>
      </c>
      <c r="CL6" s="55">
        <f>IF(ROW()-3&gt;MAX(CK$4:CK$40),"",INDEX(CJ$4:CJ$40,MATCH(ROW()-3,CK$4:CK$40,0)))</f>
        <v/>
      </c>
      <c r="CM6" s="139">
        <f>IF('Final Calculation Sheet'!$Q$6="","",'Final Calculation Sheet'!$Q$6)</f>
        <v/>
      </c>
      <c r="CN6">
        <f>IF(CM6="","",COUNTIFS(CM$4:CM$40,"&lt;"&amp;CM6,CM$4:CM$40,"&lt;&gt;"&amp;"")+COUNTIF(CM$4:CM6,CM6))</f>
        <v/>
      </c>
      <c r="CO6" s="139">
        <f>IF(ROW()-3&gt;COUNTIF(CM$4:CM$40,"&lt;&gt;"&amp;""),"",INDEX(CM$4:CM$40,MATCH(ROW()-3,CN$4:CN$40,0)))</f>
        <v/>
      </c>
      <c r="CP6">
        <f>CP5+IF(AND(CO6&lt;&gt;"",COUNTIF(CO$4:CO6,CO6)=1),1,0)</f>
        <v/>
      </c>
      <c r="CQ6">
        <f>IF(ROW()-3&gt;MAX(CP$4:CP$40),"",INDEX(CO$4:CO$40,MATCH(ROW()-3,CP$4:CP$40,0)))</f>
        <v/>
      </c>
      <c r="CR6" s="55">
        <f>IF('Final Calculation Sheet'!$R$6="","",'Final Calculation Sheet'!$R$6)</f>
        <v/>
      </c>
      <c r="CS6">
        <f>IF(CR6="","",COUNTIFS(CR$4:CR$40,"&lt;"&amp;CR6,CR$4:CR$40,"&lt;&gt;"&amp;"")+COUNTIF(CR$4:CR6,CR6))</f>
        <v/>
      </c>
      <c r="CT6" s="55">
        <f>IF(ROW()-3&gt;COUNTIF(CR$4:CR$40,"&lt;&gt;"&amp;""),"",INDEX(CR$4:CR$40,MATCH(ROW()-3,CS$4:CS$40,0)))</f>
        <v/>
      </c>
      <c r="CU6">
        <f>CU5+IF(AND(CT6&lt;&gt;"",COUNTIF(CT$4:CT6,CT6)=1),1,0)</f>
        <v/>
      </c>
      <c r="CV6" s="55">
        <f>IF(ROW()-3&gt;MAX(CU$4:CU$40),"",INDEX(CT$4:CT$40,MATCH(ROW()-3,CU$4:CU$40,0)))</f>
        <v/>
      </c>
      <c r="CW6" s="55">
        <f>IF('Final Calculation Sheet'!$S$6="","",'Final Calculation Sheet'!$S$6)</f>
        <v/>
      </c>
      <c r="CX6">
        <f>IF(CW6="","",COUNTIFS(CW$4:CW$40,"&lt;"&amp;CW6,CW$4:CW$40,"&lt;&gt;"&amp;"")+COUNTIF(CW$4:CW6,CW6))</f>
        <v/>
      </c>
      <c r="CY6" s="55">
        <f>IF(ROW()-3&gt;COUNTIF(CW$4:CW$40,"&lt;&gt;"&amp;""),"",INDEX(CW$4:CW$40,MATCH(ROW()-3,CX$4:CX$40,0)))</f>
        <v/>
      </c>
      <c r="CZ6">
        <f>CZ5+IF(AND(CY6&lt;&gt;"",COUNTIF(CY$4:CY6,CY6)=1),1,0)</f>
        <v/>
      </c>
      <c r="DA6" s="55">
        <f>IF(ROW()-3&gt;MAX(CZ$4:CZ$40),"",INDEX(CY$4:CY$40,MATCH(ROW()-3,CZ$4:CZ$40,0)))</f>
        <v/>
      </c>
      <c r="DB6" s="55">
        <f>IF('Final Calculation Sheet'!$T$6="","",'Final Calculation Sheet'!$T$6)</f>
        <v/>
      </c>
      <c r="DC6">
        <f>IF(DB6="","",COUNTIFS(DB$4:DB$40,"&lt;"&amp;DB6,DB$4:DB$40,"&lt;&gt;"&amp;"")+COUNTIF(DB$4:DB6,DB6))</f>
        <v/>
      </c>
      <c r="DD6" s="55">
        <f>IF(ROW()-3&gt;COUNTIF(DB$4:DB$40,"&lt;&gt;"&amp;""),"",INDEX(DB$4:DB$40,MATCH(ROW()-3,DC$4:DC$40,0)))</f>
        <v/>
      </c>
      <c r="DE6">
        <f>DE5+IF(AND(DD6&lt;&gt;"",COUNTIF(DD$4:DD6,DD6)=1),1,0)</f>
        <v/>
      </c>
      <c r="DF6" s="55">
        <f>IF(ROW()-3&gt;MAX(DE$4:DE$40),"",INDEX(DD$4:DD$40,MATCH(ROW()-3,DE$4:DE$40,0)))</f>
        <v/>
      </c>
      <c r="DG6" s="140">
        <f>IF('Final Calculation Sheet'!$U$6="","",'Final Calculation Sheet'!$U$6)</f>
        <v/>
      </c>
      <c r="DH6">
        <f>IF(DG6="","",COUNTIFS(DG$4:DG$40,"&lt;"&amp;DG6,DG$4:DG$40,"&lt;&gt;"&amp;"")+COUNTIF(DG$4:DG6,DG6))</f>
        <v/>
      </c>
      <c r="DI6" s="140">
        <f>IF(ROW()-3&gt;COUNTIF(DG$4:DG$40,"&lt;&gt;"&amp;""),"",INDEX(DG$4:DG$40,MATCH(ROW()-3,DH$4:DH$40,0)))</f>
        <v/>
      </c>
      <c r="DJ6">
        <f>DJ5+IF(AND(DI6&lt;&gt;"",COUNTIF(DI$4:DI6,DI6)=1),1,0)</f>
        <v/>
      </c>
      <c r="DK6" s="140">
        <f>IF(ROW()-3&gt;MAX(DJ$4:DJ$40),"",INDEX(DI$4:DI$40,MATCH(ROW()-3,DJ$4:DJ$40,0)))</f>
        <v/>
      </c>
      <c r="DL6">
        <f>IF('Final Calculation Sheet'!$V$6="","",'Final Calculation Sheet'!$V$6)</f>
        <v/>
      </c>
      <c r="DM6">
        <f>IF(DL6="","",COUNTIFS(DL$4:DL$40,"&lt;"&amp;DL6,DL$4:DL$40,"&lt;&gt;"&amp;"")+COUNTIF(DL$4:DL6,DL6))</f>
        <v/>
      </c>
      <c r="DN6">
        <f>IF(ROW()-3&gt;COUNTIF(DL$4:DL$40,"&lt;&gt;"&amp;""),"",INDEX(DL$4:DL$40,MATCH(ROW()-3,DM$4:DM$40,0)))</f>
        <v/>
      </c>
      <c r="DO6">
        <f>DO5+IF(AND(DN6&lt;&gt;"",COUNTIF(DN$4:DN6,DN6)=1),1,0)</f>
        <v/>
      </c>
      <c r="DP6">
        <f>IF(ROW()-3&gt;MAX(DO$4:DO$40),"",INDEX(DN$4:DN$40,MATCH(ROW()-3,DO$4:DO$40,0)))</f>
        <v/>
      </c>
      <c r="DQ6" s="55">
        <f>IF('Final Calculation Sheet'!$W$6="","",'Final Calculation Sheet'!$W$6)</f>
        <v/>
      </c>
      <c r="DR6">
        <f>IF(DQ6="","",COUNTIFS(DQ$4:DQ$40,"&lt;"&amp;DQ6,DQ$4:DQ$40,"&lt;&gt;"&amp;"")+COUNTIF(DQ$4:DQ6,DQ6))</f>
        <v/>
      </c>
      <c r="DS6" s="55">
        <f>IF(ROW()-3&gt;COUNTIF(DQ$4:DQ$40,"&lt;&gt;"&amp;""),"",INDEX(DQ$4:DQ$40,MATCH(ROW()-3,DR$4:DR$40,0)))</f>
        <v/>
      </c>
      <c r="DT6">
        <f>DT5+IF(AND(DS6&lt;&gt;"",COUNTIF(DS$4:DS6,DS6)=1),1,0)</f>
        <v/>
      </c>
      <c r="DU6" s="55">
        <f>IF(ROW()-3&gt;MAX(DT$4:DT$40),"",INDEX(DS$4:DS$40,MATCH(ROW()-3,DT$4:DT$40,0)))</f>
        <v/>
      </c>
      <c r="DV6" s="55">
        <f>IF('Final Calculation Sheet'!$X$6="","",'Final Calculation Sheet'!$X$6)</f>
        <v/>
      </c>
      <c r="DW6">
        <f>IF(DV6="","",COUNTIFS(DV$4:DV$40,"&lt;"&amp;DV6,DV$4:DV$40,"&lt;&gt;"&amp;"")+COUNTIF(DV$4:DV6,DV6))</f>
        <v/>
      </c>
      <c r="DX6" s="55">
        <f>IF(ROW()-3&gt;COUNTIF(DV$4:DV$40,"&lt;&gt;"&amp;""),"",INDEX(DV$4:DV$40,MATCH(ROW()-3,DW$4:DW$40,0)))</f>
        <v/>
      </c>
      <c r="DY6">
        <f>DY5+IF(AND(DX6&lt;&gt;"",COUNTIF(DX$4:DX6,DX6)=1),1,0)</f>
        <v/>
      </c>
      <c r="DZ6">
        <f>IF(ROW()-3&gt;MAX(DY$4:DY$40),"",INDEX(DX$4:DX$40,MATCH(ROW()-3,DY$4:DY$40,0)))</f>
        <v/>
      </c>
      <c r="EA6">
        <f>IF('Final Calculation Sheet'!$Y$6="","",'Final Calculation Sheet'!$Y$6)</f>
        <v/>
      </c>
      <c r="EB6">
        <f>IF(EA6="","",COUNTIFS(EA$4:EA$40,"&lt;"&amp;EA6,EA$4:EA$40,"&lt;&gt;"&amp;"")+COUNTIF(EA$4:EA6,EA6))</f>
        <v/>
      </c>
      <c r="EC6">
        <f>IF(ROW()-3&gt;COUNTIF(EA$4:EA$40,"&lt;&gt;"&amp;""),"",INDEX(EA$4:EA$40,MATCH(ROW()-3,EB$4:EB$40,0)))</f>
        <v/>
      </c>
      <c r="ED6">
        <f>ED5+IF(AND(EC6&lt;&gt;"",COUNTIF(EC$4:EC6,EC6)=1),1,0)</f>
        <v/>
      </c>
      <c r="EE6">
        <f>IF(ROW()-3&gt;MAX(ED$4:ED$40),"",INDEX(EC$4:EC$40,MATCH(ROW()-3,ED$4:ED$40,0)))</f>
        <v/>
      </c>
      <c r="EF6" s="55">
        <f>IF('Final Calculation Sheet'!$Z$6="","",'Final Calculation Sheet'!$Z$6)</f>
        <v/>
      </c>
      <c r="EG6">
        <f>IF(EF6="","",COUNTIFS(EF$4:EF$40,"&lt;"&amp;EF6,EF$4:EF$40,"&lt;&gt;"&amp;"")+COUNTIF(EF$4:EF6,EF6))</f>
        <v/>
      </c>
      <c r="EH6" s="55">
        <f>IF(ROW()-3&gt;COUNTIF(EF$4:EF$40,"&lt;&gt;"&amp;""),"",INDEX(EF$4:EF$40,MATCH(ROW()-3,EG$4:EG$40,0)))</f>
        <v/>
      </c>
      <c r="EI6">
        <f>EI5+IF(AND(EH6&lt;&gt;"",COUNTIF(EH$4:EH6,EH6)=1),1,0)</f>
        <v/>
      </c>
      <c r="EJ6" s="55">
        <f>IF(ROW()-3&gt;MAX(EI$4:EI$40),"",INDEX(EH$4:EH$40,MATCH(ROW()-3,EI$4:EI$40,0)))</f>
        <v/>
      </c>
      <c r="EK6">
        <f>IF('Final Calculation Sheet'!$AA$6="","",'Final Calculation Sheet'!$AA$6)</f>
        <v/>
      </c>
      <c r="EL6">
        <f>IF(EK6="","",COUNTIFS(EK$4:EK$40,"&lt;"&amp;EK6,EK$4:EK$40,"&lt;&gt;"&amp;"")+COUNTIF(EK$4:EK6,EK6))</f>
        <v/>
      </c>
      <c r="EM6">
        <f>IF(ROW()-3&gt;COUNTIF(EK$4:EK$40,"&lt;&gt;"&amp;""),"",INDEX(EK$4:EK$40,MATCH(ROW()-3,EL$4:EL$40,0)))</f>
        <v/>
      </c>
      <c r="EN6">
        <f>EN5+IF(AND(EM6&lt;&gt;"",COUNTIF(EM$4:EM6,EM6)=1),1,0)</f>
        <v/>
      </c>
      <c r="EO6">
        <f>IF(ROW()-3&gt;MAX(EN$4:EN$40),"",INDEX(EM$4:EM$40,MATCH(ROW()-3,EN$4:EN$40,0)))</f>
        <v/>
      </c>
      <c r="EP6">
        <f>IF('Final Calculation Sheet'!$AB$6="","",'Final Calculation Sheet'!$AB$6)</f>
        <v/>
      </c>
      <c r="EQ6">
        <f>IF(EP6="","",COUNTIFS(EP$4:EP$40,"&lt;"&amp;EP6,EP$4:EP$40,"&lt;&gt;"&amp;"")+COUNTIF(EP$4:EP6,EP6))</f>
        <v/>
      </c>
      <c r="ER6">
        <f>IF(ROW()-3&gt;COUNTIF(EP$4:EP$40,"&lt;&gt;"&amp;""),"",INDEX(EP$4:EP$40,MATCH(ROW()-3,EQ$4:EQ$40,0)))</f>
        <v/>
      </c>
      <c r="ES6">
        <f>ES5+IF(AND(ER6&lt;&gt;"",COUNTIF(ER$4:ER6,ER6)=1),1,0)</f>
        <v/>
      </c>
      <c r="ET6">
        <f>IF(ROW()-3&gt;MAX(ES$4:ES$40),"",INDEX(ER$4:ER$40,MATCH(ROW()-3,ES$4:ES$40,0)))</f>
        <v/>
      </c>
      <c r="EU6" s="55">
        <f>IF('Final Calculation Sheet'!$AC$6="","",'Final Calculation Sheet'!$AC$6)</f>
        <v/>
      </c>
      <c r="EV6">
        <f>IF(EU6="","",COUNTIFS(EU$4:EU$40,"&lt;"&amp;EU6,EU$4:EU$40,"&lt;&gt;"&amp;"")+COUNTIF(EU$4:EU6,EU6))</f>
        <v/>
      </c>
      <c r="EW6" s="55">
        <f>IF(ROW()-3&gt;COUNTIF(EU$4:EU$40,"&lt;&gt;"&amp;""),"",INDEX(EU$4:EU$40,MATCH(ROW()-3,EV$4:EV$40,0)))</f>
        <v/>
      </c>
      <c r="EX6">
        <f>EX5+IF(AND(EW6&lt;&gt;"",COUNTIF(EW$4:EW6,EW6)=1),1,0)</f>
        <v/>
      </c>
      <c r="EY6" s="55">
        <f>IF(ROW()-3&gt;MAX(EX$4:EX$40),"",INDEX(EW$4:EW$40,MATCH(ROW()-3,EX$4:EX$40,0)))</f>
        <v/>
      </c>
      <c r="EZ6" s="55">
        <f>IF('Final Calculation Sheet'!$AD$6="","",'Final Calculation Sheet'!$AD$6)</f>
        <v/>
      </c>
      <c r="FA6">
        <f>IF(EZ6="","",COUNTIFS(EZ$4:EZ$40,"&lt;"&amp;EZ6,EZ$4:EZ$40,"&lt;&gt;"&amp;"")+COUNTIF(EZ$4:EZ6,EZ6))</f>
        <v/>
      </c>
      <c r="FB6" s="55">
        <f>IF(ROW()-3&gt;COUNTIF(EZ$4:EZ$40,"&lt;&gt;"&amp;""),"",INDEX(EZ$4:EZ$40,MATCH(ROW()-3,FA$4:FA$40,0)))</f>
        <v/>
      </c>
      <c r="FC6">
        <f>FC5+IF(AND(FB6&lt;&gt;"",COUNTIF(FB$4:FB6,FB6)=1),1,0)</f>
        <v/>
      </c>
      <c r="FD6" s="55">
        <f>IF(ROW()-3&gt;MAX(FC$4:FC$40),"",INDEX(FB$4:FB$40,MATCH(ROW()-3,FC$4:FC$40,0)))</f>
        <v/>
      </c>
      <c r="FE6">
        <f>IF('Final Calculation Sheet'!$AF$6="","",'Final Calculation Sheet'!$AF$6)</f>
        <v/>
      </c>
      <c r="FF6">
        <f>IF(FE6="","",COUNTIFS(FE$4:FE$40,"&lt;"&amp;FE6,FE$4:FE$40,"&lt;&gt;"&amp;"")+COUNTIF(FE$4:FE6,FE6))</f>
        <v/>
      </c>
      <c r="FG6">
        <f>IF(ROW()-3&gt;COUNTIF(FE$4:FE$40,"&lt;&gt;"&amp;""),"",INDEX(FE$4:FE$40,MATCH(ROW()-3,FF$4:FF$40,0)))</f>
        <v/>
      </c>
      <c r="FH6">
        <f>FH5+IF(AND(FG6&lt;&gt;"",COUNTIF(FG$4:FG6,FG6)=1),1,0)</f>
        <v/>
      </c>
      <c r="FI6">
        <f>IF(ROW()-3&gt;MAX(FH$4:FH$40),"",INDEX(FG$4:FG$40,MATCH(ROW()-3,FH$4:FH$40,0)))</f>
        <v/>
      </c>
      <c r="FJ6" s="141">
        <f>IF('Final Calculation Sheet'!$AG$6="","",'Final Calculation Sheet'!$AG$6)</f>
        <v/>
      </c>
      <c r="FK6">
        <f>IF(FJ6="","",COUNTIFS(FJ$4:FJ$40,"&lt;"&amp;FJ6,FJ$4:FJ$40,"&lt;&gt;"&amp;"")+COUNTIF(FJ$4:FJ6,FJ6))</f>
        <v/>
      </c>
      <c r="FL6" s="141">
        <f>IF(ROW()-3&gt;COUNTIF(FJ$4:FJ$40,"&lt;&gt;"&amp;""),"",INDEX(FJ$4:FJ$40,MATCH(ROW()-3,FK$4:FK$40,0)))</f>
        <v/>
      </c>
      <c r="FM6">
        <f>FM5+IF(AND(FL6&lt;&gt;"",COUNTIF(FL$4:FL6,FL6)=1),1,0)</f>
        <v/>
      </c>
      <c r="FN6">
        <f>IF(ROW()-3&gt;MAX(FM$4:FM$40),"",INDEX(FL$4:FL$40,MATCH(ROW()-3,FM$4:FM$40,0)))</f>
        <v/>
      </c>
      <c r="FO6">
        <f>IF('Final Calculation Sheet'!$AH$6="","",'Final Calculation Sheet'!$AH$6)</f>
        <v/>
      </c>
      <c r="FP6">
        <f>IF(FO6="","",COUNTIFS(FO$4:FO$40,"&lt;"&amp;FO6,FO$4:FO$40,"&lt;&gt;"&amp;"")+COUNTIF(FO$4:FO6,FO6))</f>
        <v/>
      </c>
      <c r="FQ6">
        <f>IF(ROW()-3&gt;COUNTIF(FO$4:FO$40,"&lt;&gt;"&amp;""),"",INDEX(FO$4:FO$40,MATCH(ROW()-3,FP$4:FP$40,0)))</f>
        <v/>
      </c>
      <c r="FR6">
        <f>FR5+IF(AND(FQ6&lt;&gt;"",COUNTIF(FQ$4:FQ6,FQ6)=1),1,0)</f>
        <v/>
      </c>
      <c r="FS6">
        <f>IF(ROW()-3&gt;MAX(FR$4:FR$40),"",INDEX(FQ$4:FQ$40,MATCH(ROW()-3,FR$4:FR$40,0)))</f>
        <v/>
      </c>
      <c r="FU6">
        <f>IF(FT6="","",COUNTIFS(FT$4:FT$40,"&lt;"&amp;FT6,FT$4:FT$40,"&lt;&gt;"&amp;"")+COUNTIF(FT$4:FT6,FT6))</f>
        <v/>
      </c>
      <c r="FV6">
        <f>IF(ROW()-3&gt;COUNTIF(FT$4:FT$40,"&lt;&gt;"&amp;""),"",INDEX(FT$4:FT$40,MATCH(ROW()-3,FU$4:FU$40,0)))</f>
        <v/>
      </c>
      <c r="FW6">
        <f>FW5+IF(AND(FV6&lt;&gt;"",COUNTIF(FV$4:FV6,FV6)=1),1,0)</f>
        <v/>
      </c>
      <c r="FX6">
        <f>IF(ROW()-3&gt;MAX(FW$4:FW$40),"",INDEX(FV$4:FV$40,MATCH(ROW()-3,FW$4:FW$40,0)))</f>
        <v/>
      </c>
      <c r="FY6">
        <f>IF(COUNTIF('Live Search'!BM$5:BO$5,0)+COUNTIF('Live Search'!BQ$5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6">
        <f>IF($Y$6="",FALSE,SUMPRODUCT(('Final Calculation Sheet'!$B$4:$B$40=$Y$6)*($FY$6:$FY$42=1))&gt;0)</f>
        <v/>
      </c>
      <c r="GA6">
        <f>$GA$5+--($FZ$6)</f>
        <v/>
      </c>
      <c r="GB6">
        <f>IF(ROW()-3&gt;MAX($GA$4:$GA$40),"",INDEX($Y$4:$Y$40,MATCH(ROW()-3,$GA$4:$GA$40,0)))</f>
        <v/>
      </c>
      <c r="GC6">
        <f>IF('Final Calculation Sheet'!$F$6="","",IF(TRIM('Final Calculation Sheet'!$G$2)="",'Final Calculation Sheet'!$F$6,IF(TRIM('Final Calculation Sheet'!$G$2)="(nonblank)",IF('Final Calculation Sheet'!$G$6&lt;&gt;"",'Final Calculation Sheet'!$F$6,""),IF(TRIM('Final Calculation Sheet'!$G$2)="(blank)",IF('Final Calculation Sheet'!$G$6="",'Final Calculation Sheet'!$F$6,""),IF(ISNUMBER(SEARCH(TRIM('Final Calculation Sheet'!$G$2),'Final Calculation Sheet'!$G$6)),'Final Calculation Sheet'!$F$6,"")))))</f>
        <v/>
      </c>
      <c r="GD6">
        <f>IF(GC6="","",COUNTIFS(GC$4:GC$40,"&lt;"&amp;GC6,GC$4:GC$40,"&lt;&gt;"&amp;"")+COUNTIF(GC$4:GC6,GC6))</f>
        <v/>
      </c>
      <c r="GE6">
        <f>IF(ROW()-3&gt;COUNTIF(GC$4:GC$40,"&lt;&gt;"&amp;""),"",INDEX(GC$4:GC$40,MATCH(ROW()-3,GD$4:GD$40,0)))</f>
        <v/>
      </c>
      <c r="GF6">
        <f>GF5+IF(AND(GE6&lt;&gt;"",COUNTIF(GE$4:GE6,GE6)=1),1,0)</f>
        <v/>
      </c>
      <c r="GG6">
        <f>IF(ROW()-3&gt;MAX(GF$4:GF$40),"",INDEX(GE$4:GE$40,MATCH(ROW()-3,GF$4:GF$40,0)))</f>
        <v/>
      </c>
      <c r="GH6">
        <f>IF('Final Calculation Sheet'!$F$6="","",IF('Live Search'!$BO$7=1,'Final Calculation Sheet'!$F$6,""))</f>
        <v/>
      </c>
      <c r="GI6">
        <f>IF(GH6="","",COUNTIFS(GH$4:GH$40,"&lt;"&amp;GH6,GH$4:GH$40,"&lt;&gt;"&amp;"")+COUNTIF(GH$4:GH6,GH6))</f>
        <v/>
      </c>
      <c r="GJ6">
        <f>IF(ROW()-3&gt;COUNTIF(GH$4:GH$40,"&lt;&gt;"&amp;""),"",INDEX(GH$4:GH$40,MATCH(ROW()-3,GI$4:GI$40,0)))</f>
        <v/>
      </c>
      <c r="GK6">
        <f>GK5+IF(AND(GJ6&lt;&gt;"",COUNTIF(GJ$4:GJ6,GJ6)=1),1,0)</f>
        <v/>
      </c>
      <c r="GL6">
        <f>IF(ROW()-3&gt;MAX(GK$4:GK$40),"",INDEX(GJ$4:GJ$40,MATCH(ROW()-3,GK$4:GK$40,0)))</f>
        <v/>
      </c>
      <c r="GM6">
        <f>IF('Final Calculation Sheet'!$F$6="","",IF(TRIM('Buyer Groups'!$C$4)="",'Final Calculation Sheet'!$F$6,IF(TRIM('Buyer Groups'!$C$4)="(nonblank)",IF('Final Calculation Sheet'!$G$6&lt;&gt;"",'Final Calculation Sheet'!$F$6,""),IF(TRIM('Buyer Groups'!$C$4)="(blank)",IF('Final Calculation Sheet'!$G$6="",'Final Calculation Sheet'!$F$6,""),IF(ISNUMBER(SEARCH(TRIM('Buyer Groups'!$C$4),'Final Calculation Sheet'!$G$6)),'Final Calculation Sheet'!$F$6,"")))))</f>
        <v/>
      </c>
      <c r="GN6">
        <f>IF(GM6="","",COUNTIFS(GM$4:GM$40,"&lt;"&amp;GM6,GM$4:GM$40,"&lt;&gt;"&amp;"")+COUNTIF(GM$4:GM6,GM6))</f>
        <v/>
      </c>
      <c r="GO6">
        <f>IF(ROW()-3&gt;COUNTIF(GM$4:GM$40,"&lt;&gt;"&amp;""),"",INDEX(GM$4:GM$40,MATCH(ROW()-3,GN$4:GN$40,0)))</f>
        <v/>
      </c>
      <c r="GP6">
        <f>GP5+IF(AND(GO6&lt;&gt;"",COUNTIF(GO$4:GO6,GO6)=1),1,0)</f>
        <v/>
      </c>
      <c r="GQ6">
        <f>IF(ROW()-3&gt;MAX(GP$4:GP$40),"",INDEX(GO$4:GO$40,MATCH(ROW()-3,GP$4:GP$40,0)))</f>
        <v/>
      </c>
      <c r="GR6">
        <f>IF('Final Calculation Sheet'!$B$6="","",IF(TRIM('Final Calculation Sheet'!$G$2)="",'Final Calculation Sheet'!$B$6,IF(TRIM('Final Calculation Sheet'!$G$2)="(nonblank)",IF('Final Calculation Sheet'!$G$6&lt;&gt;"",'Final Calculation Sheet'!$B$6,""),IF(TRIM('Final Calculation Sheet'!$G$2)="(blank)",IF('Final Calculation Sheet'!$G$6="",'Final Calculation Sheet'!$B$6,""),IF(ISNUMBER(SEARCH(TRIM('Final Calculation Sheet'!$G$2),'Final Calculation Sheet'!$G$6)),'Final Calculation Sheet'!$B$6,"")))))</f>
        <v/>
      </c>
      <c r="GS6">
        <f>IF(GR6="","",COUNTIFS(GR$4:GR$40,"&lt;"&amp;GR6,GR$4:GR$40,"&lt;&gt;"&amp;"")+COUNTIF(GR$4:GR6,GR6))</f>
        <v/>
      </c>
      <c r="GT6">
        <f>IF(ROW()-3&gt;COUNTIF(GR$4:GR$40,"&lt;&gt;"&amp;""),"",INDEX(GR$4:GR$40,MATCH(ROW()-3,GS$4:GS$40,0)))</f>
        <v/>
      </c>
      <c r="GU6">
        <f>GU5+IF(AND(GT6&lt;&gt;"",COUNTIF(GT$4:GT6,GT6)=1),1,0)</f>
        <v/>
      </c>
      <c r="GV6">
        <f>IF(ROW()-3&gt;MAX(GU$4:GU$40),"",INDEX(GT$4:GT$40,MATCH(ROW()-3,GU$4:GU$40,0)))</f>
        <v/>
      </c>
      <c r="GW6">
        <f>IF('Final Calculation Sheet'!$B$6="","",IF(TRIM('Buyer Groups'!$C$4)="",'Final Calculation Sheet'!$B$6,IF(TRIM('Buyer Groups'!$C$4)="(nonblank)",IF('Final Calculation Sheet'!$G$6&lt;&gt;"",'Final Calculation Sheet'!$B$6,""),IF(TRIM('Buyer Groups'!$C$4)="(blank)",IF('Final Calculation Sheet'!$G$6="",'Final Calculation Sheet'!$B$6,""),IF(ISNUMBER(SEARCH(TRIM('Buyer Groups'!$C$4),'Final Calculation Sheet'!$G$6)),'Final Calculation Sheet'!$B$6,"")))))</f>
        <v/>
      </c>
      <c r="GX6">
        <f>IF(GW6="","",COUNTIFS(GW$4:GW$40,"&lt;"&amp;GW6,GW$4:GW$40,"&lt;&gt;"&amp;"")+COUNTIF(GW$4:GW6,GW6))</f>
        <v/>
      </c>
      <c r="GY6">
        <f>IF(ROW()-3&gt;COUNTIF(GW$4:GW$40,"&lt;&gt;"&amp;""),"",INDEX(GW$4:GW$40,MATCH(ROW()-3,GX$4:GX$40,0)))</f>
        <v/>
      </c>
      <c r="GZ6">
        <f>GZ5+IF(AND(GY6&lt;&gt;"",COUNTIF(GY$4:GY6,GY6)=1),1,0)</f>
        <v/>
      </c>
      <c r="HA6">
        <f>IF(ROW()-3&gt;MAX(GZ$4:GZ$40),"",INDEX(GY$4:GY$40,MATCH(ROW()-3,GZ$4:GZ$40,0)))</f>
        <v/>
      </c>
    </row>
    <row r="7">
      <c r="A7">
        <f>IF('Final Calculation Sheet'!$F$7="","",'Final Calculation Sheet'!$F$7)</f>
        <v/>
      </c>
      <c r="B7">
        <f>IF(A7="","",COUNTIFS(A$4:A$114,"&lt;"&amp;A7,A$4:A$114,"&lt;&gt;"&amp;"")+COUNTIF(A$4:A7,A7))</f>
        <v/>
      </c>
      <c r="C7">
        <f>IF(ROW()-3&gt;COUNTIF(A$4:A$114,"&lt;&gt;"&amp;""),"",INDEX(A$4:A$114,MATCH(ROW()-3,B$4:B$114,0)))</f>
        <v/>
      </c>
      <c r="D7">
        <f>D6+IF(AND(C7&lt;&gt;"",COUNTIF(C$4:C7,C7)=1),1,0)</f>
        <v/>
      </c>
      <c r="E7">
        <f>IF(ROW()-3&gt;MAX(D$4:D$114),"",INDEX(C$4:C$114,MATCH(ROW()-3,D$4:D$114,0)))</f>
        <v/>
      </c>
      <c r="F7">
        <f>ROW()-3</f>
        <v/>
      </c>
      <c r="G7">
        <f>IF(F7="","",COUNTIFS(F$4:F$40,"&lt;"&amp;F7,F$4:F$40,"&lt;&gt;"&amp;"")+COUNTIF(F$4:F7,F7))</f>
        <v/>
      </c>
      <c r="H7">
        <f>IF(ROW()-3&gt;COUNTIF(F$4:F$40,"&lt;&gt;"&amp;""),"",INDEX(F$4:F$40,MATCH(ROW()-3,G$4:G$40,0)))</f>
        <v/>
      </c>
      <c r="I7">
        <f>I6+IF(AND(H7&lt;&gt;"",COUNTIF(H$4:H7,H7)=1),1,0)</f>
        <v/>
      </c>
      <c r="J7">
        <f>IF(ROW()-3&gt;MAX(I$4:I$40),"",INDEX(H$4:H$40,MATCH(ROW()-3,I$4:I$40,0)))</f>
        <v/>
      </c>
      <c r="K7">
        <f>IF('Final Calculation Sheet'!$F$7="","",'Final Calculation Sheet'!$F$7)</f>
        <v/>
      </c>
      <c r="L7">
        <f>IF(K7="","",COUNTIFS(K$4:K$40,"&lt;"&amp;K7,K$4:K$40,"&lt;&gt;"&amp;"")+COUNTIF(K$4:K7,K7))</f>
        <v/>
      </c>
      <c r="M7">
        <f>IF(ROW()-3&gt;COUNTIF(K$4:K$40,"&lt;&gt;"&amp;""),"",INDEX(K$4:K$40,MATCH(ROW()-3,L$4:L$40,0)))</f>
        <v/>
      </c>
      <c r="N7">
        <f>N6+IF(AND(M7&lt;&gt;"",COUNTIF(M$4:M7,M7)=1),1,0)</f>
        <v/>
      </c>
      <c r="O7">
        <f>IF(ROW()-3&gt;MAX(N$4:N$40),"",INDEX(M$4:M$40,MATCH(ROW()-3,N$4:N$40,0)))</f>
        <v/>
      </c>
      <c r="P7">
        <f>IF('Final Calculation Sheet'!$G$7="","",'Final Calculation Sheet'!$G$7)</f>
        <v/>
      </c>
      <c r="Q7">
        <f>IF(P7="","",COUNTIFS(P$4:P$40,"&lt;"&amp;P7,P$4:P$40,"&lt;&gt;"&amp;"")+COUNTIF(P$4:P7,P7))</f>
        <v/>
      </c>
      <c r="R7">
        <f>IF(ROW()-3&gt;COUNTIF(P$4:P$40,"&lt;&gt;"&amp;""),"",INDEX(P$4:P$40,MATCH(ROW()-3,Q$4:Q$40,0)))</f>
        <v/>
      </c>
      <c r="S7">
        <f>S6+IF(AND(R7&lt;&gt;"",COUNTIF(R$4:R7,R7)=1),1,0)</f>
        <v/>
      </c>
      <c r="T7">
        <f>IF(ROW()-3&gt;MAX(S$4:S$40),"",INDEX(R$4:R$40,MATCH(ROW()-3,S$4:S$40,0)))</f>
        <v/>
      </c>
      <c r="U7">
        <f>IF('Final Calculation Sheet'!$B$7="","",'Final Calculation Sheet'!$B$7)</f>
        <v/>
      </c>
      <c r="V7">
        <f>IF(U7="","",COUNTIFS(U$4:U$40,"&lt;"&amp;U7,U$4:U$40,"&lt;&gt;"&amp;"")+COUNTIF(U$4:U7,U7))</f>
        <v/>
      </c>
      <c r="W7">
        <f>IF(ROW()-3&gt;COUNTIF(U$4:U$40,"&lt;&gt;"&amp;""),"",INDEX(U$4:U$40,MATCH(ROW()-3,V$4:V$40,0)))</f>
        <v/>
      </c>
      <c r="X7">
        <f>X6+IF(AND(W7&lt;&gt;"",COUNTIF(W$4:W7,W7)=1),1,0)</f>
        <v/>
      </c>
      <c r="Y7">
        <f>IF(ROW()-3&gt;MAX(X$4:X$40),"",INDEX(W$4:W$40,MATCH(ROW()-3,X$4:X$40,0)))</f>
        <v/>
      </c>
      <c r="Z7">
        <f>IF('Final Calculation Sheet'!$D$7="","",'Final Calculation Sheet'!$D$7)</f>
        <v/>
      </c>
      <c r="AA7">
        <f>IF(Z7="","",COUNTIFS(Z$4:Z$40,"&lt;"&amp;Z7,Z$4:Z$40,"&lt;&gt;"&amp;"")+COUNTIF(Z$4:Z7,Z7))</f>
        <v/>
      </c>
      <c r="AB7">
        <f>IF(ROW()-3&gt;COUNTIF(Z$4:Z$40,"&lt;&gt;"&amp;""),"",INDEX(Z$4:Z$40,MATCH(ROW()-3,AA$4:AA$40,0)))</f>
        <v/>
      </c>
      <c r="AC7">
        <f>AC6+IF(AND(AB7&lt;&gt;"",COUNTIF(AB$4:AB7,AB7)=1),1,0)</f>
        <v/>
      </c>
      <c r="AD7">
        <f>IF(ROW()-3&gt;MAX(AC$4:AC$40),"",INDEX(AB$4:AB$40,MATCH(ROW()-3,AC$4:AC$40,0)))</f>
        <v/>
      </c>
      <c r="AE7">
        <f>IF('Final Calculation Sheet'!$A$7="","",'Final Calculation Sheet'!$A$7)</f>
        <v/>
      </c>
      <c r="AF7">
        <f>IF(AE7="","",COUNTIFS(AE$4:AE$40,"&lt;"&amp;AE7,AE$4:AE$40,"&lt;&gt;"&amp;"")+COUNTIF(AE$4:AE7,AE7))</f>
        <v/>
      </c>
      <c r="AG7">
        <f>IF(ROW()-3&gt;COUNTIF(AE$4:AE$40,"&lt;&gt;"&amp;""),"",INDEX(AE$4:AE$40,MATCH(ROW()-3,AF$4:AF$40,0)))</f>
        <v/>
      </c>
      <c r="AH7">
        <f>AH6+IF(AND(AG7&lt;&gt;"",COUNTIF(AG$4:AG7,AG7)=1),1,0)</f>
        <v/>
      </c>
      <c r="AI7">
        <f>IF(ROW()-3&gt;MAX(AH$4:AH$40),"",INDEX(AG$4:AG$40,MATCH(ROW()-3,AH$4:AH$40,0)))</f>
        <v/>
      </c>
      <c r="AJ7">
        <f>IF('Final Calculation Sheet'!$E$7="","",'Final Calculation Sheet'!$E$7)</f>
        <v/>
      </c>
      <c r="AK7">
        <f>IF(AJ7="","",COUNTIFS(AJ$4:AJ$40,"&lt;"&amp;AJ7,AJ$4:AJ$40,"&lt;&gt;"&amp;"")+COUNTIF(AJ$4:AJ7,AJ7))</f>
        <v/>
      </c>
      <c r="AL7">
        <f>IF(ROW()-3&gt;COUNTIF(AJ$4:AJ$40,"&lt;&gt;"&amp;""),"",INDEX(AJ$4:AJ$40,MATCH(ROW()-3,AK$4:AK$40,0)))</f>
        <v/>
      </c>
      <c r="AM7">
        <f>AM6+IF(AND(AL7&lt;&gt;"",COUNTIF(AL$4:AL7,AL7)=1),1,0)</f>
        <v/>
      </c>
      <c r="AN7">
        <f>IF(ROW()-3&gt;MAX(AM$4:AM$40),"",INDEX(AL$4:AL$40,MATCH(ROW()-3,AM$4:AM$40,0)))</f>
        <v/>
      </c>
      <c r="AO7" s="55">
        <f>IF('Final Calculation Sheet'!$C$7="","",'Final Calculation Sheet'!$C$7)</f>
        <v/>
      </c>
      <c r="AP7">
        <f>IF(AO7="","",COUNTIFS(AO$4:AO$40,"&lt;"&amp;AO7,AO$4:AO$40,"&lt;&gt;"&amp;"")+COUNTIF(AO$4:AO7,AO7))</f>
        <v/>
      </c>
      <c r="AQ7" s="55">
        <f>IF(ROW()-3&gt;COUNTIF(AO$4:AO$40,"&lt;&gt;"&amp;""),"",INDEX(AO$4:AO$40,MATCH(ROW()-3,AP$4:AP$40,0)))</f>
        <v/>
      </c>
      <c r="AR7">
        <f>AR6+IF(AND(AQ7&lt;&gt;"",COUNTIF(AQ$4:AQ7,AQ7)=1),1,0)</f>
        <v/>
      </c>
      <c r="AS7" s="55">
        <f>IF(ROW()-3&gt;MAX(AR$4:AR$40),"",INDEX(AQ$4:AQ$40,MATCH(ROW()-3,AR$4:AR$40,0)))</f>
        <v/>
      </c>
      <c r="AT7" s="55">
        <f>IF('Final Calculation Sheet'!$H$7="","",'Final Calculation Sheet'!$H$7)</f>
        <v/>
      </c>
      <c r="AU7">
        <f>IF(AT7="","",COUNTIFS(AT$4:AT$40,"&lt;"&amp;AT7,AT$4:AT$40,"&lt;&gt;"&amp;"")+COUNTIF(AT$4:AT7,AT7))</f>
        <v/>
      </c>
      <c r="AV7" s="55">
        <f>IF(ROW()-3&gt;COUNTIF(AT$4:AT$40,"&lt;&gt;"&amp;""),"",INDEX(AT$4:AT$40,MATCH(ROW()-3,AU$4:AU$40,0)))</f>
        <v/>
      </c>
      <c r="AW7">
        <f>AW6+IF(AND(AV7&lt;&gt;"",COUNTIF(AV$4:AV7,AV7)=1),1,0)</f>
        <v/>
      </c>
      <c r="AX7" s="55">
        <f>IF(ROW()-3&gt;MAX(AW$4:AW$40),"",INDEX(AV$4:AV$40,MATCH(ROW()-3,AW$4:AW$40,0)))</f>
        <v/>
      </c>
      <c r="AY7" s="55">
        <f>IF('Final Calculation Sheet'!$I$7="","",'Final Calculation Sheet'!$I$7)</f>
        <v/>
      </c>
      <c r="AZ7">
        <f>IF(AY7="","",COUNTIFS(AY$4:AY$40,"&lt;"&amp;AY7,AY$4:AY$40,"&lt;&gt;"&amp;"")+COUNTIF(AY$4:AY7,AY7))</f>
        <v/>
      </c>
      <c r="BA7" s="55">
        <f>IF(ROW()-3&gt;COUNTIF(AY$4:AY$40,"&lt;&gt;"&amp;""),"",INDEX(AY$4:AY$40,MATCH(ROW()-3,AZ$4:AZ$40,0)))</f>
        <v/>
      </c>
      <c r="BB7">
        <f>BB6+IF(AND(BA7&lt;&gt;"",COUNTIF(BA$4:BA7,BA7)=1),1,0)</f>
        <v/>
      </c>
      <c r="BC7" s="55">
        <f>IF(ROW()-3&gt;MAX(BB$4:BB$40),"",INDEX(BA$4:BA$40,MATCH(ROW()-3,BB$4:BB$40,0)))</f>
        <v/>
      </c>
      <c r="BD7" s="55">
        <f>IF('Final Calculation Sheet'!$J$7="","",'Final Calculation Sheet'!$J$7)</f>
        <v/>
      </c>
      <c r="BE7">
        <f>IF(BD7="","",COUNTIFS(BD$4:BD$40,"&lt;"&amp;BD7,BD$4:BD$40,"&lt;&gt;"&amp;"")+COUNTIF(BD$4:BD7,BD7))</f>
        <v/>
      </c>
      <c r="BF7" s="55">
        <f>IF(ROW()-3&gt;COUNTIF(BD$4:BD$40,"&lt;&gt;"&amp;""),"",INDEX(BD$4:BD$40,MATCH(ROW()-3,BE$4:BE$40,0)))</f>
        <v/>
      </c>
      <c r="BG7">
        <f>BG6+IF(AND(BF7&lt;&gt;"",COUNTIF(BF$4:BF7,BF7)=1),1,0)</f>
        <v/>
      </c>
      <c r="BH7" s="55">
        <f>IF(ROW()-3&gt;MAX(BG$4:BG$40),"",INDEX(BF$4:BF$40,MATCH(ROW()-3,BG$4:BG$40,0)))</f>
        <v/>
      </c>
      <c r="BI7" s="55">
        <f>IF('Final Calculation Sheet'!$K$7="","",'Final Calculation Sheet'!$K$7)</f>
        <v/>
      </c>
      <c r="BJ7">
        <f>IF(BI7="","",COUNTIFS(BI$4:BI$40,"&lt;"&amp;BI7,BI$4:BI$40,"&lt;&gt;"&amp;"")+COUNTIF(BI$4:BI7,BI7))</f>
        <v/>
      </c>
      <c r="BK7" s="55">
        <f>IF(ROW()-3&gt;COUNTIF(BI$4:BI$40,"&lt;&gt;"&amp;""),"",INDEX(BI$4:BI$40,MATCH(ROW()-3,BJ$4:BJ$40,0)))</f>
        <v/>
      </c>
      <c r="BL7">
        <f>BL6+IF(AND(BK7&lt;&gt;"",COUNTIF(BK$4:BK7,BK7)=1),1,0)</f>
        <v/>
      </c>
      <c r="BM7" s="55">
        <f>IF(ROW()-3&gt;MAX(BL$4:BL$40),"",INDEX(BK$4:BK$40,MATCH(ROW()-3,BL$4:BL$40,0)))</f>
        <v/>
      </c>
      <c r="BN7" s="55">
        <f>IF('Final Calculation Sheet'!$L$7="","",'Final Calculation Sheet'!$L$7)</f>
        <v/>
      </c>
      <c r="BO7">
        <f>IF(BN7="","",COUNTIFS(BN$4:BN$40,"&lt;"&amp;BN7,BN$4:BN$40,"&lt;&gt;"&amp;"")+COUNTIF(BN$4:BN7,BN7))</f>
        <v/>
      </c>
      <c r="BP7" s="55">
        <f>IF(ROW()-3&gt;COUNTIF(BN$4:BN$40,"&lt;&gt;"&amp;""),"",INDEX(BN$4:BN$40,MATCH(ROW()-3,BO$4:BO$40,0)))</f>
        <v/>
      </c>
      <c r="BQ7">
        <f>BQ6+IF(AND(BP7&lt;&gt;"",COUNTIF(BP$4:BP7,BP7)=1),1,0)</f>
        <v/>
      </c>
      <c r="BR7" s="55">
        <f>IF(ROW()-3&gt;MAX(BQ$4:BQ$40),"",INDEX(BP$4:BP$40,MATCH(ROW()-3,BQ$4:BQ$40,0)))</f>
        <v/>
      </c>
      <c r="BS7" s="55">
        <f>IF('Final Calculation Sheet'!$M$7="","",'Final Calculation Sheet'!$M$7)</f>
        <v/>
      </c>
      <c r="BT7">
        <f>IF(BS7="","",COUNTIFS(BS$4:BS$40,"&lt;"&amp;BS7,BS$4:BS$40,"&lt;&gt;"&amp;"")+COUNTIF(BS$4:BS7,BS7))</f>
        <v/>
      </c>
      <c r="BU7" s="55">
        <f>IF(ROW()-3&gt;COUNTIF(BS$4:BS$40,"&lt;&gt;"&amp;""),"",INDEX(BS$4:BS$40,MATCH(ROW()-3,BT$4:BT$40,0)))</f>
        <v/>
      </c>
      <c r="BV7">
        <f>BV6+IF(AND(BU7&lt;&gt;"",COUNTIF(BU$4:BU7,BU7)=1),1,0)</f>
        <v/>
      </c>
      <c r="BW7" s="55">
        <f>IF(ROW()-3&gt;MAX(BV$4:BV$40),"",INDEX(BU$4:BU$40,MATCH(ROW()-3,BV$4:BV$40,0)))</f>
        <v/>
      </c>
      <c r="BX7" s="138">
        <f>IF('Final Calculation Sheet'!$N$7="","",'Final Calculation Sheet'!$N$7)</f>
        <v/>
      </c>
      <c r="BY7">
        <f>IF(BX7="","",COUNTIFS(BX$4:BX$40,"&lt;"&amp;BX7,BX$4:BX$40,"&lt;&gt;"&amp;"")+COUNTIF(BX$4:BX7,BX7))</f>
        <v/>
      </c>
      <c r="BZ7" s="138">
        <f>IF(ROW()-3&gt;COUNTIF(BX$4:BX$40,"&lt;&gt;"&amp;""),"",INDEX(BX$4:BX$40,MATCH(ROW()-3,BY$4:BY$40,0)))</f>
        <v/>
      </c>
      <c r="CA7">
        <f>CA6+IF(AND(BZ7&lt;&gt;"",COUNTIF(BZ$4:BZ7,BZ7)=1),1,0)</f>
        <v/>
      </c>
      <c r="CB7" s="138">
        <f>IF(ROW()-3&gt;MAX(CA$4:CA$40),"",INDEX(BZ$4:BZ$40,MATCH(ROW()-3,CA$4:CA$40,0)))</f>
        <v/>
      </c>
      <c r="CC7" s="55">
        <f>IF('Final Calculation Sheet'!$O$7="","",'Final Calculation Sheet'!$O$7)</f>
        <v/>
      </c>
      <c r="CD7">
        <f>IF(CC7="","",COUNTIFS(CC$4:CC$40,"&lt;"&amp;CC7,CC$4:CC$40,"&lt;&gt;"&amp;"")+COUNTIF(CC$4:CC7,CC7))</f>
        <v/>
      </c>
      <c r="CE7" s="55">
        <f>IF(ROW()-3&gt;COUNTIF(CC$4:CC$40,"&lt;&gt;"&amp;""),"",INDEX(CC$4:CC$40,MATCH(ROW()-3,CD$4:CD$40,0)))</f>
        <v/>
      </c>
      <c r="CF7">
        <f>CF6+IF(AND(CE7&lt;&gt;"",COUNTIF(CE$4:CE7,CE7)=1),1,0)</f>
        <v/>
      </c>
      <c r="CG7" s="55">
        <f>IF(ROW()-3&gt;MAX(CF$4:CF$40),"",INDEX(CE$4:CE$40,MATCH(ROW()-3,CF$4:CF$40,0)))</f>
        <v/>
      </c>
      <c r="CH7" s="55">
        <f>IF('Final Calculation Sheet'!$P$7="","",'Final Calculation Sheet'!$P$7)</f>
        <v/>
      </c>
      <c r="CI7">
        <f>IF(CH7="","",COUNTIFS(CH$4:CH$40,"&lt;"&amp;CH7,CH$4:CH$40,"&lt;&gt;"&amp;"")+COUNTIF(CH$4:CH7,CH7))</f>
        <v/>
      </c>
      <c r="CJ7" s="55">
        <f>IF(ROW()-3&gt;COUNTIF(CH$4:CH$40,"&lt;&gt;"&amp;""),"",INDEX(CH$4:CH$40,MATCH(ROW()-3,CI$4:CI$40,0)))</f>
        <v/>
      </c>
      <c r="CK7">
        <f>CK6+IF(AND(CJ7&lt;&gt;"",COUNTIF(CJ$4:CJ7,CJ7)=1),1,0)</f>
        <v/>
      </c>
      <c r="CL7" s="55">
        <f>IF(ROW()-3&gt;MAX(CK$4:CK$40),"",INDEX(CJ$4:CJ$40,MATCH(ROW()-3,CK$4:CK$40,0)))</f>
        <v/>
      </c>
      <c r="CM7" s="139">
        <f>IF('Final Calculation Sheet'!$Q$7="","",'Final Calculation Sheet'!$Q$7)</f>
        <v/>
      </c>
      <c r="CN7">
        <f>IF(CM7="","",COUNTIFS(CM$4:CM$40,"&lt;"&amp;CM7,CM$4:CM$40,"&lt;&gt;"&amp;"")+COUNTIF(CM$4:CM7,CM7))</f>
        <v/>
      </c>
      <c r="CO7" s="139">
        <f>IF(ROW()-3&gt;COUNTIF(CM$4:CM$40,"&lt;&gt;"&amp;""),"",INDEX(CM$4:CM$40,MATCH(ROW()-3,CN$4:CN$40,0)))</f>
        <v/>
      </c>
      <c r="CP7">
        <f>CP6+IF(AND(CO7&lt;&gt;"",COUNTIF(CO$4:CO7,CO7)=1),1,0)</f>
        <v/>
      </c>
      <c r="CQ7">
        <f>IF(ROW()-3&gt;MAX(CP$4:CP$40),"",INDEX(CO$4:CO$40,MATCH(ROW()-3,CP$4:CP$40,0)))</f>
        <v/>
      </c>
      <c r="CR7" s="55">
        <f>IF('Final Calculation Sheet'!$R$7="","",'Final Calculation Sheet'!$R$7)</f>
        <v/>
      </c>
      <c r="CS7">
        <f>IF(CR7="","",COUNTIFS(CR$4:CR$40,"&lt;"&amp;CR7,CR$4:CR$40,"&lt;&gt;"&amp;"")+COUNTIF(CR$4:CR7,CR7))</f>
        <v/>
      </c>
      <c r="CT7" s="55">
        <f>IF(ROW()-3&gt;COUNTIF(CR$4:CR$40,"&lt;&gt;"&amp;""),"",INDEX(CR$4:CR$40,MATCH(ROW()-3,CS$4:CS$40,0)))</f>
        <v/>
      </c>
      <c r="CU7">
        <f>CU6+IF(AND(CT7&lt;&gt;"",COUNTIF(CT$4:CT7,CT7)=1),1,0)</f>
        <v/>
      </c>
      <c r="CV7" s="55">
        <f>IF(ROW()-3&gt;MAX(CU$4:CU$40),"",INDEX(CT$4:CT$40,MATCH(ROW()-3,CU$4:CU$40,0)))</f>
        <v/>
      </c>
      <c r="CW7" s="55">
        <f>IF('Final Calculation Sheet'!$S$7="","",'Final Calculation Sheet'!$S$7)</f>
        <v/>
      </c>
      <c r="CX7">
        <f>IF(CW7="","",COUNTIFS(CW$4:CW$40,"&lt;"&amp;CW7,CW$4:CW$40,"&lt;&gt;"&amp;"")+COUNTIF(CW$4:CW7,CW7))</f>
        <v/>
      </c>
      <c r="CY7" s="55">
        <f>IF(ROW()-3&gt;COUNTIF(CW$4:CW$40,"&lt;&gt;"&amp;""),"",INDEX(CW$4:CW$40,MATCH(ROW()-3,CX$4:CX$40,0)))</f>
        <v/>
      </c>
      <c r="CZ7">
        <f>CZ6+IF(AND(CY7&lt;&gt;"",COUNTIF(CY$4:CY7,CY7)=1),1,0)</f>
        <v/>
      </c>
      <c r="DA7" s="55">
        <f>IF(ROW()-3&gt;MAX(CZ$4:CZ$40),"",INDEX(CY$4:CY$40,MATCH(ROW()-3,CZ$4:CZ$40,0)))</f>
        <v/>
      </c>
      <c r="DB7" s="55">
        <f>IF('Final Calculation Sheet'!$T$7="","",'Final Calculation Sheet'!$T$7)</f>
        <v/>
      </c>
      <c r="DC7">
        <f>IF(DB7="","",COUNTIFS(DB$4:DB$40,"&lt;"&amp;DB7,DB$4:DB$40,"&lt;&gt;"&amp;"")+COUNTIF(DB$4:DB7,DB7))</f>
        <v/>
      </c>
      <c r="DD7" s="55">
        <f>IF(ROW()-3&gt;COUNTIF(DB$4:DB$40,"&lt;&gt;"&amp;""),"",INDEX(DB$4:DB$40,MATCH(ROW()-3,DC$4:DC$40,0)))</f>
        <v/>
      </c>
      <c r="DE7">
        <f>DE6+IF(AND(DD7&lt;&gt;"",COUNTIF(DD$4:DD7,DD7)=1),1,0)</f>
        <v/>
      </c>
      <c r="DF7" s="55">
        <f>IF(ROW()-3&gt;MAX(DE$4:DE$40),"",INDEX(DD$4:DD$40,MATCH(ROW()-3,DE$4:DE$40,0)))</f>
        <v/>
      </c>
      <c r="DG7" s="140">
        <f>IF('Final Calculation Sheet'!$U$7="","",'Final Calculation Sheet'!$U$7)</f>
        <v/>
      </c>
      <c r="DH7">
        <f>IF(DG7="","",COUNTIFS(DG$4:DG$40,"&lt;"&amp;DG7,DG$4:DG$40,"&lt;&gt;"&amp;"")+COUNTIF(DG$4:DG7,DG7))</f>
        <v/>
      </c>
      <c r="DI7" s="140">
        <f>IF(ROW()-3&gt;COUNTIF(DG$4:DG$40,"&lt;&gt;"&amp;""),"",INDEX(DG$4:DG$40,MATCH(ROW()-3,DH$4:DH$40,0)))</f>
        <v/>
      </c>
      <c r="DJ7">
        <f>DJ6+IF(AND(DI7&lt;&gt;"",COUNTIF(DI$4:DI7,DI7)=1),1,0)</f>
        <v/>
      </c>
      <c r="DK7" s="140">
        <f>IF(ROW()-3&gt;MAX(DJ$4:DJ$40),"",INDEX(DI$4:DI$40,MATCH(ROW()-3,DJ$4:DJ$40,0)))</f>
        <v/>
      </c>
      <c r="DL7">
        <f>IF('Final Calculation Sheet'!$V$7="","",'Final Calculation Sheet'!$V$7)</f>
        <v/>
      </c>
      <c r="DM7">
        <f>IF(DL7="","",COUNTIFS(DL$4:DL$40,"&lt;"&amp;DL7,DL$4:DL$40,"&lt;&gt;"&amp;"")+COUNTIF(DL$4:DL7,DL7))</f>
        <v/>
      </c>
      <c r="DN7">
        <f>IF(ROW()-3&gt;COUNTIF(DL$4:DL$40,"&lt;&gt;"&amp;""),"",INDEX(DL$4:DL$40,MATCH(ROW()-3,DM$4:DM$40,0)))</f>
        <v/>
      </c>
      <c r="DO7">
        <f>DO6+IF(AND(DN7&lt;&gt;"",COUNTIF(DN$4:DN7,DN7)=1),1,0)</f>
        <v/>
      </c>
      <c r="DP7">
        <f>IF(ROW()-3&gt;MAX(DO$4:DO$40),"",INDEX(DN$4:DN$40,MATCH(ROW()-3,DO$4:DO$40,0)))</f>
        <v/>
      </c>
      <c r="DQ7" s="55">
        <f>IF('Final Calculation Sheet'!$W$7="","",'Final Calculation Sheet'!$W$7)</f>
        <v/>
      </c>
      <c r="DR7">
        <f>IF(DQ7="","",COUNTIFS(DQ$4:DQ$40,"&lt;"&amp;DQ7,DQ$4:DQ$40,"&lt;&gt;"&amp;"")+COUNTIF(DQ$4:DQ7,DQ7))</f>
        <v/>
      </c>
      <c r="DS7" s="55">
        <f>IF(ROW()-3&gt;COUNTIF(DQ$4:DQ$40,"&lt;&gt;"&amp;""),"",INDEX(DQ$4:DQ$40,MATCH(ROW()-3,DR$4:DR$40,0)))</f>
        <v/>
      </c>
      <c r="DT7">
        <f>DT6+IF(AND(DS7&lt;&gt;"",COUNTIF(DS$4:DS7,DS7)=1),1,0)</f>
        <v/>
      </c>
      <c r="DU7" s="55">
        <f>IF(ROW()-3&gt;MAX(DT$4:DT$40),"",INDEX(DS$4:DS$40,MATCH(ROW()-3,DT$4:DT$40,0)))</f>
        <v/>
      </c>
      <c r="DV7" s="55">
        <f>IF('Final Calculation Sheet'!$X$7="","",'Final Calculation Sheet'!$X$7)</f>
        <v/>
      </c>
      <c r="DW7">
        <f>IF(DV7="","",COUNTIFS(DV$4:DV$40,"&lt;"&amp;DV7,DV$4:DV$40,"&lt;&gt;"&amp;"")+COUNTIF(DV$4:DV7,DV7))</f>
        <v/>
      </c>
      <c r="DX7" s="55">
        <f>IF(ROW()-3&gt;COUNTIF(DV$4:DV$40,"&lt;&gt;"&amp;""),"",INDEX(DV$4:DV$40,MATCH(ROW()-3,DW$4:DW$40,0)))</f>
        <v/>
      </c>
      <c r="DY7">
        <f>DY6+IF(AND(DX7&lt;&gt;"",COUNTIF(DX$4:DX7,DX7)=1),1,0)</f>
        <v/>
      </c>
      <c r="DZ7">
        <f>IF(ROW()-3&gt;MAX(DY$4:DY$40),"",INDEX(DX$4:DX$40,MATCH(ROW()-3,DY$4:DY$40,0)))</f>
        <v/>
      </c>
      <c r="EA7">
        <f>IF('Final Calculation Sheet'!$Y$7="","",'Final Calculation Sheet'!$Y$7)</f>
        <v/>
      </c>
      <c r="EB7">
        <f>IF(EA7="","",COUNTIFS(EA$4:EA$40,"&lt;"&amp;EA7,EA$4:EA$40,"&lt;&gt;"&amp;"")+COUNTIF(EA$4:EA7,EA7))</f>
        <v/>
      </c>
      <c r="EC7">
        <f>IF(ROW()-3&gt;COUNTIF(EA$4:EA$40,"&lt;&gt;"&amp;""),"",INDEX(EA$4:EA$40,MATCH(ROW()-3,EB$4:EB$40,0)))</f>
        <v/>
      </c>
      <c r="ED7">
        <f>ED6+IF(AND(EC7&lt;&gt;"",COUNTIF(EC$4:EC7,EC7)=1),1,0)</f>
        <v/>
      </c>
      <c r="EE7">
        <f>IF(ROW()-3&gt;MAX(ED$4:ED$40),"",INDEX(EC$4:EC$40,MATCH(ROW()-3,ED$4:ED$40,0)))</f>
        <v/>
      </c>
      <c r="EF7" s="55">
        <f>IF('Final Calculation Sheet'!$Z$7="","",'Final Calculation Sheet'!$Z$7)</f>
        <v/>
      </c>
      <c r="EG7">
        <f>IF(EF7="","",COUNTIFS(EF$4:EF$40,"&lt;"&amp;EF7,EF$4:EF$40,"&lt;&gt;"&amp;"")+COUNTIF(EF$4:EF7,EF7))</f>
        <v/>
      </c>
      <c r="EH7" s="55">
        <f>IF(ROW()-3&gt;COUNTIF(EF$4:EF$40,"&lt;&gt;"&amp;""),"",INDEX(EF$4:EF$40,MATCH(ROW()-3,EG$4:EG$40,0)))</f>
        <v/>
      </c>
      <c r="EI7">
        <f>EI6+IF(AND(EH7&lt;&gt;"",COUNTIF(EH$4:EH7,EH7)=1),1,0)</f>
        <v/>
      </c>
      <c r="EJ7" s="55">
        <f>IF(ROW()-3&gt;MAX(EI$4:EI$40),"",INDEX(EH$4:EH$40,MATCH(ROW()-3,EI$4:EI$40,0)))</f>
        <v/>
      </c>
      <c r="EK7">
        <f>IF('Final Calculation Sheet'!$AA$7="","",'Final Calculation Sheet'!$AA$7)</f>
        <v/>
      </c>
      <c r="EL7">
        <f>IF(EK7="","",COUNTIFS(EK$4:EK$40,"&lt;"&amp;EK7,EK$4:EK$40,"&lt;&gt;"&amp;"")+COUNTIF(EK$4:EK7,EK7))</f>
        <v/>
      </c>
      <c r="EM7">
        <f>IF(ROW()-3&gt;COUNTIF(EK$4:EK$40,"&lt;&gt;"&amp;""),"",INDEX(EK$4:EK$40,MATCH(ROW()-3,EL$4:EL$40,0)))</f>
        <v/>
      </c>
      <c r="EN7">
        <f>EN6+IF(AND(EM7&lt;&gt;"",COUNTIF(EM$4:EM7,EM7)=1),1,0)</f>
        <v/>
      </c>
      <c r="EO7">
        <f>IF(ROW()-3&gt;MAX(EN$4:EN$40),"",INDEX(EM$4:EM$40,MATCH(ROW()-3,EN$4:EN$40,0)))</f>
        <v/>
      </c>
      <c r="EP7">
        <f>IF('Final Calculation Sheet'!$AB$7="","",'Final Calculation Sheet'!$AB$7)</f>
        <v/>
      </c>
      <c r="EQ7">
        <f>IF(EP7="","",COUNTIFS(EP$4:EP$40,"&lt;"&amp;EP7,EP$4:EP$40,"&lt;&gt;"&amp;"")+COUNTIF(EP$4:EP7,EP7))</f>
        <v/>
      </c>
      <c r="ER7">
        <f>IF(ROW()-3&gt;COUNTIF(EP$4:EP$40,"&lt;&gt;"&amp;""),"",INDEX(EP$4:EP$40,MATCH(ROW()-3,EQ$4:EQ$40,0)))</f>
        <v/>
      </c>
      <c r="ES7">
        <f>ES6+IF(AND(ER7&lt;&gt;"",COUNTIF(ER$4:ER7,ER7)=1),1,0)</f>
        <v/>
      </c>
      <c r="ET7">
        <f>IF(ROW()-3&gt;MAX(ES$4:ES$40),"",INDEX(ER$4:ER$40,MATCH(ROW()-3,ES$4:ES$40,0)))</f>
        <v/>
      </c>
      <c r="EU7" s="55">
        <f>IF('Final Calculation Sheet'!$AC$7="","",'Final Calculation Sheet'!$AC$7)</f>
        <v/>
      </c>
      <c r="EV7">
        <f>IF(EU7="","",COUNTIFS(EU$4:EU$40,"&lt;"&amp;EU7,EU$4:EU$40,"&lt;&gt;"&amp;"")+COUNTIF(EU$4:EU7,EU7))</f>
        <v/>
      </c>
      <c r="EW7" s="55">
        <f>IF(ROW()-3&gt;COUNTIF(EU$4:EU$40,"&lt;&gt;"&amp;""),"",INDEX(EU$4:EU$40,MATCH(ROW()-3,EV$4:EV$40,0)))</f>
        <v/>
      </c>
      <c r="EX7">
        <f>EX6+IF(AND(EW7&lt;&gt;"",COUNTIF(EW$4:EW7,EW7)=1),1,0)</f>
        <v/>
      </c>
      <c r="EY7" s="55">
        <f>IF(ROW()-3&gt;MAX(EX$4:EX$40),"",INDEX(EW$4:EW$40,MATCH(ROW()-3,EX$4:EX$40,0)))</f>
        <v/>
      </c>
      <c r="EZ7" s="55">
        <f>IF('Final Calculation Sheet'!$AD$7="","",'Final Calculation Sheet'!$AD$7)</f>
        <v/>
      </c>
      <c r="FA7">
        <f>IF(EZ7="","",COUNTIFS(EZ$4:EZ$40,"&lt;"&amp;EZ7,EZ$4:EZ$40,"&lt;&gt;"&amp;"")+COUNTIF(EZ$4:EZ7,EZ7))</f>
        <v/>
      </c>
      <c r="FB7" s="55">
        <f>IF(ROW()-3&gt;COUNTIF(EZ$4:EZ$40,"&lt;&gt;"&amp;""),"",INDEX(EZ$4:EZ$40,MATCH(ROW()-3,FA$4:FA$40,0)))</f>
        <v/>
      </c>
      <c r="FC7">
        <f>FC6+IF(AND(FB7&lt;&gt;"",COUNTIF(FB$4:FB7,FB7)=1),1,0)</f>
        <v/>
      </c>
      <c r="FD7" s="55">
        <f>IF(ROW()-3&gt;MAX(FC$4:FC$40),"",INDEX(FB$4:FB$40,MATCH(ROW()-3,FC$4:FC$40,0)))</f>
        <v/>
      </c>
      <c r="FE7">
        <f>IF('Final Calculation Sheet'!$AF$7="","",'Final Calculation Sheet'!$AF$7)</f>
        <v/>
      </c>
      <c r="FF7">
        <f>IF(FE7="","",COUNTIFS(FE$4:FE$40,"&lt;"&amp;FE7,FE$4:FE$40,"&lt;&gt;"&amp;"")+COUNTIF(FE$4:FE7,FE7))</f>
        <v/>
      </c>
      <c r="FG7">
        <f>IF(ROW()-3&gt;COUNTIF(FE$4:FE$40,"&lt;&gt;"&amp;""),"",INDEX(FE$4:FE$40,MATCH(ROW()-3,FF$4:FF$40,0)))</f>
        <v/>
      </c>
      <c r="FH7">
        <f>FH6+IF(AND(FG7&lt;&gt;"",COUNTIF(FG$4:FG7,FG7)=1),1,0)</f>
        <v/>
      </c>
      <c r="FI7">
        <f>IF(ROW()-3&gt;MAX(FH$4:FH$40),"",INDEX(FG$4:FG$40,MATCH(ROW()-3,FH$4:FH$40,0)))</f>
        <v/>
      </c>
      <c r="FJ7" s="141">
        <f>IF('Final Calculation Sheet'!$AG$7="","",'Final Calculation Sheet'!$AG$7)</f>
        <v/>
      </c>
      <c r="FK7">
        <f>IF(FJ7="","",COUNTIFS(FJ$4:FJ$40,"&lt;"&amp;FJ7,FJ$4:FJ$40,"&lt;&gt;"&amp;"")+COUNTIF(FJ$4:FJ7,FJ7))</f>
        <v/>
      </c>
      <c r="FL7" s="141">
        <f>IF(ROW()-3&gt;COUNTIF(FJ$4:FJ$40,"&lt;&gt;"&amp;""),"",INDEX(FJ$4:FJ$40,MATCH(ROW()-3,FK$4:FK$40,0)))</f>
        <v/>
      </c>
      <c r="FM7">
        <f>FM6+IF(AND(FL7&lt;&gt;"",COUNTIF(FL$4:FL7,FL7)=1),1,0)</f>
        <v/>
      </c>
      <c r="FN7">
        <f>IF(ROW()-3&gt;MAX(FM$4:FM$40),"",INDEX(FL$4:FL$40,MATCH(ROW()-3,FM$4:FM$40,0)))</f>
        <v/>
      </c>
      <c r="FO7">
        <f>IF('Final Calculation Sheet'!$AH$7="","",'Final Calculation Sheet'!$AH$7)</f>
        <v/>
      </c>
      <c r="FP7">
        <f>IF(FO7="","",COUNTIFS(FO$4:FO$40,"&lt;"&amp;FO7,FO$4:FO$40,"&lt;&gt;"&amp;"")+COUNTIF(FO$4:FO7,FO7))</f>
        <v/>
      </c>
      <c r="FQ7">
        <f>IF(ROW()-3&gt;COUNTIF(FO$4:FO$40,"&lt;&gt;"&amp;""),"",INDEX(FO$4:FO$40,MATCH(ROW()-3,FP$4:FP$40,0)))</f>
        <v/>
      </c>
      <c r="FR7">
        <f>FR6+IF(AND(FQ7&lt;&gt;"",COUNTIF(FQ$4:FQ7,FQ7)=1),1,0)</f>
        <v/>
      </c>
      <c r="FS7">
        <f>IF(ROW()-3&gt;MAX(FR$4:FR$40),"",INDEX(FQ$4:FQ$40,MATCH(ROW()-3,FR$4:FR$40,0)))</f>
        <v/>
      </c>
      <c r="FU7">
        <f>IF(FT7="","",COUNTIFS(FT$4:FT$40,"&lt;"&amp;FT7,FT$4:FT$40,"&lt;&gt;"&amp;"")+COUNTIF(FT$4:FT7,FT7))</f>
        <v/>
      </c>
      <c r="FV7">
        <f>IF(ROW()-3&gt;COUNTIF(FT$4:FT$40,"&lt;&gt;"&amp;""),"",INDEX(FT$4:FT$40,MATCH(ROW()-3,FU$4:FU$40,0)))</f>
        <v/>
      </c>
      <c r="FW7">
        <f>FW6+IF(AND(FV7&lt;&gt;"",COUNTIF(FV$4:FV7,FV7)=1),1,0)</f>
        <v/>
      </c>
      <c r="FX7">
        <f>IF(ROW()-3&gt;MAX(FW$4:FW$40),"",INDEX(FV$4:FV$40,MATCH(ROW()-3,FW$4:FW$40,0)))</f>
        <v/>
      </c>
      <c r="FY7">
        <f>IF(COUNTIF('Live Search'!BM$6:BO$6,0)+COUNTIF('Live Search'!BQ$6:CU$6,0)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7">
        <f>IF($Y$7="",FALSE,SUMPRODUCT(('Final Calculation Sheet'!$B$4:$B$40=$Y$7)*($FY$6:$FY$42=1))&gt;0)</f>
        <v/>
      </c>
      <c r="GA7">
        <f>$GA$6+--($FZ$7)</f>
        <v/>
      </c>
      <c r="GB7">
        <f>IF(ROW()-3&gt;MAX($GA$4:$GA$40),"",INDEX($Y$4:$Y$40,MATCH(ROW()-3,$GA$4:$GA$40,0)))</f>
        <v/>
      </c>
      <c r="GC7">
        <f>IF('Final Calculation Sheet'!$F$7="","",IF(TRIM('Final Calculation Sheet'!$G$2)="",'Final Calculation Sheet'!$F$7,IF(TRIM('Final Calculation Sheet'!$G$2)="(nonblank)",IF('Final Calculation Sheet'!$G$7&lt;&gt;"",'Final Calculation Sheet'!$F$7,""),IF(TRIM('Final Calculation Sheet'!$G$2)="(blank)",IF('Final Calculation Sheet'!$G$7="",'Final Calculation Sheet'!$F$7,""),IF(ISNUMBER(SEARCH(TRIM('Final Calculation Sheet'!$G$2),'Final Calculation Sheet'!$G$7)),'Final Calculation Sheet'!$F$7,"")))))</f>
        <v/>
      </c>
      <c r="GD7">
        <f>IF(GC7="","",COUNTIFS(GC$4:GC$40,"&lt;"&amp;GC7,GC$4:GC$40,"&lt;&gt;"&amp;"")+COUNTIF(GC$4:GC7,GC7))</f>
        <v/>
      </c>
      <c r="GE7">
        <f>IF(ROW()-3&gt;COUNTIF(GC$4:GC$40,"&lt;&gt;"&amp;""),"",INDEX(GC$4:GC$40,MATCH(ROW()-3,GD$4:GD$40,0)))</f>
        <v/>
      </c>
      <c r="GF7">
        <f>GF6+IF(AND(GE7&lt;&gt;"",COUNTIF(GE$4:GE7,GE7)=1),1,0)</f>
        <v/>
      </c>
      <c r="GG7">
        <f>IF(ROW()-3&gt;MAX(GF$4:GF$40),"",INDEX(GE$4:GE$40,MATCH(ROW()-3,GF$4:GF$40,0)))</f>
        <v/>
      </c>
      <c r="GH7">
        <f>IF('Final Calculation Sheet'!$F$7="","",IF('Live Search'!$BO$8=1,'Final Calculation Sheet'!$F$7,""))</f>
        <v/>
      </c>
      <c r="GI7">
        <f>IF(GH7="","",COUNTIFS(GH$4:GH$40,"&lt;"&amp;GH7,GH$4:GH$40,"&lt;&gt;"&amp;"")+COUNTIF(GH$4:GH7,GH7))</f>
        <v/>
      </c>
      <c r="GJ7">
        <f>IF(ROW()-3&gt;COUNTIF(GH$4:GH$40,"&lt;&gt;"&amp;""),"",INDEX(GH$4:GH$40,MATCH(ROW()-3,GI$4:GI$40,0)))</f>
        <v/>
      </c>
      <c r="GK7">
        <f>GK6+IF(AND(GJ7&lt;&gt;"",COUNTIF(GJ$4:GJ7,GJ7)=1),1,0)</f>
        <v/>
      </c>
      <c r="GL7">
        <f>IF(ROW()-3&gt;MAX(GK$4:GK$40),"",INDEX(GJ$4:GJ$40,MATCH(ROW()-3,GK$4:GK$40,0)))</f>
        <v/>
      </c>
      <c r="GM7">
        <f>IF('Final Calculation Sheet'!$F$7="","",IF(TRIM('Buyer Groups'!$C$4)="",'Final Calculation Sheet'!$F$7,IF(TRIM('Buyer Groups'!$C$4)="(nonblank)",IF('Final Calculation Sheet'!$G$7&lt;&gt;"",'Final Calculation Sheet'!$F$7,""),IF(TRIM('Buyer Groups'!$C$4)="(blank)",IF('Final Calculation Sheet'!$G$7="",'Final Calculation Sheet'!$F$7,""),IF(ISNUMBER(SEARCH(TRIM('Buyer Groups'!$C$4),'Final Calculation Sheet'!$G$7)),'Final Calculation Sheet'!$F$7,"")))))</f>
        <v/>
      </c>
      <c r="GN7">
        <f>IF(GM7="","",COUNTIFS(GM$4:GM$40,"&lt;"&amp;GM7,GM$4:GM$40,"&lt;&gt;"&amp;"")+COUNTIF(GM$4:GM7,GM7))</f>
        <v/>
      </c>
      <c r="GO7">
        <f>IF(ROW()-3&gt;COUNTIF(GM$4:GM$40,"&lt;&gt;"&amp;""),"",INDEX(GM$4:GM$40,MATCH(ROW()-3,GN$4:GN$40,0)))</f>
        <v/>
      </c>
      <c r="GP7">
        <f>GP6+IF(AND(GO7&lt;&gt;"",COUNTIF(GO$4:GO7,GO7)=1),1,0)</f>
        <v/>
      </c>
      <c r="GQ7">
        <f>IF(ROW()-3&gt;MAX(GP$4:GP$40),"",INDEX(GO$4:GO$40,MATCH(ROW()-3,GP$4:GP$40,0)))</f>
        <v/>
      </c>
      <c r="GR7">
        <f>IF('Final Calculation Sheet'!$B$7="","",IF(TRIM('Final Calculation Sheet'!$G$2)="",'Final Calculation Sheet'!$B$7,IF(TRIM('Final Calculation Sheet'!$G$2)="(nonblank)",IF('Final Calculation Sheet'!$G$7&lt;&gt;"",'Final Calculation Sheet'!$B$7,""),IF(TRIM('Final Calculation Sheet'!$G$2)="(blank)",IF('Final Calculation Sheet'!$G$7="",'Final Calculation Sheet'!$B$7,""),IF(ISNUMBER(SEARCH(TRIM('Final Calculation Sheet'!$G$2),'Final Calculation Sheet'!$G$7)),'Final Calculation Sheet'!$B$7,"")))))</f>
        <v/>
      </c>
      <c r="GS7">
        <f>IF(GR7="","",COUNTIFS(GR$4:GR$40,"&lt;"&amp;GR7,GR$4:GR$40,"&lt;&gt;"&amp;"")+COUNTIF(GR$4:GR7,GR7))</f>
        <v/>
      </c>
      <c r="GT7">
        <f>IF(ROW()-3&gt;COUNTIF(GR$4:GR$40,"&lt;&gt;"&amp;""),"",INDEX(GR$4:GR$40,MATCH(ROW()-3,GS$4:GS$40,0)))</f>
        <v/>
      </c>
      <c r="GU7">
        <f>GU6+IF(AND(GT7&lt;&gt;"",COUNTIF(GT$4:GT7,GT7)=1),1,0)</f>
        <v/>
      </c>
      <c r="GV7">
        <f>IF(ROW()-3&gt;MAX(GU$4:GU$40),"",INDEX(GT$4:GT$40,MATCH(ROW()-3,GU$4:GU$40,0)))</f>
        <v/>
      </c>
      <c r="GW7">
        <f>IF('Final Calculation Sheet'!$B$7="","",IF(TRIM('Buyer Groups'!$C$4)="",'Final Calculation Sheet'!$B$7,IF(TRIM('Buyer Groups'!$C$4)="(nonblank)",IF('Final Calculation Sheet'!$G$7&lt;&gt;"",'Final Calculation Sheet'!$B$7,""),IF(TRIM('Buyer Groups'!$C$4)="(blank)",IF('Final Calculation Sheet'!$G$7="",'Final Calculation Sheet'!$B$7,""),IF(ISNUMBER(SEARCH(TRIM('Buyer Groups'!$C$4),'Final Calculation Sheet'!$G$7)),'Final Calculation Sheet'!$B$7,"")))))</f>
        <v/>
      </c>
      <c r="GX7">
        <f>IF(GW7="","",COUNTIFS(GW$4:GW$40,"&lt;"&amp;GW7,GW$4:GW$40,"&lt;&gt;"&amp;"")+COUNTIF(GW$4:GW7,GW7))</f>
        <v/>
      </c>
      <c r="GY7">
        <f>IF(ROW()-3&gt;COUNTIF(GW$4:GW$40,"&lt;&gt;"&amp;""),"",INDEX(GW$4:GW$40,MATCH(ROW()-3,GX$4:GX$40,0)))</f>
        <v/>
      </c>
      <c r="GZ7">
        <f>GZ6+IF(AND(GY7&lt;&gt;"",COUNTIF(GY$4:GY7,GY7)=1),1,0)</f>
        <v/>
      </c>
      <c r="HA7">
        <f>IF(ROW()-3&gt;MAX(GZ$4:GZ$40),"",INDEX(GY$4:GY$40,MATCH(ROW()-3,GZ$4:GZ$40,0)))</f>
        <v/>
      </c>
    </row>
    <row r="8">
      <c r="A8">
        <f>IF('Final Calculation Sheet'!$F$8="","",'Final Calculation Sheet'!$F$8)</f>
        <v/>
      </c>
      <c r="B8">
        <f>IF(A8="","",COUNTIFS(A$4:A$114,"&lt;"&amp;A8,A$4:A$114,"&lt;&gt;"&amp;"")+COUNTIF(A$4:A8,A8))</f>
        <v/>
      </c>
      <c r="C8">
        <f>IF(ROW()-3&gt;COUNTIF(A$4:A$114,"&lt;&gt;"&amp;""),"",INDEX(A$4:A$114,MATCH(ROW()-3,B$4:B$114,0)))</f>
        <v/>
      </c>
      <c r="D8">
        <f>D7+IF(AND(C8&lt;&gt;"",COUNTIF(C$4:C8,C8)=1),1,0)</f>
        <v/>
      </c>
      <c r="E8">
        <f>IF(ROW()-3&gt;MAX(D$4:D$114),"",INDEX(C$4:C$114,MATCH(ROW()-3,D$4:D$114,0)))</f>
        <v/>
      </c>
      <c r="F8">
        <f>ROW()-3</f>
        <v/>
      </c>
      <c r="G8">
        <f>IF(F8="","",COUNTIFS(F$4:F$40,"&lt;"&amp;F8,F$4:F$40,"&lt;&gt;"&amp;"")+COUNTIF(F$4:F8,F8))</f>
        <v/>
      </c>
      <c r="H8">
        <f>IF(ROW()-3&gt;COUNTIF(F$4:F$40,"&lt;&gt;"&amp;""),"",INDEX(F$4:F$40,MATCH(ROW()-3,G$4:G$40,0)))</f>
        <v/>
      </c>
      <c r="I8">
        <f>I7+IF(AND(H8&lt;&gt;"",COUNTIF(H$4:H8,H8)=1),1,0)</f>
        <v/>
      </c>
      <c r="J8">
        <f>IF(ROW()-3&gt;MAX(I$4:I$40),"",INDEX(H$4:H$40,MATCH(ROW()-3,I$4:I$40,0)))</f>
        <v/>
      </c>
      <c r="K8">
        <f>IF('Final Calculation Sheet'!$F$8="","",'Final Calculation Sheet'!$F$8)</f>
        <v/>
      </c>
      <c r="L8">
        <f>IF(K8="","",COUNTIFS(K$4:K$40,"&lt;"&amp;K8,K$4:K$40,"&lt;&gt;"&amp;"")+COUNTIF(K$4:K8,K8))</f>
        <v/>
      </c>
      <c r="M8">
        <f>IF(ROW()-3&gt;COUNTIF(K$4:K$40,"&lt;&gt;"&amp;""),"",INDEX(K$4:K$40,MATCH(ROW()-3,L$4:L$40,0)))</f>
        <v/>
      </c>
      <c r="N8">
        <f>N7+IF(AND(M8&lt;&gt;"",COUNTIF(M$4:M8,M8)=1),1,0)</f>
        <v/>
      </c>
      <c r="O8">
        <f>IF(ROW()-3&gt;MAX(N$4:N$40),"",INDEX(M$4:M$40,MATCH(ROW()-3,N$4:N$40,0)))</f>
        <v/>
      </c>
      <c r="P8">
        <f>IF('Final Calculation Sheet'!$G$8="","",'Final Calculation Sheet'!$G$8)</f>
        <v/>
      </c>
      <c r="Q8">
        <f>IF(P8="","",COUNTIFS(P$4:P$40,"&lt;"&amp;P8,P$4:P$40,"&lt;&gt;"&amp;"")+COUNTIF(P$4:P8,P8))</f>
        <v/>
      </c>
      <c r="R8">
        <f>IF(ROW()-3&gt;COUNTIF(P$4:P$40,"&lt;&gt;"&amp;""),"",INDEX(P$4:P$40,MATCH(ROW()-3,Q$4:Q$40,0)))</f>
        <v/>
      </c>
      <c r="S8">
        <f>S7+IF(AND(R8&lt;&gt;"",COUNTIF(R$4:R8,R8)=1),1,0)</f>
        <v/>
      </c>
      <c r="T8">
        <f>IF(ROW()-3&gt;MAX(S$4:S$40),"",INDEX(R$4:R$40,MATCH(ROW()-3,S$4:S$40,0)))</f>
        <v/>
      </c>
      <c r="U8">
        <f>IF('Final Calculation Sheet'!$B$8="","",'Final Calculation Sheet'!$B$8)</f>
        <v/>
      </c>
      <c r="V8">
        <f>IF(U8="","",COUNTIFS(U$4:U$40,"&lt;"&amp;U8,U$4:U$40,"&lt;&gt;"&amp;"")+COUNTIF(U$4:U8,U8))</f>
        <v/>
      </c>
      <c r="W8">
        <f>IF(ROW()-3&gt;COUNTIF(U$4:U$40,"&lt;&gt;"&amp;""),"",INDEX(U$4:U$40,MATCH(ROW()-3,V$4:V$40,0)))</f>
        <v/>
      </c>
      <c r="X8">
        <f>X7+IF(AND(W8&lt;&gt;"",COUNTIF(W$4:W8,W8)=1),1,0)</f>
        <v/>
      </c>
      <c r="Y8">
        <f>IF(ROW()-3&gt;MAX(X$4:X$40),"",INDEX(W$4:W$40,MATCH(ROW()-3,X$4:X$40,0)))</f>
        <v/>
      </c>
      <c r="Z8">
        <f>IF('Final Calculation Sheet'!$D$8="","",'Final Calculation Sheet'!$D$8)</f>
        <v/>
      </c>
      <c r="AA8">
        <f>IF(Z8="","",COUNTIFS(Z$4:Z$40,"&lt;"&amp;Z8,Z$4:Z$40,"&lt;&gt;"&amp;"")+COUNTIF(Z$4:Z8,Z8))</f>
        <v/>
      </c>
      <c r="AB8">
        <f>IF(ROW()-3&gt;COUNTIF(Z$4:Z$40,"&lt;&gt;"&amp;""),"",INDEX(Z$4:Z$40,MATCH(ROW()-3,AA$4:AA$40,0)))</f>
        <v/>
      </c>
      <c r="AC8">
        <f>AC7+IF(AND(AB8&lt;&gt;"",COUNTIF(AB$4:AB8,AB8)=1),1,0)</f>
        <v/>
      </c>
      <c r="AD8">
        <f>IF(ROW()-3&gt;MAX(AC$4:AC$40),"",INDEX(AB$4:AB$40,MATCH(ROW()-3,AC$4:AC$40,0)))</f>
        <v/>
      </c>
      <c r="AE8">
        <f>IF('Final Calculation Sheet'!$A$8="","",'Final Calculation Sheet'!$A$8)</f>
        <v/>
      </c>
      <c r="AF8">
        <f>IF(AE8="","",COUNTIFS(AE$4:AE$40,"&lt;"&amp;AE8,AE$4:AE$40,"&lt;&gt;"&amp;"")+COUNTIF(AE$4:AE8,AE8))</f>
        <v/>
      </c>
      <c r="AG8">
        <f>IF(ROW()-3&gt;COUNTIF(AE$4:AE$40,"&lt;&gt;"&amp;""),"",INDEX(AE$4:AE$40,MATCH(ROW()-3,AF$4:AF$40,0)))</f>
        <v/>
      </c>
      <c r="AH8">
        <f>AH7+IF(AND(AG8&lt;&gt;"",COUNTIF(AG$4:AG8,AG8)=1),1,0)</f>
        <v/>
      </c>
      <c r="AI8">
        <f>IF(ROW()-3&gt;MAX(AH$4:AH$40),"",INDEX(AG$4:AG$40,MATCH(ROW()-3,AH$4:AH$40,0)))</f>
        <v/>
      </c>
      <c r="AJ8">
        <f>IF('Final Calculation Sheet'!$E$8="","",'Final Calculation Sheet'!$E$8)</f>
        <v/>
      </c>
      <c r="AK8">
        <f>IF(AJ8="","",COUNTIFS(AJ$4:AJ$40,"&lt;"&amp;AJ8,AJ$4:AJ$40,"&lt;&gt;"&amp;"")+COUNTIF(AJ$4:AJ8,AJ8))</f>
        <v/>
      </c>
      <c r="AL8">
        <f>IF(ROW()-3&gt;COUNTIF(AJ$4:AJ$40,"&lt;&gt;"&amp;""),"",INDEX(AJ$4:AJ$40,MATCH(ROW()-3,AK$4:AK$40,0)))</f>
        <v/>
      </c>
      <c r="AM8">
        <f>AM7+IF(AND(AL8&lt;&gt;"",COUNTIF(AL$4:AL8,AL8)=1),1,0)</f>
        <v/>
      </c>
      <c r="AN8">
        <f>IF(ROW()-3&gt;MAX(AM$4:AM$40),"",INDEX(AL$4:AL$40,MATCH(ROW()-3,AM$4:AM$40,0)))</f>
        <v/>
      </c>
      <c r="AO8" s="55">
        <f>IF('Final Calculation Sheet'!$C$8="","",'Final Calculation Sheet'!$C$8)</f>
        <v/>
      </c>
      <c r="AP8">
        <f>IF(AO8="","",COUNTIFS(AO$4:AO$40,"&lt;"&amp;AO8,AO$4:AO$40,"&lt;&gt;"&amp;"")+COUNTIF(AO$4:AO8,AO8))</f>
        <v/>
      </c>
      <c r="AQ8" s="55">
        <f>IF(ROW()-3&gt;COUNTIF(AO$4:AO$40,"&lt;&gt;"&amp;""),"",INDEX(AO$4:AO$40,MATCH(ROW()-3,AP$4:AP$40,0)))</f>
        <v/>
      </c>
      <c r="AR8">
        <f>AR7+IF(AND(AQ8&lt;&gt;"",COUNTIF(AQ$4:AQ8,AQ8)=1),1,0)</f>
        <v/>
      </c>
      <c r="AS8" s="55">
        <f>IF(ROW()-3&gt;MAX(AR$4:AR$40),"",INDEX(AQ$4:AQ$40,MATCH(ROW()-3,AR$4:AR$40,0)))</f>
        <v/>
      </c>
      <c r="AT8" s="55">
        <f>IF('Final Calculation Sheet'!$H$8="","",'Final Calculation Sheet'!$H$8)</f>
        <v/>
      </c>
      <c r="AU8">
        <f>IF(AT8="","",COUNTIFS(AT$4:AT$40,"&lt;"&amp;AT8,AT$4:AT$40,"&lt;&gt;"&amp;"")+COUNTIF(AT$4:AT8,AT8))</f>
        <v/>
      </c>
      <c r="AV8" s="55">
        <f>IF(ROW()-3&gt;COUNTIF(AT$4:AT$40,"&lt;&gt;"&amp;""),"",INDEX(AT$4:AT$40,MATCH(ROW()-3,AU$4:AU$40,0)))</f>
        <v/>
      </c>
      <c r="AW8">
        <f>AW7+IF(AND(AV8&lt;&gt;"",COUNTIF(AV$4:AV8,AV8)=1),1,0)</f>
        <v/>
      </c>
      <c r="AX8" s="55">
        <f>IF(ROW()-3&gt;MAX(AW$4:AW$40),"",INDEX(AV$4:AV$40,MATCH(ROW()-3,AW$4:AW$40,0)))</f>
        <v/>
      </c>
      <c r="AY8" s="55">
        <f>IF('Final Calculation Sheet'!$I$8="","",'Final Calculation Sheet'!$I$8)</f>
        <v/>
      </c>
      <c r="AZ8">
        <f>IF(AY8="","",COUNTIFS(AY$4:AY$40,"&lt;"&amp;AY8,AY$4:AY$40,"&lt;&gt;"&amp;"")+COUNTIF(AY$4:AY8,AY8))</f>
        <v/>
      </c>
      <c r="BA8" s="55">
        <f>IF(ROW()-3&gt;COUNTIF(AY$4:AY$40,"&lt;&gt;"&amp;""),"",INDEX(AY$4:AY$40,MATCH(ROW()-3,AZ$4:AZ$40,0)))</f>
        <v/>
      </c>
      <c r="BB8">
        <f>BB7+IF(AND(BA8&lt;&gt;"",COUNTIF(BA$4:BA8,BA8)=1),1,0)</f>
        <v/>
      </c>
      <c r="BC8" s="55">
        <f>IF(ROW()-3&gt;MAX(BB$4:BB$40),"",INDEX(BA$4:BA$40,MATCH(ROW()-3,BB$4:BB$40,0)))</f>
        <v/>
      </c>
      <c r="BD8" s="55">
        <f>IF('Final Calculation Sheet'!$J$8="","",'Final Calculation Sheet'!$J$8)</f>
        <v/>
      </c>
      <c r="BE8">
        <f>IF(BD8="","",COUNTIFS(BD$4:BD$40,"&lt;"&amp;BD8,BD$4:BD$40,"&lt;&gt;"&amp;"")+COUNTIF(BD$4:BD8,BD8))</f>
        <v/>
      </c>
      <c r="BF8" s="55">
        <f>IF(ROW()-3&gt;COUNTIF(BD$4:BD$40,"&lt;&gt;"&amp;""),"",INDEX(BD$4:BD$40,MATCH(ROW()-3,BE$4:BE$40,0)))</f>
        <v/>
      </c>
      <c r="BG8">
        <f>BG7+IF(AND(BF8&lt;&gt;"",COUNTIF(BF$4:BF8,BF8)=1),1,0)</f>
        <v/>
      </c>
      <c r="BH8" s="55">
        <f>IF(ROW()-3&gt;MAX(BG$4:BG$40),"",INDEX(BF$4:BF$40,MATCH(ROW()-3,BG$4:BG$40,0)))</f>
        <v/>
      </c>
      <c r="BI8" s="55">
        <f>IF('Final Calculation Sheet'!$K$8="","",'Final Calculation Sheet'!$K$8)</f>
        <v/>
      </c>
      <c r="BJ8">
        <f>IF(BI8="","",COUNTIFS(BI$4:BI$40,"&lt;"&amp;BI8,BI$4:BI$40,"&lt;&gt;"&amp;"")+COUNTIF(BI$4:BI8,BI8))</f>
        <v/>
      </c>
      <c r="BK8" s="55">
        <f>IF(ROW()-3&gt;COUNTIF(BI$4:BI$40,"&lt;&gt;"&amp;""),"",INDEX(BI$4:BI$40,MATCH(ROW()-3,BJ$4:BJ$40,0)))</f>
        <v/>
      </c>
      <c r="BL8">
        <f>BL7+IF(AND(BK8&lt;&gt;"",COUNTIF(BK$4:BK8,BK8)=1),1,0)</f>
        <v/>
      </c>
      <c r="BM8" s="55">
        <f>IF(ROW()-3&gt;MAX(BL$4:BL$40),"",INDEX(BK$4:BK$40,MATCH(ROW()-3,BL$4:BL$40,0)))</f>
        <v/>
      </c>
      <c r="BN8" s="55">
        <f>IF('Final Calculation Sheet'!$L$8="","",'Final Calculation Sheet'!$L$8)</f>
        <v/>
      </c>
      <c r="BO8">
        <f>IF(BN8="","",COUNTIFS(BN$4:BN$40,"&lt;"&amp;BN8,BN$4:BN$40,"&lt;&gt;"&amp;"")+COUNTIF(BN$4:BN8,BN8))</f>
        <v/>
      </c>
      <c r="BP8" s="55">
        <f>IF(ROW()-3&gt;COUNTIF(BN$4:BN$40,"&lt;&gt;"&amp;""),"",INDEX(BN$4:BN$40,MATCH(ROW()-3,BO$4:BO$40,0)))</f>
        <v/>
      </c>
      <c r="BQ8">
        <f>BQ7+IF(AND(BP8&lt;&gt;"",COUNTIF(BP$4:BP8,BP8)=1),1,0)</f>
        <v/>
      </c>
      <c r="BR8" s="55">
        <f>IF(ROW()-3&gt;MAX(BQ$4:BQ$40),"",INDEX(BP$4:BP$40,MATCH(ROW()-3,BQ$4:BQ$40,0)))</f>
        <v/>
      </c>
      <c r="BS8" s="55">
        <f>IF('Final Calculation Sheet'!$M$8="","",'Final Calculation Sheet'!$M$8)</f>
        <v/>
      </c>
      <c r="BT8">
        <f>IF(BS8="","",COUNTIFS(BS$4:BS$40,"&lt;"&amp;BS8,BS$4:BS$40,"&lt;&gt;"&amp;"")+COUNTIF(BS$4:BS8,BS8))</f>
        <v/>
      </c>
      <c r="BU8" s="55">
        <f>IF(ROW()-3&gt;COUNTIF(BS$4:BS$40,"&lt;&gt;"&amp;""),"",INDEX(BS$4:BS$40,MATCH(ROW()-3,BT$4:BT$40,0)))</f>
        <v/>
      </c>
      <c r="BV8">
        <f>BV7+IF(AND(BU8&lt;&gt;"",COUNTIF(BU$4:BU8,BU8)=1),1,0)</f>
        <v/>
      </c>
      <c r="BW8" s="55">
        <f>IF(ROW()-3&gt;MAX(BV$4:BV$40),"",INDEX(BU$4:BU$40,MATCH(ROW()-3,BV$4:BV$40,0)))</f>
        <v/>
      </c>
      <c r="BX8" s="138">
        <f>IF('Final Calculation Sheet'!$N$8="","",'Final Calculation Sheet'!$N$8)</f>
        <v/>
      </c>
      <c r="BY8">
        <f>IF(BX8="","",COUNTIFS(BX$4:BX$40,"&lt;"&amp;BX8,BX$4:BX$40,"&lt;&gt;"&amp;"")+COUNTIF(BX$4:BX8,BX8))</f>
        <v/>
      </c>
      <c r="BZ8" s="138">
        <f>IF(ROW()-3&gt;COUNTIF(BX$4:BX$40,"&lt;&gt;"&amp;""),"",INDEX(BX$4:BX$40,MATCH(ROW()-3,BY$4:BY$40,0)))</f>
        <v/>
      </c>
      <c r="CA8">
        <f>CA7+IF(AND(BZ8&lt;&gt;"",COUNTIF(BZ$4:BZ8,BZ8)=1),1,0)</f>
        <v/>
      </c>
      <c r="CB8" s="138">
        <f>IF(ROW()-3&gt;MAX(CA$4:CA$40),"",INDEX(BZ$4:BZ$40,MATCH(ROW()-3,CA$4:CA$40,0)))</f>
        <v/>
      </c>
      <c r="CC8" s="55">
        <f>IF('Final Calculation Sheet'!$O$8="","",'Final Calculation Sheet'!$O$8)</f>
        <v/>
      </c>
      <c r="CD8">
        <f>IF(CC8="","",COUNTIFS(CC$4:CC$40,"&lt;"&amp;CC8,CC$4:CC$40,"&lt;&gt;"&amp;"")+COUNTIF(CC$4:CC8,CC8))</f>
        <v/>
      </c>
      <c r="CE8" s="55">
        <f>IF(ROW()-3&gt;COUNTIF(CC$4:CC$40,"&lt;&gt;"&amp;""),"",INDEX(CC$4:CC$40,MATCH(ROW()-3,CD$4:CD$40,0)))</f>
        <v/>
      </c>
      <c r="CF8">
        <f>CF7+IF(AND(CE8&lt;&gt;"",COUNTIF(CE$4:CE8,CE8)=1),1,0)</f>
        <v/>
      </c>
      <c r="CG8" s="55">
        <f>IF(ROW()-3&gt;MAX(CF$4:CF$40),"",INDEX(CE$4:CE$40,MATCH(ROW()-3,CF$4:CF$40,0)))</f>
        <v/>
      </c>
      <c r="CH8" s="55">
        <f>IF('Final Calculation Sheet'!$P$8="","",'Final Calculation Sheet'!$P$8)</f>
        <v/>
      </c>
      <c r="CI8">
        <f>IF(CH8="","",COUNTIFS(CH$4:CH$40,"&lt;"&amp;CH8,CH$4:CH$40,"&lt;&gt;"&amp;"")+COUNTIF(CH$4:CH8,CH8))</f>
        <v/>
      </c>
      <c r="CJ8" s="55">
        <f>IF(ROW()-3&gt;COUNTIF(CH$4:CH$40,"&lt;&gt;"&amp;""),"",INDEX(CH$4:CH$40,MATCH(ROW()-3,CI$4:CI$40,0)))</f>
        <v/>
      </c>
      <c r="CK8">
        <f>CK7+IF(AND(CJ8&lt;&gt;"",COUNTIF(CJ$4:CJ8,CJ8)=1),1,0)</f>
        <v/>
      </c>
      <c r="CL8" s="55">
        <f>IF(ROW()-3&gt;MAX(CK$4:CK$40),"",INDEX(CJ$4:CJ$40,MATCH(ROW()-3,CK$4:CK$40,0)))</f>
        <v/>
      </c>
      <c r="CM8" s="139">
        <f>IF('Final Calculation Sheet'!$Q$8="","",'Final Calculation Sheet'!$Q$8)</f>
        <v/>
      </c>
      <c r="CN8">
        <f>IF(CM8="","",COUNTIFS(CM$4:CM$40,"&lt;"&amp;CM8,CM$4:CM$40,"&lt;&gt;"&amp;"")+COUNTIF(CM$4:CM8,CM8))</f>
        <v/>
      </c>
      <c r="CO8" s="139">
        <f>IF(ROW()-3&gt;COUNTIF(CM$4:CM$40,"&lt;&gt;"&amp;""),"",INDEX(CM$4:CM$40,MATCH(ROW()-3,CN$4:CN$40,0)))</f>
        <v/>
      </c>
      <c r="CP8">
        <f>CP7+IF(AND(CO8&lt;&gt;"",COUNTIF(CO$4:CO8,CO8)=1),1,0)</f>
        <v/>
      </c>
      <c r="CQ8">
        <f>IF(ROW()-3&gt;MAX(CP$4:CP$40),"",INDEX(CO$4:CO$40,MATCH(ROW()-3,CP$4:CP$40,0)))</f>
        <v/>
      </c>
      <c r="CR8" s="55">
        <f>IF('Final Calculation Sheet'!$R$8="","",'Final Calculation Sheet'!$R$8)</f>
        <v/>
      </c>
      <c r="CS8">
        <f>IF(CR8="","",COUNTIFS(CR$4:CR$40,"&lt;"&amp;CR8,CR$4:CR$40,"&lt;&gt;"&amp;"")+COUNTIF(CR$4:CR8,CR8))</f>
        <v/>
      </c>
      <c r="CT8" s="55">
        <f>IF(ROW()-3&gt;COUNTIF(CR$4:CR$40,"&lt;&gt;"&amp;""),"",INDEX(CR$4:CR$40,MATCH(ROW()-3,CS$4:CS$40,0)))</f>
        <v/>
      </c>
      <c r="CU8">
        <f>CU7+IF(AND(CT8&lt;&gt;"",COUNTIF(CT$4:CT8,CT8)=1),1,0)</f>
        <v/>
      </c>
      <c r="CV8" s="55">
        <f>IF(ROW()-3&gt;MAX(CU$4:CU$40),"",INDEX(CT$4:CT$40,MATCH(ROW()-3,CU$4:CU$40,0)))</f>
        <v/>
      </c>
      <c r="CW8" s="55">
        <f>IF('Final Calculation Sheet'!$S$8="","",'Final Calculation Sheet'!$S$8)</f>
        <v/>
      </c>
      <c r="CX8">
        <f>IF(CW8="","",COUNTIFS(CW$4:CW$40,"&lt;"&amp;CW8,CW$4:CW$40,"&lt;&gt;"&amp;"")+COUNTIF(CW$4:CW8,CW8))</f>
        <v/>
      </c>
      <c r="CY8" s="55">
        <f>IF(ROW()-3&gt;COUNTIF(CW$4:CW$40,"&lt;&gt;"&amp;""),"",INDEX(CW$4:CW$40,MATCH(ROW()-3,CX$4:CX$40,0)))</f>
        <v/>
      </c>
      <c r="CZ8">
        <f>CZ7+IF(AND(CY8&lt;&gt;"",COUNTIF(CY$4:CY8,CY8)=1),1,0)</f>
        <v/>
      </c>
      <c r="DA8" s="55">
        <f>IF(ROW()-3&gt;MAX(CZ$4:CZ$40),"",INDEX(CY$4:CY$40,MATCH(ROW()-3,CZ$4:CZ$40,0)))</f>
        <v/>
      </c>
      <c r="DB8" s="55">
        <f>IF('Final Calculation Sheet'!$T$8="","",'Final Calculation Sheet'!$T$8)</f>
        <v/>
      </c>
      <c r="DC8">
        <f>IF(DB8="","",COUNTIFS(DB$4:DB$40,"&lt;"&amp;DB8,DB$4:DB$40,"&lt;&gt;"&amp;"")+COUNTIF(DB$4:DB8,DB8))</f>
        <v/>
      </c>
      <c r="DD8" s="55">
        <f>IF(ROW()-3&gt;COUNTIF(DB$4:DB$40,"&lt;&gt;"&amp;""),"",INDEX(DB$4:DB$40,MATCH(ROW()-3,DC$4:DC$40,0)))</f>
        <v/>
      </c>
      <c r="DE8">
        <f>DE7+IF(AND(DD8&lt;&gt;"",COUNTIF(DD$4:DD8,DD8)=1),1,0)</f>
        <v/>
      </c>
      <c r="DF8" s="55">
        <f>IF(ROW()-3&gt;MAX(DE$4:DE$40),"",INDEX(DD$4:DD$40,MATCH(ROW()-3,DE$4:DE$40,0)))</f>
        <v/>
      </c>
      <c r="DG8" s="140">
        <f>IF('Final Calculation Sheet'!$U$8="","",'Final Calculation Sheet'!$U$8)</f>
        <v/>
      </c>
      <c r="DH8">
        <f>IF(DG8="","",COUNTIFS(DG$4:DG$40,"&lt;"&amp;DG8,DG$4:DG$40,"&lt;&gt;"&amp;"")+COUNTIF(DG$4:DG8,DG8))</f>
        <v/>
      </c>
      <c r="DI8" s="140">
        <f>IF(ROW()-3&gt;COUNTIF(DG$4:DG$40,"&lt;&gt;"&amp;""),"",INDEX(DG$4:DG$40,MATCH(ROW()-3,DH$4:DH$40,0)))</f>
        <v/>
      </c>
      <c r="DJ8">
        <f>DJ7+IF(AND(DI8&lt;&gt;"",COUNTIF(DI$4:DI8,DI8)=1),1,0)</f>
        <v/>
      </c>
      <c r="DK8" s="140">
        <f>IF(ROW()-3&gt;MAX(DJ$4:DJ$40),"",INDEX(DI$4:DI$40,MATCH(ROW()-3,DJ$4:DJ$40,0)))</f>
        <v/>
      </c>
      <c r="DL8">
        <f>IF('Final Calculation Sheet'!$V$8="","",'Final Calculation Sheet'!$V$8)</f>
        <v/>
      </c>
      <c r="DM8">
        <f>IF(DL8="","",COUNTIFS(DL$4:DL$40,"&lt;"&amp;DL8,DL$4:DL$40,"&lt;&gt;"&amp;"")+COUNTIF(DL$4:DL8,DL8))</f>
        <v/>
      </c>
      <c r="DN8">
        <f>IF(ROW()-3&gt;COUNTIF(DL$4:DL$40,"&lt;&gt;"&amp;""),"",INDEX(DL$4:DL$40,MATCH(ROW()-3,DM$4:DM$40,0)))</f>
        <v/>
      </c>
      <c r="DO8">
        <f>DO7+IF(AND(DN8&lt;&gt;"",COUNTIF(DN$4:DN8,DN8)=1),1,0)</f>
        <v/>
      </c>
      <c r="DP8">
        <f>IF(ROW()-3&gt;MAX(DO$4:DO$40),"",INDEX(DN$4:DN$40,MATCH(ROW()-3,DO$4:DO$40,0)))</f>
        <v/>
      </c>
      <c r="DQ8" s="55">
        <f>IF('Final Calculation Sheet'!$W$8="","",'Final Calculation Sheet'!$W$8)</f>
        <v/>
      </c>
      <c r="DR8">
        <f>IF(DQ8="","",COUNTIFS(DQ$4:DQ$40,"&lt;"&amp;DQ8,DQ$4:DQ$40,"&lt;&gt;"&amp;"")+COUNTIF(DQ$4:DQ8,DQ8))</f>
        <v/>
      </c>
      <c r="DS8" s="55">
        <f>IF(ROW()-3&gt;COUNTIF(DQ$4:DQ$40,"&lt;&gt;"&amp;""),"",INDEX(DQ$4:DQ$40,MATCH(ROW()-3,DR$4:DR$40,0)))</f>
        <v/>
      </c>
      <c r="DT8">
        <f>DT7+IF(AND(DS8&lt;&gt;"",COUNTIF(DS$4:DS8,DS8)=1),1,0)</f>
        <v/>
      </c>
      <c r="DU8" s="55">
        <f>IF(ROW()-3&gt;MAX(DT$4:DT$40),"",INDEX(DS$4:DS$40,MATCH(ROW()-3,DT$4:DT$40,0)))</f>
        <v/>
      </c>
      <c r="DV8" s="55">
        <f>IF('Final Calculation Sheet'!$X$8="","",'Final Calculation Sheet'!$X$8)</f>
        <v/>
      </c>
      <c r="DW8">
        <f>IF(DV8="","",COUNTIFS(DV$4:DV$40,"&lt;"&amp;DV8,DV$4:DV$40,"&lt;&gt;"&amp;"")+COUNTIF(DV$4:DV8,DV8))</f>
        <v/>
      </c>
      <c r="DX8" s="55">
        <f>IF(ROW()-3&gt;COUNTIF(DV$4:DV$40,"&lt;&gt;"&amp;""),"",INDEX(DV$4:DV$40,MATCH(ROW()-3,DW$4:DW$40,0)))</f>
        <v/>
      </c>
      <c r="DY8">
        <f>DY7+IF(AND(DX8&lt;&gt;"",COUNTIF(DX$4:DX8,DX8)=1),1,0)</f>
        <v/>
      </c>
      <c r="DZ8">
        <f>IF(ROW()-3&gt;MAX(DY$4:DY$40),"",INDEX(DX$4:DX$40,MATCH(ROW()-3,DY$4:DY$40,0)))</f>
        <v/>
      </c>
      <c r="EA8">
        <f>IF('Final Calculation Sheet'!$Y$8="","",'Final Calculation Sheet'!$Y$8)</f>
        <v/>
      </c>
      <c r="EB8">
        <f>IF(EA8="","",COUNTIFS(EA$4:EA$40,"&lt;"&amp;EA8,EA$4:EA$40,"&lt;&gt;"&amp;"")+COUNTIF(EA$4:EA8,EA8))</f>
        <v/>
      </c>
      <c r="EC8">
        <f>IF(ROW()-3&gt;COUNTIF(EA$4:EA$40,"&lt;&gt;"&amp;""),"",INDEX(EA$4:EA$40,MATCH(ROW()-3,EB$4:EB$40,0)))</f>
        <v/>
      </c>
      <c r="ED8">
        <f>ED7+IF(AND(EC8&lt;&gt;"",COUNTIF(EC$4:EC8,EC8)=1),1,0)</f>
        <v/>
      </c>
      <c r="EE8">
        <f>IF(ROW()-3&gt;MAX(ED$4:ED$40),"",INDEX(EC$4:EC$40,MATCH(ROW()-3,ED$4:ED$40,0)))</f>
        <v/>
      </c>
      <c r="EF8" s="55">
        <f>IF('Final Calculation Sheet'!$Z$8="","",'Final Calculation Sheet'!$Z$8)</f>
        <v/>
      </c>
      <c r="EG8">
        <f>IF(EF8="","",COUNTIFS(EF$4:EF$40,"&lt;"&amp;EF8,EF$4:EF$40,"&lt;&gt;"&amp;"")+COUNTIF(EF$4:EF8,EF8))</f>
        <v/>
      </c>
      <c r="EH8" s="55">
        <f>IF(ROW()-3&gt;COUNTIF(EF$4:EF$40,"&lt;&gt;"&amp;""),"",INDEX(EF$4:EF$40,MATCH(ROW()-3,EG$4:EG$40,0)))</f>
        <v/>
      </c>
      <c r="EI8">
        <f>EI7+IF(AND(EH8&lt;&gt;"",COUNTIF(EH$4:EH8,EH8)=1),1,0)</f>
        <v/>
      </c>
      <c r="EJ8" s="55">
        <f>IF(ROW()-3&gt;MAX(EI$4:EI$40),"",INDEX(EH$4:EH$40,MATCH(ROW()-3,EI$4:EI$40,0)))</f>
        <v/>
      </c>
      <c r="EK8">
        <f>IF('Final Calculation Sheet'!$AA$8="","",'Final Calculation Sheet'!$AA$8)</f>
        <v/>
      </c>
      <c r="EL8">
        <f>IF(EK8="","",COUNTIFS(EK$4:EK$40,"&lt;"&amp;EK8,EK$4:EK$40,"&lt;&gt;"&amp;"")+COUNTIF(EK$4:EK8,EK8))</f>
        <v/>
      </c>
      <c r="EM8">
        <f>IF(ROW()-3&gt;COUNTIF(EK$4:EK$40,"&lt;&gt;"&amp;""),"",INDEX(EK$4:EK$40,MATCH(ROW()-3,EL$4:EL$40,0)))</f>
        <v/>
      </c>
      <c r="EN8">
        <f>EN7+IF(AND(EM8&lt;&gt;"",COUNTIF(EM$4:EM8,EM8)=1),1,0)</f>
        <v/>
      </c>
      <c r="EO8">
        <f>IF(ROW()-3&gt;MAX(EN$4:EN$40),"",INDEX(EM$4:EM$40,MATCH(ROW()-3,EN$4:EN$40,0)))</f>
        <v/>
      </c>
      <c r="EP8">
        <f>IF('Final Calculation Sheet'!$AB$8="","",'Final Calculation Sheet'!$AB$8)</f>
        <v/>
      </c>
      <c r="EQ8">
        <f>IF(EP8="","",COUNTIFS(EP$4:EP$40,"&lt;"&amp;EP8,EP$4:EP$40,"&lt;&gt;"&amp;"")+COUNTIF(EP$4:EP8,EP8))</f>
        <v/>
      </c>
      <c r="ER8">
        <f>IF(ROW()-3&gt;COUNTIF(EP$4:EP$40,"&lt;&gt;"&amp;""),"",INDEX(EP$4:EP$40,MATCH(ROW()-3,EQ$4:EQ$40,0)))</f>
        <v/>
      </c>
      <c r="ES8">
        <f>ES7+IF(AND(ER8&lt;&gt;"",COUNTIF(ER$4:ER8,ER8)=1),1,0)</f>
        <v/>
      </c>
      <c r="ET8">
        <f>IF(ROW()-3&gt;MAX(ES$4:ES$40),"",INDEX(ER$4:ER$40,MATCH(ROW()-3,ES$4:ES$40,0)))</f>
        <v/>
      </c>
      <c r="EU8" s="55">
        <f>IF('Final Calculation Sheet'!$AC$8="","",'Final Calculation Sheet'!$AC$8)</f>
        <v/>
      </c>
      <c r="EV8">
        <f>IF(EU8="","",COUNTIFS(EU$4:EU$40,"&lt;"&amp;EU8,EU$4:EU$40,"&lt;&gt;"&amp;"")+COUNTIF(EU$4:EU8,EU8))</f>
        <v/>
      </c>
      <c r="EW8" s="55">
        <f>IF(ROW()-3&gt;COUNTIF(EU$4:EU$40,"&lt;&gt;"&amp;""),"",INDEX(EU$4:EU$40,MATCH(ROW()-3,EV$4:EV$40,0)))</f>
        <v/>
      </c>
      <c r="EX8">
        <f>EX7+IF(AND(EW8&lt;&gt;"",COUNTIF(EW$4:EW8,EW8)=1),1,0)</f>
        <v/>
      </c>
      <c r="EY8" s="55">
        <f>IF(ROW()-3&gt;MAX(EX$4:EX$40),"",INDEX(EW$4:EW$40,MATCH(ROW()-3,EX$4:EX$40,0)))</f>
        <v/>
      </c>
      <c r="EZ8" s="55">
        <f>IF('Final Calculation Sheet'!$AD$8="","",'Final Calculation Sheet'!$AD$8)</f>
        <v/>
      </c>
      <c r="FA8">
        <f>IF(EZ8="","",COUNTIFS(EZ$4:EZ$40,"&lt;"&amp;EZ8,EZ$4:EZ$40,"&lt;&gt;"&amp;"")+COUNTIF(EZ$4:EZ8,EZ8))</f>
        <v/>
      </c>
      <c r="FB8" s="55">
        <f>IF(ROW()-3&gt;COUNTIF(EZ$4:EZ$40,"&lt;&gt;"&amp;""),"",INDEX(EZ$4:EZ$40,MATCH(ROW()-3,FA$4:FA$40,0)))</f>
        <v/>
      </c>
      <c r="FC8">
        <f>FC7+IF(AND(FB8&lt;&gt;"",COUNTIF(FB$4:FB8,FB8)=1),1,0)</f>
        <v/>
      </c>
      <c r="FD8" s="55">
        <f>IF(ROW()-3&gt;MAX(FC$4:FC$40),"",INDEX(FB$4:FB$40,MATCH(ROW()-3,FC$4:FC$40,0)))</f>
        <v/>
      </c>
      <c r="FE8">
        <f>IF('Final Calculation Sheet'!$AF$8="","",'Final Calculation Sheet'!$AF$8)</f>
        <v/>
      </c>
      <c r="FF8">
        <f>IF(FE8="","",COUNTIFS(FE$4:FE$40,"&lt;"&amp;FE8,FE$4:FE$40,"&lt;&gt;"&amp;"")+COUNTIF(FE$4:FE8,FE8))</f>
        <v/>
      </c>
      <c r="FG8">
        <f>IF(ROW()-3&gt;COUNTIF(FE$4:FE$40,"&lt;&gt;"&amp;""),"",INDEX(FE$4:FE$40,MATCH(ROW()-3,FF$4:FF$40,0)))</f>
        <v/>
      </c>
      <c r="FH8">
        <f>FH7+IF(AND(FG8&lt;&gt;"",COUNTIF(FG$4:FG8,FG8)=1),1,0)</f>
        <v/>
      </c>
      <c r="FI8">
        <f>IF(ROW()-3&gt;MAX(FH$4:FH$40),"",INDEX(FG$4:FG$40,MATCH(ROW()-3,FH$4:FH$40,0)))</f>
        <v/>
      </c>
      <c r="FJ8" s="141">
        <f>IF('Final Calculation Sheet'!$AG$8="","",'Final Calculation Sheet'!$AG$8)</f>
        <v/>
      </c>
      <c r="FK8">
        <f>IF(FJ8="","",COUNTIFS(FJ$4:FJ$40,"&lt;"&amp;FJ8,FJ$4:FJ$40,"&lt;&gt;"&amp;"")+COUNTIF(FJ$4:FJ8,FJ8))</f>
        <v/>
      </c>
      <c r="FL8" s="141">
        <f>IF(ROW()-3&gt;COUNTIF(FJ$4:FJ$40,"&lt;&gt;"&amp;""),"",INDEX(FJ$4:FJ$40,MATCH(ROW()-3,FK$4:FK$40,0)))</f>
        <v/>
      </c>
      <c r="FM8">
        <f>FM7+IF(AND(FL8&lt;&gt;"",COUNTIF(FL$4:FL8,FL8)=1),1,0)</f>
        <v/>
      </c>
      <c r="FN8">
        <f>IF(ROW()-3&gt;MAX(FM$4:FM$40),"",INDEX(FL$4:FL$40,MATCH(ROW()-3,FM$4:FM$40,0)))</f>
        <v/>
      </c>
      <c r="FO8">
        <f>IF('Final Calculation Sheet'!$AH$8="","",'Final Calculation Sheet'!$AH$8)</f>
        <v/>
      </c>
      <c r="FP8">
        <f>IF(FO8="","",COUNTIFS(FO$4:FO$40,"&lt;"&amp;FO8,FO$4:FO$40,"&lt;&gt;"&amp;"")+COUNTIF(FO$4:FO8,FO8))</f>
        <v/>
      </c>
      <c r="FQ8">
        <f>IF(ROW()-3&gt;COUNTIF(FO$4:FO$40,"&lt;&gt;"&amp;""),"",INDEX(FO$4:FO$40,MATCH(ROW()-3,FP$4:FP$40,0)))</f>
        <v/>
      </c>
      <c r="FR8">
        <f>FR7+IF(AND(FQ8&lt;&gt;"",COUNTIF(FQ$4:FQ8,FQ8)=1),1,0)</f>
        <v/>
      </c>
      <c r="FS8">
        <f>IF(ROW()-3&gt;MAX(FR$4:FR$40),"",INDEX(FQ$4:FQ$40,MATCH(ROW()-3,FR$4:FR$40,0)))</f>
        <v/>
      </c>
      <c r="FU8">
        <f>IF(FT8="","",COUNTIFS(FT$4:FT$40,"&lt;"&amp;FT8,FT$4:FT$40,"&lt;&gt;"&amp;"")+COUNTIF(FT$4:FT8,FT8))</f>
        <v/>
      </c>
      <c r="FV8">
        <f>IF(ROW()-3&gt;COUNTIF(FT$4:FT$40,"&lt;&gt;"&amp;""),"",INDEX(FT$4:FT$40,MATCH(ROW()-3,FU$4:FU$40,0)))</f>
        <v/>
      </c>
      <c r="FW8">
        <f>FW7+IF(AND(FV8&lt;&gt;"",COUNTIF(FV$4:FV8,FV8)=1),1,0)</f>
        <v/>
      </c>
      <c r="FX8">
        <f>IF(ROW()-3&gt;MAX(FW$4:FW$40),"",INDEX(FV$4:FV$40,MATCH(ROW()-3,FW$4:FW$40,0)))</f>
        <v/>
      </c>
      <c r="FY8">
        <f>IF(COUNTIF('Live Search'!BM$7:BO$7,0)+COUNTIF('Live Search'!BQ$7:CU$7,0)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8">
        <f>IF($Y$8="",FALSE,SUMPRODUCT(('Final Calculation Sheet'!$B$4:$B$40=$Y$8)*($FY$6:$FY$42=1))&gt;0)</f>
        <v/>
      </c>
      <c r="GA8">
        <f>$GA$7+--($FZ$8)</f>
        <v/>
      </c>
      <c r="GB8">
        <f>IF(ROW()-3&gt;MAX($GA$4:$GA$40),"",INDEX($Y$4:$Y$40,MATCH(ROW()-3,$GA$4:$GA$40,0)))</f>
        <v/>
      </c>
      <c r="GC8">
        <f>IF('Final Calculation Sheet'!$F$8="","",IF(TRIM('Final Calculation Sheet'!$G$2)="",'Final Calculation Sheet'!$F$8,IF(TRIM('Final Calculation Sheet'!$G$2)="(nonblank)",IF('Final Calculation Sheet'!$G$8&lt;&gt;"",'Final Calculation Sheet'!$F$8,""),IF(TRIM('Final Calculation Sheet'!$G$2)="(blank)",IF('Final Calculation Sheet'!$G$8="",'Final Calculation Sheet'!$F$8,""),IF(ISNUMBER(SEARCH(TRIM('Final Calculation Sheet'!$G$2),'Final Calculation Sheet'!$G$8)),'Final Calculation Sheet'!$F$8,"")))))</f>
        <v/>
      </c>
      <c r="GD8">
        <f>IF(GC8="","",COUNTIFS(GC$4:GC$40,"&lt;"&amp;GC8,GC$4:GC$40,"&lt;&gt;"&amp;"")+COUNTIF(GC$4:GC8,GC8))</f>
        <v/>
      </c>
      <c r="GE8">
        <f>IF(ROW()-3&gt;COUNTIF(GC$4:GC$40,"&lt;&gt;"&amp;""),"",INDEX(GC$4:GC$40,MATCH(ROW()-3,GD$4:GD$40,0)))</f>
        <v/>
      </c>
      <c r="GF8">
        <f>GF7+IF(AND(GE8&lt;&gt;"",COUNTIF(GE$4:GE8,GE8)=1),1,0)</f>
        <v/>
      </c>
      <c r="GG8">
        <f>IF(ROW()-3&gt;MAX(GF$4:GF$40),"",INDEX(GE$4:GE$40,MATCH(ROW()-3,GF$4:GF$40,0)))</f>
        <v/>
      </c>
      <c r="GH8">
        <f>IF('Final Calculation Sheet'!$F$8="","",IF('Live Search'!$BO$9=1,'Final Calculation Sheet'!$F$8,""))</f>
        <v/>
      </c>
      <c r="GI8">
        <f>IF(GH8="","",COUNTIFS(GH$4:GH$40,"&lt;"&amp;GH8,GH$4:GH$40,"&lt;&gt;"&amp;"")+COUNTIF(GH$4:GH8,GH8))</f>
        <v/>
      </c>
      <c r="GJ8">
        <f>IF(ROW()-3&gt;COUNTIF(GH$4:GH$40,"&lt;&gt;"&amp;""),"",INDEX(GH$4:GH$40,MATCH(ROW()-3,GI$4:GI$40,0)))</f>
        <v/>
      </c>
      <c r="GK8">
        <f>GK7+IF(AND(GJ8&lt;&gt;"",COUNTIF(GJ$4:GJ8,GJ8)=1),1,0)</f>
        <v/>
      </c>
      <c r="GL8">
        <f>IF(ROW()-3&gt;MAX(GK$4:GK$40),"",INDEX(GJ$4:GJ$40,MATCH(ROW()-3,GK$4:GK$40,0)))</f>
        <v/>
      </c>
      <c r="GM8">
        <f>IF('Final Calculation Sheet'!$F$8="","",IF(TRIM('Buyer Groups'!$C$4)="",'Final Calculation Sheet'!$F$8,IF(TRIM('Buyer Groups'!$C$4)="(nonblank)",IF('Final Calculation Sheet'!$G$8&lt;&gt;"",'Final Calculation Sheet'!$F$8,""),IF(TRIM('Buyer Groups'!$C$4)="(blank)",IF('Final Calculation Sheet'!$G$8="",'Final Calculation Sheet'!$F$8,""),IF(ISNUMBER(SEARCH(TRIM('Buyer Groups'!$C$4),'Final Calculation Sheet'!$G$8)),'Final Calculation Sheet'!$F$8,"")))))</f>
        <v/>
      </c>
      <c r="GN8">
        <f>IF(GM8="","",COUNTIFS(GM$4:GM$40,"&lt;"&amp;GM8,GM$4:GM$40,"&lt;&gt;"&amp;"")+COUNTIF(GM$4:GM8,GM8))</f>
        <v/>
      </c>
      <c r="GO8">
        <f>IF(ROW()-3&gt;COUNTIF(GM$4:GM$40,"&lt;&gt;"&amp;""),"",INDEX(GM$4:GM$40,MATCH(ROW()-3,GN$4:GN$40,0)))</f>
        <v/>
      </c>
      <c r="GP8">
        <f>GP7+IF(AND(GO8&lt;&gt;"",COUNTIF(GO$4:GO8,GO8)=1),1,0)</f>
        <v/>
      </c>
      <c r="GQ8">
        <f>IF(ROW()-3&gt;MAX(GP$4:GP$40),"",INDEX(GO$4:GO$40,MATCH(ROW()-3,GP$4:GP$40,0)))</f>
        <v/>
      </c>
      <c r="GR8">
        <f>IF('Final Calculation Sheet'!$B$8="","",IF(TRIM('Final Calculation Sheet'!$G$2)="",'Final Calculation Sheet'!$B$8,IF(TRIM('Final Calculation Sheet'!$G$2)="(nonblank)",IF('Final Calculation Sheet'!$G$8&lt;&gt;"",'Final Calculation Sheet'!$B$8,""),IF(TRIM('Final Calculation Sheet'!$G$2)="(blank)",IF('Final Calculation Sheet'!$G$8="",'Final Calculation Sheet'!$B$8,""),IF(ISNUMBER(SEARCH(TRIM('Final Calculation Sheet'!$G$2),'Final Calculation Sheet'!$G$8)),'Final Calculation Sheet'!$B$8,"")))))</f>
        <v/>
      </c>
      <c r="GS8">
        <f>IF(GR8="","",COUNTIFS(GR$4:GR$40,"&lt;"&amp;GR8,GR$4:GR$40,"&lt;&gt;"&amp;"")+COUNTIF(GR$4:GR8,GR8))</f>
        <v/>
      </c>
      <c r="GT8">
        <f>IF(ROW()-3&gt;COUNTIF(GR$4:GR$40,"&lt;&gt;"&amp;""),"",INDEX(GR$4:GR$40,MATCH(ROW()-3,GS$4:GS$40,0)))</f>
        <v/>
      </c>
      <c r="GU8">
        <f>GU7+IF(AND(GT8&lt;&gt;"",COUNTIF(GT$4:GT8,GT8)=1),1,0)</f>
        <v/>
      </c>
      <c r="GV8">
        <f>IF(ROW()-3&gt;MAX(GU$4:GU$40),"",INDEX(GT$4:GT$40,MATCH(ROW()-3,GU$4:GU$40,0)))</f>
        <v/>
      </c>
      <c r="GW8">
        <f>IF('Final Calculation Sheet'!$B$8="","",IF(TRIM('Buyer Groups'!$C$4)="",'Final Calculation Sheet'!$B$8,IF(TRIM('Buyer Groups'!$C$4)="(nonblank)",IF('Final Calculation Sheet'!$G$8&lt;&gt;"",'Final Calculation Sheet'!$B$8,""),IF(TRIM('Buyer Groups'!$C$4)="(blank)",IF('Final Calculation Sheet'!$G$8="",'Final Calculation Sheet'!$B$8,""),IF(ISNUMBER(SEARCH(TRIM('Buyer Groups'!$C$4),'Final Calculation Sheet'!$G$8)),'Final Calculation Sheet'!$B$8,"")))))</f>
        <v/>
      </c>
      <c r="GX8">
        <f>IF(GW8="","",COUNTIFS(GW$4:GW$40,"&lt;"&amp;GW8,GW$4:GW$40,"&lt;&gt;"&amp;"")+COUNTIF(GW$4:GW8,GW8))</f>
        <v/>
      </c>
      <c r="GY8">
        <f>IF(ROW()-3&gt;COUNTIF(GW$4:GW$40,"&lt;&gt;"&amp;""),"",INDEX(GW$4:GW$40,MATCH(ROW()-3,GX$4:GX$40,0)))</f>
        <v/>
      </c>
      <c r="GZ8">
        <f>GZ7+IF(AND(GY8&lt;&gt;"",COUNTIF(GY$4:GY8,GY8)=1),1,0)</f>
        <v/>
      </c>
      <c r="HA8">
        <f>IF(ROW()-3&gt;MAX(GZ$4:GZ$40),"",INDEX(GY$4:GY$40,MATCH(ROW()-3,GZ$4:GZ$40,0)))</f>
        <v/>
      </c>
    </row>
    <row r="9">
      <c r="A9">
        <f>IF('Final Calculation Sheet'!$F$9="","",'Final Calculation Sheet'!$F$9)</f>
        <v/>
      </c>
      <c r="B9">
        <f>IF(A9="","",COUNTIFS(A$4:A$114,"&lt;"&amp;A9,A$4:A$114,"&lt;&gt;"&amp;"")+COUNTIF(A$4:A9,A9))</f>
        <v/>
      </c>
      <c r="C9">
        <f>IF(ROW()-3&gt;COUNTIF(A$4:A$114,"&lt;&gt;"&amp;""),"",INDEX(A$4:A$114,MATCH(ROW()-3,B$4:B$114,0)))</f>
        <v/>
      </c>
      <c r="D9">
        <f>D8+IF(AND(C9&lt;&gt;"",COUNTIF(C$4:C9,C9)=1),1,0)</f>
        <v/>
      </c>
      <c r="E9">
        <f>IF(ROW()-3&gt;MAX(D$4:D$114),"",INDEX(C$4:C$114,MATCH(ROW()-3,D$4:D$114,0)))</f>
        <v/>
      </c>
      <c r="F9">
        <f>ROW()-3</f>
        <v/>
      </c>
      <c r="G9">
        <f>IF(F9="","",COUNTIFS(F$4:F$40,"&lt;"&amp;F9,F$4:F$40,"&lt;&gt;"&amp;"")+COUNTIF(F$4:F9,F9))</f>
        <v/>
      </c>
      <c r="H9">
        <f>IF(ROW()-3&gt;COUNTIF(F$4:F$40,"&lt;&gt;"&amp;""),"",INDEX(F$4:F$40,MATCH(ROW()-3,G$4:G$40,0)))</f>
        <v/>
      </c>
      <c r="I9">
        <f>I8+IF(AND(H9&lt;&gt;"",COUNTIF(H$4:H9,H9)=1),1,0)</f>
        <v/>
      </c>
      <c r="J9">
        <f>IF(ROW()-3&gt;MAX(I$4:I$40),"",INDEX(H$4:H$40,MATCH(ROW()-3,I$4:I$40,0)))</f>
        <v/>
      </c>
      <c r="K9">
        <f>IF('Final Calculation Sheet'!$F$9="","",'Final Calculation Sheet'!$F$9)</f>
        <v/>
      </c>
      <c r="L9">
        <f>IF(K9="","",COUNTIFS(K$4:K$40,"&lt;"&amp;K9,K$4:K$40,"&lt;&gt;"&amp;"")+COUNTIF(K$4:K9,K9))</f>
        <v/>
      </c>
      <c r="M9">
        <f>IF(ROW()-3&gt;COUNTIF(K$4:K$40,"&lt;&gt;"&amp;""),"",INDEX(K$4:K$40,MATCH(ROW()-3,L$4:L$40,0)))</f>
        <v/>
      </c>
      <c r="N9">
        <f>N8+IF(AND(M9&lt;&gt;"",COUNTIF(M$4:M9,M9)=1),1,0)</f>
        <v/>
      </c>
      <c r="O9">
        <f>IF(ROW()-3&gt;MAX(N$4:N$40),"",INDEX(M$4:M$40,MATCH(ROW()-3,N$4:N$40,0)))</f>
        <v/>
      </c>
      <c r="P9">
        <f>IF('Final Calculation Sheet'!$G$9="","",'Final Calculation Sheet'!$G$9)</f>
        <v/>
      </c>
      <c r="Q9">
        <f>IF(P9="","",COUNTIFS(P$4:P$40,"&lt;"&amp;P9,P$4:P$40,"&lt;&gt;"&amp;"")+COUNTIF(P$4:P9,P9))</f>
        <v/>
      </c>
      <c r="R9">
        <f>IF(ROW()-3&gt;COUNTIF(P$4:P$40,"&lt;&gt;"&amp;""),"",INDEX(P$4:P$40,MATCH(ROW()-3,Q$4:Q$40,0)))</f>
        <v/>
      </c>
      <c r="S9">
        <f>S8+IF(AND(R9&lt;&gt;"",COUNTIF(R$4:R9,R9)=1),1,0)</f>
        <v/>
      </c>
      <c r="T9">
        <f>IF(ROW()-3&gt;MAX(S$4:S$40),"",INDEX(R$4:R$40,MATCH(ROW()-3,S$4:S$40,0)))</f>
        <v/>
      </c>
      <c r="U9">
        <f>IF('Final Calculation Sheet'!$B$9="","",'Final Calculation Sheet'!$B$9)</f>
        <v/>
      </c>
      <c r="V9">
        <f>IF(U9="","",COUNTIFS(U$4:U$40,"&lt;"&amp;U9,U$4:U$40,"&lt;&gt;"&amp;"")+COUNTIF(U$4:U9,U9))</f>
        <v/>
      </c>
      <c r="W9">
        <f>IF(ROW()-3&gt;COUNTIF(U$4:U$40,"&lt;&gt;"&amp;""),"",INDEX(U$4:U$40,MATCH(ROW()-3,V$4:V$40,0)))</f>
        <v/>
      </c>
      <c r="X9">
        <f>X8+IF(AND(W9&lt;&gt;"",COUNTIF(W$4:W9,W9)=1),1,0)</f>
        <v/>
      </c>
      <c r="Y9">
        <f>IF(ROW()-3&gt;MAX(X$4:X$40),"",INDEX(W$4:W$40,MATCH(ROW()-3,X$4:X$40,0)))</f>
        <v/>
      </c>
      <c r="Z9">
        <f>IF('Final Calculation Sheet'!$D$9="","",'Final Calculation Sheet'!$D$9)</f>
        <v/>
      </c>
      <c r="AA9">
        <f>IF(Z9="","",COUNTIFS(Z$4:Z$40,"&lt;"&amp;Z9,Z$4:Z$40,"&lt;&gt;"&amp;"")+COUNTIF(Z$4:Z9,Z9))</f>
        <v/>
      </c>
      <c r="AB9">
        <f>IF(ROW()-3&gt;COUNTIF(Z$4:Z$40,"&lt;&gt;"&amp;""),"",INDEX(Z$4:Z$40,MATCH(ROW()-3,AA$4:AA$40,0)))</f>
        <v/>
      </c>
      <c r="AC9">
        <f>AC8+IF(AND(AB9&lt;&gt;"",COUNTIF(AB$4:AB9,AB9)=1),1,0)</f>
        <v/>
      </c>
      <c r="AD9">
        <f>IF(ROW()-3&gt;MAX(AC$4:AC$40),"",INDEX(AB$4:AB$40,MATCH(ROW()-3,AC$4:AC$40,0)))</f>
        <v/>
      </c>
      <c r="AE9">
        <f>IF('Final Calculation Sheet'!$A$9="","",'Final Calculation Sheet'!$A$9)</f>
        <v/>
      </c>
      <c r="AF9">
        <f>IF(AE9="","",COUNTIFS(AE$4:AE$40,"&lt;"&amp;AE9,AE$4:AE$40,"&lt;&gt;"&amp;"")+COUNTIF(AE$4:AE9,AE9))</f>
        <v/>
      </c>
      <c r="AG9">
        <f>IF(ROW()-3&gt;COUNTIF(AE$4:AE$40,"&lt;&gt;"&amp;""),"",INDEX(AE$4:AE$40,MATCH(ROW()-3,AF$4:AF$40,0)))</f>
        <v/>
      </c>
      <c r="AH9">
        <f>AH8+IF(AND(AG9&lt;&gt;"",COUNTIF(AG$4:AG9,AG9)=1),1,0)</f>
        <v/>
      </c>
      <c r="AI9">
        <f>IF(ROW()-3&gt;MAX(AH$4:AH$40),"",INDEX(AG$4:AG$40,MATCH(ROW()-3,AH$4:AH$40,0)))</f>
        <v/>
      </c>
      <c r="AJ9">
        <f>IF('Final Calculation Sheet'!$E$9="","",'Final Calculation Sheet'!$E$9)</f>
        <v/>
      </c>
      <c r="AK9">
        <f>IF(AJ9="","",COUNTIFS(AJ$4:AJ$40,"&lt;"&amp;AJ9,AJ$4:AJ$40,"&lt;&gt;"&amp;"")+COUNTIF(AJ$4:AJ9,AJ9))</f>
        <v/>
      </c>
      <c r="AL9">
        <f>IF(ROW()-3&gt;COUNTIF(AJ$4:AJ$40,"&lt;&gt;"&amp;""),"",INDEX(AJ$4:AJ$40,MATCH(ROW()-3,AK$4:AK$40,0)))</f>
        <v/>
      </c>
      <c r="AM9">
        <f>AM8+IF(AND(AL9&lt;&gt;"",COUNTIF(AL$4:AL9,AL9)=1),1,0)</f>
        <v/>
      </c>
      <c r="AN9">
        <f>IF(ROW()-3&gt;MAX(AM$4:AM$40),"",INDEX(AL$4:AL$40,MATCH(ROW()-3,AM$4:AM$40,0)))</f>
        <v/>
      </c>
      <c r="AO9" s="55">
        <f>IF('Final Calculation Sheet'!$C$9="","",'Final Calculation Sheet'!$C$9)</f>
        <v/>
      </c>
      <c r="AP9">
        <f>IF(AO9="","",COUNTIFS(AO$4:AO$40,"&lt;"&amp;AO9,AO$4:AO$40,"&lt;&gt;"&amp;"")+COUNTIF(AO$4:AO9,AO9))</f>
        <v/>
      </c>
      <c r="AQ9" s="55">
        <f>IF(ROW()-3&gt;COUNTIF(AO$4:AO$40,"&lt;&gt;"&amp;""),"",INDEX(AO$4:AO$40,MATCH(ROW()-3,AP$4:AP$40,0)))</f>
        <v/>
      </c>
      <c r="AR9">
        <f>AR8+IF(AND(AQ9&lt;&gt;"",COUNTIF(AQ$4:AQ9,AQ9)=1),1,0)</f>
        <v/>
      </c>
      <c r="AS9" s="55">
        <f>IF(ROW()-3&gt;MAX(AR$4:AR$40),"",INDEX(AQ$4:AQ$40,MATCH(ROW()-3,AR$4:AR$40,0)))</f>
        <v/>
      </c>
      <c r="AT9" s="55">
        <f>IF('Final Calculation Sheet'!$H$9="","",'Final Calculation Sheet'!$H$9)</f>
        <v/>
      </c>
      <c r="AU9">
        <f>IF(AT9="","",COUNTIFS(AT$4:AT$40,"&lt;"&amp;AT9,AT$4:AT$40,"&lt;&gt;"&amp;"")+COUNTIF(AT$4:AT9,AT9))</f>
        <v/>
      </c>
      <c r="AV9" s="55">
        <f>IF(ROW()-3&gt;COUNTIF(AT$4:AT$40,"&lt;&gt;"&amp;""),"",INDEX(AT$4:AT$40,MATCH(ROW()-3,AU$4:AU$40,0)))</f>
        <v/>
      </c>
      <c r="AW9">
        <f>AW8+IF(AND(AV9&lt;&gt;"",COUNTIF(AV$4:AV9,AV9)=1),1,0)</f>
        <v/>
      </c>
      <c r="AX9" s="55">
        <f>IF(ROW()-3&gt;MAX(AW$4:AW$40),"",INDEX(AV$4:AV$40,MATCH(ROW()-3,AW$4:AW$40,0)))</f>
        <v/>
      </c>
      <c r="AY9" s="55">
        <f>IF('Final Calculation Sheet'!$I$9="","",'Final Calculation Sheet'!$I$9)</f>
        <v/>
      </c>
      <c r="AZ9">
        <f>IF(AY9="","",COUNTIFS(AY$4:AY$40,"&lt;"&amp;AY9,AY$4:AY$40,"&lt;&gt;"&amp;"")+COUNTIF(AY$4:AY9,AY9))</f>
        <v/>
      </c>
      <c r="BA9" s="55">
        <f>IF(ROW()-3&gt;COUNTIF(AY$4:AY$40,"&lt;&gt;"&amp;""),"",INDEX(AY$4:AY$40,MATCH(ROW()-3,AZ$4:AZ$40,0)))</f>
        <v/>
      </c>
      <c r="BB9">
        <f>BB8+IF(AND(BA9&lt;&gt;"",COUNTIF(BA$4:BA9,BA9)=1),1,0)</f>
        <v/>
      </c>
      <c r="BC9" s="55">
        <f>IF(ROW()-3&gt;MAX(BB$4:BB$40),"",INDEX(BA$4:BA$40,MATCH(ROW()-3,BB$4:BB$40,0)))</f>
        <v/>
      </c>
      <c r="BD9" s="55">
        <f>IF('Final Calculation Sheet'!$J$9="","",'Final Calculation Sheet'!$J$9)</f>
        <v/>
      </c>
      <c r="BE9">
        <f>IF(BD9="","",COUNTIFS(BD$4:BD$40,"&lt;"&amp;BD9,BD$4:BD$40,"&lt;&gt;"&amp;"")+COUNTIF(BD$4:BD9,BD9))</f>
        <v/>
      </c>
      <c r="BF9" s="55">
        <f>IF(ROW()-3&gt;COUNTIF(BD$4:BD$40,"&lt;&gt;"&amp;""),"",INDEX(BD$4:BD$40,MATCH(ROW()-3,BE$4:BE$40,0)))</f>
        <v/>
      </c>
      <c r="BG9">
        <f>BG8+IF(AND(BF9&lt;&gt;"",COUNTIF(BF$4:BF9,BF9)=1),1,0)</f>
        <v/>
      </c>
      <c r="BH9" s="55">
        <f>IF(ROW()-3&gt;MAX(BG$4:BG$40),"",INDEX(BF$4:BF$40,MATCH(ROW()-3,BG$4:BG$40,0)))</f>
        <v/>
      </c>
      <c r="BI9" s="55">
        <f>IF('Final Calculation Sheet'!$K$9="","",'Final Calculation Sheet'!$K$9)</f>
        <v/>
      </c>
      <c r="BJ9">
        <f>IF(BI9="","",COUNTIFS(BI$4:BI$40,"&lt;"&amp;BI9,BI$4:BI$40,"&lt;&gt;"&amp;"")+COUNTIF(BI$4:BI9,BI9))</f>
        <v/>
      </c>
      <c r="BK9" s="55">
        <f>IF(ROW()-3&gt;COUNTIF(BI$4:BI$40,"&lt;&gt;"&amp;""),"",INDEX(BI$4:BI$40,MATCH(ROW()-3,BJ$4:BJ$40,0)))</f>
        <v/>
      </c>
      <c r="BL9">
        <f>BL8+IF(AND(BK9&lt;&gt;"",COUNTIF(BK$4:BK9,BK9)=1),1,0)</f>
        <v/>
      </c>
      <c r="BM9" s="55">
        <f>IF(ROW()-3&gt;MAX(BL$4:BL$40),"",INDEX(BK$4:BK$40,MATCH(ROW()-3,BL$4:BL$40,0)))</f>
        <v/>
      </c>
      <c r="BN9" s="55">
        <f>IF('Final Calculation Sheet'!$L$9="","",'Final Calculation Sheet'!$L$9)</f>
        <v/>
      </c>
      <c r="BO9">
        <f>IF(BN9="","",COUNTIFS(BN$4:BN$40,"&lt;"&amp;BN9,BN$4:BN$40,"&lt;&gt;"&amp;"")+COUNTIF(BN$4:BN9,BN9))</f>
        <v/>
      </c>
      <c r="BP9" s="55">
        <f>IF(ROW()-3&gt;COUNTIF(BN$4:BN$40,"&lt;&gt;"&amp;""),"",INDEX(BN$4:BN$40,MATCH(ROW()-3,BO$4:BO$40,0)))</f>
        <v/>
      </c>
      <c r="BQ9">
        <f>BQ8+IF(AND(BP9&lt;&gt;"",COUNTIF(BP$4:BP9,BP9)=1),1,0)</f>
        <v/>
      </c>
      <c r="BR9" s="55">
        <f>IF(ROW()-3&gt;MAX(BQ$4:BQ$40),"",INDEX(BP$4:BP$40,MATCH(ROW()-3,BQ$4:BQ$40,0)))</f>
        <v/>
      </c>
      <c r="BS9" s="55">
        <f>IF('Final Calculation Sheet'!$M$9="","",'Final Calculation Sheet'!$M$9)</f>
        <v/>
      </c>
      <c r="BT9">
        <f>IF(BS9="","",COUNTIFS(BS$4:BS$40,"&lt;"&amp;BS9,BS$4:BS$40,"&lt;&gt;"&amp;"")+COUNTIF(BS$4:BS9,BS9))</f>
        <v/>
      </c>
      <c r="BU9" s="55">
        <f>IF(ROW()-3&gt;COUNTIF(BS$4:BS$40,"&lt;&gt;"&amp;""),"",INDEX(BS$4:BS$40,MATCH(ROW()-3,BT$4:BT$40,0)))</f>
        <v/>
      </c>
      <c r="BV9">
        <f>BV8+IF(AND(BU9&lt;&gt;"",COUNTIF(BU$4:BU9,BU9)=1),1,0)</f>
        <v/>
      </c>
      <c r="BW9" s="55">
        <f>IF(ROW()-3&gt;MAX(BV$4:BV$40),"",INDEX(BU$4:BU$40,MATCH(ROW()-3,BV$4:BV$40,0)))</f>
        <v/>
      </c>
      <c r="BX9" s="138">
        <f>IF('Final Calculation Sheet'!$N$9="","",'Final Calculation Sheet'!$N$9)</f>
        <v/>
      </c>
      <c r="BY9">
        <f>IF(BX9="","",COUNTIFS(BX$4:BX$40,"&lt;"&amp;BX9,BX$4:BX$40,"&lt;&gt;"&amp;"")+COUNTIF(BX$4:BX9,BX9))</f>
        <v/>
      </c>
      <c r="BZ9" s="138">
        <f>IF(ROW()-3&gt;COUNTIF(BX$4:BX$40,"&lt;&gt;"&amp;""),"",INDEX(BX$4:BX$40,MATCH(ROW()-3,BY$4:BY$40,0)))</f>
        <v/>
      </c>
      <c r="CA9">
        <f>CA8+IF(AND(BZ9&lt;&gt;"",COUNTIF(BZ$4:BZ9,BZ9)=1),1,0)</f>
        <v/>
      </c>
      <c r="CB9" s="138">
        <f>IF(ROW()-3&gt;MAX(CA$4:CA$40),"",INDEX(BZ$4:BZ$40,MATCH(ROW()-3,CA$4:CA$40,0)))</f>
        <v/>
      </c>
      <c r="CC9" s="55">
        <f>IF('Final Calculation Sheet'!$O$9="","",'Final Calculation Sheet'!$O$9)</f>
        <v/>
      </c>
      <c r="CD9">
        <f>IF(CC9="","",COUNTIFS(CC$4:CC$40,"&lt;"&amp;CC9,CC$4:CC$40,"&lt;&gt;"&amp;"")+COUNTIF(CC$4:CC9,CC9))</f>
        <v/>
      </c>
      <c r="CE9" s="55">
        <f>IF(ROW()-3&gt;COUNTIF(CC$4:CC$40,"&lt;&gt;"&amp;""),"",INDEX(CC$4:CC$40,MATCH(ROW()-3,CD$4:CD$40,0)))</f>
        <v/>
      </c>
      <c r="CF9">
        <f>CF8+IF(AND(CE9&lt;&gt;"",COUNTIF(CE$4:CE9,CE9)=1),1,0)</f>
        <v/>
      </c>
      <c r="CG9" s="55">
        <f>IF(ROW()-3&gt;MAX(CF$4:CF$40),"",INDEX(CE$4:CE$40,MATCH(ROW()-3,CF$4:CF$40,0)))</f>
        <v/>
      </c>
      <c r="CH9" s="55">
        <f>IF('Final Calculation Sheet'!$P$9="","",'Final Calculation Sheet'!$P$9)</f>
        <v/>
      </c>
      <c r="CI9">
        <f>IF(CH9="","",COUNTIFS(CH$4:CH$40,"&lt;"&amp;CH9,CH$4:CH$40,"&lt;&gt;"&amp;"")+COUNTIF(CH$4:CH9,CH9))</f>
        <v/>
      </c>
      <c r="CJ9" s="55">
        <f>IF(ROW()-3&gt;COUNTIF(CH$4:CH$40,"&lt;&gt;"&amp;""),"",INDEX(CH$4:CH$40,MATCH(ROW()-3,CI$4:CI$40,0)))</f>
        <v/>
      </c>
      <c r="CK9">
        <f>CK8+IF(AND(CJ9&lt;&gt;"",COUNTIF(CJ$4:CJ9,CJ9)=1),1,0)</f>
        <v/>
      </c>
      <c r="CL9" s="55">
        <f>IF(ROW()-3&gt;MAX(CK$4:CK$40),"",INDEX(CJ$4:CJ$40,MATCH(ROW()-3,CK$4:CK$40,0)))</f>
        <v/>
      </c>
      <c r="CM9" s="139">
        <f>IF('Final Calculation Sheet'!$Q$9="","",'Final Calculation Sheet'!$Q$9)</f>
        <v/>
      </c>
      <c r="CN9">
        <f>IF(CM9="","",COUNTIFS(CM$4:CM$40,"&lt;"&amp;CM9,CM$4:CM$40,"&lt;&gt;"&amp;"")+COUNTIF(CM$4:CM9,CM9))</f>
        <v/>
      </c>
      <c r="CO9" s="139">
        <f>IF(ROW()-3&gt;COUNTIF(CM$4:CM$40,"&lt;&gt;"&amp;""),"",INDEX(CM$4:CM$40,MATCH(ROW()-3,CN$4:CN$40,0)))</f>
        <v/>
      </c>
      <c r="CP9">
        <f>CP8+IF(AND(CO9&lt;&gt;"",COUNTIF(CO$4:CO9,CO9)=1),1,0)</f>
        <v/>
      </c>
      <c r="CQ9">
        <f>IF(ROW()-3&gt;MAX(CP$4:CP$40),"",INDEX(CO$4:CO$40,MATCH(ROW()-3,CP$4:CP$40,0)))</f>
        <v/>
      </c>
      <c r="CR9" s="55">
        <f>IF('Final Calculation Sheet'!$R$9="","",'Final Calculation Sheet'!$R$9)</f>
        <v/>
      </c>
      <c r="CS9">
        <f>IF(CR9="","",COUNTIFS(CR$4:CR$40,"&lt;"&amp;CR9,CR$4:CR$40,"&lt;&gt;"&amp;"")+COUNTIF(CR$4:CR9,CR9))</f>
        <v/>
      </c>
      <c r="CT9" s="55">
        <f>IF(ROW()-3&gt;COUNTIF(CR$4:CR$40,"&lt;&gt;"&amp;""),"",INDEX(CR$4:CR$40,MATCH(ROW()-3,CS$4:CS$40,0)))</f>
        <v/>
      </c>
      <c r="CU9">
        <f>CU8+IF(AND(CT9&lt;&gt;"",COUNTIF(CT$4:CT9,CT9)=1),1,0)</f>
        <v/>
      </c>
      <c r="CV9">
        <f>IF(ROW()-3&gt;MAX(CU$4:CU$40),"",INDEX(CT$4:CT$40,MATCH(ROW()-3,CU$4:CU$40,0)))</f>
        <v/>
      </c>
      <c r="CW9" s="55">
        <f>IF('Final Calculation Sheet'!$S$9="","",'Final Calculation Sheet'!$S$9)</f>
        <v/>
      </c>
      <c r="CX9">
        <f>IF(CW9="","",COUNTIFS(CW$4:CW$40,"&lt;"&amp;CW9,CW$4:CW$40,"&lt;&gt;"&amp;"")+COUNTIF(CW$4:CW9,CW9))</f>
        <v/>
      </c>
      <c r="CY9" s="55">
        <f>IF(ROW()-3&gt;COUNTIF(CW$4:CW$40,"&lt;&gt;"&amp;""),"",INDEX(CW$4:CW$40,MATCH(ROW()-3,CX$4:CX$40,0)))</f>
        <v/>
      </c>
      <c r="CZ9">
        <f>CZ8+IF(AND(CY9&lt;&gt;"",COUNTIF(CY$4:CY9,CY9)=1),1,0)</f>
        <v/>
      </c>
      <c r="DA9" s="55">
        <f>IF(ROW()-3&gt;MAX(CZ$4:CZ$40),"",INDEX(CY$4:CY$40,MATCH(ROW()-3,CZ$4:CZ$40,0)))</f>
        <v/>
      </c>
      <c r="DB9" s="55">
        <f>IF('Final Calculation Sheet'!$T$9="","",'Final Calculation Sheet'!$T$9)</f>
        <v/>
      </c>
      <c r="DC9">
        <f>IF(DB9="","",COUNTIFS(DB$4:DB$40,"&lt;"&amp;DB9,DB$4:DB$40,"&lt;&gt;"&amp;"")+COUNTIF(DB$4:DB9,DB9))</f>
        <v/>
      </c>
      <c r="DD9" s="55">
        <f>IF(ROW()-3&gt;COUNTIF(DB$4:DB$40,"&lt;&gt;"&amp;""),"",INDEX(DB$4:DB$40,MATCH(ROW()-3,DC$4:DC$40,0)))</f>
        <v/>
      </c>
      <c r="DE9">
        <f>DE8+IF(AND(DD9&lt;&gt;"",COUNTIF(DD$4:DD9,DD9)=1),1,0)</f>
        <v/>
      </c>
      <c r="DF9" s="55">
        <f>IF(ROW()-3&gt;MAX(DE$4:DE$40),"",INDEX(DD$4:DD$40,MATCH(ROW()-3,DE$4:DE$40,0)))</f>
        <v/>
      </c>
      <c r="DG9" s="140">
        <f>IF('Final Calculation Sheet'!$U$9="","",'Final Calculation Sheet'!$U$9)</f>
        <v/>
      </c>
      <c r="DH9">
        <f>IF(DG9="","",COUNTIFS(DG$4:DG$40,"&lt;"&amp;DG9,DG$4:DG$40,"&lt;&gt;"&amp;"")+COUNTIF(DG$4:DG9,DG9))</f>
        <v/>
      </c>
      <c r="DI9" s="140">
        <f>IF(ROW()-3&gt;COUNTIF(DG$4:DG$40,"&lt;&gt;"&amp;""),"",INDEX(DG$4:DG$40,MATCH(ROW()-3,DH$4:DH$40,0)))</f>
        <v/>
      </c>
      <c r="DJ9">
        <f>DJ8+IF(AND(DI9&lt;&gt;"",COUNTIF(DI$4:DI9,DI9)=1),1,0)</f>
        <v/>
      </c>
      <c r="DK9" s="140">
        <f>IF(ROW()-3&gt;MAX(DJ$4:DJ$40),"",INDEX(DI$4:DI$40,MATCH(ROW()-3,DJ$4:DJ$40,0)))</f>
        <v/>
      </c>
      <c r="DL9">
        <f>IF('Final Calculation Sheet'!$V$9="","",'Final Calculation Sheet'!$V$9)</f>
        <v/>
      </c>
      <c r="DM9">
        <f>IF(DL9="","",COUNTIFS(DL$4:DL$40,"&lt;"&amp;DL9,DL$4:DL$40,"&lt;&gt;"&amp;"")+COUNTIF(DL$4:DL9,DL9))</f>
        <v/>
      </c>
      <c r="DN9">
        <f>IF(ROW()-3&gt;COUNTIF(DL$4:DL$40,"&lt;&gt;"&amp;""),"",INDEX(DL$4:DL$40,MATCH(ROW()-3,DM$4:DM$40,0)))</f>
        <v/>
      </c>
      <c r="DO9">
        <f>DO8+IF(AND(DN9&lt;&gt;"",COUNTIF(DN$4:DN9,DN9)=1),1,0)</f>
        <v/>
      </c>
      <c r="DP9">
        <f>IF(ROW()-3&gt;MAX(DO$4:DO$40),"",INDEX(DN$4:DN$40,MATCH(ROW()-3,DO$4:DO$40,0)))</f>
        <v/>
      </c>
      <c r="DQ9" s="55">
        <f>IF('Final Calculation Sheet'!$W$9="","",'Final Calculation Sheet'!$W$9)</f>
        <v/>
      </c>
      <c r="DR9">
        <f>IF(DQ9="","",COUNTIFS(DQ$4:DQ$40,"&lt;"&amp;DQ9,DQ$4:DQ$40,"&lt;&gt;"&amp;"")+COUNTIF(DQ$4:DQ9,DQ9))</f>
        <v/>
      </c>
      <c r="DS9" s="55">
        <f>IF(ROW()-3&gt;COUNTIF(DQ$4:DQ$40,"&lt;&gt;"&amp;""),"",INDEX(DQ$4:DQ$40,MATCH(ROW()-3,DR$4:DR$40,0)))</f>
        <v/>
      </c>
      <c r="DT9">
        <f>DT8+IF(AND(DS9&lt;&gt;"",COUNTIF(DS$4:DS9,DS9)=1),1,0)</f>
        <v/>
      </c>
      <c r="DU9" s="55">
        <f>IF(ROW()-3&gt;MAX(DT$4:DT$40),"",INDEX(DS$4:DS$40,MATCH(ROW()-3,DT$4:DT$40,0)))</f>
        <v/>
      </c>
      <c r="DV9" s="55">
        <f>IF('Final Calculation Sheet'!$X$9="","",'Final Calculation Sheet'!$X$9)</f>
        <v/>
      </c>
      <c r="DW9">
        <f>IF(DV9="","",COUNTIFS(DV$4:DV$40,"&lt;"&amp;DV9,DV$4:DV$40,"&lt;&gt;"&amp;"")+COUNTIF(DV$4:DV9,DV9))</f>
        <v/>
      </c>
      <c r="DX9" s="55">
        <f>IF(ROW()-3&gt;COUNTIF(DV$4:DV$40,"&lt;&gt;"&amp;""),"",INDEX(DV$4:DV$40,MATCH(ROW()-3,DW$4:DW$40,0)))</f>
        <v/>
      </c>
      <c r="DY9">
        <f>DY8+IF(AND(DX9&lt;&gt;"",COUNTIF(DX$4:DX9,DX9)=1),1,0)</f>
        <v/>
      </c>
      <c r="DZ9">
        <f>IF(ROW()-3&gt;MAX(DY$4:DY$40),"",INDEX(DX$4:DX$40,MATCH(ROW()-3,DY$4:DY$40,0)))</f>
        <v/>
      </c>
      <c r="EA9">
        <f>IF('Final Calculation Sheet'!$Y$9="","",'Final Calculation Sheet'!$Y$9)</f>
        <v/>
      </c>
      <c r="EB9">
        <f>IF(EA9="","",COUNTIFS(EA$4:EA$40,"&lt;"&amp;EA9,EA$4:EA$40,"&lt;&gt;"&amp;"")+COUNTIF(EA$4:EA9,EA9))</f>
        <v/>
      </c>
      <c r="EC9">
        <f>IF(ROW()-3&gt;COUNTIF(EA$4:EA$40,"&lt;&gt;"&amp;""),"",INDEX(EA$4:EA$40,MATCH(ROW()-3,EB$4:EB$40,0)))</f>
        <v/>
      </c>
      <c r="ED9">
        <f>ED8+IF(AND(EC9&lt;&gt;"",COUNTIF(EC$4:EC9,EC9)=1),1,0)</f>
        <v/>
      </c>
      <c r="EE9">
        <f>IF(ROW()-3&gt;MAX(ED$4:ED$40),"",INDEX(EC$4:EC$40,MATCH(ROW()-3,ED$4:ED$40,0)))</f>
        <v/>
      </c>
      <c r="EF9" s="55">
        <f>IF('Final Calculation Sheet'!$Z$9="","",'Final Calculation Sheet'!$Z$9)</f>
        <v/>
      </c>
      <c r="EG9">
        <f>IF(EF9="","",COUNTIFS(EF$4:EF$40,"&lt;"&amp;EF9,EF$4:EF$40,"&lt;&gt;"&amp;"")+COUNTIF(EF$4:EF9,EF9))</f>
        <v/>
      </c>
      <c r="EH9" s="55">
        <f>IF(ROW()-3&gt;COUNTIF(EF$4:EF$40,"&lt;&gt;"&amp;""),"",INDEX(EF$4:EF$40,MATCH(ROW()-3,EG$4:EG$40,0)))</f>
        <v/>
      </c>
      <c r="EI9">
        <f>EI8+IF(AND(EH9&lt;&gt;"",COUNTIF(EH$4:EH9,EH9)=1),1,0)</f>
        <v/>
      </c>
      <c r="EJ9" s="55">
        <f>IF(ROW()-3&gt;MAX(EI$4:EI$40),"",INDEX(EH$4:EH$40,MATCH(ROW()-3,EI$4:EI$40,0)))</f>
        <v/>
      </c>
      <c r="EK9">
        <f>IF('Final Calculation Sheet'!$AA$9="","",'Final Calculation Sheet'!$AA$9)</f>
        <v/>
      </c>
      <c r="EL9">
        <f>IF(EK9="","",COUNTIFS(EK$4:EK$40,"&lt;"&amp;EK9,EK$4:EK$40,"&lt;&gt;"&amp;"")+COUNTIF(EK$4:EK9,EK9))</f>
        <v/>
      </c>
      <c r="EM9">
        <f>IF(ROW()-3&gt;COUNTIF(EK$4:EK$40,"&lt;&gt;"&amp;""),"",INDEX(EK$4:EK$40,MATCH(ROW()-3,EL$4:EL$40,0)))</f>
        <v/>
      </c>
      <c r="EN9">
        <f>EN8+IF(AND(EM9&lt;&gt;"",COUNTIF(EM$4:EM9,EM9)=1),1,0)</f>
        <v/>
      </c>
      <c r="EO9">
        <f>IF(ROW()-3&gt;MAX(EN$4:EN$40),"",INDEX(EM$4:EM$40,MATCH(ROW()-3,EN$4:EN$40,0)))</f>
        <v/>
      </c>
      <c r="EP9">
        <f>IF('Final Calculation Sheet'!$AB$9="","",'Final Calculation Sheet'!$AB$9)</f>
        <v/>
      </c>
      <c r="EQ9">
        <f>IF(EP9="","",COUNTIFS(EP$4:EP$40,"&lt;"&amp;EP9,EP$4:EP$40,"&lt;&gt;"&amp;"")+COUNTIF(EP$4:EP9,EP9))</f>
        <v/>
      </c>
      <c r="ER9">
        <f>IF(ROW()-3&gt;COUNTIF(EP$4:EP$40,"&lt;&gt;"&amp;""),"",INDEX(EP$4:EP$40,MATCH(ROW()-3,EQ$4:EQ$40,0)))</f>
        <v/>
      </c>
      <c r="ES9">
        <f>ES8+IF(AND(ER9&lt;&gt;"",COUNTIF(ER$4:ER9,ER9)=1),1,0)</f>
        <v/>
      </c>
      <c r="ET9">
        <f>IF(ROW()-3&gt;MAX(ES$4:ES$40),"",INDEX(ER$4:ER$40,MATCH(ROW()-3,ES$4:ES$40,0)))</f>
        <v/>
      </c>
      <c r="EU9" s="55">
        <f>IF('Final Calculation Sheet'!$AC$9="","",'Final Calculation Sheet'!$AC$9)</f>
        <v/>
      </c>
      <c r="EV9">
        <f>IF(EU9="","",COUNTIFS(EU$4:EU$40,"&lt;"&amp;EU9,EU$4:EU$40,"&lt;&gt;"&amp;"")+COUNTIF(EU$4:EU9,EU9))</f>
        <v/>
      </c>
      <c r="EW9" s="55">
        <f>IF(ROW()-3&gt;COUNTIF(EU$4:EU$40,"&lt;&gt;"&amp;""),"",INDEX(EU$4:EU$40,MATCH(ROW()-3,EV$4:EV$40,0)))</f>
        <v/>
      </c>
      <c r="EX9">
        <f>EX8+IF(AND(EW9&lt;&gt;"",COUNTIF(EW$4:EW9,EW9)=1),1,0)</f>
        <v/>
      </c>
      <c r="EY9" s="55">
        <f>IF(ROW()-3&gt;MAX(EX$4:EX$40),"",INDEX(EW$4:EW$40,MATCH(ROW()-3,EX$4:EX$40,0)))</f>
        <v/>
      </c>
      <c r="EZ9" s="55">
        <f>IF('Final Calculation Sheet'!$AD$9="","",'Final Calculation Sheet'!$AD$9)</f>
        <v/>
      </c>
      <c r="FA9">
        <f>IF(EZ9="","",COUNTIFS(EZ$4:EZ$40,"&lt;"&amp;EZ9,EZ$4:EZ$40,"&lt;&gt;"&amp;"")+COUNTIF(EZ$4:EZ9,EZ9))</f>
        <v/>
      </c>
      <c r="FB9" s="55">
        <f>IF(ROW()-3&gt;COUNTIF(EZ$4:EZ$40,"&lt;&gt;"&amp;""),"",INDEX(EZ$4:EZ$40,MATCH(ROW()-3,FA$4:FA$40,0)))</f>
        <v/>
      </c>
      <c r="FC9">
        <f>FC8+IF(AND(FB9&lt;&gt;"",COUNTIF(FB$4:FB9,FB9)=1),1,0)</f>
        <v/>
      </c>
      <c r="FD9" s="55">
        <f>IF(ROW()-3&gt;MAX(FC$4:FC$40),"",INDEX(FB$4:FB$40,MATCH(ROW()-3,FC$4:FC$40,0)))</f>
        <v/>
      </c>
      <c r="FE9">
        <f>IF('Final Calculation Sheet'!$AF$9="","",'Final Calculation Sheet'!$AF$9)</f>
        <v/>
      </c>
      <c r="FF9">
        <f>IF(FE9="","",COUNTIFS(FE$4:FE$40,"&lt;"&amp;FE9,FE$4:FE$40,"&lt;&gt;"&amp;"")+COUNTIF(FE$4:FE9,FE9))</f>
        <v/>
      </c>
      <c r="FG9">
        <f>IF(ROW()-3&gt;COUNTIF(FE$4:FE$40,"&lt;&gt;"&amp;""),"",INDEX(FE$4:FE$40,MATCH(ROW()-3,FF$4:FF$40,0)))</f>
        <v/>
      </c>
      <c r="FH9">
        <f>FH8+IF(AND(FG9&lt;&gt;"",COUNTIF(FG$4:FG9,FG9)=1),1,0)</f>
        <v/>
      </c>
      <c r="FI9">
        <f>IF(ROW()-3&gt;MAX(FH$4:FH$40),"",INDEX(FG$4:FG$40,MATCH(ROW()-3,FH$4:FH$40,0)))</f>
        <v/>
      </c>
      <c r="FJ9" s="141">
        <f>IF('Final Calculation Sheet'!$AG$9="","",'Final Calculation Sheet'!$AG$9)</f>
        <v/>
      </c>
      <c r="FK9">
        <f>IF(FJ9="","",COUNTIFS(FJ$4:FJ$40,"&lt;"&amp;FJ9,FJ$4:FJ$40,"&lt;&gt;"&amp;"")+COUNTIF(FJ$4:FJ9,FJ9))</f>
        <v/>
      </c>
      <c r="FL9" s="141">
        <f>IF(ROW()-3&gt;COUNTIF(FJ$4:FJ$40,"&lt;&gt;"&amp;""),"",INDEX(FJ$4:FJ$40,MATCH(ROW()-3,FK$4:FK$40,0)))</f>
        <v/>
      </c>
      <c r="FM9">
        <f>FM8+IF(AND(FL9&lt;&gt;"",COUNTIF(FL$4:FL9,FL9)=1),1,0)</f>
        <v/>
      </c>
      <c r="FN9">
        <f>IF(ROW()-3&gt;MAX(FM$4:FM$40),"",INDEX(FL$4:FL$40,MATCH(ROW()-3,FM$4:FM$40,0)))</f>
        <v/>
      </c>
      <c r="FO9">
        <f>IF('Final Calculation Sheet'!$AH$9="","",'Final Calculation Sheet'!$AH$9)</f>
        <v/>
      </c>
      <c r="FP9">
        <f>IF(FO9="","",COUNTIFS(FO$4:FO$40,"&lt;"&amp;FO9,FO$4:FO$40,"&lt;&gt;"&amp;"")+COUNTIF(FO$4:FO9,FO9))</f>
        <v/>
      </c>
      <c r="FQ9">
        <f>IF(ROW()-3&gt;COUNTIF(FO$4:FO$40,"&lt;&gt;"&amp;""),"",INDEX(FO$4:FO$40,MATCH(ROW()-3,FP$4:FP$40,0)))</f>
        <v/>
      </c>
      <c r="FR9">
        <f>FR8+IF(AND(FQ9&lt;&gt;"",COUNTIF(FQ$4:FQ9,FQ9)=1),1,0)</f>
        <v/>
      </c>
      <c r="FS9">
        <f>IF(ROW()-3&gt;MAX(FR$4:FR$40),"",INDEX(FQ$4:FQ$40,MATCH(ROW()-3,FR$4:FR$40,0)))</f>
        <v/>
      </c>
      <c r="FU9">
        <f>IF(FT9="","",COUNTIFS(FT$4:FT$40,"&lt;"&amp;FT9,FT$4:FT$40,"&lt;&gt;"&amp;"")+COUNTIF(FT$4:FT9,FT9))</f>
        <v/>
      </c>
      <c r="FV9">
        <f>IF(ROW()-3&gt;COUNTIF(FT$4:FT$40,"&lt;&gt;"&amp;""),"",INDEX(FT$4:FT$40,MATCH(ROW()-3,FU$4:FU$40,0)))</f>
        <v/>
      </c>
      <c r="FW9">
        <f>FW8+IF(AND(FV9&lt;&gt;"",COUNTIF(FV$4:FV9,FV9)=1),1,0)</f>
        <v/>
      </c>
      <c r="FX9">
        <f>IF(ROW()-3&gt;MAX(FW$4:FW$40),"",INDEX(FV$4:FV$40,MATCH(ROW()-3,FW$4:FW$40,0)))</f>
        <v/>
      </c>
      <c r="FY9">
        <f>IF(COUNTIF('Live Search'!BM$8:BO$8,0)+COUNTIF('Live Search'!BQ$8:CU$8,0)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9">
        <f>IF($Y$9="",FALSE,SUMPRODUCT(('Final Calculation Sheet'!$B$4:$B$40=$Y$9)*($FY$6:$FY$42=1))&gt;0)</f>
        <v/>
      </c>
      <c r="GA9">
        <f>$GA$8+--($FZ$9)</f>
        <v/>
      </c>
      <c r="GB9">
        <f>IF(ROW()-3&gt;MAX($GA$4:$GA$40),"",INDEX($Y$4:$Y$40,MATCH(ROW()-3,$GA$4:$GA$40,0)))</f>
        <v/>
      </c>
      <c r="GC9">
        <f>IF('Final Calculation Sheet'!$F$9="","",IF(TRIM('Final Calculation Sheet'!$G$2)="",'Final Calculation Sheet'!$F$9,IF(TRIM('Final Calculation Sheet'!$G$2)="(nonblank)",IF('Final Calculation Sheet'!$G$9&lt;&gt;"",'Final Calculation Sheet'!$F$9,""),IF(TRIM('Final Calculation Sheet'!$G$2)="(blank)",IF('Final Calculation Sheet'!$G$9="",'Final Calculation Sheet'!$F$9,""),IF(ISNUMBER(SEARCH(TRIM('Final Calculation Sheet'!$G$2),'Final Calculation Sheet'!$G$9)),'Final Calculation Sheet'!$F$9,"")))))</f>
        <v/>
      </c>
      <c r="GD9">
        <f>IF(GC9="","",COUNTIFS(GC$4:GC$40,"&lt;"&amp;GC9,GC$4:GC$40,"&lt;&gt;"&amp;"")+COUNTIF(GC$4:GC9,GC9))</f>
        <v/>
      </c>
      <c r="GE9">
        <f>IF(ROW()-3&gt;COUNTIF(GC$4:GC$40,"&lt;&gt;"&amp;""),"",INDEX(GC$4:GC$40,MATCH(ROW()-3,GD$4:GD$40,0)))</f>
        <v/>
      </c>
      <c r="GF9">
        <f>GF8+IF(AND(GE9&lt;&gt;"",COUNTIF(GE$4:GE9,GE9)=1),1,0)</f>
        <v/>
      </c>
      <c r="GG9">
        <f>IF(ROW()-3&gt;MAX(GF$4:GF$40),"",INDEX(GE$4:GE$40,MATCH(ROW()-3,GF$4:GF$40,0)))</f>
        <v/>
      </c>
      <c r="GH9">
        <f>IF('Final Calculation Sheet'!$F$9="","",IF('Live Search'!$BO$10=1,'Final Calculation Sheet'!$F$9,""))</f>
        <v/>
      </c>
      <c r="GI9">
        <f>IF(GH9="","",COUNTIFS(GH$4:GH$40,"&lt;"&amp;GH9,GH$4:GH$40,"&lt;&gt;"&amp;"")+COUNTIF(GH$4:GH9,GH9))</f>
        <v/>
      </c>
      <c r="GJ9">
        <f>IF(ROW()-3&gt;COUNTIF(GH$4:GH$40,"&lt;&gt;"&amp;""),"",INDEX(GH$4:GH$40,MATCH(ROW()-3,GI$4:GI$40,0)))</f>
        <v/>
      </c>
      <c r="GK9">
        <f>GK8+IF(AND(GJ9&lt;&gt;"",COUNTIF(GJ$4:GJ9,GJ9)=1),1,0)</f>
        <v/>
      </c>
      <c r="GL9">
        <f>IF(ROW()-3&gt;MAX(GK$4:GK$40),"",INDEX(GJ$4:GJ$40,MATCH(ROW()-3,GK$4:GK$40,0)))</f>
        <v/>
      </c>
      <c r="GM9">
        <f>IF('Final Calculation Sheet'!$F$9="","",IF(TRIM('Buyer Groups'!$C$4)="",'Final Calculation Sheet'!$F$9,IF(TRIM('Buyer Groups'!$C$4)="(nonblank)",IF('Final Calculation Sheet'!$G$9&lt;&gt;"",'Final Calculation Sheet'!$F$9,""),IF(TRIM('Buyer Groups'!$C$4)="(blank)",IF('Final Calculation Sheet'!$G$9="",'Final Calculation Sheet'!$F$9,""),IF(ISNUMBER(SEARCH(TRIM('Buyer Groups'!$C$4),'Final Calculation Sheet'!$G$9)),'Final Calculation Sheet'!$F$9,"")))))</f>
        <v/>
      </c>
      <c r="GN9">
        <f>IF(GM9="","",COUNTIFS(GM$4:GM$40,"&lt;"&amp;GM9,GM$4:GM$40,"&lt;&gt;"&amp;"")+COUNTIF(GM$4:GM9,GM9))</f>
        <v/>
      </c>
      <c r="GO9">
        <f>IF(ROW()-3&gt;COUNTIF(GM$4:GM$40,"&lt;&gt;"&amp;""),"",INDEX(GM$4:GM$40,MATCH(ROW()-3,GN$4:GN$40,0)))</f>
        <v/>
      </c>
      <c r="GP9">
        <f>GP8+IF(AND(GO9&lt;&gt;"",COUNTIF(GO$4:GO9,GO9)=1),1,0)</f>
        <v/>
      </c>
      <c r="GQ9">
        <f>IF(ROW()-3&gt;MAX(GP$4:GP$40),"",INDEX(GO$4:GO$40,MATCH(ROW()-3,GP$4:GP$40,0)))</f>
        <v/>
      </c>
      <c r="GR9">
        <f>IF('Final Calculation Sheet'!$B$9="","",IF(TRIM('Final Calculation Sheet'!$G$2)="",'Final Calculation Sheet'!$B$9,IF(TRIM('Final Calculation Sheet'!$G$2)="(nonblank)",IF('Final Calculation Sheet'!$G$9&lt;&gt;"",'Final Calculation Sheet'!$B$9,""),IF(TRIM('Final Calculation Sheet'!$G$2)="(blank)",IF('Final Calculation Sheet'!$G$9="",'Final Calculation Sheet'!$B$9,""),IF(ISNUMBER(SEARCH(TRIM('Final Calculation Sheet'!$G$2),'Final Calculation Sheet'!$G$9)),'Final Calculation Sheet'!$B$9,"")))))</f>
        <v/>
      </c>
      <c r="GS9">
        <f>IF(GR9="","",COUNTIFS(GR$4:GR$40,"&lt;"&amp;GR9,GR$4:GR$40,"&lt;&gt;"&amp;"")+COUNTIF(GR$4:GR9,GR9))</f>
        <v/>
      </c>
      <c r="GT9">
        <f>IF(ROW()-3&gt;COUNTIF(GR$4:GR$40,"&lt;&gt;"&amp;""),"",INDEX(GR$4:GR$40,MATCH(ROW()-3,GS$4:GS$40,0)))</f>
        <v/>
      </c>
      <c r="GU9">
        <f>GU8+IF(AND(GT9&lt;&gt;"",COUNTIF(GT$4:GT9,GT9)=1),1,0)</f>
        <v/>
      </c>
      <c r="GV9">
        <f>IF(ROW()-3&gt;MAX(GU$4:GU$40),"",INDEX(GT$4:GT$40,MATCH(ROW()-3,GU$4:GU$40,0)))</f>
        <v/>
      </c>
      <c r="GW9">
        <f>IF('Final Calculation Sheet'!$B$9="","",IF(TRIM('Buyer Groups'!$C$4)="",'Final Calculation Sheet'!$B$9,IF(TRIM('Buyer Groups'!$C$4)="(nonblank)",IF('Final Calculation Sheet'!$G$9&lt;&gt;"",'Final Calculation Sheet'!$B$9,""),IF(TRIM('Buyer Groups'!$C$4)="(blank)",IF('Final Calculation Sheet'!$G$9="",'Final Calculation Sheet'!$B$9,""),IF(ISNUMBER(SEARCH(TRIM('Buyer Groups'!$C$4),'Final Calculation Sheet'!$G$9)),'Final Calculation Sheet'!$B$9,"")))))</f>
        <v/>
      </c>
      <c r="GX9">
        <f>IF(GW9="","",COUNTIFS(GW$4:GW$40,"&lt;"&amp;GW9,GW$4:GW$40,"&lt;&gt;"&amp;"")+COUNTIF(GW$4:GW9,GW9))</f>
        <v/>
      </c>
      <c r="GY9">
        <f>IF(ROW()-3&gt;COUNTIF(GW$4:GW$40,"&lt;&gt;"&amp;""),"",INDEX(GW$4:GW$40,MATCH(ROW()-3,GX$4:GX$40,0)))</f>
        <v/>
      </c>
      <c r="GZ9">
        <f>GZ8+IF(AND(GY9&lt;&gt;"",COUNTIF(GY$4:GY9,GY9)=1),1,0)</f>
        <v/>
      </c>
      <c r="HA9">
        <f>IF(ROW()-3&gt;MAX(GZ$4:GZ$40),"",INDEX(GY$4:GY$40,MATCH(ROW()-3,GZ$4:GZ$40,0)))</f>
        <v/>
      </c>
    </row>
    <row r="10">
      <c r="A10">
        <f>IF('Final Calculation Sheet'!$F$10="","",'Final Calculation Sheet'!$F$10)</f>
        <v/>
      </c>
      <c r="B10">
        <f>IF(A10="","",COUNTIFS(A$4:A$114,"&lt;"&amp;A10,A$4:A$114,"&lt;&gt;"&amp;"")+COUNTIF(A$4:A10,A10))</f>
        <v/>
      </c>
      <c r="C10">
        <f>IF(ROW()-3&gt;COUNTIF(A$4:A$114,"&lt;&gt;"&amp;""),"",INDEX(A$4:A$114,MATCH(ROW()-3,B$4:B$114,0)))</f>
        <v/>
      </c>
      <c r="D10">
        <f>D9+IF(AND(C10&lt;&gt;"",COUNTIF(C$4:C10,C10)=1),1,0)</f>
        <v/>
      </c>
      <c r="E10">
        <f>IF(ROW()-3&gt;MAX(D$4:D$114),"",INDEX(C$4:C$114,MATCH(ROW()-3,D$4:D$114,0)))</f>
        <v/>
      </c>
      <c r="F10">
        <f>ROW()-3</f>
        <v/>
      </c>
      <c r="G10">
        <f>IF(F10="","",COUNTIFS(F$4:F$40,"&lt;"&amp;F10,F$4:F$40,"&lt;&gt;"&amp;"")+COUNTIF(F$4:F10,F10))</f>
        <v/>
      </c>
      <c r="H10">
        <f>IF(ROW()-3&gt;COUNTIF(F$4:F$40,"&lt;&gt;"&amp;""),"",INDEX(F$4:F$40,MATCH(ROW()-3,G$4:G$40,0)))</f>
        <v/>
      </c>
      <c r="I10">
        <f>I9+IF(AND(H10&lt;&gt;"",COUNTIF(H$4:H10,H10)=1),1,0)</f>
        <v/>
      </c>
      <c r="J10">
        <f>IF(ROW()-3&gt;MAX(I$4:I$40),"",INDEX(H$4:H$40,MATCH(ROW()-3,I$4:I$40,0)))</f>
        <v/>
      </c>
      <c r="K10">
        <f>IF('Final Calculation Sheet'!$F$10="","",'Final Calculation Sheet'!$F$10)</f>
        <v/>
      </c>
      <c r="L10">
        <f>IF(K10="","",COUNTIFS(K$4:K$40,"&lt;"&amp;K10,K$4:K$40,"&lt;&gt;"&amp;"")+COUNTIF(K$4:K10,K10))</f>
        <v/>
      </c>
      <c r="M10">
        <f>IF(ROW()-3&gt;COUNTIF(K$4:K$40,"&lt;&gt;"&amp;""),"",INDEX(K$4:K$40,MATCH(ROW()-3,L$4:L$40,0)))</f>
        <v/>
      </c>
      <c r="N10">
        <f>N9+IF(AND(M10&lt;&gt;"",COUNTIF(M$4:M10,M10)=1),1,0)</f>
        <v/>
      </c>
      <c r="O10">
        <f>IF(ROW()-3&gt;MAX(N$4:N$40),"",INDEX(M$4:M$40,MATCH(ROW()-3,N$4:N$40,0)))</f>
        <v/>
      </c>
      <c r="P10">
        <f>IF('Final Calculation Sheet'!$G$10="","",'Final Calculation Sheet'!$G$10)</f>
        <v/>
      </c>
      <c r="Q10">
        <f>IF(P10="","",COUNTIFS(P$4:P$40,"&lt;"&amp;P10,P$4:P$40,"&lt;&gt;"&amp;"")+COUNTIF(P$4:P10,P10))</f>
        <v/>
      </c>
      <c r="R10">
        <f>IF(ROW()-3&gt;COUNTIF(P$4:P$40,"&lt;&gt;"&amp;""),"",INDEX(P$4:P$40,MATCH(ROW()-3,Q$4:Q$40,0)))</f>
        <v/>
      </c>
      <c r="S10">
        <f>S9+IF(AND(R10&lt;&gt;"",COUNTIF(R$4:R10,R10)=1),1,0)</f>
        <v/>
      </c>
      <c r="T10">
        <f>IF(ROW()-3&gt;MAX(S$4:S$40),"",INDEX(R$4:R$40,MATCH(ROW()-3,S$4:S$40,0)))</f>
        <v/>
      </c>
      <c r="U10">
        <f>IF('Final Calculation Sheet'!$B$10="","",'Final Calculation Sheet'!$B$10)</f>
        <v/>
      </c>
      <c r="V10">
        <f>IF(U10="","",COUNTIFS(U$4:U$40,"&lt;"&amp;U10,U$4:U$40,"&lt;&gt;"&amp;"")+COUNTIF(U$4:U10,U10))</f>
        <v/>
      </c>
      <c r="W10">
        <f>IF(ROW()-3&gt;COUNTIF(U$4:U$40,"&lt;&gt;"&amp;""),"",INDEX(U$4:U$40,MATCH(ROW()-3,V$4:V$40,0)))</f>
        <v/>
      </c>
      <c r="X10">
        <f>X9+IF(AND(W10&lt;&gt;"",COUNTIF(W$4:W10,W10)=1),1,0)</f>
        <v/>
      </c>
      <c r="Y10">
        <f>IF(ROW()-3&gt;MAX(X$4:X$40),"",INDEX(W$4:W$40,MATCH(ROW()-3,X$4:X$40,0)))</f>
        <v/>
      </c>
      <c r="Z10">
        <f>IF('Final Calculation Sheet'!$D$10="","",'Final Calculation Sheet'!$D$10)</f>
        <v/>
      </c>
      <c r="AA10">
        <f>IF(Z10="","",COUNTIFS(Z$4:Z$40,"&lt;"&amp;Z10,Z$4:Z$40,"&lt;&gt;"&amp;"")+COUNTIF(Z$4:Z10,Z10))</f>
        <v/>
      </c>
      <c r="AB10">
        <f>IF(ROW()-3&gt;COUNTIF(Z$4:Z$40,"&lt;&gt;"&amp;""),"",INDEX(Z$4:Z$40,MATCH(ROW()-3,AA$4:AA$40,0)))</f>
        <v/>
      </c>
      <c r="AC10">
        <f>AC9+IF(AND(AB10&lt;&gt;"",COUNTIF(AB$4:AB10,AB10)=1),1,0)</f>
        <v/>
      </c>
      <c r="AD10">
        <f>IF(ROW()-3&gt;MAX(AC$4:AC$40),"",INDEX(AB$4:AB$40,MATCH(ROW()-3,AC$4:AC$40,0)))</f>
        <v/>
      </c>
      <c r="AE10">
        <f>IF('Final Calculation Sheet'!$A$10="","",'Final Calculation Sheet'!$A$10)</f>
        <v/>
      </c>
      <c r="AF10">
        <f>IF(AE10="","",COUNTIFS(AE$4:AE$40,"&lt;"&amp;AE10,AE$4:AE$40,"&lt;&gt;"&amp;"")+COUNTIF(AE$4:AE10,AE10))</f>
        <v/>
      </c>
      <c r="AG10">
        <f>IF(ROW()-3&gt;COUNTIF(AE$4:AE$40,"&lt;&gt;"&amp;""),"",INDEX(AE$4:AE$40,MATCH(ROW()-3,AF$4:AF$40,0)))</f>
        <v/>
      </c>
      <c r="AH10">
        <f>AH9+IF(AND(AG10&lt;&gt;"",COUNTIF(AG$4:AG10,AG10)=1),1,0)</f>
        <v/>
      </c>
      <c r="AI10">
        <f>IF(ROW()-3&gt;MAX(AH$4:AH$40),"",INDEX(AG$4:AG$40,MATCH(ROW()-3,AH$4:AH$40,0)))</f>
        <v/>
      </c>
      <c r="AJ10">
        <f>IF('Final Calculation Sheet'!$E$10="","",'Final Calculation Sheet'!$E$10)</f>
        <v/>
      </c>
      <c r="AK10">
        <f>IF(AJ10="","",COUNTIFS(AJ$4:AJ$40,"&lt;"&amp;AJ10,AJ$4:AJ$40,"&lt;&gt;"&amp;"")+COUNTIF(AJ$4:AJ10,AJ10))</f>
        <v/>
      </c>
      <c r="AL10">
        <f>IF(ROW()-3&gt;COUNTIF(AJ$4:AJ$40,"&lt;&gt;"&amp;""),"",INDEX(AJ$4:AJ$40,MATCH(ROW()-3,AK$4:AK$40,0)))</f>
        <v/>
      </c>
      <c r="AM10">
        <f>AM9+IF(AND(AL10&lt;&gt;"",COUNTIF(AL$4:AL10,AL10)=1),1,0)</f>
        <v/>
      </c>
      <c r="AN10">
        <f>IF(ROW()-3&gt;MAX(AM$4:AM$40),"",INDEX(AL$4:AL$40,MATCH(ROW()-3,AM$4:AM$40,0)))</f>
        <v/>
      </c>
      <c r="AO10" s="55">
        <f>IF('Final Calculation Sheet'!$C$10="","",'Final Calculation Sheet'!$C$10)</f>
        <v/>
      </c>
      <c r="AP10">
        <f>IF(AO10="","",COUNTIFS(AO$4:AO$40,"&lt;"&amp;AO10,AO$4:AO$40,"&lt;&gt;"&amp;"")+COUNTIF(AO$4:AO10,AO10))</f>
        <v/>
      </c>
      <c r="AQ10" s="55">
        <f>IF(ROW()-3&gt;COUNTIF(AO$4:AO$40,"&lt;&gt;"&amp;""),"",INDEX(AO$4:AO$40,MATCH(ROW()-3,AP$4:AP$40,0)))</f>
        <v/>
      </c>
      <c r="AR10">
        <f>AR9+IF(AND(AQ10&lt;&gt;"",COUNTIF(AQ$4:AQ10,AQ10)=1),1,0)</f>
        <v/>
      </c>
      <c r="AS10" s="55">
        <f>IF(ROW()-3&gt;MAX(AR$4:AR$40),"",INDEX(AQ$4:AQ$40,MATCH(ROW()-3,AR$4:AR$40,0)))</f>
        <v/>
      </c>
      <c r="AT10" s="55">
        <f>IF('Final Calculation Sheet'!$H$10="","",'Final Calculation Sheet'!$H$10)</f>
        <v/>
      </c>
      <c r="AU10">
        <f>IF(AT10="","",COUNTIFS(AT$4:AT$40,"&lt;"&amp;AT10,AT$4:AT$40,"&lt;&gt;"&amp;"")+COUNTIF(AT$4:AT10,AT10))</f>
        <v/>
      </c>
      <c r="AV10" s="55">
        <f>IF(ROW()-3&gt;COUNTIF(AT$4:AT$40,"&lt;&gt;"&amp;""),"",INDEX(AT$4:AT$40,MATCH(ROW()-3,AU$4:AU$40,0)))</f>
        <v/>
      </c>
      <c r="AW10">
        <f>AW9+IF(AND(AV10&lt;&gt;"",COUNTIF(AV$4:AV10,AV10)=1),1,0)</f>
        <v/>
      </c>
      <c r="AX10" s="55">
        <f>IF(ROW()-3&gt;MAX(AW$4:AW$40),"",INDEX(AV$4:AV$40,MATCH(ROW()-3,AW$4:AW$40,0)))</f>
        <v/>
      </c>
      <c r="AY10" s="55">
        <f>IF('Final Calculation Sheet'!$I$10="","",'Final Calculation Sheet'!$I$10)</f>
        <v/>
      </c>
      <c r="AZ10">
        <f>IF(AY10="","",COUNTIFS(AY$4:AY$40,"&lt;"&amp;AY10,AY$4:AY$40,"&lt;&gt;"&amp;"")+COUNTIF(AY$4:AY10,AY10))</f>
        <v/>
      </c>
      <c r="BA10" s="55">
        <f>IF(ROW()-3&gt;COUNTIF(AY$4:AY$40,"&lt;&gt;"&amp;""),"",INDEX(AY$4:AY$40,MATCH(ROW()-3,AZ$4:AZ$40,0)))</f>
        <v/>
      </c>
      <c r="BB10">
        <f>BB9+IF(AND(BA10&lt;&gt;"",COUNTIF(BA$4:BA10,BA10)=1),1,0)</f>
        <v/>
      </c>
      <c r="BC10" s="55">
        <f>IF(ROW()-3&gt;MAX(BB$4:BB$40),"",INDEX(BA$4:BA$40,MATCH(ROW()-3,BB$4:BB$40,0)))</f>
        <v/>
      </c>
      <c r="BD10" s="55">
        <f>IF('Final Calculation Sheet'!$J$10="","",'Final Calculation Sheet'!$J$10)</f>
        <v/>
      </c>
      <c r="BE10">
        <f>IF(BD10="","",COUNTIFS(BD$4:BD$40,"&lt;"&amp;BD10,BD$4:BD$40,"&lt;&gt;"&amp;"")+COUNTIF(BD$4:BD10,BD10))</f>
        <v/>
      </c>
      <c r="BF10" s="55">
        <f>IF(ROW()-3&gt;COUNTIF(BD$4:BD$40,"&lt;&gt;"&amp;""),"",INDEX(BD$4:BD$40,MATCH(ROW()-3,BE$4:BE$40,0)))</f>
        <v/>
      </c>
      <c r="BG10">
        <f>BG9+IF(AND(BF10&lt;&gt;"",COUNTIF(BF$4:BF10,BF10)=1),1,0)</f>
        <v/>
      </c>
      <c r="BH10" s="55">
        <f>IF(ROW()-3&gt;MAX(BG$4:BG$40),"",INDEX(BF$4:BF$40,MATCH(ROW()-3,BG$4:BG$40,0)))</f>
        <v/>
      </c>
      <c r="BI10" s="55">
        <f>IF('Final Calculation Sheet'!$K$10="","",'Final Calculation Sheet'!$K$10)</f>
        <v/>
      </c>
      <c r="BJ10">
        <f>IF(BI10="","",COUNTIFS(BI$4:BI$40,"&lt;"&amp;BI10,BI$4:BI$40,"&lt;&gt;"&amp;"")+COUNTIF(BI$4:BI10,BI10))</f>
        <v/>
      </c>
      <c r="BK10" s="55">
        <f>IF(ROW()-3&gt;COUNTIF(BI$4:BI$40,"&lt;&gt;"&amp;""),"",INDEX(BI$4:BI$40,MATCH(ROW()-3,BJ$4:BJ$40,0)))</f>
        <v/>
      </c>
      <c r="BL10">
        <f>BL9+IF(AND(BK10&lt;&gt;"",COUNTIF(BK$4:BK10,BK10)=1),1,0)</f>
        <v/>
      </c>
      <c r="BM10" s="55">
        <f>IF(ROW()-3&gt;MAX(BL$4:BL$40),"",INDEX(BK$4:BK$40,MATCH(ROW()-3,BL$4:BL$40,0)))</f>
        <v/>
      </c>
      <c r="BN10" s="55">
        <f>IF('Final Calculation Sheet'!$L$10="","",'Final Calculation Sheet'!$L$10)</f>
        <v/>
      </c>
      <c r="BO10">
        <f>IF(BN10="","",COUNTIFS(BN$4:BN$40,"&lt;"&amp;BN10,BN$4:BN$40,"&lt;&gt;"&amp;"")+COUNTIF(BN$4:BN10,BN10))</f>
        <v/>
      </c>
      <c r="BP10" s="55">
        <f>IF(ROW()-3&gt;COUNTIF(BN$4:BN$40,"&lt;&gt;"&amp;""),"",INDEX(BN$4:BN$40,MATCH(ROW()-3,BO$4:BO$40,0)))</f>
        <v/>
      </c>
      <c r="BQ10">
        <f>BQ9+IF(AND(BP10&lt;&gt;"",COUNTIF(BP$4:BP10,BP10)=1),1,0)</f>
        <v/>
      </c>
      <c r="BR10" s="55">
        <f>IF(ROW()-3&gt;MAX(BQ$4:BQ$40),"",INDEX(BP$4:BP$40,MATCH(ROW()-3,BQ$4:BQ$40,0)))</f>
        <v/>
      </c>
      <c r="BS10" s="55">
        <f>IF('Final Calculation Sheet'!$M$10="","",'Final Calculation Sheet'!$M$10)</f>
        <v/>
      </c>
      <c r="BT10">
        <f>IF(BS10="","",COUNTIFS(BS$4:BS$40,"&lt;"&amp;BS10,BS$4:BS$40,"&lt;&gt;"&amp;"")+COUNTIF(BS$4:BS10,BS10))</f>
        <v/>
      </c>
      <c r="BU10" s="55">
        <f>IF(ROW()-3&gt;COUNTIF(BS$4:BS$40,"&lt;&gt;"&amp;""),"",INDEX(BS$4:BS$40,MATCH(ROW()-3,BT$4:BT$40,0)))</f>
        <v/>
      </c>
      <c r="BV10">
        <f>BV9+IF(AND(BU10&lt;&gt;"",COUNTIF(BU$4:BU10,BU10)=1),1,0)</f>
        <v/>
      </c>
      <c r="BW10" s="55">
        <f>IF(ROW()-3&gt;MAX(BV$4:BV$40),"",INDEX(BU$4:BU$40,MATCH(ROW()-3,BV$4:BV$40,0)))</f>
        <v/>
      </c>
      <c r="BX10" s="138">
        <f>IF('Final Calculation Sheet'!$N$10="","",'Final Calculation Sheet'!$N$10)</f>
        <v/>
      </c>
      <c r="BY10">
        <f>IF(BX10="","",COUNTIFS(BX$4:BX$40,"&lt;"&amp;BX10,BX$4:BX$40,"&lt;&gt;"&amp;"")+COUNTIF(BX$4:BX10,BX10))</f>
        <v/>
      </c>
      <c r="BZ10" s="138">
        <f>IF(ROW()-3&gt;COUNTIF(BX$4:BX$40,"&lt;&gt;"&amp;""),"",INDEX(BX$4:BX$40,MATCH(ROW()-3,BY$4:BY$40,0)))</f>
        <v/>
      </c>
      <c r="CA10">
        <f>CA9+IF(AND(BZ10&lt;&gt;"",COUNTIF(BZ$4:BZ10,BZ10)=1),1,0)</f>
        <v/>
      </c>
      <c r="CB10" s="138">
        <f>IF(ROW()-3&gt;MAX(CA$4:CA$40),"",INDEX(BZ$4:BZ$40,MATCH(ROW()-3,CA$4:CA$40,0)))</f>
        <v/>
      </c>
      <c r="CC10" s="55">
        <f>IF('Final Calculation Sheet'!$O$10="","",'Final Calculation Sheet'!$O$10)</f>
        <v/>
      </c>
      <c r="CD10">
        <f>IF(CC10="","",COUNTIFS(CC$4:CC$40,"&lt;"&amp;CC10,CC$4:CC$40,"&lt;&gt;"&amp;"")+COUNTIF(CC$4:CC10,CC10))</f>
        <v/>
      </c>
      <c r="CE10" s="55">
        <f>IF(ROW()-3&gt;COUNTIF(CC$4:CC$40,"&lt;&gt;"&amp;""),"",INDEX(CC$4:CC$40,MATCH(ROW()-3,CD$4:CD$40,0)))</f>
        <v/>
      </c>
      <c r="CF10">
        <f>CF9+IF(AND(CE10&lt;&gt;"",COUNTIF(CE$4:CE10,CE10)=1),1,0)</f>
        <v/>
      </c>
      <c r="CG10" s="55">
        <f>IF(ROW()-3&gt;MAX(CF$4:CF$40),"",INDEX(CE$4:CE$40,MATCH(ROW()-3,CF$4:CF$40,0)))</f>
        <v/>
      </c>
      <c r="CH10" s="55">
        <f>IF('Final Calculation Sheet'!$P$10="","",'Final Calculation Sheet'!$P$10)</f>
        <v/>
      </c>
      <c r="CI10">
        <f>IF(CH10="","",COUNTIFS(CH$4:CH$40,"&lt;"&amp;CH10,CH$4:CH$40,"&lt;&gt;"&amp;"")+COUNTIF(CH$4:CH10,CH10))</f>
        <v/>
      </c>
      <c r="CJ10" s="55">
        <f>IF(ROW()-3&gt;COUNTIF(CH$4:CH$40,"&lt;&gt;"&amp;""),"",INDEX(CH$4:CH$40,MATCH(ROW()-3,CI$4:CI$40,0)))</f>
        <v/>
      </c>
      <c r="CK10">
        <f>CK9+IF(AND(CJ10&lt;&gt;"",COUNTIF(CJ$4:CJ10,CJ10)=1),1,0)</f>
        <v/>
      </c>
      <c r="CL10" s="55">
        <f>IF(ROW()-3&gt;MAX(CK$4:CK$40),"",INDEX(CJ$4:CJ$40,MATCH(ROW()-3,CK$4:CK$40,0)))</f>
        <v/>
      </c>
      <c r="CM10" s="139">
        <f>IF('Final Calculation Sheet'!$Q$10="","",'Final Calculation Sheet'!$Q$10)</f>
        <v/>
      </c>
      <c r="CN10">
        <f>IF(CM10="","",COUNTIFS(CM$4:CM$40,"&lt;"&amp;CM10,CM$4:CM$40,"&lt;&gt;"&amp;"")+COUNTIF(CM$4:CM10,CM10))</f>
        <v/>
      </c>
      <c r="CO10" s="139">
        <f>IF(ROW()-3&gt;COUNTIF(CM$4:CM$40,"&lt;&gt;"&amp;""),"",INDEX(CM$4:CM$40,MATCH(ROW()-3,CN$4:CN$40,0)))</f>
        <v/>
      </c>
      <c r="CP10">
        <f>CP9+IF(AND(CO10&lt;&gt;"",COUNTIF(CO$4:CO10,CO10)=1),1,0)</f>
        <v/>
      </c>
      <c r="CQ10">
        <f>IF(ROW()-3&gt;MAX(CP$4:CP$40),"",INDEX(CO$4:CO$40,MATCH(ROW()-3,CP$4:CP$40,0)))</f>
        <v/>
      </c>
      <c r="CR10" s="55">
        <f>IF('Final Calculation Sheet'!$R$10="","",'Final Calculation Sheet'!$R$10)</f>
        <v/>
      </c>
      <c r="CS10">
        <f>IF(CR10="","",COUNTIFS(CR$4:CR$40,"&lt;"&amp;CR10,CR$4:CR$40,"&lt;&gt;"&amp;"")+COUNTIF(CR$4:CR10,CR10))</f>
        <v/>
      </c>
      <c r="CT10" s="55">
        <f>IF(ROW()-3&gt;COUNTIF(CR$4:CR$40,"&lt;&gt;"&amp;""),"",INDEX(CR$4:CR$40,MATCH(ROW()-3,CS$4:CS$40,0)))</f>
        <v/>
      </c>
      <c r="CU10">
        <f>CU9+IF(AND(CT10&lt;&gt;"",COUNTIF(CT$4:CT10,CT10)=1),1,0)</f>
        <v/>
      </c>
      <c r="CV10">
        <f>IF(ROW()-3&gt;MAX(CU$4:CU$40),"",INDEX(CT$4:CT$40,MATCH(ROW()-3,CU$4:CU$40,0)))</f>
        <v/>
      </c>
      <c r="CW10" s="55">
        <f>IF('Final Calculation Sheet'!$S$10="","",'Final Calculation Sheet'!$S$10)</f>
        <v/>
      </c>
      <c r="CX10">
        <f>IF(CW10="","",COUNTIFS(CW$4:CW$40,"&lt;"&amp;CW10,CW$4:CW$40,"&lt;&gt;"&amp;"")+COUNTIF(CW$4:CW10,CW10))</f>
        <v/>
      </c>
      <c r="CY10" s="55">
        <f>IF(ROW()-3&gt;COUNTIF(CW$4:CW$40,"&lt;&gt;"&amp;""),"",INDEX(CW$4:CW$40,MATCH(ROW()-3,CX$4:CX$40,0)))</f>
        <v/>
      </c>
      <c r="CZ10">
        <f>CZ9+IF(AND(CY10&lt;&gt;"",COUNTIF(CY$4:CY10,CY10)=1),1,0)</f>
        <v/>
      </c>
      <c r="DA10" s="55">
        <f>IF(ROW()-3&gt;MAX(CZ$4:CZ$40),"",INDEX(CY$4:CY$40,MATCH(ROW()-3,CZ$4:CZ$40,0)))</f>
        <v/>
      </c>
      <c r="DB10" s="55">
        <f>IF('Final Calculation Sheet'!$T$10="","",'Final Calculation Sheet'!$T$10)</f>
        <v/>
      </c>
      <c r="DC10">
        <f>IF(DB10="","",COUNTIFS(DB$4:DB$40,"&lt;"&amp;DB10,DB$4:DB$40,"&lt;&gt;"&amp;"")+COUNTIF(DB$4:DB10,DB10))</f>
        <v/>
      </c>
      <c r="DD10" s="55">
        <f>IF(ROW()-3&gt;COUNTIF(DB$4:DB$40,"&lt;&gt;"&amp;""),"",INDEX(DB$4:DB$40,MATCH(ROW()-3,DC$4:DC$40,0)))</f>
        <v/>
      </c>
      <c r="DE10">
        <f>DE9+IF(AND(DD10&lt;&gt;"",COUNTIF(DD$4:DD10,DD10)=1),1,0)</f>
        <v/>
      </c>
      <c r="DF10" s="55">
        <f>IF(ROW()-3&gt;MAX(DE$4:DE$40),"",INDEX(DD$4:DD$40,MATCH(ROW()-3,DE$4:DE$40,0)))</f>
        <v/>
      </c>
      <c r="DG10" s="140">
        <f>IF('Final Calculation Sheet'!$U$10="","",'Final Calculation Sheet'!$U$10)</f>
        <v/>
      </c>
      <c r="DH10">
        <f>IF(DG10="","",COUNTIFS(DG$4:DG$40,"&lt;"&amp;DG10,DG$4:DG$40,"&lt;&gt;"&amp;"")+COUNTIF(DG$4:DG10,DG10))</f>
        <v/>
      </c>
      <c r="DI10" s="140">
        <f>IF(ROW()-3&gt;COUNTIF(DG$4:DG$40,"&lt;&gt;"&amp;""),"",INDEX(DG$4:DG$40,MATCH(ROW()-3,DH$4:DH$40,0)))</f>
        <v/>
      </c>
      <c r="DJ10">
        <f>DJ9+IF(AND(DI10&lt;&gt;"",COUNTIF(DI$4:DI10,DI10)=1),1,0)</f>
        <v/>
      </c>
      <c r="DK10" s="140">
        <f>IF(ROW()-3&gt;MAX(DJ$4:DJ$40),"",INDEX(DI$4:DI$40,MATCH(ROW()-3,DJ$4:DJ$40,0)))</f>
        <v/>
      </c>
      <c r="DL10">
        <f>IF('Final Calculation Sheet'!$V$10="","",'Final Calculation Sheet'!$V$10)</f>
        <v/>
      </c>
      <c r="DM10">
        <f>IF(DL10="","",COUNTIFS(DL$4:DL$40,"&lt;"&amp;DL10,DL$4:DL$40,"&lt;&gt;"&amp;"")+COUNTIF(DL$4:DL10,DL10))</f>
        <v/>
      </c>
      <c r="DN10">
        <f>IF(ROW()-3&gt;COUNTIF(DL$4:DL$40,"&lt;&gt;"&amp;""),"",INDEX(DL$4:DL$40,MATCH(ROW()-3,DM$4:DM$40,0)))</f>
        <v/>
      </c>
      <c r="DO10">
        <f>DO9+IF(AND(DN10&lt;&gt;"",COUNTIF(DN$4:DN10,DN10)=1),1,0)</f>
        <v/>
      </c>
      <c r="DP10">
        <f>IF(ROW()-3&gt;MAX(DO$4:DO$40),"",INDEX(DN$4:DN$40,MATCH(ROW()-3,DO$4:DO$40,0)))</f>
        <v/>
      </c>
      <c r="DQ10" s="55">
        <f>IF('Final Calculation Sheet'!$W$10="","",'Final Calculation Sheet'!$W$10)</f>
        <v/>
      </c>
      <c r="DR10">
        <f>IF(DQ10="","",COUNTIFS(DQ$4:DQ$40,"&lt;"&amp;DQ10,DQ$4:DQ$40,"&lt;&gt;"&amp;"")+COUNTIF(DQ$4:DQ10,DQ10))</f>
        <v/>
      </c>
      <c r="DS10" s="55">
        <f>IF(ROW()-3&gt;COUNTIF(DQ$4:DQ$40,"&lt;&gt;"&amp;""),"",INDEX(DQ$4:DQ$40,MATCH(ROW()-3,DR$4:DR$40,0)))</f>
        <v/>
      </c>
      <c r="DT10">
        <f>DT9+IF(AND(DS10&lt;&gt;"",COUNTIF(DS$4:DS10,DS10)=1),1,0)</f>
        <v/>
      </c>
      <c r="DU10" s="55">
        <f>IF(ROW()-3&gt;MAX(DT$4:DT$40),"",INDEX(DS$4:DS$40,MATCH(ROW()-3,DT$4:DT$40,0)))</f>
        <v/>
      </c>
      <c r="DV10" s="55">
        <f>IF('Final Calculation Sheet'!$X$10="","",'Final Calculation Sheet'!$X$10)</f>
        <v/>
      </c>
      <c r="DW10">
        <f>IF(DV10="","",COUNTIFS(DV$4:DV$40,"&lt;"&amp;DV10,DV$4:DV$40,"&lt;&gt;"&amp;"")+COUNTIF(DV$4:DV10,DV10))</f>
        <v/>
      </c>
      <c r="DX10" s="55">
        <f>IF(ROW()-3&gt;COUNTIF(DV$4:DV$40,"&lt;&gt;"&amp;""),"",INDEX(DV$4:DV$40,MATCH(ROW()-3,DW$4:DW$40,0)))</f>
        <v/>
      </c>
      <c r="DY10">
        <f>DY9+IF(AND(DX10&lt;&gt;"",COUNTIF(DX$4:DX10,DX10)=1),1,0)</f>
        <v/>
      </c>
      <c r="DZ10">
        <f>IF(ROW()-3&gt;MAX(DY$4:DY$40),"",INDEX(DX$4:DX$40,MATCH(ROW()-3,DY$4:DY$40,0)))</f>
        <v/>
      </c>
      <c r="EA10">
        <f>IF('Final Calculation Sheet'!$Y$10="","",'Final Calculation Sheet'!$Y$10)</f>
        <v/>
      </c>
      <c r="EB10">
        <f>IF(EA10="","",COUNTIFS(EA$4:EA$40,"&lt;"&amp;EA10,EA$4:EA$40,"&lt;&gt;"&amp;"")+COUNTIF(EA$4:EA10,EA10))</f>
        <v/>
      </c>
      <c r="EC10">
        <f>IF(ROW()-3&gt;COUNTIF(EA$4:EA$40,"&lt;&gt;"&amp;""),"",INDEX(EA$4:EA$40,MATCH(ROW()-3,EB$4:EB$40,0)))</f>
        <v/>
      </c>
      <c r="ED10">
        <f>ED9+IF(AND(EC10&lt;&gt;"",COUNTIF(EC$4:EC10,EC10)=1),1,0)</f>
        <v/>
      </c>
      <c r="EE10">
        <f>IF(ROW()-3&gt;MAX(ED$4:ED$40),"",INDEX(EC$4:EC$40,MATCH(ROW()-3,ED$4:ED$40,0)))</f>
        <v/>
      </c>
      <c r="EF10" s="55">
        <f>IF('Final Calculation Sheet'!$Z$10="","",'Final Calculation Sheet'!$Z$10)</f>
        <v/>
      </c>
      <c r="EG10">
        <f>IF(EF10="","",COUNTIFS(EF$4:EF$40,"&lt;"&amp;EF10,EF$4:EF$40,"&lt;&gt;"&amp;"")+COUNTIF(EF$4:EF10,EF10))</f>
        <v/>
      </c>
      <c r="EH10" s="55">
        <f>IF(ROW()-3&gt;COUNTIF(EF$4:EF$40,"&lt;&gt;"&amp;""),"",INDEX(EF$4:EF$40,MATCH(ROW()-3,EG$4:EG$40,0)))</f>
        <v/>
      </c>
      <c r="EI10">
        <f>EI9+IF(AND(EH10&lt;&gt;"",COUNTIF(EH$4:EH10,EH10)=1),1,0)</f>
        <v/>
      </c>
      <c r="EJ10">
        <f>IF(ROW()-3&gt;MAX(EI$4:EI$40),"",INDEX(EH$4:EH$40,MATCH(ROW()-3,EI$4:EI$40,0)))</f>
        <v/>
      </c>
      <c r="EK10">
        <f>IF('Final Calculation Sheet'!$AA$10="","",'Final Calculation Sheet'!$AA$10)</f>
        <v/>
      </c>
      <c r="EL10">
        <f>IF(EK10="","",COUNTIFS(EK$4:EK$40,"&lt;"&amp;EK10,EK$4:EK$40,"&lt;&gt;"&amp;"")+COUNTIF(EK$4:EK10,EK10))</f>
        <v/>
      </c>
      <c r="EM10">
        <f>IF(ROW()-3&gt;COUNTIF(EK$4:EK$40,"&lt;&gt;"&amp;""),"",INDEX(EK$4:EK$40,MATCH(ROW()-3,EL$4:EL$40,0)))</f>
        <v/>
      </c>
      <c r="EN10">
        <f>EN9+IF(AND(EM10&lt;&gt;"",COUNTIF(EM$4:EM10,EM10)=1),1,0)</f>
        <v/>
      </c>
      <c r="EO10">
        <f>IF(ROW()-3&gt;MAX(EN$4:EN$40),"",INDEX(EM$4:EM$40,MATCH(ROW()-3,EN$4:EN$40,0)))</f>
        <v/>
      </c>
      <c r="EP10">
        <f>IF('Final Calculation Sheet'!$AB$10="","",'Final Calculation Sheet'!$AB$10)</f>
        <v/>
      </c>
      <c r="EQ10">
        <f>IF(EP10="","",COUNTIFS(EP$4:EP$40,"&lt;"&amp;EP10,EP$4:EP$40,"&lt;&gt;"&amp;"")+COUNTIF(EP$4:EP10,EP10))</f>
        <v/>
      </c>
      <c r="ER10">
        <f>IF(ROW()-3&gt;COUNTIF(EP$4:EP$40,"&lt;&gt;"&amp;""),"",INDEX(EP$4:EP$40,MATCH(ROW()-3,EQ$4:EQ$40,0)))</f>
        <v/>
      </c>
      <c r="ES10">
        <f>ES9+IF(AND(ER10&lt;&gt;"",COUNTIF(ER$4:ER10,ER10)=1),1,0)</f>
        <v/>
      </c>
      <c r="ET10">
        <f>IF(ROW()-3&gt;MAX(ES$4:ES$40),"",INDEX(ER$4:ER$40,MATCH(ROW()-3,ES$4:ES$40,0)))</f>
        <v/>
      </c>
      <c r="EU10" s="55">
        <f>IF('Final Calculation Sheet'!$AC$10="","",'Final Calculation Sheet'!$AC$10)</f>
        <v/>
      </c>
      <c r="EV10">
        <f>IF(EU10="","",COUNTIFS(EU$4:EU$40,"&lt;"&amp;EU10,EU$4:EU$40,"&lt;&gt;"&amp;"")+COUNTIF(EU$4:EU10,EU10))</f>
        <v/>
      </c>
      <c r="EW10" s="55">
        <f>IF(ROW()-3&gt;COUNTIF(EU$4:EU$40,"&lt;&gt;"&amp;""),"",INDEX(EU$4:EU$40,MATCH(ROW()-3,EV$4:EV$40,0)))</f>
        <v/>
      </c>
      <c r="EX10">
        <f>EX9+IF(AND(EW10&lt;&gt;"",COUNTIF(EW$4:EW10,EW10)=1),1,0)</f>
        <v/>
      </c>
      <c r="EY10" s="55">
        <f>IF(ROW()-3&gt;MAX(EX$4:EX$40),"",INDEX(EW$4:EW$40,MATCH(ROW()-3,EX$4:EX$40,0)))</f>
        <v/>
      </c>
      <c r="EZ10" s="55">
        <f>IF('Final Calculation Sheet'!$AD$10="","",'Final Calculation Sheet'!$AD$10)</f>
        <v/>
      </c>
      <c r="FA10">
        <f>IF(EZ10="","",COUNTIFS(EZ$4:EZ$40,"&lt;"&amp;EZ10,EZ$4:EZ$40,"&lt;&gt;"&amp;"")+COUNTIF(EZ$4:EZ10,EZ10))</f>
        <v/>
      </c>
      <c r="FB10" s="55">
        <f>IF(ROW()-3&gt;COUNTIF(EZ$4:EZ$40,"&lt;&gt;"&amp;""),"",INDEX(EZ$4:EZ$40,MATCH(ROW()-3,FA$4:FA$40,0)))</f>
        <v/>
      </c>
      <c r="FC10">
        <f>FC9+IF(AND(FB10&lt;&gt;"",COUNTIF(FB$4:FB10,FB10)=1),1,0)</f>
        <v/>
      </c>
      <c r="FD10" s="55">
        <f>IF(ROW()-3&gt;MAX(FC$4:FC$40),"",INDEX(FB$4:FB$40,MATCH(ROW()-3,FC$4:FC$40,0)))</f>
        <v/>
      </c>
      <c r="FE10">
        <f>IF('Final Calculation Sheet'!$AF$10="","",'Final Calculation Sheet'!$AF$10)</f>
        <v/>
      </c>
      <c r="FF10">
        <f>IF(FE10="","",COUNTIFS(FE$4:FE$40,"&lt;"&amp;FE10,FE$4:FE$40,"&lt;&gt;"&amp;"")+COUNTIF(FE$4:FE10,FE10))</f>
        <v/>
      </c>
      <c r="FG10">
        <f>IF(ROW()-3&gt;COUNTIF(FE$4:FE$40,"&lt;&gt;"&amp;""),"",INDEX(FE$4:FE$40,MATCH(ROW()-3,FF$4:FF$40,0)))</f>
        <v/>
      </c>
      <c r="FH10">
        <f>FH9+IF(AND(FG10&lt;&gt;"",COUNTIF(FG$4:FG10,FG10)=1),1,0)</f>
        <v/>
      </c>
      <c r="FI10">
        <f>IF(ROW()-3&gt;MAX(FH$4:FH$40),"",INDEX(FG$4:FG$40,MATCH(ROW()-3,FH$4:FH$40,0)))</f>
        <v/>
      </c>
      <c r="FJ10" s="141">
        <f>IF('Final Calculation Sheet'!$AG$10="","",'Final Calculation Sheet'!$AG$10)</f>
        <v/>
      </c>
      <c r="FK10">
        <f>IF(FJ10="","",COUNTIFS(FJ$4:FJ$40,"&lt;"&amp;FJ10,FJ$4:FJ$40,"&lt;&gt;"&amp;"")+COUNTIF(FJ$4:FJ10,FJ10))</f>
        <v/>
      </c>
      <c r="FL10" s="141">
        <f>IF(ROW()-3&gt;COUNTIF(FJ$4:FJ$40,"&lt;&gt;"&amp;""),"",INDEX(FJ$4:FJ$40,MATCH(ROW()-3,FK$4:FK$40,0)))</f>
        <v/>
      </c>
      <c r="FM10">
        <f>FM9+IF(AND(FL10&lt;&gt;"",COUNTIF(FL$4:FL10,FL10)=1),1,0)</f>
        <v/>
      </c>
      <c r="FN10">
        <f>IF(ROW()-3&gt;MAX(FM$4:FM$40),"",INDEX(FL$4:FL$40,MATCH(ROW()-3,FM$4:FM$40,0)))</f>
        <v/>
      </c>
      <c r="FO10">
        <f>IF('Final Calculation Sheet'!$AH$10="","",'Final Calculation Sheet'!$AH$10)</f>
        <v/>
      </c>
      <c r="FP10">
        <f>IF(FO10="","",COUNTIFS(FO$4:FO$40,"&lt;"&amp;FO10,FO$4:FO$40,"&lt;&gt;"&amp;"")+COUNTIF(FO$4:FO10,FO10))</f>
        <v/>
      </c>
      <c r="FQ10">
        <f>IF(ROW()-3&gt;COUNTIF(FO$4:FO$40,"&lt;&gt;"&amp;""),"",INDEX(FO$4:FO$40,MATCH(ROW()-3,FP$4:FP$40,0)))</f>
        <v/>
      </c>
      <c r="FR10">
        <f>FR9+IF(AND(FQ10&lt;&gt;"",COUNTIF(FQ$4:FQ10,FQ10)=1),1,0)</f>
        <v/>
      </c>
      <c r="FS10">
        <f>IF(ROW()-3&gt;MAX(FR$4:FR$40),"",INDEX(FQ$4:FQ$40,MATCH(ROW()-3,FR$4:FR$40,0)))</f>
        <v/>
      </c>
      <c r="FU10">
        <f>IF(FT10="","",COUNTIFS(FT$4:FT$40,"&lt;"&amp;FT10,FT$4:FT$40,"&lt;&gt;"&amp;"")+COUNTIF(FT$4:FT10,FT10))</f>
        <v/>
      </c>
      <c r="FV10">
        <f>IF(ROW()-3&gt;COUNTIF(FT$4:FT$40,"&lt;&gt;"&amp;""),"",INDEX(FT$4:FT$40,MATCH(ROW()-3,FU$4:FU$40,0)))</f>
        <v/>
      </c>
      <c r="FW10">
        <f>FW9+IF(AND(FV10&lt;&gt;"",COUNTIF(FV$4:FV10,FV10)=1),1,0)</f>
        <v/>
      </c>
      <c r="FX10">
        <f>IF(ROW()-3&gt;MAX(FW$4:FW$40),"",INDEX(FV$4:FV$40,MATCH(ROW()-3,FW$4:FW$40,0)))</f>
        <v/>
      </c>
      <c r="FY10">
        <f>IF(COUNTIF('Live Search'!BM$9:BO$9,0)+COUNTIF('Live Search'!BQ$9:CU$9,0)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0">
        <f>IF($Y$10="",FALSE,SUMPRODUCT(('Final Calculation Sheet'!$B$4:$B$40=$Y$10)*($FY$6:$FY$42=1))&gt;0)</f>
        <v/>
      </c>
      <c r="GA10">
        <f>$GA$9+--($FZ$10)</f>
        <v/>
      </c>
      <c r="GB10">
        <f>IF(ROW()-3&gt;MAX($GA$4:$GA$40),"",INDEX($Y$4:$Y$40,MATCH(ROW()-3,$GA$4:$GA$40,0)))</f>
        <v/>
      </c>
      <c r="GC10">
        <f>IF('Final Calculation Sheet'!$F$10="","",IF(TRIM('Final Calculation Sheet'!$G$2)="",'Final Calculation Sheet'!$F$10,IF(TRIM('Final Calculation Sheet'!$G$2)="(nonblank)",IF('Final Calculation Sheet'!$G$10&lt;&gt;"",'Final Calculation Sheet'!$F$10,""),IF(TRIM('Final Calculation Sheet'!$G$2)="(blank)",IF('Final Calculation Sheet'!$G$10="",'Final Calculation Sheet'!$F$10,""),IF(ISNUMBER(SEARCH(TRIM('Final Calculation Sheet'!$G$2),'Final Calculation Sheet'!$G$10)),'Final Calculation Sheet'!$F$10,"")))))</f>
        <v/>
      </c>
      <c r="GD10">
        <f>IF(GC10="","",COUNTIFS(GC$4:GC$40,"&lt;"&amp;GC10,GC$4:GC$40,"&lt;&gt;"&amp;"")+COUNTIF(GC$4:GC10,GC10))</f>
        <v/>
      </c>
      <c r="GE10">
        <f>IF(ROW()-3&gt;COUNTIF(GC$4:GC$40,"&lt;&gt;"&amp;""),"",INDEX(GC$4:GC$40,MATCH(ROW()-3,GD$4:GD$40,0)))</f>
        <v/>
      </c>
      <c r="GF10">
        <f>GF9+IF(AND(GE10&lt;&gt;"",COUNTIF(GE$4:GE10,GE10)=1),1,0)</f>
        <v/>
      </c>
      <c r="GG10">
        <f>IF(ROW()-3&gt;MAX(GF$4:GF$40),"",INDEX(GE$4:GE$40,MATCH(ROW()-3,GF$4:GF$40,0)))</f>
        <v/>
      </c>
      <c r="GH10">
        <f>IF('Final Calculation Sheet'!$F$10="","",IF('Live Search'!$BO$11=1,'Final Calculation Sheet'!$F$10,""))</f>
        <v/>
      </c>
      <c r="GI10">
        <f>IF(GH10="","",COUNTIFS(GH$4:GH$40,"&lt;"&amp;GH10,GH$4:GH$40,"&lt;&gt;"&amp;"")+COUNTIF(GH$4:GH10,GH10))</f>
        <v/>
      </c>
      <c r="GJ10">
        <f>IF(ROW()-3&gt;COUNTIF(GH$4:GH$40,"&lt;&gt;"&amp;""),"",INDEX(GH$4:GH$40,MATCH(ROW()-3,GI$4:GI$40,0)))</f>
        <v/>
      </c>
      <c r="GK10">
        <f>GK9+IF(AND(GJ10&lt;&gt;"",COUNTIF(GJ$4:GJ10,GJ10)=1),1,0)</f>
        <v/>
      </c>
      <c r="GL10">
        <f>IF(ROW()-3&gt;MAX(GK$4:GK$40),"",INDEX(GJ$4:GJ$40,MATCH(ROW()-3,GK$4:GK$40,0)))</f>
        <v/>
      </c>
      <c r="GM10">
        <f>IF('Final Calculation Sheet'!$F$10="","",IF(TRIM('Buyer Groups'!$C$4)="",'Final Calculation Sheet'!$F$10,IF(TRIM('Buyer Groups'!$C$4)="(nonblank)",IF('Final Calculation Sheet'!$G$10&lt;&gt;"",'Final Calculation Sheet'!$F$10,""),IF(TRIM('Buyer Groups'!$C$4)="(blank)",IF('Final Calculation Sheet'!$G$10="",'Final Calculation Sheet'!$F$10,""),IF(ISNUMBER(SEARCH(TRIM('Buyer Groups'!$C$4),'Final Calculation Sheet'!$G$10)),'Final Calculation Sheet'!$F$10,"")))))</f>
        <v/>
      </c>
      <c r="GN10">
        <f>IF(GM10="","",COUNTIFS(GM$4:GM$40,"&lt;"&amp;GM10,GM$4:GM$40,"&lt;&gt;"&amp;"")+COUNTIF(GM$4:GM10,GM10))</f>
        <v/>
      </c>
      <c r="GO10">
        <f>IF(ROW()-3&gt;COUNTIF(GM$4:GM$40,"&lt;&gt;"&amp;""),"",INDEX(GM$4:GM$40,MATCH(ROW()-3,GN$4:GN$40,0)))</f>
        <v/>
      </c>
      <c r="GP10">
        <f>GP9+IF(AND(GO10&lt;&gt;"",COUNTIF(GO$4:GO10,GO10)=1),1,0)</f>
        <v/>
      </c>
      <c r="GQ10">
        <f>IF(ROW()-3&gt;MAX(GP$4:GP$40),"",INDEX(GO$4:GO$40,MATCH(ROW()-3,GP$4:GP$40,0)))</f>
        <v/>
      </c>
      <c r="GR10">
        <f>IF('Final Calculation Sheet'!$B$10="","",IF(TRIM('Final Calculation Sheet'!$G$2)="",'Final Calculation Sheet'!$B$10,IF(TRIM('Final Calculation Sheet'!$G$2)="(nonblank)",IF('Final Calculation Sheet'!$G$10&lt;&gt;"",'Final Calculation Sheet'!$B$10,""),IF(TRIM('Final Calculation Sheet'!$G$2)="(blank)",IF('Final Calculation Sheet'!$G$10="",'Final Calculation Sheet'!$B$10,""),IF(ISNUMBER(SEARCH(TRIM('Final Calculation Sheet'!$G$2),'Final Calculation Sheet'!$G$10)),'Final Calculation Sheet'!$B$10,"")))))</f>
        <v/>
      </c>
      <c r="GS10">
        <f>IF(GR10="","",COUNTIFS(GR$4:GR$40,"&lt;"&amp;GR10,GR$4:GR$40,"&lt;&gt;"&amp;"")+COUNTIF(GR$4:GR10,GR10))</f>
        <v/>
      </c>
      <c r="GT10">
        <f>IF(ROW()-3&gt;COUNTIF(GR$4:GR$40,"&lt;&gt;"&amp;""),"",INDEX(GR$4:GR$40,MATCH(ROW()-3,GS$4:GS$40,0)))</f>
        <v/>
      </c>
      <c r="GU10">
        <f>GU9+IF(AND(GT10&lt;&gt;"",COUNTIF(GT$4:GT10,GT10)=1),1,0)</f>
        <v/>
      </c>
      <c r="GV10">
        <f>IF(ROW()-3&gt;MAX(GU$4:GU$40),"",INDEX(GT$4:GT$40,MATCH(ROW()-3,GU$4:GU$40,0)))</f>
        <v/>
      </c>
      <c r="GW10">
        <f>IF('Final Calculation Sheet'!$B$10="","",IF(TRIM('Buyer Groups'!$C$4)="",'Final Calculation Sheet'!$B$10,IF(TRIM('Buyer Groups'!$C$4)="(nonblank)",IF('Final Calculation Sheet'!$G$10&lt;&gt;"",'Final Calculation Sheet'!$B$10,""),IF(TRIM('Buyer Groups'!$C$4)="(blank)",IF('Final Calculation Sheet'!$G$10="",'Final Calculation Sheet'!$B$10,""),IF(ISNUMBER(SEARCH(TRIM('Buyer Groups'!$C$4),'Final Calculation Sheet'!$G$10)),'Final Calculation Sheet'!$B$10,"")))))</f>
        <v/>
      </c>
      <c r="GX10">
        <f>IF(GW10="","",COUNTIFS(GW$4:GW$40,"&lt;"&amp;GW10,GW$4:GW$40,"&lt;&gt;"&amp;"")+COUNTIF(GW$4:GW10,GW10))</f>
        <v/>
      </c>
      <c r="GY10">
        <f>IF(ROW()-3&gt;COUNTIF(GW$4:GW$40,"&lt;&gt;"&amp;""),"",INDEX(GW$4:GW$40,MATCH(ROW()-3,GX$4:GX$40,0)))</f>
        <v/>
      </c>
      <c r="GZ10">
        <f>GZ9+IF(AND(GY10&lt;&gt;"",COUNTIF(GY$4:GY10,GY10)=1),1,0)</f>
        <v/>
      </c>
      <c r="HA10">
        <f>IF(ROW()-3&gt;MAX(GZ$4:GZ$40),"",INDEX(GY$4:GY$40,MATCH(ROW()-3,GZ$4:GZ$40,0)))</f>
        <v/>
      </c>
    </row>
    <row r="11">
      <c r="A11">
        <f>IF('Final Calculation Sheet'!$F$11="","",'Final Calculation Sheet'!$F$11)</f>
        <v/>
      </c>
      <c r="B11">
        <f>IF(A11="","",COUNTIFS(A$4:A$114,"&lt;"&amp;A11,A$4:A$114,"&lt;&gt;"&amp;"")+COUNTIF(A$4:A11,A11))</f>
        <v/>
      </c>
      <c r="C11">
        <f>IF(ROW()-3&gt;COUNTIF(A$4:A$114,"&lt;&gt;"&amp;""),"",INDEX(A$4:A$114,MATCH(ROW()-3,B$4:B$114,0)))</f>
        <v/>
      </c>
      <c r="D11">
        <f>D10+IF(AND(C11&lt;&gt;"",COUNTIF(C$4:C11,C11)=1),1,0)</f>
        <v/>
      </c>
      <c r="E11">
        <f>IF(ROW()-3&gt;MAX(D$4:D$114),"",INDEX(C$4:C$114,MATCH(ROW()-3,D$4:D$114,0)))</f>
        <v/>
      </c>
      <c r="F11">
        <f>ROW()-3</f>
        <v/>
      </c>
      <c r="G11">
        <f>IF(F11="","",COUNTIFS(F$4:F$40,"&lt;"&amp;F11,F$4:F$40,"&lt;&gt;"&amp;"")+COUNTIF(F$4:F11,F11))</f>
        <v/>
      </c>
      <c r="H11">
        <f>IF(ROW()-3&gt;COUNTIF(F$4:F$40,"&lt;&gt;"&amp;""),"",INDEX(F$4:F$40,MATCH(ROW()-3,G$4:G$40,0)))</f>
        <v/>
      </c>
      <c r="I11">
        <f>I10+IF(AND(H11&lt;&gt;"",COUNTIF(H$4:H11,H11)=1),1,0)</f>
        <v/>
      </c>
      <c r="J11">
        <f>IF(ROW()-3&gt;MAX(I$4:I$40),"",INDEX(H$4:H$40,MATCH(ROW()-3,I$4:I$40,0)))</f>
        <v/>
      </c>
      <c r="K11">
        <f>IF('Final Calculation Sheet'!$F$11="","",'Final Calculation Sheet'!$F$11)</f>
        <v/>
      </c>
      <c r="L11">
        <f>IF(K11="","",COUNTIFS(K$4:K$40,"&lt;"&amp;K11,K$4:K$40,"&lt;&gt;"&amp;"")+COUNTIF(K$4:K11,K11))</f>
        <v/>
      </c>
      <c r="M11">
        <f>IF(ROW()-3&gt;COUNTIF(K$4:K$40,"&lt;&gt;"&amp;""),"",INDEX(K$4:K$40,MATCH(ROW()-3,L$4:L$40,0)))</f>
        <v/>
      </c>
      <c r="N11">
        <f>N10+IF(AND(M11&lt;&gt;"",COUNTIF(M$4:M11,M11)=1),1,0)</f>
        <v/>
      </c>
      <c r="O11">
        <f>IF(ROW()-3&gt;MAX(N$4:N$40),"",INDEX(M$4:M$40,MATCH(ROW()-3,N$4:N$40,0)))</f>
        <v/>
      </c>
      <c r="P11">
        <f>IF('Final Calculation Sheet'!$G$11="","",'Final Calculation Sheet'!$G$11)</f>
        <v/>
      </c>
      <c r="Q11">
        <f>IF(P11="","",COUNTIFS(P$4:P$40,"&lt;"&amp;P11,P$4:P$40,"&lt;&gt;"&amp;"")+COUNTIF(P$4:P11,P11))</f>
        <v/>
      </c>
      <c r="R11">
        <f>IF(ROW()-3&gt;COUNTIF(P$4:P$40,"&lt;&gt;"&amp;""),"",INDEX(P$4:P$40,MATCH(ROW()-3,Q$4:Q$40,0)))</f>
        <v/>
      </c>
      <c r="S11">
        <f>S10+IF(AND(R11&lt;&gt;"",COUNTIF(R$4:R11,R11)=1),1,0)</f>
        <v/>
      </c>
      <c r="T11">
        <f>IF(ROW()-3&gt;MAX(S$4:S$40),"",INDEX(R$4:R$40,MATCH(ROW()-3,S$4:S$40,0)))</f>
        <v/>
      </c>
      <c r="U11">
        <f>IF('Final Calculation Sheet'!$B$11="","",'Final Calculation Sheet'!$B$11)</f>
        <v/>
      </c>
      <c r="V11">
        <f>IF(U11="","",COUNTIFS(U$4:U$40,"&lt;"&amp;U11,U$4:U$40,"&lt;&gt;"&amp;"")+COUNTIF(U$4:U11,U11))</f>
        <v/>
      </c>
      <c r="W11">
        <f>IF(ROW()-3&gt;COUNTIF(U$4:U$40,"&lt;&gt;"&amp;""),"",INDEX(U$4:U$40,MATCH(ROW()-3,V$4:V$40,0)))</f>
        <v/>
      </c>
      <c r="X11">
        <f>X10+IF(AND(W11&lt;&gt;"",COUNTIF(W$4:W11,W11)=1),1,0)</f>
        <v/>
      </c>
      <c r="Y11">
        <f>IF(ROW()-3&gt;MAX(X$4:X$40),"",INDEX(W$4:W$40,MATCH(ROW()-3,X$4:X$40,0)))</f>
        <v/>
      </c>
      <c r="Z11">
        <f>IF('Final Calculation Sheet'!$D$11="","",'Final Calculation Sheet'!$D$11)</f>
        <v/>
      </c>
      <c r="AA11">
        <f>IF(Z11="","",COUNTIFS(Z$4:Z$40,"&lt;"&amp;Z11,Z$4:Z$40,"&lt;&gt;"&amp;"")+COUNTIF(Z$4:Z11,Z11))</f>
        <v/>
      </c>
      <c r="AB11">
        <f>IF(ROW()-3&gt;COUNTIF(Z$4:Z$40,"&lt;&gt;"&amp;""),"",INDEX(Z$4:Z$40,MATCH(ROW()-3,AA$4:AA$40,0)))</f>
        <v/>
      </c>
      <c r="AC11">
        <f>AC10+IF(AND(AB11&lt;&gt;"",COUNTIF(AB$4:AB11,AB11)=1),1,0)</f>
        <v/>
      </c>
      <c r="AD11">
        <f>IF(ROW()-3&gt;MAX(AC$4:AC$40),"",INDEX(AB$4:AB$40,MATCH(ROW()-3,AC$4:AC$40,0)))</f>
        <v/>
      </c>
      <c r="AE11">
        <f>IF('Final Calculation Sheet'!$A$11="","",'Final Calculation Sheet'!$A$11)</f>
        <v/>
      </c>
      <c r="AF11">
        <f>IF(AE11="","",COUNTIFS(AE$4:AE$40,"&lt;"&amp;AE11,AE$4:AE$40,"&lt;&gt;"&amp;"")+COUNTIF(AE$4:AE11,AE11))</f>
        <v/>
      </c>
      <c r="AG11">
        <f>IF(ROW()-3&gt;COUNTIF(AE$4:AE$40,"&lt;&gt;"&amp;""),"",INDEX(AE$4:AE$40,MATCH(ROW()-3,AF$4:AF$40,0)))</f>
        <v/>
      </c>
      <c r="AH11">
        <f>AH10+IF(AND(AG11&lt;&gt;"",COUNTIF(AG$4:AG11,AG11)=1),1,0)</f>
        <v/>
      </c>
      <c r="AI11">
        <f>IF(ROW()-3&gt;MAX(AH$4:AH$40),"",INDEX(AG$4:AG$40,MATCH(ROW()-3,AH$4:AH$40,0)))</f>
        <v/>
      </c>
      <c r="AJ11">
        <f>IF('Final Calculation Sheet'!$E$11="","",'Final Calculation Sheet'!$E$11)</f>
        <v/>
      </c>
      <c r="AK11">
        <f>IF(AJ11="","",COUNTIFS(AJ$4:AJ$40,"&lt;"&amp;AJ11,AJ$4:AJ$40,"&lt;&gt;"&amp;"")+COUNTIF(AJ$4:AJ11,AJ11))</f>
        <v/>
      </c>
      <c r="AL11">
        <f>IF(ROW()-3&gt;COUNTIF(AJ$4:AJ$40,"&lt;&gt;"&amp;""),"",INDEX(AJ$4:AJ$40,MATCH(ROW()-3,AK$4:AK$40,0)))</f>
        <v/>
      </c>
      <c r="AM11">
        <f>AM10+IF(AND(AL11&lt;&gt;"",COUNTIF(AL$4:AL11,AL11)=1),1,0)</f>
        <v/>
      </c>
      <c r="AN11">
        <f>IF(ROW()-3&gt;MAX(AM$4:AM$40),"",INDEX(AL$4:AL$40,MATCH(ROW()-3,AM$4:AM$40,0)))</f>
        <v/>
      </c>
      <c r="AO11" s="55">
        <f>IF('Final Calculation Sheet'!$C$11="","",'Final Calculation Sheet'!$C$11)</f>
        <v/>
      </c>
      <c r="AP11">
        <f>IF(AO11="","",COUNTIFS(AO$4:AO$40,"&lt;"&amp;AO11,AO$4:AO$40,"&lt;&gt;"&amp;"")+COUNTIF(AO$4:AO11,AO11))</f>
        <v/>
      </c>
      <c r="AQ11" s="55">
        <f>IF(ROW()-3&gt;COUNTIF(AO$4:AO$40,"&lt;&gt;"&amp;""),"",INDEX(AO$4:AO$40,MATCH(ROW()-3,AP$4:AP$40,0)))</f>
        <v/>
      </c>
      <c r="AR11">
        <f>AR10+IF(AND(AQ11&lt;&gt;"",COUNTIF(AQ$4:AQ11,AQ11)=1),1,0)</f>
        <v/>
      </c>
      <c r="AS11" s="55">
        <f>IF(ROW()-3&gt;MAX(AR$4:AR$40),"",INDEX(AQ$4:AQ$40,MATCH(ROW()-3,AR$4:AR$40,0)))</f>
        <v/>
      </c>
      <c r="AT11" s="55">
        <f>IF('Final Calculation Sheet'!$H$11="","",'Final Calculation Sheet'!$H$11)</f>
        <v/>
      </c>
      <c r="AU11">
        <f>IF(AT11="","",COUNTIFS(AT$4:AT$40,"&lt;"&amp;AT11,AT$4:AT$40,"&lt;&gt;"&amp;"")+COUNTIF(AT$4:AT11,AT11))</f>
        <v/>
      </c>
      <c r="AV11" s="55">
        <f>IF(ROW()-3&gt;COUNTIF(AT$4:AT$40,"&lt;&gt;"&amp;""),"",INDEX(AT$4:AT$40,MATCH(ROW()-3,AU$4:AU$40,0)))</f>
        <v/>
      </c>
      <c r="AW11">
        <f>AW10+IF(AND(AV11&lt;&gt;"",COUNTIF(AV$4:AV11,AV11)=1),1,0)</f>
        <v/>
      </c>
      <c r="AX11" s="55">
        <f>IF(ROW()-3&gt;MAX(AW$4:AW$40),"",INDEX(AV$4:AV$40,MATCH(ROW()-3,AW$4:AW$40,0)))</f>
        <v/>
      </c>
      <c r="AY11" s="55">
        <f>IF('Final Calculation Sheet'!$I$11="","",'Final Calculation Sheet'!$I$11)</f>
        <v/>
      </c>
      <c r="AZ11">
        <f>IF(AY11="","",COUNTIFS(AY$4:AY$40,"&lt;"&amp;AY11,AY$4:AY$40,"&lt;&gt;"&amp;"")+COUNTIF(AY$4:AY11,AY11))</f>
        <v/>
      </c>
      <c r="BA11" s="55">
        <f>IF(ROW()-3&gt;COUNTIF(AY$4:AY$40,"&lt;&gt;"&amp;""),"",INDEX(AY$4:AY$40,MATCH(ROW()-3,AZ$4:AZ$40,0)))</f>
        <v/>
      </c>
      <c r="BB11">
        <f>BB10+IF(AND(BA11&lt;&gt;"",COUNTIF(BA$4:BA11,BA11)=1),1,0)</f>
        <v/>
      </c>
      <c r="BC11" s="55">
        <f>IF(ROW()-3&gt;MAX(BB$4:BB$40),"",INDEX(BA$4:BA$40,MATCH(ROW()-3,BB$4:BB$40,0)))</f>
        <v/>
      </c>
      <c r="BD11" s="55">
        <f>IF('Final Calculation Sheet'!$J$11="","",'Final Calculation Sheet'!$J$11)</f>
        <v/>
      </c>
      <c r="BE11">
        <f>IF(BD11="","",COUNTIFS(BD$4:BD$40,"&lt;"&amp;BD11,BD$4:BD$40,"&lt;&gt;"&amp;"")+COUNTIF(BD$4:BD11,BD11))</f>
        <v/>
      </c>
      <c r="BF11" s="55">
        <f>IF(ROW()-3&gt;COUNTIF(BD$4:BD$40,"&lt;&gt;"&amp;""),"",INDEX(BD$4:BD$40,MATCH(ROW()-3,BE$4:BE$40,0)))</f>
        <v/>
      </c>
      <c r="BG11">
        <f>BG10+IF(AND(BF11&lt;&gt;"",COUNTIF(BF$4:BF11,BF11)=1),1,0)</f>
        <v/>
      </c>
      <c r="BH11" s="55">
        <f>IF(ROW()-3&gt;MAX(BG$4:BG$40),"",INDEX(BF$4:BF$40,MATCH(ROW()-3,BG$4:BG$40,0)))</f>
        <v/>
      </c>
      <c r="BI11" s="55">
        <f>IF('Final Calculation Sheet'!$K$11="","",'Final Calculation Sheet'!$K$11)</f>
        <v/>
      </c>
      <c r="BJ11">
        <f>IF(BI11="","",COUNTIFS(BI$4:BI$40,"&lt;"&amp;BI11,BI$4:BI$40,"&lt;&gt;"&amp;"")+COUNTIF(BI$4:BI11,BI11))</f>
        <v/>
      </c>
      <c r="BK11" s="55">
        <f>IF(ROW()-3&gt;COUNTIF(BI$4:BI$40,"&lt;&gt;"&amp;""),"",INDEX(BI$4:BI$40,MATCH(ROW()-3,BJ$4:BJ$40,0)))</f>
        <v/>
      </c>
      <c r="BL11">
        <f>BL10+IF(AND(BK11&lt;&gt;"",COUNTIF(BK$4:BK11,BK11)=1),1,0)</f>
        <v/>
      </c>
      <c r="BM11" s="55">
        <f>IF(ROW()-3&gt;MAX(BL$4:BL$40),"",INDEX(BK$4:BK$40,MATCH(ROW()-3,BL$4:BL$40,0)))</f>
        <v/>
      </c>
      <c r="BN11" s="55">
        <f>IF('Final Calculation Sheet'!$L$11="","",'Final Calculation Sheet'!$L$11)</f>
        <v/>
      </c>
      <c r="BO11">
        <f>IF(BN11="","",COUNTIFS(BN$4:BN$40,"&lt;"&amp;BN11,BN$4:BN$40,"&lt;&gt;"&amp;"")+COUNTIF(BN$4:BN11,BN11))</f>
        <v/>
      </c>
      <c r="BP11" s="55">
        <f>IF(ROW()-3&gt;COUNTIF(BN$4:BN$40,"&lt;&gt;"&amp;""),"",INDEX(BN$4:BN$40,MATCH(ROW()-3,BO$4:BO$40,0)))</f>
        <v/>
      </c>
      <c r="BQ11">
        <f>BQ10+IF(AND(BP11&lt;&gt;"",COUNTIF(BP$4:BP11,BP11)=1),1,0)</f>
        <v/>
      </c>
      <c r="BR11" s="55">
        <f>IF(ROW()-3&gt;MAX(BQ$4:BQ$40),"",INDEX(BP$4:BP$40,MATCH(ROW()-3,BQ$4:BQ$40,0)))</f>
        <v/>
      </c>
      <c r="BS11" s="55">
        <f>IF('Final Calculation Sheet'!$M$11="","",'Final Calculation Sheet'!$M$11)</f>
        <v/>
      </c>
      <c r="BT11">
        <f>IF(BS11="","",COUNTIFS(BS$4:BS$40,"&lt;"&amp;BS11,BS$4:BS$40,"&lt;&gt;"&amp;"")+COUNTIF(BS$4:BS11,BS11))</f>
        <v/>
      </c>
      <c r="BU11" s="55">
        <f>IF(ROW()-3&gt;COUNTIF(BS$4:BS$40,"&lt;&gt;"&amp;""),"",INDEX(BS$4:BS$40,MATCH(ROW()-3,BT$4:BT$40,0)))</f>
        <v/>
      </c>
      <c r="BV11">
        <f>BV10+IF(AND(BU11&lt;&gt;"",COUNTIF(BU$4:BU11,BU11)=1),1,0)</f>
        <v/>
      </c>
      <c r="BW11" s="55">
        <f>IF(ROW()-3&gt;MAX(BV$4:BV$40),"",INDEX(BU$4:BU$40,MATCH(ROW()-3,BV$4:BV$40,0)))</f>
        <v/>
      </c>
      <c r="BX11" s="138">
        <f>IF('Final Calculation Sheet'!$N$11="","",'Final Calculation Sheet'!$N$11)</f>
        <v/>
      </c>
      <c r="BY11">
        <f>IF(BX11="","",COUNTIFS(BX$4:BX$40,"&lt;"&amp;BX11,BX$4:BX$40,"&lt;&gt;"&amp;"")+COUNTIF(BX$4:BX11,BX11))</f>
        <v/>
      </c>
      <c r="BZ11" s="138">
        <f>IF(ROW()-3&gt;COUNTIF(BX$4:BX$40,"&lt;&gt;"&amp;""),"",INDEX(BX$4:BX$40,MATCH(ROW()-3,BY$4:BY$40,0)))</f>
        <v/>
      </c>
      <c r="CA11">
        <f>CA10+IF(AND(BZ11&lt;&gt;"",COUNTIF(BZ$4:BZ11,BZ11)=1),1,0)</f>
        <v/>
      </c>
      <c r="CB11" s="138">
        <f>IF(ROW()-3&gt;MAX(CA$4:CA$40),"",INDEX(BZ$4:BZ$40,MATCH(ROW()-3,CA$4:CA$40,0)))</f>
        <v/>
      </c>
      <c r="CC11" s="55">
        <f>IF('Final Calculation Sheet'!$O$11="","",'Final Calculation Sheet'!$O$11)</f>
        <v/>
      </c>
      <c r="CD11">
        <f>IF(CC11="","",COUNTIFS(CC$4:CC$40,"&lt;"&amp;CC11,CC$4:CC$40,"&lt;&gt;"&amp;"")+COUNTIF(CC$4:CC11,CC11))</f>
        <v/>
      </c>
      <c r="CE11" s="55">
        <f>IF(ROW()-3&gt;COUNTIF(CC$4:CC$40,"&lt;&gt;"&amp;""),"",INDEX(CC$4:CC$40,MATCH(ROW()-3,CD$4:CD$40,0)))</f>
        <v/>
      </c>
      <c r="CF11">
        <f>CF10+IF(AND(CE11&lt;&gt;"",COUNTIF(CE$4:CE11,CE11)=1),1,0)</f>
        <v/>
      </c>
      <c r="CG11" s="55">
        <f>IF(ROW()-3&gt;MAX(CF$4:CF$40),"",INDEX(CE$4:CE$40,MATCH(ROW()-3,CF$4:CF$40,0)))</f>
        <v/>
      </c>
      <c r="CH11" s="55">
        <f>IF('Final Calculation Sheet'!$P$11="","",'Final Calculation Sheet'!$P$11)</f>
        <v/>
      </c>
      <c r="CI11">
        <f>IF(CH11="","",COUNTIFS(CH$4:CH$40,"&lt;"&amp;CH11,CH$4:CH$40,"&lt;&gt;"&amp;"")+COUNTIF(CH$4:CH11,CH11))</f>
        <v/>
      </c>
      <c r="CJ11" s="55">
        <f>IF(ROW()-3&gt;COUNTIF(CH$4:CH$40,"&lt;&gt;"&amp;""),"",INDEX(CH$4:CH$40,MATCH(ROW()-3,CI$4:CI$40,0)))</f>
        <v/>
      </c>
      <c r="CK11">
        <f>CK10+IF(AND(CJ11&lt;&gt;"",COUNTIF(CJ$4:CJ11,CJ11)=1),1,0)</f>
        <v/>
      </c>
      <c r="CL11" s="55">
        <f>IF(ROW()-3&gt;MAX(CK$4:CK$40),"",INDEX(CJ$4:CJ$40,MATCH(ROW()-3,CK$4:CK$40,0)))</f>
        <v/>
      </c>
      <c r="CM11" s="139">
        <f>IF('Final Calculation Sheet'!$Q$11="","",'Final Calculation Sheet'!$Q$11)</f>
        <v/>
      </c>
      <c r="CN11">
        <f>IF(CM11="","",COUNTIFS(CM$4:CM$40,"&lt;"&amp;CM11,CM$4:CM$40,"&lt;&gt;"&amp;"")+COUNTIF(CM$4:CM11,CM11))</f>
        <v/>
      </c>
      <c r="CO11" s="139">
        <f>IF(ROW()-3&gt;COUNTIF(CM$4:CM$40,"&lt;&gt;"&amp;""),"",INDEX(CM$4:CM$40,MATCH(ROW()-3,CN$4:CN$40,0)))</f>
        <v/>
      </c>
      <c r="CP11">
        <f>CP10+IF(AND(CO11&lt;&gt;"",COUNTIF(CO$4:CO11,CO11)=1),1,0)</f>
        <v/>
      </c>
      <c r="CQ11">
        <f>IF(ROW()-3&gt;MAX(CP$4:CP$40),"",INDEX(CO$4:CO$40,MATCH(ROW()-3,CP$4:CP$40,0)))</f>
        <v/>
      </c>
      <c r="CR11" s="55">
        <f>IF('Final Calculation Sheet'!$R$11="","",'Final Calculation Sheet'!$R$11)</f>
        <v/>
      </c>
      <c r="CS11">
        <f>IF(CR11="","",COUNTIFS(CR$4:CR$40,"&lt;"&amp;CR11,CR$4:CR$40,"&lt;&gt;"&amp;"")+COUNTIF(CR$4:CR11,CR11))</f>
        <v/>
      </c>
      <c r="CT11" s="55">
        <f>IF(ROW()-3&gt;COUNTIF(CR$4:CR$40,"&lt;&gt;"&amp;""),"",INDEX(CR$4:CR$40,MATCH(ROW()-3,CS$4:CS$40,0)))</f>
        <v/>
      </c>
      <c r="CU11">
        <f>CU10+IF(AND(CT11&lt;&gt;"",COUNTIF(CT$4:CT11,CT11)=1),1,0)</f>
        <v/>
      </c>
      <c r="CV11">
        <f>IF(ROW()-3&gt;MAX(CU$4:CU$40),"",INDEX(CT$4:CT$40,MATCH(ROW()-3,CU$4:CU$40,0)))</f>
        <v/>
      </c>
      <c r="CW11" s="55">
        <f>IF('Final Calculation Sheet'!$S$11="","",'Final Calculation Sheet'!$S$11)</f>
        <v/>
      </c>
      <c r="CX11">
        <f>IF(CW11="","",COUNTIFS(CW$4:CW$40,"&lt;"&amp;CW11,CW$4:CW$40,"&lt;&gt;"&amp;"")+COUNTIF(CW$4:CW11,CW11))</f>
        <v/>
      </c>
      <c r="CY11" s="55">
        <f>IF(ROW()-3&gt;COUNTIF(CW$4:CW$40,"&lt;&gt;"&amp;""),"",INDEX(CW$4:CW$40,MATCH(ROW()-3,CX$4:CX$40,0)))</f>
        <v/>
      </c>
      <c r="CZ11">
        <f>CZ10+IF(AND(CY11&lt;&gt;"",COUNTIF(CY$4:CY11,CY11)=1),1,0)</f>
        <v/>
      </c>
      <c r="DA11" s="55">
        <f>IF(ROW()-3&gt;MAX(CZ$4:CZ$40),"",INDEX(CY$4:CY$40,MATCH(ROW()-3,CZ$4:CZ$40,0)))</f>
        <v/>
      </c>
      <c r="DB11" s="55">
        <f>IF('Final Calculation Sheet'!$T$11="","",'Final Calculation Sheet'!$T$11)</f>
        <v/>
      </c>
      <c r="DC11">
        <f>IF(DB11="","",COUNTIFS(DB$4:DB$40,"&lt;"&amp;DB11,DB$4:DB$40,"&lt;&gt;"&amp;"")+COUNTIF(DB$4:DB11,DB11))</f>
        <v/>
      </c>
      <c r="DD11" s="55">
        <f>IF(ROW()-3&gt;COUNTIF(DB$4:DB$40,"&lt;&gt;"&amp;""),"",INDEX(DB$4:DB$40,MATCH(ROW()-3,DC$4:DC$40,0)))</f>
        <v/>
      </c>
      <c r="DE11">
        <f>DE10+IF(AND(DD11&lt;&gt;"",COUNTIF(DD$4:DD11,DD11)=1),1,0)</f>
        <v/>
      </c>
      <c r="DF11" s="55">
        <f>IF(ROW()-3&gt;MAX(DE$4:DE$40),"",INDEX(DD$4:DD$40,MATCH(ROW()-3,DE$4:DE$40,0)))</f>
        <v/>
      </c>
      <c r="DG11" s="140">
        <f>IF('Final Calculation Sheet'!$U$11="","",'Final Calculation Sheet'!$U$11)</f>
        <v/>
      </c>
      <c r="DH11">
        <f>IF(DG11="","",COUNTIFS(DG$4:DG$40,"&lt;"&amp;DG11,DG$4:DG$40,"&lt;&gt;"&amp;"")+COUNTIF(DG$4:DG11,DG11))</f>
        <v/>
      </c>
      <c r="DI11" s="140">
        <f>IF(ROW()-3&gt;COUNTIF(DG$4:DG$40,"&lt;&gt;"&amp;""),"",INDEX(DG$4:DG$40,MATCH(ROW()-3,DH$4:DH$40,0)))</f>
        <v/>
      </c>
      <c r="DJ11">
        <f>DJ10+IF(AND(DI11&lt;&gt;"",COUNTIF(DI$4:DI11,DI11)=1),1,0)</f>
        <v/>
      </c>
      <c r="DK11" s="140">
        <f>IF(ROW()-3&gt;MAX(DJ$4:DJ$40),"",INDEX(DI$4:DI$40,MATCH(ROW()-3,DJ$4:DJ$40,0)))</f>
        <v/>
      </c>
      <c r="DL11">
        <f>IF('Final Calculation Sheet'!$V$11="","",'Final Calculation Sheet'!$V$11)</f>
        <v/>
      </c>
      <c r="DM11">
        <f>IF(DL11="","",COUNTIFS(DL$4:DL$40,"&lt;"&amp;DL11,DL$4:DL$40,"&lt;&gt;"&amp;"")+COUNTIF(DL$4:DL11,DL11))</f>
        <v/>
      </c>
      <c r="DN11">
        <f>IF(ROW()-3&gt;COUNTIF(DL$4:DL$40,"&lt;&gt;"&amp;""),"",INDEX(DL$4:DL$40,MATCH(ROW()-3,DM$4:DM$40,0)))</f>
        <v/>
      </c>
      <c r="DO11">
        <f>DO10+IF(AND(DN11&lt;&gt;"",COUNTIF(DN$4:DN11,DN11)=1),1,0)</f>
        <v/>
      </c>
      <c r="DP11">
        <f>IF(ROW()-3&gt;MAX(DO$4:DO$40),"",INDEX(DN$4:DN$40,MATCH(ROW()-3,DO$4:DO$40,0)))</f>
        <v/>
      </c>
      <c r="DQ11" s="55">
        <f>IF('Final Calculation Sheet'!$W$11="","",'Final Calculation Sheet'!$W$11)</f>
        <v/>
      </c>
      <c r="DR11">
        <f>IF(DQ11="","",COUNTIFS(DQ$4:DQ$40,"&lt;"&amp;DQ11,DQ$4:DQ$40,"&lt;&gt;"&amp;"")+COUNTIF(DQ$4:DQ11,DQ11))</f>
        <v/>
      </c>
      <c r="DS11" s="55">
        <f>IF(ROW()-3&gt;COUNTIF(DQ$4:DQ$40,"&lt;&gt;"&amp;""),"",INDEX(DQ$4:DQ$40,MATCH(ROW()-3,DR$4:DR$40,0)))</f>
        <v/>
      </c>
      <c r="DT11">
        <f>DT10+IF(AND(DS11&lt;&gt;"",COUNTIF(DS$4:DS11,DS11)=1),1,0)</f>
        <v/>
      </c>
      <c r="DU11" s="55">
        <f>IF(ROW()-3&gt;MAX(DT$4:DT$40),"",INDEX(DS$4:DS$40,MATCH(ROW()-3,DT$4:DT$40,0)))</f>
        <v/>
      </c>
      <c r="DV11" s="55">
        <f>IF('Final Calculation Sheet'!$X$11="","",'Final Calculation Sheet'!$X$11)</f>
        <v/>
      </c>
      <c r="DW11">
        <f>IF(DV11="","",COUNTIFS(DV$4:DV$40,"&lt;"&amp;DV11,DV$4:DV$40,"&lt;&gt;"&amp;"")+COUNTIF(DV$4:DV11,DV11))</f>
        <v/>
      </c>
      <c r="DX11" s="55">
        <f>IF(ROW()-3&gt;COUNTIF(DV$4:DV$40,"&lt;&gt;"&amp;""),"",INDEX(DV$4:DV$40,MATCH(ROW()-3,DW$4:DW$40,0)))</f>
        <v/>
      </c>
      <c r="DY11">
        <f>DY10+IF(AND(DX11&lt;&gt;"",COUNTIF(DX$4:DX11,DX11)=1),1,0)</f>
        <v/>
      </c>
      <c r="DZ11">
        <f>IF(ROW()-3&gt;MAX(DY$4:DY$40),"",INDEX(DX$4:DX$40,MATCH(ROW()-3,DY$4:DY$40,0)))</f>
        <v/>
      </c>
      <c r="EA11">
        <f>IF('Final Calculation Sheet'!$Y$11="","",'Final Calculation Sheet'!$Y$11)</f>
        <v/>
      </c>
      <c r="EB11">
        <f>IF(EA11="","",COUNTIFS(EA$4:EA$40,"&lt;"&amp;EA11,EA$4:EA$40,"&lt;&gt;"&amp;"")+COUNTIF(EA$4:EA11,EA11))</f>
        <v/>
      </c>
      <c r="EC11">
        <f>IF(ROW()-3&gt;COUNTIF(EA$4:EA$40,"&lt;&gt;"&amp;""),"",INDEX(EA$4:EA$40,MATCH(ROW()-3,EB$4:EB$40,0)))</f>
        <v/>
      </c>
      <c r="ED11">
        <f>ED10+IF(AND(EC11&lt;&gt;"",COUNTIF(EC$4:EC11,EC11)=1),1,0)</f>
        <v/>
      </c>
      <c r="EE11">
        <f>IF(ROW()-3&gt;MAX(ED$4:ED$40),"",INDEX(EC$4:EC$40,MATCH(ROW()-3,ED$4:ED$40,0)))</f>
        <v/>
      </c>
      <c r="EF11" s="55">
        <f>IF('Final Calculation Sheet'!$Z$11="","",'Final Calculation Sheet'!$Z$11)</f>
        <v/>
      </c>
      <c r="EG11">
        <f>IF(EF11="","",COUNTIFS(EF$4:EF$40,"&lt;"&amp;EF11,EF$4:EF$40,"&lt;&gt;"&amp;"")+COUNTIF(EF$4:EF11,EF11))</f>
        <v/>
      </c>
      <c r="EH11" s="55">
        <f>IF(ROW()-3&gt;COUNTIF(EF$4:EF$40,"&lt;&gt;"&amp;""),"",INDEX(EF$4:EF$40,MATCH(ROW()-3,EG$4:EG$40,0)))</f>
        <v/>
      </c>
      <c r="EI11">
        <f>EI10+IF(AND(EH11&lt;&gt;"",COUNTIF(EH$4:EH11,EH11)=1),1,0)</f>
        <v/>
      </c>
      <c r="EJ11">
        <f>IF(ROW()-3&gt;MAX(EI$4:EI$40),"",INDEX(EH$4:EH$40,MATCH(ROW()-3,EI$4:EI$40,0)))</f>
        <v/>
      </c>
      <c r="EK11">
        <f>IF('Final Calculation Sheet'!$AA$11="","",'Final Calculation Sheet'!$AA$11)</f>
        <v/>
      </c>
      <c r="EL11">
        <f>IF(EK11="","",COUNTIFS(EK$4:EK$40,"&lt;"&amp;EK11,EK$4:EK$40,"&lt;&gt;"&amp;"")+COUNTIF(EK$4:EK11,EK11))</f>
        <v/>
      </c>
      <c r="EM11">
        <f>IF(ROW()-3&gt;COUNTIF(EK$4:EK$40,"&lt;&gt;"&amp;""),"",INDEX(EK$4:EK$40,MATCH(ROW()-3,EL$4:EL$40,0)))</f>
        <v/>
      </c>
      <c r="EN11">
        <f>EN10+IF(AND(EM11&lt;&gt;"",COUNTIF(EM$4:EM11,EM11)=1),1,0)</f>
        <v/>
      </c>
      <c r="EO11">
        <f>IF(ROW()-3&gt;MAX(EN$4:EN$40),"",INDEX(EM$4:EM$40,MATCH(ROW()-3,EN$4:EN$40,0)))</f>
        <v/>
      </c>
      <c r="EP11">
        <f>IF('Final Calculation Sheet'!$AB$11="","",'Final Calculation Sheet'!$AB$11)</f>
        <v/>
      </c>
      <c r="EQ11">
        <f>IF(EP11="","",COUNTIFS(EP$4:EP$40,"&lt;"&amp;EP11,EP$4:EP$40,"&lt;&gt;"&amp;"")+COUNTIF(EP$4:EP11,EP11))</f>
        <v/>
      </c>
      <c r="ER11">
        <f>IF(ROW()-3&gt;COUNTIF(EP$4:EP$40,"&lt;&gt;"&amp;""),"",INDEX(EP$4:EP$40,MATCH(ROW()-3,EQ$4:EQ$40,0)))</f>
        <v/>
      </c>
      <c r="ES11">
        <f>ES10+IF(AND(ER11&lt;&gt;"",COUNTIF(ER$4:ER11,ER11)=1),1,0)</f>
        <v/>
      </c>
      <c r="ET11">
        <f>IF(ROW()-3&gt;MAX(ES$4:ES$40),"",INDEX(ER$4:ER$40,MATCH(ROW()-3,ES$4:ES$40,0)))</f>
        <v/>
      </c>
      <c r="EU11" s="55">
        <f>IF('Final Calculation Sheet'!$AC$11="","",'Final Calculation Sheet'!$AC$11)</f>
        <v/>
      </c>
      <c r="EV11">
        <f>IF(EU11="","",COUNTIFS(EU$4:EU$40,"&lt;"&amp;EU11,EU$4:EU$40,"&lt;&gt;"&amp;"")+COUNTIF(EU$4:EU11,EU11))</f>
        <v/>
      </c>
      <c r="EW11" s="55">
        <f>IF(ROW()-3&gt;COUNTIF(EU$4:EU$40,"&lt;&gt;"&amp;""),"",INDEX(EU$4:EU$40,MATCH(ROW()-3,EV$4:EV$40,0)))</f>
        <v/>
      </c>
      <c r="EX11">
        <f>EX10+IF(AND(EW11&lt;&gt;"",COUNTIF(EW$4:EW11,EW11)=1),1,0)</f>
        <v/>
      </c>
      <c r="EY11" s="55">
        <f>IF(ROW()-3&gt;MAX(EX$4:EX$40),"",INDEX(EW$4:EW$40,MATCH(ROW()-3,EX$4:EX$40,0)))</f>
        <v/>
      </c>
      <c r="EZ11" s="55">
        <f>IF('Final Calculation Sheet'!$AD$11="","",'Final Calculation Sheet'!$AD$11)</f>
        <v/>
      </c>
      <c r="FA11">
        <f>IF(EZ11="","",COUNTIFS(EZ$4:EZ$40,"&lt;"&amp;EZ11,EZ$4:EZ$40,"&lt;&gt;"&amp;"")+COUNTIF(EZ$4:EZ11,EZ11))</f>
        <v/>
      </c>
      <c r="FB11" s="55">
        <f>IF(ROW()-3&gt;COUNTIF(EZ$4:EZ$40,"&lt;&gt;"&amp;""),"",INDEX(EZ$4:EZ$40,MATCH(ROW()-3,FA$4:FA$40,0)))</f>
        <v/>
      </c>
      <c r="FC11">
        <f>FC10+IF(AND(FB11&lt;&gt;"",COUNTIF(FB$4:FB11,FB11)=1),1,0)</f>
        <v/>
      </c>
      <c r="FD11" s="55">
        <f>IF(ROW()-3&gt;MAX(FC$4:FC$40),"",INDEX(FB$4:FB$40,MATCH(ROW()-3,FC$4:FC$40,0)))</f>
        <v/>
      </c>
      <c r="FE11">
        <f>IF('Final Calculation Sheet'!$AF$11="","",'Final Calculation Sheet'!$AF$11)</f>
        <v/>
      </c>
      <c r="FF11">
        <f>IF(FE11="","",COUNTIFS(FE$4:FE$40,"&lt;"&amp;FE11,FE$4:FE$40,"&lt;&gt;"&amp;"")+COUNTIF(FE$4:FE11,FE11))</f>
        <v/>
      </c>
      <c r="FG11">
        <f>IF(ROW()-3&gt;COUNTIF(FE$4:FE$40,"&lt;&gt;"&amp;""),"",INDEX(FE$4:FE$40,MATCH(ROW()-3,FF$4:FF$40,0)))</f>
        <v/>
      </c>
      <c r="FH11">
        <f>FH10+IF(AND(FG11&lt;&gt;"",COUNTIF(FG$4:FG11,FG11)=1),1,0)</f>
        <v/>
      </c>
      <c r="FI11">
        <f>IF(ROW()-3&gt;MAX(FH$4:FH$40),"",INDEX(FG$4:FG$40,MATCH(ROW()-3,FH$4:FH$40,0)))</f>
        <v/>
      </c>
      <c r="FJ11" s="141">
        <f>IF('Final Calculation Sheet'!$AG$11="","",'Final Calculation Sheet'!$AG$11)</f>
        <v/>
      </c>
      <c r="FK11">
        <f>IF(FJ11="","",COUNTIFS(FJ$4:FJ$40,"&lt;"&amp;FJ11,FJ$4:FJ$40,"&lt;&gt;"&amp;"")+COUNTIF(FJ$4:FJ11,FJ11))</f>
        <v/>
      </c>
      <c r="FL11" s="141">
        <f>IF(ROW()-3&gt;COUNTIF(FJ$4:FJ$40,"&lt;&gt;"&amp;""),"",INDEX(FJ$4:FJ$40,MATCH(ROW()-3,FK$4:FK$40,0)))</f>
        <v/>
      </c>
      <c r="FM11">
        <f>FM10+IF(AND(FL11&lt;&gt;"",COUNTIF(FL$4:FL11,FL11)=1),1,0)</f>
        <v/>
      </c>
      <c r="FN11">
        <f>IF(ROW()-3&gt;MAX(FM$4:FM$40),"",INDEX(FL$4:FL$40,MATCH(ROW()-3,FM$4:FM$40,0)))</f>
        <v/>
      </c>
      <c r="FO11">
        <f>IF('Final Calculation Sheet'!$AH$11="","",'Final Calculation Sheet'!$AH$11)</f>
        <v/>
      </c>
      <c r="FP11">
        <f>IF(FO11="","",COUNTIFS(FO$4:FO$40,"&lt;"&amp;FO11,FO$4:FO$40,"&lt;&gt;"&amp;"")+COUNTIF(FO$4:FO11,FO11))</f>
        <v/>
      </c>
      <c r="FQ11">
        <f>IF(ROW()-3&gt;COUNTIF(FO$4:FO$40,"&lt;&gt;"&amp;""),"",INDEX(FO$4:FO$40,MATCH(ROW()-3,FP$4:FP$40,0)))</f>
        <v/>
      </c>
      <c r="FR11">
        <f>FR10+IF(AND(FQ11&lt;&gt;"",COUNTIF(FQ$4:FQ11,FQ11)=1),1,0)</f>
        <v/>
      </c>
      <c r="FS11">
        <f>IF(ROW()-3&gt;MAX(FR$4:FR$40),"",INDEX(FQ$4:FQ$40,MATCH(ROW()-3,FR$4:FR$40,0)))</f>
        <v/>
      </c>
      <c r="FU11">
        <f>IF(FT11="","",COUNTIFS(FT$4:FT$40,"&lt;"&amp;FT11,FT$4:FT$40,"&lt;&gt;"&amp;"")+COUNTIF(FT$4:FT11,FT11))</f>
        <v/>
      </c>
      <c r="FV11">
        <f>IF(ROW()-3&gt;COUNTIF(FT$4:FT$40,"&lt;&gt;"&amp;""),"",INDEX(FT$4:FT$40,MATCH(ROW()-3,FU$4:FU$40,0)))</f>
        <v/>
      </c>
      <c r="FW11">
        <f>FW10+IF(AND(FV11&lt;&gt;"",COUNTIF(FV$4:FV11,FV11)=1),1,0)</f>
        <v/>
      </c>
      <c r="FX11">
        <f>IF(ROW()-3&gt;MAX(FW$4:FW$40),"",INDEX(FV$4:FV$40,MATCH(ROW()-3,FW$4:FW$40,0)))</f>
        <v/>
      </c>
      <c r="FY11">
        <f>IF(COUNTIF('Live Search'!BM$10:BO$10,0)+COUNTIF('Live Search'!BQ$10:CU$10,0)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1">
        <f>IF($Y$11="",FALSE,SUMPRODUCT(('Final Calculation Sheet'!$B$4:$B$40=$Y$11)*($FY$6:$FY$42=1))&gt;0)</f>
        <v/>
      </c>
      <c r="GA11">
        <f>$GA$10+--($FZ$11)</f>
        <v/>
      </c>
      <c r="GB11">
        <f>IF(ROW()-3&gt;MAX($GA$4:$GA$40),"",INDEX($Y$4:$Y$40,MATCH(ROW()-3,$GA$4:$GA$40,0)))</f>
        <v/>
      </c>
      <c r="GC11">
        <f>IF('Final Calculation Sheet'!$F$11="","",IF(TRIM('Final Calculation Sheet'!$G$2)="",'Final Calculation Sheet'!$F$11,IF(TRIM('Final Calculation Sheet'!$G$2)="(nonblank)",IF('Final Calculation Sheet'!$G$11&lt;&gt;"",'Final Calculation Sheet'!$F$11,""),IF(TRIM('Final Calculation Sheet'!$G$2)="(blank)",IF('Final Calculation Sheet'!$G$11="",'Final Calculation Sheet'!$F$11,""),IF(ISNUMBER(SEARCH(TRIM('Final Calculation Sheet'!$G$2),'Final Calculation Sheet'!$G$11)),'Final Calculation Sheet'!$F$11,"")))))</f>
        <v/>
      </c>
      <c r="GD11">
        <f>IF(GC11="","",COUNTIFS(GC$4:GC$40,"&lt;"&amp;GC11,GC$4:GC$40,"&lt;&gt;"&amp;"")+COUNTIF(GC$4:GC11,GC11))</f>
        <v/>
      </c>
      <c r="GE11">
        <f>IF(ROW()-3&gt;COUNTIF(GC$4:GC$40,"&lt;&gt;"&amp;""),"",INDEX(GC$4:GC$40,MATCH(ROW()-3,GD$4:GD$40,0)))</f>
        <v/>
      </c>
      <c r="GF11">
        <f>GF10+IF(AND(GE11&lt;&gt;"",COUNTIF(GE$4:GE11,GE11)=1),1,0)</f>
        <v/>
      </c>
      <c r="GG11">
        <f>IF(ROW()-3&gt;MAX(GF$4:GF$40),"",INDEX(GE$4:GE$40,MATCH(ROW()-3,GF$4:GF$40,0)))</f>
        <v/>
      </c>
      <c r="GH11">
        <f>IF('Final Calculation Sheet'!$F$11="","",IF('Live Search'!$BO$12=1,'Final Calculation Sheet'!$F$11,""))</f>
        <v/>
      </c>
      <c r="GI11">
        <f>IF(GH11="","",COUNTIFS(GH$4:GH$40,"&lt;"&amp;GH11,GH$4:GH$40,"&lt;&gt;"&amp;"")+COUNTIF(GH$4:GH11,GH11))</f>
        <v/>
      </c>
      <c r="GJ11">
        <f>IF(ROW()-3&gt;COUNTIF(GH$4:GH$40,"&lt;&gt;"&amp;""),"",INDEX(GH$4:GH$40,MATCH(ROW()-3,GI$4:GI$40,0)))</f>
        <v/>
      </c>
      <c r="GK11">
        <f>GK10+IF(AND(GJ11&lt;&gt;"",COUNTIF(GJ$4:GJ11,GJ11)=1),1,0)</f>
        <v/>
      </c>
      <c r="GL11">
        <f>IF(ROW()-3&gt;MAX(GK$4:GK$40),"",INDEX(GJ$4:GJ$40,MATCH(ROW()-3,GK$4:GK$40,0)))</f>
        <v/>
      </c>
      <c r="GM11">
        <f>IF('Final Calculation Sheet'!$F$11="","",IF(TRIM('Buyer Groups'!$C$4)="",'Final Calculation Sheet'!$F$11,IF(TRIM('Buyer Groups'!$C$4)="(nonblank)",IF('Final Calculation Sheet'!$G$11&lt;&gt;"",'Final Calculation Sheet'!$F$11,""),IF(TRIM('Buyer Groups'!$C$4)="(blank)",IF('Final Calculation Sheet'!$G$11="",'Final Calculation Sheet'!$F$11,""),IF(ISNUMBER(SEARCH(TRIM('Buyer Groups'!$C$4),'Final Calculation Sheet'!$G$11)),'Final Calculation Sheet'!$F$11,"")))))</f>
        <v/>
      </c>
      <c r="GN11">
        <f>IF(GM11="","",COUNTIFS(GM$4:GM$40,"&lt;"&amp;GM11,GM$4:GM$40,"&lt;&gt;"&amp;"")+COUNTIF(GM$4:GM11,GM11))</f>
        <v/>
      </c>
      <c r="GO11">
        <f>IF(ROW()-3&gt;COUNTIF(GM$4:GM$40,"&lt;&gt;"&amp;""),"",INDEX(GM$4:GM$40,MATCH(ROW()-3,GN$4:GN$40,0)))</f>
        <v/>
      </c>
      <c r="GP11">
        <f>GP10+IF(AND(GO11&lt;&gt;"",COUNTIF(GO$4:GO11,GO11)=1),1,0)</f>
        <v/>
      </c>
      <c r="GQ11">
        <f>IF(ROW()-3&gt;MAX(GP$4:GP$40),"",INDEX(GO$4:GO$40,MATCH(ROW()-3,GP$4:GP$40,0)))</f>
        <v/>
      </c>
      <c r="GR11">
        <f>IF('Final Calculation Sheet'!$B$11="","",IF(TRIM('Final Calculation Sheet'!$G$2)="",'Final Calculation Sheet'!$B$11,IF(TRIM('Final Calculation Sheet'!$G$2)="(nonblank)",IF('Final Calculation Sheet'!$G$11&lt;&gt;"",'Final Calculation Sheet'!$B$11,""),IF(TRIM('Final Calculation Sheet'!$G$2)="(blank)",IF('Final Calculation Sheet'!$G$11="",'Final Calculation Sheet'!$B$11,""),IF(ISNUMBER(SEARCH(TRIM('Final Calculation Sheet'!$G$2),'Final Calculation Sheet'!$G$11)),'Final Calculation Sheet'!$B$11,"")))))</f>
        <v/>
      </c>
      <c r="GS11">
        <f>IF(GR11="","",COUNTIFS(GR$4:GR$40,"&lt;"&amp;GR11,GR$4:GR$40,"&lt;&gt;"&amp;"")+COUNTIF(GR$4:GR11,GR11))</f>
        <v/>
      </c>
      <c r="GT11">
        <f>IF(ROW()-3&gt;COUNTIF(GR$4:GR$40,"&lt;&gt;"&amp;""),"",INDEX(GR$4:GR$40,MATCH(ROW()-3,GS$4:GS$40,0)))</f>
        <v/>
      </c>
      <c r="GU11">
        <f>GU10+IF(AND(GT11&lt;&gt;"",COUNTIF(GT$4:GT11,GT11)=1),1,0)</f>
        <v/>
      </c>
      <c r="GV11">
        <f>IF(ROW()-3&gt;MAX(GU$4:GU$40),"",INDEX(GT$4:GT$40,MATCH(ROW()-3,GU$4:GU$40,0)))</f>
        <v/>
      </c>
      <c r="GW11">
        <f>IF('Final Calculation Sheet'!$B$11="","",IF(TRIM('Buyer Groups'!$C$4)="",'Final Calculation Sheet'!$B$11,IF(TRIM('Buyer Groups'!$C$4)="(nonblank)",IF('Final Calculation Sheet'!$G$11&lt;&gt;"",'Final Calculation Sheet'!$B$11,""),IF(TRIM('Buyer Groups'!$C$4)="(blank)",IF('Final Calculation Sheet'!$G$11="",'Final Calculation Sheet'!$B$11,""),IF(ISNUMBER(SEARCH(TRIM('Buyer Groups'!$C$4),'Final Calculation Sheet'!$G$11)),'Final Calculation Sheet'!$B$11,"")))))</f>
        <v/>
      </c>
      <c r="GX11">
        <f>IF(GW11="","",COUNTIFS(GW$4:GW$40,"&lt;"&amp;GW11,GW$4:GW$40,"&lt;&gt;"&amp;"")+COUNTIF(GW$4:GW11,GW11))</f>
        <v/>
      </c>
      <c r="GY11">
        <f>IF(ROW()-3&gt;COUNTIF(GW$4:GW$40,"&lt;&gt;"&amp;""),"",INDEX(GW$4:GW$40,MATCH(ROW()-3,GX$4:GX$40,0)))</f>
        <v/>
      </c>
      <c r="GZ11">
        <f>GZ10+IF(AND(GY11&lt;&gt;"",COUNTIF(GY$4:GY11,GY11)=1),1,0)</f>
        <v/>
      </c>
      <c r="HA11">
        <f>IF(ROW()-3&gt;MAX(GZ$4:GZ$40),"",INDEX(GY$4:GY$40,MATCH(ROW()-3,GZ$4:GZ$40,0)))</f>
        <v/>
      </c>
    </row>
    <row r="12">
      <c r="A12">
        <f>IF('Final Calculation Sheet'!$F$12="","",'Final Calculation Sheet'!$F$12)</f>
        <v/>
      </c>
      <c r="B12">
        <f>IF(A12="","",COUNTIFS(A$4:A$114,"&lt;"&amp;A12,A$4:A$114,"&lt;&gt;"&amp;"")+COUNTIF(A$4:A12,A12))</f>
        <v/>
      </c>
      <c r="C12">
        <f>IF(ROW()-3&gt;COUNTIF(A$4:A$114,"&lt;&gt;"&amp;""),"",INDEX(A$4:A$114,MATCH(ROW()-3,B$4:B$114,0)))</f>
        <v/>
      </c>
      <c r="D12">
        <f>D11+IF(AND(C12&lt;&gt;"",COUNTIF(C$4:C12,C12)=1),1,0)</f>
        <v/>
      </c>
      <c r="E12">
        <f>IF(ROW()-3&gt;MAX(D$4:D$114),"",INDEX(C$4:C$114,MATCH(ROW()-3,D$4:D$114,0)))</f>
        <v/>
      </c>
      <c r="F12">
        <f>ROW()-3</f>
        <v/>
      </c>
      <c r="G12">
        <f>IF(F12="","",COUNTIFS(F$4:F$40,"&lt;"&amp;F12,F$4:F$40,"&lt;&gt;"&amp;"")+COUNTIF(F$4:F12,F12))</f>
        <v/>
      </c>
      <c r="H12">
        <f>IF(ROW()-3&gt;COUNTIF(F$4:F$40,"&lt;&gt;"&amp;""),"",INDEX(F$4:F$40,MATCH(ROW()-3,G$4:G$40,0)))</f>
        <v/>
      </c>
      <c r="I12">
        <f>I11+IF(AND(H12&lt;&gt;"",COUNTIF(H$4:H12,H12)=1),1,0)</f>
        <v/>
      </c>
      <c r="J12">
        <f>IF(ROW()-3&gt;MAX(I$4:I$40),"",INDEX(H$4:H$40,MATCH(ROW()-3,I$4:I$40,0)))</f>
        <v/>
      </c>
      <c r="K12">
        <f>IF('Final Calculation Sheet'!$F$12="","",'Final Calculation Sheet'!$F$12)</f>
        <v/>
      </c>
      <c r="L12">
        <f>IF(K12="","",COUNTIFS(K$4:K$40,"&lt;"&amp;K12,K$4:K$40,"&lt;&gt;"&amp;"")+COUNTIF(K$4:K12,K12))</f>
        <v/>
      </c>
      <c r="M12">
        <f>IF(ROW()-3&gt;COUNTIF(K$4:K$40,"&lt;&gt;"&amp;""),"",INDEX(K$4:K$40,MATCH(ROW()-3,L$4:L$40,0)))</f>
        <v/>
      </c>
      <c r="N12">
        <f>N11+IF(AND(M12&lt;&gt;"",COUNTIF(M$4:M12,M12)=1),1,0)</f>
        <v/>
      </c>
      <c r="O12">
        <f>IF(ROW()-3&gt;MAX(N$4:N$40),"",INDEX(M$4:M$40,MATCH(ROW()-3,N$4:N$40,0)))</f>
        <v/>
      </c>
      <c r="P12">
        <f>IF('Final Calculation Sheet'!$G$12="","",'Final Calculation Sheet'!$G$12)</f>
        <v/>
      </c>
      <c r="Q12">
        <f>IF(P12="","",COUNTIFS(P$4:P$40,"&lt;"&amp;P12,P$4:P$40,"&lt;&gt;"&amp;"")+COUNTIF(P$4:P12,P12))</f>
        <v/>
      </c>
      <c r="R12">
        <f>IF(ROW()-3&gt;COUNTIF(P$4:P$40,"&lt;&gt;"&amp;""),"",INDEX(P$4:P$40,MATCH(ROW()-3,Q$4:Q$40,0)))</f>
        <v/>
      </c>
      <c r="S12">
        <f>S11+IF(AND(R12&lt;&gt;"",COUNTIF(R$4:R12,R12)=1),1,0)</f>
        <v/>
      </c>
      <c r="T12">
        <f>IF(ROW()-3&gt;MAX(S$4:S$40),"",INDEX(R$4:R$40,MATCH(ROW()-3,S$4:S$40,0)))</f>
        <v/>
      </c>
      <c r="U12">
        <f>IF('Final Calculation Sheet'!$B$12="","",'Final Calculation Sheet'!$B$12)</f>
        <v/>
      </c>
      <c r="V12">
        <f>IF(U12="","",COUNTIFS(U$4:U$40,"&lt;"&amp;U12,U$4:U$40,"&lt;&gt;"&amp;"")+COUNTIF(U$4:U12,U12))</f>
        <v/>
      </c>
      <c r="W12">
        <f>IF(ROW()-3&gt;COUNTIF(U$4:U$40,"&lt;&gt;"&amp;""),"",INDEX(U$4:U$40,MATCH(ROW()-3,V$4:V$40,0)))</f>
        <v/>
      </c>
      <c r="X12">
        <f>X11+IF(AND(W12&lt;&gt;"",COUNTIF(W$4:W12,W12)=1),1,0)</f>
        <v/>
      </c>
      <c r="Y12">
        <f>IF(ROW()-3&gt;MAX(X$4:X$40),"",INDEX(W$4:W$40,MATCH(ROW()-3,X$4:X$40,0)))</f>
        <v/>
      </c>
      <c r="Z12">
        <f>IF('Final Calculation Sheet'!$D$12="","",'Final Calculation Sheet'!$D$12)</f>
        <v/>
      </c>
      <c r="AA12">
        <f>IF(Z12="","",COUNTIFS(Z$4:Z$40,"&lt;"&amp;Z12,Z$4:Z$40,"&lt;&gt;"&amp;"")+COUNTIF(Z$4:Z12,Z12))</f>
        <v/>
      </c>
      <c r="AB12">
        <f>IF(ROW()-3&gt;COUNTIF(Z$4:Z$40,"&lt;&gt;"&amp;""),"",INDEX(Z$4:Z$40,MATCH(ROW()-3,AA$4:AA$40,0)))</f>
        <v/>
      </c>
      <c r="AC12">
        <f>AC11+IF(AND(AB12&lt;&gt;"",COUNTIF(AB$4:AB12,AB12)=1),1,0)</f>
        <v/>
      </c>
      <c r="AD12">
        <f>IF(ROW()-3&gt;MAX(AC$4:AC$40),"",INDEX(AB$4:AB$40,MATCH(ROW()-3,AC$4:AC$40,0)))</f>
        <v/>
      </c>
      <c r="AE12">
        <f>IF('Final Calculation Sheet'!$A$12="","",'Final Calculation Sheet'!$A$12)</f>
        <v/>
      </c>
      <c r="AF12">
        <f>IF(AE12="","",COUNTIFS(AE$4:AE$40,"&lt;"&amp;AE12,AE$4:AE$40,"&lt;&gt;"&amp;"")+COUNTIF(AE$4:AE12,AE12))</f>
        <v/>
      </c>
      <c r="AG12">
        <f>IF(ROW()-3&gt;COUNTIF(AE$4:AE$40,"&lt;&gt;"&amp;""),"",INDEX(AE$4:AE$40,MATCH(ROW()-3,AF$4:AF$40,0)))</f>
        <v/>
      </c>
      <c r="AH12">
        <f>AH11+IF(AND(AG12&lt;&gt;"",COUNTIF(AG$4:AG12,AG12)=1),1,0)</f>
        <v/>
      </c>
      <c r="AI12">
        <f>IF(ROW()-3&gt;MAX(AH$4:AH$40),"",INDEX(AG$4:AG$40,MATCH(ROW()-3,AH$4:AH$40,0)))</f>
        <v/>
      </c>
      <c r="AJ12">
        <f>IF('Final Calculation Sheet'!$E$12="","",'Final Calculation Sheet'!$E$12)</f>
        <v/>
      </c>
      <c r="AK12">
        <f>IF(AJ12="","",COUNTIFS(AJ$4:AJ$40,"&lt;"&amp;AJ12,AJ$4:AJ$40,"&lt;&gt;"&amp;"")+COUNTIF(AJ$4:AJ12,AJ12))</f>
        <v/>
      </c>
      <c r="AL12">
        <f>IF(ROW()-3&gt;COUNTIF(AJ$4:AJ$40,"&lt;&gt;"&amp;""),"",INDEX(AJ$4:AJ$40,MATCH(ROW()-3,AK$4:AK$40,0)))</f>
        <v/>
      </c>
      <c r="AM12">
        <f>AM11+IF(AND(AL12&lt;&gt;"",COUNTIF(AL$4:AL12,AL12)=1),1,0)</f>
        <v/>
      </c>
      <c r="AN12">
        <f>IF(ROW()-3&gt;MAX(AM$4:AM$40),"",INDEX(AL$4:AL$40,MATCH(ROW()-3,AM$4:AM$40,0)))</f>
        <v/>
      </c>
      <c r="AO12" s="55">
        <f>IF('Final Calculation Sheet'!$C$12="","",'Final Calculation Sheet'!$C$12)</f>
        <v/>
      </c>
      <c r="AP12">
        <f>IF(AO12="","",COUNTIFS(AO$4:AO$40,"&lt;"&amp;AO12,AO$4:AO$40,"&lt;&gt;"&amp;"")+COUNTIF(AO$4:AO12,AO12))</f>
        <v/>
      </c>
      <c r="AQ12" s="55">
        <f>IF(ROW()-3&gt;COUNTIF(AO$4:AO$40,"&lt;&gt;"&amp;""),"",INDEX(AO$4:AO$40,MATCH(ROW()-3,AP$4:AP$40,0)))</f>
        <v/>
      </c>
      <c r="AR12">
        <f>AR11+IF(AND(AQ12&lt;&gt;"",COUNTIF(AQ$4:AQ12,AQ12)=1),1,0)</f>
        <v/>
      </c>
      <c r="AS12" s="55">
        <f>IF(ROW()-3&gt;MAX(AR$4:AR$40),"",INDEX(AQ$4:AQ$40,MATCH(ROW()-3,AR$4:AR$40,0)))</f>
        <v/>
      </c>
      <c r="AT12" s="55">
        <f>IF('Final Calculation Sheet'!$H$12="","",'Final Calculation Sheet'!$H$12)</f>
        <v/>
      </c>
      <c r="AU12">
        <f>IF(AT12="","",COUNTIFS(AT$4:AT$40,"&lt;"&amp;AT12,AT$4:AT$40,"&lt;&gt;"&amp;"")+COUNTIF(AT$4:AT12,AT12))</f>
        <v/>
      </c>
      <c r="AV12" s="55">
        <f>IF(ROW()-3&gt;COUNTIF(AT$4:AT$40,"&lt;&gt;"&amp;""),"",INDEX(AT$4:AT$40,MATCH(ROW()-3,AU$4:AU$40,0)))</f>
        <v/>
      </c>
      <c r="AW12">
        <f>AW11+IF(AND(AV12&lt;&gt;"",COUNTIF(AV$4:AV12,AV12)=1),1,0)</f>
        <v/>
      </c>
      <c r="AX12" s="55">
        <f>IF(ROW()-3&gt;MAX(AW$4:AW$40),"",INDEX(AV$4:AV$40,MATCH(ROW()-3,AW$4:AW$40,0)))</f>
        <v/>
      </c>
      <c r="AY12" s="55">
        <f>IF('Final Calculation Sheet'!$I$12="","",'Final Calculation Sheet'!$I$12)</f>
        <v/>
      </c>
      <c r="AZ12">
        <f>IF(AY12="","",COUNTIFS(AY$4:AY$40,"&lt;"&amp;AY12,AY$4:AY$40,"&lt;&gt;"&amp;"")+COUNTIF(AY$4:AY12,AY12))</f>
        <v/>
      </c>
      <c r="BA12" s="55">
        <f>IF(ROW()-3&gt;COUNTIF(AY$4:AY$40,"&lt;&gt;"&amp;""),"",INDEX(AY$4:AY$40,MATCH(ROW()-3,AZ$4:AZ$40,0)))</f>
        <v/>
      </c>
      <c r="BB12">
        <f>BB11+IF(AND(BA12&lt;&gt;"",COUNTIF(BA$4:BA12,BA12)=1),1,0)</f>
        <v/>
      </c>
      <c r="BC12" s="55">
        <f>IF(ROW()-3&gt;MAX(BB$4:BB$40),"",INDEX(BA$4:BA$40,MATCH(ROW()-3,BB$4:BB$40,0)))</f>
        <v/>
      </c>
      <c r="BD12" s="55">
        <f>IF('Final Calculation Sheet'!$J$12="","",'Final Calculation Sheet'!$J$12)</f>
        <v/>
      </c>
      <c r="BE12">
        <f>IF(BD12="","",COUNTIFS(BD$4:BD$40,"&lt;"&amp;BD12,BD$4:BD$40,"&lt;&gt;"&amp;"")+COUNTIF(BD$4:BD12,BD12))</f>
        <v/>
      </c>
      <c r="BF12" s="55">
        <f>IF(ROW()-3&gt;COUNTIF(BD$4:BD$40,"&lt;&gt;"&amp;""),"",INDEX(BD$4:BD$40,MATCH(ROW()-3,BE$4:BE$40,0)))</f>
        <v/>
      </c>
      <c r="BG12">
        <f>BG11+IF(AND(BF12&lt;&gt;"",COUNTIF(BF$4:BF12,BF12)=1),1,0)</f>
        <v/>
      </c>
      <c r="BH12" s="55">
        <f>IF(ROW()-3&gt;MAX(BG$4:BG$40),"",INDEX(BF$4:BF$40,MATCH(ROW()-3,BG$4:BG$40,0)))</f>
        <v/>
      </c>
      <c r="BI12" s="55">
        <f>IF('Final Calculation Sheet'!$K$12="","",'Final Calculation Sheet'!$K$12)</f>
        <v/>
      </c>
      <c r="BJ12">
        <f>IF(BI12="","",COUNTIFS(BI$4:BI$40,"&lt;"&amp;BI12,BI$4:BI$40,"&lt;&gt;"&amp;"")+COUNTIF(BI$4:BI12,BI12))</f>
        <v/>
      </c>
      <c r="BK12" s="55">
        <f>IF(ROW()-3&gt;COUNTIF(BI$4:BI$40,"&lt;&gt;"&amp;""),"",INDEX(BI$4:BI$40,MATCH(ROW()-3,BJ$4:BJ$40,0)))</f>
        <v/>
      </c>
      <c r="BL12">
        <f>BL11+IF(AND(BK12&lt;&gt;"",COUNTIF(BK$4:BK12,BK12)=1),1,0)</f>
        <v/>
      </c>
      <c r="BM12" s="55">
        <f>IF(ROW()-3&gt;MAX(BL$4:BL$40),"",INDEX(BK$4:BK$40,MATCH(ROW()-3,BL$4:BL$40,0)))</f>
        <v/>
      </c>
      <c r="BN12" s="55">
        <f>IF('Final Calculation Sheet'!$L$12="","",'Final Calculation Sheet'!$L$12)</f>
        <v/>
      </c>
      <c r="BO12">
        <f>IF(BN12="","",COUNTIFS(BN$4:BN$40,"&lt;"&amp;BN12,BN$4:BN$40,"&lt;&gt;"&amp;"")+COUNTIF(BN$4:BN12,BN12))</f>
        <v/>
      </c>
      <c r="BP12" s="55">
        <f>IF(ROW()-3&gt;COUNTIF(BN$4:BN$40,"&lt;&gt;"&amp;""),"",INDEX(BN$4:BN$40,MATCH(ROW()-3,BO$4:BO$40,0)))</f>
        <v/>
      </c>
      <c r="BQ12">
        <f>BQ11+IF(AND(BP12&lt;&gt;"",COUNTIF(BP$4:BP12,BP12)=1),1,0)</f>
        <v/>
      </c>
      <c r="BR12" s="55">
        <f>IF(ROW()-3&gt;MAX(BQ$4:BQ$40),"",INDEX(BP$4:BP$40,MATCH(ROW()-3,BQ$4:BQ$40,0)))</f>
        <v/>
      </c>
      <c r="BS12" s="55">
        <f>IF('Final Calculation Sheet'!$M$12="","",'Final Calculation Sheet'!$M$12)</f>
        <v/>
      </c>
      <c r="BT12">
        <f>IF(BS12="","",COUNTIFS(BS$4:BS$40,"&lt;"&amp;BS12,BS$4:BS$40,"&lt;&gt;"&amp;"")+COUNTIF(BS$4:BS12,BS12))</f>
        <v/>
      </c>
      <c r="BU12" s="55">
        <f>IF(ROW()-3&gt;COUNTIF(BS$4:BS$40,"&lt;&gt;"&amp;""),"",INDEX(BS$4:BS$40,MATCH(ROW()-3,BT$4:BT$40,0)))</f>
        <v/>
      </c>
      <c r="BV12">
        <f>BV11+IF(AND(BU12&lt;&gt;"",COUNTIF(BU$4:BU12,BU12)=1),1,0)</f>
        <v/>
      </c>
      <c r="BW12" s="55">
        <f>IF(ROW()-3&gt;MAX(BV$4:BV$40),"",INDEX(BU$4:BU$40,MATCH(ROW()-3,BV$4:BV$40,0)))</f>
        <v/>
      </c>
      <c r="BX12" s="138">
        <f>IF('Final Calculation Sheet'!$N$12="","",'Final Calculation Sheet'!$N$12)</f>
        <v/>
      </c>
      <c r="BY12">
        <f>IF(BX12="","",COUNTIFS(BX$4:BX$40,"&lt;"&amp;BX12,BX$4:BX$40,"&lt;&gt;"&amp;"")+COUNTIF(BX$4:BX12,BX12))</f>
        <v/>
      </c>
      <c r="BZ12" s="138">
        <f>IF(ROW()-3&gt;COUNTIF(BX$4:BX$40,"&lt;&gt;"&amp;""),"",INDEX(BX$4:BX$40,MATCH(ROW()-3,BY$4:BY$40,0)))</f>
        <v/>
      </c>
      <c r="CA12">
        <f>CA11+IF(AND(BZ12&lt;&gt;"",COUNTIF(BZ$4:BZ12,BZ12)=1),1,0)</f>
        <v/>
      </c>
      <c r="CB12" s="138">
        <f>IF(ROW()-3&gt;MAX(CA$4:CA$40),"",INDEX(BZ$4:BZ$40,MATCH(ROW()-3,CA$4:CA$40,0)))</f>
        <v/>
      </c>
      <c r="CC12" s="55">
        <f>IF('Final Calculation Sheet'!$O$12="","",'Final Calculation Sheet'!$O$12)</f>
        <v/>
      </c>
      <c r="CD12">
        <f>IF(CC12="","",COUNTIFS(CC$4:CC$40,"&lt;"&amp;CC12,CC$4:CC$40,"&lt;&gt;"&amp;"")+COUNTIF(CC$4:CC12,CC12))</f>
        <v/>
      </c>
      <c r="CE12" s="55">
        <f>IF(ROW()-3&gt;COUNTIF(CC$4:CC$40,"&lt;&gt;"&amp;""),"",INDEX(CC$4:CC$40,MATCH(ROW()-3,CD$4:CD$40,0)))</f>
        <v/>
      </c>
      <c r="CF12">
        <f>CF11+IF(AND(CE12&lt;&gt;"",COUNTIF(CE$4:CE12,CE12)=1),1,0)</f>
        <v/>
      </c>
      <c r="CG12" s="55">
        <f>IF(ROW()-3&gt;MAX(CF$4:CF$40),"",INDEX(CE$4:CE$40,MATCH(ROW()-3,CF$4:CF$40,0)))</f>
        <v/>
      </c>
      <c r="CH12" s="55">
        <f>IF('Final Calculation Sheet'!$P$12="","",'Final Calculation Sheet'!$P$12)</f>
        <v/>
      </c>
      <c r="CI12">
        <f>IF(CH12="","",COUNTIFS(CH$4:CH$40,"&lt;"&amp;CH12,CH$4:CH$40,"&lt;&gt;"&amp;"")+COUNTIF(CH$4:CH12,CH12))</f>
        <v/>
      </c>
      <c r="CJ12" s="55">
        <f>IF(ROW()-3&gt;COUNTIF(CH$4:CH$40,"&lt;&gt;"&amp;""),"",INDEX(CH$4:CH$40,MATCH(ROW()-3,CI$4:CI$40,0)))</f>
        <v/>
      </c>
      <c r="CK12">
        <f>CK11+IF(AND(CJ12&lt;&gt;"",COUNTIF(CJ$4:CJ12,CJ12)=1),1,0)</f>
        <v/>
      </c>
      <c r="CL12" s="55">
        <f>IF(ROW()-3&gt;MAX(CK$4:CK$40),"",INDEX(CJ$4:CJ$40,MATCH(ROW()-3,CK$4:CK$40,0)))</f>
        <v/>
      </c>
      <c r="CM12" s="139">
        <f>IF('Final Calculation Sheet'!$Q$12="","",'Final Calculation Sheet'!$Q$12)</f>
        <v/>
      </c>
      <c r="CN12">
        <f>IF(CM12="","",COUNTIFS(CM$4:CM$40,"&lt;"&amp;CM12,CM$4:CM$40,"&lt;&gt;"&amp;"")+COUNTIF(CM$4:CM12,CM12))</f>
        <v/>
      </c>
      <c r="CO12" s="139">
        <f>IF(ROW()-3&gt;COUNTIF(CM$4:CM$40,"&lt;&gt;"&amp;""),"",INDEX(CM$4:CM$40,MATCH(ROW()-3,CN$4:CN$40,0)))</f>
        <v/>
      </c>
      <c r="CP12">
        <f>CP11+IF(AND(CO12&lt;&gt;"",COUNTIF(CO$4:CO12,CO12)=1),1,0)</f>
        <v/>
      </c>
      <c r="CQ12">
        <f>IF(ROW()-3&gt;MAX(CP$4:CP$40),"",INDEX(CO$4:CO$40,MATCH(ROW()-3,CP$4:CP$40,0)))</f>
        <v/>
      </c>
      <c r="CR12" s="55">
        <f>IF('Final Calculation Sheet'!$R$12="","",'Final Calculation Sheet'!$R$12)</f>
        <v/>
      </c>
      <c r="CS12">
        <f>IF(CR12="","",COUNTIFS(CR$4:CR$40,"&lt;"&amp;CR12,CR$4:CR$40,"&lt;&gt;"&amp;"")+COUNTIF(CR$4:CR12,CR12))</f>
        <v/>
      </c>
      <c r="CT12" s="55">
        <f>IF(ROW()-3&gt;COUNTIF(CR$4:CR$40,"&lt;&gt;"&amp;""),"",INDEX(CR$4:CR$40,MATCH(ROW()-3,CS$4:CS$40,0)))</f>
        <v/>
      </c>
      <c r="CU12">
        <f>CU11+IF(AND(CT12&lt;&gt;"",COUNTIF(CT$4:CT12,CT12)=1),1,0)</f>
        <v/>
      </c>
      <c r="CV12">
        <f>IF(ROW()-3&gt;MAX(CU$4:CU$40),"",INDEX(CT$4:CT$40,MATCH(ROW()-3,CU$4:CU$40,0)))</f>
        <v/>
      </c>
      <c r="CW12" s="55">
        <f>IF('Final Calculation Sheet'!$S$12="","",'Final Calculation Sheet'!$S$12)</f>
        <v/>
      </c>
      <c r="CX12">
        <f>IF(CW12="","",COUNTIFS(CW$4:CW$40,"&lt;"&amp;CW12,CW$4:CW$40,"&lt;&gt;"&amp;"")+COUNTIF(CW$4:CW12,CW12))</f>
        <v/>
      </c>
      <c r="CY12" s="55">
        <f>IF(ROW()-3&gt;COUNTIF(CW$4:CW$40,"&lt;&gt;"&amp;""),"",INDEX(CW$4:CW$40,MATCH(ROW()-3,CX$4:CX$40,0)))</f>
        <v/>
      </c>
      <c r="CZ12">
        <f>CZ11+IF(AND(CY12&lt;&gt;"",COUNTIF(CY$4:CY12,CY12)=1),1,0)</f>
        <v/>
      </c>
      <c r="DA12" s="55">
        <f>IF(ROW()-3&gt;MAX(CZ$4:CZ$40),"",INDEX(CY$4:CY$40,MATCH(ROW()-3,CZ$4:CZ$40,0)))</f>
        <v/>
      </c>
      <c r="DB12" s="55">
        <f>IF('Final Calculation Sheet'!$T$12="","",'Final Calculation Sheet'!$T$12)</f>
        <v/>
      </c>
      <c r="DC12">
        <f>IF(DB12="","",COUNTIFS(DB$4:DB$40,"&lt;"&amp;DB12,DB$4:DB$40,"&lt;&gt;"&amp;"")+COUNTIF(DB$4:DB12,DB12))</f>
        <v/>
      </c>
      <c r="DD12" s="55">
        <f>IF(ROW()-3&gt;COUNTIF(DB$4:DB$40,"&lt;&gt;"&amp;""),"",INDEX(DB$4:DB$40,MATCH(ROW()-3,DC$4:DC$40,0)))</f>
        <v/>
      </c>
      <c r="DE12">
        <f>DE11+IF(AND(DD12&lt;&gt;"",COUNTIF(DD$4:DD12,DD12)=1),1,0)</f>
        <v/>
      </c>
      <c r="DF12" s="55">
        <f>IF(ROW()-3&gt;MAX(DE$4:DE$40),"",INDEX(DD$4:DD$40,MATCH(ROW()-3,DE$4:DE$40,0)))</f>
        <v/>
      </c>
      <c r="DG12" s="140">
        <f>IF('Final Calculation Sheet'!$U$12="","",'Final Calculation Sheet'!$U$12)</f>
        <v/>
      </c>
      <c r="DH12">
        <f>IF(DG12="","",COUNTIFS(DG$4:DG$40,"&lt;"&amp;DG12,DG$4:DG$40,"&lt;&gt;"&amp;"")+COUNTIF(DG$4:DG12,DG12))</f>
        <v/>
      </c>
      <c r="DI12" s="140">
        <f>IF(ROW()-3&gt;COUNTIF(DG$4:DG$40,"&lt;&gt;"&amp;""),"",INDEX(DG$4:DG$40,MATCH(ROW()-3,DH$4:DH$40,0)))</f>
        <v/>
      </c>
      <c r="DJ12">
        <f>DJ11+IF(AND(DI12&lt;&gt;"",COUNTIF(DI$4:DI12,DI12)=1),1,0)</f>
        <v/>
      </c>
      <c r="DK12" s="140">
        <f>IF(ROW()-3&gt;MAX(DJ$4:DJ$40),"",INDEX(DI$4:DI$40,MATCH(ROW()-3,DJ$4:DJ$40,0)))</f>
        <v/>
      </c>
      <c r="DL12">
        <f>IF('Final Calculation Sheet'!$V$12="","",'Final Calculation Sheet'!$V$12)</f>
        <v/>
      </c>
      <c r="DM12">
        <f>IF(DL12="","",COUNTIFS(DL$4:DL$40,"&lt;"&amp;DL12,DL$4:DL$40,"&lt;&gt;"&amp;"")+COUNTIF(DL$4:DL12,DL12))</f>
        <v/>
      </c>
      <c r="DN12">
        <f>IF(ROW()-3&gt;COUNTIF(DL$4:DL$40,"&lt;&gt;"&amp;""),"",INDEX(DL$4:DL$40,MATCH(ROW()-3,DM$4:DM$40,0)))</f>
        <v/>
      </c>
      <c r="DO12">
        <f>DO11+IF(AND(DN12&lt;&gt;"",COUNTIF(DN$4:DN12,DN12)=1),1,0)</f>
        <v/>
      </c>
      <c r="DP12">
        <f>IF(ROW()-3&gt;MAX(DO$4:DO$40),"",INDEX(DN$4:DN$40,MATCH(ROW()-3,DO$4:DO$40,0)))</f>
        <v/>
      </c>
      <c r="DQ12" s="55">
        <f>IF('Final Calculation Sheet'!$W$12="","",'Final Calculation Sheet'!$W$12)</f>
        <v/>
      </c>
      <c r="DR12">
        <f>IF(DQ12="","",COUNTIFS(DQ$4:DQ$40,"&lt;"&amp;DQ12,DQ$4:DQ$40,"&lt;&gt;"&amp;"")+COUNTIF(DQ$4:DQ12,DQ12))</f>
        <v/>
      </c>
      <c r="DS12" s="55">
        <f>IF(ROW()-3&gt;COUNTIF(DQ$4:DQ$40,"&lt;&gt;"&amp;""),"",INDEX(DQ$4:DQ$40,MATCH(ROW()-3,DR$4:DR$40,0)))</f>
        <v/>
      </c>
      <c r="DT12">
        <f>DT11+IF(AND(DS12&lt;&gt;"",COUNTIF(DS$4:DS12,DS12)=1),1,0)</f>
        <v/>
      </c>
      <c r="DU12" s="55">
        <f>IF(ROW()-3&gt;MAX(DT$4:DT$40),"",INDEX(DS$4:DS$40,MATCH(ROW()-3,DT$4:DT$40,0)))</f>
        <v/>
      </c>
      <c r="DV12" s="55">
        <f>IF('Final Calculation Sheet'!$X$12="","",'Final Calculation Sheet'!$X$12)</f>
        <v/>
      </c>
      <c r="DW12">
        <f>IF(DV12="","",COUNTIFS(DV$4:DV$40,"&lt;"&amp;DV12,DV$4:DV$40,"&lt;&gt;"&amp;"")+COUNTIF(DV$4:DV12,DV12))</f>
        <v/>
      </c>
      <c r="DX12" s="55">
        <f>IF(ROW()-3&gt;COUNTIF(DV$4:DV$40,"&lt;&gt;"&amp;""),"",INDEX(DV$4:DV$40,MATCH(ROW()-3,DW$4:DW$40,0)))</f>
        <v/>
      </c>
      <c r="DY12">
        <f>DY11+IF(AND(DX12&lt;&gt;"",COUNTIF(DX$4:DX12,DX12)=1),1,0)</f>
        <v/>
      </c>
      <c r="DZ12">
        <f>IF(ROW()-3&gt;MAX(DY$4:DY$40),"",INDEX(DX$4:DX$40,MATCH(ROW()-3,DY$4:DY$40,0)))</f>
        <v/>
      </c>
      <c r="EA12">
        <f>IF('Final Calculation Sheet'!$Y$12="","",'Final Calculation Sheet'!$Y$12)</f>
        <v/>
      </c>
      <c r="EB12">
        <f>IF(EA12="","",COUNTIFS(EA$4:EA$40,"&lt;"&amp;EA12,EA$4:EA$40,"&lt;&gt;"&amp;"")+COUNTIF(EA$4:EA12,EA12))</f>
        <v/>
      </c>
      <c r="EC12">
        <f>IF(ROW()-3&gt;COUNTIF(EA$4:EA$40,"&lt;&gt;"&amp;""),"",INDEX(EA$4:EA$40,MATCH(ROW()-3,EB$4:EB$40,0)))</f>
        <v/>
      </c>
      <c r="ED12">
        <f>ED11+IF(AND(EC12&lt;&gt;"",COUNTIF(EC$4:EC12,EC12)=1),1,0)</f>
        <v/>
      </c>
      <c r="EE12">
        <f>IF(ROW()-3&gt;MAX(ED$4:ED$40),"",INDEX(EC$4:EC$40,MATCH(ROW()-3,ED$4:ED$40,0)))</f>
        <v/>
      </c>
      <c r="EF12" s="55">
        <f>IF('Final Calculation Sheet'!$Z$12="","",'Final Calculation Sheet'!$Z$12)</f>
        <v/>
      </c>
      <c r="EG12">
        <f>IF(EF12="","",COUNTIFS(EF$4:EF$40,"&lt;"&amp;EF12,EF$4:EF$40,"&lt;&gt;"&amp;"")+COUNTIF(EF$4:EF12,EF12))</f>
        <v/>
      </c>
      <c r="EH12" s="55">
        <f>IF(ROW()-3&gt;COUNTIF(EF$4:EF$40,"&lt;&gt;"&amp;""),"",INDEX(EF$4:EF$40,MATCH(ROW()-3,EG$4:EG$40,0)))</f>
        <v/>
      </c>
      <c r="EI12">
        <f>EI11+IF(AND(EH12&lt;&gt;"",COUNTIF(EH$4:EH12,EH12)=1),1,0)</f>
        <v/>
      </c>
      <c r="EJ12">
        <f>IF(ROW()-3&gt;MAX(EI$4:EI$40),"",INDEX(EH$4:EH$40,MATCH(ROW()-3,EI$4:EI$40,0)))</f>
        <v/>
      </c>
      <c r="EK12">
        <f>IF('Final Calculation Sheet'!$AA$12="","",'Final Calculation Sheet'!$AA$12)</f>
        <v/>
      </c>
      <c r="EL12">
        <f>IF(EK12="","",COUNTIFS(EK$4:EK$40,"&lt;"&amp;EK12,EK$4:EK$40,"&lt;&gt;"&amp;"")+COUNTIF(EK$4:EK12,EK12))</f>
        <v/>
      </c>
      <c r="EM12">
        <f>IF(ROW()-3&gt;COUNTIF(EK$4:EK$40,"&lt;&gt;"&amp;""),"",INDEX(EK$4:EK$40,MATCH(ROW()-3,EL$4:EL$40,0)))</f>
        <v/>
      </c>
      <c r="EN12">
        <f>EN11+IF(AND(EM12&lt;&gt;"",COUNTIF(EM$4:EM12,EM12)=1),1,0)</f>
        <v/>
      </c>
      <c r="EO12">
        <f>IF(ROW()-3&gt;MAX(EN$4:EN$40),"",INDEX(EM$4:EM$40,MATCH(ROW()-3,EN$4:EN$40,0)))</f>
        <v/>
      </c>
      <c r="EP12">
        <f>IF('Final Calculation Sheet'!$AB$12="","",'Final Calculation Sheet'!$AB$12)</f>
        <v/>
      </c>
      <c r="EQ12">
        <f>IF(EP12="","",COUNTIFS(EP$4:EP$40,"&lt;"&amp;EP12,EP$4:EP$40,"&lt;&gt;"&amp;"")+COUNTIF(EP$4:EP12,EP12))</f>
        <v/>
      </c>
      <c r="ER12">
        <f>IF(ROW()-3&gt;COUNTIF(EP$4:EP$40,"&lt;&gt;"&amp;""),"",INDEX(EP$4:EP$40,MATCH(ROW()-3,EQ$4:EQ$40,0)))</f>
        <v/>
      </c>
      <c r="ES12">
        <f>ES11+IF(AND(ER12&lt;&gt;"",COUNTIF(ER$4:ER12,ER12)=1),1,0)</f>
        <v/>
      </c>
      <c r="ET12">
        <f>IF(ROW()-3&gt;MAX(ES$4:ES$40),"",INDEX(ER$4:ER$40,MATCH(ROW()-3,ES$4:ES$40,0)))</f>
        <v/>
      </c>
      <c r="EU12" s="55">
        <f>IF('Final Calculation Sheet'!$AC$12="","",'Final Calculation Sheet'!$AC$12)</f>
        <v/>
      </c>
      <c r="EV12">
        <f>IF(EU12="","",COUNTIFS(EU$4:EU$40,"&lt;"&amp;EU12,EU$4:EU$40,"&lt;&gt;"&amp;"")+COUNTIF(EU$4:EU12,EU12))</f>
        <v/>
      </c>
      <c r="EW12" s="55">
        <f>IF(ROW()-3&gt;COUNTIF(EU$4:EU$40,"&lt;&gt;"&amp;""),"",INDEX(EU$4:EU$40,MATCH(ROW()-3,EV$4:EV$40,0)))</f>
        <v/>
      </c>
      <c r="EX12">
        <f>EX11+IF(AND(EW12&lt;&gt;"",COUNTIF(EW$4:EW12,EW12)=1),1,0)</f>
        <v/>
      </c>
      <c r="EY12" s="55">
        <f>IF(ROW()-3&gt;MAX(EX$4:EX$40),"",INDEX(EW$4:EW$40,MATCH(ROW()-3,EX$4:EX$40,0)))</f>
        <v/>
      </c>
      <c r="EZ12" s="55">
        <f>IF('Final Calculation Sheet'!$AD$12="","",'Final Calculation Sheet'!$AD$12)</f>
        <v/>
      </c>
      <c r="FA12">
        <f>IF(EZ12="","",COUNTIFS(EZ$4:EZ$40,"&lt;"&amp;EZ12,EZ$4:EZ$40,"&lt;&gt;"&amp;"")+COUNTIF(EZ$4:EZ12,EZ12))</f>
        <v/>
      </c>
      <c r="FB12" s="55">
        <f>IF(ROW()-3&gt;COUNTIF(EZ$4:EZ$40,"&lt;&gt;"&amp;""),"",INDEX(EZ$4:EZ$40,MATCH(ROW()-3,FA$4:FA$40,0)))</f>
        <v/>
      </c>
      <c r="FC12">
        <f>FC11+IF(AND(FB12&lt;&gt;"",COUNTIF(FB$4:FB12,FB12)=1),1,0)</f>
        <v/>
      </c>
      <c r="FD12" s="55">
        <f>IF(ROW()-3&gt;MAX(FC$4:FC$40),"",INDEX(FB$4:FB$40,MATCH(ROW()-3,FC$4:FC$40,0)))</f>
        <v/>
      </c>
      <c r="FE12">
        <f>IF('Final Calculation Sheet'!$AF$12="","",'Final Calculation Sheet'!$AF$12)</f>
        <v/>
      </c>
      <c r="FF12">
        <f>IF(FE12="","",COUNTIFS(FE$4:FE$40,"&lt;"&amp;FE12,FE$4:FE$40,"&lt;&gt;"&amp;"")+COUNTIF(FE$4:FE12,FE12))</f>
        <v/>
      </c>
      <c r="FG12">
        <f>IF(ROW()-3&gt;COUNTIF(FE$4:FE$40,"&lt;&gt;"&amp;""),"",INDEX(FE$4:FE$40,MATCH(ROW()-3,FF$4:FF$40,0)))</f>
        <v/>
      </c>
      <c r="FH12">
        <f>FH11+IF(AND(FG12&lt;&gt;"",COUNTIF(FG$4:FG12,FG12)=1),1,0)</f>
        <v/>
      </c>
      <c r="FI12">
        <f>IF(ROW()-3&gt;MAX(FH$4:FH$40),"",INDEX(FG$4:FG$40,MATCH(ROW()-3,FH$4:FH$40,0)))</f>
        <v/>
      </c>
      <c r="FJ12" s="141">
        <f>IF('Final Calculation Sheet'!$AG$12="","",'Final Calculation Sheet'!$AG$12)</f>
        <v/>
      </c>
      <c r="FK12">
        <f>IF(FJ12="","",COUNTIFS(FJ$4:FJ$40,"&lt;"&amp;FJ12,FJ$4:FJ$40,"&lt;&gt;"&amp;"")+COUNTIF(FJ$4:FJ12,FJ12))</f>
        <v/>
      </c>
      <c r="FL12" s="141">
        <f>IF(ROW()-3&gt;COUNTIF(FJ$4:FJ$40,"&lt;&gt;"&amp;""),"",INDEX(FJ$4:FJ$40,MATCH(ROW()-3,FK$4:FK$40,0)))</f>
        <v/>
      </c>
      <c r="FM12">
        <f>FM11+IF(AND(FL12&lt;&gt;"",COUNTIF(FL$4:FL12,FL12)=1),1,0)</f>
        <v/>
      </c>
      <c r="FN12">
        <f>IF(ROW()-3&gt;MAX(FM$4:FM$40),"",INDEX(FL$4:FL$40,MATCH(ROW()-3,FM$4:FM$40,0)))</f>
        <v/>
      </c>
      <c r="FO12">
        <f>IF('Final Calculation Sheet'!$AH$12="","",'Final Calculation Sheet'!$AH$12)</f>
        <v/>
      </c>
      <c r="FP12">
        <f>IF(FO12="","",COUNTIFS(FO$4:FO$40,"&lt;"&amp;FO12,FO$4:FO$40,"&lt;&gt;"&amp;"")+COUNTIF(FO$4:FO12,FO12))</f>
        <v/>
      </c>
      <c r="FQ12">
        <f>IF(ROW()-3&gt;COUNTIF(FO$4:FO$40,"&lt;&gt;"&amp;""),"",INDEX(FO$4:FO$40,MATCH(ROW()-3,FP$4:FP$40,0)))</f>
        <v/>
      </c>
      <c r="FR12">
        <f>FR11+IF(AND(FQ12&lt;&gt;"",COUNTIF(FQ$4:FQ12,FQ12)=1),1,0)</f>
        <v/>
      </c>
      <c r="FS12">
        <f>IF(ROW()-3&gt;MAX(FR$4:FR$40),"",INDEX(FQ$4:FQ$40,MATCH(ROW()-3,FR$4:FR$40,0)))</f>
        <v/>
      </c>
      <c r="FU12">
        <f>IF(FT12="","",COUNTIFS(FT$4:FT$40,"&lt;"&amp;FT12,FT$4:FT$40,"&lt;&gt;"&amp;"")+COUNTIF(FT$4:FT12,FT12))</f>
        <v/>
      </c>
      <c r="FV12">
        <f>IF(ROW()-3&gt;COUNTIF(FT$4:FT$40,"&lt;&gt;"&amp;""),"",INDEX(FT$4:FT$40,MATCH(ROW()-3,FU$4:FU$40,0)))</f>
        <v/>
      </c>
      <c r="FW12">
        <f>FW11+IF(AND(FV12&lt;&gt;"",COUNTIF(FV$4:FV12,FV12)=1),1,0)</f>
        <v/>
      </c>
      <c r="FX12">
        <f>IF(ROW()-3&gt;MAX(FW$4:FW$40),"",INDEX(FV$4:FV$40,MATCH(ROW()-3,FW$4:FW$40,0)))</f>
        <v/>
      </c>
      <c r="FY12">
        <f>IF(COUNTIF('Live Search'!BM$11:BO$11,0)+COUNTIF('Live Search'!BQ$11:CU$11,0)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2">
        <f>IF($Y$12="",FALSE,SUMPRODUCT(('Final Calculation Sheet'!$B$4:$B$40=$Y$12)*($FY$6:$FY$42=1))&gt;0)</f>
        <v/>
      </c>
      <c r="GA12">
        <f>$GA$11+--($FZ$12)</f>
        <v/>
      </c>
      <c r="GB12">
        <f>IF(ROW()-3&gt;MAX($GA$4:$GA$40),"",INDEX($Y$4:$Y$40,MATCH(ROW()-3,$GA$4:$GA$40,0)))</f>
        <v/>
      </c>
      <c r="GC12">
        <f>IF('Final Calculation Sheet'!$F$12="","",IF(TRIM('Final Calculation Sheet'!$G$2)="",'Final Calculation Sheet'!$F$12,IF(TRIM('Final Calculation Sheet'!$G$2)="(nonblank)",IF('Final Calculation Sheet'!$G$12&lt;&gt;"",'Final Calculation Sheet'!$F$12,""),IF(TRIM('Final Calculation Sheet'!$G$2)="(blank)",IF('Final Calculation Sheet'!$G$12="",'Final Calculation Sheet'!$F$12,""),IF(ISNUMBER(SEARCH(TRIM('Final Calculation Sheet'!$G$2),'Final Calculation Sheet'!$G$12)),'Final Calculation Sheet'!$F$12,"")))))</f>
        <v/>
      </c>
      <c r="GD12">
        <f>IF(GC12="","",COUNTIFS(GC$4:GC$40,"&lt;"&amp;GC12,GC$4:GC$40,"&lt;&gt;"&amp;"")+COUNTIF(GC$4:GC12,GC12))</f>
        <v/>
      </c>
      <c r="GE12">
        <f>IF(ROW()-3&gt;COUNTIF(GC$4:GC$40,"&lt;&gt;"&amp;""),"",INDEX(GC$4:GC$40,MATCH(ROW()-3,GD$4:GD$40,0)))</f>
        <v/>
      </c>
      <c r="GF12">
        <f>GF11+IF(AND(GE12&lt;&gt;"",COUNTIF(GE$4:GE12,GE12)=1),1,0)</f>
        <v/>
      </c>
      <c r="GG12">
        <f>IF(ROW()-3&gt;MAX(GF$4:GF$40),"",INDEX(GE$4:GE$40,MATCH(ROW()-3,GF$4:GF$40,0)))</f>
        <v/>
      </c>
      <c r="GH12">
        <f>IF('Final Calculation Sheet'!$F$12="","",IF('Live Search'!$BO$13=1,'Final Calculation Sheet'!$F$12,""))</f>
        <v/>
      </c>
      <c r="GI12">
        <f>IF(GH12="","",COUNTIFS(GH$4:GH$40,"&lt;"&amp;GH12,GH$4:GH$40,"&lt;&gt;"&amp;"")+COUNTIF(GH$4:GH12,GH12))</f>
        <v/>
      </c>
      <c r="GJ12">
        <f>IF(ROW()-3&gt;COUNTIF(GH$4:GH$40,"&lt;&gt;"&amp;""),"",INDEX(GH$4:GH$40,MATCH(ROW()-3,GI$4:GI$40,0)))</f>
        <v/>
      </c>
      <c r="GK12">
        <f>GK11+IF(AND(GJ12&lt;&gt;"",COUNTIF(GJ$4:GJ12,GJ12)=1),1,0)</f>
        <v/>
      </c>
      <c r="GL12">
        <f>IF(ROW()-3&gt;MAX(GK$4:GK$40),"",INDEX(GJ$4:GJ$40,MATCH(ROW()-3,GK$4:GK$40,0)))</f>
        <v/>
      </c>
      <c r="GM12">
        <f>IF('Final Calculation Sheet'!$F$12="","",IF(TRIM('Buyer Groups'!$C$4)="",'Final Calculation Sheet'!$F$12,IF(TRIM('Buyer Groups'!$C$4)="(nonblank)",IF('Final Calculation Sheet'!$G$12&lt;&gt;"",'Final Calculation Sheet'!$F$12,""),IF(TRIM('Buyer Groups'!$C$4)="(blank)",IF('Final Calculation Sheet'!$G$12="",'Final Calculation Sheet'!$F$12,""),IF(ISNUMBER(SEARCH(TRIM('Buyer Groups'!$C$4),'Final Calculation Sheet'!$G$12)),'Final Calculation Sheet'!$F$12,"")))))</f>
        <v/>
      </c>
      <c r="GN12">
        <f>IF(GM12="","",COUNTIFS(GM$4:GM$40,"&lt;"&amp;GM12,GM$4:GM$40,"&lt;&gt;"&amp;"")+COUNTIF(GM$4:GM12,GM12))</f>
        <v/>
      </c>
      <c r="GO12">
        <f>IF(ROW()-3&gt;COUNTIF(GM$4:GM$40,"&lt;&gt;"&amp;""),"",INDEX(GM$4:GM$40,MATCH(ROW()-3,GN$4:GN$40,0)))</f>
        <v/>
      </c>
      <c r="GP12">
        <f>GP11+IF(AND(GO12&lt;&gt;"",COUNTIF(GO$4:GO12,GO12)=1),1,0)</f>
        <v/>
      </c>
      <c r="GQ12">
        <f>IF(ROW()-3&gt;MAX(GP$4:GP$40),"",INDEX(GO$4:GO$40,MATCH(ROW()-3,GP$4:GP$40,0)))</f>
        <v/>
      </c>
      <c r="GR12">
        <f>IF('Final Calculation Sheet'!$B$12="","",IF(TRIM('Final Calculation Sheet'!$G$2)="",'Final Calculation Sheet'!$B$12,IF(TRIM('Final Calculation Sheet'!$G$2)="(nonblank)",IF('Final Calculation Sheet'!$G$12&lt;&gt;"",'Final Calculation Sheet'!$B$12,""),IF(TRIM('Final Calculation Sheet'!$G$2)="(blank)",IF('Final Calculation Sheet'!$G$12="",'Final Calculation Sheet'!$B$12,""),IF(ISNUMBER(SEARCH(TRIM('Final Calculation Sheet'!$G$2),'Final Calculation Sheet'!$G$12)),'Final Calculation Sheet'!$B$12,"")))))</f>
        <v/>
      </c>
      <c r="GS12">
        <f>IF(GR12="","",COUNTIFS(GR$4:GR$40,"&lt;"&amp;GR12,GR$4:GR$40,"&lt;&gt;"&amp;"")+COUNTIF(GR$4:GR12,GR12))</f>
        <v/>
      </c>
      <c r="GT12">
        <f>IF(ROW()-3&gt;COUNTIF(GR$4:GR$40,"&lt;&gt;"&amp;""),"",INDEX(GR$4:GR$40,MATCH(ROW()-3,GS$4:GS$40,0)))</f>
        <v/>
      </c>
      <c r="GU12">
        <f>GU11+IF(AND(GT12&lt;&gt;"",COUNTIF(GT$4:GT12,GT12)=1),1,0)</f>
        <v/>
      </c>
      <c r="GV12">
        <f>IF(ROW()-3&gt;MAX(GU$4:GU$40),"",INDEX(GT$4:GT$40,MATCH(ROW()-3,GU$4:GU$40,0)))</f>
        <v/>
      </c>
      <c r="GW12">
        <f>IF('Final Calculation Sheet'!$B$12="","",IF(TRIM('Buyer Groups'!$C$4)="",'Final Calculation Sheet'!$B$12,IF(TRIM('Buyer Groups'!$C$4)="(nonblank)",IF('Final Calculation Sheet'!$G$12&lt;&gt;"",'Final Calculation Sheet'!$B$12,""),IF(TRIM('Buyer Groups'!$C$4)="(blank)",IF('Final Calculation Sheet'!$G$12="",'Final Calculation Sheet'!$B$12,""),IF(ISNUMBER(SEARCH(TRIM('Buyer Groups'!$C$4),'Final Calculation Sheet'!$G$12)),'Final Calculation Sheet'!$B$12,"")))))</f>
        <v/>
      </c>
      <c r="GX12">
        <f>IF(GW12="","",COUNTIFS(GW$4:GW$40,"&lt;"&amp;GW12,GW$4:GW$40,"&lt;&gt;"&amp;"")+COUNTIF(GW$4:GW12,GW12))</f>
        <v/>
      </c>
      <c r="GY12">
        <f>IF(ROW()-3&gt;COUNTIF(GW$4:GW$40,"&lt;&gt;"&amp;""),"",INDEX(GW$4:GW$40,MATCH(ROW()-3,GX$4:GX$40,0)))</f>
        <v/>
      </c>
      <c r="GZ12">
        <f>GZ11+IF(AND(GY12&lt;&gt;"",COUNTIF(GY$4:GY12,GY12)=1),1,0)</f>
        <v/>
      </c>
      <c r="HA12">
        <f>IF(ROW()-3&gt;MAX(GZ$4:GZ$40),"",INDEX(GY$4:GY$40,MATCH(ROW()-3,GZ$4:GZ$40,0)))</f>
        <v/>
      </c>
    </row>
    <row r="13">
      <c r="A13">
        <f>IF('Final Calculation Sheet'!$F$13="","",'Final Calculation Sheet'!$F$13)</f>
        <v/>
      </c>
      <c r="B13">
        <f>IF(A13="","",COUNTIFS(A$4:A$114,"&lt;"&amp;A13,A$4:A$114,"&lt;&gt;"&amp;"")+COUNTIF(A$4:A13,A13))</f>
        <v/>
      </c>
      <c r="C13">
        <f>IF(ROW()-3&gt;COUNTIF(A$4:A$114,"&lt;&gt;"&amp;""),"",INDEX(A$4:A$114,MATCH(ROW()-3,B$4:B$114,0)))</f>
        <v/>
      </c>
      <c r="D13">
        <f>D12+IF(AND(C13&lt;&gt;"",COUNTIF(C$4:C13,C13)=1),1,0)</f>
        <v/>
      </c>
      <c r="E13">
        <f>IF(ROW()-3&gt;MAX(D$4:D$114),"",INDEX(C$4:C$114,MATCH(ROW()-3,D$4:D$114,0)))</f>
        <v/>
      </c>
      <c r="F13">
        <f>ROW()-3</f>
        <v/>
      </c>
      <c r="G13">
        <f>IF(F13="","",COUNTIFS(F$4:F$40,"&lt;"&amp;F13,F$4:F$40,"&lt;&gt;"&amp;"")+COUNTIF(F$4:F13,F13))</f>
        <v/>
      </c>
      <c r="H13">
        <f>IF(ROW()-3&gt;COUNTIF(F$4:F$40,"&lt;&gt;"&amp;""),"",INDEX(F$4:F$40,MATCH(ROW()-3,G$4:G$40,0)))</f>
        <v/>
      </c>
      <c r="I13">
        <f>I12+IF(AND(H13&lt;&gt;"",COUNTIF(H$4:H13,H13)=1),1,0)</f>
        <v/>
      </c>
      <c r="J13">
        <f>IF(ROW()-3&gt;MAX(I$4:I$40),"",INDEX(H$4:H$40,MATCH(ROW()-3,I$4:I$40,0)))</f>
        <v/>
      </c>
      <c r="K13">
        <f>IF('Final Calculation Sheet'!$F$13="","",'Final Calculation Sheet'!$F$13)</f>
        <v/>
      </c>
      <c r="L13">
        <f>IF(K13="","",COUNTIFS(K$4:K$40,"&lt;"&amp;K13,K$4:K$40,"&lt;&gt;"&amp;"")+COUNTIF(K$4:K13,K13))</f>
        <v/>
      </c>
      <c r="M13">
        <f>IF(ROW()-3&gt;COUNTIF(K$4:K$40,"&lt;&gt;"&amp;""),"",INDEX(K$4:K$40,MATCH(ROW()-3,L$4:L$40,0)))</f>
        <v/>
      </c>
      <c r="N13">
        <f>N12+IF(AND(M13&lt;&gt;"",COUNTIF(M$4:M13,M13)=1),1,0)</f>
        <v/>
      </c>
      <c r="O13">
        <f>IF(ROW()-3&gt;MAX(N$4:N$40),"",INDEX(M$4:M$40,MATCH(ROW()-3,N$4:N$40,0)))</f>
        <v/>
      </c>
      <c r="P13">
        <f>IF('Final Calculation Sheet'!$G$13="","",'Final Calculation Sheet'!$G$13)</f>
        <v/>
      </c>
      <c r="Q13">
        <f>IF(P13="","",COUNTIFS(P$4:P$40,"&lt;"&amp;P13,P$4:P$40,"&lt;&gt;"&amp;"")+COUNTIF(P$4:P13,P13))</f>
        <v/>
      </c>
      <c r="R13">
        <f>IF(ROW()-3&gt;COUNTIF(P$4:P$40,"&lt;&gt;"&amp;""),"",INDEX(P$4:P$40,MATCH(ROW()-3,Q$4:Q$40,0)))</f>
        <v/>
      </c>
      <c r="S13">
        <f>S12+IF(AND(R13&lt;&gt;"",COUNTIF(R$4:R13,R13)=1),1,0)</f>
        <v/>
      </c>
      <c r="T13">
        <f>IF(ROW()-3&gt;MAX(S$4:S$40),"",INDEX(R$4:R$40,MATCH(ROW()-3,S$4:S$40,0)))</f>
        <v/>
      </c>
      <c r="U13">
        <f>IF('Final Calculation Sheet'!$B$13="","",'Final Calculation Sheet'!$B$13)</f>
        <v/>
      </c>
      <c r="V13">
        <f>IF(U13="","",COUNTIFS(U$4:U$40,"&lt;"&amp;U13,U$4:U$40,"&lt;&gt;"&amp;"")+COUNTIF(U$4:U13,U13))</f>
        <v/>
      </c>
      <c r="W13">
        <f>IF(ROW()-3&gt;COUNTIF(U$4:U$40,"&lt;&gt;"&amp;""),"",INDEX(U$4:U$40,MATCH(ROW()-3,V$4:V$40,0)))</f>
        <v/>
      </c>
      <c r="X13">
        <f>X12+IF(AND(W13&lt;&gt;"",COUNTIF(W$4:W13,W13)=1),1,0)</f>
        <v/>
      </c>
      <c r="Y13">
        <f>IF(ROW()-3&gt;MAX(X$4:X$40),"",INDEX(W$4:W$40,MATCH(ROW()-3,X$4:X$40,0)))</f>
        <v/>
      </c>
      <c r="Z13">
        <f>IF('Final Calculation Sheet'!$D$13="","",'Final Calculation Sheet'!$D$13)</f>
        <v/>
      </c>
      <c r="AA13">
        <f>IF(Z13="","",COUNTIFS(Z$4:Z$40,"&lt;"&amp;Z13,Z$4:Z$40,"&lt;&gt;"&amp;"")+COUNTIF(Z$4:Z13,Z13))</f>
        <v/>
      </c>
      <c r="AB13">
        <f>IF(ROW()-3&gt;COUNTIF(Z$4:Z$40,"&lt;&gt;"&amp;""),"",INDEX(Z$4:Z$40,MATCH(ROW()-3,AA$4:AA$40,0)))</f>
        <v/>
      </c>
      <c r="AC13">
        <f>AC12+IF(AND(AB13&lt;&gt;"",COUNTIF(AB$4:AB13,AB13)=1),1,0)</f>
        <v/>
      </c>
      <c r="AD13">
        <f>IF(ROW()-3&gt;MAX(AC$4:AC$40),"",INDEX(AB$4:AB$40,MATCH(ROW()-3,AC$4:AC$40,0)))</f>
        <v/>
      </c>
      <c r="AE13">
        <f>IF('Final Calculation Sheet'!$A$13="","",'Final Calculation Sheet'!$A$13)</f>
        <v/>
      </c>
      <c r="AF13">
        <f>IF(AE13="","",COUNTIFS(AE$4:AE$40,"&lt;"&amp;AE13,AE$4:AE$40,"&lt;&gt;"&amp;"")+COUNTIF(AE$4:AE13,AE13))</f>
        <v/>
      </c>
      <c r="AG13">
        <f>IF(ROW()-3&gt;COUNTIF(AE$4:AE$40,"&lt;&gt;"&amp;""),"",INDEX(AE$4:AE$40,MATCH(ROW()-3,AF$4:AF$40,0)))</f>
        <v/>
      </c>
      <c r="AH13">
        <f>AH12+IF(AND(AG13&lt;&gt;"",COUNTIF(AG$4:AG13,AG13)=1),1,0)</f>
        <v/>
      </c>
      <c r="AI13">
        <f>IF(ROW()-3&gt;MAX(AH$4:AH$40),"",INDEX(AG$4:AG$40,MATCH(ROW()-3,AH$4:AH$40,0)))</f>
        <v/>
      </c>
      <c r="AJ13">
        <f>IF('Final Calculation Sheet'!$E$13="","",'Final Calculation Sheet'!$E$13)</f>
        <v/>
      </c>
      <c r="AK13">
        <f>IF(AJ13="","",COUNTIFS(AJ$4:AJ$40,"&lt;"&amp;AJ13,AJ$4:AJ$40,"&lt;&gt;"&amp;"")+COUNTIF(AJ$4:AJ13,AJ13))</f>
        <v/>
      </c>
      <c r="AL13">
        <f>IF(ROW()-3&gt;COUNTIF(AJ$4:AJ$40,"&lt;&gt;"&amp;""),"",INDEX(AJ$4:AJ$40,MATCH(ROW()-3,AK$4:AK$40,0)))</f>
        <v/>
      </c>
      <c r="AM13">
        <f>AM12+IF(AND(AL13&lt;&gt;"",COUNTIF(AL$4:AL13,AL13)=1),1,0)</f>
        <v/>
      </c>
      <c r="AN13">
        <f>IF(ROW()-3&gt;MAX(AM$4:AM$40),"",INDEX(AL$4:AL$40,MATCH(ROW()-3,AM$4:AM$40,0)))</f>
        <v/>
      </c>
      <c r="AO13" s="55">
        <f>IF('Final Calculation Sheet'!$C$13="","",'Final Calculation Sheet'!$C$13)</f>
        <v/>
      </c>
      <c r="AP13">
        <f>IF(AO13="","",COUNTIFS(AO$4:AO$40,"&lt;"&amp;AO13,AO$4:AO$40,"&lt;&gt;"&amp;"")+COUNTIF(AO$4:AO13,AO13))</f>
        <v/>
      </c>
      <c r="AQ13" s="55">
        <f>IF(ROW()-3&gt;COUNTIF(AO$4:AO$40,"&lt;&gt;"&amp;""),"",INDEX(AO$4:AO$40,MATCH(ROW()-3,AP$4:AP$40,0)))</f>
        <v/>
      </c>
      <c r="AR13">
        <f>AR12+IF(AND(AQ13&lt;&gt;"",COUNTIF(AQ$4:AQ13,AQ13)=1),1,0)</f>
        <v/>
      </c>
      <c r="AS13" s="55">
        <f>IF(ROW()-3&gt;MAX(AR$4:AR$40),"",INDEX(AQ$4:AQ$40,MATCH(ROW()-3,AR$4:AR$40,0)))</f>
        <v/>
      </c>
      <c r="AT13" s="55">
        <f>IF('Final Calculation Sheet'!$H$13="","",'Final Calculation Sheet'!$H$13)</f>
        <v/>
      </c>
      <c r="AU13">
        <f>IF(AT13="","",COUNTIFS(AT$4:AT$40,"&lt;"&amp;AT13,AT$4:AT$40,"&lt;&gt;"&amp;"")+COUNTIF(AT$4:AT13,AT13))</f>
        <v/>
      </c>
      <c r="AV13" s="55">
        <f>IF(ROW()-3&gt;COUNTIF(AT$4:AT$40,"&lt;&gt;"&amp;""),"",INDEX(AT$4:AT$40,MATCH(ROW()-3,AU$4:AU$40,0)))</f>
        <v/>
      </c>
      <c r="AW13">
        <f>AW12+IF(AND(AV13&lt;&gt;"",COUNTIF(AV$4:AV13,AV13)=1),1,0)</f>
        <v/>
      </c>
      <c r="AX13" s="55">
        <f>IF(ROW()-3&gt;MAX(AW$4:AW$40),"",INDEX(AV$4:AV$40,MATCH(ROW()-3,AW$4:AW$40,0)))</f>
        <v/>
      </c>
      <c r="AY13" s="55">
        <f>IF('Final Calculation Sheet'!$I$13="","",'Final Calculation Sheet'!$I$13)</f>
        <v/>
      </c>
      <c r="AZ13">
        <f>IF(AY13="","",COUNTIFS(AY$4:AY$40,"&lt;"&amp;AY13,AY$4:AY$40,"&lt;&gt;"&amp;"")+COUNTIF(AY$4:AY13,AY13))</f>
        <v/>
      </c>
      <c r="BA13" s="55">
        <f>IF(ROW()-3&gt;COUNTIF(AY$4:AY$40,"&lt;&gt;"&amp;""),"",INDEX(AY$4:AY$40,MATCH(ROW()-3,AZ$4:AZ$40,0)))</f>
        <v/>
      </c>
      <c r="BB13">
        <f>BB12+IF(AND(BA13&lt;&gt;"",COUNTIF(BA$4:BA13,BA13)=1),1,0)</f>
        <v/>
      </c>
      <c r="BC13" s="55">
        <f>IF(ROW()-3&gt;MAX(BB$4:BB$40),"",INDEX(BA$4:BA$40,MATCH(ROW()-3,BB$4:BB$40,0)))</f>
        <v/>
      </c>
      <c r="BD13" s="55">
        <f>IF('Final Calculation Sheet'!$J$13="","",'Final Calculation Sheet'!$J$13)</f>
        <v/>
      </c>
      <c r="BE13">
        <f>IF(BD13="","",COUNTIFS(BD$4:BD$40,"&lt;"&amp;BD13,BD$4:BD$40,"&lt;&gt;"&amp;"")+COUNTIF(BD$4:BD13,BD13))</f>
        <v/>
      </c>
      <c r="BF13" s="55">
        <f>IF(ROW()-3&gt;COUNTIF(BD$4:BD$40,"&lt;&gt;"&amp;""),"",INDEX(BD$4:BD$40,MATCH(ROW()-3,BE$4:BE$40,0)))</f>
        <v/>
      </c>
      <c r="BG13">
        <f>BG12+IF(AND(BF13&lt;&gt;"",COUNTIF(BF$4:BF13,BF13)=1),1,0)</f>
        <v/>
      </c>
      <c r="BH13" s="55">
        <f>IF(ROW()-3&gt;MAX(BG$4:BG$40),"",INDEX(BF$4:BF$40,MATCH(ROW()-3,BG$4:BG$40,0)))</f>
        <v/>
      </c>
      <c r="BI13" s="55">
        <f>IF('Final Calculation Sheet'!$K$13="","",'Final Calculation Sheet'!$K$13)</f>
        <v/>
      </c>
      <c r="BJ13">
        <f>IF(BI13="","",COUNTIFS(BI$4:BI$40,"&lt;"&amp;BI13,BI$4:BI$40,"&lt;&gt;"&amp;"")+COUNTIF(BI$4:BI13,BI13))</f>
        <v/>
      </c>
      <c r="BK13" s="55">
        <f>IF(ROW()-3&gt;COUNTIF(BI$4:BI$40,"&lt;&gt;"&amp;""),"",INDEX(BI$4:BI$40,MATCH(ROW()-3,BJ$4:BJ$40,0)))</f>
        <v/>
      </c>
      <c r="BL13">
        <f>BL12+IF(AND(BK13&lt;&gt;"",COUNTIF(BK$4:BK13,BK13)=1),1,0)</f>
        <v/>
      </c>
      <c r="BM13" s="55">
        <f>IF(ROW()-3&gt;MAX(BL$4:BL$40),"",INDEX(BK$4:BK$40,MATCH(ROW()-3,BL$4:BL$40,0)))</f>
        <v/>
      </c>
      <c r="BN13" s="55">
        <f>IF('Final Calculation Sheet'!$L$13="","",'Final Calculation Sheet'!$L$13)</f>
        <v/>
      </c>
      <c r="BO13">
        <f>IF(BN13="","",COUNTIFS(BN$4:BN$40,"&lt;"&amp;BN13,BN$4:BN$40,"&lt;&gt;"&amp;"")+COUNTIF(BN$4:BN13,BN13))</f>
        <v/>
      </c>
      <c r="BP13" s="55">
        <f>IF(ROW()-3&gt;COUNTIF(BN$4:BN$40,"&lt;&gt;"&amp;""),"",INDEX(BN$4:BN$40,MATCH(ROW()-3,BO$4:BO$40,0)))</f>
        <v/>
      </c>
      <c r="BQ13">
        <f>BQ12+IF(AND(BP13&lt;&gt;"",COUNTIF(BP$4:BP13,BP13)=1),1,0)</f>
        <v/>
      </c>
      <c r="BR13" s="55">
        <f>IF(ROW()-3&gt;MAX(BQ$4:BQ$40),"",INDEX(BP$4:BP$40,MATCH(ROW()-3,BQ$4:BQ$40,0)))</f>
        <v/>
      </c>
      <c r="BS13" s="55">
        <f>IF('Final Calculation Sheet'!$M$13="","",'Final Calculation Sheet'!$M$13)</f>
        <v/>
      </c>
      <c r="BT13">
        <f>IF(BS13="","",COUNTIFS(BS$4:BS$40,"&lt;"&amp;BS13,BS$4:BS$40,"&lt;&gt;"&amp;"")+COUNTIF(BS$4:BS13,BS13))</f>
        <v/>
      </c>
      <c r="BU13" s="55">
        <f>IF(ROW()-3&gt;COUNTIF(BS$4:BS$40,"&lt;&gt;"&amp;""),"",INDEX(BS$4:BS$40,MATCH(ROW()-3,BT$4:BT$40,0)))</f>
        <v/>
      </c>
      <c r="BV13">
        <f>BV12+IF(AND(BU13&lt;&gt;"",COUNTIF(BU$4:BU13,BU13)=1),1,0)</f>
        <v/>
      </c>
      <c r="BW13" s="55">
        <f>IF(ROW()-3&gt;MAX(BV$4:BV$40),"",INDEX(BU$4:BU$40,MATCH(ROW()-3,BV$4:BV$40,0)))</f>
        <v/>
      </c>
      <c r="BX13" s="138">
        <f>IF('Final Calculation Sheet'!$N$13="","",'Final Calculation Sheet'!$N$13)</f>
        <v/>
      </c>
      <c r="BY13">
        <f>IF(BX13="","",COUNTIFS(BX$4:BX$40,"&lt;"&amp;BX13,BX$4:BX$40,"&lt;&gt;"&amp;"")+COUNTIF(BX$4:BX13,BX13))</f>
        <v/>
      </c>
      <c r="BZ13" s="138">
        <f>IF(ROW()-3&gt;COUNTIF(BX$4:BX$40,"&lt;&gt;"&amp;""),"",INDEX(BX$4:BX$40,MATCH(ROW()-3,BY$4:BY$40,0)))</f>
        <v/>
      </c>
      <c r="CA13">
        <f>CA12+IF(AND(BZ13&lt;&gt;"",COUNTIF(BZ$4:BZ13,BZ13)=1),1,0)</f>
        <v/>
      </c>
      <c r="CB13" s="138">
        <f>IF(ROW()-3&gt;MAX(CA$4:CA$40),"",INDEX(BZ$4:BZ$40,MATCH(ROW()-3,CA$4:CA$40,0)))</f>
        <v/>
      </c>
      <c r="CC13" s="55">
        <f>IF('Final Calculation Sheet'!$O$13="","",'Final Calculation Sheet'!$O$13)</f>
        <v/>
      </c>
      <c r="CD13">
        <f>IF(CC13="","",COUNTIFS(CC$4:CC$40,"&lt;"&amp;CC13,CC$4:CC$40,"&lt;&gt;"&amp;"")+COUNTIF(CC$4:CC13,CC13))</f>
        <v/>
      </c>
      <c r="CE13" s="55">
        <f>IF(ROW()-3&gt;COUNTIF(CC$4:CC$40,"&lt;&gt;"&amp;""),"",INDEX(CC$4:CC$40,MATCH(ROW()-3,CD$4:CD$40,0)))</f>
        <v/>
      </c>
      <c r="CF13">
        <f>CF12+IF(AND(CE13&lt;&gt;"",COUNTIF(CE$4:CE13,CE13)=1),1,0)</f>
        <v/>
      </c>
      <c r="CG13" s="55">
        <f>IF(ROW()-3&gt;MAX(CF$4:CF$40),"",INDEX(CE$4:CE$40,MATCH(ROW()-3,CF$4:CF$40,0)))</f>
        <v/>
      </c>
      <c r="CH13" s="55">
        <f>IF('Final Calculation Sheet'!$P$13="","",'Final Calculation Sheet'!$P$13)</f>
        <v/>
      </c>
      <c r="CI13">
        <f>IF(CH13="","",COUNTIFS(CH$4:CH$40,"&lt;"&amp;CH13,CH$4:CH$40,"&lt;&gt;"&amp;"")+COUNTIF(CH$4:CH13,CH13))</f>
        <v/>
      </c>
      <c r="CJ13" s="55">
        <f>IF(ROW()-3&gt;COUNTIF(CH$4:CH$40,"&lt;&gt;"&amp;""),"",INDEX(CH$4:CH$40,MATCH(ROW()-3,CI$4:CI$40,0)))</f>
        <v/>
      </c>
      <c r="CK13">
        <f>CK12+IF(AND(CJ13&lt;&gt;"",COUNTIF(CJ$4:CJ13,CJ13)=1),1,0)</f>
        <v/>
      </c>
      <c r="CL13" s="55">
        <f>IF(ROW()-3&gt;MAX(CK$4:CK$40),"",INDEX(CJ$4:CJ$40,MATCH(ROW()-3,CK$4:CK$40,0)))</f>
        <v/>
      </c>
      <c r="CM13" s="139">
        <f>IF('Final Calculation Sheet'!$Q$13="","",'Final Calculation Sheet'!$Q$13)</f>
        <v/>
      </c>
      <c r="CN13">
        <f>IF(CM13="","",COUNTIFS(CM$4:CM$40,"&lt;"&amp;CM13,CM$4:CM$40,"&lt;&gt;"&amp;"")+COUNTIF(CM$4:CM13,CM13))</f>
        <v/>
      </c>
      <c r="CO13" s="139">
        <f>IF(ROW()-3&gt;COUNTIF(CM$4:CM$40,"&lt;&gt;"&amp;""),"",INDEX(CM$4:CM$40,MATCH(ROW()-3,CN$4:CN$40,0)))</f>
        <v/>
      </c>
      <c r="CP13">
        <f>CP12+IF(AND(CO13&lt;&gt;"",COUNTIF(CO$4:CO13,CO13)=1),1,0)</f>
        <v/>
      </c>
      <c r="CQ13">
        <f>IF(ROW()-3&gt;MAX(CP$4:CP$40),"",INDEX(CO$4:CO$40,MATCH(ROW()-3,CP$4:CP$40,0)))</f>
        <v/>
      </c>
      <c r="CR13" s="55">
        <f>IF('Final Calculation Sheet'!$R$13="","",'Final Calculation Sheet'!$R$13)</f>
        <v/>
      </c>
      <c r="CS13">
        <f>IF(CR13="","",COUNTIFS(CR$4:CR$40,"&lt;"&amp;CR13,CR$4:CR$40,"&lt;&gt;"&amp;"")+COUNTIF(CR$4:CR13,CR13))</f>
        <v/>
      </c>
      <c r="CT13" s="55">
        <f>IF(ROW()-3&gt;COUNTIF(CR$4:CR$40,"&lt;&gt;"&amp;""),"",INDEX(CR$4:CR$40,MATCH(ROW()-3,CS$4:CS$40,0)))</f>
        <v/>
      </c>
      <c r="CU13">
        <f>CU12+IF(AND(CT13&lt;&gt;"",COUNTIF(CT$4:CT13,CT13)=1),1,0)</f>
        <v/>
      </c>
      <c r="CV13">
        <f>IF(ROW()-3&gt;MAX(CU$4:CU$40),"",INDEX(CT$4:CT$40,MATCH(ROW()-3,CU$4:CU$40,0)))</f>
        <v/>
      </c>
      <c r="CW13" s="55">
        <f>IF('Final Calculation Sheet'!$S$13="","",'Final Calculation Sheet'!$S$13)</f>
        <v/>
      </c>
      <c r="CX13">
        <f>IF(CW13="","",COUNTIFS(CW$4:CW$40,"&lt;"&amp;CW13,CW$4:CW$40,"&lt;&gt;"&amp;"")+COUNTIF(CW$4:CW13,CW13))</f>
        <v/>
      </c>
      <c r="CY13" s="55">
        <f>IF(ROW()-3&gt;COUNTIF(CW$4:CW$40,"&lt;&gt;"&amp;""),"",INDEX(CW$4:CW$40,MATCH(ROW()-3,CX$4:CX$40,0)))</f>
        <v/>
      </c>
      <c r="CZ13">
        <f>CZ12+IF(AND(CY13&lt;&gt;"",COUNTIF(CY$4:CY13,CY13)=1),1,0)</f>
        <v/>
      </c>
      <c r="DA13" s="55">
        <f>IF(ROW()-3&gt;MAX(CZ$4:CZ$40),"",INDEX(CY$4:CY$40,MATCH(ROW()-3,CZ$4:CZ$40,0)))</f>
        <v/>
      </c>
      <c r="DB13" s="55">
        <f>IF('Final Calculation Sheet'!$T$13="","",'Final Calculation Sheet'!$T$13)</f>
        <v/>
      </c>
      <c r="DC13">
        <f>IF(DB13="","",COUNTIFS(DB$4:DB$40,"&lt;"&amp;DB13,DB$4:DB$40,"&lt;&gt;"&amp;"")+COUNTIF(DB$4:DB13,DB13))</f>
        <v/>
      </c>
      <c r="DD13" s="55">
        <f>IF(ROW()-3&gt;COUNTIF(DB$4:DB$40,"&lt;&gt;"&amp;""),"",INDEX(DB$4:DB$40,MATCH(ROW()-3,DC$4:DC$40,0)))</f>
        <v/>
      </c>
      <c r="DE13">
        <f>DE12+IF(AND(DD13&lt;&gt;"",COUNTIF(DD$4:DD13,DD13)=1),1,0)</f>
        <v/>
      </c>
      <c r="DF13" s="55">
        <f>IF(ROW()-3&gt;MAX(DE$4:DE$40),"",INDEX(DD$4:DD$40,MATCH(ROW()-3,DE$4:DE$40,0)))</f>
        <v/>
      </c>
      <c r="DG13" s="140">
        <f>IF('Final Calculation Sheet'!$U$13="","",'Final Calculation Sheet'!$U$13)</f>
        <v/>
      </c>
      <c r="DH13">
        <f>IF(DG13="","",COUNTIFS(DG$4:DG$40,"&lt;"&amp;DG13,DG$4:DG$40,"&lt;&gt;"&amp;"")+COUNTIF(DG$4:DG13,DG13))</f>
        <v/>
      </c>
      <c r="DI13" s="140">
        <f>IF(ROW()-3&gt;COUNTIF(DG$4:DG$40,"&lt;&gt;"&amp;""),"",INDEX(DG$4:DG$40,MATCH(ROW()-3,DH$4:DH$40,0)))</f>
        <v/>
      </c>
      <c r="DJ13">
        <f>DJ12+IF(AND(DI13&lt;&gt;"",COUNTIF(DI$4:DI13,DI13)=1),1,0)</f>
        <v/>
      </c>
      <c r="DK13" s="140">
        <f>IF(ROW()-3&gt;MAX(DJ$4:DJ$40),"",INDEX(DI$4:DI$40,MATCH(ROW()-3,DJ$4:DJ$40,0)))</f>
        <v/>
      </c>
      <c r="DL13">
        <f>IF('Final Calculation Sheet'!$V$13="","",'Final Calculation Sheet'!$V$13)</f>
        <v/>
      </c>
      <c r="DM13">
        <f>IF(DL13="","",COUNTIFS(DL$4:DL$40,"&lt;"&amp;DL13,DL$4:DL$40,"&lt;&gt;"&amp;"")+COUNTIF(DL$4:DL13,DL13))</f>
        <v/>
      </c>
      <c r="DN13">
        <f>IF(ROW()-3&gt;COUNTIF(DL$4:DL$40,"&lt;&gt;"&amp;""),"",INDEX(DL$4:DL$40,MATCH(ROW()-3,DM$4:DM$40,0)))</f>
        <v/>
      </c>
      <c r="DO13">
        <f>DO12+IF(AND(DN13&lt;&gt;"",COUNTIF(DN$4:DN13,DN13)=1),1,0)</f>
        <v/>
      </c>
      <c r="DP13">
        <f>IF(ROW()-3&gt;MAX(DO$4:DO$40),"",INDEX(DN$4:DN$40,MATCH(ROW()-3,DO$4:DO$40,0)))</f>
        <v/>
      </c>
      <c r="DQ13" s="55">
        <f>IF('Final Calculation Sheet'!$W$13="","",'Final Calculation Sheet'!$W$13)</f>
        <v/>
      </c>
      <c r="DR13">
        <f>IF(DQ13="","",COUNTIFS(DQ$4:DQ$40,"&lt;"&amp;DQ13,DQ$4:DQ$40,"&lt;&gt;"&amp;"")+COUNTIF(DQ$4:DQ13,DQ13))</f>
        <v/>
      </c>
      <c r="DS13" s="55">
        <f>IF(ROW()-3&gt;COUNTIF(DQ$4:DQ$40,"&lt;&gt;"&amp;""),"",INDEX(DQ$4:DQ$40,MATCH(ROW()-3,DR$4:DR$40,0)))</f>
        <v/>
      </c>
      <c r="DT13">
        <f>DT12+IF(AND(DS13&lt;&gt;"",COUNTIF(DS$4:DS13,DS13)=1),1,0)</f>
        <v/>
      </c>
      <c r="DU13" s="55">
        <f>IF(ROW()-3&gt;MAX(DT$4:DT$40),"",INDEX(DS$4:DS$40,MATCH(ROW()-3,DT$4:DT$40,0)))</f>
        <v/>
      </c>
      <c r="DV13" s="55">
        <f>IF('Final Calculation Sheet'!$X$13="","",'Final Calculation Sheet'!$X$13)</f>
        <v/>
      </c>
      <c r="DW13">
        <f>IF(DV13="","",COUNTIFS(DV$4:DV$40,"&lt;"&amp;DV13,DV$4:DV$40,"&lt;&gt;"&amp;"")+COUNTIF(DV$4:DV13,DV13))</f>
        <v/>
      </c>
      <c r="DX13" s="55">
        <f>IF(ROW()-3&gt;COUNTIF(DV$4:DV$40,"&lt;&gt;"&amp;""),"",INDEX(DV$4:DV$40,MATCH(ROW()-3,DW$4:DW$40,0)))</f>
        <v/>
      </c>
      <c r="DY13">
        <f>DY12+IF(AND(DX13&lt;&gt;"",COUNTIF(DX$4:DX13,DX13)=1),1,0)</f>
        <v/>
      </c>
      <c r="DZ13">
        <f>IF(ROW()-3&gt;MAX(DY$4:DY$40),"",INDEX(DX$4:DX$40,MATCH(ROW()-3,DY$4:DY$40,0)))</f>
        <v/>
      </c>
      <c r="EA13">
        <f>IF('Final Calculation Sheet'!$Y$13="","",'Final Calculation Sheet'!$Y$13)</f>
        <v/>
      </c>
      <c r="EB13">
        <f>IF(EA13="","",COUNTIFS(EA$4:EA$40,"&lt;"&amp;EA13,EA$4:EA$40,"&lt;&gt;"&amp;"")+COUNTIF(EA$4:EA13,EA13))</f>
        <v/>
      </c>
      <c r="EC13">
        <f>IF(ROW()-3&gt;COUNTIF(EA$4:EA$40,"&lt;&gt;"&amp;""),"",INDEX(EA$4:EA$40,MATCH(ROW()-3,EB$4:EB$40,0)))</f>
        <v/>
      </c>
      <c r="ED13">
        <f>ED12+IF(AND(EC13&lt;&gt;"",COUNTIF(EC$4:EC13,EC13)=1),1,0)</f>
        <v/>
      </c>
      <c r="EE13">
        <f>IF(ROW()-3&gt;MAX(ED$4:ED$40),"",INDEX(EC$4:EC$40,MATCH(ROW()-3,ED$4:ED$40,0)))</f>
        <v/>
      </c>
      <c r="EF13" s="55">
        <f>IF('Final Calculation Sheet'!$Z$13="","",'Final Calculation Sheet'!$Z$13)</f>
        <v/>
      </c>
      <c r="EG13">
        <f>IF(EF13="","",COUNTIFS(EF$4:EF$40,"&lt;"&amp;EF13,EF$4:EF$40,"&lt;&gt;"&amp;"")+COUNTIF(EF$4:EF13,EF13))</f>
        <v/>
      </c>
      <c r="EH13" s="55">
        <f>IF(ROW()-3&gt;COUNTIF(EF$4:EF$40,"&lt;&gt;"&amp;""),"",INDEX(EF$4:EF$40,MATCH(ROW()-3,EG$4:EG$40,0)))</f>
        <v/>
      </c>
      <c r="EI13">
        <f>EI12+IF(AND(EH13&lt;&gt;"",COUNTIF(EH$4:EH13,EH13)=1),1,0)</f>
        <v/>
      </c>
      <c r="EJ13">
        <f>IF(ROW()-3&gt;MAX(EI$4:EI$40),"",INDEX(EH$4:EH$40,MATCH(ROW()-3,EI$4:EI$40,0)))</f>
        <v/>
      </c>
      <c r="EK13">
        <f>IF('Final Calculation Sheet'!$AA$13="","",'Final Calculation Sheet'!$AA$13)</f>
        <v/>
      </c>
      <c r="EL13">
        <f>IF(EK13="","",COUNTIFS(EK$4:EK$40,"&lt;"&amp;EK13,EK$4:EK$40,"&lt;&gt;"&amp;"")+COUNTIF(EK$4:EK13,EK13))</f>
        <v/>
      </c>
      <c r="EM13">
        <f>IF(ROW()-3&gt;COUNTIF(EK$4:EK$40,"&lt;&gt;"&amp;""),"",INDEX(EK$4:EK$40,MATCH(ROW()-3,EL$4:EL$40,0)))</f>
        <v/>
      </c>
      <c r="EN13">
        <f>EN12+IF(AND(EM13&lt;&gt;"",COUNTIF(EM$4:EM13,EM13)=1),1,0)</f>
        <v/>
      </c>
      <c r="EO13">
        <f>IF(ROW()-3&gt;MAX(EN$4:EN$40),"",INDEX(EM$4:EM$40,MATCH(ROW()-3,EN$4:EN$40,0)))</f>
        <v/>
      </c>
      <c r="EP13">
        <f>IF('Final Calculation Sheet'!$AB$13="","",'Final Calculation Sheet'!$AB$13)</f>
        <v/>
      </c>
      <c r="EQ13">
        <f>IF(EP13="","",COUNTIFS(EP$4:EP$40,"&lt;"&amp;EP13,EP$4:EP$40,"&lt;&gt;"&amp;"")+COUNTIF(EP$4:EP13,EP13))</f>
        <v/>
      </c>
      <c r="ER13">
        <f>IF(ROW()-3&gt;COUNTIF(EP$4:EP$40,"&lt;&gt;"&amp;""),"",INDEX(EP$4:EP$40,MATCH(ROW()-3,EQ$4:EQ$40,0)))</f>
        <v/>
      </c>
      <c r="ES13">
        <f>ES12+IF(AND(ER13&lt;&gt;"",COUNTIF(ER$4:ER13,ER13)=1),1,0)</f>
        <v/>
      </c>
      <c r="ET13">
        <f>IF(ROW()-3&gt;MAX(ES$4:ES$40),"",INDEX(ER$4:ER$40,MATCH(ROW()-3,ES$4:ES$40,0)))</f>
        <v/>
      </c>
      <c r="EU13" s="55">
        <f>IF('Final Calculation Sheet'!$AC$13="","",'Final Calculation Sheet'!$AC$13)</f>
        <v/>
      </c>
      <c r="EV13">
        <f>IF(EU13="","",COUNTIFS(EU$4:EU$40,"&lt;"&amp;EU13,EU$4:EU$40,"&lt;&gt;"&amp;"")+COUNTIF(EU$4:EU13,EU13))</f>
        <v/>
      </c>
      <c r="EW13" s="55">
        <f>IF(ROW()-3&gt;COUNTIF(EU$4:EU$40,"&lt;&gt;"&amp;""),"",INDEX(EU$4:EU$40,MATCH(ROW()-3,EV$4:EV$40,0)))</f>
        <v/>
      </c>
      <c r="EX13">
        <f>EX12+IF(AND(EW13&lt;&gt;"",COUNTIF(EW$4:EW13,EW13)=1),1,0)</f>
        <v/>
      </c>
      <c r="EY13" s="55">
        <f>IF(ROW()-3&gt;MAX(EX$4:EX$40),"",INDEX(EW$4:EW$40,MATCH(ROW()-3,EX$4:EX$40,0)))</f>
        <v/>
      </c>
      <c r="EZ13" s="55">
        <f>IF('Final Calculation Sheet'!$AD$13="","",'Final Calculation Sheet'!$AD$13)</f>
        <v/>
      </c>
      <c r="FA13">
        <f>IF(EZ13="","",COUNTIFS(EZ$4:EZ$40,"&lt;"&amp;EZ13,EZ$4:EZ$40,"&lt;&gt;"&amp;"")+COUNTIF(EZ$4:EZ13,EZ13))</f>
        <v/>
      </c>
      <c r="FB13" s="55">
        <f>IF(ROW()-3&gt;COUNTIF(EZ$4:EZ$40,"&lt;&gt;"&amp;""),"",INDEX(EZ$4:EZ$40,MATCH(ROW()-3,FA$4:FA$40,0)))</f>
        <v/>
      </c>
      <c r="FC13">
        <f>FC12+IF(AND(FB13&lt;&gt;"",COUNTIF(FB$4:FB13,FB13)=1),1,0)</f>
        <v/>
      </c>
      <c r="FD13" s="55">
        <f>IF(ROW()-3&gt;MAX(FC$4:FC$40),"",INDEX(FB$4:FB$40,MATCH(ROW()-3,FC$4:FC$40,0)))</f>
        <v/>
      </c>
      <c r="FE13">
        <f>IF('Final Calculation Sheet'!$AF$13="","",'Final Calculation Sheet'!$AF$13)</f>
        <v/>
      </c>
      <c r="FF13">
        <f>IF(FE13="","",COUNTIFS(FE$4:FE$40,"&lt;"&amp;FE13,FE$4:FE$40,"&lt;&gt;"&amp;"")+COUNTIF(FE$4:FE13,FE13))</f>
        <v/>
      </c>
      <c r="FG13">
        <f>IF(ROW()-3&gt;COUNTIF(FE$4:FE$40,"&lt;&gt;"&amp;""),"",INDEX(FE$4:FE$40,MATCH(ROW()-3,FF$4:FF$40,0)))</f>
        <v/>
      </c>
      <c r="FH13">
        <f>FH12+IF(AND(FG13&lt;&gt;"",COUNTIF(FG$4:FG13,FG13)=1),1,0)</f>
        <v/>
      </c>
      <c r="FI13">
        <f>IF(ROW()-3&gt;MAX(FH$4:FH$40),"",INDEX(FG$4:FG$40,MATCH(ROW()-3,FH$4:FH$40,0)))</f>
        <v/>
      </c>
      <c r="FJ13" s="141">
        <f>IF('Final Calculation Sheet'!$AG$13="","",'Final Calculation Sheet'!$AG$13)</f>
        <v/>
      </c>
      <c r="FK13">
        <f>IF(FJ13="","",COUNTIFS(FJ$4:FJ$40,"&lt;"&amp;FJ13,FJ$4:FJ$40,"&lt;&gt;"&amp;"")+COUNTIF(FJ$4:FJ13,FJ13))</f>
        <v/>
      </c>
      <c r="FL13" s="141">
        <f>IF(ROW()-3&gt;COUNTIF(FJ$4:FJ$40,"&lt;&gt;"&amp;""),"",INDEX(FJ$4:FJ$40,MATCH(ROW()-3,FK$4:FK$40,0)))</f>
        <v/>
      </c>
      <c r="FM13">
        <f>FM12+IF(AND(FL13&lt;&gt;"",COUNTIF(FL$4:FL13,FL13)=1),1,0)</f>
        <v/>
      </c>
      <c r="FN13">
        <f>IF(ROW()-3&gt;MAX(FM$4:FM$40),"",INDEX(FL$4:FL$40,MATCH(ROW()-3,FM$4:FM$40,0)))</f>
        <v/>
      </c>
      <c r="FO13">
        <f>IF('Final Calculation Sheet'!$AH$13="","",'Final Calculation Sheet'!$AH$13)</f>
        <v/>
      </c>
      <c r="FP13">
        <f>IF(FO13="","",COUNTIFS(FO$4:FO$40,"&lt;"&amp;FO13,FO$4:FO$40,"&lt;&gt;"&amp;"")+COUNTIF(FO$4:FO13,FO13))</f>
        <v/>
      </c>
      <c r="FQ13">
        <f>IF(ROW()-3&gt;COUNTIF(FO$4:FO$40,"&lt;&gt;"&amp;""),"",INDEX(FO$4:FO$40,MATCH(ROW()-3,FP$4:FP$40,0)))</f>
        <v/>
      </c>
      <c r="FR13">
        <f>FR12+IF(AND(FQ13&lt;&gt;"",COUNTIF(FQ$4:FQ13,FQ13)=1),1,0)</f>
        <v/>
      </c>
      <c r="FS13">
        <f>IF(ROW()-3&gt;MAX(FR$4:FR$40),"",INDEX(FQ$4:FQ$40,MATCH(ROW()-3,FR$4:FR$40,0)))</f>
        <v/>
      </c>
      <c r="FU13">
        <f>IF(FT13="","",COUNTIFS(FT$4:FT$40,"&lt;"&amp;FT13,FT$4:FT$40,"&lt;&gt;"&amp;"")+COUNTIF(FT$4:FT13,FT13))</f>
        <v/>
      </c>
      <c r="FV13">
        <f>IF(ROW()-3&gt;COUNTIF(FT$4:FT$40,"&lt;&gt;"&amp;""),"",INDEX(FT$4:FT$40,MATCH(ROW()-3,FU$4:FU$40,0)))</f>
        <v/>
      </c>
      <c r="FW13">
        <f>FW12+IF(AND(FV13&lt;&gt;"",COUNTIF(FV$4:FV13,FV13)=1),1,0)</f>
        <v/>
      </c>
      <c r="FX13">
        <f>IF(ROW()-3&gt;MAX(FW$4:FW$40),"",INDEX(FV$4:FV$40,MATCH(ROW()-3,FW$4:FW$40,0)))</f>
        <v/>
      </c>
      <c r="FY13">
        <f>IF(COUNTIF('Live Search'!BM$12:BO$12,0)+COUNTIF('Live Search'!BQ$12:CU$12,0)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3">
        <f>IF($Y$13="",FALSE,SUMPRODUCT(('Final Calculation Sheet'!$B$4:$B$40=$Y$13)*($FY$6:$FY$42=1))&gt;0)</f>
        <v/>
      </c>
      <c r="GA13">
        <f>$GA$12+--($FZ$13)</f>
        <v/>
      </c>
      <c r="GB13">
        <f>IF(ROW()-3&gt;MAX($GA$4:$GA$40),"",INDEX($Y$4:$Y$40,MATCH(ROW()-3,$GA$4:$GA$40,0)))</f>
        <v/>
      </c>
      <c r="GC13">
        <f>IF('Final Calculation Sheet'!$F$13="","",IF(TRIM('Final Calculation Sheet'!$G$2)="",'Final Calculation Sheet'!$F$13,IF(TRIM('Final Calculation Sheet'!$G$2)="(nonblank)",IF('Final Calculation Sheet'!$G$13&lt;&gt;"",'Final Calculation Sheet'!$F$13,""),IF(TRIM('Final Calculation Sheet'!$G$2)="(blank)",IF('Final Calculation Sheet'!$G$13="",'Final Calculation Sheet'!$F$13,""),IF(ISNUMBER(SEARCH(TRIM('Final Calculation Sheet'!$G$2),'Final Calculation Sheet'!$G$13)),'Final Calculation Sheet'!$F$13,"")))))</f>
        <v/>
      </c>
      <c r="GD13">
        <f>IF(GC13="","",COUNTIFS(GC$4:GC$40,"&lt;"&amp;GC13,GC$4:GC$40,"&lt;&gt;"&amp;"")+COUNTIF(GC$4:GC13,GC13))</f>
        <v/>
      </c>
      <c r="GE13">
        <f>IF(ROW()-3&gt;COUNTIF(GC$4:GC$40,"&lt;&gt;"&amp;""),"",INDEX(GC$4:GC$40,MATCH(ROW()-3,GD$4:GD$40,0)))</f>
        <v/>
      </c>
      <c r="GF13">
        <f>GF12+IF(AND(GE13&lt;&gt;"",COUNTIF(GE$4:GE13,GE13)=1),1,0)</f>
        <v/>
      </c>
      <c r="GG13">
        <f>IF(ROW()-3&gt;MAX(GF$4:GF$40),"",INDEX(GE$4:GE$40,MATCH(ROW()-3,GF$4:GF$40,0)))</f>
        <v/>
      </c>
      <c r="GH13">
        <f>IF('Final Calculation Sheet'!$F$13="","",IF('Live Search'!$BO$14=1,'Final Calculation Sheet'!$F$13,""))</f>
        <v/>
      </c>
      <c r="GI13">
        <f>IF(GH13="","",COUNTIFS(GH$4:GH$40,"&lt;"&amp;GH13,GH$4:GH$40,"&lt;&gt;"&amp;"")+COUNTIF(GH$4:GH13,GH13))</f>
        <v/>
      </c>
      <c r="GJ13">
        <f>IF(ROW()-3&gt;COUNTIF(GH$4:GH$40,"&lt;&gt;"&amp;""),"",INDEX(GH$4:GH$40,MATCH(ROW()-3,GI$4:GI$40,0)))</f>
        <v/>
      </c>
      <c r="GK13">
        <f>GK12+IF(AND(GJ13&lt;&gt;"",COUNTIF(GJ$4:GJ13,GJ13)=1),1,0)</f>
        <v/>
      </c>
      <c r="GL13">
        <f>IF(ROW()-3&gt;MAX(GK$4:GK$40),"",INDEX(GJ$4:GJ$40,MATCH(ROW()-3,GK$4:GK$40,0)))</f>
        <v/>
      </c>
      <c r="GM13">
        <f>IF('Final Calculation Sheet'!$F$13="","",IF(TRIM('Buyer Groups'!$C$4)="",'Final Calculation Sheet'!$F$13,IF(TRIM('Buyer Groups'!$C$4)="(nonblank)",IF('Final Calculation Sheet'!$G$13&lt;&gt;"",'Final Calculation Sheet'!$F$13,""),IF(TRIM('Buyer Groups'!$C$4)="(blank)",IF('Final Calculation Sheet'!$G$13="",'Final Calculation Sheet'!$F$13,""),IF(ISNUMBER(SEARCH(TRIM('Buyer Groups'!$C$4),'Final Calculation Sheet'!$G$13)),'Final Calculation Sheet'!$F$13,"")))))</f>
        <v/>
      </c>
      <c r="GN13">
        <f>IF(GM13="","",COUNTIFS(GM$4:GM$40,"&lt;"&amp;GM13,GM$4:GM$40,"&lt;&gt;"&amp;"")+COUNTIF(GM$4:GM13,GM13))</f>
        <v/>
      </c>
      <c r="GO13">
        <f>IF(ROW()-3&gt;COUNTIF(GM$4:GM$40,"&lt;&gt;"&amp;""),"",INDEX(GM$4:GM$40,MATCH(ROW()-3,GN$4:GN$40,0)))</f>
        <v/>
      </c>
      <c r="GP13">
        <f>GP12+IF(AND(GO13&lt;&gt;"",COUNTIF(GO$4:GO13,GO13)=1),1,0)</f>
        <v/>
      </c>
      <c r="GQ13">
        <f>IF(ROW()-3&gt;MAX(GP$4:GP$40),"",INDEX(GO$4:GO$40,MATCH(ROW()-3,GP$4:GP$40,0)))</f>
        <v/>
      </c>
      <c r="GR13">
        <f>IF('Final Calculation Sheet'!$B$13="","",IF(TRIM('Final Calculation Sheet'!$G$2)="",'Final Calculation Sheet'!$B$13,IF(TRIM('Final Calculation Sheet'!$G$2)="(nonblank)",IF('Final Calculation Sheet'!$G$13&lt;&gt;"",'Final Calculation Sheet'!$B$13,""),IF(TRIM('Final Calculation Sheet'!$G$2)="(blank)",IF('Final Calculation Sheet'!$G$13="",'Final Calculation Sheet'!$B$13,""),IF(ISNUMBER(SEARCH(TRIM('Final Calculation Sheet'!$G$2),'Final Calculation Sheet'!$G$13)),'Final Calculation Sheet'!$B$13,"")))))</f>
        <v/>
      </c>
      <c r="GS13">
        <f>IF(GR13="","",COUNTIFS(GR$4:GR$40,"&lt;"&amp;GR13,GR$4:GR$40,"&lt;&gt;"&amp;"")+COUNTIF(GR$4:GR13,GR13))</f>
        <v/>
      </c>
      <c r="GT13">
        <f>IF(ROW()-3&gt;COUNTIF(GR$4:GR$40,"&lt;&gt;"&amp;""),"",INDEX(GR$4:GR$40,MATCH(ROW()-3,GS$4:GS$40,0)))</f>
        <v/>
      </c>
      <c r="GU13">
        <f>GU12+IF(AND(GT13&lt;&gt;"",COUNTIF(GT$4:GT13,GT13)=1),1,0)</f>
        <v/>
      </c>
      <c r="GV13">
        <f>IF(ROW()-3&gt;MAX(GU$4:GU$40),"",INDEX(GT$4:GT$40,MATCH(ROW()-3,GU$4:GU$40,0)))</f>
        <v/>
      </c>
      <c r="GW13">
        <f>IF('Final Calculation Sheet'!$B$13="","",IF(TRIM('Buyer Groups'!$C$4)="",'Final Calculation Sheet'!$B$13,IF(TRIM('Buyer Groups'!$C$4)="(nonblank)",IF('Final Calculation Sheet'!$G$13&lt;&gt;"",'Final Calculation Sheet'!$B$13,""),IF(TRIM('Buyer Groups'!$C$4)="(blank)",IF('Final Calculation Sheet'!$G$13="",'Final Calculation Sheet'!$B$13,""),IF(ISNUMBER(SEARCH(TRIM('Buyer Groups'!$C$4),'Final Calculation Sheet'!$G$13)),'Final Calculation Sheet'!$B$13,"")))))</f>
        <v/>
      </c>
      <c r="GX13">
        <f>IF(GW13="","",COUNTIFS(GW$4:GW$40,"&lt;"&amp;GW13,GW$4:GW$40,"&lt;&gt;"&amp;"")+COUNTIF(GW$4:GW13,GW13))</f>
        <v/>
      </c>
      <c r="GY13">
        <f>IF(ROW()-3&gt;COUNTIF(GW$4:GW$40,"&lt;&gt;"&amp;""),"",INDEX(GW$4:GW$40,MATCH(ROW()-3,GX$4:GX$40,0)))</f>
        <v/>
      </c>
      <c r="GZ13">
        <f>GZ12+IF(AND(GY13&lt;&gt;"",COUNTIF(GY$4:GY13,GY13)=1),1,0)</f>
        <v/>
      </c>
      <c r="HA13">
        <f>IF(ROW()-3&gt;MAX(GZ$4:GZ$40),"",INDEX(GY$4:GY$40,MATCH(ROW()-3,GZ$4:GZ$40,0)))</f>
        <v/>
      </c>
    </row>
    <row r="14">
      <c r="A14">
        <f>IF('Final Calculation Sheet'!$F$14="","",'Final Calculation Sheet'!$F$14)</f>
        <v/>
      </c>
      <c r="B14">
        <f>IF(A14="","",COUNTIFS(A$4:A$114,"&lt;"&amp;A14,A$4:A$114,"&lt;&gt;"&amp;"")+COUNTIF(A$4:A14,A14))</f>
        <v/>
      </c>
      <c r="C14">
        <f>IF(ROW()-3&gt;COUNTIF(A$4:A$114,"&lt;&gt;"&amp;""),"",INDEX(A$4:A$114,MATCH(ROW()-3,B$4:B$114,0)))</f>
        <v/>
      </c>
      <c r="D14">
        <f>D13+IF(AND(C14&lt;&gt;"",COUNTIF(C$4:C14,C14)=1),1,0)</f>
        <v/>
      </c>
      <c r="E14">
        <f>IF(ROW()-3&gt;MAX(D$4:D$114),"",INDEX(C$4:C$114,MATCH(ROW()-3,D$4:D$114,0)))</f>
        <v/>
      </c>
      <c r="F14">
        <f>ROW()-3</f>
        <v/>
      </c>
      <c r="G14">
        <f>IF(F14="","",COUNTIFS(F$4:F$40,"&lt;"&amp;F14,F$4:F$40,"&lt;&gt;"&amp;"")+COUNTIF(F$4:F14,F14))</f>
        <v/>
      </c>
      <c r="H14">
        <f>IF(ROW()-3&gt;COUNTIF(F$4:F$40,"&lt;&gt;"&amp;""),"",INDEX(F$4:F$40,MATCH(ROW()-3,G$4:G$40,0)))</f>
        <v/>
      </c>
      <c r="I14">
        <f>I13+IF(AND(H14&lt;&gt;"",COUNTIF(H$4:H14,H14)=1),1,0)</f>
        <v/>
      </c>
      <c r="J14">
        <f>IF(ROW()-3&gt;MAX(I$4:I$40),"",INDEX(H$4:H$40,MATCH(ROW()-3,I$4:I$40,0)))</f>
        <v/>
      </c>
      <c r="K14">
        <f>IF('Final Calculation Sheet'!$F$14="","",'Final Calculation Sheet'!$F$14)</f>
        <v/>
      </c>
      <c r="L14">
        <f>IF(K14="","",COUNTIFS(K$4:K$40,"&lt;"&amp;K14,K$4:K$40,"&lt;&gt;"&amp;"")+COUNTIF(K$4:K14,K14))</f>
        <v/>
      </c>
      <c r="M14">
        <f>IF(ROW()-3&gt;COUNTIF(K$4:K$40,"&lt;&gt;"&amp;""),"",INDEX(K$4:K$40,MATCH(ROW()-3,L$4:L$40,0)))</f>
        <v/>
      </c>
      <c r="N14">
        <f>N13+IF(AND(M14&lt;&gt;"",COUNTIF(M$4:M14,M14)=1),1,0)</f>
        <v/>
      </c>
      <c r="O14">
        <f>IF(ROW()-3&gt;MAX(N$4:N$40),"",INDEX(M$4:M$40,MATCH(ROW()-3,N$4:N$40,0)))</f>
        <v/>
      </c>
      <c r="P14">
        <f>IF('Final Calculation Sheet'!$G$14="","",'Final Calculation Sheet'!$G$14)</f>
        <v/>
      </c>
      <c r="Q14">
        <f>IF(P14="","",COUNTIFS(P$4:P$40,"&lt;"&amp;P14,P$4:P$40,"&lt;&gt;"&amp;"")+COUNTIF(P$4:P14,P14))</f>
        <v/>
      </c>
      <c r="R14">
        <f>IF(ROW()-3&gt;COUNTIF(P$4:P$40,"&lt;&gt;"&amp;""),"",INDEX(P$4:P$40,MATCH(ROW()-3,Q$4:Q$40,0)))</f>
        <v/>
      </c>
      <c r="S14">
        <f>S13+IF(AND(R14&lt;&gt;"",COUNTIF(R$4:R14,R14)=1),1,0)</f>
        <v/>
      </c>
      <c r="T14">
        <f>IF(ROW()-3&gt;MAX(S$4:S$40),"",INDEX(R$4:R$40,MATCH(ROW()-3,S$4:S$40,0)))</f>
        <v/>
      </c>
      <c r="U14">
        <f>IF('Final Calculation Sheet'!$B$14="","",'Final Calculation Sheet'!$B$14)</f>
        <v/>
      </c>
      <c r="V14">
        <f>IF(U14="","",COUNTIFS(U$4:U$40,"&lt;"&amp;U14,U$4:U$40,"&lt;&gt;"&amp;"")+COUNTIF(U$4:U14,U14))</f>
        <v/>
      </c>
      <c r="W14">
        <f>IF(ROW()-3&gt;COUNTIF(U$4:U$40,"&lt;&gt;"&amp;""),"",INDEX(U$4:U$40,MATCH(ROW()-3,V$4:V$40,0)))</f>
        <v/>
      </c>
      <c r="X14">
        <f>X13+IF(AND(W14&lt;&gt;"",COUNTIF(W$4:W14,W14)=1),1,0)</f>
        <v/>
      </c>
      <c r="Y14">
        <f>IF(ROW()-3&gt;MAX(X$4:X$40),"",INDEX(W$4:W$40,MATCH(ROW()-3,X$4:X$40,0)))</f>
        <v/>
      </c>
      <c r="Z14">
        <f>IF('Final Calculation Sheet'!$D$14="","",'Final Calculation Sheet'!$D$14)</f>
        <v/>
      </c>
      <c r="AA14">
        <f>IF(Z14="","",COUNTIFS(Z$4:Z$40,"&lt;"&amp;Z14,Z$4:Z$40,"&lt;&gt;"&amp;"")+COUNTIF(Z$4:Z14,Z14))</f>
        <v/>
      </c>
      <c r="AB14">
        <f>IF(ROW()-3&gt;COUNTIF(Z$4:Z$40,"&lt;&gt;"&amp;""),"",INDEX(Z$4:Z$40,MATCH(ROW()-3,AA$4:AA$40,0)))</f>
        <v/>
      </c>
      <c r="AC14">
        <f>AC13+IF(AND(AB14&lt;&gt;"",COUNTIF(AB$4:AB14,AB14)=1),1,0)</f>
        <v/>
      </c>
      <c r="AD14">
        <f>IF(ROW()-3&gt;MAX(AC$4:AC$40),"",INDEX(AB$4:AB$40,MATCH(ROW()-3,AC$4:AC$40,0)))</f>
        <v/>
      </c>
      <c r="AE14">
        <f>IF('Final Calculation Sheet'!$A$14="","",'Final Calculation Sheet'!$A$14)</f>
        <v/>
      </c>
      <c r="AF14">
        <f>IF(AE14="","",COUNTIFS(AE$4:AE$40,"&lt;"&amp;AE14,AE$4:AE$40,"&lt;&gt;"&amp;"")+COUNTIF(AE$4:AE14,AE14))</f>
        <v/>
      </c>
      <c r="AG14">
        <f>IF(ROW()-3&gt;COUNTIF(AE$4:AE$40,"&lt;&gt;"&amp;""),"",INDEX(AE$4:AE$40,MATCH(ROW()-3,AF$4:AF$40,0)))</f>
        <v/>
      </c>
      <c r="AH14">
        <f>AH13+IF(AND(AG14&lt;&gt;"",COUNTIF(AG$4:AG14,AG14)=1),1,0)</f>
        <v/>
      </c>
      <c r="AI14">
        <f>IF(ROW()-3&gt;MAX(AH$4:AH$40),"",INDEX(AG$4:AG$40,MATCH(ROW()-3,AH$4:AH$40,0)))</f>
        <v/>
      </c>
      <c r="AJ14">
        <f>IF('Final Calculation Sheet'!$E$14="","",'Final Calculation Sheet'!$E$14)</f>
        <v/>
      </c>
      <c r="AK14">
        <f>IF(AJ14="","",COUNTIFS(AJ$4:AJ$40,"&lt;"&amp;AJ14,AJ$4:AJ$40,"&lt;&gt;"&amp;"")+COUNTIF(AJ$4:AJ14,AJ14))</f>
        <v/>
      </c>
      <c r="AL14">
        <f>IF(ROW()-3&gt;COUNTIF(AJ$4:AJ$40,"&lt;&gt;"&amp;""),"",INDEX(AJ$4:AJ$40,MATCH(ROW()-3,AK$4:AK$40,0)))</f>
        <v/>
      </c>
      <c r="AM14">
        <f>AM13+IF(AND(AL14&lt;&gt;"",COUNTIF(AL$4:AL14,AL14)=1),1,0)</f>
        <v/>
      </c>
      <c r="AN14">
        <f>IF(ROW()-3&gt;MAX(AM$4:AM$40),"",INDEX(AL$4:AL$40,MATCH(ROW()-3,AM$4:AM$40,0)))</f>
        <v/>
      </c>
      <c r="AO14" s="55">
        <f>IF('Final Calculation Sheet'!$C$14="","",'Final Calculation Sheet'!$C$14)</f>
        <v/>
      </c>
      <c r="AP14">
        <f>IF(AO14="","",COUNTIFS(AO$4:AO$40,"&lt;"&amp;AO14,AO$4:AO$40,"&lt;&gt;"&amp;"")+COUNTIF(AO$4:AO14,AO14))</f>
        <v/>
      </c>
      <c r="AQ14" s="55">
        <f>IF(ROW()-3&gt;COUNTIF(AO$4:AO$40,"&lt;&gt;"&amp;""),"",INDEX(AO$4:AO$40,MATCH(ROW()-3,AP$4:AP$40,0)))</f>
        <v/>
      </c>
      <c r="AR14">
        <f>AR13+IF(AND(AQ14&lt;&gt;"",COUNTIF(AQ$4:AQ14,AQ14)=1),1,0)</f>
        <v/>
      </c>
      <c r="AS14" s="55">
        <f>IF(ROW()-3&gt;MAX(AR$4:AR$40),"",INDEX(AQ$4:AQ$40,MATCH(ROW()-3,AR$4:AR$40,0)))</f>
        <v/>
      </c>
      <c r="AT14" s="55">
        <f>IF('Final Calculation Sheet'!$H$14="","",'Final Calculation Sheet'!$H$14)</f>
        <v/>
      </c>
      <c r="AU14">
        <f>IF(AT14="","",COUNTIFS(AT$4:AT$40,"&lt;"&amp;AT14,AT$4:AT$40,"&lt;&gt;"&amp;"")+COUNTIF(AT$4:AT14,AT14))</f>
        <v/>
      </c>
      <c r="AV14" s="55">
        <f>IF(ROW()-3&gt;COUNTIF(AT$4:AT$40,"&lt;&gt;"&amp;""),"",INDEX(AT$4:AT$40,MATCH(ROW()-3,AU$4:AU$40,0)))</f>
        <v/>
      </c>
      <c r="AW14">
        <f>AW13+IF(AND(AV14&lt;&gt;"",COUNTIF(AV$4:AV14,AV14)=1),1,0)</f>
        <v/>
      </c>
      <c r="AX14" s="55">
        <f>IF(ROW()-3&gt;MAX(AW$4:AW$40),"",INDEX(AV$4:AV$40,MATCH(ROW()-3,AW$4:AW$40,0)))</f>
        <v/>
      </c>
      <c r="AY14" s="55">
        <f>IF('Final Calculation Sheet'!$I$14="","",'Final Calculation Sheet'!$I$14)</f>
        <v/>
      </c>
      <c r="AZ14">
        <f>IF(AY14="","",COUNTIFS(AY$4:AY$40,"&lt;"&amp;AY14,AY$4:AY$40,"&lt;&gt;"&amp;"")+COUNTIF(AY$4:AY14,AY14))</f>
        <v/>
      </c>
      <c r="BA14" s="55">
        <f>IF(ROW()-3&gt;COUNTIF(AY$4:AY$40,"&lt;&gt;"&amp;""),"",INDEX(AY$4:AY$40,MATCH(ROW()-3,AZ$4:AZ$40,0)))</f>
        <v/>
      </c>
      <c r="BB14">
        <f>BB13+IF(AND(BA14&lt;&gt;"",COUNTIF(BA$4:BA14,BA14)=1),1,0)</f>
        <v/>
      </c>
      <c r="BC14" s="55">
        <f>IF(ROW()-3&gt;MAX(BB$4:BB$40),"",INDEX(BA$4:BA$40,MATCH(ROW()-3,BB$4:BB$40,0)))</f>
        <v/>
      </c>
      <c r="BD14" s="55">
        <f>IF('Final Calculation Sheet'!$J$14="","",'Final Calculation Sheet'!$J$14)</f>
        <v/>
      </c>
      <c r="BE14">
        <f>IF(BD14="","",COUNTIFS(BD$4:BD$40,"&lt;"&amp;BD14,BD$4:BD$40,"&lt;&gt;"&amp;"")+COUNTIF(BD$4:BD14,BD14))</f>
        <v/>
      </c>
      <c r="BF14" s="55">
        <f>IF(ROW()-3&gt;COUNTIF(BD$4:BD$40,"&lt;&gt;"&amp;""),"",INDEX(BD$4:BD$40,MATCH(ROW()-3,BE$4:BE$40,0)))</f>
        <v/>
      </c>
      <c r="BG14">
        <f>BG13+IF(AND(BF14&lt;&gt;"",COUNTIF(BF$4:BF14,BF14)=1),1,0)</f>
        <v/>
      </c>
      <c r="BH14" s="55">
        <f>IF(ROW()-3&gt;MAX(BG$4:BG$40),"",INDEX(BF$4:BF$40,MATCH(ROW()-3,BG$4:BG$40,0)))</f>
        <v/>
      </c>
      <c r="BI14" s="55">
        <f>IF('Final Calculation Sheet'!$K$14="","",'Final Calculation Sheet'!$K$14)</f>
        <v/>
      </c>
      <c r="BJ14">
        <f>IF(BI14="","",COUNTIFS(BI$4:BI$40,"&lt;"&amp;BI14,BI$4:BI$40,"&lt;&gt;"&amp;"")+COUNTIF(BI$4:BI14,BI14))</f>
        <v/>
      </c>
      <c r="BK14" s="55">
        <f>IF(ROW()-3&gt;COUNTIF(BI$4:BI$40,"&lt;&gt;"&amp;""),"",INDEX(BI$4:BI$40,MATCH(ROW()-3,BJ$4:BJ$40,0)))</f>
        <v/>
      </c>
      <c r="BL14">
        <f>BL13+IF(AND(BK14&lt;&gt;"",COUNTIF(BK$4:BK14,BK14)=1),1,0)</f>
        <v/>
      </c>
      <c r="BM14" s="55">
        <f>IF(ROW()-3&gt;MAX(BL$4:BL$40),"",INDEX(BK$4:BK$40,MATCH(ROW()-3,BL$4:BL$40,0)))</f>
        <v/>
      </c>
      <c r="BN14" s="55">
        <f>IF('Final Calculation Sheet'!$L$14="","",'Final Calculation Sheet'!$L$14)</f>
        <v/>
      </c>
      <c r="BO14">
        <f>IF(BN14="","",COUNTIFS(BN$4:BN$40,"&lt;"&amp;BN14,BN$4:BN$40,"&lt;&gt;"&amp;"")+COUNTIF(BN$4:BN14,BN14))</f>
        <v/>
      </c>
      <c r="BP14" s="55">
        <f>IF(ROW()-3&gt;COUNTIF(BN$4:BN$40,"&lt;&gt;"&amp;""),"",INDEX(BN$4:BN$40,MATCH(ROW()-3,BO$4:BO$40,0)))</f>
        <v/>
      </c>
      <c r="BQ14">
        <f>BQ13+IF(AND(BP14&lt;&gt;"",COUNTIF(BP$4:BP14,BP14)=1),1,0)</f>
        <v/>
      </c>
      <c r="BR14" s="55">
        <f>IF(ROW()-3&gt;MAX(BQ$4:BQ$40),"",INDEX(BP$4:BP$40,MATCH(ROW()-3,BQ$4:BQ$40,0)))</f>
        <v/>
      </c>
      <c r="BS14" s="55">
        <f>IF('Final Calculation Sheet'!$M$14="","",'Final Calculation Sheet'!$M$14)</f>
        <v/>
      </c>
      <c r="BT14">
        <f>IF(BS14="","",COUNTIFS(BS$4:BS$40,"&lt;"&amp;BS14,BS$4:BS$40,"&lt;&gt;"&amp;"")+COUNTIF(BS$4:BS14,BS14))</f>
        <v/>
      </c>
      <c r="BU14" s="55">
        <f>IF(ROW()-3&gt;COUNTIF(BS$4:BS$40,"&lt;&gt;"&amp;""),"",INDEX(BS$4:BS$40,MATCH(ROW()-3,BT$4:BT$40,0)))</f>
        <v/>
      </c>
      <c r="BV14">
        <f>BV13+IF(AND(BU14&lt;&gt;"",COUNTIF(BU$4:BU14,BU14)=1),1,0)</f>
        <v/>
      </c>
      <c r="BW14" s="55">
        <f>IF(ROW()-3&gt;MAX(BV$4:BV$40),"",INDEX(BU$4:BU$40,MATCH(ROW()-3,BV$4:BV$40,0)))</f>
        <v/>
      </c>
      <c r="BX14" s="138">
        <f>IF('Final Calculation Sheet'!$N$14="","",'Final Calculation Sheet'!$N$14)</f>
        <v/>
      </c>
      <c r="BY14">
        <f>IF(BX14="","",COUNTIFS(BX$4:BX$40,"&lt;"&amp;BX14,BX$4:BX$40,"&lt;&gt;"&amp;"")+COUNTIF(BX$4:BX14,BX14))</f>
        <v/>
      </c>
      <c r="BZ14" s="138">
        <f>IF(ROW()-3&gt;COUNTIF(BX$4:BX$40,"&lt;&gt;"&amp;""),"",INDEX(BX$4:BX$40,MATCH(ROW()-3,BY$4:BY$40,0)))</f>
        <v/>
      </c>
      <c r="CA14">
        <f>CA13+IF(AND(BZ14&lt;&gt;"",COUNTIF(BZ$4:BZ14,BZ14)=1),1,0)</f>
        <v/>
      </c>
      <c r="CB14" s="138">
        <f>IF(ROW()-3&gt;MAX(CA$4:CA$40),"",INDEX(BZ$4:BZ$40,MATCH(ROW()-3,CA$4:CA$40,0)))</f>
        <v/>
      </c>
      <c r="CC14" s="55">
        <f>IF('Final Calculation Sheet'!$O$14="","",'Final Calculation Sheet'!$O$14)</f>
        <v/>
      </c>
      <c r="CD14">
        <f>IF(CC14="","",COUNTIFS(CC$4:CC$40,"&lt;"&amp;CC14,CC$4:CC$40,"&lt;&gt;"&amp;"")+COUNTIF(CC$4:CC14,CC14))</f>
        <v/>
      </c>
      <c r="CE14" s="55">
        <f>IF(ROW()-3&gt;COUNTIF(CC$4:CC$40,"&lt;&gt;"&amp;""),"",INDEX(CC$4:CC$40,MATCH(ROW()-3,CD$4:CD$40,0)))</f>
        <v/>
      </c>
      <c r="CF14">
        <f>CF13+IF(AND(CE14&lt;&gt;"",COUNTIF(CE$4:CE14,CE14)=1),1,0)</f>
        <v/>
      </c>
      <c r="CG14" s="55">
        <f>IF(ROW()-3&gt;MAX(CF$4:CF$40),"",INDEX(CE$4:CE$40,MATCH(ROW()-3,CF$4:CF$40,0)))</f>
        <v/>
      </c>
      <c r="CH14" s="55">
        <f>IF('Final Calculation Sheet'!$P$14="","",'Final Calculation Sheet'!$P$14)</f>
        <v/>
      </c>
      <c r="CI14">
        <f>IF(CH14="","",COUNTIFS(CH$4:CH$40,"&lt;"&amp;CH14,CH$4:CH$40,"&lt;&gt;"&amp;"")+COUNTIF(CH$4:CH14,CH14))</f>
        <v/>
      </c>
      <c r="CJ14" s="55">
        <f>IF(ROW()-3&gt;COUNTIF(CH$4:CH$40,"&lt;&gt;"&amp;""),"",INDEX(CH$4:CH$40,MATCH(ROW()-3,CI$4:CI$40,0)))</f>
        <v/>
      </c>
      <c r="CK14">
        <f>CK13+IF(AND(CJ14&lt;&gt;"",COUNTIF(CJ$4:CJ14,CJ14)=1),1,0)</f>
        <v/>
      </c>
      <c r="CL14" s="55">
        <f>IF(ROW()-3&gt;MAX(CK$4:CK$40),"",INDEX(CJ$4:CJ$40,MATCH(ROW()-3,CK$4:CK$40,0)))</f>
        <v/>
      </c>
      <c r="CM14" s="139">
        <f>IF('Final Calculation Sheet'!$Q$14="","",'Final Calculation Sheet'!$Q$14)</f>
        <v/>
      </c>
      <c r="CN14">
        <f>IF(CM14="","",COUNTIFS(CM$4:CM$40,"&lt;"&amp;CM14,CM$4:CM$40,"&lt;&gt;"&amp;"")+COUNTIF(CM$4:CM14,CM14))</f>
        <v/>
      </c>
      <c r="CO14" s="139">
        <f>IF(ROW()-3&gt;COUNTIF(CM$4:CM$40,"&lt;&gt;"&amp;""),"",INDEX(CM$4:CM$40,MATCH(ROW()-3,CN$4:CN$40,0)))</f>
        <v/>
      </c>
      <c r="CP14">
        <f>CP13+IF(AND(CO14&lt;&gt;"",COUNTIF(CO$4:CO14,CO14)=1),1,0)</f>
        <v/>
      </c>
      <c r="CQ14">
        <f>IF(ROW()-3&gt;MAX(CP$4:CP$40),"",INDEX(CO$4:CO$40,MATCH(ROW()-3,CP$4:CP$40,0)))</f>
        <v/>
      </c>
      <c r="CR14" s="55">
        <f>IF('Final Calculation Sheet'!$R$14="","",'Final Calculation Sheet'!$R$14)</f>
        <v/>
      </c>
      <c r="CS14">
        <f>IF(CR14="","",COUNTIFS(CR$4:CR$40,"&lt;"&amp;CR14,CR$4:CR$40,"&lt;&gt;"&amp;"")+COUNTIF(CR$4:CR14,CR14))</f>
        <v/>
      </c>
      <c r="CT14" s="55">
        <f>IF(ROW()-3&gt;COUNTIF(CR$4:CR$40,"&lt;&gt;"&amp;""),"",INDEX(CR$4:CR$40,MATCH(ROW()-3,CS$4:CS$40,0)))</f>
        <v/>
      </c>
      <c r="CU14">
        <f>CU13+IF(AND(CT14&lt;&gt;"",COUNTIF(CT$4:CT14,CT14)=1),1,0)</f>
        <v/>
      </c>
      <c r="CV14">
        <f>IF(ROW()-3&gt;MAX(CU$4:CU$40),"",INDEX(CT$4:CT$40,MATCH(ROW()-3,CU$4:CU$40,0)))</f>
        <v/>
      </c>
      <c r="CW14" s="55">
        <f>IF('Final Calculation Sheet'!$S$14="","",'Final Calculation Sheet'!$S$14)</f>
        <v/>
      </c>
      <c r="CX14">
        <f>IF(CW14="","",COUNTIFS(CW$4:CW$40,"&lt;"&amp;CW14,CW$4:CW$40,"&lt;&gt;"&amp;"")+COUNTIF(CW$4:CW14,CW14))</f>
        <v/>
      </c>
      <c r="CY14" s="55">
        <f>IF(ROW()-3&gt;COUNTIF(CW$4:CW$40,"&lt;&gt;"&amp;""),"",INDEX(CW$4:CW$40,MATCH(ROW()-3,CX$4:CX$40,0)))</f>
        <v/>
      </c>
      <c r="CZ14">
        <f>CZ13+IF(AND(CY14&lt;&gt;"",COUNTIF(CY$4:CY14,CY14)=1),1,0)</f>
        <v/>
      </c>
      <c r="DA14" s="55">
        <f>IF(ROW()-3&gt;MAX(CZ$4:CZ$40),"",INDEX(CY$4:CY$40,MATCH(ROW()-3,CZ$4:CZ$40,0)))</f>
        <v/>
      </c>
      <c r="DB14" s="55">
        <f>IF('Final Calculation Sheet'!$T$14="","",'Final Calculation Sheet'!$T$14)</f>
        <v/>
      </c>
      <c r="DC14">
        <f>IF(DB14="","",COUNTIFS(DB$4:DB$40,"&lt;"&amp;DB14,DB$4:DB$40,"&lt;&gt;"&amp;"")+COUNTIF(DB$4:DB14,DB14))</f>
        <v/>
      </c>
      <c r="DD14" s="55">
        <f>IF(ROW()-3&gt;COUNTIF(DB$4:DB$40,"&lt;&gt;"&amp;""),"",INDEX(DB$4:DB$40,MATCH(ROW()-3,DC$4:DC$40,0)))</f>
        <v/>
      </c>
      <c r="DE14">
        <f>DE13+IF(AND(DD14&lt;&gt;"",COUNTIF(DD$4:DD14,DD14)=1),1,0)</f>
        <v/>
      </c>
      <c r="DF14" s="55">
        <f>IF(ROW()-3&gt;MAX(DE$4:DE$40),"",INDEX(DD$4:DD$40,MATCH(ROW()-3,DE$4:DE$40,0)))</f>
        <v/>
      </c>
      <c r="DG14" s="140">
        <f>IF('Final Calculation Sheet'!$U$14="","",'Final Calculation Sheet'!$U$14)</f>
        <v/>
      </c>
      <c r="DH14">
        <f>IF(DG14="","",COUNTIFS(DG$4:DG$40,"&lt;"&amp;DG14,DG$4:DG$40,"&lt;&gt;"&amp;"")+COUNTIF(DG$4:DG14,DG14))</f>
        <v/>
      </c>
      <c r="DI14" s="140">
        <f>IF(ROW()-3&gt;COUNTIF(DG$4:DG$40,"&lt;&gt;"&amp;""),"",INDEX(DG$4:DG$40,MATCH(ROW()-3,DH$4:DH$40,0)))</f>
        <v/>
      </c>
      <c r="DJ14">
        <f>DJ13+IF(AND(DI14&lt;&gt;"",COUNTIF(DI$4:DI14,DI14)=1),1,0)</f>
        <v/>
      </c>
      <c r="DK14" s="140">
        <f>IF(ROW()-3&gt;MAX(DJ$4:DJ$40),"",INDEX(DI$4:DI$40,MATCH(ROW()-3,DJ$4:DJ$40,0)))</f>
        <v/>
      </c>
      <c r="DL14">
        <f>IF('Final Calculation Sheet'!$V$14="","",'Final Calculation Sheet'!$V$14)</f>
        <v/>
      </c>
      <c r="DM14">
        <f>IF(DL14="","",COUNTIFS(DL$4:DL$40,"&lt;"&amp;DL14,DL$4:DL$40,"&lt;&gt;"&amp;"")+COUNTIF(DL$4:DL14,DL14))</f>
        <v/>
      </c>
      <c r="DN14">
        <f>IF(ROW()-3&gt;COUNTIF(DL$4:DL$40,"&lt;&gt;"&amp;""),"",INDEX(DL$4:DL$40,MATCH(ROW()-3,DM$4:DM$40,0)))</f>
        <v/>
      </c>
      <c r="DO14">
        <f>DO13+IF(AND(DN14&lt;&gt;"",COUNTIF(DN$4:DN14,DN14)=1),1,0)</f>
        <v/>
      </c>
      <c r="DP14">
        <f>IF(ROW()-3&gt;MAX(DO$4:DO$40),"",INDEX(DN$4:DN$40,MATCH(ROW()-3,DO$4:DO$40,0)))</f>
        <v/>
      </c>
      <c r="DQ14" s="55">
        <f>IF('Final Calculation Sheet'!$W$14="","",'Final Calculation Sheet'!$W$14)</f>
        <v/>
      </c>
      <c r="DR14">
        <f>IF(DQ14="","",COUNTIFS(DQ$4:DQ$40,"&lt;"&amp;DQ14,DQ$4:DQ$40,"&lt;&gt;"&amp;"")+COUNTIF(DQ$4:DQ14,DQ14))</f>
        <v/>
      </c>
      <c r="DS14" s="55">
        <f>IF(ROW()-3&gt;COUNTIF(DQ$4:DQ$40,"&lt;&gt;"&amp;""),"",INDEX(DQ$4:DQ$40,MATCH(ROW()-3,DR$4:DR$40,0)))</f>
        <v/>
      </c>
      <c r="DT14">
        <f>DT13+IF(AND(DS14&lt;&gt;"",COUNTIF(DS$4:DS14,DS14)=1),1,0)</f>
        <v/>
      </c>
      <c r="DU14" s="55">
        <f>IF(ROW()-3&gt;MAX(DT$4:DT$40),"",INDEX(DS$4:DS$40,MATCH(ROW()-3,DT$4:DT$40,0)))</f>
        <v/>
      </c>
      <c r="DV14" s="55">
        <f>IF('Final Calculation Sheet'!$X$14="","",'Final Calculation Sheet'!$X$14)</f>
        <v/>
      </c>
      <c r="DW14">
        <f>IF(DV14="","",COUNTIFS(DV$4:DV$40,"&lt;"&amp;DV14,DV$4:DV$40,"&lt;&gt;"&amp;"")+COUNTIF(DV$4:DV14,DV14))</f>
        <v/>
      </c>
      <c r="DX14" s="55">
        <f>IF(ROW()-3&gt;COUNTIF(DV$4:DV$40,"&lt;&gt;"&amp;""),"",INDEX(DV$4:DV$40,MATCH(ROW()-3,DW$4:DW$40,0)))</f>
        <v/>
      </c>
      <c r="DY14">
        <f>DY13+IF(AND(DX14&lt;&gt;"",COUNTIF(DX$4:DX14,DX14)=1),1,0)</f>
        <v/>
      </c>
      <c r="DZ14">
        <f>IF(ROW()-3&gt;MAX(DY$4:DY$40),"",INDEX(DX$4:DX$40,MATCH(ROW()-3,DY$4:DY$40,0)))</f>
        <v/>
      </c>
      <c r="EA14">
        <f>IF('Final Calculation Sheet'!$Y$14="","",'Final Calculation Sheet'!$Y$14)</f>
        <v/>
      </c>
      <c r="EB14">
        <f>IF(EA14="","",COUNTIFS(EA$4:EA$40,"&lt;"&amp;EA14,EA$4:EA$40,"&lt;&gt;"&amp;"")+COUNTIF(EA$4:EA14,EA14))</f>
        <v/>
      </c>
      <c r="EC14">
        <f>IF(ROW()-3&gt;COUNTIF(EA$4:EA$40,"&lt;&gt;"&amp;""),"",INDEX(EA$4:EA$40,MATCH(ROW()-3,EB$4:EB$40,0)))</f>
        <v/>
      </c>
      <c r="ED14">
        <f>ED13+IF(AND(EC14&lt;&gt;"",COUNTIF(EC$4:EC14,EC14)=1),1,0)</f>
        <v/>
      </c>
      <c r="EE14">
        <f>IF(ROW()-3&gt;MAX(ED$4:ED$40),"",INDEX(EC$4:EC$40,MATCH(ROW()-3,ED$4:ED$40,0)))</f>
        <v/>
      </c>
      <c r="EF14" s="55">
        <f>IF('Final Calculation Sheet'!$Z$14="","",'Final Calculation Sheet'!$Z$14)</f>
        <v/>
      </c>
      <c r="EG14">
        <f>IF(EF14="","",COUNTIFS(EF$4:EF$40,"&lt;"&amp;EF14,EF$4:EF$40,"&lt;&gt;"&amp;"")+COUNTIF(EF$4:EF14,EF14))</f>
        <v/>
      </c>
      <c r="EH14" s="55">
        <f>IF(ROW()-3&gt;COUNTIF(EF$4:EF$40,"&lt;&gt;"&amp;""),"",INDEX(EF$4:EF$40,MATCH(ROW()-3,EG$4:EG$40,0)))</f>
        <v/>
      </c>
      <c r="EI14">
        <f>EI13+IF(AND(EH14&lt;&gt;"",COUNTIF(EH$4:EH14,EH14)=1),1,0)</f>
        <v/>
      </c>
      <c r="EJ14">
        <f>IF(ROW()-3&gt;MAX(EI$4:EI$40),"",INDEX(EH$4:EH$40,MATCH(ROW()-3,EI$4:EI$40,0)))</f>
        <v/>
      </c>
      <c r="EK14">
        <f>IF('Final Calculation Sheet'!$AA$14="","",'Final Calculation Sheet'!$AA$14)</f>
        <v/>
      </c>
      <c r="EL14">
        <f>IF(EK14="","",COUNTIFS(EK$4:EK$40,"&lt;"&amp;EK14,EK$4:EK$40,"&lt;&gt;"&amp;"")+COUNTIF(EK$4:EK14,EK14))</f>
        <v/>
      </c>
      <c r="EM14">
        <f>IF(ROW()-3&gt;COUNTIF(EK$4:EK$40,"&lt;&gt;"&amp;""),"",INDEX(EK$4:EK$40,MATCH(ROW()-3,EL$4:EL$40,0)))</f>
        <v/>
      </c>
      <c r="EN14">
        <f>EN13+IF(AND(EM14&lt;&gt;"",COUNTIF(EM$4:EM14,EM14)=1),1,0)</f>
        <v/>
      </c>
      <c r="EO14">
        <f>IF(ROW()-3&gt;MAX(EN$4:EN$40),"",INDEX(EM$4:EM$40,MATCH(ROW()-3,EN$4:EN$40,0)))</f>
        <v/>
      </c>
      <c r="EP14">
        <f>IF('Final Calculation Sheet'!$AB$14="","",'Final Calculation Sheet'!$AB$14)</f>
        <v/>
      </c>
      <c r="EQ14">
        <f>IF(EP14="","",COUNTIFS(EP$4:EP$40,"&lt;"&amp;EP14,EP$4:EP$40,"&lt;&gt;"&amp;"")+COUNTIF(EP$4:EP14,EP14))</f>
        <v/>
      </c>
      <c r="ER14">
        <f>IF(ROW()-3&gt;COUNTIF(EP$4:EP$40,"&lt;&gt;"&amp;""),"",INDEX(EP$4:EP$40,MATCH(ROW()-3,EQ$4:EQ$40,0)))</f>
        <v/>
      </c>
      <c r="ES14">
        <f>ES13+IF(AND(ER14&lt;&gt;"",COUNTIF(ER$4:ER14,ER14)=1),1,0)</f>
        <v/>
      </c>
      <c r="ET14">
        <f>IF(ROW()-3&gt;MAX(ES$4:ES$40),"",INDEX(ER$4:ER$40,MATCH(ROW()-3,ES$4:ES$40,0)))</f>
        <v/>
      </c>
      <c r="EU14" s="55">
        <f>IF('Final Calculation Sheet'!$AC$14="","",'Final Calculation Sheet'!$AC$14)</f>
        <v/>
      </c>
      <c r="EV14">
        <f>IF(EU14="","",COUNTIFS(EU$4:EU$40,"&lt;"&amp;EU14,EU$4:EU$40,"&lt;&gt;"&amp;"")+COUNTIF(EU$4:EU14,EU14))</f>
        <v/>
      </c>
      <c r="EW14" s="55">
        <f>IF(ROW()-3&gt;COUNTIF(EU$4:EU$40,"&lt;&gt;"&amp;""),"",INDEX(EU$4:EU$40,MATCH(ROW()-3,EV$4:EV$40,0)))</f>
        <v/>
      </c>
      <c r="EX14">
        <f>EX13+IF(AND(EW14&lt;&gt;"",COUNTIF(EW$4:EW14,EW14)=1),1,0)</f>
        <v/>
      </c>
      <c r="EY14" s="55">
        <f>IF(ROW()-3&gt;MAX(EX$4:EX$40),"",INDEX(EW$4:EW$40,MATCH(ROW()-3,EX$4:EX$40,0)))</f>
        <v/>
      </c>
      <c r="EZ14" s="55">
        <f>IF('Final Calculation Sheet'!$AD$14="","",'Final Calculation Sheet'!$AD$14)</f>
        <v/>
      </c>
      <c r="FA14">
        <f>IF(EZ14="","",COUNTIFS(EZ$4:EZ$40,"&lt;"&amp;EZ14,EZ$4:EZ$40,"&lt;&gt;"&amp;"")+COUNTIF(EZ$4:EZ14,EZ14))</f>
        <v/>
      </c>
      <c r="FB14" s="55">
        <f>IF(ROW()-3&gt;COUNTIF(EZ$4:EZ$40,"&lt;&gt;"&amp;""),"",INDEX(EZ$4:EZ$40,MATCH(ROW()-3,FA$4:FA$40,0)))</f>
        <v/>
      </c>
      <c r="FC14">
        <f>FC13+IF(AND(FB14&lt;&gt;"",COUNTIF(FB$4:FB14,FB14)=1),1,0)</f>
        <v/>
      </c>
      <c r="FD14" s="55">
        <f>IF(ROW()-3&gt;MAX(FC$4:FC$40),"",INDEX(FB$4:FB$40,MATCH(ROW()-3,FC$4:FC$40,0)))</f>
        <v/>
      </c>
      <c r="FE14">
        <f>IF('Final Calculation Sheet'!$AF$14="","",'Final Calculation Sheet'!$AF$14)</f>
        <v/>
      </c>
      <c r="FF14">
        <f>IF(FE14="","",COUNTIFS(FE$4:FE$40,"&lt;"&amp;FE14,FE$4:FE$40,"&lt;&gt;"&amp;"")+COUNTIF(FE$4:FE14,FE14))</f>
        <v/>
      </c>
      <c r="FG14">
        <f>IF(ROW()-3&gt;COUNTIF(FE$4:FE$40,"&lt;&gt;"&amp;""),"",INDEX(FE$4:FE$40,MATCH(ROW()-3,FF$4:FF$40,0)))</f>
        <v/>
      </c>
      <c r="FH14">
        <f>FH13+IF(AND(FG14&lt;&gt;"",COUNTIF(FG$4:FG14,FG14)=1),1,0)</f>
        <v/>
      </c>
      <c r="FI14">
        <f>IF(ROW()-3&gt;MAX(FH$4:FH$40),"",INDEX(FG$4:FG$40,MATCH(ROW()-3,FH$4:FH$40,0)))</f>
        <v/>
      </c>
      <c r="FJ14" s="141">
        <f>IF('Final Calculation Sheet'!$AG$14="","",'Final Calculation Sheet'!$AG$14)</f>
        <v/>
      </c>
      <c r="FK14">
        <f>IF(FJ14="","",COUNTIFS(FJ$4:FJ$40,"&lt;"&amp;FJ14,FJ$4:FJ$40,"&lt;&gt;"&amp;"")+COUNTIF(FJ$4:FJ14,FJ14))</f>
        <v/>
      </c>
      <c r="FL14" s="141">
        <f>IF(ROW()-3&gt;COUNTIF(FJ$4:FJ$40,"&lt;&gt;"&amp;""),"",INDEX(FJ$4:FJ$40,MATCH(ROW()-3,FK$4:FK$40,0)))</f>
        <v/>
      </c>
      <c r="FM14">
        <f>FM13+IF(AND(FL14&lt;&gt;"",COUNTIF(FL$4:FL14,FL14)=1),1,0)</f>
        <v/>
      </c>
      <c r="FN14">
        <f>IF(ROW()-3&gt;MAX(FM$4:FM$40),"",INDEX(FL$4:FL$40,MATCH(ROW()-3,FM$4:FM$40,0)))</f>
        <v/>
      </c>
      <c r="FO14">
        <f>IF('Final Calculation Sheet'!$AH$14="","",'Final Calculation Sheet'!$AH$14)</f>
        <v/>
      </c>
      <c r="FP14">
        <f>IF(FO14="","",COUNTIFS(FO$4:FO$40,"&lt;"&amp;FO14,FO$4:FO$40,"&lt;&gt;"&amp;"")+COUNTIF(FO$4:FO14,FO14))</f>
        <v/>
      </c>
      <c r="FQ14">
        <f>IF(ROW()-3&gt;COUNTIF(FO$4:FO$40,"&lt;&gt;"&amp;""),"",INDEX(FO$4:FO$40,MATCH(ROW()-3,FP$4:FP$40,0)))</f>
        <v/>
      </c>
      <c r="FR14">
        <f>FR13+IF(AND(FQ14&lt;&gt;"",COUNTIF(FQ$4:FQ14,FQ14)=1),1,0)</f>
        <v/>
      </c>
      <c r="FS14">
        <f>IF(ROW()-3&gt;MAX(FR$4:FR$40),"",INDEX(FQ$4:FQ$40,MATCH(ROW()-3,FR$4:FR$40,0)))</f>
        <v/>
      </c>
      <c r="FU14">
        <f>IF(FT14="","",COUNTIFS(FT$4:FT$40,"&lt;"&amp;FT14,FT$4:FT$40,"&lt;&gt;"&amp;"")+COUNTIF(FT$4:FT14,FT14))</f>
        <v/>
      </c>
      <c r="FV14">
        <f>IF(ROW()-3&gt;COUNTIF(FT$4:FT$40,"&lt;&gt;"&amp;""),"",INDEX(FT$4:FT$40,MATCH(ROW()-3,FU$4:FU$40,0)))</f>
        <v/>
      </c>
      <c r="FW14">
        <f>FW13+IF(AND(FV14&lt;&gt;"",COUNTIF(FV$4:FV14,FV14)=1),1,0)</f>
        <v/>
      </c>
      <c r="FX14">
        <f>IF(ROW()-3&gt;MAX(FW$4:FW$40),"",INDEX(FV$4:FV$40,MATCH(ROW()-3,FW$4:FW$40,0)))</f>
        <v/>
      </c>
      <c r="FY14">
        <f>IF(COUNTIF('Live Search'!BM$13:BO$13,0)+COUNTIF('Live Search'!BQ$13:CU$13,0)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4">
        <f>IF($Y$14="",FALSE,SUMPRODUCT(('Final Calculation Sheet'!$B$4:$B$40=$Y$14)*($FY$6:$FY$42=1))&gt;0)</f>
        <v/>
      </c>
      <c r="GA14">
        <f>$GA$13+--($FZ$14)</f>
        <v/>
      </c>
      <c r="GB14">
        <f>IF(ROW()-3&gt;MAX($GA$4:$GA$40),"",INDEX($Y$4:$Y$40,MATCH(ROW()-3,$GA$4:$GA$40,0)))</f>
        <v/>
      </c>
      <c r="GC14">
        <f>IF('Final Calculation Sheet'!$F$14="","",IF(TRIM('Final Calculation Sheet'!$G$2)="",'Final Calculation Sheet'!$F$14,IF(TRIM('Final Calculation Sheet'!$G$2)="(nonblank)",IF('Final Calculation Sheet'!$G$14&lt;&gt;"",'Final Calculation Sheet'!$F$14,""),IF(TRIM('Final Calculation Sheet'!$G$2)="(blank)",IF('Final Calculation Sheet'!$G$14="",'Final Calculation Sheet'!$F$14,""),IF(ISNUMBER(SEARCH(TRIM('Final Calculation Sheet'!$G$2),'Final Calculation Sheet'!$G$14)),'Final Calculation Sheet'!$F$14,"")))))</f>
        <v/>
      </c>
      <c r="GD14">
        <f>IF(GC14="","",COUNTIFS(GC$4:GC$40,"&lt;"&amp;GC14,GC$4:GC$40,"&lt;&gt;"&amp;"")+COUNTIF(GC$4:GC14,GC14))</f>
        <v/>
      </c>
      <c r="GE14">
        <f>IF(ROW()-3&gt;COUNTIF(GC$4:GC$40,"&lt;&gt;"&amp;""),"",INDEX(GC$4:GC$40,MATCH(ROW()-3,GD$4:GD$40,0)))</f>
        <v/>
      </c>
      <c r="GF14">
        <f>GF13+IF(AND(GE14&lt;&gt;"",COUNTIF(GE$4:GE14,GE14)=1),1,0)</f>
        <v/>
      </c>
      <c r="GG14">
        <f>IF(ROW()-3&gt;MAX(GF$4:GF$40),"",INDEX(GE$4:GE$40,MATCH(ROW()-3,GF$4:GF$40,0)))</f>
        <v/>
      </c>
      <c r="GH14">
        <f>IF('Final Calculation Sheet'!$F$14="","",IF('Live Search'!$BO$15=1,'Final Calculation Sheet'!$F$14,""))</f>
        <v/>
      </c>
      <c r="GI14">
        <f>IF(GH14="","",COUNTIFS(GH$4:GH$40,"&lt;"&amp;GH14,GH$4:GH$40,"&lt;&gt;"&amp;"")+COUNTIF(GH$4:GH14,GH14))</f>
        <v/>
      </c>
      <c r="GJ14">
        <f>IF(ROW()-3&gt;COUNTIF(GH$4:GH$40,"&lt;&gt;"&amp;""),"",INDEX(GH$4:GH$40,MATCH(ROW()-3,GI$4:GI$40,0)))</f>
        <v/>
      </c>
      <c r="GK14">
        <f>GK13+IF(AND(GJ14&lt;&gt;"",COUNTIF(GJ$4:GJ14,GJ14)=1),1,0)</f>
        <v/>
      </c>
      <c r="GL14">
        <f>IF(ROW()-3&gt;MAX(GK$4:GK$40),"",INDEX(GJ$4:GJ$40,MATCH(ROW()-3,GK$4:GK$40,0)))</f>
        <v/>
      </c>
      <c r="GM14">
        <f>IF('Final Calculation Sheet'!$F$14="","",IF(TRIM('Buyer Groups'!$C$4)="",'Final Calculation Sheet'!$F$14,IF(TRIM('Buyer Groups'!$C$4)="(nonblank)",IF('Final Calculation Sheet'!$G$14&lt;&gt;"",'Final Calculation Sheet'!$F$14,""),IF(TRIM('Buyer Groups'!$C$4)="(blank)",IF('Final Calculation Sheet'!$G$14="",'Final Calculation Sheet'!$F$14,""),IF(ISNUMBER(SEARCH(TRIM('Buyer Groups'!$C$4),'Final Calculation Sheet'!$G$14)),'Final Calculation Sheet'!$F$14,"")))))</f>
        <v/>
      </c>
      <c r="GN14">
        <f>IF(GM14="","",COUNTIFS(GM$4:GM$40,"&lt;"&amp;GM14,GM$4:GM$40,"&lt;&gt;"&amp;"")+COUNTIF(GM$4:GM14,GM14))</f>
        <v/>
      </c>
      <c r="GO14">
        <f>IF(ROW()-3&gt;COUNTIF(GM$4:GM$40,"&lt;&gt;"&amp;""),"",INDEX(GM$4:GM$40,MATCH(ROW()-3,GN$4:GN$40,0)))</f>
        <v/>
      </c>
      <c r="GP14">
        <f>GP13+IF(AND(GO14&lt;&gt;"",COUNTIF(GO$4:GO14,GO14)=1),1,0)</f>
        <v/>
      </c>
      <c r="GQ14">
        <f>IF(ROW()-3&gt;MAX(GP$4:GP$40),"",INDEX(GO$4:GO$40,MATCH(ROW()-3,GP$4:GP$40,0)))</f>
        <v/>
      </c>
      <c r="GR14">
        <f>IF('Final Calculation Sheet'!$B$14="","",IF(TRIM('Final Calculation Sheet'!$G$2)="",'Final Calculation Sheet'!$B$14,IF(TRIM('Final Calculation Sheet'!$G$2)="(nonblank)",IF('Final Calculation Sheet'!$G$14&lt;&gt;"",'Final Calculation Sheet'!$B$14,""),IF(TRIM('Final Calculation Sheet'!$G$2)="(blank)",IF('Final Calculation Sheet'!$G$14="",'Final Calculation Sheet'!$B$14,""),IF(ISNUMBER(SEARCH(TRIM('Final Calculation Sheet'!$G$2),'Final Calculation Sheet'!$G$14)),'Final Calculation Sheet'!$B$14,"")))))</f>
        <v/>
      </c>
      <c r="GS14">
        <f>IF(GR14="","",COUNTIFS(GR$4:GR$40,"&lt;"&amp;GR14,GR$4:GR$40,"&lt;&gt;"&amp;"")+COUNTIF(GR$4:GR14,GR14))</f>
        <v/>
      </c>
      <c r="GT14">
        <f>IF(ROW()-3&gt;COUNTIF(GR$4:GR$40,"&lt;&gt;"&amp;""),"",INDEX(GR$4:GR$40,MATCH(ROW()-3,GS$4:GS$40,0)))</f>
        <v/>
      </c>
      <c r="GU14">
        <f>GU13+IF(AND(GT14&lt;&gt;"",COUNTIF(GT$4:GT14,GT14)=1),1,0)</f>
        <v/>
      </c>
      <c r="GV14">
        <f>IF(ROW()-3&gt;MAX(GU$4:GU$40),"",INDEX(GT$4:GT$40,MATCH(ROW()-3,GU$4:GU$40,0)))</f>
        <v/>
      </c>
      <c r="GW14">
        <f>IF('Final Calculation Sheet'!$B$14="","",IF(TRIM('Buyer Groups'!$C$4)="",'Final Calculation Sheet'!$B$14,IF(TRIM('Buyer Groups'!$C$4)="(nonblank)",IF('Final Calculation Sheet'!$G$14&lt;&gt;"",'Final Calculation Sheet'!$B$14,""),IF(TRIM('Buyer Groups'!$C$4)="(blank)",IF('Final Calculation Sheet'!$G$14="",'Final Calculation Sheet'!$B$14,""),IF(ISNUMBER(SEARCH(TRIM('Buyer Groups'!$C$4),'Final Calculation Sheet'!$G$14)),'Final Calculation Sheet'!$B$14,"")))))</f>
        <v/>
      </c>
      <c r="GX14">
        <f>IF(GW14="","",COUNTIFS(GW$4:GW$40,"&lt;"&amp;GW14,GW$4:GW$40,"&lt;&gt;"&amp;"")+COUNTIF(GW$4:GW14,GW14))</f>
        <v/>
      </c>
      <c r="GY14">
        <f>IF(ROW()-3&gt;COUNTIF(GW$4:GW$40,"&lt;&gt;"&amp;""),"",INDEX(GW$4:GW$40,MATCH(ROW()-3,GX$4:GX$40,0)))</f>
        <v/>
      </c>
      <c r="GZ14">
        <f>GZ13+IF(AND(GY14&lt;&gt;"",COUNTIF(GY$4:GY14,GY14)=1),1,0)</f>
        <v/>
      </c>
      <c r="HA14">
        <f>IF(ROW()-3&gt;MAX(GZ$4:GZ$40),"",INDEX(GY$4:GY$40,MATCH(ROW()-3,GZ$4:GZ$40,0)))</f>
        <v/>
      </c>
    </row>
    <row r="15">
      <c r="A15">
        <f>IF('Final Calculation Sheet'!$F$15="","",'Final Calculation Sheet'!$F$15)</f>
        <v/>
      </c>
      <c r="B15">
        <f>IF(A15="","",COUNTIFS(A$4:A$114,"&lt;"&amp;A15,A$4:A$114,"&lt;&gt;"&amp;"")+COUNTIF(A$4:A15,A15))</f>
        <v/>
      </c>
      <c r="C15">
        <f>IF(ROW()-3&gt;COUNTIF(A$4:A$114,"&lt;&gt;"&amp;""),"",INDEX(A$4:A$114,MATCH(ROW()-3,B$4:B$114,0)))</f>
        <v/>
      </c>
      <c r="D15">
        <f>D14+IF(AND(C15&lt;&gt;"",COUNTIF(C$4:C15,C15)=1),1,0)</f>
        <v/>
      </c>
      <c r="E15">
        <f>IF(ROW()-3&gt;MAX(D$4:D$114),"",INDEX(C$4:C$114,MATCH(ROW()-3,D$4:D$114,0)))</f>
        <v/>
      </c>
      <c r="F15">
        <f>ROW()-3</f>
        <v/>
      </c>
      <c r="G15">
        <f>IF(F15="","",COUNTIFS(F$4:F$40,"&lt;"&amp;F15,F$4:F$40,"&lt;&gt;"&amp;"")+COUNTIF(F$4:F15,F15))</f>
        <v/>
      </c>
      <c r="H15">
        <f>IF(ROW()-3&gt;COUNTIF(F$4:F$40,"&lt;&gt;"&amp;""),"",INDEX(F$4:F$40,MATCH(ROW()-3,G$4:G$40,0)))</f>
        <v/>
      </c>
      <c r="I15">
        <f>I14+IF(AND(H15&lt;&gt;"",COUNTIF(H$4:H15,H15)=1),1,0)</f>
        <v/>
      </c>
      <c r="J15">
        <f>IF(ROW()-3&gt;MAX(I$4:I$40),"",INDEX(H$4:H$40,MATCH(ROW()-3,I$4:I$40,0)))</f>
        <v/>
      </c>
      <c r="K15">
        <f>IF('Final Calculation Sheet'!$F$15="","",'Final Calculation Sheet'!$F$15)</f>
        <v/>
      </c>
      <c r="L15">
        <f>IF(K15="","",COUNTIFS(K$4:K$40,"&lt;"&amp;K15,K$4:K$40,"&lt;&gt;"&amp;"")+COUNTIF(K$4:K15,K15))</f>
        <v/>
      </c>
      <c r="M15">
        <f>IF(ROW()-3&gt;COUNTIF(K$4:K$40,"&lt;&gt;"&amp;""),"",INDEX(K$4:K$40,MATCH(ROW()-3,L$4:L$40,0)))</f>
        <v/>
      </c>
      <c r="N15">
        <f>N14+IF(AND(M15&lt;&gt;"",COUNTIF(M$4:M15,M15)=1),1,0)</f>
        <v/>
      </c>
      <c r="O15">
        <f>IF(ROW()-3&gt;MAX(N$4:N$40),"",INDEX(M$4:M$40,MATCH(ROW()-3,N$4:N$40,0)))</f>
        <v/>
      </c>
      <c r="P15">
        <f>IF('Final Calculation Sheet'!$G$15="","",'Final Calculation Sheet'!$G$15)</f>
        <v/>
      </c>
      <c r="Q15">
        <f>IF(P15="","",COUNTIFS(P$4:P$40,"&lt;"&amp;P15,P$4:P$40,"&lt;&gt;"&amp;"")+COUNTIF(P$4:P15,P15))</f>
        <v/>
      </c>
      <c r="R15">
        <f>IF(ROW()-3&gt;COUNTIF(P$4:P$40,"&lt;&gt;"&amp;""),"",INDEX(P$4:P$40,MATCH(ROW()-3,Q$4:Q$40,0)))</f>
        <v/>
      </c>
      <c r="S15">
        <f>S14+IF(AND(R15&lt;&gt;"",COUNTIF(R$4:R15,R15)=1),1,0)</f>
        <v/>
      </c>
      <c r="T15">
        <f>IF(ROW()-3&gt;MAX(S$4:S$40),"",INDEX(R$4:R$40,MATCH(ROW()-3,S$4:S$40,0)))</f>
        <v/>
      </c>
      <c r="U15">
        <f>IF('Final Calculation Sheet'!$B$15="","",'Final Calculation Sheet'!$B$15)</f>
        <v/>
      </c>
      <c r="V15">
        <f>IF(U15="","",COUNTIFS(U$4:U$40,"&lt;"&amp;U15,U$4:U$40,"&lt;&gt;"&amp;"")+COUNTIF(U$4:U15,U15))</f>
        <v/>
      </c>
      <c r="W15">
        <f>IF(ROW()-3&gt;COUNTIF(U$4:U$40,"&lt;&gt;"&amp;""),"",INDEX(U$4:U$40,MATCH(ROW()-3,V$4:V$40,0)))</f>
        <v/>
      </c>
      <c r="X15">
        <f>X14+IF(AND(W15&lt;&gt;"",COUNTIF(W$4:W15,W15)=1),1,0)</f>
        <v/>
      </c>
      <c r="Y15">
        <f>IF(ROW()-3&gt;MAX(X$4:X$40),"",INDEX(W$4:W$40,MATCH(ROW()-3,X$4:X$40,0)))</f>
        <v/>
      </c>
      <c r="Z15">
        <f>IF('Final Calculation Sheet'!$D$15="","",'Final Calculation Sheet'!$D$15)</f>
        <v/>
      </c>
      <c r="AA15">
        <f>IF(Z15="","",COUNTIFS(Z$4:Z$40,"&lt;"&amp;Z15,Z$4:Z$40,"&lt;&gt;"&amp;"")+COUNTIF(Z$4:Z15,Z15))</f>
        <v/>
      </c>
      <c r="AB15">
        <f>IF(ROW()-3&gt;COUNTIF(Z$4:Z$40,"&lt;&gt;"&amp;""),"",INDEX(Z$4:Z$40,MATCH(ROW()-3,AA$4:AA$40,0)))</f>
        <v/>
      </c>
      <c r="AC15">
        <f>AC14+IF(AND(AB15&lt;&gt;"",COUNTIF(AB$4:AB15,AB15)=1),1,0)</f>
        <v/>
      </c>
      <c r="AD15">
        <f>IF(ROW()-3&gt;MAX(AC$4:AC$40),"",INDEX(AB$4:AB$40,MATCH(ROW()-3,AC$4:AC$40,0)))</f>
        <v/>
      </c>
      <c r="AE15">
        <f>IF('Final Calculation Sheet'!$A$15="","",'Final Calculation Sheet'!$A$15)</f>
        <v/>
      </c>
      <c r="AF15">
        <f>IF(AE15="","",COUNTIFS(AE$4:AE$40,"&lt;"&amp;AE15,AE$4:AE$40,"&lt;&gt;"&amp;"")+COUNTIF(AE$4:AE15,AE15))</f>
        <v/>
      </c>
      <c r="AG15">
        <f>IF(ROW()-3&gt;COUNTIF(AE$4:AE$40,"&lt;&gt;"&amp;""),"",INDEX(AE$4:AE$40,MATCH(ROW()-3,AF$4:AF$40,0)))</f>
        <v/>
      </c>
      <c r="AH15">
        <f>AH14+IF(AND(AG15&lt;&gt;"",COUNTIF(AG$4:AG15,AG15)=1),1,0)</f>
        <v/>
      </c>
      <c r="AI15">
        <f>IF(ROW()-3&gt;MAX(AH$4:AH$40),"",INDEX(AG$4:AG$40,MATCH(ROW()-3,AH$4:AH$40,0)))</f>
        <v/>
      </c>
      <c r="AJ15">
        <f>IF('Final Calculation Sheet'!$E$15="","",'Final Calculation Sheet'!$E$15)</f>
        <v/>
      </c>
      <c r="AK15">
        <f>IF(AJ15="","",COUNTIFS(AJ$4:AJ$40,"&lt;"&amp;AJ15,AJ$4:AJ$40,"&lt;&gt;"&amp;"")+COUNTIF(AJ$4:AJ15,AJ15))</f>
        <v/>
      </c>
      <c r="AL15">
        <f>IF(ROW()-3&gt;COUNTIF(AJ$4:AJ$40,"&lt;&gt;"&amp;""),"",INDEX(AJ$4:AJ$40,MATCH(ROW()-3,AK$4:AK$40,0)))</f>
        <v/>
      </c>
      <c r="AM15">
        <f>AM14+IF(AND(AL15&lt;&gt;"",COUNTIF(AL$4:AL15,AL15)=1),1,0)</f>
        <v/>
      </c>
      <c r="AN15">
        <f>IF(ROW()-3&gt;MAX(AM$4:AM$40),"",INDEX(AL$4:AL$40,MATCH(ROW()-3,AM$4:AM$40,0)))</f>
        <v/>
      </c>
      <c r="AO15" s="55">
        <f>IF('Final Calculation Sheet'!$C$15="","",'Final Calculation Sheet'!$C$15)</f>
        <v/>
      </c>
      <c r="AP15">
        <f>IF(AO15="","",COUNTIFS(AO$4:AO$40,"&lt;"&amp;AO15,AO$4:AO$40,"&lt;&gt;"&amp;"")+COUNTIF(AO$4:AO15,AO15))</f>
        <v/>
      </c>
      <c r="AQ15" s="55">
        <f>IF(ROW()-3&gt;COUNTIF(AO$4:AO$40,"&lt;&gt;"&amp;""),"",INDEX(AO$4:AO$40,MATCH(ROW()-3,AP$4:AP$40,0)))</f>
        <v/>
      </c>
      <c r="AR15">
        <f>AR14+IF(AND(AQ15&lt;&gt;"",COUNTIF(AQ$4:AQ15,AQ15)=1),1,0)</f>
        <v/>
      </c>
      <c r="AS15" s="55">
        <f>IF(ROW()-3&gt;MAX(AR$4:AR$40),"",INDEX(AQ$4:AQ$40,MATCH(ROW()-3,AR$4:AR$40,0)))</f>
        <v/>
      </c>
      <c r="AT15" s="55">
        <f>IF('Final Calculation Sheet'!$H$15="","",'Final Calculation Sheet'!$H$15)</f>
        <v/>
      </c>
      <c r="AU15">
        <f>IF(AT15="","",COUNTIFS(AT$4:AT$40,"&lt;"&amp;AT15,AT$4:AT$40,"&lt;&gt;"&amp;"")+COUNTIF(AT$4:AT15,AT15))</f>
        <v/>
      </c>
      <c r="AV15" s="55">
        <f>IF(ROW()-3&gt;COUNTIF(AT$4:AT$40,"&lt;&gt;"&amp;""),"",INDEX(AT$4:AT$40,MATCH(ROW()-3,AU$4:AU$40,0)))</f>
        <v/>
      </c>
      <c r="AW15">
        <f>AW14+IF(AND(AV15&lt;&gt;"",COUNTIF(AV$4:AV15,AV15)=1),1,0)</f>
        <v/>
      </c>
      <c r="AX15" s="55">
        <f>IF(ROW()-3&gt;MAX(AW$4:AW$40),"",INDEX(AV$4:AV$40,MATCH(ROW()-3,AW$4:AW$40,0)))</f>
        <v/>
      </c>
      <c r="AY15" s="55">
        <f>IF('Final Calculation Sheet'!$I$15="","",'Final Calculation Sheet'!$I$15)</f>
        <v/>
      </c>
      <c r="AZ15">
        <f>IF(AY15="","",COUNTIFS(AY$4:AY$40,"&lt;"&amp;AY15,AY$4:AY$40,"&lt;&gt;"&amp;"")+COUNTIF(AY$4:AY15,AY15))</f>
        <v/>
      </c>
      <c r="BA15" s="55">
        <f>IF(ROW()-3&gt;COUNTIF(AY$4:AY$40,"&lt;&gt;"&amp;""),"",INDEX(AY$4:AY$40,MATCH(ROW()-3,AZ$4:AZ$40,0)))</f>
        <v/>
      </c>
      <c r="BB15">
        <f>BB14+IF(AND(BA15&lt;&gt;"",COUNTIF(BA$4:BA15,BA15)=1),1,0)</f>
        <v/>
      </c>
      <c r="BC15" s="55">
        <f>IF(ROW()-3&gt;MAX(BB$4:BB$40),"",INDEX(BA$4:BA$40,MATCH(ROW()-3,BB$4:BB$40,0)))</f>
        <v/>
      </c>
      <c r="BD15" s="55">
        <f>IF('Final Calculation Sheet'!$J$15="","",'Final Calculation Sheet'!$J$15)</f>
        <v/>
      </c>
      <c r="BE15">
        <f>IF(BD15="","",COUNTIFS(BD$4:BD$40,"&lt;"&amp;BD15,BD$4:BD$40,"&lt;&gt;"&amp;"")+COUNTIF(BD$4:BD15,BD15))</f>
        <v/>
      </c>
      <c r="BF15" s="55">
        <f>IF(ROW()-3&gt;COUNTIF(BD$4:BD$40,"&lt;&gt;"&amp;""),"",INDEX(BD$4:BD$40,MATCH(ROW()-3,BE$4:BE$40,0)))</f>
        <v/>
      </c>
      <c r="BG15">
        <f>BG14+IF(AND(BF15&lt;&gt;"",COUNTIF(BF$4:BF15,BF15)=1),1,0)</f>
        <v/>
      </c>
      <c r="BH15" s="55">
        <f>IF(ROW()-3&gt;MAX(BG$4:BG$40),"",INDEX(BF$4:BF$40,MATCH(ROW()-3,BG$4:BG$40,0)))</f>
        <v/>
      </c>
      <c r="BI15" s="55">
        <f>IF('Final Calculation Sheet'!$K$15="","",'Final Calculation Sheet'!$K$15)</f>
        <v/>
      </c>
      <c r="BJ15">
        <f>IF(BI15="","",COUNTIFS(BI$4:BI$40,"&lt;"&amp;BI15,BI$4:BI$40,"&lt;&gt;"&amp;"")+COUNTIF(BI$4:BI15,BI15))</f>
        <v/>
      </c>
      <c r="BK15" s="55">
        <f>IF(ROW()-3&gt;COUNTIF(BI$4:BI$40,"&lt;&gt;"&amp;""),"",INDEX(BI$4:BI$40,MATCH(ROW()-3,BJ$4:BJ$40,0)))</f>
        <v/>
      </c>
      <c r="BL15">
        <f>BL14+IF(AND(BK15&lt;&gt;"",COUNTIF(BK$4:BK15,BK15)=1),1,0)</f>
        <v/>
      </c>
      <c r="BM15" s="55">
        <f>IF(ROW()-3&gt;MAX(BL$4:BL$40),"",INDEX(BK$4:BK$40,MATCH(ROW()-3,BL$4:BL$40,0)))</f>
        <v/>
      </c>
      <c r="BN15" s="55">
        <f>IF('Final Calculation Sheet'!$L$15="","",'Final Calculation Sheet'!$L$15)</f>
        <v/>
      </c>
      <c r="BO15">
        <f>IF(BN15="","",COUNTIFS(BN$4:BN$40,"&lt;"&amp;BN15,BN$4:BN$40,"&lt;&gt;"&amp;"")+COUNTIF(BN$4:BN15,BN15))</f>
        <v/>
      </c>
      <c r="BP15" s="55">
        <f>IF(ROW()-3&gt;COUNTIF(BN$4:BN$40,"&lt;&gt;"&amp;""),"",INDEX(BN$4:BN$40,MATCH(ROW()-3,BO$4:BO$40,0)))</f>
        <v/>
      </c>
      <c r="BQ15">
        <f>BQ14+IF(AND(BP15&lt;&gt;"",COUNTIF(BP$4:BP15,BP15)=1),1,0)</f>
        <v/>
      </c>
      <c r="BR15" s="55">
        <f>IF(ROW()-3&gt;MAX(BQ$4:BQ$40),"",INDEX(BP$4:BP$40,MATCH(ROW()-3,BQ$4:BQ$40,0)))</f>
        <v/>
      </c>
      <c r="BS15" s="55">
        <f>IF('Final Calculation Sheet'!$M$15="","",'Final Calculation Sheet'!$M$15)</f>
        <v/>
      </c>
      <c r="BT15">
        <f>IF(BS15="","",COUNTIFS(BS$4:BS$40,"&lt;"&amp;BS15,BS$4:BS$40,"&lt;&gt;"&amp;"")+COUNTIF(BS$4:BS15,BS15))</f>
        <v/>
      </c>
      <c r="BU15" s="55">
        <f>IF(ROW()-3&gt;COUNTIF(BS$4:BS$40,"&lt;&gt;"&amp;""),"",INDEX(BS$4:BS$40,MATCH(ROW()-3,BT$4:BT$40,0)))</f>
        <v/>
      </c>
      <c r="BV15">
        <f>BV14+IF(AND(BU15&lt;&gt;"",COUNTIF(BU$4:BU15,BU15)=1),1,0)</f>
        <v/>
      </c>
      <c r="BW15" s="55">
        <f>IF(ROW()-3&gt;MAX(BV$4:BV$40),"",INDEX(BU$4:BU$40,MATCH(ROW()-3,BV$4:BV$40,0)))</f>
        <v/>
      </c>
      <c r="BX15" s="138">
        <f>IF('Final Calculation Sheet'!$N$15="","",'Final Calculation Sheet'!$N$15)</f>
        <v/>
      </c>
      <c r="BY15">
        <f>IF(BX15="","",COUNTIFS(BX$4:BX$40,"&lt;"&amp;BX15,BX$4:BX$40,"&lt;&gt;"&amp;"")+COUNTIF(BX$4:BX15,BX15))</f>
        <v/>
      </c>
      <c r="BZ15" s="138">
        <f>IF(ROW()-3&gt;COUNTIF(BX$4:BX$40,"&lt;&gt;"&amp;""),"",INDEX(BX$4:BX$40,MATCH(ROW()-3,BY$4:BY$40,0)))</f>
        <v/>
      </c>
      <c r="CA15">
        <f>CA14+IF(AND(BZ15&lt;&gt;"",COUNTIF(BZ$4:BZ15,BZ15)=1),1,0)</f>
        <v/>
      </c>
      <c r="CB15" s="138">
        <f>IF(ROW()-3&gt;MAX(CA$4:CA$40),"",INDEX(BZ$4:BZ$40,MATCH(ROW()-3,CA$4:CA$40,0)))</f>
        <v/>
      </c>
      <c r="CC15" s="55">
        <f>IF('Final Calculation Sheet'!$O$15="","",'Final Calculation Sheet'!$O$15)</f>
        <v/>
      </c>
      <c r="CD15">
        <f>IF(CC15="","",COUNTIFS(CC$4:CC$40,"&lt;"&amp;CC15,CC$4:CC$40,"&lt;&gt;"&amp;"")+COUNTIF(CC$4:CC15,CC15))</f>
        <v/>
      </c>
      <c r="CE15" s="55">
        <f>IF(ROW()-3&gt;COUNTIF(CC$4:CC$40,"&lt;&gt;"&amp;""),"",INDEX(CC$4:CC$40,MATCH(ROW()-3,CD$4:CD$40,0)))</f>
        <v/>
      </c>
      <c r="CF15">
        <f>CF14+IF(AND(CE15&lt;&gt;"",COUNTIF(CE$4:CE15,CE15)=1),1,0)</f>
        <v/>
      </c>
      <c r="CG15" s="55">
        <f>IF(ROW()-3&gt;MAX(CF$4:CF$40),"",INDEX(CE$4:CE$40,MATCH(ROW()-3,CF$4:CF$40,0)))</f>
        <v/>
      </c>
      <c r="CH15" s="55">
        <f>IF('Final Calculation Sheet'!$P$15="","",'Final Calculation Sheet'!$P$15)</f>
        <v/>
      </c>
      <c r="CI15">
        <f>IF(CH15="","",COUNTIFS(CH$4:CH$40,"&lt;"&amp;CH15,CH$4:CH$40,"&lt;&gt;"&amp;"")+COUNTIF(CH$4:CH15,CH15))</f>
        <v/>
      </c>
      <c r="CJ15" s="55">
        <f>IF(ROW()-3&gt;COUNTIF(CH$4:CH$40,"&lt;&gt;"&amp;""),"",INDEX(CH$4:CH$40,MATCH(ROW()-3,CI$4:CI$40,0)))</f>
        <v/>
      </c>
      <c r="CK15">
        <f>CK14+IF(AND(CJ15&lt;&gt;"",COUNTIF(CJ$4:CJ15,CJ15)=1),1,0)</f>
        <v/>
      </c>
      <c r="CL15" s="55">
        <f>IF(ROW()-3&gt;MAX(CK$4:CK$40),"",INDEX(CJ$4:CJ$40,MATCH(ROW()-3,CK$4:CK$40,0)))</f>
        <v/>
      </c>
      <c r="CM15" s="139">
        <f>IF('Final Calculation Sheet'!$Q$15="","",'Final Calculation Sheet'!$Q$15)</f>
        <v/>
      </c>
      <c r="CN15">
        <f>IF(CM15="","",COUNTIFS(CM$4:CM$40,"&lt;"&amp;CM15,CM$4:CM$40,"&lt;&gt;"&amp;"")+COUNTIF(CM$4:CM15,CM15))</f>
        <v/>
      </c>
      <c r="CO15" s="139">
        <f>IF(ROW()-3&gt;COUNTIF(CM$4:CM$40,"&lt;&gt;"&amp;""),"",INDEX(CM$4:CM$40,MATCH(ROW()-3,CN$4:CN$40,0)))</f>
        <v/>
      </c>
      <c r="CP15">
        <f>CP14+IF(AND(CO15&lt;&gt;"",COUNTIF(CO$4:CO15,CO15)=1),1,0)</f>
        <v/>
      </c>
      <c r="CQ15">
        <f>IF(ROW()-3&gt;MAX(CP$4:CP$40),"",INDEX(CO$4:CO$40,MATCH(ROW()-3,CP$4:CP$40,0)))</f>
        <v/>
      </c>
      <c r="CR15" s="55">
        <f>IF('Final Calculation Sheet'!$R$15="","",'Final Calculation Sheet'!$R$15)</f>
        <v/>
      </c>
      <c r="CS15">
        <f>IF(CR15="","",COUNTIFS(CR$4:CR$40,"&lt;"&amp;CR15,CR$4:CR$40,"&lt;&gt;"&amp;"")+COUNTIF(CR$4:CR15,CR15))</f>
        <v/>
      </c>
      <c r="CT15" s="55">
        <f>IF(ROW()-3&gt;COUNTIF(CR$4:CR$40,"&lt;&gt;"&amp;""),"",INDEX(CR$4:CR$40,MATCH(ROW()-3,CS$4:CS$40,0)))</f>
        <v/>
      </c>
      <c r="CU15">
        <f>CU14+IF(AND(CT15&lt;&gt;"",COUNTIF(CT$4:CT15,CT15)=1),1,0)</f>
        <v/>
      </c>
      <c r="CV15">
        <f>IF(ROW()-3&gt;MAX(CU$4:CU$40),"",INDEX(CT$4:CT$40,MATCH(ROW()-3,CU$4:CU$40,0)))</f>
        <v/>
      </c>
      <c r="CW15" s="55">
        <f>IF('Final Calculation Sheet'!$S$15="","",'Final Calculation Sheet'!$S$15)</f>
        <v/>
      </c>
      <c r="CX15">
        <f>IF(CW15="","",COUNTIFS(CW$4:CW$40,"&lt;"&amp;CW15,CW$4:CW$40,"&lt;&gt;"&amp;"")+COUNTIF(CW$4:CW15,CW15))</f>
        <v/>
      </c>
      <c r="CY15" s="55">
        <f>IF(ROW()-3&gt;COUNTIF(CW$4:CW$40,"&lt;&gt;"&amp;""),"",INDEX(CW$4:CW$40,MATCH(ROW()-3,CX$4:CX$40,0)))</f>
        <v/>
      </c>
      <c r="CZ15">
        <f>CZ14+IF(AND(CY15&lt;&gt;"",COUNTIF(CY$4:CY15,CY15)=1),1,0)</f>
        <v/>
      </c>
      <c r="DA15" s="55">
        <f>IF(ROW()-3&gt;MAX(CZ$4:CZ$40),"",INDEX(CY$4:CY$40,MATCH(ROW()-3,CZ$4:CZ$40,0)))</f>
        <v/>
      </c>
      <c r="DB15" s="55">
        <f>IF('Final Calculation Sheet'!$T$15="","",'Final Calculation Sheet'!$T$15)</f>
        <v/>
      </c>
      <c r="DC15">
        <f>IF(DB15="","",COUNTIFS(DB$4:DB$40,"&lt;"&amp;DB15,DB$4:DB$40,"&lt;&gt;"&amp;"")+COUNTIF(DB$4:DB15,DB15))</f>
        <v/>
      </c>
      <c r="DD15" s="55">
        <f>IF(ROW()-3&gt;COUNTIF(DB$4:DB$40,"&lt;&gt;"&amp;""),"",INDEX(DB$4:DB$40,MATCH(ROW()-3,DC$4:DC$40,0)))</f>
        <v/>
      </c>
      <c r="DE15">
        <f>DE14+IF(AND(DD15&lt;&gt;"",COUNTIF(DD$4:DD15,DD15)=1),1,0)</f>
        <v/>
      </c>
      <c r="DF15" s="55">
        <f>IF(ROW()-3&gt;MAX(DE$4:DE$40),"",INDEX(DD$4:DD$40,MATCH(ROW()-3,DE$4:DE$40,0)))</f>
        <v/>
      </c>
      <c r="DG15" s="140">
        <f>IF('Final Calculation Sheet'!$U$15="","",'Final Calculation Sheet'!$U$15)</f>
        <v/>
      </c>
      <c r="DH15">
        <f>IF(DG15="","",COUNTIFS(DG$4:DG$40,"&lt;"&amp;DG15,DG$4:DG$40,"&lt;&gt;"&amp;"")+COUNTIF(DG$4:DG15,DG15))</f>
        <v/>
      </c>
      <c r="DI15" s="140">
        <f>IF(ROW()-3&gt;COUNTIF(DG$4:DG$40,"&lt;&gt;"&amp;""),"",INDEX(DG$4:DG$40,MATCH(ROW()-3,DH$4:DH$40,0)))</f>
        <v/>
      </c>
      <c r="DJ15">
        <f>DJ14+IF(AND(DI15&lt;&gt;"",COUNTIF(DI$4:DI15,DI15)=1),1,0)</f>
        <v/>
      </c>
      <c r="DK15" s="140">
        <f>IF(ROW()-3&gt;MAX(DJ$4:DJ$40),"",INDEX(DI$4:DI$40,MATCH(ROW()-3,DJ$4:DJ$40,0)))</f>
        <v/>
      </c>
      <c r="DL15">
        <f>IF('Final Calculation Sheet'!$V$15="","",'Final Calculation Sheet'!$V$15)</f>
        <v/>
      </c>
      <c r="DM15">
        <f>IF(DL15="","",COUNTIFS(DL$4:DL$40,"&lt;"&amp;DL15,DL$4:DL$40,"&lt;&gt;"&amp;"")+COUNTIF(DL$4:DL15,DL15))</f>
        <v/>
      </c>
      <c r="DN15">
        <f>IF(ROW()-3&gt;COUNTIF(DL$4:DL$40,"&lt;&gt;"&amp;""),"",INDEX(DL$4:DL$40,MATCH(ROW()-3,DM$4:DM$40,0)))</f>
        <v/>
      </c>
      <c r="DO15">
        <f>DO14+IF(AND(DN15&lt;&gt;"",COUNTIF(DN$4:DN15,DN15)=1),1,0)</f>
        <v/>
      </c>
      <c r="DP15">
        <f>IF(ROW()-3&gt;MAX(DO$4:DO$40),"",INDEX(DN$4:DN$40,MATCH(ROW()-3,DO$4:DO$40,0)))</f>
        <v/>
      </c>
      <c r="DQ15" s="55">
        <f>IF('Final Calculation Sheet'!$W$15="","",'Final Calculation Sheet'!$W$15)</f>
        <v/>
      </c>
      <c r="DR15">
        <f>IF(DQ15="","",COUNTIFS(DQ$4:DQ$40,"&lt;"&amp;DQ15,DQ$4:DQ$40,"&lt;&gt;"&amp;"")+COUNTIF(DQ$4:DQ15,DQ15))</f>
        <v/>
      </c>
      <c r="DS15" s="55">
        <f>IF(ROW()-3&gt;COUNTIF(DQ$4:DQ$40,"&lt;&gt;"&amp;""),"",INDEX(DQ$4:DQ$40,MATCH(ROW()-3,DR$4:DR$40,0)))</f>
        <v/>
      </c>
      <c r="DT15">
        <f>DT14+IF(AND(DS15&lt;&gt;"",COUNTIF(DS$4:DS15,DS15)=1),1,0)</f>
        <v/>
      </c>
      <c r="DU15" s="55">
        <f>IF(ROW()-3&gt;MAX(DT$4:DT$40),"",INDEX(DS$4:DS$40,MATCH(ROW()-3,DT$4:DT$40,0)))</f>
        <v/>
      </c>
      <c r="DV15" s="55">
        <f>IF('Final Calculation Sheet'!$X$15="","",'Final Calculation Sheet'!$X$15)</f>
        <v/>
      </c>
      <c r="DW15">
        <f>IF(DV15="","",COUNTIFS(DV$4:DV$40,"&lt;"&amp;DV15,DV$4:DV$40,"&lt;&gt;"&amp;"")+COUNTIF(DV$4:DV15,DV15))</f>
        <v/>
      </c>
      <c r="DX15" s="55">
        <f>IF(ROW()-3&gt;COUNTIF(DV$4:DV$40,"&lt;&gt;"&amp;""),"",INDEX(DV$4:DV$40,MATCH(ROW()-3,DW$4:DW$40,0)))</f>
        <v/>
      </c>
      <c r="DY15">
        <f>DY14+IF(AND(DX15&lt;&gt;"",COUNTIF(DX$4:DX15,DX15)=1),1,0)</f>
        <v/>
      </c>
      <c r="DZ15">
        <f>IF(ROW()-3&gt;MAX(DY$4:DY$40),"",INDEX(DX$4:DX$40,MATCH(ROW()-3,DY$4:DY$40,0)))</f>
        <v/>
      </c>
      <c r="EA15">
        <f>IF('Final Calculation Sheet'!$Y$15="","",'Final Calculation Sheet'!$Y$15)</f>
        <v/>
      </c>
      <c r="EB15">
        <f>IF(EA15="","",COUNTIFS(EA$4:EA$40,"&lt;"&amp;EA15,EA$4:EA$40,"&lt;&gt;"&amp;"")+COUNTIF(EA$4:EA15,EA15))</f>
        <v/>
      </c>
      <c r="EC15">
        <f>IF(ROW()-3&gt;COUNTIF(EA$4:EA$40,"&lt;&gt;"&amp;""),"",INDEX(EA$4:EA$40,MATCH(ROW()-3,EB$4:EB$40,0)))</f>
        <v/>
      </c>
      <c r="ED15">
        <f>ED14+IF(AND(EC15&lt;&gt;"",COUNTIF(EC$4:EC15,EC15)=1),1,0)</f>
        <v/>
      </c>
      <c r="EE15">
        <f>IF(ROW()-3&gt;MAX(ED$4:ED$40),"",INDEX(EC$4:EC$40,MATCH(ROW()-3,ED$4:ED$40,0)))</f>
        <v/>
      </c>
      <c r="EF15" s="55">
        <f>IF('Final Calculation Sheet'!$Z$15="","",'Final Calculation Sheet'!$Z$15)</f>
        <v/>
      </c>
      <c r="EG15">
        <f>IF(EF15="","",COUNTIFS(EF$4:EF$40,"&lt;"&amp;EF15,EF$4:EF$40,"&lt;&gt;"&amp;"")+COUNTIF(EF$4:EF15,EF15))</f>
        <v/>
      </c>
      <c r="EH15" s="55">
        <f>IF(ROW()-3&gt;COUNTIF(EF$4:EF$40,"&lt;&gt;"&amp;""),"",INDEX(EF$4:EF$40,MATCH(ROW()-3,EG$4:EG$40,0)))</f>
        <v/>
      </c>
      <c r="EI15">
        <f>EI14+IF(AND(EH15&lt;&gt;"",COUNTIF(EH$4:EH15,EH15)=1),1,0)</f>
        <v/>
      </c>
      <c r="EJ15">
        <f>IF(ROW()-3&gt;MAX(EI$4:EI$40),"",INDEX(EH$4:EH$40,MATCH(ROW()-3,EI$4:EI$40,0)))</f>
        <v/>
      </c>
      <c r="EK15">
        <f>IF('Final Calculation Sheet'!$AA$15="","",'Final Calculation Sheet'!$AA$15)</f>
        <v/>
      </c>
      <c r="EL15">
        <f>IF(EK15="","",COUNTIFS(EK$4:EK$40,"&lt;"&amp;EK15,EK$4:EK$40,"&lt;&gt;"&amp;"")+COUNTIF(EK$4:EK15,EK15))</f>
        <v/>
      </c>
      <c r="EM15">
        <f>IF(ROW()-3&gt;COUNTIF(EK$4:EK$40,"&lt;&gt;"&amp;""),"",INDEX(EK$4:EK$40,MATCH(ROW()-3,EL$4:EL$40,0)))</f>
        <v/>
      </c>
      <c r="EN15">
        <f>EN14+IF(AND(EM15&lt;&gt;"",COUNTIF(EM$4:EM15,EM15)=1),1,0)</f>
        <v/>
      </c>
      <c r="EO15">
        <f>IF(ROW()-3&gt;MAX(EN$4:EN$40),"",INDEX(EM$4:EM$40,MATCH(ROW()-3,EN$4:EN$40,0)))</f>
        <v/>
      </c>
      <c r="EP15">
        <f>IF('Final Calculation Sheet'!$AB$15="","",'Final Calculation Sheet'!$AB$15)</f>
        <v/>
      </c>
      <c r="EQ15">
        <f>IF(EP15="","",COUNTIFS(EP$4:EP$40,"&lt;"&amp;EP15,EP$4:EP$40,"&lt;&gt;"&amp;"")+COUNTIF(EP$4:EP15,EP15))</f>
        <v/>
      </c>
      <c r="ER15">
        <f>IF(ROW()-3&gt;COUNTIF(EP$4:EP$40,"&lt;&gt;"&amp;""),"",INDEX(EP$4:EP$40,MATCH(ROW()-3,EQ$4:EQ$40,0)))</f>
        <v/>
      </c>
      <c r="ES15">
        <f>ES14+IF(AND(ER15&lt;&gt;"",COUNTIF(ER$4:ER15,ER15)=1),1,0)</f>
        <v/>
      </c>
      <c r="ET15">
        <f>IF(ROW()-3&gt;MAX(ES$4:ES$40),"",INDEX(ER$4:ER$40,MATCH(ROW()-3,ES$4:ES$40,0)))</f>
        <v/>
      </c>
      <c r="EU15" s="55">
        <f>IF('Final Calculation Sheet'!$AC$15="","",'Final Calculation Sheet'!$AC$15)</f>
        <v/>
      </c>
      <c r="EV15">
        <f>IF(EU15="","",COUNTIFS(EU$4:EU$40,"&lt;"&amp;EU15,EU$4:EU$40,"&lt;&gt;"&amp;"")+COUNTIF(EU$4:EU15,EU15))</f>
        <v/>
      </c>
      <c r="EW15" s="55">
        <f>IF(ROW()-3&gt;COUNTIF(EU$4:EU$40,"&lt;&gt;"&amp;""),"",INDEX(EU$4:EU$40,MATCH(ROW()-3,EV$4:EV$40,0)))</f>
        <v/>
      </c>
      <c r="EX15">
        <f>EX14+IF(AND(EW15&lt;&gt;"",COUNTIF(EW$4:EW15,EW15)=1),1,0)</f>
        <v/>
      </c>
      <c r="EY15" s="55">
        <f>IF(ROW()-3&gt;MAX(EX$4:EX$40),"",INDEX(EW$4:EW$40,MATCH(ROW()-3,EX$4:EX$40,0)))</f>
        <v/>
      </c>
      <c r="EZ15" s="55">
        <f>IF('Final Calculation Sheet'!$AD$15="","",'Final Calculation Sheet'!$AD$15)</f>
        <v/>
      </c>
      <c r="FA15">
        <f>IF(EZ15="","",COUNTIFS(EZ$4:EZ$40,"&lt;"&amp;EZ15,EZ$4:EZ$40,"&lt;&gt;"&amp;"")+COUNTIF(EZ$4:EZ15,EZ15))</f>
        <v/>
      </c>
      <c r="FB15" s="55">
        <f>IF(ROW()-3&gt;COUNTIF(EZ$4:EZ$40,"&lt;&gt;"&amp;""),"",INDEX(EZ$4:EZ$40,MATCH(ROW()-3,FA$4:FA$40,0)))</f>
        <v/>
      </c>
      <c r="FC15">
        <f>FC14+IF(AND(FB15&lt;&gt;"",COUNTIF(FB$4:FB15,FB15)=1),1,0)</f>
        <v/>
      </c>
      <c r="FD15">
        <f>IF(ROW()-3&gt;MAX(FC$4:FC$40),"",INDEX(FB$4:FB$40,MATCH(ROW()-3,FC$4:FC$40,0)))</f>
        <v/>
      </c>
      <c r="FE15">
        <f>IF('Final Calculation Sheet'!$AF$15="","",'Final Calculation Sheet'!$AF$15)</f>
        <v/>
      </c>
      <c r="FF15">
        <f>IF(FE15="","",COUNTIFS(FE$4:FE$40,"&lt;"&amp;FE15,FE$4:FE$40,"&lt;&gt;"&amp;"")+COUNTIF(FE$4:FE15,FE15))</f>
        <v/>
      </c>
      <c r="FG15">
        <f>IF(ROW()-3&gt;COUNTIF(FE$4:FE$40,"&lt;&gt;"&amp;""),"",INDEX(FE$4:FE$40,MATCH(ROW()-3,FF$4:FF$40,0)))</f>
        <v/>
      </c>
      <c r="FH15">
        <f>FH14+IF(AND(FG15&lt;&gt;"",COUNTIF(FG$4:FG15,FG15)=1),1,0)</f>
        <v/>
      </c>
      <c r="FI15">
        <f>IF(ROW()-3&gt;MAX(FH$4:FH$40),"",INDEX(FG$4:FG$40,MATCH(ROW()-3,FH$4:FH$40,0)))</f>
        <v/>
      </c>
      <c r="FJ15" s="141">
        <f>IF('Final Calculation Sheet'!$AG$15="","",'Final Calculation Sheet'!$AG$15)</f>
        <v/>
      </c>
      <c r="FK15">
        <f>IF(FJ15="","",COUNTIFS(FJ$4:FJ$40,"&lt;"&amp;FJ15,FJ$4:FJ$40,"&lt;&gt;"&amp;"")+COUNTIF(FJ$4:FJ15,FJ15))</f>
        <v/>
      </c>
      <c r="FL15" s="141">
        <f>IF(ROW()-3&gt;COUNTIF(FJ$4:FJ$40,"&lt;&gt;"&amp;""),"",INDEX(FJ$4:FJ$40,MATCH(ROW()-3,FK$4:FK$40,0)))</f>
        <v/>
      </c>
      <c r="FM15">
        <f>FM14+IF(AND(FL15&lt;&gt;"",COUNTIF(FL$4:FL15,FL15)=1),1,0)</f>
        <v/>
      </c>
      <c r="FN15">
        <f>IF(ROW()-3&gt;MAX(FM$4:FM$40),"",INDEX(FL$4:FL$40,MATCH(ROW()-3,FM$4:FM$40,0)))</f>
        <v/>
      </c>
      <c r="FO15">
        <f>IF('Final Calculation Sheet'!$AH$15="","",'Final Calculation Sheet'!$AH$15)</f>
        <v/>
      </c>
      <c r="FP15">
        <f>IF(FO15="","",COUNTIFS(FO$4:FO$40,"&lt;"&amp;FO15,FO$4:FO$40,"&lt;&gt;"&amp;"")+COUNTIF(FO$4:FO15,FO15))</f>
        <v/>
      </c>
      <c r="FQ15">
        <f>IF(ROW()-3&gt;COUNTIF(FO$4:FO$40,"&lt;&gt;"&amp;""),"",INDEX(FO$4:FO$40,MATCH(ROW()-3,FP$4:FP$40,0)))</f>
        <v/>
      </c>
      <c r="FR15">
        <f>FR14+IF(AND(FQ15&lt;&gt;"",COUNTIF(FQ$4:FQ15,FQ15)=1),1,0)</f>
        <v/>
      </c>
      <c r="FS15">
        <f>IF(ROW()-3&gt;MAX(FR$4:FR$40),"",INDEX(FQ$4:FQ$40,MATCH(ROW()-3,FR$4:FR$40,0)))</f>
        <v/>
      </c>
      <c r="FU15">
        <f>IF(FT15="","",COUNTIFS(FT$4:FT$40,"&lt;"&amp;FT15,FT$4:FT$40,"&lt;&gt;"&amp;"")+COUNTIF(FT$4:FT15,FT15))</f>
        <v/>
      </c>
      <c r="FV15">
        <f>IF(ROW()-3&gt;COUNTIF(FT$4:FT$40,"&lt;&gt;"&amp;""),"",INDEX(FT$4:FT$40,MATCH(ROW()-3,FU$4:FU$40,0)))</f>
        <v/>
      </c>
      <c r="FW15">
        <f>FW14+IF(AND(FV15&lt;&gt;"",COUNTIF(FV$4:FV15,FV15)=1),1,0)</f>
        <v/>
      </c>
      <c r="FX15">
        <f>IF(ROW()-3&gt;MAX(FW$4:FW$40),"",INDEX(FV$4:FV$40,MATCH(ROW()-3,FW$4:FW$40,0)))</f>
        <v/>
      </c>
      <c r="FY15">
        <f>IF(COUNTIF('Live Search'!BM$14:BO$14,0)+COUNTIF('Live Search'!BQ$14:CU$14,0)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5">
        <f>IF($Y$15="",FALSE,SUMPRODUCT(('Final Calculation Sheet'!$B$4:$B$40=$Y$15)*($FY$6:$FY$42=1))&gt;0)</f>
        <v/>
      </c>
      <c r="GA15">
        <f>$GA$14+--($FZ$15)</f>
        <v/>
      </c>
      <c r="GB15">
        <f>IF(ROW()-3&gt;MAX($GA$4:$GA$40),"",INDEX($Y$4:$Y$40,MATCH(ROW()-3,$GA$4:$GA$40,0)))</f>
        <v/>
      </c>
      <c r="GC15">
        <f>IF('Final Calculation Sheet'!$F$15="","",IF(TRIM('Final Calculation Sheet'!$G$2)="",'Final Calculation Sheet'!$F$15,IF(TRIM('Final Calculation Sheet'!$G$2)="(nonblank)",IF('Final Calculation Sheet'!$G$15&lt;&gt;"",'Final Calculation Sheet'!$F$15,""),IF(TRIM('Final Calculation Sheet'!$G$2)="(blank)",IF('Final Calculation Sheet'!$G$15="",'Final Calculation Sheet'!$F$15,""),IF(ISNUMBER(SEARCH(TRIM('Final Calculation Sheet'!$G$2),'Final Calculation Sheet'!$G$15)),'Final Calculation Sheet'!$F$15,"")))))</f>
        <v/>
      </c>
      <c r="GD15">
        <f>IF(GC15="","",COUNTIFS(GC$4:GC$40,"&lt;"&amp;GC15,GC$4:GC$40,"&lt;&gt;"&amp;"")+COUNTIF(GC$4:GC15,GC15))</f>
        <v/>
      </c>
      <c r="GE15">
        <f>IF(ROW()-3&gt;COUNTIF(GC$4:GC$40,"&lt;&gt;"&amp;""),"",INDEX(GC$4:GC$40,MATCH(ROW()-3,GD$4:GD$40,0)))</f>
        <v/>
      </c>
      <c r="GF15">
        <f>GF14+IF(AND(GE15&lt;&gt;"",COUNTIF(GE$4:GE15,GE15)=1),1,0)</f>
        <v/>
      </c>
      <c r="GG15">
        <f>IF(ROW()-3&gt;MAX(GF$4:GF$40),"",INDEX(GE$4:GE$40,MATCH(ROW()-3,GF$4:GF$40,0)))</f>
        <v/>
      </c>
      <c r="GH15">
        <f>IF('Final Calculation Sheet'!$F$15="","",IF('Live Search'!$BO$16=1,'Final Calculation Sheet'!$F$15,""))</f>
        <v/>
      </c>
      <c r="GI15">
        <f>IF(GH15="","",COUNTIFS(GH$4:GH$40,"&lt;"&amp;GH15,GH$4:GH$40,"&lt;&gt;"&amp;"")+COUNTIF(GH$4:GH15,GH15))</f>
        <v/>
      </c>
      <c r="GJ15">
        <f>IF(ROW()-3&gt;COUNTIF(GH$4:GH$40,"&lt;&gt;"&amp;""),"",INDEX(GH$4:GH$40,MATCH(ROW()-3,GI$4:GI$40,0)))</f>
        <v/>
      </c>
      <c r="GK15">
        <f>GK14+IF(AND(GJ15&lt;&gt;"",COUNTIF(GJ$4:GJ15,GJ15)=1),1,0)</f>
        <v/>
      </c>
      <c r="GL15">
        <f>IF(ROW()-3&gt;MAX(GK$4:GK$40),"",INDEX(GJ$4:GJ$40,MATCH(ROW()-3,GK$4:GK$40,0)))</f>
        <v/>
      </c>
      <c r="GM15">
        <f>IF('Final Calculation Sheet'!$F$15="","",IF(TRIM('Buyer Groups'!$C$4)="",'Final Calculation Sheet'!$F$15,IF(TRIM('Buyer Groups'!$C$4)="(nonblank)",IF('Final Calculation Sheet'!$G$15&lt;&gt;"",'Final Calculation Sheet'!$F$15,""),IF(TRIM('Buyer Groups'!$C$4)="(blank)",IF('Final Calculation Sheet'!$G$15="",'Final Calculation Sheet'!$F$15,""),IF(ISNUMBER(SEARCH(TRIM('Buyer Groups'!$C$4),'Final Calculation Sheet'!$G$15)),'Final Calculation Sheet'!$F$15,"")))))</f>
        <v/>
      </c>
      <c r="GN15">
        <f>IF(GM15="","",COUNTIFS(GM$4:GM$40,"&lt;"&amp;GM15,GM$4:GM$40,"&lt;&gt;"&amp;"")+COUNTIF(GM$4:GM15,GM15))</f>
        <v/>
      </c>
      <c r="GO15">
        <f>IF(ROW()-3&gt;COUNTIF(GM$4:GM$40,"&lt;&gt;"&amp;""),"",INDEX(GM$4:GM$40,MATCH(ROW()-3,GN$4:GN$40,0)))</f>
        <v/>
      </c>
      <c r="GP15">
        <f>GP14+IF(AND(GO15&lt;&gt;"",COUNTIF(GO$4:GO15,GO15)=1),1,0)</f>
        <v/>
      </c>
      <c r="GQ15">
        <f>IF(ROW()-3&gt;MAX(GP$4:GP$40),"",INDEX(GO$4:GO$40,MATCH(ROW()-3,GP$4:GP$40,0)))</f>
        <v/>
      </c>
      <c r="GR15">
        <f>IF('Final Calculation Sheet'!$B$15="","",IF(TRIM('Final Calculation Sheet'!$G$2)="",'Final Calculation Sheet'!$B$15,IF(TRIM('Final Calculation Sheet'!$G$2)="(nonblank)",IF('Final Calculation Sheet'!$G$15&lt;&gt;"",'Final Calculation Sheet'!$B$15,""),IF(TRIM('Final Calculation Sheet'!$G$2)="(blank)",IF('Final Calculation Sheet'!$G$15="",'Final Calculation Sheet'!$B$15,""),IF(ISNUMBER(SEARCH(TRIM('Final Calculation Sheet'!$G$2),'Final Calculation Sheet'!$G$15)),'Final Calculation Sheet'!$B$15,"")))))</f>
        <v/>
      </c>
      <c r="GS15">
        <f>IF(GR15="","",COUNTIFS(GR$4:GR$40,"&lt;"&amp;GR15,GR$4:GR$40,"&lt;&gt;"&amp;"")+COUNTIF(GR$4:GR15,GR15))</f>
        <v/>
      </c>
      <c r="GT15">
        <f>IF(ROW()-3&gt;COUNTIF(GR$4:GR$40,"&lt;&gt;"&amp;""),"",INDEX(GR$4:GR$40,MATCH(ROW()-3,GS$4:GS$40,0)))</f>
        <v/>
      </c>
      <c r="GU15">
        <f>GU14+IF(AND(GT15&lt;&gt;"",COUNTIF(GT$4:GT15,GT15)=1),1,0)</f>
        <v/>
      </c>
      <c r="GV15">
        <f>IF(ROW()-3&gt;MAX(GU$4:GU$40),"",INDEX(GT$4:GT$40,MATCH(ROW()-3,GU$4:GU$40,0)))</f>
        <v/>
      </c>
      <c r="GW15">
        <f>IF('Final Calculation Sheet'!$B$15="","",IF(TRIM('Buyer Groups'!$C$4)="",'Final Calculation Sheet'!$B$15,IF(TRIM('Buyer Groups'!$C$4)="(nonblank)",IF('Final Calculation Sheet'!$G$15&lt;&gt;"",'Final Calculation Sheet'!$B$15,""),IF(TRIM('Buyer Groups'!$C$4)="(blank)",IF('Final Calculation Sheet'!$G$15="",'Final Calculation Sheet'!$B$15,""),IF(ISNUMBER(SEARCH(TRIM('Buyer Groups'!$C$4),'Final Calculation Sheet'!$G$15)),'Final Calculation Sheet'!$B$15,"")))))</f>
        <v/>
      </c>
      <c r="GX15">
        <f>IF(GW15="","",COUNTIFS(GW$4:GW$40,"&lt;"&amp;GW15,GW$4:GW$40,"&lt;&gt;"&amp;"")+COUNTIF(GW$4:GW15,GW15))</f>
        <v/>
      </c>
      <c r="GY15">
        <f>IF(ROW()-3&gt;COUNTIF(GW$4:GW$40,"&lt;&gt;"&amp;""),"",INDEX(GW$4:GW$40,MATCH(ROW()-3,GX$4:GX$40,0)))</f>
        <v/>
      </c>
      <c r="GZ15">
        <f>GZ14+IF(AND(GY15&lt;&gt;"",COUNTIF(GY$4:GY15,GY15)=1),1,0)</f>
        <v/>
      </c>
      <c r="HA15">
        <f>IF(ROW()-3&gt;MAX(GZ$4:GZ$40),"",INDEX(GY$4:GY$40,MATCH(ROW()-3,GZ$4:GZ$40,0)))</f>
        <v/>
      </c>
    </row>
    <row r="16">
      <c r="A16">
        <f>IF('Final Calculation Sheet'!$F$16="","",'Final Calculation Sheet'!$F$16)</f>
        <v/>
      </c>
      <c r="B16">
        <f>IF(A16="","",COUNTIFS(A$4:A$114,"&lt;"&amp;A16,A$4:A$114,"&lt;&gt;"&amp;"")+COUNTIF(A$4:A16,A16))</f>
        <v/>
      </c>
      <c r="C16">
        <f>IF(ROW()-3&gt;COUNTIF(A$4:A$114,"&lt;&gt;"&amp;""),"",INDEX(A$4:A$114,MATCH(ROW()-3,B$4:B$114,0)))</f>
        <v/>
      </c>
      <c r="D16">
        <f>D15+IF(AND(C16&lt;&gt;"",COUNTIF(C$4:C16,C16)=1),1,0)</f>
        <v/>
      </c>
      <c r="E16">
        <f>IF(ROW()-3&gt;MAX(D$4:D$114),"",INDEX(C$4:C$114,MATCH(ROW()-3,D$4:D$114,0)))</f>
        <v/>
      </c>
      <c r="F16">
        <f>ROW()-3</f>
        <v/>
      </c>
      <c r="G16">
        <f>IF(F16="","",COUNTIFS(F$4:F$40,"&lt;"&amp;F16,F$4:F$40,"&lt;&gt;"&amp;"")+COUNTIF(F$4:F16,F16))</f>
        <v/>
      </c>
      <c r="H16">
        <f>IF(ROW()-3&gt;COUNTIF(F$4:F$40,"&lt;&gt;"&amp;""),"",INDEX(F$4:F$40,MATCH(ROW()-3,G$4:G$40,0)))</f>
        <v/>
      </c>
      <c r="I16">
        <f>I15+IF(AND(H16&lt;&gt;"",COUNTIF(H$4:H16,H16)=1),1,0)</f>
        <v/>
      </c>
      <c r="J16">
        <f>IF(ROW()-3&gt;MAX(I$4:I$40),"",INDEX(H$4:H$40,MATCH(ROW()-3,I$4:I$40,0)))</f>
        <v/>
      </c>
      <c r="K16">
        <f>IF('Final Calculation Sheet'!$F$16="","",'Final Calculation Sheet'!$F$16)</f>
        <v/>
      </c>
      <c r="L16">
        <f>IF(K16="","",COUNTIFS(K$4:K$40,"&lt;"&amp;K16,K$4:K$40,"&lt;&gt;"&amp;"")+COUNTIF(K$4:K16,K16))</f>
        <v/>
      </c>
      <c r="M16">
        <f>IF(ROW()-3&gt;COUNTIF(K$4:K$40,"&lt;&gt;"&amp;""),"",INDEX(K$4:K$40,MATCH(ROW()-3,L$4:L$40,0)))</f>
        <v/>
      </c>
      <c r="N16">
        <f>N15+IF(AND(M16&lt;&gt;"",COUNTIF(M$4:M16,M16)=1),1,0)</f>
        <v/>
      </c>
      <c r="O16">
        <f>IF(ROW()-3&gt;MAX(N$4:N$40),"",INDEX(M$4:M$40,MATCH(ROW()-3,N$4:N$40,0)))</f>
        <v/>
      </c>
      <c r="P16">
        <f>IF('Final Calculation Sheet'!$G$16="","",'Final Calculation Sheet'!$G$16)</f>
        <v/>
      </c>
      <c r="Q16">
        <f>IF(P16="","",COUNTIFS(P$4:P$40,"&lt;"&amp;P16,P$4:P$40,"&lt;&gt;"&amp;"")+COUNTIF(P$4:P16,P16))</f>
        <v/>
      </c>
      <c r="R16">
        <f>IF(ROW()-3&gt;COUNTIF(P$4:P$40,"&lt;&gt;"&amp;""),"",INDEX(P$4:P$40,MATCH(ROW()-3,Q$4:Q$40,0)))</f>
        <v/>
      </c>
      <c r="S16">
        <f>S15+IF(AND(R16&lt;&gt;"",COUNTIF(R$4:R16,R16)=1),1,0)</f>
        <v/>
      </c>
      <c r="T16">
        <f>IF(ROW()-3&gt;MAX(S$4:S$40),"",INDEX(R$4:R$40,MATCH(ROW()-3,S$4:S$40,0)))</f>
        <v/>
      </c>
      <c r="U16">
        <f>IF('Final Calculation Sheet'!$B$16="","",'Final Calculation Sheet'!$B$16)</f>
        <v/>
      </c>
      <c r="V16">
        <f>IF(U16="","",COUNTIFS(U$4:U$40,"&lt;"&amp;U16,U$4:U$40,"&lt;&gt;"&amp;"")+COUNTIF(U$4:U16,U16))</f>
        <v/>
      </c>
      <c r="W16">
        <f>IF(ROW()-3&gt;COUNTIF(U$4:U$40,"&lt;&gt;"&amp;""),"",INDEX(U$4:U$40,MATCH(ROW()-3,V$4:V$40,0)))</f>
        <v/>
      </c>
      <c r="X16">
        <f>X15+IF(AND(W16&lt;&gt;"",COUNTIF(W$4:W16,W16)=1),1,0)</f>
        <v/>
      </c>
      <c r="Y16">
        <f>IF(ROW()-3&gt;MAX(X$4:X$40),"",INDEX(W$4:W$40,MATCH(ROW()-3,X$4:X$40,0)))</f>
        <v/>
      </c>
      <c r="Z16">
        <f>IF('Final Calculation Sheet'!$D$16="","",'Final Calculation Sheet'!$D$16)</f>
        <v/>
      </c>
      <c r="AA16">
        <f>IF(Z16="","",COUNTIFS(Z$4:Z$40,"&lt;"&amp;Z16,Z$4:Z$40,"&lt;&gt;"&amp;"")+COUNTIF(Z$4:Z16,Z16))</f>
        <v/>
      </c>
      <c r="AB16">
        <f>IF(ROW()-3&gt;COUNTIF(Z$4:Z$40,"&lt;&gt;"&amp;""),"",INDEX(Z$4:Z$40,MATCH(ROW()-3,AA$4:AA$40,0)))</f>
        <v/>
      </c>
      <c r="AC16">
        <f>AC15+IF(AND(AB16&lt;&gt;"",COUNTIF(AB$4:AB16,AB16)=1),1,0)</f>
        <v/>
      </c>
      <c r="AD16">
        <f>IF(ROW()-3&gt;MAX(AC$4:AC$40),"",INDEX(AB$4:AB$40,MATCH(ROW()-3,AC$4:AC$40,0)))</f>
        <v/>
      </c>
      <c r="AE16">
        <f>IF('Final Calculation Sheet'!$A$16="","",'Final Calculation Sheet'!$A$16)</f>
        <v/>
      </c>
      <c r="AF16">
        <f>IF(AE16="","",COUNTIFS(AE$4:AE$40,"&lt;"&amp;AE16,AE$4:AE$40,"&lt;&gt;"&amp;"")+COUNTIF(AE$4:AE16,AE16))</f>
        <v/>
      </c>
      <c r="AG16">
        <f>IF(ROW()-3&gt;COUNTIF(AE$4:AE$40,"&lt;&gt;"&amp;""),"",INDEX(AE$4:AE$40,MATCH(ROW()-3,AF$4:AF$40,0)))</f>
        <v/>
      </c>
      <c r="AH16">
        <f>AH15+IF(AND(AG16&lt;&gt;"",COUNTIF(AG$4:AG16,AG16)=1),1,0)</f>
        <v/>
      </c>
      <c r="AI16">
        <f>IF(ROW()-3&gt;MAX(AH$4:AH$40),"",INDEX(AG$4:AG$40,MATCH(ROW()-3,AH$4:AH$40,0)))</f>
        <v/>
      </c>
      <c r="AJ16">
        <f>IF('Final Calculation Sheet'!$E$16="","",'Final Calculation Sheet'!$E$16)</f>
        <v/>
      </c>
      <c r="AK16">
        <f>IF(AJ16="","",COUNTIFS(AJ$4:AJ$40,"&lt;"&amp;AJ16,AJ$4:AJ$40,"&lt;&gt;"&amp;"")+COUNTIF(AJ$4:AJ16,AJ16))</f>
        <v/>
      </c>
      <c r="AL16">
        <f>IF(ROW()-3&gt;COUNTIF(AJ$4:AJ$40,"&lt;&gt;"&amp;""),"",INDEX(AJ$4:AJ$40,MATCH(ROW()-3,AK$4:AK$40,0)))</f>
        <v/>
      </c>
      <c r="AM16">
        <f>AM15+IF(AND(AL16&lt;&gt;"",COUNTIF(AL$4:AL16,AL16)=1),1,0)</f>
        <v/>
      </c>
      <c r="AN16">
        <f>IF(ROW()-3&gt;MAX(AM$4:AM$40),"",INDEX(AL$4:AL$40,MATCH(ROW()-3,AM$4:AM$40,0)))</f>
        <v/>
      </c>
      <c r="AO16" s="55">
        <f>IF('Final Calculation Sheet'!$C$16="","",'Final Calculation Sheet'!$C$16)</f>
        <v/>
      </c>
      <c r="AP16">
        <f>IF(AO16="","",COUNTIFS(AO$4:AO$40,"&lt;"&amp;AO16,AO$4:AO$40,"&lt;&gt;"&amp;"")+COUNTIF(AO$4:AO16,AO16))</f>
        <v/>
      </c>
      <c r="AQ16" s="55">
        <f>IF(ROW()-3&gt;COUNTIF(AO$4:AO$40,"&lt;&gt;"&amp;""),"",INDEX(AO$4:AO$40,MATCH(ROW()-3,AP$4:AP$40,0)))</f>
        <v/>
      </c>
      <c r="AR16">
        <f>AR15+IF(AND(AQ16&lt;&gt;"",COUNTIF(AQ$4:AQ16,AQ16)=1),1,0)</f>
        <v/>
      </c>
      <c r="AS16" s="55">
        <f>IF(ROW()-3&gt;MAX(AR$4:AR$40),"",INDEX(AQ$4:AQ$40,MATCH(ROW()-3,AR$4:AR$40,0)))</f>
        <v/>
      </c>
      <c r="AT16" s="55">
        <f>IF('Final Calculation Sheet'!$H$16="","",'Final Calculation Sheet'!$H$16)</f>
        <v/>
      </c>
      <c r="AU16">
        <f>IF(AT16="","",COUNTIFS(AT$4:AT$40,"&lt;"&amp;AT16,AT$4:AT$40,"&lt;&gt;"&amp;"")+COUNTIF(AT$4:AT16,AT16))</f>
        <v/>
      </c>
      <c r="AV16" s="55">
        <f>IF(ROW()-3&gt;COUNTIF(AT$4:AT$40,"&lt;&gt;"&amp;""),"",INDEX(AT$4:AT$40,MATCH(ROW()-3,AU$4:AU$40,0)))</f>
        <v/>
      </c>
      <c r="AW16">
        <f>AW15+IF(AND(AV16&lt;&gt;"",COUNTIF(AV$4:AV16,AV16)=1),1,0)</f>
        <v/>
      </c>
      <c r="AX16" s="55">
        <f>IF(ROW()-3&gt;MAX(AW$4:AW$40),"",INDEX(AV$4:AV$40,MATCH(ROW()-3,AW$4:AW$40,0)))</f>
        <v/>
      </c>
      <c r="AY16" s="55">
        <f>IF('Final Calculation Sheet'!$I$16="","",'Final Calculation Sheet'!$I$16)</f>
        <v/>
      </c>
      <c r="AZ16">
        <f>IF(AY16="","",COUNTIFS(AY$4:AY$40,"&lt;"&amp;AY16,AY$4:AY$40,"&lt;&gt;"&amp;"")+COUNTIF(AY$4:AY16,AY16))</f>
        <v/>
      </c>
      <c r="BA16" s="55">
        <f>IF(ROW()-3&gt;COUNTIF(AY$4:AY$40,"&lt;&gt;"&amp;""),"",INDEX(AY$4:AY$40,MATCH(ROW()-3,AZ$4:AZ$40,0)))</f>
        <v/>
      </c>
      <c r="BB16">
        <f>BB15+IF(AND(BA16&lt;&gt;"",COUNTIF(BA$4:BA16,BA16)=1),1,0)</f>
        <v/>
      </c>
      <c r="BC16" s="55">
        <f>IF(ROW()-3&gt;MAX(BB$4:BB$40),"",INDEX(BA$4:BA$40,MATCH(ROW()-3,BB$4:BB$40,0)))</f>
        <v/>
      </c>
      <c r="BD16" s="55">
        <f>IF('Final Calculation Sheet'!$J$16="","",'Final Calculation Sheet'!$J$16)</f>
        <v/>
      </c>
      <c r="BE16">
        <f>IF(BD16="","",COUNTIFS(BD$4:BD$40,"&lt;"&amp;BD16,BD$4:BD$40,"&lt;&gt;"&amp;"")+COUNTIF(BD$4:BD16,BD16))</f>
        <v/>
      </c>
      <c r="BF16" s="55">
        <f>IF(ROW()-3&gt;COUNTIF(BD$4:BD$40,"&lt;&gt;"&amp;""),"",INDEX(BD$4:BD$40,MATCH(ROW()-3,BE$4:BE$40,0)))</f>
        <v/>
      </c>
      <c r="BG16">
        <f>BG15+IF(AND(BF16&lt;&gt;"",COUNTIF(BF$4:BF16,BF16)=1),1,0)</f>
        <v/>
      </c>
      <c r="BH16" s="55">
        <f>IF(ROW()-3&gt;MAX(BG$4:BG$40),"",INDEX(BF$4:BF$40,MATCH(ROW()-3,BG$4:BG$40,0)))</f>
        <v/>
      </c>
      <c r="BI16" s="55">
        <f>IF('Final Calculation Sheet'!$K$16="","",'Final Calculation Sheet'!$K$16)</f>
        <v/>
      </c>
      <c r="BJ16">
        <f>IF(BI16="","",COUNTIFS(BI$4:BI$40,"&lt;"&amp;BI16,BI$4:BI$40,"&lt;&gt;"&amp;"")+COUNTIF(BI$4:BI16,BI16))</f>
        <v/>
      </c>
      <c r="BK16" s="55">
        <f>IF(ROW()-3&gt;COUNTIF(BI$4:BI$40,"&lt;&gt;"&amp;""),"",INDEX(BI$4:BI$40,MATCH(ROW()-3,BJ$4:BJ$40,0)))</f>
        <v/>
      </c>
      <c r="BL16">
        <f>BL15+IF(AND(BK16&lt;&gt;"",COUNTIF(BK$4:BK16,BK16)=1),1,0)</f>
        <v/>
      </c>
      <c r="BM16" s="55">
        <f>IF(ROW()-3&gt;MAX(BL$4:BL$40),"",INDEX(BK$4:BK$40,MATCH(ROW()-3,BL$4:BL$40,0)))</f>
        <v/>
      </c>
      <c r="BN16" s="55">
        <f>IF('Final Calculation Sheet'!$L$16="","",'Final Calculation Sheet'!$L$16)</f>
        <v/>
      </c>
      <c r="BO16">
        <f>IF(BN16="","",COUNTIFS(BN$4:BN$40,"&lt;"&amp;BN16,BN$4:BN$40,"&lt;&gt;"&amp;"")+COUNTIF(BN$4:BN16,BN16))</f>
        <v/>
      </c>
      <c r="BP16" s="55">
        <f>IF(ROW()-3&gt;COUNTIF(BN$4:BN$40,"&lt;&gt;"&amp;""),"",INDEX(BN$4:BN$40,MATCH(ROW()-3,BO$4:BO$40,0)))</f>
        <v/>
      </c>
      <c r="BQ16">
        <f>BQ15+IF(AND(BP16&lt;&gt;"",COUNTIF(BP$4:BP16,BP16)=1),1,0)</f>
        <v/>
      </c>
      <c r="BR16" s="55">
        <f>IF(ROW()-3&gt;MAX(BQ$4:BQ$40),"",INDEX(BP$4:BP$40,MATCH(ROW()-3,BQ$4:BQ$40,0)))</f>
        <v/>
      </c>
      <c r="BS16" s="55">
        <f>IF('Final Calculation Sheet'!$M$16="","",'Final Calculation Sheet'!$M$16)</f>
        <v/>
      </c>
      <c r="BT16">
        <f>IF(BS16="","",COUNTIFS(BS$4:BS$40,"&lt;"&amp;BS16,BS$4:BS$40,"&lt;&gt;"&amp;"")+COUNTIF(BS$4:BS16,BS16))</f>
        <v/>
      </c>
      <c r="BU16" s="55">
        <f>IF(ROW()-3&gt;COUNTIF(BS$4:BS$40,"&lt;&gt;"&amp;""),"",INDEX(BS$4:BS$40,MATCH(ROW()-3,BT$4:BT$40,0)))</f>
        <v/>
      </c>
      <c r="BV16">
        <f>BV15+IF(AND(BU16&lt;&gt;"",COUNTIF(BU$4:BU16,BU16)=1),1,0)</f>
        <v/>
      </c>
      <c r="BW16" s="55">
        <f>IF(ROW()-3&gt;MAX(BV$4:BV$40),"",INDEX(BU$4:BU$40,MATCH(ROW()-3,BV$4:BV$40,0)))</f>
        <v/>
      </c>
      <c r="BX16" s="138">
        <f>IF('Final Calculation Sheet'!$N$16="","",'Final Calculation Sheet'!$N$16)</f>
        <v/>
      </c>
      <c r="BY16">
        <f>IF(BX16="","",COUNTIFS(BX$4:BX$40,"&lt;"&amp;BX16,BX$4:BX$40,"&lt;&gt;"&amp;"")+COUNTIF(BX$4:BX16,BX16))</f>
        <v/>
      </c>
      <c r="BZ16" s="138">
        <f>IF(ROW()-3&gt;COUNTIF(BX$4:BX$40,"&lt;&gt;"&amp;""),"",INDEX(BX$4:BX$40,MATCH(ROW()-3,BY$4:BY$40,0)))</f>
        <v/>
      </c>
      <c r="CA16">
        <f>CA15+IF(AND(BZ16&lt;&gt;"",COUNTIF(BZ$4:BZ16,BZ16)=1),1,0)</f>
        <v/>
      </c>
      <c r="CB16" s="138">
        <f>IF(ROW()-3&gt;MAX(CA$4:CA$40),"",INDEX(BZ$4:BZ$40,MATCH(ROW()-3,CA$4:CA$40,0)))</f>
        <v/>
      </c>
      <c r="CC16" s="55">
        <f>IF('Final Calculation Sheet'!$O$16="","",'Final Calculation Sheet'!$O$16)</f>
        <v/>
      </c>
      <c r="CD16">
        <f>IF(CC16="","",COUNTIFS(CC$4:CC$40,"&lt;"&amp;CC16,CC$4:CC$40,"&lt;&gt;"&amp;"")+COUNTIF(CC$4:CC16,CC16))</f>
        <v/>
      </c>
      <c r="CE16" s="55">
        <f>IF(ROW()-3&gt;COUNTIF(CC$4:CC$40,"&lt;&gt;"&amp;""),"",INDEX(CC$4:CC$40,MATCH(ROW()-3,CD$4:CD$40,0)))</f>
        <v/>
      </c>
      <c r="CF16">
        <f>CF15+IF(AND(CE16&lt;&gt;"",COUNTIF(CE$4:CE16,CE16)=1),1,0)</f>
        <v/>
      </c>
      <c r="CG16" s="55">
        <f>IF(ROW()-3&gt;MAX(CF$4:CF$40),"",INDEX(CE$4:CE$40,MATCH(ROW()-3,CF$4:CF$40,0)))</f>
        <v/>
      </c>
      <c r="CH16" s="55">
        <f>IF('Final Calculation Sheet'!$P$16="","",'Final Calculation Sheet'!$P$16)</f>
        <v/>
      </c>
      <c r="CI16">
        <f>IF(CH16="","",COUNTIFS(CH$4:CH$40,"&lt;"&amp;CH16,CH$4:CH$40,"&lt;&gt;"&amp;"")+COUNTIF(CH$4:CH16,CH16))</f>
        <v/>
      </c>
      <c r="CJ16" s="55">
        <f>IF(ROW()-3&gt;COUNTIF(CH$4:CH$40,"&lt;&gt;"&amp;""),"",INDEX(CH$4:CH$40,MATCH(ROW()-3,CI$4:CI$40,0)))</f>
        <v/>
      </c>
      <c r="CK16">
        <f>CK15+IF(AND(CJ16&lt;&gt;"",COUNTIF(CJ$4:CJ16,CJ16)=1),1,0)</f>
        <v/>
      </c>
      <c r="CL16" s="55">
        <f>IF(ROW()-3&gt;MAX(CK$4:CK$40),"",INDEX(CJ$4:CJ$40,MATCH(ROW()-3,CK$4:CK$40,0)))</f>
        <v/>
      </c>
      <c r="CM16" s="139">
        <f>IF('Final Calculation Sheet'!$Q$16="","",'Final Calculation Sheet'!$Q$16)</f>
        <v/>
      </c>
      <c r="CN16">
        <f>IF(CM16="","",COUNTIFS(CM$4:CM$40,"&lt;"&amp;CM16,CM$4:CM$40,"&lt;&gt;"&amp;"")+COUNTIF(CM$4:CM16,CM16))</f>
        <v/>
      </c>
      <c r="CO16" s="139">
        <f>IF(ROW()-3&gt;COUNTIF(CM$4:CM$40,"&lt;&gt;"&amp;""),"",INDEX(CM$4:CM$40,MATCH(ROW()-3,CN$4:CN$40,0)))</f>
        <v/>
      </c>
      <c r="CP16">
        <f>CP15+IF(AND(CO16&lt;&gt;"",COUNTIF(CO$4:CO16,CO16)=1),1,0)</f>
        <v/>
      </c>
      <c r="CQ16">
        <f>IF(ROW()-3&gt;MAX(CP$4:CP$40),"",INDEX(CO$4:CO$40,MATCH(ROW()-3,CP$4:CP$40,0)))</f>
        <v/>
      </c>
      <c r="CR16" s="55">
        <f>IF('Final Calculation Sheet'!$R$16="","",'Final Calculation Sheet'!$R$16)</f>
        <v/>
      </c>
      <c r="CS16">
        <f>IF(CR16="","",COUNTIFS(CR$4:CR$40,"&lt;"&amp;CR16,CR$4:CR$40,"&lt;&gt;"&amp;"")+COUNTIF(CR$4:CR16,CR16))</f>
        <v/>
      </c>
      <c r="CT16" s="55">
        <f>IF(ROW()-3&gt;COUNTIF(CR$4:CR$40,"&lt;&gt;"&amp;""),"",INDEX(CR$4:CR$40,MATCH(ROW()-3,CS$4:CS$40,0)))</f>
        <v/>
      </c>
      <c r="CU16">
        <f>CU15+IF(AND(CT16&lt;&gt;"",COUNTIF(CT$4:CT16,CT16)=1),1,0)</f>
        <v/>
      </c>
      <c r="CV16">
        <f>IF(ROW()-3&gt;MAX(CU$4:CU$40),"",INDEX(CT$4:CT$40,MATCH(ROW()-3,CU$4:CU$40,0)))</f>
        <v/>
      </c>
      <c r="CW16" s="55">
        <f>IF('Final Calculation Sheet'!$S$16="","",'Final Calculation Sheet'!$S$16)</f>
        <v/>
      </c>
      <c r="CX16">
        <f>IF(CW16="","",COUNTIFS(CW$4:CW$40,"&lt;"&amp;CW16,CW$4:CW$40,"&lt;&gt;"&amp;"")+COUNTIF(CW$4:CW16,CW16))</f>
        <v/>
      </c>
      <c r="CY16" s="55">
        <f>IF(ROW()-3&gt;COUNTIF(CW$4:CW$40,"&lt;&gt;"&amp;""),"",INDEX(CW$4:CW$40,MATCH(ROW()-3,CX$4:CX$40,0)))</f>
        <v/>
      </c>
      <c r="CZ16">
        <f>CZ15+IF(AND(CY16&lt;&gt;"",COUNTIF(CY$4:CY16,CY16)=1),1,0)</f>
        <v/>
      </c>
      <c r="DA16" s="55">
        <f>IF(ROW()-3&gt;MAX(CZ$4:CZ$40),"",INDEX(CY$4:CY$40,MATCH(ROW()-3,CZ$4:CZ$40,0)))</f>
        <v/>
      </c>
      <c r="DB16" s="55">
        <f>IF('Final Calculation Sheet'!$T$16="","",'Final Calculation Sheet'!$T$16)</f>
        <v/>
      </c>
      <c r="DC16">
        <f>IF(DB16="","",COUNTIFS(DB$4:DB$40,"&lt;"&amp;DB16,DB$4:DB$40,"&lt;&gt;"&amp;"")+COUNTIF(DB$4:DB16,DB16))</f>
        <v/>
      </c>
      <c r="DD16" s="55">
        <f>IF(ROW()-3&gt;COUNTIF(DB$4:DB$40,"&lt;&gt;"&amp;""),"",INDEX(DB$4:DB$40,MATCH(ROW()-3,DC$4:DC$40,0)))</f>
        <v/>
      </c>
      <c r="DE16">
        <f>DE15+IF(AND(DD16&lt;&gt;"",COUNTIF(DD$4:DD16,DD16)=1),1,0)</f>
        <v/>
      </c>
      <c r="DF16" s="55">
        <f>IF(ROW()-3&gt;MAX(DE$4:DE$40),"",INDEX(DD$4:DD$40,MATCH(ROW()-3,DE$4:DE$40,0)))</f>
        <v/>
      </c>
      <c r="DG16" s="140">
        <f>IF('Final Calculation Sheet'!$U$16="","",'Final Calculation Sheet'!$U$16)</f>
        <v/>
      </c>
      <c r="DH16">
        <f>IF(DG16="","",COUNTIFS(DG$4:DG$40,"&lt;"&amp;DG16,DG$4:DG$40,"&lt;&gt;"&amp;"")+COUNTIF(DG$4:DG16,DG16))</f>
        <v/>
      </c>
      <c r="DI16" s="140">
        <f>IF(ROW()-3&gt;COUNTIF(DG$4:DG$40,"&lt;&gt;"&amp;""),"",INDEX(DG$4:DG$40,MATCH(ROW()-3,DH$4:DH$40,0)))</f>
        <v/>
      </c>
      <c r="DJ16">
        <f>DJ15+IF(AND(DI16&lt;&gt;"",COUNTIF(DI$4:DI16,DI16)=1),1,0)</f>
        <v/>
      </c>
      <c r="DK16" s="140">
        <f>IF(ROW()-3&gt;MAX(DJ$4:DJ$40),"",INDEX(DI$4:DI$40,MATCH(ROW()-3,DJ$4:DJ$40,0)))</f>
        <v/>
      </c>
      <c r="DL16">
        <f>IF('Final Calculation Sheet'!$V$16="","",'Final Calculation Sheet'!$V$16)</f>
        <v/>
      </c>
      <c r="DM16">
        <f>IF(DL16="","",COUNTIFS(DL$4:DL$40,"&lt;"&amp;DL16,DL$4:DL$40,"&lt;&gt;"&amp;"")+COUNTIF(DL$4:DL16,DL16))</f>
        <v/>
      </c>
      <c r="DN16">
        <f>IF(ROW()-3&gt;COUNTIF(DL$4:DL$40,"&lt;&gt;"&amp;""),"",INDEX(DL$4:DL$40,MATCH(ROW()-3,DM$4:DM$40,0)))</f>
        <v/>
      </c>
      <c r="DO16">
        <f>DO15+IF(AND(DN16&lt;&gt;"",COUNTIF(DN$4:DN16,DN16)=1),1,0)</f>
        <v/>
      </c>
      <c r="DP16">
        <f>IF(ROW()-3&gt;MAX(DO$4:DO$40),"",INDEX(DN$4:DN$40,MATCH(ROW()-3,DO$4:DO$40,0)))</f>
        <v/>
      </c>
      <c r="DQ16" s="55">
        <f>IF('Final Calculation Sheet'!$W$16="","",'Final Calculation Sheet'!$W$16)</f>
        <v/>
      </c>
      <c r="DR16">
        <f>IF(DQ16="","",COUNTIFS(DQ$4:DQ$40,"&lt;"&amp;DQ16,DQ$4:DQ$40,"&lt;&gt;"&amp;"")+COUNTIF(DQ$4:DQ16,DQ16))</f>
        <v/>
      </c>
      <c r="DS16" s="55">
        <f>IF(ROW()-3&gt;COUNTIF(DQ$4:DQ$40,"&lt;&gt;"&amp;""),"",INDEX(DQ$4:DQ$40,MATCH(ROW()-3,DR$4:DR$40,0)))</f>
        <v/>
      </c>
      <c r="DT16">
        <f>DT15+IF(AND(DS16&lt;&gt;"",COUNTIF(DS$4:DS16,DS16)=1),1,0)</f>
        <v/>
      </c>
      <c r="DU16" s="55">
        <f>IF(ROW()-3&gt;MAX(DT$4:DT$40),"",INDEX(DS$4:DS$40,MATCH(ROW()-3,DT$4:DT$40,0)))</f>
        <v/>
      </c>
      <c r="DV16" s="55">
        <f>IF('Final Calculation Sheet'!$X$16="","",'Final Calculation Sheet'!$X$16)</f>
        <v/>
      </c>
      <c r="DW16">
        <f>IF(DV16="","",COUNTIFS(DV$4:DV$40,"&lt;"&amp;DV16,DV$4:DV$40,"&lt;&gt;"&amp;"")+COUNTIF(DV$4:DV16,DV16))</f>
        <v/>
      </c>
      <c r="DX16" s="55">
        <f>IF(ROW()-3&gt;COUNTIF(DV$4:DV$40,"&lt;&gt;"&amp;""),"",INDEX(DV$4:DV$40,MATCH(ROW()-3,DW$4:DW$40,0)))</f>
        <v/>
      </c>
      <c r="DY16">
        <f>DY15+IF(AND(DX16&lt;&gt;"",COUNTIF(DX$4:DX16,DX16)=1),1,0)</f>
        <v/>
      </c>
      <c r="DZ16">
        <f>IF(ROW()-3&gt;MAX(DY$4:DY$40),"",INDEX(DX$4:DX$40,MATCH(ROW()-3,DY$4:DY$40,0)))</f>
        <v/>
      </c>
      <c r="EA16">
        <f>IF('Final Calculation Sheet'!$Y$16="","",'Final Calculation Sheet'!$Y$16)</f>
        <v/>
      </c>
      <c r="EB16">
        <f>IF(EA16="","",COUNTIFS(EA$4:EA$40,"&lt;"&amp;EA16,EA$4:EA$40,"&lt;&gt;"&amp;"")+COUNTIF(EA$4:EA16,EA16))</f>
        <v/>
      </c>
      <c r="EC16">
        <f>IF(ROW()-3&gt;COUNTIF(EA$4:EA$40,"&lt;&gt;"&amp;""),"",INDEX(EA$4:EA$40,MATCH(ROW()-3,EB$4:EB$40,0)))</f>
        <v/>
      </c>
      <c r="ED16">
        <f>ED15+IF(AND(EC16&lt;&gt;"",COUNTIF(EC$4:EC16,EC16)=1),1,0)</f>
        <v/>
      </c>
      <c r="EE16">
        <f>IF(ROW()-3&gt;MAX(ED$4:ED$40),"",INDEX(EC$4:EC$40,MATCH(ROW()-3,ED$4:ED$40,0)))</f>
        <v/>
      </c>
      <c r="EF16" s="55">
        <f>IF('Final Calculation Sheet'!$Z$16="","",'Final Calculation Sheet'!$Z$16)</f>
        <v/>
      </c>
      <c r="EG16">
        <f>IF(EF16="","",COUNTIFS(EF$4:EF$40,"&lt;"&amp;EF16,EF$4:EF$40,"&lt;&gt;"&amp;"")+COUNTIF(EF$4:EF16,EF16))</f>
        <v/>
      </c>
      <c r="EH16" s="55">
        <f>IF(ROW()-3&gt;COUNTIF(EF$4:EF$40,"&lt;&gt;"&amp;""),"",INDEX(EF$4:EF$40,MATCH(ROW()-3,EG$4:EG$40,0)))</f>
        <v/>
      </c>
      <c r="EI16">
        <f>EI15+IF(AND(EH16&lt;&gt;"",COUNTIF(EH$4:EH16,EH16)=1),1,0)</f>
        <v/>
      </c>
      <c r="EJ16">
        <f>IF(ROW()-3&gt;MAX(EI$4:EI$40),"",INDEX(EH$4:EH$40,MATCH(ROW()-3,EI$4:EI$40,0)))</f>
        <v/>
      </c>
      <c r="EK16">
        <f>IF('Final Calculation Sheet'!$AA$16="","",'Final Calculation Sheet'!$AA$16)</f>
        <v/>
      </c>
      <c r="EL16">
        <f>IF(EK16="","",COUNTIFS(EK$4:EK$40,"&lt;"&amp;EK16,EK$4:EK$40,"&lt;&gt;"&amp;"")+COUNTIF(EK$4:EK16,EK16))</f>
        <v/>
      </c>
      <c r="EM16">
        <f>IF(ROW()-3&gt;COUNTIF(EK$4:EK$40,"&lt;&gt;"&amp;""),"",INDEX(EK$4:EK$40,MATCH(ROW()-3,EL$4:EL$40,0)))</f>
        <v/>
      </c>
      <c r="EN16">
        <f>EN15+IF(AND(EM16&lt;&gt;"",COUNTIF(EM$4:EM16,EM16)=1),1,0)</f>
        <v/>
      </c>
      <c r="EO16">
        <f>IF(ROW()-3&gt;MAX(EN$4:EN$40),"",INDEX(EM$4:EM$40,MATCH(ROW()-3,EN$4:EN$40,0)))</f>
        <v/>
      </c>
      <c r="EP16">
        <f>IF('Final Calculation Sheet'!$AB$16="","",'Final Calculation Sheet'!$AB$16)</f>
        <v/>
      </c>
      <c r="EQ16">
        <f>IF(EP16="","",COUNTIFS(EP$4:EP$40,"&lt;"&amp;EP16,EP$4:EP$40,"&lt;&gt;"&amp;"")+COUNTIF(EP$4:EP16,EP16))</f>
        <v/>
      </c>
      <c r="ER16">
        <f>IF(ROW()-3&gt;COUNTIF(EP$4:EP$40,"&lt;&gt;"&amp;""),"",INDEX(EP$4:EP$40,MATCH(ROW()-3,EQ$4:EQ$40,0)))</f>
        <v/>
      </c>
      <c r="ES16">
        <f>ES15+IF(AND(ER16&lt;&gt;"",COUNTIF(ER$4:ER16,ER16)=1),1,0)</f>
        <v/>
      </c>
      <c r="ET16">
        <f>IF(ROW()-3&gt;MAX(ES$4:ES$40),"",INDEX(ER$4:ER$40,MATCH(ROW()-3,ES$4:ES$40,0)))</f>
        <v/>
      </c>
      <c r="EU16" s="55">
        <f>IF('Final Calculation Sheet'!$AC$16="","",'Final Calculation Sheet'!$AC$16)</f>
        <v/>
      </c>
      <c r="EV16">
        <f>IF(EU16="","",COUNTIFS(EU$4:EU$40,"&lt;"&amp;EU16,EU$4:EU$40,"&lt;&gt;"&amp;"")+COUNTIF(EU$4:EU16,EU16))</f>
        <v/>
      </c>
      <c r="EW16" s="55">
        <f>IF(ROW()-3&gt;COUNTIF(EU$4:EU$40,"&lt;&gt;"&amp;""),"",INDEX(EU$4:EU$40,MATCH(ROW()-3,EV$4:EV$40,0)))</f>
        <v/>
      </c>
      <c r="EX16">
        <f>EX15+IF(AND(EW16&lt;&gt;"",COUNTIF(EW$4:EW16,EW16)=1),1,0)</f>
        <v/>
      </c>
      <c r="EY16" s="55">
        <f>IF(ROW()-3&gt;MAX(EX$4:EX$40),"",INDEX(EW$4:EW$40,MATCH(ROW()-3,EX$4:EX$40,0)))</f>
        <v/>
      </c>
      <c r="EZ16" s="55">
        <f>IF('Final Calculation Sheet'!$AD$16="","",'Final Calculation Sheet'!$AD$16)</f>
        <v/>
      </c>
      <c r="FA16">
        <f>IF(EZ16="","",COUNTIFS(EZ$4:EZ$40,"&lt;"&amp;EZ16,EZ$4:EZ$40,"&lt;&gt;"&amp;"")+COUNTIF(EZ$4:EZ16,EZ16))</f>
        <v/>
      </c>
      <c r="FB16" s="55">
        <f>IF(ROW()-3&gt;COUNTIF(EZ$4:EZ$40,"&lt;&gt;"&amp;""),"",INDEX(EZ$4:EZ$40,MATCH(ROW()-3,FA$4:FA$40,0)))</f>
        <v/>
      </c>
      <c r="FC16">
        <f>FC15+IF(AND(FB16&lt;&gt;"",COUNTIF(FB$4:FB16,FB16)=1),1,0)</f>
        <v/>
      </c>
      <c r="FD16">
        <f>IF(ROW()-3&gt;MAX(FC$4:FC$40),"",INDEX(FB$4:FB$40,MATCH(ROW()-3,FC$4:FC$40,0)))</f>
        <v/>
      </c>
      <c r="FE16">
        <f>IF('Final Calculation Sheet'!$AF$16="","",'Final Calculation Sheet'!$AF$16)</f>
        <v/>
      </c>
      <c r="FF16">
        <f>IF(FE16="","",COUNTIFS(FE$4:FE$40,"&lt;"&amp;FE16,FE$4:FE$40,"&lt;&gt;"&amp;"")+COUNTIF(FE$4:FE16,FE16))</f>
        <v/>
      </c>
      <c r="FG16">
        <f>IF(ROW()-3&gt;COUNTIF(FE$4:FE$40,"&lt;&gt;"&amp;""),"",INDEX(FE$4:FE$40,MATCH(ROW()-3,FF$4:FF$40,0)))</f>
        <v/>
      </c>
      <c r="FH16">
        <f>FH15+IF(AND(FG16&lt;&gt;"",COUNTIF(FG$4:FG16,FG16)=1),1,0)</f>
        <v/>
      </c>
      <c r="FI16">
        <f>IF(ROW()-3&gt;MAX(FH$4:FH$40),"",INDEX(FG$4:FG$40,MATCH(ROW()-3,FH$4:FH$40,0)))</f>
        <v/>
      </c>
      <c r="FJ16" s="141">
        <f>IF('Final Calculation Sheet'!$AG$16="","",'Final Calculation Sheet'!$AG$16)</f>
        <v/>
      </c>
      <c r="FK16">
        <f>IF(FJ16="","",COUNTIFS(FJ$4:FJ$40,"&lt;"&amp;FJ16,FJ$4:FJ$40,"&lt;&gt;"&amp;"")+COUNTIF(FJ$4:FJ16,FJ16))</f>
        <v/>
      </c>
      <c r="FL16" s="141">
        <f>IF(ROW()-3&gt;COUNTIF(FJ$4:FJ$40,"&lt;&gt;"&amp;""),"",INDEX(FJ$4:FJ$40,MATCH(ROW()-3,FK$4:FK$40,0)))</f>
        <v/>
      </c>
      <c r="FM16">
        <f>FM15+IF(AND(FL16&lt;&gt;"",COUNTIF(FL$4:FL16,FL16)=1),1,0)</f>
        <v/>
      </c>
      <c r="FN16">
        <f>IF(ROW()-3&gt;MAX(FM$4:FM$40),"",INDEX(FL$4:FL$40,MATCH(ROW()-3,FM$4:FM$40,0)))</f>
        <v/>
      </c>
      <c r="FO16">
        <f>IF('Final Calculation Sheet'!$AH$16="","",'Final Calculation Sheet'!$AH$16)</f>
        <v/>
      </c>
      <c r="FP16">
        <f>IF(FO16="","",COUNTIFS(FO$4:FO$40,"&lt;"&amp;FO16,FO$4:FO$40,"&lt;&gt;"&amp;"")+COUNTIF(FO$4:FO16,FO16))</f>
        <v/>
      </c>
      <c r="FQ16">
        <f>IF(ROW()-3&gt;COUNTIF(FO$4:FO$40,"&lt;&gt;"&amp;""),"",INDEX(FO$4:FO$40,MATCH(ROW()-3,FP$4:FP$40,0)))</f>
        <v/>
      </c>
      <c r="FR16">
        <f>FR15+IF(AND(FQ16&lt;&gt;"",COUNTIF(FQ$4:FQ16,FQ16)=1),1,0)</f>
        <v/>
      </c>
      <c r="FS16">
        <f>IF(ROW()-3&gt;MAX(FR$4:FR$40),"",INDEX(FQ$4:FQ$40,MATCH(ROW()-3,FR$4:FR$40,0)))</f>
        <v/>
      </c>
      <c r="FU16">
        <f>IF(FT16="","",COUNTIFS(FT$4:FT$40,"&lt;"&amp;FT16,FT$4:FT$40,"&lt;&gt;"&amp;"")+COUNTIF(FT$4:FT16,FT16))</f>
        <v/>
      </c>
      <c r="FV16">
        <f>IF(ROW()-3&gt;COUNTIF(FT$4:FT$40,"&lt;&gt;"&amp;""),"",INDEX(FT$4:FT$40,MATCH(ROW()-3,FU$4:FU$40,0)))</f>
        <v/>
      </c>
      <c r="FW16">
        <f>FW15+IF(AND(FV16&lt;&gt;"",COUNTIF(FV$4:FV16,FV16)=1),1,0)</f>
        <v/>
      </c>
      <c r="FX16">
        <f>IF(ROW()-3&gt;MAX(FW$4:FW$40),"",INDEX(FV$4:FV$40,MATCH(ROW()-3,FW$4:FW$40,0)))</f>
        <v/>
      </c>
      <c r="FY16">
        <f>IF(COUNTIF('Live Search'!BM$15:BO$15,0)+COUNTIF('Live Search'!BQ$15:CU$15,0)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6">
        <f>IF($Y$16="",FALSE,SUMPRODUCT(('Final Calculation Sheet'!$B$4:$B$40=$Y$16)*($FY$6:$FY$42=1))&gt;0)</f>
        <v/>
      </c>
      <c r="GA16">
        <f>$GA$15+--($FZ$16)</f>
        <v/>
      </c>
      <c r="GB16">
        <f>IF(ROW()-3&gt;MAX($GA$4:$GA$40),"",INDEX($Y$4:$Y$40,MATCH(ROW()-3,$GA$4:$GA$40,0)))</f>
        <v/>
      </c>
      <c r="GC16">
        <f>IF('Final Calculation Sheet'!$F$16="","",IF(TRIM('Final Calculation Sheet'!$G$2)="",'Final Calculation Sheet'!$F$16,IF(TRIM('Final Calculation Sheet'!$G$2)="(nonblank)",IF('Final Calculation Sheet'!$G$16&lt;&gt;"",'Final Calculation Sheet'!$F$16,""),IF(TRIM('Final Calculation Sheet'!$G$2)="(blank)",IF('Final Calculation Sheet'!$G$16="",'Final Calculation Sheet'!$F$16,""),IF(ISNUMBER(SEARCH(TRIM('Final Calculation Sheet'!$G$2),'Final Calculation Sheet'!$G$16)),'Final Calculation Sheet'!$F$16,"")))))</f>
        <v/>
      </c>
      <c r="GD16">
        <f>IF(GC16="","",COUNTIFS(GC$4:GC$40,"&lt;"&amp;GC16,GC$4:GC$40,"&lt;&gt;"&amp;"")+COUNTIF(GC$4:GC16,GC16))</f>
        <v/>
      </c>
      <c r="GE16">
        <f>IF(ROW()-3&gt;COUNTIF(GC$4:GC$40,"&lt;&gt;"&amp;""),"",INDEX(GC$4:GC$40,MATCH(ROW()-3,GD$4:GD$40,0)))</f>
        <v/>
      </c>
      <c r="GF16">
        <f>GF15+IF(AND(GE16&lt;&gt;"",COUNTIF(GE$4:GE16,GE16)=1),1,0)</f>
        <v/>
      </c>
      <c r="GG16">
        <f>IF(ROW()-3&gt;MAX(GF$4:GF$40),"",INDEX(GE$4:GE$40,MATCH(ROW()-3,GF$4:GF$40,0)))</f>
        <v/>
      </c>
      <c r="GH16">
        <f>IF('Final Calculation Sheet'!$F$16="","",IF('Live Search'!$BO$17=1,'Final Calculation Sheet'!$F$16,""))</f>
        <v/>
      </c>
      <c r="GI16">
        <f>IF(GH16="","",COUNTIFS(GH$4:GH$40,"&lt;"&amp;GH16,GH$4:GH$40,"&lt;&gt;"&amp;"")+COUNTIF(GH$4:GH16,GH16))</f>
        <v/>
      </c>
      <c r="GJ16">
        <f>IF(ROW()-3&gt;COUNTIF(GH$4:GH$40,"&lt;&gt;"&amp;""),"",INDEX(GH$4:GH$40,MATCH(ROW()-3,GI$4:GI$40,0)))</f>
        <v/>
      </c>
      <c r="GK16">
        <f>GK15+IF(AND(GJ16&lt;&gt;"",COUNTIF(GJ$4:GJ16,GJ16)=1),1,0)</f>
        <v/>
      </c>
      <c r="GL16">
        <f>IF(ROW()-3&gt;MAX(GK$4:GK$40),"",INDEX(GJ$4:GJ$40,MATCH(ROW()-3,GK$4:GK$40,0)))</f>
        <v/>
      </c>
      <c r="GM16">
        <f>IF('Final Calculation Sheet'!$F$16="","",IF(TRIM('Buyer Groups'!$C$4)="",'Final Calculation Sheet'!$F$16,IF(TRIM('Buyer Groups'!$C$4)="(nonblank)",IF('Final Calculation Sheet'!$G$16&lt;&gt;"",'Final Calculation Sheet'!$F$16,""),IF(TRIM('Buyer Groups'!$C$4)="(blank)",IF('Final Calculation Sheet'!$G$16="",'Final Calculation Sheet'!$F$16,""),IF(ISNUMBER(SEARCH(TRIM('Buyer Groups'!$C$4),'Final Calculation Sheet'!$G$16)),'Final Calculation Sheet'!$F$16,"")))))</f>
        <v/>
      </c>
      <c r="GN16">
        <f>IF(GM16="","",COUNTIFS(GM$4:GM$40,"&lt;"&amp;GM16,GM$4:GM$40,"&lt;&gt;"&amp;"")+COUNTIF(GM$4:GM16,GM16))</f>
        <v/>
      </c>
      <c r="GO16">
        <f>IF(ROW()-3&gt;COUNTIF(GM$4:GM$40,"&lt;&gt;"&amp;""),"",INDEX(GM$4:GM$40,MATCH(ROW()-3,GN$4:GN$40,0)))</f>
        <v/>
      </c>
      <c r="GP16">
        <f>GP15+IF(AND(GO16&lt;&gt;"",COUNTIF(GO$4:GO16,GO16)=1),1,0)</f>
        <v/>
      </c>
      <c r="GQ16">
        <f>IF(ROW()-3&gt;MAX(GP$4:GP$40),"",INDEX(GO$4:GO$40,MATCH(ROW()-3,GP$4:GP$40,0)))</f>
        <v/>
      </c>
      <c r="GR16">
        <f>IF('Final Calculation Sheet'!$B$16="","",IF(TRIM('Final Calculation Sheet'!$G$2)="",'Final Calculation Sheet'!$B$16,IF(TRIM('Final Calculation Sheet'!$G$2)="(nonblank)",IF('Final Calculation Sheet'!$G$16&lt;&gt;"",'Final Calculation Sheet'!$B$16,""),IF(TRIM('Final Calculation Sheet'!$G$2)="(blank)",IF('Final Calculation Sheet'!$G$16="",'Final Calculation Sheet'!$B$16,""),IF(ISNUMBER(SEARCH(TRIM('Final Calculation Sheet'!$G$2),'Final Calculation Sheet'!$G$16)),'Final Calculation Sheet'!$B$16,"")))))</f>
        <v/>
      </c>
      <c r="GS16">
        <f>IF(GR16="","",COUNTIFS(GR$4:GR$40,"&lt;"&amp;GR16,GR$4:GR$40,"&lt;&gt;"&amp;"")+COUNTIF(GR$4:GR16,GR16))</f>
        <v/>
      </c>
      <c r="GT16">
        <f>IF(ROW()-3&gt;COUNTIF(GR$4:GR$40,"&lt;&gt;"&amp;""),"",INDEX(GR$4:GR$40,MATCH(ROW()-3,GS$4:GS$40,0)))</f>
        <v/>
      </c>
      <c r="GU16">
        <f>GU15+IF(AND(GT16&lt;&gt;"",COUNTIF(GT$4:GT16,GT16)=1),1,0)</f>
        <v/>
      </c>
      <c r="GV16">
        <f>IF(ROW()-3&gt;MAX(GU$4:GU$40),"",INDEX(GT$4:GT$40,MATCH(ROW()-3,GU$4:GU$40,0)))</f>
        <v/>
      </c>
      <c r="GW16">
        <f>IF('Final Calculation Sheet'!$B$16="","",IF(TRIM('Buyer Groups'!$C$4)="",'Final Calculation Sheet'!$B$16,IF(TRIM('Buyer Groups'!$C$4)="(nonblank)",IF('Final Calculation Sheet'!$G$16&lt;&gt;"",'Final Calculation Sheet'!$B$16,""),IF(TRIM('Buyer Groups'!$C$4)="(blank)",IF('Final Calculation Sheet'!$G$16="",'Final Calculation Sheet'!$B$16,""),IF(ISNUMBER(SEARCH(TRIM('Buyer Groups'!$C$4),'Final Calculation Sheet'!$G$16)),'Final Calculation Sheet'!$B$16,"")))))</f>
        <v/>
      </c>
      <c r="GX16">
        <f>IF(GW16="","",COUNTIFS(GW$4:GW$40,"&lt;"&amp;GW16,GW$4:GW$40,"&lt;&gt;"&amp;"")+COUNTIF(GW$4:GW16,GW16))</f>
        <v/>
      </c>
      <c r="GY16">
        <f>IF(ROW()-3&gt;COUNTIF(GW$4:GW$40,"&lt;&gt;"&amp;""),"",INDEX(GW$4:GW$40,MATCH(ROW()-3,GX$4:GX$40,0)))</f>
        <v/>
      </c>
      <c r="GZ16">
        <f>GZ15+IF(AND(GY16&lt;&gt;"",COUNTIF(GY$4:GY16,GY16)=1),1,0)</f>
        <v/>
      </c>
      <c r="HA16">
        <f>IF(ROW()-3&gt;MAX(GZ$4:GZ$40),"",INDEX(GY$4:GY$40,MATCH(ROW()-3,GZ$4:GZ$40,0)))</f>
        <v/>
      </c>
    </row>
    <row r="17">
      <c r="A17">
        <f>IF('Final Calculation Sheet'!$F$17="","",'Final Calculation Sheet'!$F$17)</f>
        <v/>
      </c>
      <c r="B17">
        <f>IF(A17="","",COUNTIFS(A$4:A$114,"&lt;"&amp;A17,A$4:A$114,"&lt;&gt;"&amp;"")+COUNTIF(A$4:A17,A17))</f>
        <v/>
      </c>
      <c r="C17">
        <f>IF(ROW()-3&gt;COUNTIF(A$4:A$114,"&lt;&gt;"&amp;""),"",INDEX(A$4:A$114,MATCH(ROW()-3,B$4:B$114,0)))</f>
        <v/>
      </c>
      <c r="D17">
        <f>D16+IF(AND(C17&lt;&gt;"",COUNTIF(C$4:C17,C17)=1),1,0)</f>
        <v/>
      </c>
      <c r="E17">
        <f>IF(ROW()-3&gt;MAX(D$4:D$114),"",INDEX(C$4:C$114,MATCH(ROW()-3,D$4:D$114,0)))</f>
        <v/>
      </c>
      <c r="F17">
        <f>ROW()-3</f>
        <v/>
      </c>
      <c r="G17">
        <f>IF(F17="","",COUNTIFS(F$4:F$40,"&lt;"&amp;F17,F$4:F$40,"&lt;&gt;"&amp;"")+COUNTIF(F$4:F17,F17))</f>
        <v/>
      </c>
      <c r="H17">
        <f>IF(ROW()-3&gt;COUNTIF(F$4:F$40,"&lt;&gt;"&amp;""),"",INDEX(F$4:F$40,MATCH(ROW()-3,G$4:G$40,0)))</f>
        <v/>
      </c>
      <c r="I17">
        <f>I16+IF(AND(H17&lt;&gt;"",COUNTIF(H$4:H17,H17)=1),1,0)</f>
        <v/>
      </c>
      <c r="J17">
        <f>IF(ROW()-3&gt;MAX(I$4:I$40),"",INDEX(H$4:H$40,MATCH(ROW()-3,I$4:I$40,0)))</f>
        <v/>
      </c>
      <c r="K17">
        <f>IF('Final Calculation Sheet'!$F$17="","",'Final Calculation Sheet'!$F$17)</f>
        <v/>
      </c>
      <c r="L17">
        <f>IF(K17="","",COUNTIFS(K$4:K$40,"&lt;"&amp;K17,K$4:K$40,"&lt;&gt;"&amp;"")+COUNTIF(K$4:K17,K17))</f>
        <v/>
      </c>
      <c r="M17">
        <f>IF(ROW()-3&gt;COUNTIF(K$4:K$40,"&lt;&gt;"&amp;""),"",INDEX(K$4:K$40,MATCH(ROW()-3,L$4:L$40,0)))</f>
        <v/>
      </c>
      <c r="N17">
        <f>N16+IF(AND(M17&lt;&gt;"",COUNTIF(M$4:M17,M17)=1),1,0)</f>
        <v/>
      </c>
      <c r="O17">
        <f>IF(ROW()-3&gt;MAX(N$4:N$40),"",INDEX(M$4:M$40,MATCH(ROW()-3,N$4:N$40,0)))</f>
        <v/>
      </c>
      <c r="P17">
        <f>IF('Final Calculation Sheet'!$G$17="","",'Final Calculation Sheet'!$G$17)</f>
        <v/>
      </c>
      <c r="Q17">
        <f>IF(P17="","",COUNTIFS(P$4:P$40,"&lt;"&amp;P17,P$4:P$40,"&lt;&gt;"&amp;"")+COUNTIF(P$4:P17,P17))</f>
        <v/>
      </c>
      <c r="R17">
        <f>IF(ROW()-3&gt;COUNTIF(P$4:P$40,"&lt;&gt;"&amp;""),"",INDEX(P$4:P$40,MATCH(ROW()-3,Q$4:Q$40,0)))</f>
        <v/>
      </c>
      <c r="S17">
        <f>S16+IF(AND(R17&lt;&gt;"",COUNTIF(R$4:R17,R17)=1),1,0)</f>
        <v/>
      </c>
      <c r="T17">
        <f>IF(ROW()-3&gt;MAX(S$4:S$40),"",INDEX(R$4:R$40,MATCH(ROW()-3,S$4:S$40,0)))</f>
        <v/>
      </c>
      <c r="U17">
        <f>IF('Final Calculation Sheet'!$B$17="","",'Final Calculation Sheet'!$B$17)</f>
        <v/>
      </c>
      <c r="V17">
        <f>IF(U17="","",COUNTIFS(U$4:U$40,"&lt;"&amp;U17,U$4:U$40,"&lt;&gt;"&amp;"")+COUNTIF(U$4:U17,U17))</f>
        <v/>
      </c>
      <c r="W17">
        <f>IF(ROW()-3&gt;COUNTIF(U$4:U$40,"&lt;&gt;"&amp;""),"",INDEX(U$4:U$40,MATCH(ROW()-3,V$4:V$40,0)))</f>
        <v/>
      </c>
      <c r="X17">
        <f>X16+IF(AND(W17&lt;&gt;"",COUNTIF(W$4:W17,W17)=1),1,0)</f>
        <v/>
      </c>
      <c r="Y17">
        <f>IF(ROW()-3&gt;MAX(X$4:X$40),"",INDEX(W$4:W$40,MATCH(ROW()-3,X$4:X$40,0)))</f>
        <v/>
      </c>
      <c r="Z17">
        <f>IF('Final Calculation Sheet'!$D$17="","",'Final Calculation Sheet'!$D$17)</f>
        <v/>
      </c>
      <c r="AA17">
        <f>IF(Z17="","",COUNTIFS(Z$4:Z$40,"&lt;"&amp;Z17,Z$4:Z$40,"&lt;&gt;"&amp;"")+COUNTIF(Z$4:Z17,Z17))</f>
        <v/>
      </c>
      <c r="AB17">
        <f>IF(ROW()-3&gt;COUNTIF(Z$4:Z$40,"&lt;&gt;"&amp;""),"",INDEX(Z$4:Z$40,MATCH(ROW()-3,AA$4:AA$40,0)))</f>
        <v/>
      </c>
      <c r="AC17">
        <f>AC16+IF(AND(AB17&lt;&gt;"",COUNTIF(AB$4:AB17,AB17)=1),1,0)</f>
        <v/>
      </c>
      <c r="AD17">
        <f>IF(ROW()-3&gt;MAX(AC$4:AC$40),"",INDEX(AB$4:AB$40,MATCH(ROW()-3,AC$4:AC$40,0)))</f>
        <v/>
      </c>
      <c r="AE17">
        <f>IF('Final Calculation Sheet'!$A$17="","",'Final Calculation Sheet'!$A$17)</f>
        <v/>
      </c>
      <c r="AF17">
        <f>IF(AE17="","",COUNTIFS(AE$4:AE$40,"&lt;"&amp;AE17,AE$4:AE$40,"&lt;&gt;"&amp;"")+COUNTIF(AE$4:AE17,AE17))</f>
        <v/>
      </c>
      <c r="AG17">
        <f>IF(ROW()-3&gt;COUNTIF(AE$4:AE$40,"&lt;&gt;"&amp;""),"",INDEX(AE$4:AE$40,MATCH(ROW()-3,AF$4:AF$40,0)))</f>
        <v/>
      </c>
      <c r="AH17">
        <f>AH16+IF(AND(AG17&lt;&gt;"",COUNTIF(AG$4:AG17,AG17)=1),1,0)</f>
        <v/>
      </c>
      <c r="AI17">
        <f>IF(ROW()-3&gt;MAX(AH$4:AH$40),"",INDEX(AG$4:AG$40,MATCH(ROW()-3,AH$4:AH$40,0)))</f>
        <v/>
      </c>
      <c r="AJ17">
        <f>IF('Final Calculation Sheet'!$E$17="","",'Final Calculation Sheet'!$E$17)</f>
        <v/>
      </c>
      <c r="AK17">
        <f>IF(AJ17="","",COUNTIFS(AJ$4:AJ$40,"&lt;"&amp;AJ17,AJ$4:AJ$40,"&lt;&gt;"&amp;"")+COUNTIF(AJ$4:AJ17,AJ17))</f>
        <v/>
      </c>
      <c r="AL17">
        <f>IF(ROW()-3&gt;COUNTIF(AJ$4:AJ$40,"&lt;&gt;"&amp;""),"",INDEX(AJ$4:AJ$40,MATCH(ROW()-3,AK$4:AK$40,0)))</f>
        <v/>
      </c>
      <c r="AM17">
        <f>AM16+IF(AND(AL17&lt;&gt;"",COUNTIF(AL$4:AL17,AL17)=1),1,0)</f>
        <v/>
      </c>
      <c r="AN17">
        <f>IF(ROW()-3&gt;MAX(AM$4:AM$40),"",INDEX(AL$4:AL$40,MATCH(ROW()-3,AM$4:AM$40,0)))</f>
        <v/>
      </c>
      <c r="AO17" s="55">
        <f>IF('Final Calculation Sheet'!$C$17="","",'Final Calculation Sheet'!$C$17)</f>
        <v/>
      </c>
      <c r="AP17">
        <f>IF(AO17="","",COUNTIFS(AO$4:AO$40,"&lt;"&amp;AO17,AO$4:AO$40,"&lt;&gt;"&amp;"")+COUNTIF(AO$4:AO17,AO17))</f>
        <v/>
      </c>
      <c r="AQ17" s="55">
        <f>IF(ROW()-3&gt;COUNTIF(AO$4:AO$40,"&lt;&gt;"&amp;""),"",INDEX(AO$4:AO$40,MATCH(ROW()-3,AP$4:AP$40,0)))</f>
        <v/>
      </c>
      <c r="AR17">
        <f>AR16+IF(AND(AQ17&lt;&gt;"",COUNTIF(AQ$4:AQ17,AQ17)=1),1,0)</f>
        <v/>
      </c>
      <c r="AS17" s="55">
        <f>IF(ROW()-3&gt;MAX(AR$4:AR$40),"",INDEX(AQ$4:AQ$40,MATCH(ROW()-3,AR$4:AR$40,0)))</f>
        <v/>
      </c>
      <c r="AT17" s="55">
        <f>IF('Final Calculation Sheet'!$H$17="","",'Final Calculation Sheet'!$H$17)</f>
        <v/>
      </c>
      <c r="AU17">
        <f>IF(AT17="","",COUNTIFS(AT$4:AT$40,"&lt;"&amp;AT17,AT$4:AT$40,"&lt;&gt;"&amp;"")+COUNTIF(AT$4:AT17,AT17))</f>
        <v/>
      </c>
      <c r="AV17" s="55">
        <f>IF(ROW()-3&gt;COUNTIF(AT$4:AT$40,"&lt;&gt;"&amp;""),"",INDEX(AT$4:AT$40,MATCH(ROW()-3,AU$4:AU$40,0)))</f>
        <v/>
      </c>
      <c r="AW17">
        <f>AW16+IF(AND(AV17&lt;&gt;"",COUNTIF(AV$4:AV17,AV17)=1),1,0)</f>
        <v/>
      </c>
      <c r="AX17" s="55">
        <f>IF(ROW()-3&gt;MAX(AW$4:AW$40),"",INDEX(AV$4:AV$40,MATCH(ROW()-3,AW$4:AW$40,0)))</f>
        <v/>
      </c>
      <c r="AY17" s="55">
        <f>IF('Final Calculation Sheet'!$I$17="","",'Final Calculation Sheet'!$I$17)</f>
        <v/>
      </c>
      <c r="AZ17">
        <f>IF(AY17="","",COUNTIFS(AY$4:AY$40,"&lt;"&amp;AY17,AY$4:AY$40,"&lt;&gt;"&amp;"")+COUNTIF(AY$4:AY17,AY17))</f>
        <v/>
      </c>
      <c r="BA17" s="55">
        <f>IF(ROW()-3&gt;COUNTIF(AY$4:AY$40,"&lt;&gt;"&amp;""),"",INDEX(AY$4:AY$40,MATCH(ROW()-3,AZ$4:AZ$40,0)))</f>
        <v/>
      </c>
      <c r="BB17">
        <f>BB16+IF(AND(BA17&lt;&gt;"",COUNTIF(BA$4:BA17,BA17)=1),1,0)</f>
        <v/>
      </c>
      <c r="BC17" s="55">
        <f>IF(ROW()-3&gt;MAX(BB$4:BB$40),"",INDEX(BA$4:BA$40,MATCH(ROW()-3,BB$4:BB$40,0)))</f>
        <v/>
      </c>
      <c r="BD17" s="55">
        <f>IF('Final Calculation Sheet'!$J$17="","",'Final Calculation Sheet'!$J$17)</f>
        <v/>
      </c>
      <c r="BE17">
        <f>IF(BD17="","",COUNTIFS(BD$4:BD$40,"&lt;"&amp;BD17,BD$4:BD$40,"&lt;&gt;"&amp;"")+COUNTIF(BD$4:BD17,BD17))</f>
        <v/>
      </c>
      <c r="BF17" s="55">
        <f>IF(ROW()-3&gt;COUNTIF(BD$4:BD$40,"&lt;&gt;"&amp;""),"",INDEX(BD$4:BD$40,MATCH(ROW()-3,BE$4:BE$40,0)))</f>
        <v/>
      </c>
      <c r="BG17">
        <f>BG16+IF(AND(BF17&lt;&gt;"",COUNTIF(BF$4:BF17,BF17)=1),1,0)</f>
        <v/>
      </c>
      <c r="BH17" s="55">
        <f>IF(ROW()-3&gt;MAX(BG$4:BG$40),"",INDEX(BF$4:BF$40,MATCH(ROW()-3,BG$4:BG$40,0)))</f>
        <v/>
      </c>
      <c r="BI17" s="55">
        <f>IF('Final Calculation Sheet'!$K$17="","",'Final Calculation Sheet'!$K$17)</f>
        <v/>
      </c>
      <c r="BJ17">
        <f>IF(BI17="","",COUNTIFS(BI$4:BI$40,"&lt;"&amp;BI17,BI$4:BI$40,"&lt;&gt;"&amp;"")+COUNTIF(BI$4:BI17,BI17))</f>
        <v/>
      </c>
      <c r="BK17" s="55">
        <f>IF(ROW()-3&gt;COUNTIF(BI$4:BI$40,"&lt;&gt;"&amp;""),"",INDEX(BI$4:BI$40,MATCH(ROW()-3,BJ$4:BJ$40,0)))</f>
        <v/>
      </c>
      <c r="BL17">
        <f>BL16+IF(AND(BK17&lt;&gt;"",COUNTIF(BK$4:BK17,BK17)=1),1,0)</f>
        <v/>
      </c>
      <c r="BM17" s="55">
        <f>IF(ROW()-3&gt;MAX(BL$4:BL$40),"",INDEX(BK$4:BK$40,MATCH(ROW()-3,BL$4:BL$40,0)))</f>
        <v/>
      </c>
      <c r="BN17" s="55">
        <f>IF('Final Calculation Sheet'!$L$17="","",'Final Calculation Sheet'!$L$17)</f>
        <v/>
      </c>
      <c r="BO17">
        <f>IF(BN17="","",COUNTIFS(BN$4:BN$40,"&lt;"&amp;BN17,BN$4:BN$40,"&lt;&gt;"&amp;"")+COUNTIF(BN$4:BN17,BN17))</f>
        <v/>
      </c>
      <c r="BP17" s="55">
        <f>IF(ROW()-3&gt;COUNTIF(BN$4:BN$40,"&lt;&gt;"&amp;""),"",INDEX(BN$4:BN$40,MATCH(ROW()-3,BO$4:BO$40,0)))</f>
        <v/>
      </c>
      <c r="BQ17">
        <f>BQ16+IF(AND(BP17&lt;&gt;"",COUNTIF(BP$4:BP17,BP17)=1),1,0)</f>
        <v/>
      </c>
      <c r="BR17" s="55">
        <f>IF(ROW()-3&gt;MAX(BQ$4:BQ$40),"",INDEX(BP$4:BP$40,MATCH(ROW()-3,BQ$4:BQ$40,0)))</f>
        <v/>
      </c>
      <c r="BS17" s="55">
        <f>IF('Final Calculation Sheet'!$M$17="","",'Final Calculation Sheet'!$M$17)</f>
        <v/>
      </c>
      <c r="BT17">
        <f>IF(BS17="","",COUNTIFS(BS$4:BS$40,"&lt;"&amp;BS17,BS$4:BS$40,"&lt;&gt;"&amp;"")+COUNTIF(BS$4:BS17,BS17))</f>
        <v/>
      </c>
      <c r="BU17" s="55">
        <f>IF(ROW()-3&gt;COUNTIF(BS$4:BS$40,"&lt;&gt;"&amp;""),"",INDEX(BS$4:BS$40,MATCH(ROW()-3,BT$4:BT$40,0)))</f>
        <v/>
      </c>
      <c r="BV17">
        <f>BV16+IF(AND(BU17&lt;&gt;"",COUNTIF(BU$4:BU17,BU17)=1),1,0)</f>
        <v/>
      </c>
      <c r="BW17" s="55">
        <f>IF(ROW()-3&gt;MAX(BV$4:BV$40),"",INDEX(BU$4:BU$40,MATCH(ROW()-3,BV$4:BV$40,0)))</f>
        <v/>
      </c>
      <c r="BX17" s="138">
        <f>IF('Final Calculation Sheet'!$N$17="","",'Final Calculation Sheet'!$N$17)</f>
        <v/>
      </c>
      <c r="BY17">
        <f>IF(BX17="","",COUNTIFS(BX$4:BX$40,"&lt;"&amp;BX17,BX$4:BX$40,"&lt;&gt;"&amp;"")+COUNTIF(BX$4:BX17,BX17))</f>
        <v/>
      </c>
      <c r="BZ17" s="138">
        <f>IF(ROW()-3&gt;COUNTIF(BX$4:BX$40,"&lt;&gt;"&amp;""),"",INDEX(BX$4:BX$40,MATCH(ROW()-3,BY$4:BY$40,0)))</f>
        <v/>
      </c>
      <c r="CA17">
        <f>CA16+IF(AND(BZ17&lt;&gt;"",COUNTIF(BZ$4:BZ17,BZ17)=1),1,0)</f>
        <v/>
      </c>
      <c r="CB17" s="138">
        <f>IF(ROW()-3&gt;MAX(CA$4:CA$40),"",INDEX(BZ$4:BZ$40,MATCH(ROW()-3,CA$4:CA$40,0)))</f>
        <v/>
      </c>
      <c r="CC17" s="55">
        <f>IF('Final Calculation Sheet'!$O$17="","",'Final Calculation Sheet'!$O$17)</f>
        <v/>
      </c>
      <c r="CD17">
        <f>IF(CC17="","",COUNTIFS(CC$4:CC$40,"&lt;"&amp;CC17,CC$4:CC$40,"&lt;&gt;"&amp;"")+COUNTIF(CC$4:CC17,CC17))</f>
        <v/>
      </c>
      <c r="CE17" s="55">
        <f>IF(ROW()-3&gt;COUNTIF(CC$4:CC$40,"&lt;&gt;"&amp;""),"",INDEX(CC$4:CC$40,MATCH(ROW()-3,CD$4:CD$40,0)))</f>
        <v/>
      </c>
      <c r="CF17">
        <f>CF16+IF(AND(CE17&lt;&gt;"",COUNTIF(CE$4:CE17,CE17)=1),1,0)</f>
        <v/>
      </c>
      <c r="CG17" s="55">
        <f>IF(ROW()-3&gt;MAX(CF$4:CF$40),"",INDEX(CE$4:CE$40,MATCH(ROW()-3,CF$4:CF$40,0)))</f>
        <v/>
      </c>
      <c r="CH17" s="55">
        <f>IF('Final Calculation Sheet'!$P$17="","",'Final Calculation Sheet'!$P$17)</f>
        <v/>
      </c>
      <c r="CI17">
        <f>IF(CH17="","",COUNTIFS(CH$4:CH$40,"&lt;"&amp;CH17,CH$4:CH$40,"&lt;&gt;"&amp;"")+COUNTIF(CH$4:CH17,CH17))</f>
        <v/>
      </c>
      <c r="CJ17" s="55">
        <f>IF(ROW()-3&gt;COUNTIF(CH$4:CH$40,"&lt;&gt;"&amp;""),"",INDEX(CH$4:CH$40,MATCH(ROW()-3,CI$4:CI$40,0)))</f>
        <v/>
      </c>
      <c r="CK17">
        <f>CK16+IF(AND(CJ17&lt;&gt;"",COUNTIF(CJ$4:CJ17,CJ17)=1),1,0)</f>
        <v/>
      </c>
      <c r="CL17" s="55">
        <f>IF(ROW()-3&gt;MAX(CK$4:CK$40),"",INDEX(CJ$4:CJ$40,MATCH(ROW()-3,CK$4:CK$40,0)))</f>
        <v/>
      </c>
      <c r="CM17" s="139">
        <f>IF('Final Calculation Sheet'!$Q$17="","",'Final Calculation Sheet'!$Q$17)</f>
        <v/>
      </c>
      <c r="CN17">
        <f>IF(CM17="","",COUNTIFS(CM$4:CM$40,"&lt;"&amp;CM17,CM$4:CM$40,"&lt;&gt;"&amp;"")+COUNTIF(CM$4:CM17,CM17))</f>
        <v/>
      </c>
      <c r="CO17" s="139">
        <f>IF(ROW()-3&gt;COUNTIF(CM$4:CM$40,"&lt;&gt;"&amp;""),"",INDEX(CM$4:CM$40,MATCH(ROW()-3,CN$4:CN$40,0)))</f>
        <v/>
      </c>
      <c r="CP17">
        <f>CP16+IF(AND(CO17&lt;&gt;"",COUNTIF(CO$4:CO17,CO17)=1),1,0)</f>
        <v/>
      </c>
      <c r="CQ17">
        <f>IF(ROW()-3&gt;MAX(CP$4:CP$40),"",INDEX(CO$4:CO$40,MATCH(ROW()-3,CP$4:CP$40,0)))</f>
        <v/>
      </c>
      <c r="CR17" s="55">
        <f>IF('Final Calculation Sheet'!$R$17="","",'Final Calculation Sheet'!$R$17)</f>
        <v/>
      </c>
      <c r="CS17">
        <f>IF(CR17="","",COUNTIFS(CR$4:CR$40,"&lt;"&amp;CR17,CR$4:CR$40,"&lt;&gt;"&amp;"")+COUNTIF(CR$4:CR17,CR17))</f>
        <v/>
      </c>
      <c r="CT17" s="55">
        <f>IF(ROW()-3&gt;COUNTIF(CR$4:CR$40,"&lt;&gt;"&amp;""),"",INDEX(CR$4:CR$40,MATCH(ROW()-3,CS$4:CS$40,0)))</f>
        <v/>
      </c>
      <c r="CU17">
        <f>CU16+IF(AND(CT17&lt;&gt;"",COUNTIF(CT$4:CT17,CT17)=1),1,0)</f>
        <v/>
      </c>
      <c r="CV17">
        <f>IF(ROW()-3&gt;MAX(CU$4:CU$40),"",INDEX(CT$4:CT$40,MATCH(ROW()-3,CU$4:CU$40,0)))</f>
        <v/>
      </c>
      <c r="CW17" s="55">
        <f>IF('Final Calculation Sheet'!$S$17="","",'Final Calculation Sheet'!$S$17)</f>
        <v/>
      </c>
      <c r="CX17">
        <f>IF(CW17="","",COUNTIFS(CW$4:CW$40,"&lt;"&amp;CW17,CW$4:CW$40,"&lt;&gt;"&amp;"")+COUNTIF(CW$4:CW17,CW17))</f>
        <v/>
      </c>
      <c r="CY17" s="55">
        <f>IF(ROW()-3&gt;COUNTIF(CW$4:CW$40,"&lt;&gt;"&amp;""),"",INDEX(CW$4:CW$40,MATCH(ROW()-3,CX$4:CX$40,0)))</f>
        <v/>
      </c>
      <c r="CZ17">
        <f>CZ16+IF(AND(CY17&lt;&gt;"",COUNTIF(CY$4:CY17,CY17)=1),1,0)</f>
        <v/>
      </c>
      <c r="DA17" s="55">
        <f>IF(ROW()-3&gt;MAX(CZ$4:CZ$40),"",INDEX(CY$4:CY$40,MATCH(ROW()-3,CZ$4:CZ$40,0)))</f>
        <v/>
      </c>
      <c r="DB17" s="55">
        <f>IF('Final Calculation Sheet'!$T$17="","",'Final Calculation Sheet'!$T$17)</f>
        <v/>
      </c>
      <c r="DC17">
        <f>IF(DB17="","",COUNTIFS(DB$4:DB$40,"&lt;"&amp;DB17,DB$4:DB$40,"&lt;&gt;"&amp;"")+COUNTIF(DB$4:DB17,DB17))</f>
        <v/>
      </c>
      <c r="DD17" s="55">
        <f>IF(ROW()-3&gt;COUNTIF(DB$4:DB$40,"&lt;&gt;"&amp;""),"",INDEX(DB$4:DB$40,MATCH(ROW()-3,DC$4:DC$40,0)))</f>
        <v/>
      </c>
      <c r="DE17">
        <f>DE16+IF(AND(DD17&lt;&gt;"",COUNTIF(DD$4:DD17,DD17)=1),1,0)</f>
        <v/>
      </c>
      <c r="DF17" s="55">
        <f>IF(ROW()-3&gt;MAX(DE$4:DE$40),"",INDEX(DD$4:DD$40,MATCH(ROW()-3,DE$4:DE$40,0)))</f>
        <v/>
      </c>
      <c r="DG17" s="140">
        <f>IF('Final Calculation Sheet'!$U$17="","",'Final Calculation Sheet'!$U$17)</f>
        <v/>
      </c>
      <c r="DH17">
        <f>IF(DG17="","",COUNTIFS(DG$4:DG$40,"&lt;"&amp;DG17,DG$4:DG$40,"&lt;&gt;"&amp;"")+COUNTIF(DG$4:DG17,DG17))</f>
        <v/>
      </c>
      <c r="DI17" s="140">
        <f>IF(ROW()-3&gt;COUNTIF(DG$4:DG$40,"&lt;&gt;"&amp;""),"",INDEX(DG$4:DG$40,MATCH(ROW()-3,DH$4:DH$40,0)))</f>
        <v/>
      </c>
      <c r="DJ17">
        <f>DJ16+IF(AND(DI17&lt;&gt;"",COUNTIF(DI$4:DI17,DI17)=1),1,0)</f>
        <v/>
      </c>
      <c r="DK17" s="140">
        <f>IF(ROW()-3&gt;MAX(DJ$4:DJ$40),"",INDEX(DI$4:DI$40,MATCH(ROW()-3,DJ$4:DJ$40,0)))</f>
        <v/>
      </c>
      <c r="DL17">
        <f>IF('Final Calculation Sheet'!$V$17="","",'Final Calculation Sheet'!$V$17)</f>
        <v/>
      </c>
      <c r="DM17">
        <f>IF(DL17="","",COUNTIFS(DL$4:DL$40,"&lt;"&amp;DL17,DL$4:DL$40,"&lt;&gt;"&amp;"")+COUNTIF(DL$4:DL17,DL17))</f>
        <v/>
      </c>
      <c r="DN17">
        <f>IF(ROW()-3&gt;COUNTIF(DL$4:DL$40,"&lt;&gt;"&amp;""),"",INDEX(DL$4:DL$40,MATCH(ROW()-3,DM$4:DM$40,0)))</f>
        <v/>
      </c>
      <c r="DO17">
        <f>DO16+IF(AND(DN17&lt;&gt;"",COUNTIF(DN$4:DN17,DN17)=1),1,0)</f>
        <v/>
      </c>
      <c r="DP17">
        <f>IF(ROW()-3&gt;MAX(DO$4:DO$40),"",INDEX(DN$4:DN$40,MATCH(ROW()-3,DO$4:DO$40,0)))</f>
        <v/>
      </c>
      <c r="DQ17" s="55">
        <f>IF('Final Calculation Sheet'!$W$17="","",'Final Calculation Sheet'!$W$17)</f>
        <v/>
      </c>
      <c r="DR17">
        <f>IF(DQ17="","",COUNTIFS(DQ$4:DQ$40,"&lt;"&amp;DQ17,DQ$4:DQ$40,"&lt;&gt;"&amp;"")+COUNTIF(DQ$4:DQ17,DQ17))</f>
        <v/>
      </c>
      <c r="DS17" s="55">
        <f>IF(ROW()-3&gt;COUNTIF(DQ$4:DQ$40,"&lt;&gt;"&amp;""),"",INDEX(DQ$4:DQ$40,MATCH(ROW()-3,DR$4:DR$40,0)))</f>
        <v/>
      </c>
      <c r="DT17">
        <f>DT16+IF(AND(DS17&lt;&gt;"",COUNTIF(DS$4:DS17,DS17)=1),1,0)</f>
        <v/>
      </c>
      <c r="DU17" s="55">
        <f>IF(ROW()-3&gt;MAX(DT$4:DT$40),"",INDEX(DS$4:DS$40,MATCH(ROW()-3,DT$4:DT$40,0)))</f>
        <v/>
      </c>
      <c r="DV17" s="55">
        <f>IF('Final Calculation Sheet'!$X$17="","",'Final Calculation Sheet'!$X$17)</f>
        <v/>
      </c>
      <c r="DW17">
        <f>IF(DV17="","",COUNTIFS(DV$4:DV$40,"&lt;"&amp;DV17,DV$4:DV$40,"&lt;&gt;"&amp;"")+COUNTIF(DV$4:DV17,DV17))</f>
        <v/>
      </c>
      <c r="DX17" s="55">
        <f>IF(ROW()-3&gt;COUNTIF(DV$4:DV$40,"&lt;&gt;"&amp;""),"",INDEX(DV$4:DV$40,MATCH(ROW()-3,DW$4:DW$40,0)))</f>
        <v/>
      </c>
      <c r="DY17">
        <f>DY16+IF(AND(DX17&lt;&gt;"",COUNTIF(DX$4:DX17,DX17)=1),1,0)</f>
        <v/>
      </c>
      <c r="DZ17">
        <f>IF(ROW()-3&gt;MAX(DY$4:DY$40),"",INDEX(DX$4:DX$40,MATCH(ROW()-3,DY$4:DY$40,0)))</f>
        <v/>
      </c>
      <c r="EA17">
        <f>IF('Final Calculation Sheet'!$Y$17="","",'Final Calculation Sheet'!$Y$17)</f>
        <v/>
      </c>
      <c r="EB17">
        <f>IF(EA17="","",COUNTIFS(EA$4:EA$40,"&lt;"&amp;EA17,EA$4:EA$40,"&lt;&gt;"&amp;"")+COUNTIF(EA$4:EA17,EA17))</f>
        <v/>
      </c>
      <c r="EC17">
        <f>IF(ROW()-3&gt;COUNTIF(EA$4:EA$40,"&lt;&gt;"&amp;""),"",INDEX(EA$4:EA$40,MATCH(ROW()-3,EB$4:EB$40,0)))</f>
        <v/>
      </c>
      <c r="ED17">
        <f>ED16+IF(AND(EC17&lt;&gt;"",COUNTIF(EC$4:EC17,EC17)=1),1,0)</f>
        <v/>
      </c>
      <c r="EE17">
        <f>IF(ROW()-3&gt;MAX(ED$4:ED$40),"",INDEX(EC$4:EC$40,MATCH(ROW()-3,ED$4:ED$40,0)))</f>
        <v/>
      </c>
      <c r="EF17" s="55">
        <f>IF('Final Calculation Sheet'!$Z$17="","",'Final Calculation Sheet'!$Z$17)</f>
        <v/>
      </c>
      <c r="EG17">
        <f>IF(EF17="","",COUNTIFS(EF$4:EF$40,"&lt;"&amp;EF17,EF$4:EF$40,"&lt;&gt;"&amp;"")+COUNTIF(EF$4:EF17,EF17))</f>
        <v/>
      </c>
      <c r="EH17" s="55">
        <f>IF(ROW()-3&gt;COUNTIF(EF$4:EF$40,"&lt;&gt;"&amp;""),"",INDEX(EF$4:EF$40,MATCH(ROW()-3,EG$4:EG$40,0)))</f>
        <v/>
      </c>
      <c r="EI17">
        <f>EI16+IF(AND(EH17&lt;&gt;"",COUNTIF(EH$4:EH17,EH17)=1),1,0)</f>
        <v/>
      </c>
      <c r="EJ17">
        <f>IF(ROW()-3&gt;MAX(EI$4:EI$40),"",INDEX(EH$4:EH$40,MATCH(ROW()-3,EI$4:EI$40,0)))</f>
        <v/>
      </c>
      <c r="EK17">
        <f>IF('Final Calculation Sheet'!$AA$17="","",'Final Calculation Sheet'!$AA$17)</f>
        <v/>
      </c>
      <c r="EL17">
        <f>IF(EK17="","",COUNTIFS(EK$4:EK$40,"&lt;"&amp;EK17,EK$4:EK$40,"&lt;&gt;"&amp;"")+COUNTIF(EK$4:EK17,EK17))</f>
        <v/>
      </c>
      <c r="EM17">
        <f>IF(ROW()-3&gt;COUNTIF(EK$4:EK$40,"&lt;&gt;"&amp;""),"",INDEX(EK$4:EK$40,MATCH(ROW()-3,EL$4:EL$40,0)))</f>
        <v/>
      </c>
      <c r="EN17">
        <f>EN16+IF(AND(EM17&lt;&gt;"",COUNTIF(EM$4:EM17,EM17)=1),1,0)</f>
        <v/>
      </c>
      <c r="EO17">
        <f>IF(ROW()-3&gt;MAX(EN$4:EN$40),"",INDEX(EM$4:EM$40,MATCH(ROW()-3,EN$4:EN$40,0)))</f>
        <v/>
      </c>
      <c r="EP17">
        <f>IF('Final Calculation Sheet'!$AB$17="","",'Final Calculation Sheet'!$AB$17)</f>
        <v/>
      </c>
      <c r="EQ17">
        <f>IF(EP17="","",COUNTIFS(EP$4:EP$40,"&lt;"&amp;EP17,EP$4:EP$40,"&lt;&gt;"&amp;"")+COUNTIF(EP$4:EP17,EP17))</f>
        <v/>
      </c>
      <c r="ER17">
        <f>IF(ROW()-3&gt;COUNTIF(EP$4:EP$40,"&lt;&gt;"&amp;""),"",INDEX(EP$4:EP$40,MATCH(ROW()-3,EQ$4:EQ$40,0)))</f>
        <v/>
      </c>
      <c r="ES17">
        <f>ES16+IF(AND(ER17&lt;&gt;"",COUNTIF(ER$4:ER17,ER17)=1),1,0)</f>
        <v/>
      </c>
      <c r="ET17">
        <f>IF(ROW()-3&gt;MAX(ES$4:ES$40),"",INDEX(ER$4:ER$40,MATCH(ROW()-3,ES$4:ES$40,0)))</f>
        <v/>
      </c>
      <c r="EU17" s="55">
        <f>IF('Final Calculation Sheet'!$AC$17="","",'Final Calculation Sheet'!$AC$17)</f>
        <v/>
      </c>
      <c r="EV17">
        <f>IF(EU17="","",COUNTIFS(EU$4:EU$40,"&lt;"&amp;EU17,EU$4:EU$40,"&lt;&gt;"&amp;"")+COUNTIF(EU$4:EU17,EU17))</f>
        <v/>
      </c>
      <c r="EW17" s="55">
        <f>IF(ROW()-3&gt;COUNTIF(EU$4:EU$40,"&lt;&gt;"&amp;""),"",INDEX(EU$4:EU$40,MATCH(ROW()-3,EV$4:EV$40,0)))</f>
        <v/>
      </c>
      <c r="EX17">
        <f>EX16+IF(AND(EW17&lt;&gt;"",COUNTIF(EW$4:EW17,EW17)=1),1,0)</f>
        <v/>
      </c>
      <c r="EY17" s="55">
        <f>IF(ROW()-3&gt;MAX(EX$4:EX$40),"",INDEX(EW$4:EW$40,MATCH(ROW()-3,EX$4:EX$40,0)))</f>
        <v/>
      </c>
      <c r="EZ17" s="55">
        <f>IF('Final Calculation Sheet'!$AD$17="","",'Final Calculation Sheet'!$AD$17)</f>
        <v/>
      </c>
      <c r="FA17">
        <f>IF(EZ17="","",COUNTIFS(EZ$4:EZ$40,"&lt;"&amp;EZ17,EZ$4:EZ$40,"&lt;&gt;"&amp;"")+COUNTIF(EZ$4:EZ17,EZ17))</f>
        <v/>
      </c>
      <c r="FB17" s="55">
        <f>IF(ROW()-3&gt;COUNTIF(EZ$4:EZ$40,"&lt;&gt;"&amp;""),"",INDEX(EZ$4:EZ$40,MATCH(ROW()-3,FA$4:FA$40,0)))</f>
        <v/>
      </c>
      <c r="FC17">
        <f>FC16+IF(AND(FB17&lt;&gt;"",COUNTIF(FB$4:FB17,FB17)=1),1,0)</f>
        <v/>
      </c>
      <c r="FD17">
        <f>IF(ROW()-3&gt;MAX(FC$4:FC$40),"",INDEX(FB$4:FB$40,MATCH(ROW()-3,FC$4:FC$40,0)))</f>
        <v/>
      </c>
      <c r="FE17">
        <f>IF('Final Calculation Sheet'!$AF$17="","",'Final Calculation Sheet'!$AF$17)</f>
        <v/>
      </c>
      <c r="FF17">
        <f>IF(FE17="","",COUNTIFS(FE$4:FE$40,"&lt;"&amp;FE17,FE$4:FE$40,"&lt;&gt;"&amp;"")+COUNTIF(FE$4:FE17,FE17))</f>
        <v/>
      </c>
      <c r="FG17">
        <f>IF(ROW()-3&gt;COUNTIF(FE$4:FE$40,"&lt;&gt;"&amp;""),"",INDEX(FE$4:FE$40,MATCH(ROW()-3,FF$4:FF$40,0)))</f>
        <v/>
      </c>
      <c r="FH17">
        <f>FH16+IF(AND(FG17&lt;&gt;"",COUNTIF(FG$4:FG17,FG17)=1),1,0)</f>
        <v/>
      </c>
      <c r="FI17">
        <f>IF(ROW()-3&gt;MAX(FH$4:FH$40),"",INDEX(FG$4:FG$40,MATCH(ROW()-3,FH$4:FH$40,0)))</f>
        <v/>
      </c>
      <c r="FJ17" s="141">
        <f>IF('Final Calculation Sheet'!$AG$17="","",'Final Calculation Sheet'!$AG$17)</f>
        <v/>
      </c>
      <c r="FK17">
        <f>IF(FJ17="","",COUNTIFS(FJ$4:FJ$40,"&lt;"&amp;FJ17,FJ$4:FJ$40,"&lt;&gt;"&amp;"")+COUNTIF(FJ$4:FJ17,FJ17))</f>
        <v/>
      </c>
      <c r="FL17" s="141">
        <f>IF(ROW()-3&gt;COUNTIF(FJ$4:FJ$40,"&lt;&gt;"&amp;""),"",INDEX(FJ$4:FJ$40,MATCH(ROW()-3,FK$4:FK$40,0)))</f>
        <v/>
      </c>
      <c r="FM17">
        <f>FM16+IF(AND(FL17&lt;&gt;"",COUNTIF(FL$4:FL17,FL17)=1),1,0)</f>
        <v/>
      </c>
      <c r="FN17">
        <f>IF(ROW()-3&gt;MAX(FM$4:FM$40),"",INDEX(FL$4:FL$40,MATCH(ROW()-3,FM$4:FM$40,0)))</f>
        <v/>
      </c>
      <c r="FO17">
        <f>IF('Final Calculation Sheet'!$AH$17="","",'Final Calculation Sheet'!$AH$17)</f>
        <v/>
      </c>
      <c r="FP17">
        <f>IF(FO17="","",COUNTIFS(FO$4:FO$40,"&lt;"&amp;FO17,FO$4:FO$40,"&lt;&gt;"&amp;"")+COUNTIF(FO$4:FO17,FO17))</f>
        <v/>
      </c>
      <c r="FQ17">
        <f>IF(ROW()-3&gt;COUNTIF(FO$4:FO$40,"&lt;&gt;"&amp;""),"",INDEX(FO$4:FO$40,MATCH(ROW()-3,FP$4:FP$40,0)))</f>
        <v/>
      </c>
      <c r="FR17">
        <f>FR16+IF(AND(FQ17&lt;&gt;"",COUNTIF(FQ$4:FQ17,FQ17)=1),1,0)</f>
        <v/>
      </c>
      <c r="FS17">
        <f>IF(ROW()-3&gt;MAX(FR$4:FR$40),"",INDEX(FQ$4:FQ$40,MATCH(ROW()-3,FR$4:FR$40,0)))</f>
        <v/>
      </c>
      <c r="FU17">
        <f>IF(FT17="","",COUNTIFS(FT$4:FT$40,"&lt;"&amp;FT17,FT$4:FT$40,"&lt;&gt;"&amp;"")+COUNTIF(FT$4:FT17,FT17))</f>
        <v/>
      </c>
      <c r="FV17">
        <f>IF(ROW()-3&gt;COUNTIF(FT$4:FT$40,"&lt;&gt;"&amp;""),"",INDEX(FT$4:FT$40,MATCH(ROW()-3,FU$4:FU$40,0)))</f>
        <v/>
      </c>
      <c r="FW17">
        <f>FW16+IF(AND(FV17&lt;&gt;"",COUNTIF(FV$4:FV17,FV17)=1),1,0)</f>
        <v/>
      </c>
      <c r="FX17">
        <f>IF(ROW()-3&gt;MAX(FW$4:FW$40),"",INDEX(FV$4:FV$40,MATCH(ROW()-3,FW$4:FW$40,0)))</f>
        <v/>
      </c>
      <c r="FY17">
        <f>IF(COUNTIF('Live Search'!BM$16:BO$16,0)+COUNTIF('Live Search'!BQ$16:CU$16,0)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7">
        <f>IF($Y$17="",FALSE,SUMPRODUCT(('Final Calculation Sheet'!$B$4:$B$40=$Y$17)*($FY$6:$FY$42=1))&gt;0)</f>
        <v/>
      </c>
      <c r="GA17">
        <f>$GA$16+--($FZ$17)</f>
        <v/>
      </c>
      <c r="GB17">
        <f>IF(ROW()-3&gt;MAX($GA$4:$GA$40),"",INDEX($Y$4:$Y$40,MATCH(ROW()-3,$GA$4:$GA$40,0)))</f>
        <v/>
      </c>
      <c r="GC17">
        <f>IF('Final Calculation Sheet'!$F$17="","",IF(TRIM('Final Calculation Sheet'!$G$2)="",'Final Calculation Sheet'!$F$17,IF(TRIM('Final Calculation Sheet'!$G$2)="(nonblank)",IF('Final Calculation Sheet'!$G$17&lt;&gt;"",'Final Calculation Sheet'!$F$17,""),IF(TRIM('Final Calculation Sheet'!$G$2)="(blank)",IF('Final Calculation Sheet'!$G$17="",'Final Calculation Sheet'!$F$17,""),IF(ISNUMBER(SEARCH(TRIM('Final Calculation Sheet'!$G$2),'Final Calculation Sheet'!$G$17)),'Final Calculation Sheet'!$F$17,"")))))</f>
        <v/>
      </c>
      <c r="GD17">
        <f>IF(GC17="","",COUNTIFS(GC$4:GC$40,"&lt;"&amp;GC17,GC$4:GC$40,"&lt;&gt;"&amp;"")+COUNTIF(GC$4:GC17,GC17))</f>
        <v/>
      </c>
      <c r="GE17">
        <f>IF(ROW()-3&gt;COUNTIF(GC$4:GC$40,"&lt;&gt;"&amp;""),"",INDEX(GC$4:GC$40,MATCH(ROW()-3,GD$4:GD$40,0)))</f>
        <v/>
      </c>
      <c r="GF17">
        <f>GF16+IF(AND(GE17&lt;&gt;"",COUNTIF(GE$4:GE17,GE17)=1),1,0)</f>
        <v/>
      </c>
      <c r="GG17">
        <f>IF(ROW()-3&gt;MAX(GF$4:GF$40),"",INDEX(GE$4:GE$40,MATCH(ROW()-3,GF$4:GF$40,0)))</f>
        <v/>
      </c>
      <c r="GH17">
        <f>IF('Final Calculation Sheet'!$F$17="","",IF('Live Search'!$BO$18=1,'Final Calculation Sheet'!$F$17,""))</f>
        <v/>
      </c>
      <c r="GI17">
        <f>IF(GH17="","",COUNTIFS(GH$4:GH$40,"&lt;"&amp;GH17,GH$4:GH$40,"&lt;&gt;"&amp;"")+COUNTIF(GH$4:GH17,GH17))</f>
        <v/>
      </c>
      <c r="GJ17">
        <f>IF(ROW()-3&gt;COUNTIF(GH$4:GH$40,"&lt;&gt;"&amp;""),"",INDEX(GH$4:GH$40,MATCH(ROW()-3,GI$4:GI$40,0)))</f>
        <v/>
      </c>
      <c r="GK17">
        <f>GK16+IF(AND(GJ17&lt;&gt;"",COUNTIF(GJ$4:GJ17,GJ17)=1),1,0)</f>
        <v/>
      </c>
      <c r="GL17">
        <f>IF(ROW()-3&gt;MAX(GK$4:GK$40),"",INDEX(GJ$4:GJ$40,MATCH(ROW()-3,GK$4:GK$40,0)))</f>
        <v/>
      </c>
      <c r="GM17">
        <f>IF('Final Calculation Sheet'!$F$17="","",IF(TRIM('Buyer Groups'!$C$4)="",'Final Calculation Sheet'!$F$17,IF(TRIM('Buyer Groups'!$C$4)="(nonblank)",IF('Final Calculation Sheet'!$G$17&lt;&gt;"",'Final Calculation Sheet'!$F$17,""),IF(TRIM('Buyer Groups'!$C$4)="(blank)",IF('Final Calculation Sheet'!$G$17="",'Final Calculation Sheet'!$F$17,""),IF(ISNUMBER(SEARCH(TRIM('Buyer Groups'!$C$4),'Final Calculation Sheet'!$G$17)),'Final Calculation Sheet'!$F$17,"")))))</f>
        <v/>
      </c>
      <c r="GN17">
        <f>IF(GM17="","",COUNTIFS(GM$4:GM$40,"&lt;"&amp;GM17,GM$4:GM$40,"&lt;&gt;"&amp;"")+COUNTIF(GM$4:GM17,GM17))</f>
        <v/>
      </c>
      <c r="GO17">
        <f>IF(ROW()-3&gt;COUNTIF(GM$4:GM$40,"&lt;&gt;"&amp;""),"",INDEX(GM$4:GM$40,MATCH(ROW()-3,GN$4:GN$40,0)))</f>
        <v/>
      </c>
      <c r="GP17">
        <f>GP16+IF(AND(GO17&lt;&gt;"",COUNTIF(GO$4:GO17,GO17)=1),1,0)</f>
        <v/>
      </c>
      <c r="GQ17">
        <f>IF(ROW()-3&gt;MAX(GP$4:GP$40),"",INDEX(GO$4:GO$40,MATCH(ROW()-3,GP$4:GP$40,0)))</f>
        <v/>
      </c>
      <c r="GR17">
        <f>IF('Final Calculation Sheet'!$B$17="","",IF(TRIM('Final Calculation Sheet'!$G$2)="",'Final Calculation Sheet'!$B$17,IF(TRIM('Final Calculation Sheet'!$G$2)="(nonblank)",IF('Final Calculation Sheet'!$G$17&lt;&gt;"",'Final Calculation Sheet'!$B$17,""),IF(TRIM('Final Calculation Sheet'!$G$2)="(blank)",IF('Final Calculation Sheet'!$G$17="",'Final Calculation Sheet'!$B$17,""),IF(ISNUMBER(SEARCH(TRIM('Final Calculation Sheet'!$G$2),'Final Calculation Sheet'!$G$17)),'Final Calculation Sheet'!$B$17,"")))))</f>
        <v/>
      </c>
      <c r="GS17">
        <f>IF(GR17="","",COUNTIFS(GR$4:GR$40,"&lt;"&amp;GR17,GR$4:GR$40,"&lt;&gt;"&amp;"")+COUNTIF(GR$4:GR17,GR17))</f>
        <v/>
      </c>
      <c r="GT17">
        <f>IF(ROW()-3&gt;COUNTIF(GR$4:GR$40,"&lt;&gt;"&amp;""),"",INDEX(GR$4:GR$40,MATCH(ROW()-3,GS$4:GS$40,0)))</f>
        <v/>
      </c>
      <c r="GU17">
        <f>GU16+IF(AND(GT17&lt;&gt;"",COUNTIF(GT$4:GT17,GT17)=1),1,0)</f>
        <v/>
      </c>
      <c r="GV17">
        <f>IF(ROW()-3&gt;MAX(GU$4:GU$40),"",INDEX(GT$4:GT$40,MATCH(ROW()-3,GU$4:GU$40,0)))</f>
        <v/>
      </c>
      <c r="GW17">
        <f>IF('Final Calculation Sheet'!$B$17="","",IF(TRIM('Buyer Groups'!$C$4)="",'Final Calculation Sheet'!$B$17,IF(TRIM('Buyer Groups'!$C$4)="(nonblank)",IF('Final Calculation Sheet'!$G$17&lt;&gt;"",'Final Calculation Sheet'!$B$17,""),IF(TRIM('Buyer Groups'!$C$4)="(blank)",IF('Final Calculation Sheet'!$G$17="",'Final Calculation Sheet'!$B$17,""),IF(ISNUMBER(SEARCH(TRIM('Buyer Groups'!$C$4),'Final Calculation Sheet'!$G$17)),'Final Calculation Sheet'!$B$17,"")))))</f>
        <v/>
      </c>
      <c r="GX17">
        <f>IF(GW17="","",COUNTIFS(GW$4:GW$40,"&lt;"&amp;GW17,GW$4:GW$40,"&lt;&gt;"&amp;"")+COUNTIF(GW$4:GW17,GW17))</f>
        <v/>
      </c>
      <c r="GY17">
        <f>IF(ROW()-3&gt;COUNTIF(GW$4:GW$40,"&lt;&gt;"&amp;""),"",INDEX(GW$4:GW$40,MATCH(ROW()-3,GX$4:GX$40,0)))</f>
        <v/>
      </c>
      <c r="GZ17">
        <f>GZ16+IF(AND(GY17&lt;&gt;"",COUNTIF(GY$4:GY17,GY17)=1),1,0)</f>
        <v/>
      </c>
      <c r="HA17">
        <f>IF(ROW()-3&gt;MAX(GZ$4:GZ$40),"",INDEX(GY$4:GY$40,MATCH(ROW()-3,GZ$4:GZ$40,0)))</f>
        <v/>
      </c>
    </row>
    <row r="18">
      <c r="A18">
        <f>IF('Final Calculation Sheet'!$F$18="","",'Final Calculation Sheet'!$F$18)</f>
        <v/>
      </c>
      <c r="B18">
        <f>IF(A18="","",COUNTIFS(A$4:A$114,"&lt;"&amp;A18,A$4:A$114,"&lt;&gt;"&amp;"")+COUNTIF(A$4:A18,A18))</f>
        <v/>
      </c>
      <c r="C18">
        <f>IF(ROW()-3&gt;COUNTIF(A$4:A$114,"&lt;&gt;"&amp;""),"",INDEX(A$4:A$114,MATCH(ROW()-3,B$4:B$114,0)))</f>
        <v/>
      </c>
      <c r="D18">
        <f>D17+IF(AND(C18&lt;&gt;"",COUNTIF(C$4:C18,C18)=1),1,0)</f>
        <v/>
      </c>
      <c r="E18">
        <f>IF(ROW()-3&gt;MAX(D$4:D$114),"",INDEX(C$4:C$114,MATCH(ROW()-3,D$4:D$114,0)))</f>
        <v/>
      </c>
      <c r="F18">
        <f>ROW()-3</f>
        <v/>
      </c>
      <c r="G18">
        <f>IF(F18="","",COUNTIFS(F$4:F$40,"&lt;"&amp;F18,F$4:F$40,"&lt;&gt;"&amp;"")+COUNTIF(F$4:F18,F18))</f>
        <v/>
      </c>
      <c r="H18">
        <f>IF(ROW()-3&gt;COUNTIF(F$4:F$40,"&lt;&gt;"&amp;""),"",INDEX(F$4:F$40,MATCH(ROW()-3,G$4:G$40,0)))</f>
        <v/>
      </c>
      <c r="I18">
        <f>I17+IF(AND(H18&lt;&gt;"",COUNTIF(H$4:H18,H18)=1),1,0)</f>
        <v/>
      </c>
      <c r="J18">
        <f>IF(ROW()-3&gt;MAX(I$4:I$40),"",INDEX(H$4:H$40,MATCH(ROW()-3,I$4:I$40,0)))</f>
        <v/>
      </c>
      <c r="K18">
        <f>IF('Final Calculation Sheet'!$F$18="","",'Final Calculation Sheet'!$F$18)</f>
        <v/>
      </c>
      <c r="L18">
        <f>IF(K18="","",COUNTIFS(K$4:K$40,"&lt;"&amp;K18,K$4:K$40,"&lt;&gt;"&amp;"")+COUNTIF(K$4:K18,K18))</f>
        <v/>
      </c>
      <c r="M18">
        <f>IF(ROW()-3&gt;COUNTIF(K$4:K$40,"&lt;&gt;"&amp;""),"",INDEX(K$4:K$40,MATCH(ROW()-3,L$4:L$40,0)))</f>
        <v/>
      </c>
      <c r="N18">
        <f>N17+IF(AND(M18&lt;&gt;"",COUNTIF(M$4:M18,M18)=1),1,0)</f>
        <v/>
      </c>
      <c r="O18">
        <f>IF(ROW()-3&gt;MAX(N$4:N$40),"",INDEX(M$4:M$40,MATCH(ROW()-3,N$4:N$40,0)))</f>
        <v/>
      </c>
      <c r="P18">
        <f>IF('Final Calculation Sheet'!$G$18="","",'Final Calculation Sheet'!$G$18)</f>
        <v/>
      </c>
      <c r="Q18">
        <f>IF(P18="","",COUNTIFS(P$4:P$40,"&lt;"&amp;P18,P$4:P$40,"&lt;&gt;"&amp;"")+COUNTIF(P$4:P18,P18))</f>
        <v/>
      </c>
      <c r="R18">
        <f>IF(ROW()-3&gt;COUNTIF(P$4:P$40,"&lt;&gt;"&amp;""),"",INDEX(P$4:P$40,MATCH(ROW()-3,Q$4:Q$40,0)))</f>
        <v/>
      </c>
      <c r="S18">
        <f>S17+IF(AND(R18&lt;&gt;"",COUNTIF(R$4:R18,R18)=1),1,0)</f>
        <v/>
      </c>
      <c r="T18">
        <f>IF(ROW()-3&gt;MAX(S$4:S$40),"",INDEX(R$4:R$40,MATCH(ROW()-3,S$4:S$40,0)))</f>
        <v/>
      </c>
      <c r="U18">
        <f>IF('Final Calculation Sheet'!$B$18="","",'Final Calculation Sheet'!$B$18)</f>
        <v/>
      </c>
      <c r="V18">
        <f>IF(U18="","",COUNTIFS(U$4:U$40,"&lt;"&amp;U18,U$4:U$40,"&lt;&gt;"&amp;"")+COUNTIF(U$4:U18,U18))</f>
        <v/>
      </c>
      <c r="W18">
        <f>IF(ROW()-3&gt;COUNTIF(U$4:U$40,"&lt;&gt;"&amp;""),"",INDEX(U$4:U$40,MATCH(ROW()-3,V$4:V$40,0)))</f>
        <v/>
      </c>
      <c r="X18">
        <f>X17+IF(AND(W18&lt;&gt;"",COUNTIF(W$4:W18,W18)=1),1,0)</f>
        <v/>
      </c>
      <c r="Y18">
        <f>IF(ROW()-3&gt;MAX(X$4:X$40),"",INDEX(W$4:W$40,MATCH(ROW()-3,X$4:X$40,0)))</f>
        <v/>
      </c>
      <c r="Z18">
        <f>IF('Final Calculation Sheet'!$D$18="","",'Final Calculation Sheet'!$D$18)</f>
        <v/>
      </c>
      <c r="AA18">
        <f>IF(Z18="","",COUNTIFS(Z$4:Z$40,"&lt;"&amp;Z18,Z$4:Z$40,"&lt;&gt;"&amp;"")+COUNTIF(Z$4:Z18,Z18))</f>
        <v/>
      </c>
      <c r="AB18">
        <f>IF(ROW()-3&gt;COUNTIF(Z$4:Z$40,"&lt;&gt;"&amp;""),"",INDEX(Z$4:Z$40,MATCH(ROW()-3,AA$4:AA$40,0)))</f>
        <v/>
      </c>
      <c r="AC18">
        <f>AC17+IF(AND(AB18&lt;&gt;"",COUNTIF(AB$4:AB18,AB18)=1),1,0)</f>
        <v/>
      </c>
      <c r="AD18">
        <f>IF(ROW()-3&gt;MAX(AC$4:AC$40),"",INDEX(AB$4:AB$40,MATCH(ROW()-3,AC$4:AC$40,0)))</f>
        <v/>
      </c>
      <c r="AE18">
        <f>IF('Final Calculation Sheet'!$A$18="","",'Final Calculation Sheet'!$A$18)</f>
        <v/>
      </c>
      <c r="AF18">
        <f>IF(AE18="","",COUNTIFS(AE$4:AE$40,"&lt;"&amp;AE18,AE$4:AE$40,"&lt;&gt;"&amp;"")+COUNTIF(AE$4:AE18,AE18))</f>
        <v/>
      </c>
      <c r="AG18">
        <f>IF(ROW()-3&gt;COUNTIF(AE$4:AE$40,"&lt;&gt;"&amp;""),"",INDEX(AE$4:AE$40,MATCH(ROW()-3,AF$4:AF$40,0)))</f>
        <v/>
      </c>
      <c r="AH18">
        <f>AH17+IF(AND(AG18&lt;&gt;"",COUNTIF(AG$4:AG18,AG18)=1),1,0)</f>
        <v/>
      </c>
      <c r="AI18">
        <f>IF(ROW()-3&gt;MAX(AH$4:AH$40),"",INDEX(AG$4:AG$40,MATCH(ROW()-3,AH$4:AH$40,0)))</f>
        <v/>
      </c>
      <c r="AJ18">
        <f>IF('Final Calculation Sheet'!$E$18="","",'Final Calculation Sheet'!$E$18)</f>
        <v/>
      </c>
      <c r="AK18">
        <f>IF(AJ18="","",COUNTIFS(AJ$4:AJ$40,"&lt;"&amp;AJ18,AJ$4:AJ$40,"&lt;&gt;"&amp;"")+COUNTIF(AJ$4:AJ18,AJ18))</f>
        <v/>
      </c>
      <c r="AL18">
        <f>IF(ROW()-3&gt;COUNTIF(AJ$4:AJ$40,"&lt;&gt;"&amp;""),"",INDEX(AJ$4:AJ$40,MATCH(ROW()-3,AK$4:AK$40,0)))</f>
        <v/>
      </c>
      <c r="AM18">
        <f>AM17+IF(AND(AL18&lt;&gt;"",COUNTIF(AL$4:AL18,AL18)=1),1,0)</f>
        <v/>
      </c>
      <c r="AN18">
        <f>IF(ROW()-3&gt;MAX(AM$4:AM$40),"",INDEX(AL$4:AL$40,MATCH(ROW()-3,AM$4:AM$40,0)))</f>
        <v/>
      </c>
      <c r="AO18" s="55">
        <f>IF('Final Calculation Sheet'!$C$18="","",'Final Calculation Sheet'!$C$18)</f>
        <v/>
      </c>
      <c r="AP18">
        <f>IF(AO18="","",COUNTIFS(AO$4:AO$40,"&lt;"&amp;AO18,AO$4:AO$40,"&lt;&gt;"&amp;"")+COUNTIF(AO$4:AO18,AO18))</f>
        <v/>
      </c>
      <c r="AQ18" s="55">
        <f>IF(ROW()-3&gt;COUNTIF(AO$4:AO$40,"&lt;&gt;"&amp;""),"",INDEX(AO$4:AO$40,MATCH(ROW()-3,AP$4:AP$40,0)))</f>
        <v/>
      </c>
      <c r="AR18">
        <f>AR17+IF(AND(AQ18&lt;&gt;"",COUNTIF(AQ$4:AQ18,AQ18)=1),1,0)</f>
        <v/>
      </c>
      <c r="AS18" s="55">
        <f>IF(ROW()-3&gt;MAX(AR$4:AR$40),"",INDEX(AQ$4:AQ$40,MATCH(ROW()-3,AR$4:AR$40,0)))</f>
        <v/>
      </c>
      <c r="AT18" s="55">
        <f>IF('Final Calculation Sheet'!$H$18="","",'Final Calculation Sheet'!$H$18)</f>
        <v/>
      </c>
      <c r="AU18">
        <f>IF(AT18="","",COUNTIFS(AT$4:AT$40,"&lt;"&amp;AT18,AT$4:AT$40,"&lt;&gt;"&amp;"")+COUNTIF(AT$4:AT18,AT18))</f>
        <v/>
      </c>
      <c r="AV18" s="55">
        <f>IF(ROW()-3&gt;COUNTIF(AT$4:AT$40,"&lt;&gt;"&amp;""),"",INDEX(AT$4:AT$40,MATCH(ROW()-3,AU$4:AU$40,0)))</f>
        <v/>
      </c>
      <c r="AW18">
        <f>AW17+IF(AND(AV18&lt;&gt;"",COUNTIF(AV$4:AV18,AV18)=1),1,0)</f>
        <v/>
      </c>
      <c r="AX18" s="55">
        <f>IF(ROW()-3&gt;MAX(AW$4:AW$40),"",INDEX(AV$4:AV$40,MATCH(ROW()-3,AW$4:AW$40,0)))</f>
        <v/>
      </c>
      <c r="AY18" s="55">
        <f>IF('Final Calculation Sheet'!$I$18="","",'Final Calculation Sheet'!$I$18)</f>
        <v/>
      </c>
      <c r="AZ18">
        <f>IF(AY18="","",COUNTIFS(AY$4:AY$40,"&lt;"&amp;AY18,AY$4:AY$40,"&lt;&gt;"&amp;"")+COUNTIF(AY$4:AY18,AY18))</f>
        <v/>
      </c>
      <c r="BA18" s="55">
        <f>IF(ROW()-3&gt;COUNTIF(AY$4:AY$40,"&lt;&gt;"&amp;""),"",INDEX(AY$4:AY$40,MATCH(ROW()-3,AZ$4:AZ$40,0)))</f>
        <v/>
      </c>
      <c r="BB18">
        <f>BB17+IF(AND(BA18&lt;&gt;"",COUNTIF(BA$4:BA18,BA18)=1),1,0)</f>
        <v/>
      </c>
      <c r="BC18" s="55">
        <f>IF(ROW()-3&gt;MAX(BB$4:BB$40),"",INDEX(BA$4:BA$40,MATCH(ROW()-3,BB$4:BB$40,0)))</f>
        <v/>
      </c>
      <c r="BD18" s="55">
        <f>IF('Final Calculation Sheet'!$J$18="","",'Final Calculation Sheet'!$J$18)</f>
        <v/>
      </c>
      <c r="BE18">
        <f>IF(BD18="","",COUNTIFS(BD$4:BD$40,"&lt;"&amp;BD18,BD$4:BD$40,"&lt;&gt;"&amp;"")+COUNTIF(BD$4:BD18,BD18))</f>
        <v/>
      </c>
      <c r="BF18" s="55">
        <f>IF(ROW()-3&gt;COUNTIF(BD$4:BD$40,"&lt;&gt;"&amp;""),"",INDEX(BD$4:BD$40,MATCH(ROW()-3,BE$4:BE$40,0)))</f>
        <v/>
      </c>
      <c r="BG18">
        <f>BG17+IF(AND(BF18&lt;&gt;"",COUNTIF(BF$4:BF18,BF18)=1),1,0)</f>
        <v/>
      </c>
      <c r="BH18" s="55">
        <f>IF(ROW()-3&gt;MAX(BG$4:BG$40),"",INDEX(BF$4:BF$40,MATCH(ROW()-3,BG$4:BG$40,0)))</f>
        <v/>
      </c>
      <c r="BI18" s="55">
        <f>IF('Final Calculation Sheet'!$K$18="","",'Final Calculation Sheet'!$K$18)</f>
        <v/>
      </c>
      <c r="BJ18">
        <f>IF(BI18="","",COUNTIFS(BI$4:BI$40,"&lt;"&amp;BI18,BI$4:BI$40,"&lt;&gt;"&amp;"")+COUNTIF(BI$4:BI18,BI18))</f>
        <v/>
      </c>
      <c r="BK18" s="55">
        <f>IF(ROW()-3&gt;COUNTIF(BI$4:BI$40,"&lt;&gt;"&amp;""),"",INDEX(BI$4:BI$40,MATCH(ROW()-3,BJ$4:BJ$40,0)))</f>
        <v/>
      </c>
      <c r="BL18">
        <f>BL17+IF(AND(BK18&lt;&gt;"",COUNTIF(BK$4:BK18,BK18)=1),1,0)</f>
        <v/>
      </c>
      <c r="BM18" s="55">
        <f>IF(ROW()-3&gt;MAX(BL$4:BL$40),"",INDEX(BK$4:BK$40,MATCH(ROW()-3,BL$4:BL$40,0)))</f>
        <v/>
      </c>
      <c r="BN18" s="55">
        <f>IF('Final Calculation Sheet'!$L$18="","",'Final Calculation Sheet'!$L$18)</f>
        <v/>
      </c>
      <c r="BO18">
        <f>IF(BN18="","",COUNTIFS(BN$4:BN$40,"&lt;"&amp;BN18,BN$4:BN$40,"&lt;&gt;"&amp;"")+COUNTIF(BN$4:BN18,BN18))</f>
        <v/>
      </c>
      <c r="BP18" s="55">
        <f>IF(ROW()-3&gt;COUNTIF(BN$4:BN$40,"&lt;&gt;"&amp;""),"",INDEX(BN$4:BN$40,MATCH(ROW()-3,BO$4:BO$40,0)))</f>
        <v/>
      </c>
      <c r="BQ18">
        <f>BQ17+IF(AND(BP18&lt;&gt;"",COUNTIF(BP$4:BP18,BP18)=1),1,0)</f>
        <v/>
      </c>
      <c r="BR18" s="55">
        <f>IF(ROW()-3&gt;MAX(BQ$4:BQ$40),"",INDEX(BP$4:BP$40,MATCH(ROW()-3,BQ$4:BQ$40,0)))</f>
        <v/>
      </c>
      <c r="BS18" s="55">
        <f>IF('Final Calculation Sheet'!$M$18="","",'Final Calculation Sheet'!$M$18)</f>
        <v/>
      </c>
      <c r="BT18">
        <f>IF(BS18="","",COUNTIFS(BS$4:BS$40,"&lt;"&amp;BS18,BS$4:BS$40,"&lt;&gt;"&amp;"")+COUNTIF(BS$4:BS18,BS18))</f>
        <v/>
      </c>
      <c r="BU18" s="55">
        <f>IF(ROW()-3&gt;COUNTIF(BS$4:BS$40,"&lt;&gt;"&amp;""),"",INDEX(BS$4:BS$40,MATCH(ROW()-3,BT$4:BT$40,0)))</f>
        <v/>
      </c>
      <c r="BV18">
        <f>BV17+IF(AND(BU18&lt;&gt;"",COUNTIF(BU$4:BU18,BU18)=1),1,0)</f>
        <v/>
      </c>
      <c r="BW18" s="55">
        <f>IF(ROW()-3&gt;MAX(BV$4:BV$40),"",INDEX(BU$4:BU$40,MATCH(ROW()-3,BV$4:BV$40,0)))</f>
        <v/>
      </c>
      <c r="BX18" s="138">
        <f>IF('Final Calculation Sheet'!$N$18="","",'Final Calculation Sheet'!$N$18)</f>
        <v/>
      </c>
      <c r="BY18">
        <f>IF(BX18="","",COUNTIFS(BX$4:BX$40,"&lt;"&amp;BX18,BX$4:BX$40,"&lt;&gt;"&amp;"")+COUNTIF(BX$4:BX18,BX18))</f>
        <v/>
      </c>
      <c r="BZ18" s="138">
        <f>IF(ROW()-3&gt;COUNTIF(BX$4:BX$40,"&lt;&gt;"&amp;""),"",INDEX(BX$4:BX$40,MATCH(ROW()-3,BY$4:BY$40,0)))</f>
        <v/>
      </c>
      <c r="CA18">
        <f>CA17+IF(AND(BZ18&lt;&gt;"",COUNTIF(BZ$4:BZ18,BZ18)=1),1,0)</f>
        <v/>
      </c>
      <c r="CB18" s="138">
        <f>IF(ROW()-3&gt;MAX(CA$4:CA$40),"",INDEX(BZ$4:BZ$40,MATCH(ROW()-3,CA$4:CA$40,0)))</f>
        <v/>
      </c>
      <c r="CC18" s="55">
        <f>IF('Final Calculation Sheet'!$O$18="","",'Final Calculation Sheet'!$O$18)</f>
        <v/>
      </c>
      <c r="CD18">
        <f>IF(CC18="","",COUNTIFS(CC$4:CC$40,"&lt;"&amp;CC18,CC$4:CC$40,"&lt;&gt;"&amp;"")+COUNTIF(CC$4:CC18,CC18))</f>
        <v/>
      </c>
      <c r="CE18" s="55">
        <f>IF(ROW()-3&gt;COUNTIF(CC$4:CC$40,"&lt;&gt;"&amp;""),"",INDEX(CC$4:CC$40,MATCH(ROW()-3,CD$4:CD$40,0)))</f>
        <v/>
      </c>
      <c r="CF18">
        <f>CF17+IF(AND(CE18&lt;&gt;"",COUNTIF(CE$4:CE18,CE18)=1),1,0)</f>
        <v/>
      </c>
      <c r="CG18" s="55">
        <f>IF(ROW()-3&gt;MAX(CF$4:CF$40),"",INDEX(CE$4:CE$40,MATCH(ROW()-3,CF$4:CF$40,0)))</f>
        <v/>
      </c>
      <c r="CH18" s="55">
        <f>IF('Final Calculation Sheet'!$P$18="","",'Final Calculation Sheet'!$P$18)</f>
        <v/>
      </c>
      <c r="CI18">
        <f>IF(CH18="","",COUNTIFS(CH$4:CH$40,"&lt;"&amp;CH18,CH$4:CH$40,"&lt;&gt;"&amp;"")+COUNTIF(CH$4:CH18,CH18))</f>
        <v/>
      </c>
      <c r="CJ18" s="55">
        <f>IF(ROW()-3&gt;COUNTIF(CH$4:CH$40,"&lt;&gt;"&amp;""),"",INDEX(CH$4:CH$40,MATCH(ROW()-3,CI$4:CI$40,0)))</f>
        <v/>
      </c>
      <c r="CK18">
        <f>CK17+IF(AND(CJ18&lt;&gt;"",COUNTIF(CJ$4:CJ18,CJ18)=1),1,0)</f>
        <v/>
      </c>
      <c r="CL18" s="55">
        <f>IF(ROW()-3&gt;MAX(CK$4:CK$40),"",INDEX(CJ$4:CJ$40,MATCH(ROW()-3,CK$4:CK$40,0)))</f>
        <v/>
      </c>
      <c r="CM18" s="139">
        <f>IF('Final Calculation Sheet'!$Q$18="","",'Final Calculation Sheet'!$Q$18)</f>
        <v/>
      </c>
      <c r="CN18">
        <f>IF(CM18="","",COUNTIFS(CM$4:CM$40,"&lt;"&amp;CM18,CM$4:CM$40,"&lt;&gt;"&amp;"")+COUNTIF(CM$4:CM18,CM18))</f>
        <v/>
      </c>
      <c r="CO18" s="139">
        <f>IF(ROW()-3&gt;COUNTIF(CM$4:CM$40,"&lt;&gt;"&amp;""),"",INDEX(CM$4:CM$40,MATCH(ROW()-3,CN$4:CN$40,0)))</f>
        <v/>
      </c>
      <c r="CP18">
        <f>CP17+IF(AND(CO18&lt;&gt;"",COUNTIF(CO$4:CO18,CO18)=1),1,0)</f>
        <v/>
      </c>
      <c r="CQ18">
        <f>IF(ROW()-3&gt;MAX(CP$4:CP$40),"",INDEX(CO$4:CO$40,MATCH(ROW()-3,CP$4:CP$40,0)))</f>
        <v/>
      </c>
      <c r="CR18" s="55">
        <f>IF('Final Calculation Sheet'!$R$18="","",'Final Calculation Sheet'!$R$18)</f>
        <v/>
      </c>
      <c r="CS18">
        <f>IF(CR18="","",COUNTIFS(CR$4:CR$40,"&lt;"&amp;CR18,CR$4:CR$40,"&lt;&gt;"&amp;"")+COUNTIF(CR$4:CR18,CR18))</f>
        <v/>
      </c>
      <c r="CT18" s="55">
        <f>IF(ROW()-3&gt;COUNTIF(CR$4:CR$40,"&lt;&gt;"&amp;""),"",INDEX(CR$4:CR$40,MATCH(ROW()-3,CS$4:CS$40,0)))</f>
        <v/>
      </c>
      <c r="CU18">
        <f>CU17+IF(AND(CT18&lt;&gt;"",COUNTIF(CT$4:CT18,CT18)=1),1,0)</f>
        <v/>
      </c>
      <c r="CV18">
        <f>IF(ROW()-3&gt;MAX(CU$4:CU$40),"",INDEX(CT$4:CT$40,MATCH(ROW()-3,CU$4:CU$40,0)))</f>
        <v/>
      </c>
      <c r="CW18" s="55">
        <f>IF('Final Calculation Sheet'!$S$18="","",'Final Calculation Sheet'!$S$18)</f>
        <v/>
      </c>
      <c r="CX18">
        <f>IF(CW18="","",COUNTIFS(CW$4:CW$40,"&lt;"&amp;CW18,CW$4:CW$40,"&lt;&gt;"&amp;"")+COUNTIF(CW$4:CW18,CW18))</f>
        <v/>
      </c>
      <c r="CY18" s="55">
        <f>IF(ROW()-3&gt;COUNTIF(CW$4:CW$40,"&lt;&gt;"&amp;""),"",INDEX(CW$4:CW$40,MATCH(ROW()-3,CX$4:CX$40,0)))</f>
        <v/>
      </c>
      <c r="CZ18">
        <f>CZ17+IF(AND(CY18&lt;&gt;"",COUNTIF(CY$4:CY18,CY18)=1),1,0)</f>
        <v/>
      </c>
      <c r="DA18" s="55">
        <f>IF(ROW()-3&gt;MAX(CZ$4:CZ$40),"",INDEX(CY$4:CY$40,MATCH(ROW()-3,CZ$4:CZ$40,0)))</f>
        <v/>
      </c>
      <c r="DB18" s="55">
        <f>IF('Final Calculation Sheet'!$T$18="","",'Final Calculation Sheet'!$T$18)</f>
        <v/>
      </c>
      <c r="DC18">
        <f>IF(DB18="","",COUNTIFS(DB$4:DB$40,"&lt;"&amp;DB18,DB$4:DB$40,"&lt;&gt;"&amp;"")+COUNTIF(DB$4:DB18,DB18))</f>
        <v/>
      </c>
      <c r="DD18" s="55">
        <f>IF(ROW()-3&gt;COUNTIF(DB$4:DB$40,"&lt;&gt;"&amp;""),"",INDEX(DB$4:DB$40,MATCH(ROW()-3,DC$4:DC$40,0)))</f>
        <v/>
      </c>
      <c r="DE18">
        <f>DE17+IF(AND(DD18&lt;&gt;"",COUNTIF(DD$4:DD18,DD18)=1),1,0)</f>
        <v/>
      </c>
      <c r="DF18" s="55">
        <f>IF(ROW()-3&gt;MAX(DE$4:DE$40),"",INDEX(DD$4:DD$40,MATCH(ROW()-3,DE$4:DE$40,0)))</f>
        <v/>
      </c>
      <c r="DG18" s="140">
        <f>IF('Final Calculation Sheet'!$U$18="","",'Final Calculation Sheet'!$U$18)</f>
        <v/>
      </c>
      <c r="DH18">
        <f>IF(DG18="","",COUNTIFS(DG$4:DG$40,"&lt;"&amp;DG18,DG$4:DG$40,"&lt;&gt;"&amp;"")+COUNTIF(DG$4:DG18,DG18))</f>
        <v/>
      </c>
      <c r="DI18" s="140">
        <f>IF(ROW()-3&gt;COUNTIF(DG$4:DG$40,"&lt;&gt;"&amp;""),"",INDEX(DG$4:DG$40,MATCH(ROW()-3,DH$4:DH$40,0)))</f>
        <v/>
      </c>
      <c r="DJ18">
        <f>DJ17+IF(AND(DI18&lt;&gt;"",COUNTIF(DI$4:DI18,DI18)=1),1,0)</f>
        <v/>
      </c>
      <c r="DK18" s="140">
        <f>IF(ROW()-3&gt;MAX(DJ$4:DJ$40),"",INDEX(DI$4:DI$40,MATCH(ROW()-3,DJ$4:DJ$40,0)))</f>
        <v/>
      </c>
      <c r="DL18">
        <f>IF('Final Calculation Sheet'!$V$18="","",'Final Calculation Sheet'!$V$18)</f>
        <v/>
      </c>
      <c r="DM18">
        <f>IF(DL18="","",COUNTIFS(DL$4:DL$40,"&lt;"&amp;DL18,DL$4:DL$40,"&lt;&gt;"&amp;"")+COUNTIF(DL$4:DL18,DL18))</f>
        <v/>
      </c>
      <c r="DN18">
        <f>IF(ROW()-3&gt;COUNTIF(DL$4:DL$40,"&lt;&gt;"&amp;""),"",INDEX(DL$4:DL$40,MATCH(ROW()-3,DM$4:DM$40,0)))</f>
        <v/>
      </c>
      <c r="DO18">
        <f>DO17+IF(AND(DN18&lt;&gt;"",COUNTIF(DN$4:DN18,DN18)=1),1,0)</f>
        <v/>
      </c>
      <c r="DP18">
        <f>IF(ROW()-3&gt;MAX(DO$4:DO$40),"",INDEX(DN$4:DN$40,MATCH(ROW()-3,DO$4:DO$40,0)))</f>
        <v/>
      </c>
      <c r="DQ18" s="55">
        <f>IF('Final Calculation Sheet'!$W$18="","",'Final Calculation Sheet'!$W$18)</f>
        <v/>
      </c>
      <c r="DR18">
        <f>IF(DQ18="","",COUNTIFS(DQ$4:DQ$40,"&lt;"&amp;DQ18,DQ$4:DQ$40,"&lt;&gt;"&amp;"")+COUNTIF(DQ$4:DQ18,DQ18))</f>
        <v/>
      </c>
      <c r="DS18" s="55">
        <f>IF(ROW()-3&gt;COUNTIF(DQ$4:DQ$40,"&lt;&gt;"&amp;""),"",INDEX(DQ$4:DQ$40,MATCH(ROW()-3,DR$4:DR$40,0)))</f>
        <v/>
      </c>
      <c r="DT18">
        <f>DT17+IF(AND(DS18&lt;&gt;"",COUNTIF(DS$4:DS18,DS18)=1),1,0)</f>
        <v/>
      </c>
      <c r="DU18" s="55">
        <f>IF(ROW()-3&gt;MAX(DT$4:DT$40),"",INDEX(DS$4:DS$40,MATCH(ROW()-3,DT$4:DT$40,0)))</f>
        <v/>
      </c>
      <c r="DV18" s="55">
        <f>IF('Final Calculation Sheet'!$X$18="","",'Final Calculation Sheet'!$X$18)</f>
        <v/>
      </c>
      <c r="DW18">
        <f>IF(DV18="","",COUNTIFS(DV$4:DV$40,"&lt;"&amp;DV18,DV$4:DV$40,"&lt;&gt;"&amp;"")+COUNTIF(DV$4:DV18,DV18))</f>
        <v/>
      </c>
      <c r="DX18" s="55">
        <f>IF(ROW()-3&gt;COUNTIF(DV$4:DV$40,"&lt;&gt;"&amp;""),"",INDEX(DV$4:DV$40,MATCH(ROW()-3,DW$4:DW$40,0)))</f>
        <v/>
      </c>
      <c r="DY18">
        <f>DY17+IF(AND(DX18&lt;&gt;"",COUNTIF(DX$4:DX18,DX18)=1),1,0)</f>
        <v/>
      </c>
      <c r="DZ18">
        <f>IF(ROW()-3&gt;MAX(DY$4:DY$40),"",INDEX(DX$4:DX$40,MATCH(ROW()-3,DY$4:DY$40,0)))</f>
        <v/>
      </c>
      <c r="EA18">
        <f>IF('Final Calculation Sheet'!$Y$18="","",'Final Calculation Sheet'!$Y$18)</f>
        <v/>
      </c>
      <c r="EB18">
        <f>IF(EA18="","",COUNTIFS(EA$4:EA$40,"&lt;"&amp;EA18,EA$4:EA$40,"&lt;&gt;"&amp;"")+COUNTIF(EA$4:EA18,EA18))</f>
        <v/>
      </c>
      <c r="EC18">
        <f>IF(ROW()-3&gt;COUNTIF(EA$4:EA$40,"&lt;&gt;"&amp;""),"",INDEX(EA$4:EA$40,MATCH(ROW()-3,EB$4:EB$40,0)))</f>
        <v/>
      </c>
      <c r="ED18">
        <f>ED17+IF(AND(EC18&lt;&gt;"",COUNTIF(EC$4:EC18,EC18)=1),1,0)</f>
        <v/>
      </c>
      <c r="EE18">
        <f>IF(ROW()-3&gt;MAX(ED$4:ED$40),"",INDEX(EC$4:EC$40,MATCH(ROW()-3,ED$4:ED$40,0)))</f>
        <v/>
      </c>
      <c r="EF18" s="55">
        <f>IF('Final Calculation Sheet'!$Z$18="","",'Final Calculation Sheet'!$Z$18)</f>
        <v/>
      </c>
      <c r="EG18">
        <f>IF(EF18="","",COUNTIFS(EF$4:EF$40,"&lt;"&amp;EF18,EF$4:EF$40,"&lt;&gt;"&amp;"")+COUNTIF(EF$4:EF18,EF18))</f>
        <v/>
      </c>
      <c r="EH18" s="55">
        <f>IF(ROW()-3&gt;COUNTIF(EF$4:EF$40,"&lt;&gt;"&amp;""),"",INDEX(EF$4:EF$40,MATCH(ROW()-3,EG$4:EG$40,0)))</f>
        <v/>
      </c>
      <c r="EI18">
        <f>EI17+IF(AND(EH18&lt;&gt;"",COUNTIF(EH$4:EH18,EH18)=1),1,0)</f>
        <v/>
      </c>
      <c r="EJ18">
        <f>IF(ROW()-3&gt;MAX(EI$4:EI$40),"",INDEX(EH$4:EH$40,MATCH(ROW()-3,EI$4:EI$40,0)))</f>
        <v/>
      </c>
      <c r="EK18">
        <f>IF('Final Calculation Sheet'!$AA$18="","",'Final Calculation Sheet'!$AA$18)</f>
        <v/>
      </c>
      <c r="EL18">
        <f>IF(EK18="","",COUNTIFS(EK$4:EK$40,"&lt;"&amp;EK18,EK$4:EK$40,"&lt;&gt;"&amp;"")+COUNTIF(EK$4:EK18,EK18))</f>
        <v/>
      </c>
      <c r="EM18">
        <f>IF(ROW()-3&gt;COUNTIF(EK$4:EK$40,"&lt;&gt;"&amp;""),"",INDEX(EK$4:EK$40,MATCH(ROW()-3,EL$4:EL$40,0)))</f>
        <v/>
      </c>
      <c r="EN18">
        <f>EN17+IF(AND(EM18&lt;&gt;"",COUNTIF(EM$4:EM18,EM18)=1),1,0)</f>
        <v/>
      </c>
      <c r="EO18">
        <f>IF(ROW()-3&gt;MAX(EN$4:EN$40),"",INDEX(EM$4:EM$40,MATCH(ROW()-3,EN$4:EN$40,0)))</f>
        <v/>
      </c>
      <c r="EP18">
        <f>IF('Final Calculation Sheet'!$AB$18="","",'Final Calculation Sheet'!$AB$18)</f>
        <v/>
      </c>
      <c r="EQ18">
        <f>IF(EP18="","",COUNTIFS(EP$4:EP$40,"&lt;"&amp;EP18,EP$4:EP$40,"&lt;&gt;"&amp;"")+COUNTIF(EP$4:EP18,EP18))</f>
        <v/>
      </c>
      <c r="ER18">
        <f>IF(ROW()-3&gt;COUNTIF(EP$4:EP$40,"&lt;&gt;"&amp;""),"",INDEX(EP$4:EP$40,MATCH(ROW()-3,EQ$4:EQ$40,0)))</f>
        <v/>
      </c>
      <c r="ES18">
        <f>ES17+IF(AND(ER18&lt;&gt;"",COUNTIF(ER$4:ER18,ER18)=1),1,0)</f>
        <v/>
      </c>
      <c r="ET18">
        <f>IF(ROW()-3&gt;MAX(ES$4:ES$40),"",INDEX(ER$4:ER$40,MATCH(ROW()-3,ES$4:ES$40,0)))</f>
        <v/>
      </c>
      <c r="EU18" s="55">
        <f>IF('Final Calculation Sheet'!$AC$18="","",'Final Calculation Sheet'!$AC$18)</f>
        <v/>
      </c>
      <c r="EV18">
        <f>IF(EU18="","",COUNTIFS(EU$4:EU$40,"&lt;"&amp;EU18,EU$4:EU$40,"&lt;&gt;"&amp;"")+COUNTIF(EU$4:EU18,EU18))</f>
        <v/>
      </c>
      <c r="EW18" s="55">
        <f>IF(ROW()-3&gt;COUNTIF(EU$4:EU$40,"&lt;&gt;"&amp;""),"",INDEX(EU$4:EU$40,MATCH(ROW()-3,EV$4:EV$40,0)))</f>
        <v/>
      </c>
      <c r="EX18">
        <f>EX17+IF(AND(EW18&lt;&gt;"",COUNTIF(EW$4:EW18,EW18)=1),1,0)</f>
        <v/>
      </c>
      <c r="EY18" s="55">
        <f>IF(ROW()-3&gt;MAX(EX$4:EX$40),"",INDEX(EW$4:EW$40,MATCH(ROW()-3,EX$4:EX$40,0)))</f>
        <v/>
      </c>
      <c r="EZ18" s="55">
        <f>IF('Final Calculation Sheet'!$AD$18="","",'Final Calculation Sheet'!$AD$18)</f>
        <v/>
      </c>
      <c r="FA18">
        <f>IF(EZ18="","",COUNTIFS(EZ$4:EZ$40,"&lt;"&amp;EZ18,EZ$4:EZ$40,"&lt;&gt;"&amp;"")+COUNTIF(EZ$4:EZ18,EZ18))</f>
        <v/>
      </c>
      <c r="FB18" s="55">
        <f>IF(ROW()-3&gt;COUNTIF(EZ$4:EZ$40,"&lt;&gt;"&amp;""),"",INDEX(EZ$4:EZ$40,MATCH(ROW()-3,FA$4:FA$40,0)))</f>
        <v/>
      </c>
      <c r="FC18">
        <f>FC17+IF(AND(FB18&lt;&gt;"",COUNTIF(FB$4:FB18,FB18)=1),1,0)</f>
        <v/>
      </c>
      <c r="FD18">
        <f>IF(ROW()-3&gt;MAX(FC$4:FC$40),"",INDEX(FB$4:FB$40,MATCH(ROW()-3,FC$4:FC$40,0)))</f>
        <v/>
      </c>
      <c r="FE18">
        <f>IF('Final Calculation Sheet'!$AF$18="","",'Final Calculation Sheet'!$AF$18)</f>
        <v/>
      </c>
      <c r="FF18">
        <f>IF(FE18="","",COUNTIFS(FE$4:FE$40,"&lt;"&amp;FE18,FE$4:FE$40,"&lt;&gt;"&amp;"")+COUNTIF(FE$4:FE18,FE18))</f>
        <v/>
      </c>
      <c r="FG18">
        <f>IF(ROW()-3&gt;COUNTIF(FE$4:FE$40,"&lt;&gt;"&amp;""),"",INDEX(FE$4:FE$40,MATCH(ROW()-3,FF$4:FF$40,0)))</f>
        <v/>
      </c>
      <c r="FH18">
        <f>FH17+IF(AND(FG18&lt;&gt;"",COUNTIF(FG$4:FG18,FG18)=1),1,0)</f>
        <v/>
      </c>
      <c r="FI18">
        <f>IF(ROW()-3&gt;MAX(FH$4:FH$40),"",INDEX(FG$4:FG$40,MATCH(ROW()-3,FH$4:FH$40,0)))</f>
        <v/>
      </c>
      <c r="FJ18" s="141">
        <f>IF('Final Calculation Sheet'!$AG$18="","",'Final Calculation Sheet'!$AG$18)</f>
        <v/>
      </c>
      <c r="FK18">
        <f>IF(FJ18="","",COUNTIFS(FJ$4:FJ$40,"&lt;"&amp;FJ18,FJ$4:FJ$40,"&lt;&gt;"&amp;"")+COUNTIF(FJ$4:FJ18,FJ18))</f>
        <v/>
      </c>
      <c r="FL18" s="141">
        <f>IF(ROW()-3&gt;COUNTIF(FJ$4:FJ$40,"&lt;&gt;"&amp;""),"",INDEX(FJ$4:FJ$40,MATCH(ROW()-3,FK$4:FK$40,0)))</f>
        <v/>
      </c>
      <c r="FM18">
        <f>FM17+IF(AND(FL18&lt;&gt;"",COUNTIF(FL$4:FL18,FL18)=1),1,0)</f>
        <v/>
      </c>
      <c r="FN18">
        <f>IF(ROW()-3&gt;MAX(FM$4:FM$40),"",INDEX(FL$4:FL$40,MATCH(ROW()-3,FM$4:FM$40,0)))</f>
        <v/>
      </c>
      <c r="FO18">
        <f>IF('Final Calculation Sheet'!$AH$18="","",'Final Calculation Sheet'!$AH$18)</f>
        <v/>
      </c>
      <c r="FP18">
        <f>IF(FO18="","",COUNTIFS(FO$4:FO$40,"&lt;"&amp;FO18,FO$4:FO$40,"&lt;&gt;"&amp;"")+COUNTIF(FO$4:FO18,FO18))</f>
        <v/>
      </c>
      <c r="FQ18">
        <f>IF(ROW()-3&gt;COUNTIF(FO$4:FO$40,"&lt;&gt;"&amp;""),"",INDEX(FO$4:FO$40,MATCH(ROW()-3,FP$4:FP$40,0)))</f>
        <v/>
      </c>
      <c r="FR18">
        <f>FR17+IF(AND(FQ18&lt;&gt;"",COUNTIF(FQ$4:FQ18,FQ18)=1),1,0)</f>
        <v/>
      </c>
      <c r="FS18">
        <f>IF(ROW()-3&gt;MAX(FR$4:FR$40),"",INDEX(FQ$4:FQ$40,MATCH(ROW()-3,FR$4:FR$40,0)))</f>
        <v/>
      </c>
      <c r="FU18">
        <f>IF(FT18="","",COUNTIFS(FT$4:FT$40,"&lt;"&amp;FT18,FT$4:FT$40,"&lt;&gt;"&amp;"")+COUNTIF(FT$4:FT18,FT18))</f>
        <v/>
      </c>
      <c r="FV18">
        <f>IF(ROW()-3&gt;COUNTIF(FT$4:FT$40,"&lt;&gt;"&amp;""),"",INDEX(FT$4:FT$40,MATCH(ROW()-3,FU$4:FU$40,0)))</f>
        <v/>
      </c>
      <c r="FW18">
        <f>FW17+IF(AND(FV18&lt;&gt;"",COUNTIF(FV$4:FV18,FV18)=1),1,0)</f>
        <v/>
      </c>
      <c r="FX18">
        <f>IF(ROW()-3&gt;MAX(FW$4:FW$40),"",INDEX(FV$4:FV$40,MATCH(ROW()-3,FW$4:FW$40,0)))</f>
        <v/>
      </c>
      <c r="FY18">
        <f>IF(COUNTIF('Live Search'!BM$17:BO$17,0)+COUNTIF('Live Search'!BQ$17:CU$17,0)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8">
        <f>IF($Y$18="",FALSE,SUMPRODUCT(('Final Calculation Sheet'!$B$4:$B$40=$Y$18)*($FY$6:$FY$42=1))&gt;0)</f>
        <v/>
      </c>
      <c r="GA18">
        <f>$GA$17+--($FZ$18)</f>
        <v/>
      </c>
      <c r="GB18">
        <f>IF(ROW()-3&gt;MAX($GA$4:$GA$40),"",INDEX($Y$4:$Y$40,MATCH(ROW()-3,$GA$4:$GA$40,0)))</f>
        <v/>
      </c>
      <c r="GC18">
        <f>IF('Final Calculation Sheet'!$F$18="","",IF(TRIM('Final Calculation Sheet'!$G$2)="",'Final Calculation Sheet'!$F$18,IF(TRIM('Final Calculation Sheet'!$G$2)="(nonblank)",IF('Final Calculation Sheet'!$G$18&lt;&gt;"",'Final Calculation Sheet'!$F$18,""),IF(TRIM('Final Calculation Sheet'!$G$2)="(blank)",IF('Final Calculation Sheet'!$G$18="",'Final Calculation Sheet'!$F$18,""),IF(ISNUMBER(SEARCH(TRIM('Final Calculation Sheet'!$G$2),'Final Calculation Sheet'!$G$18)),'Final Calculation Sheet'!$F$18,"")))))</f>
        <v/>
      </c>
      <c r="GD18">
        <f>IF(GC18="","",COUNTIFS(GC$4:GC$40,"&lt;"&amp;GC18,GC$4:GC$40,"&lt;&gt;"&amp;"")+COUNTIF(GC$4:GC18,GC18))</f>
        <v/>
      </c>
      <c r="GE18">
        <f>IF(ROW()-3&gt;COUNTIF(GC$4:GC$40,"&lt;&gt;"&amp;""),"",INDEX(GC$4:GC$40,MATCH(ROW()-3,GD$4:GD$40,0)))</f>
        <v/>
      </c>
      <c r="GF18">
        <f>GF17+IF(AND(GE18&lt;&gt;"",COUNTIF(GE$4:GE18,GE18)=1),1,0)</f>
        <v/>
      </c>
      <c r="GG18">
        <f>IF(ROW()-3&gt;MAX(GF$4:GF$40),"",INDEX(GE$4:GE$40,MATCH(ROW()-3,GF$4:GF$40,0)))</f>
        <v/>
      </c>
      <c r="GH18">
        <f>IF('Final Calculation Sheet'!$F$18="","",IF('Live Search'!$BO$19=1,'Final Calculation Sheet'!$F$18,""))</f>
        <v/>
      </c>
      <c r="GI18">
        <f>IF(GH18="","",COUNTIFS(GH$4:GH$40,"&lt;"&amp;GH18,GH$4:GH$40,"&lt;&gt;"&amp;"")+COUNTIF(GH$4:GH18,GH18))</f>
        <v/>
      </c>
      <c r="GJ18">
        <f>IF(ROW()-3&gt;COUNTIF(GH$4:GH$40,"&lt;&gt;"&amp;""),"",INDEX(GH$4:GH$40,MATCH(ROW()-3,GI$4:GI$40,0)))</f>
        <v/>
      </c>
      <c r="GK18">
        <f>GK17+IF(AND(GJ18&lt;&gt;"",COUNTIF(GJ$4:GJ18,GJ18)=1),1,0)</f>
        <v/>
      </c>
      <c r="GL18">
        <f>IF(ROW()-3&gt;MAX(GK$4:GK$40),"",INDEX(GJ$4:GJ$40,MATCH(ROW()-3,GK$4:GK$40,0)))</f>
        <v/>
      </c>
      <c r="GM18">
        <f>IF('Final Calculation Sheet'!$F$18="","",IF(TRIM('Buyer Groups'!$C$4)="",'Final Calculation Sheet'!$F$18,IF(TRIM('Buyer Groups'!$C$4)="(nonblank)",IF('Final Calculation Sheet'!$G$18&lt;&gt;"",'Final Calculation Sheet'!$F$18,""),IF(TRIM('Buyer Groups'!$C$4)="(blank)",IF('Final Calculation Sheet'!$G$18="",'Final Calculation Sheet'!$F$18,""),IF(ISNUMBER(SEARCH(TRIM('Buyer Groups'!$C$4),'Final Calculation Sheet'!$G$18)),'Final Calculation Sheet'!$F$18,"")))))</f>
        <v/>
      </c>
      <c r="GN18">
        <f>IF(GM18="","",COUNTIFS(GM$4:GM$40,"&lt;"&amp;GM18,GM$4:GM$40,"&lt;&gt;"&amp;"")+COUNTIF(GM$4:GM18,GM18))</f>
        <v/>
      </c>
      <c r="GO18">
        <f>IF(ROW()-3&gt;COUNTIF(GM$4:GM$40,"&lt;&gt;"&amp;""),"",INDEX(GM$4:GM$40,MATCH(ROW()-3,GN$4:GN$40,0)))</f>
        <v/>
      </c>
      <c r="GP18">
        <f>GP17+IF(AND(GO18&lt;&gt;"",COUNTIF(GO$4:GO18,GO18)=1),1,0)</f>
        <v/>
      </c>
      <c r="GQ18">
        <f>IF(ROW()-3&gt;MAX(GP$4:GP$40),"",INDEX(GO$4:GO$40,MATCH(ROW()-3,GP$4:GP$40,0)))</f>
        <v/>
      </c>
      <c r="GR18">
        <f>IF('Final Calculation Sheet'!$B$18="","",IF(TRIM('Final Calculation Sheet'!$G$2)="",'Final Calculation Sheet'!$B$18,IF(TRIM('Final Calculation Sheet'!$G$2)="(nonblank)",IF('Final Calculation Sheet'!$G$18&lt;&gt;"",'Final Calculation Sheet'!$B$18,""),IF(TRIM('Final Calculation Sheet'!$G$2)="(blank)",IF('Final Calculation Sheet'!$G$18="",'Final Calculation Sheet'!$B$18,""),IF(ISNUMBER(SEARCH(TRIM('Final Calculation Sheet'!$G$2),'Final Calculation Sheet'!$G$18)),'Final Calculation Sheet'!$B$18,"")))))</f>
        <v/>
      </c>
      <c r="GS18">
        <f>IF(GR18="","",COUNTIFS(GR$4:GR$40,"&lt;"&amp;GR18,GR$4:GR$40,"&lt;&gt;"&amp;"")+COUNTIF(GR$4:GR18,GR18))</f>
        <v/>
      </c>
      <c r="GT18">
        <f>IF(ROW()-3&gt;COUNTIF(GR$4:GR$40,"&lt;&gt;"&amp;""),"",INDEX(GR$4:GR$40,MATCH(ROW()-3,GS$4:GS$40,0)))</f>
        <v/>
      </c>
      <c r="GU18">
        <f>GU17+IF(AND(GT18&lt;&gt;"",COUNTIF(GT$4:GT18,GT18)=1),1,0)</f>
        <v/>
      </c>
      <c r="GV18">
        <f>IF(ROW()-3&gt;MAX(GU$4:GU$40),"",INDEX(GT$4:GT$40,MATCH(ROW()-3,GU$4:GU$40,0)))</f>
        <v/>
      </c>
      <c r="GW18">
        <f>IF('Final Calculation Sheet'!$B$18="","",IF(TRIM('Buyer Groups'!$C$4)="",'Final Calculation Sheet'!$B$18,IF(TRIM('Buyer Groups'!$C$4)="(nonblank)",IF('Final Calculation Sheet'!$G$18&lt;&gt;"",'Final Calculation Sheet'!$B$18,""),IF(TRIM('Buyer Groups'!$C$4)="(blank)",IF('Final Calculation Sheet'!$G$18="",'Final Calculation Sheet'!$B$18,""),IF(ISNUMBER(SEARCH(TRIM('Buyer Groups'!$C$4),'Final Calculation Sheet'!$G$18)),'Final Calculation Sheet'!$B$18,"")))))</f>
        <v/>
      </c>
      <c r="GX18">
        <f>IF(GW18="","",COUNTIFS(GW$4:GW$40,"&lt;"&amp;GW18,GW$4:GW$40,"&lt;&gt;"&amp;"")+COUNTIF(GW$4:GW18,GW18))</f>
        <v/>
      </c>
      <c r="GY18">
        <f>IF(ROW()-3&gt;COUNTIF(GW$4:GW$40,"&lt;&gt;"&amp;""),"",INDEX(GW$4:GW$40,MATCH(ROW()-3,GX$4:GX$40,0)))</f>
        <v/>
      </c>
      <c r="GZ18">
        <f>GZ17+IF(AND(GY18&lt;&gt;"",COUNTIF(GY$4:GY18,GY18)=1),1,0)</f>
        <v/>
      </c>
      <c r="HA18">
        <f>IF(ROW()-3&gt;MAX(GZ$4:GZ$40),"",INDEX(GY$4:GY$40,MATCH(ROW()-3,GZ$4:GZ$40,0)))</f>
        <v/>
      </c>
    </row>
    <row r="19">
      <c r="A19">
        <f>IF('Final Calculation Sheet'!$F$19="","",'Final Calculation Sheet'!$F$19)</f>
        <v/>
      </c>
      <c r="B19">
        <f>IF(A19="","",COUNTIFS(A$4:A$114,"&lt;"&amp;A19,A$4:A$114,"&lt;&gt;"&amp;"")+COUNTIF(A$4:A19,A19))</f>
        <v/>
      </c>
      <c r="C19">
        <f>IF(ROW()-3&gt;COUNTIF(A$4:A$114,"&lt;&gt;"&amp;""),"",INDEX(A$4:A$114,MATCH(ROW()-3,B$4:B$114,0)))</f>
        <v/>
      </c>
      <c r="D19">
        <f>D18+IF(AND(C19&lt;&gt;"",COUNTIF(C$4:C19,C19)=1),1,0)</f>
        <v/>
      </c>
      <c r="E19">
        <f>IF(ROW()-3&gt;MAX(D$4:D$114),"",INDEX(C$4:C$114,MATCH(ROW()-3,D$4:D$114,0)))</f>
        <v/>
      </c>
      <c r="F19">
        <f>ROW()-3</f>
        <v/>
      </c>
      <c r="G19">
        <f>IF(F19="","",COUNTIFS(F$4:F$40,"&lt;"&amp;F19,F$4:F$40,"&lt;&gt;"&amp;"")+COUNTIF(F$4:F19,F19))</f>
        <v/>
      </c>
      <c r="H19">
        <f>IF(ROW()-3&gt;COUNTIF(F$4:F$40,"&lt;&gt;"&amp;""),"",INDEX(F$4:F$40,MATCH(ROW()-3,G$4:G$40,0)))</f>
        <v/>
      </c>
      <c r="I19">
        <f>I18+IF(AND(H19&lt;&gt;"",COUNTIF(H$4:H19,H19)=1),1,0)</f>
        <v/>
      </c>
      <c r="J19">
        <f>IF(ROW()-3&gt;MAX(I$4:I$40),"",INDEX(H$4:H$40,MATCH(ROW()-3,I$4:I$40,0)))</f>
        <v/>
      </c>
      <c r="K19">
        <f>IF('Final Calculation Sheet'!$F$19="","",'Final Calculation Sheet'!$F$19)</f>
        <v/>
      </c>
      <c r="L19">
        <f>IF(K19="","",COUNTIFS(K$4:K$40,"&lt;"&amp;K19,K$4:K$40,"&lt;&gt;"&amp;"")+COUNTIF(K$4:K19,K19))</f>
        <v/>
      </c>
      <c r="M19">
        <f>IF(ROW()-3&gt;COUNTIF(K$4:K$40,"&lt;&gt;"&amp;""),"",INDEX(K$4:K$40,MATCH(ROW()-3,L$4:L$40,0)))</f>
        <v/>
      </c>
      <c r="N19">
        <f>N18+IF(AND(M19&lt;&gt;"",COUNTIF(M$4:M19,M19)=1),1,0)</f>
        <v/>
      </c>
      <c r="O19">
        <f>IF(ROW()-3&gt;MAX(N$4:N$40),"",INDEX(M$4:M$40,MATCH(ROW()-3,N$4:N$40,0)))</f>
        <v/>
      </c>
      <c r="P19">
        <f>IF('Final Calculation Sheet'!$G$19="","",'Final Calculation Sheet'!$G$19)</f>
        <v/>
      </c>
      <c r="Q19">
        <f>IF(P19="","",COUNTIFS(P$4:P$40,"&lt;"&amp;P19,P$4:P$40,"&lt;&gt;"&amp;"")+COUNTIF(P$4:P19,P19))</f>
        <v/>
      </c>
      <c r="R19">
        <f>IF(ROW()-3&gt;COUNTIF(P$4:P$40,"&lt;&gt;"&amp;""),"",INDEX(P$4:P$40,MATCH(ROW()-3,Q$4:Q$40,0)))</f>
        <v/>
      </c>
      <c r="S19">
        <f>S18+IF(AND(R19&lt;&gt;"",COUNTIF(R$4:R19,R19)=1),1,0)</f>
        <v/>
      </c>
      <c r="T19">
        <f>IF(ROW()-3&gt;MAX(S$4:S$40),"",INDEX(R$4:R$40,MATCH(ROW()-3,S$4:S$40,0)))</f>
        <v/>
      </c>
      <c r="U19">
        <f>IF('Final Calculation Sheet'!$B$19="","",'Final Calculation Sheet'!$B$19)</f>
        <v/>
      </c>
      <c r="V19">
        <f>IF(U19="","",COUNTIFS(U$4:U$40,"&lt;"&amp;U19,U$4:U$40,"&lt;&gt;"&amp;"")+COUNTIF(U$4:U19,U19))</f>
        <v/>
      </c>
      <c r="W19">
        <f>IF(ROW()-3&gt;COUNTIF(U$4:U$40,"&lt;&gt;"&amp;""),"",INDEX(U$4:U$40,MATCH(ROW()-3,V$4:V$40,0)))</f>
        <v/>
      </c>
      <c r="X19">
        <f>X18+IF(AND(W19&lt;&gt;"",COUNTIF(W$4:W19,W19)=1),1,0)</f>
        <v/>
      </c>
      <c r="Y19">
        <f>IF(ROW()-3&gt;MAX(X$4:X$40),"",INDEX(W$4:W$40,MATCH(ROW()-3,X$4:X$40,0)))</f>
        <v/>
      </c>
      <c r="Z19">
        <f>IF('Final Calculation Sheet'!$D$19="","",'Final Calculation Sheet'!$D$19)</f>
        <v/>
      </c>
      <c r="AA19">
        <f>IF(Z19="","",COUNTIFS(Z$4:Z$40,"&lt;"&amp;Z19,Z$4:Z$40,"&lt;&gt;"&amp;"")+COUNTIF(Z$4:Z19,Z19))</f>
        <v/>
      </c>
      <c r="AB19">
        <f>IF(ROW()-3&gt;COUNTIF(Z$4:Z$40,"&lt;&gt;"&amp;""),"",INDEX(Z$4:Z$40,MATCH(ROW()-3,AA$4:AA$40,0)))</f>
        <v/>
      </c>
      <c r="AC19">
        <f>AC18+IF(AND(AB19&lt;&gt;"",COUNTIF(AB$4:AB19,AB19)=1),1,0)</f>
        <v/>
      </c>
      <c r="AD19">
        <f>IF(ROW()-3&gt;MAX(AC$4:AC$40),"",INDEX(AB$4:AB$40,MATCH(ROW()-3,AC$4:AC$40,0)))</f>
        <v/>
      </c>
      <c r="AE19">
        <f>IF('Final Calculation Sheet'!$A$19="","",'Final Calculation Sheet'!$A$19)</f>
        <v/>
      </c>
      <c r="AF19">
        <f>IF(AE19="","",COUNTIFS(AE$4:AE$40,"&lt;"&amp;AE19,AE$4:AE$40,"&lt;&gt;"&amp;"")+COUNTIF(AE$4:AE19,AE19))</f>
        <v/>
      </c>
      <c r="AG19">
        <f>IF(ROW()-3&gt;COUNTIF(AE$4:AE$40,"&lt;&gt;"&amp;""),"",INDEX(AE$4:AE$40,MATCH(ROW()-3,AF$4:AF$40,0)))</f>
        <v/>
      </c>
      <c r="AH19">
        <f>AH18+IF(AND(AG19&lt;&gt;"",COUNTIF(AG$4:AG19,AG19)=1),1,0)</f>
        <v/>
      </c>
      <c r="AI19">
        <f>IF(ROW()-3&gt;MAX(AH$4:AH$40),"",INDEX(AG$4:AG$40,MATCH(ROW()-3,AH$4:AH$40,0)))</f>
        <v/>
      </c>
      <c r="AJ19">
        <f>IF('Final Calculation Sheet'!$E$19="","",'Final Calculation Sheet'!$E$19)</f>
        <v/>
      </c>
      <c r="AK19">
        <f>IF(AJ19="","",COUNTIFS(AJ$4:AJ$40,"&lt;"&amp;AJ19,AJ$4:AJ$40,"&lt;&gt;"&amp;"")+COUNTIF(AJ$4:AJ19,AJ19))</f>
        <v/>
      </c>
      <c r="AL19">
        <f>IF(ROW()-3&gt;COUNTIF(AJ$4:AJ$40,"&lt;&gt;"&amp;""),"",INDEX(AJ$4:AJ$40,MATCH(ROW()-3,AK$4:AK$40,0)))</f>
        <v/>
      </c>
      <c r="AM19">
        <f>AM18+IF(AND(AL19&lt;&gt;"",COUNTIF(AL$4:AL19,AL19)=1),1,0)</f>
        <v/>
      </c>
      <c r="AN19">
        <f>IF(ROW()-3&gt;MAX(AM$4:AM$40),"",INDEX(AL$4:AL$40,MATCH(ROW()-3,AM$4:AM$40,0)))</f>
        <v/>
      </c>
      <c r="AO19" s="55">
        <f>IF('Final Calculation Sheet'!$C$19="","",'Final Calculation Sheet'!$C$19)</f>
        <v/>
      </c>
      <c r="AP19">
        <f>IF(AO19="","",COUNTIFS(AO$4:AO$40,"&lt;"&amp;AO19,AO$4:AO$40,"&lt;&gt;"&amp;"")+COUNTIF(AO$4:AO19,AO19))</f>
        <v/>
      </c>
      <c r="AQ19" s="55">
        <f>IF(ROW()-3&gt;COUNTIF(AO$4:AO$40,"&lt;&gt;"&amp;""),"",INDEX(AO$4:AO$40,MATCH(ROW()-3,AP$4:AP$40,0)))</f>
        <v/>
      </c>
      <c r="AR19">
        <f>AR18+IF(AND(AQ19&lt;&gt;"",COUNTIF(AQ$4:AQ19,AQ19)=1),1,0)</f>
        <v/>
      </c>
      <c r="AS19" s="55">
        <f>IF(ROW()-3&gt;MAX(AR$4:AR$40),"",INDEX(AQ$4:AQ$40,MATCH(ROW()-3,AR$4:AR$40,0)))</f>
        <v/>
      </c>
      <c r="AT19" s="55">
        <f>IF('Final Calculation Sheet'!$H$19="","",'Final Calculation Sheet'!$H$19)</f>
        <v/>
      </c>
      <c r="AU19">
        <f>IF(AT19="","",COUNTIFS(AT$4:AT$40,"&lt;"&amp;AT19,AT$4:AT$40,"&lt;&gt;"&amp;"")+COUNTIF(AT$4:AT19,AT19))</f>
        <v/>
      </c>
      <c r="AV19" s="55">
        <f>IF(ROW()-3&gt;COUNTIF(AT$4:AT$40,"&lt;&gt;"&amp;""),"",INDEX(AT$4:AT$40,MATCH(ROW()-3,AU$4:AU$40,0)))</f>
        <v/>
      </c>
      <c r="AW19">
        <f>AW18+IF(AND(AV19&lt;&gt;"",COUNTIF(AV$4:AV19,AV19)=1),1,0)</f>
        <v/>
      </c>
      <c r="AX19" s="55">
        <f>IF(ROW()-3&gt;MAX(AW$4:AW$40),"",INDEX(AV$4:AV$40,MATCH(ROW()-3,AW$4:AW$40,0)))</f>
        <v/>
      </c>
      <c r="AY19" s="55">
        <f>IF('Final Calculation Sheet'!$I$19="","",'Final Calculation Sheet'!$I$19)</f>
        <v/>
      </c>
      <c r="AZ19">
        <f>IF(AY19="","",COUNTIFS(AY$4:AY$40,"&lt;"&amp;AY19,AY$4:AY$40,"&lt;&gt;"&amp;"")+COUNTIF(AY$4:AY19,AY19))</f>
        <v/>
      </c>
      <c r="BA19" s="55">
        <f>IF(ROW()-3&gt;COUNTIF(AY$4:AY$40,"&lt;&gt;"&amp;""),"",INDEX(AY$4:AY$40,MATCH(ROW()-3,AZ$4:AZ$40,0)))</f>
        <v/>
      </c>
      <c r="BB19">
        <f>BB18+IF(AND(BA19&lt;&gt;"",COUNTIF(BA$4:BA19,BA19)=1),1,0)</f>
        <v/>
      </c>
      <c r="BC19" s="55">
        <f>IF(ROW()-3&gt;MAX(BB$4:BB$40),"",INDEX(BA$4:BA$40,MATCH(ROW()-3,BB$4:BB$40,0)))</f>
        <v/>
      </c>
      <c r="BD19" s="55">
        <f>IF('Final Calculation Sheet'!$J$19="","",'Final Calculation Sheet'!$J$19)</f>
        <v/>
      </c>
      <c r="BE19">
        <f>IF(BD19="","",COUNTIFS(BD$4:BD$40,"&lt;"&amp;BD19,BD$4:BD$40,"&lt;&gt;"&amp;"")+COUNTIF(BD$4:BD19,BD19))</f>
        <v/>
      </c>
      <c r="BF19" s="55">
        <f>IF(ROW()-3&gt;COUNTIF(BD$4:BD$40,"&lt;&gt;"&amp;""),"",INDEX(BD$4:BD$40,MATCH(ROW()-3,BE$4:BE$40,0)))</f>
        <v/>
      </c>
      <c r="BG19">
        <f>BG18+IF(AND(BF19&lt;&gt;"",COUNTIF(BF$4:BF19,BF19)=1),1,0)</f>
        <v/>
      </c>
      <c r="BH19" s="55">
        <f>IF(ROW()-3&gt;MAX(BG$4:BG$40),"",INDEX(BF$4:BF$40,MATCH(ROW()-3,BG$4:BG$40,0)))</f>
        <v/>
      </c>
      <c r="BI19" s="55">
        <f>IF('Final Calculation Sheet'!$K$19="","",'Final Calculation Sheet'!$K$19)</f>
        <v/>
      </c>
      <c r="BJ19">
        <f>IF(BI19="","",COUNTIFS(BI$4:BI$40,"&lt;"&amp;BI19,BI$4:BI$40,"&lt;&gt;"&amp;"")+COUNTIF(BI$4:BI19,BI19))</f>
        <v/>
      </c>
      <c r="BK19" s="55">
        <f>IF(ROW()-3&gt;COUNTIF(BI$4:BI$40,"&lt;&gt;"&amp;""),"",INDEX(BI$4:BI$40,MATCH(ROW()-3,BJ$4:BJ$40,0)))</f>
        <v/>
      </c>
      <c r="BL19">
        <f>BL18+IF(AND(BK19&lt;&gt;"",COUNTIF(BK$4:BK19,BK19)=1),1,0)</f>
        <v/>
      </c>
      <c r="BM19" s="55">
        <f>IF(ROW()-3&gt;MAX(BL$4:BL$40),"",INDEX(BK$4:BK$40,MATCH(ROW()-3,BL$4:BL$40,0)))</f>
        <v/>
      </c>
      <c r="BN19" s="55">
        <f>IF('Final Calculation Sheet'!$L$19="","",'Final Calculation Sheet'!$L$19)</f>
        <v/>
      </c>
      <c r="BO19">
        <f>IF(BN19="","",COUNTIFS(BN$4:BN$40,"&lt;"&amp;BN19,BN$4:BN$40,"&lt;&gt;"&amp;"")+COUNTIF(BN$4:BN19,BN19))</f>
        <v/>
      </c>
      <c r="BP19" s="55">
        <f>IF(ROW()-3&gt;COUNTIF(BN$4:BN$40,"&lt;&gt;"&amp;""),"",INDEX(BN$4:BN$40,MATCH(ROW()-3,BO$4:BO$40,0)))</f>
        <v/>
      </c>
      <c r="BQ19">
        <f>BQ18+IF(AND(BP19&lt;&gt;"",COUNTIF(BP$4:BP19,BP19)=1),1,0)</f>
        <v/>
      </c>
      <c r="BR19" s="55">
        <f>IF(ROW()-3&gt;MAX(BQ$4:BQ$40),"",INDEX(BP$4:BP$40,MATCH(ROW()-3,BQ$4:BQ$40,0)))</f>
        <v/>
      </c>
      <c r="BS19" s="55">
        <f>IF('Final Calculation Sheet'!$M$19="","",'Final Calculation Sheet'!$M$19)</f>
        <v/>
      </c>
      <c r="BT19">
        <f>IF(BS19="","",COUNTIFS(BS$4:BS$40,"&lt;"&amp;BS19,BS$4:BS$40,"&lt;&gt;"&amp;"")+COUNTIF(BS$4:BS19,BS19))</f>
        <v/>
      </c>
      <c r="BU19" s="55">
        <f>IF(ROW()-3&gt;COUNTIF(BS$4:BS$40,"&lt;&gt;"&amp;""),"",INDEX(BS$4:BS$40,MATCH(ROW()-3,BT$4:BT$40,0)))</f>
        <v/>
      </c>
      <c r="BV19">
        <f>BV18+IF(AND(BU19&lt;&gt;"",COUNTIF(BU$4:BU19,BU19)=1),1,0)</f>
        <v/>
      </c>
      <c r="BW19" s="55">
        <f>IF(ROW()-3&gt;MAX(BV$4:BV$40),"",INDEX(BU$4:BU$40,MATCH(ROW()-3,BV$4:BV$40,0)))</f>
        <v/>
      </c>
      <c r="BX19" s="138">
        <f>IF('Final Calculation Sheet'!$N$19="","",'Final Calculation Sheet'!$N$19)</f>
        <v/>
      </c>
      <c r="BY19">
        <f>IF(BX19="","",COUNTIFS(BX$4:BX$40,"&lt;"&amp;BX19,BX$4:BX$40,"&lt;&gt;"&amp;"")+COUNTIF(BX$4:BX19,BX19))</f>
        <v/>
      </c>
      <c r="BZ19" s="138">
        <f>IF(ROW()-3&gt;COUNTIF(BX$4:BX$40,"&lt;&gt;"&amp;""),"",INDEX(BX$4:BX$40,MATCH(ROW()-3,BY$4:BY$40,0)))</f>
        <v/>
      </c>
      <c r="CA19">
        <f>CA18+IF(AND(BZ19&lt;&gt;"",COUNTIF(BZ$4:BZ19,BZ19)=1),1,0)</f>
        <v/>
      </c>
      <c r="CB19" s="138">
        <f>IF(ROW()-3&gt;MAX(CA$4:CA$40),"",INDEX(BZ$4:BZ$40,MATCH(ROW()-3,CA$4:CA$40,0)))</f>
        <v/>
      </c>
      <c r="CC19" s="55">
        <f>IF('Final Calculation Sheet'!$O$19="","",'Final Calculation Sheet'!$O$19)</f>
        <v/>
      </c>
      <c r="CD19">
        <f>IF(CC19="","",COUNTIFS(CC$4:CC$40,"&lt;"&amp;CC19,CC$4:CC$40,"&lt;&gt;"&amp;"")+COUNTIF(CC$4:CC19,CC19))</f>
        <v/>
      </c>
      <c r="CE19" s="55">
        <f>IF(ROW()-3&gt;COUNTIF(CC$4:CC$40,"&lt;&gt;"&amp;""),"",INDEX(CC$4:CC$40,MATCH(ROW()-3,CD$4:CD$40,0)))</f>
        <v/>
      </c>
      <c r="CF19">
        <f>CF18+IF(AND(CE19&lt;&gt;"",COUNTIF(CE$4:CE19,CE19)=1),1,0)</f>
        <v/>
      </c>
      <c r="CG19" s="55">
        <f>IF(ROW()-3&gt;MAX(CF$4:CF$40),"",INDEX(CE$4:CE$40,MATCH(ROW()-3,CF$4:CF$40,0)))</f>
        <v/>
      </c>
      <c r="CH19" s="55">
        <f>IF('Final Calculation Sheet'!$P$19="","",'Final Calculation Sheet'!$P$19)</f>
        <v/>
      </c>
      <c r="CI19">
        <f>IF(CH19="","",COUNTIFS(CH$4:CH$40,"&lt;"&amp;CH19,CH$4:CH$40,"&lt;&gt;"&amp;"")+COUNTIF(CH$4:CH19,CH19))</f>
        <v/>
      </c>
      <c r="CJ19" s="55">
        <f>IF(ROW()-3&gt;COUNTIF(CH$4:CH$40,"&lt;&gt;"&amp;""),"",INDEX(CH$4:CH$40,MATCH(ROW()-3,CI$4:CI$40,0)))</f>
        <v/>
      </c>
      <c r="CK19">
        <f>CK18+IF(AND(CJ19&lt;&gt;"",COUNTIF(CJ$4:CJ19,CJ19)=1),1,0)</f>
        <v/>
      </c>
      <c r="CL19" s="55">
        <f>IF(ROW()-3&gt;MAX(CK$4:CK$40),"",INDEX(CJ$4:CJ$40,MATCH(ROW()-3,CK$4:CK$40,0)))</f>
        <v/>
      </c>
      <c r="CM19" s="139">
        <f>IF('Final Calculation Sheet'!$Q$19="","",'Final Calculation Sheet'!$Q$19)</f>
        <v/>
      </c>
      <c r="CN19">
        <f>IF(CM19="","",COUNTIFS(CM$4:CM$40,"&lt;"&amp;CM19,CM$4:CM$40,"&lt;&gt;"&amp;"")+COUNTIF(CM$4:CM19,CM19))</f>
        <v/>
      </c>
      <c r="CO19" s="139">
        <f>IF(ROW()-3&gt;COUNTIF(CM$4:CM$40,"&lt;&gt;"&amp;""),"",INDEX(CM$4:CM$40,MATCH(ROW()-3,CN$4:CN$40,0)))</f>
        <v/>
      </c>
      <c r="CP19">
        <f>CP18+IF(AND(CO19&lt;&gt;"",COUNTIF(CO$4:CO19,CO19)=1),1,0)</f>
        <v/>
      </c>
      <c r="CQ19">
        <f>IF(ROW()-3&gt;MAX(CP$4:CP$40),"",INDEX(CO$4:CO$40,MATCH(ROW()-3,CP$4:CP$40,0)))</f>
        <v/>
      </c>
      <c r="CR19" s="55">
        <f>IF('Final Calculation Sheet'!$R$19="","",'Final Calculation Sheet'!$R$19)</f>
        <v/>
      </c>
      <c r="CS19">
        <f>IF(CR19="","",COUNTIFS(CR$4:CR$40,"&lt;"&amp;CR19,CR$4:CR$40,"&lt;&gt;"&amp;"")+COUNTIF(CR$4:CR19,CR19))</f>
        <v/>
      </c>
      <c r="CT19" s="55">
        <f>IF(ROW()-3&gt;COUNTIF(CR$4:CR$40,"&lt;&gt;"&amp;""),"",INDEX(CR$4:CR$40,MATCH(ROW()-3,CS$4:CS$40,0)))</f>
        <v/>
      </c>
      <c r="CU19">
        <f>CU18+IF(AND(CT19&lt;&gt;"",COUNTIF(CT$4:CT19,CT19)=1),1,0)</f>
        <v/>
      </c>
      <c r="CV19">
        <f>IF(ROW()-3&gt;MAX(CU$4:CU$40),"",INDEX(CT$4:CT$40,MATCH(ROW()-3,CU$4:CU$40,0)))</f>
        <v/>
      </c>
      <c r="CW19" s="55">
        <f>IF('Final Calculation Sheet'!$S$19="","",'Final Calculation Sheet'!$S$19)</f>
        <v/>
      </c>
      <c r="CX19">
        <f>IF(CW19="","",COUNTIFS(CW$4:CW$40,"&lt;"&amp;CW19,CW$4:CW$40,"&lt;&gt;"&amp;"")+COUNTIF(CW$4:CW19,CW19))</f>
        <v/>
      </c>
      <c r="CY19" s="55">
        <f>IF(ROW()-3&gt;COUNTIF(CW$4:CW$40,"&lt;&gt;"&amp;""),"",INDEX(CW$4:CW$40,MATCH(ROW()-3,CX$4:CX$40,0)))</f>
        <v/>
      </c>
      <c r="CZ19">
        <f>CZ18+IF(AND(CY19&lt;&gt;"",COUNTIF(CY$4:CY19,CY19)=1),1,0)</f>
        <v/>
      </c>
      <c r="DA19" s="55">
        <f>IF(ROW()-3&gt;MAX(CZ$4:CZ$40),"",INDEX(CY$4:CY$40,MATCH(ROW()-3,CZ$4:CZ$40,0)))</f>
        <v/>
      </c>
      <c r="DB19" s="55">
        <f>IF('Final Calculation Sheet'!$T$19="","",'Final Calculation Sheet'!$T$19)</f>
        <v/>
      </c>
      <c r="DC19">
        <f>IF(DB19="","",COUNTIFS(DB$4:DB$40,"&lt;"&amp;DB19,DB$4:DB$40,"&lt;&gt;"&amp;"")+COUNTIF(DB$4:DB19,DB19))</f>
        <v/>
      </c>
      <c r="DD19" s="55">
        <f>IF(ROW()-3&gt;COUNTIF(DB$4:DB$40,"&lt;&gt;"&amp;""),"",INDEX(DB$4:DB$40,MATCH(ROW()-3,DC$4:DC$40,0)))</f>
        <v/>
      </c>
      <c r="DE19">
        <f>DE18+IF(AND(DD19&lt;&gt;"",COUNTIF(DD$4:DD19,DD19)=1),1,0)</f>
        <v/>
      </c>
      <c r="DF19" s="55">
        <f>IF(ROW()-3&gt;MAX(DE$4:DE$40),"",INDEX(DD$4:DD$40,MATCH(ROW()-3,DE$4:DE$40,0)))</f>
        <v/>
      </c>
      <c r="DG19" s="140">
        <f>IF('Final Calculation Sheet'!$U$19="","",'Final Calculation Sheet'!$U$19)</f>
        <v/>
      </c>
      <c r="DH19">
        <f>IF(DG19="","",COUNTIFS(DG$4:DG$40,"&lt;"&amp;DG19,DG$4:DG$40,"&lt;&gt;"&amp;"")+COUNTIF(DG$4:DG19,DG19))</f>
        <v/>
      </c>
      <c r="DI19" s="140">
        <f>IF(ROW()-3&gt;COUNTIF(DG$4:DG$40,"&lt;&gt;"&amp;""),"",INDEX(DG$4:DG$40,MATCH(ROW()-3,DH$4:DH$40,0)))</f>
        <v/>
      </c>
      <c r="DJ19">
        <f>DJ18+IF(AND(DI19&lt;&gt;"",COUNTIF(DI$4:DI19,DI19)=1),1,0)</f>
        <v/>
      </c>
      <c r="DK19" s="140">
        <f>IF(ROW()-3&gt;MAX(DJ$4:DJ$40),"",INDEX(DI$4:DI$40,MATCH(ROW()-3,DJ$4:DJ$40,0)))</f>
        <v/>
      </c>
      <c r="DL19">
        <f>IF('Final Calculation Sheet'!$V$19="","",'Final Calculation Sheet'!$V$19)</f>
        <v/>
      </c>
      <c r="DM19">
        <f>IF(DL19="","",COUNTIFS(DL$4:DL$40,"&lt;"&amp;DL19,DL$4:DL$40,"&lt;&gt;"&amp;"")+COUNTIF(DL$4:DL19,DL19))</f>
        <v/>
      </c>
      <c r="DN19">
        <f>IF(ROW()-3&gt;COUNTIF(DL$4:DL$40,"&lt;&gt;"&amp;""),"",INDEX(DL$4:DL$40,MATCH(ROW()-3,DM$4:DM$40,0)))</f>
        <v/>
      </c>
      <c r="DO19">
        <f>DO18+IF(AND(DN19&lt;&gt;"",COUNTIF(DN$4:DN19,DN19)=1),1,0)</f>
        <v/>
      </c>
      <c r="DP19">
        <f>IF(ROW()-3&gt;MAX(DO$4:DO$40),"",INDEX(DN$4:DN$40,MATCH(ROW()-3,DO$4:DO$40,0)))</f>
        <v/>
      </c>
      <c r="DQ19" s="55">
        <f>IF('Final Calculation Sheet'!$W$19="","",'Final Calculation Sheet'!$W$19)</f>
        <v/>
      </c>
      <c r="DR19">
        <f>IF(DQ19="","",COUNTIFS(DQ$4:DQ$40,"&lt;"&amp;DQ19,DQ$4:DQ$40,"&lt;&gt;"&amp;"")+COUNTIF(DQ$4:DQ19,DQ19))</f>
        <v/>
      </c>
      <c r="DS19" s="55">
        <f>IF(ROW()-3&gt;COUNTIF(DQ$4:DQ$40,"&lt;&gt;"&amp;""),"",INDEX(DQ$4:DQ$40,MATCH(ROW()-3,DR$4:DR$40,0)))</f>
        <v/>
      </c>
      <c r="DT19">
        <f>DT18+IF(AND(DS19&lt;&gt;"",COUNTIF(DS$4:DS19,DS19)=1),1,0)</f>
        <v/>
      </c>
      <c r="DU19" s="55">
        <f>IF(ROW()-3&gt;MAX(DT$4:DT$40),"",INDEX(DS$4:DS$40,MATCH(ROW()-3,DT$4:DT$40,0)))</f>
        <v/>
      </c>
      <c r="DV19" s="55">
        <f>IF('Final Calculation Sheet'!$X$19="","",'Final Calculation Sheet'!$X$19)</f>
        <v/>
      </c>
      <c r="DW19">
        <f>IF(DV19="","",COUNTIFS(DV$4:DV$40,"&lt;"&amp;DV19,DV$4:DV$40,"&lt;&gt;"&amp;"")+COUNTIF(DV$4:DV19,DV19))</f>
        <v/>
      </c>
      <c r="DX19" s="55">
        <f>IF(ROW()-3&gt;COUNTIF(DV$4:DV$40,"&lt;&gt;"&amp;""),"",INDEX(DV$4:DV$40,MATCH(ROW()-3,DW$4:DW$40,0)))</f>
        <v/>
      </c>
      <c r="DY19">
        <f>DY18+IF(AND(DX19&lt;&gt;"",COUNTIF(DX$4:DX19,DX19)=1),1,0)</f>
        <v/>
      </c>
      <c r="DZ19">
        <f>IF(ROW()-3&gt;MAX(DY$4:DY$40),"",INDEX(DX$4:DX$40,MATCH(ROW()-3,DY$4:DY$40,0)))</f>
        <v/>
      </c>
      <c r="EA19">
        <f>IF('Final Calculation Sheet'!$Y$19="","",'Final Calculation Sheet'!$Y$19)</f>
        <v/>
      </c>
      <c r="EB19">
        <f>IF(EA19="","",COUNTIFS(EA$4:EA$40,"&lt;"&amp;EA19,EA$4:EA$40,"&lt;&gt;"&amp;"")+COUNTIF(EA$4:EA19,EA19))</f>
        <v/>
      </c>
      <c r="EC19">
        <f>IF(ROW()-3&gt;COUNTIF(EA$4:EA$40,"&lt;&gt;"&amp;""),"",INDEX(EA$4:EA$40,MATCH(ROW()-3,EB$4:EB$40,0)))</f>
        <v/>
      </c>
      <c r="ED19">
        <f>ED18+IF(AND(EC19&lt;&gt;"",COUNTIF(EC$4:EC19,EC19)=1),1,0)</f>
        <v/>
      </c>
      <c r="EE19">
        <f>IF(ROW()-3&gt;MAX(ED$4:ED$40),"",INDEX(EC$4:EC$40,MATCH(ROW()-3,ED$4:ED$40,0)))</f>
        <v/>
      </c>
      <c r="EF19" s="55">
        <f>IF('Final Calculation Sheet'!$Z$19="","",'Final Calculation Sheet'!$Z$19)</f>
        <v/>
      </c>
      <c r="EG19">
        <f>IF(EF19="","",COUNTIFS(EF$4:EF$40,"&lt;"&amp;EF19,EF$4:EF$40,"&lt;&gt;"&amp;"")+COUNTIF(EF$4:EF19,EF19))</f>
        <v/>
      </c>
      <c r="EH19" s="55">
        <f>IF(ROW()-3&gt;COUNTIF(EF$4:EF$40,"&lt;&gt;"&amp;""),"",INDEX(EF$4:EF$40,MATCH(ROW()-3,EG$4:EG$40,0)))</f>
        <v/>
      </c>
      <c r="EI19">
        <f>EI18+IF(AND(EH19&lt;&gt;"",COUNTIF(EH$4:EH19,EH19)=1),1,0)</f>
        <v/>
      </c>
      <c r="EJ19">
        <f>IF(ROW()-3&gt;MAX(EI$4:EI$40),"",INDEX(EH$4:EH$40,MATCH(ROW()-3,EI$4:EI$40,0)))</f>
        <v/>
      </c>
      <c r="EK19">
        <f>IF('Final Calculation Sheet'!$AA$19="","",'Final Calculation Sheet'!$AA$19)</f>
        <v/>
      </c>
      <c r="EL19">
        <f>IF(EK19="","",COUNTIFS(EK$4:EK$40,"&lt;"&amp;EK19,EK$4:EK$40,"&lt;&gt;"&amp;"")+COUNTIF(EK$4:EK19,EK19))</f>
        <v/>
      </c>
      <c r="EM19">
        <f>IF(ROW()-3&gt;COUNTIF(EK$4:EK$40,"&lt;&gt;"&amp;""),"",INDEX(EK$4:EK$40,MATCH(ROW()-3,EL$4:EL$40,0)))</f>
        <v/>
      </c>
      <c r="EN19">
        <f>EN18+IF(AND(EM19&lt;&gt;"",COUNTIF(EM$4:EM19,EM19)=1),1,0)</f>
        <v/>
      </c>
      <c r="EO19">
        <f>IF(ROW()-3&gt;MAX(EN$4:EN$40),"",INDEX(EM$4:EM$40,MATCH(ROW()-3,EN$4:EN$40,0)))</f>
        <v/>
      </c>
      <c r="EP19">
        <f>IF('Final Calculation Sheet'!$AB$19="","",'Final Calculation Sheet'!$AB$19)</f>
        <v/>
      </c>
      <c r="EQ19">
        <f>IF(EP19="","",COUNTIFS(EP$4:EP$40,"&lt;"&amp;EP19,EP$4:EP$40,"&lt;&gt;"&amp;"")+COUNTIF(EP$4:EP19,EP19))</f>
        <v/>
      </c>
      <c r="ER19">
        <f>IF(ROW()-3&gt;COUNTIF(EP$4:EP$40,"&lt;&gt;"&amp;""),"",INDEX(EP$4:EP$40,MATCH(ROW()-3,EQ$4:EQ$40,0)))</f>
        <v/>
      </c>
      <c r="ES19">
        <f>ES18+IF(AND(ER19&lt;&gt;"",COUNTIF(ER$4:ER19,ER19)=1),1,0)</f>
        <v/>
      </c>
      <c r="ET19">
        <f>IF(ROW()-3&gt;MAX(ES$4:ES$40),"",INDEX(ER$4:ER$40,MATCH(ROW()-3,ES$4:ES$40,0)))</f>
        <v/>
      </c>
      <c r="EU19" s="55">
        <f>IF('Final Calculation Sheet'!$AC$19="","",'Final Calculation Sheet'!$AC$19)</f>
        <v/>
      </c>
      <c r="EV19">
        <f>IF(EU19="","",COUNTIFS(EU$4:EU$40,"&lt;"&amp;EU19,EU$4:EU$40,"&lt;&gt;"&amp;"")+COUNTIF(EU$4:EU19,EU19))</f>
        <v/>
      </c>
      <c r="EW19" s="55">
        <f>IF(ROW()-3&gt;COUNTIF(EU$4:EU$40,"&lt;&gt;"&amp;""),"",INDEX(EU$4:EU$40,MATCH(ROW()-3,EV$4:EV$40,0)))</f>
        <v/>
      </c>
      <c r="EX19">
        <f>EX18+IF(AND(EW19&lt;&gt;"",COUNTIF(EW$4:EW19,EW19)=1),1,0)</f>
        <v/>
      </c>
      <c r="EY19" s="55">
        <f>IF(ROW()-3&gt;MAX(EX$4:EX$40),"",INDEX(EW$4:EW$40,MATCH(ROW()-3,EX$4:EX$40,0)))</f>
        <v/>
      </c>
      <c r="EZ19" s="55">
        <f>IF('Final Calculation Sheet'!$AD$19="","",'Final Calculation Sheet'!$AD$19)</f>
        <v/>
      </c>
      <c r="FA19">
        <f>IF(EZ19="","",COUNTIFS(EZ$4:EZ$40,"&lt;"&amp;EZ19,EZ$4:EZ$40,"&lt;&gt;"&amp;"")+COUNTIF(EZ$4:EZ19,EZ19))</f>
        <v/>
      </c>
      <c r="FB19" s="55">
        <f>IF(ROW()-3&gt;COUNTIF(EZ$4:EZ$40,"&lt;&gt;"&amp;""),"",INDEX(EZ$4:EZ$40,MATCH(ROW()-3,FA$4:FA$40,0)))</f>
        <v/>
      </c>
      <c r="FC19">
        <f>FC18+IF(AND(FB19&lt;&gt;"",COUNTIF(FB$4:FB19,FB19)=1),1,0)</f>
        <v/>
      </c>
      <c r="FD19">
        <f>IF(ROW()-3&gt;MAX(FC$4:FC$40),"",INDEX(FB$4:FB$40,MATCH(ROW()-3,FC$4:FC$40,0)))</f>
        <v/>
      </c>
      <c r="FE19">
        <f>IF('Final Calculation Sheet'!$AF$19="","",'Final Calculation Sheet'!$AF$19)</f>
        <v/>
      </c>
      <c r="FF19">
        <f>IF(FE19="","",COUNTIFS(FE$4:FE$40,"&lt;"&amp;FE19,FE$4:FE$40,"&lt;&gt;"&amp;"")+COUNTIF(FE$4:FE19,FE19))</f>
        <v/>
      </c>
      <c r="FG19">
        <f>IF(ROW()-3&gt;COUNTIF(FE$4:FE$40,"&lt;&gt;"&amp;""),"",INDEX(FE$4:FE$40,MATCH(ROW()-3,FF$4:FF$40,0)))</f>
        <v/>
      </c>
      <c r="FH19">
        <f>FH18+IF(AND(FG19&lt;&gt;"",COUNTIF(FG$4:FG19,FG19)=1),1,0)</f>
        <v/>
      </c>
      <c r="FI19">
        <f>IF(ROW()-3&gt;MAX(FH$4:FH$40),"",INDEX(FG$4:FG$40,MATCH(ROW()-3,FH$4:FH$40,0)))</f>
        <v/>
      </c>
      <c r="FJ19" s="141">
        <f>IF('Final Calculation Sheet'!$AG$19="","",'Final Calculation Sheet'!$AG$19)</f>
        <v/>
      </c>
      <c r="FK19">
        <f>IF(FJ19="","",COUNTIFS(FJ$4:FJ$40,"&lt;"&amp;FJ19,FJ$4:FJ$40,"&lt;&gt;"&amp;"")+COUNTIF(FJ$4:FJ19,FJ19))</f>
        <v/>
      </c>
      <c r="FL19" s="141">
        <f>IF(ROW()-3&gt;COUNTIF(FJ$4:FJ$40,"&lt;&gt;"&amp;""),"",INDEX(FJ$4:FJ$40,MATCH(ROW()-3,FK$4:FK$40,0)))</f>
        <v/>
      </c>
      <c r="FM19">
        <f>FM18+IF(AND(FL19&lt;&gt;"",COUNTIF(FL$4:FL19,FL19)=1),1,0)</f>
        <v/>
      </c>
      <c r="FN19">
        <f>IF(ROW()-3&gt;MAX(FM$4:FM$40),"",INDEX(FL$4:FL$40,MATCH(ROW()-3,FM$4:FM$40,0)))</f>
        <v/>
      </c>
      <c r="FO19">
        <f>IF('Final Calculation Sheet'!$AH$19="","",'Final Calculation Sheet'!$AH$19)</f>
        <v/>
      </c>
      <c r="FP19">
        <f>IF(FO19="","",COUNTIFS(FO$4:FO$40,"&lt;"&amp;FO19,FO$4:FO$40,"&lt;&gt;"&amp;"")+COUNTIF(FO$4:FO19,FO19))</f>
        <v/>
      </c>
      <c r="FQ19">
        <f>IF(ROW()-3&gt;COUNTIF(FO$4:FO$40,"&lt;&gt;"&amp;""),"",INDEX(FO$4:FO$40,MATCH(ROW()-3,FP$4:FP$40,0)))</f>
        <v/>
      </c>
      <c r="FR19">
        <f>FR18+IF(AND(FQ19&lt;&gt;"",COUNTIF(FQ$4:FQ19,FQ19)=1),1,0)</f>
        <v/>
      </c>
      <c r="FS19">
        <f>IF(ROW()-3&gt;MAX(FR$4:FR$40),"",INDEX(FQ$4:FQ$40,MATCH(ROW()-3,FR$4:FR$40,0)))</f>
        <v/>
      </c>
      <c r="FU19">
        <f>IF(FT19="","",COUNTIFS(FT$4:FT$40,"&lt;"&amp;FT19,FT$4:FT$40,"&lt;&gt;"&amp;"")+COUNTIF(FT$4:FT19,FT19))</f>
        <v/>
      </c>
      <c r="FV19">
        <f>IF(ROW()-3&gt;COUNTIF(FT$4:FT$40,"&lt;&gt;"&amp;""),"",INDEX(FT$4:FT$40,MATCH(ROW()-3,FU$4:FU$40,0)))</f>
        <v/>
      </c>
      <c r="FW19">
        <f>FW18+IF(AND(FV19&lt;&gt;"",COUNTIF(FV$4:FV19,FV19)=1),1,0)</f>
        <v/>
      </c>
      <c r="FX19">
        <f>IF(ROW()-3&gt;MAX(FW$4:FW$40),"",INDEX(FV$4:FV$40,MATCH(ROW()-3,FW$4:FW$40,0)))</f>
        <v/>
      </c>
      <c r="FY19">
        <f>IF(COUNTIF('Live Search'!BM$18:BO$18,0)+COUNTIF('Live Search'!BQ$18:CU$18,0)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19">
        <f>IF($Y$19="",FALSE,SUMPRODUCT(('Final Calculation Sheet'!$B$4:$B$40=$Y$19)*($FY$6:$FY$42=1))&gt;0)</f>
        <v/>
      </c>
      <c r="GA19">
        <f>$GA$18+--($FZ$19)</f>
        <v/>
      </c>
      <c r="GB19">
        <f>IF(ROW()-3&gt;MAX($GA$4:$GA$40),"",INDEX($Y$4:$Y$40,MATCH(ROW()-3,$GA$4:$GA$40,0)))</f>
        <v/>
      </c>
      <c r="GC19">
        <f>IF('Final Calculation Sheet'!$F$19="","",IF(TRIM('Final Calculation Sheet'!$G$2)="",'Final Calculation Sheet'!$F$19,IF(TRIM('Final Calculation Sheet'!$G$2)="(nonblank)",IF('Final Calculation Sheet'!$G$19&lt;&gt;"",'Final Calculation Sheet'!$F$19,""),IF(TRIM('Final Calculation Sheet'!$G$2)="(blank)",IF('Final Calculation Sheet'!$G$19="",'Final Calculation Sheet'!$F$19,""),IF(ISNUMBER(SEARCH(TRIM('Final Calculation Sheet'!$G$2),'Final Calculation Sheet'!$G$19)),'Final Calculation Sheet'!$F$19,"")))))</f>
        <v/>
      </c>
      <c r="GD19">
        <f>IF(GC19="","",COUNTIFS(GC$4:GC$40,"&lt;"&amp;GC19,GC$4:GC$40,"&lt;&gt;"&amp;"")+COUNTIF(GC$4:GC19,GC19))</f>
        <v/>
      </c>
      <c r="GE19">
        <f>IF(ROW()-3&gt;COUNTIF(GC$4:GC$40,"&lt;&gt;"&amp;""),"",INDEX(GC$4:GC$40,MATCH(ROW()-3,GD$4:GD$40,0)))</f>
        <v/>
      </c>
      <c r="GF19">
        <f>GF18+IF(AND(GE19&lt;&gt;"",COUNTIF(GE$4:GE19,GE19)=1),1,0)</f>
        <v/>
      </c>
      <c r="GG19">
        <f>IF(ROW()-3&gt;MAX(GF$4:GF$40),"",INDEX(GE$4:GE$40,MATCH(ROW()-3,GF$4:GF$40,0)))</f>
        <v/>
      </c>
      <c r="GH19">
        <f>IF('Final Calculation Sheet'!$F$19="","",IF('Live Search'!$BO$20=1,'Final Calculation Sheet'!$F$19,""))</f>
        <v/>
      </c>
      <c r="GI19">
        <f>IF(GH19="","",COUNTIFS(GH$4:GH$40,"&lt;"&amp;GH19,GH$4:GH$40,"&lt;&gt;"&amp;"")+COUNTIF(GH$4:GH19,GH19))</f>
        <v/>
      </c>
      <c r="GJ19">
        <f>IF(ROW()-3&gt;COUNTIF(GH$4:GH$40,"&lt;&gt;"&amp;""),"",INDEX(GH$4:GH$40,MATCH(ROW()-3,GI$4:GI$40,0)))</f>
        <v/>
      </c>
      <c r="GK19">
        <f>GK18+IF(AND(GJ19&lt;&gt;"",COUNTIF(GJ$4:GJ19,GJ19)=1),1,0)</f>
        <v/>
      </c>
      <c r="GL19">
        <f>IF(ROW()-3&gt;MAX(GK$4:GK$40),"",INDEX(GJ$4:GJ$40,MATCH(ROW()-3,GK$4:GK$40,0)))</f>
        <v/>
      </c>
      <c r="GM19">
        <f>IF('Final Calculation Sheet'!$F$19="","",IF(TRIM('Buyer Groups'!$C$4)="",'Final Calculation Sheet'!$F$19,IF(TRIM('Buyer Groups'!$C$4)="(nonblank)",IF('Final Calculation Sheet'!$G$19&lt;&gt;"",'Final Calculation Sheet'!$F$19,""),IF(TRIM('Buyer Groups'!$C$4)="(blank)",IF('Final Calculation Sheet'!$G$19="",'Final Calculation Sheet'!$F$19,""),IF(ISNUMBER(SEARCH(TRIM('Buyer Groups'!$C$4),'Final Calculation Sheet'!$G$19)),'Final Calculation Sheet'!$F$19,"")))))</f>
        <v/>
      </c>
      <c r="GN19">
        <f>IF(GM19="","",COUNTIFS(GM$4:GM$40,"&lt;"&amp;GM19,GM$4:GM$40,"&lt;&gt;"&amp;"")+COUNTIF(GM$4:GM19,GM19))</f>
        <v/>
      </c>
      <c r="GO19">
        <f>IF(ROW()-3&gt;COUNTIF(GM$4:GM$40,"&lt;&gt;"&amp;""),"",INDEX(GM$4:GM$40,MATCH(ROW()-3,GN$4:GN$40,0)))</f>
        <v/>
      </c>
      <c r="GP19">
        <f>GP18+IF(AND(GO19&lt;&gt;"",COUNTIF(GO$4:GO19,GO19)=1),1,0)</f>
        <v/>
      </c>
      <c r="GQ19">
        <f>IF(ROW()-3&gt;MAX(GP$4:GP$40),"",INDEX(GO$4:GO$40,MATCH(ROW()-3,GP$4:GP$40,0)))</f>
        <v/>
      </c>
      <c r="GR19">
        <f>IF('Final Calculation Sheet'!$B$19="","",IF(TRIM('Final Calculation Sheet'!$G$2)="",'Final Calculation Sheet'!$B$19,IF(TRIM('Final Calculation Sheet'!$G$2)="(nonblank)",IF('Final Calculation Sheet'!$G$19&lt;&gt;"",'Final Calculation Sheet'!$B$19,""),IF(TRIM('Final Calculation Sheet'!$G$2)="(blank)",IF('Final Calculation Sheet'!$G$19="",'Final Calculation Sheet'!$B$19,""),IF(ISNUMBER(SEARCH(TRIM('Final Calculation Sheet'!$G$2),'Final Calculation Sheet'!$G$19)),'Final Calculation Sheet'!$B$19,"")))))</f>
        <v/>
      </c>
      <c r="GS19">
        <f>IF(GR19="","",COUNTIFS(GR$4:GR$40,"&lt;"&amp;GR19,GR$4:GR$40,"&lt;&gt;"&amp;"")+COUNTIF(GR$4:GR19,GR19))</f>
        <v/>
      </c>
      <c r="GT19">
        <f>IF(ROW()-3&gt;COUNTIF(GR$4:GR$40,"&lt;&gt;"&amp;""),"",INDEX(GR$4:GR$40,MATCH(ROW()-3,GS$4:GS$40,0)))</f>
        <v/>
      </c>
      <c r="GU19">
        <f>GU18+IF(AND(GT19&lt;&gt;"",COUNTIF(GT$4:GT19,GT19)=1),1,0)</f>
        <v/>
      </c>
      <c r="GV19">
        <f>IF(ROW()-3&gt;MAX(GU$4:GU$40),"",INDEX(GT$4:GT$40,MATCH(ROW()-3,GU$4:GU$40,0)))</f>
        <v/>
      </c>
      <c r="GW19">
        <f>IF('Final Calculation Sheet'!$B$19="","",IF(TRIM('Buyer Groups'!$C$4)="",'Final Calculation Sheet'!$B$19,IF(TRIM('Buyer Groups'!$C$4)="(nonblank)",IF('Final Calculation Sheet'!$G$19&lt;&gt;"",'Final Calculation Sheet'!$B$19,""),IF(TRIM('Buyer Groups'!$C$4)="(blank)",IF('Final Calculation Sheet'!$G$19="",'Final Calculation Sheet'!$B$19,""),IF(ISNUMBER(SEARCH(TRIM('Buyer Groups'!$C$4),'Final Calculation Sheet'!$G$19)),'Final Calculation Sheet'!$B$19,"")))))</f>
        <v/>
      </c>
      <c r="GX19">
        <f>IF(GW19="","",COUNTIFS(GW$4:GW$40,"&lt;"&amp;GW19,GW$4:GW$40,"&lt;&gt;"&amp;"")+COUNTIF(GW$4:GW19,GW19))</f>
        <v/>
      </c>
      <c r="GY19">
        <f>IF(ROW()-3&gt;COUNTIF(GW$4:GW$40,"&lt;&gt;"&amp;""),"",INDEX(GW$4:GW$40,MATCH(ROW()-3,GX$4:GX$40,0)))</f>
        <v/>
      </c>
      <c r="GZ19">
        <f>GZ18+IF(AND(GY19&lt;&gt;"",COUNTIF(GY$4:GY19,GY19)=1),1,0)</f>
        <v/>
      </c>
      <c r="HA19">
        <f>IF(ROW()-3&gt;MAX(GZ$4:GZ$40),"",INDEX(GY$4:GY$40,MATCH(ROW()-3,GZ$4:GZ$40,0)))</f>
        <v/>
      </c>
    </row>
    <row r="20">
      <c r="A20">
        <f>IF('Final Calculation Sheet'!$F$20="","",'Final Calculation Sheet'!$F$20)</f>
        <v/>
      </c>
      <c r="B20">
        <f>IF(A20="","",COUNTIFS(A$4:A$114,"&lt;"&amp;A20,A$4:A$114,"&lt;&gt;"&amp;"")+COUNTIF(A$4:A20,A20))</f>
        <v/>
      </c>
      <c r="C20">
        <f>IF(ROW()-3&gt;COUNTIF(A$4:A$114,"&lt;&gt;"&amp;""),"",INDEX(A$4:A$114,MATCH(ROW()-3,B$4:B$114,0)))</f>
        <v/>
      </c>
      <c r="D20">
        <f>D19+IF(AND(C20&lt;&gt;"",COUNTIF(C$4:C20,C20)=1),1,0)</f>
        <v/>
      </c>
      <c r="E20">
        <f>IF(ROW()-3&gt;MAX(D$4:D$114),"",INDEX(C$4:C$114,MATCH(ROW()-3,D$4:D$114,0)))</f>
        <v/>
      </c>
      <c r="F20">
        <f>ROW()-3</f>
        <v/>
      </c>
      <c r="G20">
        <f>IF(F20="","",COUNTIFS(F$4:F$40,"&lt;"&amp;F20,F$4:F$40,"&lt;&gt;"&amp;"")+COUNTIF(F$4:F20,F20))</f>
        <v/>
      </c>
      <c r="H20">
        <f>IF(ROW()-3&gt;COUNTIF(F$4:F$40,"&lt;&gt;"&amp;""),"",INDEX(F$4:F$40,MATCH(ROW()-3,G$4:G$40,0)))</f>
        <v/>
      </c>
      <c r="I20">
        <f>I19+IF(AND(H20&lt;&gt;"",COUNTIF(H$4:H20,H20)=1),1,0)</f>
        <v/>
      </c>
      <c r="J20">
        <f>IF(ROW()-3&gt;MAX(I$4:I$40),"",INDEX(H$4:H$40,MATCH(ROW()-3,I$4:I$40,0)))</f>
        <v/>
      </c>
      <c r="K20">
        <f>IF('Final Calculation Sheet'!$F$20="","",'Final Calculation Sheet'!$F$20)</f>
        <v/>
      </c>
      <c r="L20">
        <f>IF(K20="","",COUNTIFS(K$4:K$40,"&lt;"&amp;K20,K$4:K$40,"&lt;&gt;"&amp;"")+COUNTIF(K$4:K20,K20))</f>
        <v/>
      </c>
      <c r="M20">
        <f>IF(ROW()-3&gt;COUNTIF(K$4:K$40,"&lt;&gt;"&amp;""),"",INDEX(K$4:K$40,MATCH(ROW()-3,L$4:L$40,0)))</f>
        <v/>
      </c>
      <c r="N20">
        <f>N19+IF(AND(M20&lt;&gt;"",COUNTIF(M$4:M20,M20)=1),1,0)</f>
        <v/>
      </c>
      <c r="O20">
        <f>IF(ROW()-3&gt;MAX(N$4:N$40),"",INDEX(M$4:M$40,MATCH(ROW()-3,N$4:N$40,0)))</f>
        <v/>
      </c>
      <c r="P20">
        <f>IF('Final Calculation Sheet'!$G$20="","",'Final Calculation Sheet'!$G$20)</f>
        <v/>
      </c>
      <c r="Q20">
        <f>IF(P20="","",COUNTIFS(P$4:P$40,"&lt;"&amp;P20,P$4:P$40,"&lt;&gt;"&amp;"")+COUNTIF(P$4:P20,P20))</f>
        <v/>
      </c>
      <c r="R20">
        <f>IF(ROW()-3&gt;COUNTIF(P$4:P$40,"&lt;&gt;"&amp;""),"",INDEX(P$4:P$40,MATCH(ROW()-3,Q$4:Q$40,0)))</f>
        <v/>
      </c>
      <c r="S20">
        <f>S19+IF(AND(R20&lt;&gt;"",COUNTIF(R$4:R20,R20)=1),1,0)</f>
        <v/>
      </c>
      <c r="T20">
        <f>IF(ROW()-3&gt;MAX(S$4:S$40),"",INDEX(R$4:R$40,MATCH(ROW()-3,S$4:S$40,0)))</f>
        <v/>
      </c>
      <c r="U20">
        <f>IF('Final Calculation Sheet'!$B$20="","",'Final Calculation Sheet'!$B$20)</f>
        <v/>
      </c>
      <c r="V20">
        <f>IF(U20="","",COUNTIFS(U$4:U$40,"&lt;"&amp;U20,U$4:U$40,"&lt;&gt;"&amp;"")+COUNTIF(U$4:U20,U20))</f>
        <v/>
      </c>
      <c r="W20">
        <f>IF(ROW()-3&gt;COUNTIF(U$4:U$40,"&lt;&gt;"&amp;""),"",INDEX(U$4:U$40,MATCH(ROW()-3,V$4:V$40,0)))</f>
        <v/>
      </c>
      <c r="X20">
        <f>X19+IF(AND(W20&lt;&gt;"",COUNTIF(W$4:W20,W20)=1),1,0)</f>
        <v/>
      </c>
      <c r="Y20">
        <f>IF(ROW()-3&gt;MAX(X$4:X$40),"",INDEX(W$4:W$40,MATCH(ROW()-3,X$4:X$40,0)))</f>
        <v/>
      </c>
      <c r="Z20">
        <f>IF('Final Calculation Sheet'!$D$20="","",'Final Calculation Sheet'!$D$20)</f>
        <v/>
      </c>
      <c r="AA20">
        <f>IF(Z20="","",COUNTIFS(Z$4:Z$40,"&lt;"&amp;Z20,Z$4:Z$40,"&lt;&gt;"&amp;"")+COUNTIF(Z$4:Z20,Z20))</f>
        <v/>
      </c>
      <c r="AB20">
        <f>IF(ROW()-3&gt;COUNTIF(Z$4:Z$40,"&lt;&gt;"&amp;""),"",INDEX(Z$4:Z$40,MATCH(ROW()-3,AA$4:AA$40,0)))</f>
        <v/>
      </c>
      <c r="AC20">
        <f>AC19+IF(AND(AB20&lt;&gt;"",COUNTIF(AB$4:AB20,AB20)=1),1,0)</f>
        <v/>
      </c>
      <c r="AD20">
        <f>IF(ROW()-3&gt;MAX(AC$4:AC$40),"",INDEX(AB$4:AB$40,MATCH(ROW()-3,AC$4:AC$40,0)))</f>
        <v/>
      </c>
      <c r="AE20">
        <f>IF('Final Calculation Sheet'!$A$20="","",'Final Calculation Sheet'!$A$20)</f>
        <v/>
      </c>
      <c r="AF20">
        <f>IF(AE20="","",COUNTIFS(AE$4:AE$40,"&lt;"&amp;AE20,AE$4:AE$40,"&lt;&gt;"&amp;"")+COUNTIF(AE$4:AE20,AE20))</f>
        <v/>
      </c>
      <c r="AG20">
        <f>IF(ROW()-3&gt;COUNTIF(AE$4:AE$40,"&lt;&gt;"&amp;""),"",INDEX(AE$4:AE$40,MATCH(ROW()-3,AF$4:AF$40,0)))</f>
        <v/>
      </c>
      <c r="AH20">
        <f>AH19+IF(AND(AG20&lt;&gt;"",COUNTIF(AG$4:AG20,AG20)=1),1,0)</f>
        <v/>
      </c>
      <c r="AI20">
        <f>IF(ROW()-3&gt;MAX(AH$4:AH$40),"",INDEX(AG$4:AG$40,MATCH(ROW()-3,AH$4:AH$40,0)))</f>
        <v/>
      </c>
      <c r="AJ20">
        <f>IF('Final Calculation Sheet'!$E$20="","",'Final Calculation Sheet'!$E$20)</f>
        <v/>
      </c>
      <c r="AK20">
        <f>IF(AJ20="","",COUNTIFS(AJ$4:AJ$40,"&lt;"&amp;AJ20,AJ$4:AJ$40,"&lt;&gt;"&amp;"")+COUNTIF(AJ$4:AJ20,AJ20))</f>
        <v/>
      </c>
      <c r="AL20">
        <f>IF(ROW()-3&gt;COUNTIF(AJ$4:AJ$40,"&lt;&gt;"&amp;""),"",INDEX(AJ$4:AJ$40,MATCH(ROW()-3,AK$4:AK$40,0)))</f>
        <v/>
      </c>
      <c r="AM20">
        <f>AM19+IF(AND(AL20&lt;&gt;"",COUNTIF(AL$4:AL20,AL20)=1),1,0)</f>
        <v/>
      </c>
      <c r="AN20">
        <f>IF(ROW()-3&gt;MAX(AM$4:AM$40),"",INDEX(AL$4:AL$40,MATCH(ROW()-3,AM$4:AM$40,0)))</f>
        <v/>
      </c>
      <c r="AO20" s="55">
        <f>IF('Final Calculation Sheet'!$C$20="","",'Final Calculation Sheet'!$C$20)</f>
        <v/>
      </c>
      <c r="AP20">
        <f>IF(AO20="","",COUNTIFS(AO$4:AO$40,"&lt;"&amp;AO20,AO$4:AO$40,"&lt;&gt;"&amp;"")+COUNTIF(AO$4:AO20,AO20))</f>
        <v/>
      </c>
      <c r="AQ20" s="55">
        <f>IF(ROW()-3&gt;COUNTIF(AO$4:AO$40,"&lt;&gt;"&amp;""),"",INDEX(AO$4:AO$40,MATCH(ROW()-3,AP$4:AP$40,0)))</f>
        <v/>
      </c>
      <c r="AR20">
        <f>AR19+IF(AND(AQ20&lt;&gt;"",COUNTIF(AQ$4:AQ20,AQ20)=1),1,0)</f>
        <v/>
      </c>
      <c r="AS20" s="55">
        <f>IF(ROW()-3&gt;MAX(AR$4:AR$40),"",INDEX(AQ$4:AQ$40,MATCH(ROW()-3,AR$4:AR$40,0)))</f>
        <v/>
      </c>
      <c r="AT20" s="55">
        <f>IF('Final Calculation Sheet'!$H$20="","",'Final Calculation Sheet'!$H$20)</f>
        <v/>
      </c>
      <c r="AU20">
        <f>IF(AT20="","",COUNTIFS(AT$4:AT$40,"&lt;"&amp;AT20,AT$4:AT$40,"&lt;&gt;"&amp;"")+COUNTIF(AT$4:AT20,AT20))</f>
        <v/>
      </c>
      <c r="AV20" s="55">
        <f>IF(ROW()-3&gt;COUNTIF(AT$4:AT$40,"&lt;&gt;"&amp;""),"",INDEX(AT$4:AT$40,MATCH(ROW()-3,AU$4:AU$40,0)))</f>
        <v/>
      </c>
      <c r="AW20">
        <f>AW19+IF(AND(AV20&lt;&gt;"",COUNTIF(AV$4:AV20,AV20)=1),1,0)</f>
        <v/>
      </c>
      <c r="AX20" s="55">
        <f>IF(ROW()-3&gt;MAX(AW$4:AW$40),"",INDEX(AV$4:AV$40,MATCH(ROW()-3,AW$4:AW$40,0)))</f>
        <v/>
      </c>
      <c r="AY20" s="55">
        <f>IF('Final Calculation Sheet'!$I$20="","",'Final Calculation Sheet'!$I$20)</f>
        <v/>
      </c>
      <c r="AZ20">
        <f>IF(AY20="","",COUNTIFS(AY$4:AY$40,"&lt;"&amp;AY20,AY$4:AY$40,"&lt;&gt;"&amp;"")+COUNTIF(AY$4:AY20,AY20))</f>
        <v/>
      </c>
      <c r="BA20" s="55">
        <f>IF(ROW()-3&gt;COUNTIF(AY$4:AY$40,"&lt;&gt;"&amp;""),"",INDEX(AY$4:AY$40,MATCH(ROW()-3,AZ$4:AZ$40,0)))</f>
        <v/>
      </c>
      <c r="BB20">
        <f>BB19+IF(AND(BA20&lt;&gt;"",COUNTIF(BA$4:BA20,BA20)=1),1,0)</f>
        <v/>
      </c>
      <c r="BC20" s="55">
        <f>IF(ROW()-3&gt;MAX(BB$4:BB$40),"",INDEX(BA$4:BA$40,MATCH(ROW()-3,BB$4:BB$40,0)))</f>
        <v/>
      </c>
      <c r="BD20" s="55">
        <f>IF('Final Calculation Sheet'!$J$20="","",'Final Calculation Sheet'!$J$20)</f>
        <v/>
      </c>
      <c r="BE20">
        <f>IF(BD20="","",COUNTIFS(BD$4:BD$40,"&lt;"&amp;BD20,BD$4:BD$40,"&lt;&gt;"&amp;"")+COUNTIF(BD$4:BD20,BD20))</f>
        <v/>
      </c>
      <c r="BF20" s="55">
        <f>IF(ROW()-3&gt;COUNTIF(BD$4:BD$40,"&lt;&gt;"&amp;""),"",INDEX(BD$4:BD$40,MATCH(ROW()-3,BE$4:BE$40,0)))</f>
        <v/>
      </c>
      <c r="BG20">
        <f>BG19+IF(AND(BF20&lt;&gt;"",COUNTIF(BF$4:BF20,BF20)=1),1,0)</f>
        <v/>
      </c>
      <c r="BH20" s="55">
        <f>IF(ROW()-3&gt;MAX(BG$4:BG$40),"",INDEX(BF$4:BF$40,MATCH(ROW()-3,BG$4:BG$40,0)))</f>
        <v/>
      </c>
      <c r="BI20" s="55">
        <f>IF('Final Calculation Sheet'!$K$20="","",'Final Calculation Sheet'!$K$20)</f>
        <v/>
      </c>
      <c r="BJ20">
        <f>IF(BI20="","",COUNTIFS(BI$4:BI$40,"&lt;"&amp;BI20,BI$4:BI$40,"&lt;&gt;"&amp;"")+COUNTIF(BI$4:BI20,BI20))</f>
        <v/>
      </c>
      <c r="BK20" s="55">
        <f>IF(ROW()-3&gt;COUNTIF(BI$4:BI$40,"&lt;&gt;"&amp;""),"",INDEX(BI$4:BI$40,MATCH(ROW()-3,BJ$4:BJ$40,0)))</f>
        <v/>
      </c>
      <c r="BL20">
        <f>BL19+IF(AND(BK20&lt;&gt;"",COUNTIF(BK$4:BK20,BK20)=1),1,0)</f>
        <v/>
      </c>
      <c r="BM20" s="55">
        <f>IF(ROW()-3&gt;MAX(BL$4:BL$40),"",INDEX(BK$4:BK$40,MATCH(ROW()-3,BL$4:BL$40,0)))</f>
        <v/>
      </c>
      <c r="BN20" s="55">
        <f>IF('Final Calculation Sheet'!$L$20="","",'Final Calculation Sheet'!$L$20)</f>
        <v/>
      </c>
      <c r="BO20">
        <f>IF(BN20="","",COUNTIFS(BN$4:BN$40,"&lt;"&amp;BN20,BN$4:BN$40,"&lt;&gt;"&amp;"")+COUNTIF(BN$4:BN20,BN20))</f>
        <v/>
      </c>
      <c r="BP20" s="55">
        <f>IF(ROW()-3&gt;COUNTIF(BN$4:BN$40,"&lt;&gt;"&amp;""),"",INDEX(BN$4:BN$40,MATCH(ROW()-3,BO$4:BO$40,0)))</f>
        <v/>
      </c>
      <c r="BQ20">
        <f>BQ19+IF(AND(BP20&lt;&gt;"",COUNTIF(BP$4:BP20,BP20)=1),1,0)</f>
        <v/>
      </c>
      <c r="BR20" s="55">
        <f>IF(ROW()-3&gt;MAX(BQ$4:BQ$40),"",INDEX(BP$4:BP$40,MATCH(ROW()-3,BQ$4:BQ$40,0)))</f>
        <v/>
      </c>
      <c r="BS20" s="55">
        <f>IF('Final Calculation Sheet'!$M$20="","",'Final Calculation Sheet'!$M$20)</f>
        <v/>
      </c>
      <c r="BT20">
        <f>IF(BS20="","",COUNTIFS(BS$4:BS$40,"&lt;"&amp;BS20,BS$4:BS$40,"&lt;&gt;"&amp;"")+COUNTIF(BS$4:BS20,BS20))</f>
        <v/>
      </c>
      <c r="BU20" s="55">
        <f>IF(ROW()-3&gt;COUNTIF(BS$4:BS$40,"&lt;&gt;"&amp;""),"",INDEX(BS$4:BS$40,MATCH(ROW()-3,BT$4:BT$40,0)))</f>
        <v/>
      </c>
      <c r="BV20">
        <f>BV19+IF(AND(BU20&lt;&gt;"",COUNTIF(BU$4:BU20,BU20)=1),1,0)</f>
        <v/>
      </c>
      <c r="BW20" s="55">
        <f>IF(ROW()-3&gt;MAX(BV$4:BV$40),"",INDEX(BU$4:BU$40,MATCH(ROW()-3,BV$4:BV$40,0)))</f>
        <v/>
      </c>
      <c r="BX20" s="138">
        <f>IF('Final Calculation Sheet'!$N$20="","",'Final Calculation Sheet'!$N$20)</f>
        <v/>
      </c>
      <c r="BY20">
        <f>IF(BX20="","",COUNTIFS(BX$4:BX$40,"&lt;"&amp;BX20,BX$4:BX$40,"&lt;&gt;"&amp;"")+COUNTIF(BX$4:BX20,BX20))</f>
        <v/>
      </c>
      <c r="BZ20" s="138">
        <f>IF(ROW()-3&gt;COUNTIF(BX$4:BX$40,"&lt;&gt;"&amp;""),"",INDEX(BX$4:BX$40,MATCH(ROW()-3,BY$4:BY$40,0)))</f>
        <v/>
      </c>
      <c r="CA20">
        <f>CA19+IF(AND(BZ20&lt;&gt;"",COUNTIF(BZ$4:BZ20,BZ20)=1),1,0)</f>
        <v/>
      </c>
      <c r="CB20" s="138">
        <f>IF(ROW()-3&gt;MAX(CA$4:CA$40),"",INDEX(BZ$4:BZ$40,MATCH(ROW()-3,CA$4:CA$40,0)))</f>
        <v/>
      </c>
      <c r="CC20" s="55">
        <f>IF('Final Calculation Sheet'!$O$20="","",'Final Calculation Sheet'!$O$20)</f>
        <v/>
      </c>
      <c r="CD20">
        <f>IF(CC20="","",COUNTIFS(CC$4:CC$40,"&lt;"&amp;CC20,CC$4:CC$40,"&lt;&gt;"&amp;"")+COUNTIF(CC$4:CC20,CC20))</f>
        <v/>
      </c>
      <c r="CE20" s="55">
        <f>IF(ROW()-3&gt;COUNTIF(CC$4:CC$40,"&lt;&gt;"&amp;""),"",INDEX(CC$4:CC$40,MATCH(ROW()-3,CD$4:CD$40,0)))</f>
        <v/>
      </c>
      <c r="CF20">
        <f>CF19+IF(AND(CE20&lt;&gt;"",COUNTIF(CE$4:CE20,CE20)=1),1,0)</f>
        <v/>
      </c>
      <c r="CG20" s="55">
        <f>IF(ROW()-3&gt;MAX(CF$4:CF$40),"",INDEX(CE$4:CE$40,MATCH(ROW()-3,CF$4:CF$40,0)))</f>
        <v/>
      </c>
      <c r="CH20" s="55">
        <f>IF('Final Calculation Sheet'!$P$20="","",'Final Calculation Sheet'!$P$20)</f>
        <v/>
      </c>
      <c r="CI20">
        <f>IF(CH20="","",COUNTIFS(CH$4:CH$40,"&lt;"&amp;CH20,CH$4:CH$40,"&lt;&gt;"&amp;"")+COUNTIF(CH$4:CH20,CH20))</f>
        <v/>
      </c>
      <c r="CJ20" s="55">
        <f>IF(ROW()-3&gt;COUNTIF(CH$4:CH$40,"&lt;&gt;"&amp;""),"",INDEX(CH$4:CH$40,MATCH(ROW()-3,CI$4:CI$40,0)))</f>
        <v/>
      </c>
      <c r="CK20">
        <f>CK19+IF(AND(CJ20&lt;&gt;"",COUNTIF(CJ$4:CJ20,CJ20)=1),1,0)</f>
        <v/>
      </c>
      <c r="CL20" s="55">
        <f>IF(ROW()-3&gt;MAX(CK$4:CK$40),"",INDEX(CJ$4:CJ$40,MATCH(ROW()-3,CK$4:CK$40,0)))</f>
        <v/>
      </c>
      <c r="CM20" s="139">
        <f>IF('Final Calculation Sheet'!$Q$20="","",'Final Calculation Sheet'!$Q$20)</f>
        <v/>
      </c>
      <c r="CN20">
        <f>IF(CM20="","",COUNTIFS(CM$4:CM$40,"&lt;"&amp;CM20,CM$4:CM$40,"&lt;&gt;"&amp;"")+COUNTIF(CM$4:CM20,CM20))</f>
        <v/>
      </c>
      <c r="CO20" s="139">
        <f>IF(ROW()-3&gt;COUNTIF(CM$4:CM$40,"&lt;&gt;"&amp;""),"",INDEX(CM$4:CM$40,MATCH(ROW()-3,CN$4:CN$40,0)))</f>
        <v/>
      </c>
      <c r="CP20">
        <f>CP19+IF(AND(CO20&lt;&gt;"",COUNTIF(CO$4:CO20,CO20)=1),1,0)</f>
        <v/>
      </c>
      <c r="CQ20">
        <f>IF(ROW()-3&gt;MAX(CP$4:CP$40),"",INDEX(CO$4:CO$40,MATCH(ROW()-3,CP$4:CP$40,0)))</f>
        <v/>
      </c>
      <c r="CR20" s="55">
        <f>IF('Final Calculation Sheet'!$R$20="","",'Final Calculation Sheet'!$R$20)</f>
        <v/>
      </c>
      <c r="CS20">
        <f>IF(CR20="","",COUNTIFS(CR$4:CR$40,"&lt;"&amp;CR20,CR$4:CR$40,"&lt;&gt;"&amp;"")+COUNTIF(CR$4:CR20,CR20))</f>
        <v/>
      </c>
      <c r="CT20" s="55">
        <f>IF(ROW()-3&gt;COUNTIF(CR$4:CR$40,"&lt;&gt;"&amp;""),"",INDEX(CR$4:CR$40,MATCH(ROW()-3,CS$4:CS$40,0)))</f>
        <v/>
      </c>
      <c r="CU20">
        <f>CU19+IF(AND(CT20&lt;&gt;"",COUNTIF(CT$4:CT20,CT20)=1),1,0)</f>
        <v/>
      </c>
      <c r="CV20">
        <f>IF(ROW()-3&gt;MAX(CU$4:CU$40),"",INDEX(CT$4:CT$40,MATCH(ROW()-3,CU$4:CU$40,0)))</f>
        <v/>
      </c>
      <c r="CW20" s="55">
        <f>IF('Final Calculation Sheet'!$S$20="","",'Final Calculation Sheet'!$S$20)</f>
        <v/>
      </c>
      <c r="CX20">
        <f>IF(CW20="","",COUNTIFS(CW$4:CW$40,"&lt;"&amp;CW20,CW$4:CW$40,"&lt;&gt;"&amp;"")+COUNTIF(CW$4:CW20,CW20))</f>
        <v/>
      </c>
      <c r="CY20" s="55">
        <f>IF(ROW()-3&gt;COUNTIF(CW$4:CW$40,"&lt;&gt;"&amp;""),"",INDEX(CW$4:CW$40,MATCH(ROW()-3,CX$4:CX$40,0)))</f>
        <v/>
      </c>
      <c r="CZ20">
        <f>CZ19+IF(AND(CY20&lt;&gt;"",COUNTIF(CY$4:CY20,CY20)=1),1,0)</f>
        <v/>
      </c>
      <c r="DA20" s="55">
        <f>IF(ROW()-3&gt;MAX(CZ$4:CZ$40),"",INDEX(CY$4:CY$40,MATCH(ROW()-3,CZ$4:CZ$40,0)))</f>
        <v/>
      </c>
      <c r="DB20" s="55">
        <f>IF('Final Calculation Sheet'!$T$20="","",'Final Calculation Sheet'!$T$20)</f>
        <v/>
      </c>
      <c r="DC20">
        <f>IF(DB20="","",COUNTIFS(DB$4:DB$40,"&lt;"&amp;DB20,DB$4:DB$40,"&lt;&gt;"&amp;"")+COUNTIF(DB$4:DB20,DB20))</f>
        <v/>
      </c>
      <c r="DD20" s="55">
        <f>IF(ROW()-3&gt;COUNTIF(DB$4:DB$40,"&lt;&gt;"&amp;""),"",INDEX(DB$4:DB$40,MATCH(ROW()-3,DC$4:DC$40,0)))</f>
        <v/>
      </c>
      <c r="DE20">
        <f>DE19+IF(AND(DD20&lt;&gt;"",COUNTIF(DD$4:DD20,DD20)=1),1,0)</f>
        <v/>
      </c>
      <c r="DF20" s="55">
        <f>IF(ROW()-3&gt;MAX(DE$4:DE$40),"",INDEX(DD$4:DD$40,MATCH(ROW()-3,DE$4:DE$40,0)))</f>
        <v/>
      </c>
      <c r="DG20" s="140">
        <f>IF('Final Calculation Sheet'!$U$20="","",'Final Calculation Sheet'!$U$20)</f>
        <v/>
      </c>
      <c r="DH20">
        <f>IF(DG20="","",COUNTIFS(DG$4:DG$40,"&lt;"&amp;DG20,DG$4:DG$40,"&lt;&gt;"&amp;"")+COUNTIF(DG$4:DG20,DG20))</f>
        <v/>
      </c>
      <c r="DI20" s="140">
        <f>IF(ROW()-3&gt;COUNTIF(DG$4:DG$40,"&lt;&gt;"&amp;""),"",INDEX(DG$4:DG$40,MATCH(ROW()-3,DH$4:DH$40,0)))</f>
        <v/>
      </c>
      <c r="DJ20">
        <f>DJ19+IF(AND(DI20&lt;&gt;"",COUNTIF(DI$4:DI20,DI20)=1),1,0)</f>
        <v/>
      </c>
      <c r="DK20" s="140">
        <f>IF(ROW()-3&gt;MAX(DJ$4:DJ$40),"",INDEX(DI$4:DI$40,MATCH(ROW()-3,DJ$4:DJ$40,0)))</f>
        <v/>
      </c>
      <c r="DL20">
        <f>IF('Final Calculation Sheet'!$V$20="","",'Final Calculation Sheet'!$V$20)</f>
        <v/>
      </c>
      <c r="DM20">
        <f>IF(DL20="","",COUNTIFS(DL$4:DL$40,"&lt;"&amp;DL20,DL$4:DL$40,"&lt;&gt;"&amp;"")+COUNTIF(DL$4:DL20,DL20))</f>
        <v/>
      </c>
      <c r="DN20">
        <f>IF(ROW()-3&gt;COUNTIF(DL$4:DL$40,"&lt;&gt;"&amp;""),"",INDEX(DL$4:DL$40,MATCH(ROW()-3,DM$4:DM$40,0)))</f>
        <v/>
      </c>
      <c r="DO20">
        <f>DO19+IF(AND(DN20&lt;&gt;"",COUNTIF(DN$4:DN20,DN20)=1),1,0)</f>
        <v/>
      </c>
      <c r="DP20">
        <f>IF(ROW()-3&gt;MAX(DO$4:DO$40),"",INDEX(DN$4:DN$40,MATCH(ROW()-3,DO$4:DO$40,0)))</f>
        <v/>
      </c>
      <c r="DQ20" s="55">
        <f>IF('Final Calculation Sheet'!$W$20="","",'Final Calculation Sheet'!$W$20)</f>
        <v/>
      </c>
      <c r="DR20">
        <f>IF(DQ20="","",COUNTIFS(DQ$4:DQ$40,"&lt;"&amp;DQ20,DQ$4:DQ$40,"&lt;&gt;"&amp;"")+COUNTIF(DQ$4:DQ20,DQ20))</f>
        <v/>
      </c>
      <c r="DS20" s="55">
        <f>IF(ROW()-3&gt;COUNTIF(DQ$4:DQ$40,"&lt;&gt;"&amp;""),"",INDEX(DQ$4:DQ$40,MATCH(ROW()-3,DR$4:DR$40,0)))</f>
        <v/>
      </c>
      <c r="DT20">
        <f>DT19+IF(AND(DS20&lt;&gt;"",COUNTIF(DS$4:DS20,DS20)=1),1,0)</f>
        <v/>
      </c>
      <c r="DU20" s="55">
        <f>IF(ROW()-3&gt;MAX(DT$4:DT$40),"",INDEX(DS$4:DS$40,MATCH(ROW()-3,DT$4:DT$40,0)))</f>
        <v/>
      </c>
      <c r="DV20" s="55">
        <f>IF('Final Calculation Sheet'!$X$20="","",'Final Calculation Sheet'!$X$20)</f>
        <v/>
      </c>
      <c r="DW20">
        <f>IF(DV20="","",COUNTIFS(DV$4:DV$40,"&lt;"&amp;DV20,DV$4:DV$40,"&lt;&gt;"&amp;"")+COUNTIF(DV$4:DV20,DV20))</f>
        <v/>
      </c>
      <c r="DX20" s="55">
        <f>IF(ROW()-3&gt;COUNTIF(DV$4:DV$40,"&lt;&gt;"&amp;""),"",INDEX(DV$4:DV$40,MATCH(ROW()-3,DW$4:DW$40,0)))</f>
        <v/>
      </c>
      <c r="DY20">
        <f>DY19+IF(AND(DX20&lt;&gt;"",COUNTIF(DX$4:DX20,DX20)=1),1,0)</f>
        <v/>
      </c>
      <c r="DZ20">
        <f>IF(ROW()-3&gt;MAX(DY$4:DY$40),"",INDEX(DX$4:DX$40,MATCH(ROW()-3,DY$4:DY$40,0)))</f>
        <v/>
      </c>
      <c r="EA20">
        <f>IF('Final Calculation Sheet'!$Y$20="","",'Final Calculation Sheet'!$Y$20)</f>
        <v/>
      </c>
      <c r="EB20">
        <f>IF(EA20="","",COUNTIFS(EA$4:EA$40,"&lt;"&amp;EA20,EA$4:EA$40,"&lt;&gt;"&amp;"")+COUNTIF(EA$4:EA20,EA20))</f>
        <v/>
      </c>
      <c r="EC20">
        <f>IF(ROW()-3&gt;COUNTIF(EA$4:EA$40,"&lt;&gt;"&amp;""),"",INDEX(EA$4:EA$40,MATCH(ROW()-3,EB$4:EB$40,0)))</f>
        <v/>
      </c>
      <c r="ED20">
        <f>ED19+IF(AND(EC20&lt;&gt;"",COUNTIF(EC$4:EC20,EC20)=1),1,0)</f>
        <v/>
      </c>
      <c r="EE20">
        <f>IF(ROW()-3&gt;MAX(ED$4:ED$40),"",INDEX(EC$4:EC$40,MATCH(ROW()-3,ED$4:ED$40,0)))</f>
        <v/>
      </c>
      <c r="EF20" s="55">
        <f>IF('Final Calculation Sheet'!$Z$20="","",'Final Calculation Sheet'!$Z$20)</f>
        <v/>
      </c>
      <c r="EG20">
        <f>IF(EF20="","",COUNTIFS(EF$4:EF$40,"&lt;"&amp;EF20,EF$4:EF$40,"&lt;&gt;"&amp;"")+COUNTIF(EF$4:EF20,EF20))</f>
        <v/>
      </c>
      <c r="EH20" s="55">
        <f>IF(ROW()-3&gt;COUNTIF(EF$4:EF$40,"&lt;&gt;"&amp;""),"",INDEX(EF$4:EF$40,MATCH(ROW()-3,EG$4:EG$40,0)))</f>
        <v/>
      </c>
      <c r="EI20">
        <f>EI19+IF(AND(EH20&lt;&gt;"",COUNTIF(EH$4:EH20,EH20)=1),1,0)</f>
        <v/>
      </c>
      <c r="EJ20">
        <f>IF(ROW()-3&gt;MAX(EI$4:EI$40),"",INDEX(EH$4:EH$40,MATCH(ROW()-3,EI$4:EI$40,0)))</f>
        <v/>
      </c>
      <c r="EK20">
        <f>IF('Final Calculation Sheet'!$AA$20="","",'Final Calculation Sheet'!$AA$20)</f>
        <v/>
      </c>
      <c r="EL20">
        <f>IF(EK20="","",COUNTIFS(EK$4:EK$40,"&lt;"&amp;EK20,EK$4:EK$40,"&lt;&gt;"&amp;"")+COUNTIF(EK$4:EK20,EK20))</f>
        <v/>
      </c>
      <c r="EM20">
        <f>IF(ROW()-3&gt;COUNTIF(EK$4:EK$40,"&lt;&gt;"&amp;""),"",INDEX(EK$4:EK$40,MATCH(ROW()-3,EL$4:EL$40,0)))</f>
        <v/>
      </c>
      <c r="EN20">
        <f>EN19+IF(AND(EM20&lt;&gt;"",COUNTIF(EM$4:EM20,EM20)=1),1,0)</f>
        <v/>
      </c>
      <c r="EO20">
        <f>IF(ROW()-3&gt;MAX(EN$4:EN$40),"",INDEX(EM$4:EM$40,MATCH(ROW()-3,EN$4:EN$40,0)))</f>
        <v/>
      </c>
      <c r="EP20">
        <f>IF('Final Calculation Sheet'!$AB$20="","",'Final Calculation Sheet'!$AB$20)</f>
        <v/>
      </c>
      <c r="EQ20">
        <f>IF(EP20="","",COUNTIFS(EP$4:EP$40,"&lt;"&amp;EP20,EP$4:EP$40,"&lt;&gt;"&amp;"")+COUNTIF(EP$4:EP20,EP20))</f>
        <v/>
      </c>
      <c r="ER20">
        <f>IF(ROW()-3&gt;COUNTIF(EP$4:EP$40,"&lt;&gt;"&amp;""),"",INDEX(EP$4:EP$40,MATCH(ROW()-3,EQ$4:EQ$40,0)))</f>
        <v/>
      </c>
      <c r="ES20">
        <f>ES19+IF(AND(ER20&lt;&gt;"",COUNTIF(ER$4:ER20,ER20)=1),1,0)</f>
        <v/>
      </c>
      <c r="ET20">
        <f>IF(ROW()-3&gt;MAX(ES$4:ES$40),"",INDEX(ER$4:ER$40,MATCH(ROW()-3,ES$4:ES$40,0)))</f>
        <v/>
      </c>
      <c r="EU20" s="55">
        <f>IF('Final Calculation Sheet'!$AC$20="","",'Final Calculation Sheet'!$AC$20)</f>
        <v/>
      </c>
      <c r="EV20">
        <f>IF(EU20="","",COUNTIFS(EU$4:EU$40,"&lt;"&amp;EU20,EU$4:EU$40,"&lt;&gt;"&amp;"")+COUNTIF(EU$4:EU20,EU20))</f>
        <v/>
      </c>
      <c r="EW20" s="55">
        <f>IF(ROW()-3&gt;COUNTIF(EU$4:EU$40,"&lt;&gt;"&amp;""),"",INDEX(EU$4:EU$40,MATCH(ROW()-3,EV$4:EV$40,0)))</f>
        <v/>
      </c>
      <c r="EX20">
        <f>EX19+IF(AND(EW20&lt;&gt;"",COUNTIF(EW$4:EW20,EW20)=1),1,0)</f>
        <v/>
      </c>
      <c r="EY20" s="55">
        <f>IF(ROW()-3&gt;MAX(EX$4:EX$40),"",INDEX(EW$4:EW$40,MATCH(ROW()-3,EX$4:EX$40,0)))</f>
        <v/>
      </c>
      <c r="EZ20" s="55">
        <f>IF('Final Calculation Sheet'!$AD$20="","",'Final Calculation Sheet'!$AD$20)</f>
        <v/>
      </c>
      <c r="FA20">
        <f>IF(EZ20="","",COUNTIFS(EZ$4:EZ$40,"&lt;"&amp;EZ20,EZ$4:EZ$40,"&lt;&gt;"&amp;"")+COUNTIF(EZ$4:EZ20,EZ20))</f>
        <v/>
      </c>
      <c r="FB20" s="55">
        <f>IF(ROW()-3&gt;COUNTIF(EZ$4:EZ$40,"&lt;&gt;"&amp;""),"",INDEX(EZ$4:EZ$40,MATCH(ROW()-3,FA$4:FA$40,0)))</f>
        <v/>
      </c>
      <c r="FC20">
        <f>FC19+IF(AND(FB20&lt;&gt;"",COUNTIF(FB$4:FB20,FB20)=1),1,0)</f>
        <v/>
      </c>
      <c r="FD20">
        <f>IF(ROW()-3&gt;MAX(FC$4:FC$40),"",INDEX(FB$4:FB$40,MATCH(ROW()-3,FC$4:FC$40,0)))</f>
        <v/>
      </c>
      <c r="FE20">
        <f>IF('Final Calculation Sheet'!$AF$20="","",'Final Calculation Sheet'!$AF$20)</f>
        <v/>
      </c>
      <c r="FF20">
        <f>IF(FE20="","",COUNTIFS(FE$4:FE$40,"&lt;"&amp;FE20,FE$4:FE$40,"&lt;&gt;"&amp;"")+COUNTIF(FE$4:FE20,FE20))</f>
        <v/>
      </c>
      <c r="FG20">
        <f>IF(ROW()-3&gt;COUNTIF(FE$4:FE$40,"&lt;&gt;"&amp;""),"",INDEX(FE$4:FE$40,MATCH(ROW()-3,FF$4:FF$40,0)))</f>
        <v/>
      </c>
      <c r="FH20">
        <f>FH19+IF(AND(FG20&lt;&gt;"",COUNTIF(FG$4:FG20,FG20)=1),1,0)</f>
        <v/>
      </c>
      <c r="FI20">
        <f>IF(ROW()-3&gt;MAX(FH$4:FH$40),"",INDEX(FG$4:FG$40,MATCH(ROW()-3,FH$4:FH$40,0)))</f>
        <v/>
      </c>
      <c r="FJ20" s="141">
        <f>IF('Final Calculation Sheet'!$AG$20="","",'Final Calculation Sheet'!$AG$20)</f>
        <v/>
      </c>
      <c r="FK20">
        <f>IF(FJ20="","",COUNTIFS(FJ$4:FJ$40,"&lt;"&amp;FJ20,FJ$4:FJ$40,"&lt;&gt;"&amp;"")+COUNTIF(FJ$4:FJ20,FJ20))</f>
        <v/>
      </c>
      <c r="FL20" s="141">
        <f>IF(ROW()-3&gt;COUNTIF(FJ$4:FJ$40,"&lt;&gt;"&amp;""),"",INDEX(FJ$4:FJ$40,MATCH(ROW()-3,FK$4:FK$40,0)))</f>
        <v/>
      </c>
      <c r="FM20">
        <f>FM19+IF(AND(FL20&lt;&gt;"",COUNTIF(FL$4:FL20,FL20)=1),1,0)</f>
        <v/>
      </c>
      <c r="FN20">
        <f>IF(ROW()-3&gt;MAX(FM$4:FM$40),"",INDEX(FL$4:FL$40,MATCH(ROW()-3,FM$4:FM$40,0)))</f>
        <v/>
      </c>
      <c r="FO20">
        <f>IF('Final Calculation Sheet'!$AH$20="","",'Final Calculation Sheet'!$AH$20)</f>
        <v/>
      </c>
      <c r="FP20">
        <f>IF(FO20="","",COUNTIFS(FO$4:FO$40,"&lt;"&amp;FO20,FO$4:FO$40,"&lt;&gt;"&amp;"")+COUNTIF(FO$4:FO20,FO20))</f>
        <v/>
      </c>
      <c r="FQ20">
        <f>IF(ROW()-3&gt;COUNTIF(FO$4:FO$40,"&lt;&gt;"&amp;""),"",INDEX(FO$4:FO$40,MATCH(ROW()-3,FP$4:FP$40,0)))</f>
        <v/>
      </c>
      <c r="FR20">
        <f>FR19+IF(AND(FQ20&lt;&gt;"",COUNTIF(FQ$4:FQ20,FQ20)=1),1,0)</f>
        <v/>
      </c>
      <c r="FS20">
        <f>IF(ROW()-3&gt;MAX(FR$4:FR$40),"",INDEX(FQ$4:FQ$40,MATCH(ROW()-3,FR$4:FR$40,0)))</f>
        <v/>
      </c>
      <c r="FU20">
        <f>IF(FT20="","",COUNTIFS(FT$4:FT$40,"&lt;"&amp;FT20,FT$4:FT$40,"&lt;&gt;"&amp;"")+COUNTIF(FT$4:FT20,FT20))</f>
        <v/>
      </c>
      <c r="FV20">
        <f>IF(ROW()-3&gt;COUNTIF(FT$4:FT$40,"&lt;&gt;"&amp;""),"",INDEX(FT$4:FT$40,MATCH(ROW()-3,FU$4:FU$40,0)))</f>
        <v/>
      </c>
      <c r="FW20">
        <f>FW19+IF(AND(FV20&lt;&gt;"",COUNTIF(FV$4:FV20,FV20)=1),1,0)</f>
        <v/>
      </c>
      <c r="FX20">
        <f>IF(ROW()-3&gt;MAX(FW$4:FW$40),"",INDEX(FV$4:FV$40,MATCH(ROW()-3,FW$4:FW$40,0)))</f>
        <v/>
      </c>
      <c r="FY20">
        <f>IF(COUNTIF('Live Search'!BM$19:BO$19,0)+COUNTIF('Live Search'!BQ$19:CU$19,0)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0">
        <f>IF($Y$20="",FALSE,SUMPRODUCT(('Final Calculation Sheet'!$B$4:$B$40=$Y$20)*($FY$6:$FY$42=1))&gt;0)</f>
        <v/>
      </c>
      <c r="GA20">
        <f>$GA$19+--($FZ$20)</f>
        <v/>
      </c>
      <c r="GB20">
        <f>IF(ROW()-3&gt;MAX($GA$4:$GA$40),"",INDEX($Y$4:$Y$40,MATCH(ROW()-3,$GA$4:$GA$40,0)))</f>
        <v/>
      </c>
      <c r="GC20">
        <f>IF('Final Calculation Sheet'!$F$20="","",IF(TRIM('Final Calculation Sheet'!$G$2)="",'Final Calculation Sheet'!$F$20,IF(TRIM('Final Calculation Sheet'!$G$2)="(nonblank)",IF('Final Calculation Sheet'!$G$20&lt;&gt;"",'Final Calculation Sheet'!$F$20,""),IF(TRIM('Final Calculation Sheet'!$G$2)="(blank)",IF('Final Calculation Sheet'!$G$20="",'Final Calculation Sheet'!$F$20,""),IF(ISNUMBER(SEARCH(TRIM('Final Calculation Sheet'!$G$2),'Final Calculation Sheet'!$G$20)),'Final Calculation Sheet'!$F$20,"")))))</f>
        <v/>
      </c>
      <c r="GD20">
        <f>IF(GC20="","",COUNTIFS(GC$4:GC$40,"&lt;"&amp;GC20,GC$4:GC$40,"&lt;&gt;"&amp;"")+COUNTIF(GC$4:GC20,GC20))</f>
        <v/>
      </c>
      <c r="GE20">
        <f>IF(ROW()-3&gt;COUNTIF(GC$4:GC$40,"&lt;&gt;"&amp;""),"",INDEX(GC$4:GC$40,MATCH(ROW()-3,GD$4:GD$40,0)))</f>
        <v/>
      </c>
      <c r="GF20">
        <f>GF19+IF(AND(GE20&lt;&gt;"",COUNTIF(GE$4:GE20,GE20)=1),1,0)</f>
        <v/>
      </c>
      <c r="GG20">
        <f>IF(ROW()-3&gt;MAX(GF$4:GF$40),"",INDEX(GE$4:GE$40,MATCH(ROW()-3,GF$4:GF$40,0)))</f>
        <v/>
      </c>
      <c r="GH20">
        <f>IF('Final Calculation Sheet'!$F$20="","",IF('Live Search'!$BO$21=1,'Final Calculation Sheet'!$F$20,""))</f>
        <v/>
      </c>
      <c r="GI20">
        <f>IF(GH20="","",COUNTIFS(GH$4:GH$40,"&lt;"&amp;GH20,GH$4:GH$40,"&lt;&gt;"&amp;"")+COUNTIF(GH$4:GH20,GH20))</f>
        <v/>
      </c>
      <c r="GJ20">
        <f>IF(ROW()-3&gt;COUNTIF(GH$4:GH$40,"&lt;&gt;"&amp;""),"",INDEX(GH$4:GH$40,MATCH(ROW()-3,GI$4:GI$40,0)))</f>
        <v/>
      </c>
      <c r="GK20">
        <f>GK19+IF(AND(GJ20&lt;&gt;"",COUNTIF(GJ$4:GJ20,GJ20)=1),1,0)</f>
        <v/>
      </c>
      <c r="GL20">
        <f>IF(ROW()-3&gt;MAX(GK$4:GK$40),"",INDEX(GJ$4:GJ$40,MATCH(ROW()-3,GK$4:GK$40,0)))</f>
        <v/>
      </c>
      <c r="GM20">
        <f>IF('Final Calculation Sheet'!$F$20="","",IF(TRIM('Buyer Groups'!$C$4)="",'Final Calculation Sheet'!$F$20,IF(TRIM('Buyer Groups'!$C$4)="(nonblank)",IF('Final Calculation Sheet'!$G$20&lt;&gt;"",'Final Calculation Sheet'!$F$20,""),IF(TRIM('Buyer Groups'!$C$4)="(blank)",IF('Final Calculation Sheet'!$G$20="",'Final Calculation Sheet'!$F$20,""),IF(ISNUMBER(SEARCH(TRIM('Buyer Groups'!$C$4),'Final Calculation Sheet'!$G$20)),'Final Calculation Sheet'!$F$20,"")))))</f>
        <v/>
      </c>
      <c r="GN20">
        <f>IF(GM20="","",COUNTIFS(GM$4:GM$40,"&lt;"&amp;GM20,GM$4:GM$40,"&lt;&gt;"&amp;"")+COUNTIF(GM$4:GM20,GM20))</f>
        <v/>
      </c>
      <c r="GO20">
        <f>IF(ROW()-3&gt;COUNTIF(GM$4:GM$40,"&lt;&gt;"&amp;""),"",INDEX(GM$4:GM$40,MATCH(ROW()-3,GN$4:GN$40,0)))</f>
        <v/>
      </c>
      <c r="GP20">
        <f>GP19+IF(AND(GO20&lt;&gt;"",COUNTIF(GO$4:GO20,GO20)=1),1,0)</f>
        <v/>
      </c>
      <c r="GQ20">
        <f>IF(ROW()-3&gt;MAX(GP$4:GP$40),"",INDEX(GO$4:GO$40,MATCH(ROW()-3,GP$4:GP$40,0)))</f>
        <v/>
      </c>
      <c r="GR20">
        <f>IF('Final Calculation Sheet'!$B$20="","",IF(TRIM('Final Calculation Sheet'!$G$2)="",'Final Calculation Sheet'!$B$20,IF(TRIM('Final Calculation Sheet'!$G$2)="(nonblank)",IF('Final Calculation Sheet'!$G$20&lt;&gt;"",'Final Calculation Sheet'!$B$20,""),IF(TRIM('Final Calculation Sheet'!$G$2)="(blank)",IF('Final Calculation Sheet'!$G$20="",'Final Calculation Sheet'!$B$20,""),IF(ISNUMBER(SEARCH(TRIM('Final Calculation Sheet'!$G$2),'Final Calculation Sheet'!$G$20)),'Final Calculation Sheet'!$B$20,"")))))</f>
        <v/>
      </c>
      <c r="GS20">
        <f>IF(GR20="","",COUNTIFS(GR$4:GR$40,"&lt;"&amp;GR20,GR$4:GR$40,"&lt;&gt;"&amp;"")+COUNTIF(GR$4:GR20,GR20))</f>
        <v/>
      </c>
      <c r="GT20">
        <f>IF(ROW()-3&gt;COUNTIF(GR$4:GR$40,"&lt;&gt;"&amp;""),"",INDEX(GR$4:GR$40,MATCH(ROW()-3,GS$4:GS$40,0)))</f>
        <v/>
      </c>
      <c r="GU20">
        <f>GU19+IF(AND(GT20&lt;&gt;"",COUNTIF(GT$4:GT20,GT20)=1),1,0)</f>
        <v/>
      </c>
      <c r="GV20">
        <f>IF(ROW()-3&gt;MAX(GU$4:GU$40),"",INDEX(GT$4:GT$40,MATCH(ROW()-3,GU$4:GU$40,0)))</f>
        <v/>
      </c>
      <c r="GW20">
        <f>IF('Final Calculation Sheet'!$B$20="","",IF(TRIM('Buyer Groups'!$C$4)="",'Final Calculation Sheet'!$B$20,IF(TRIM('Buyer Groups'!$C$4)="(nonblank)",IF('Final Calculation Sheet'!$G$20&lt;&gt;"",'Final Calculation Sheet'!$B$20,""),IF(TRIM('Buyer Groups'!$C$4)="(blank)",IF('Final Calculation Sheet'!$G$20="",'Final Calculation Sheet'!$B$20,""),IF(ISNUMBER(SEARCH(TRIM('Buyer Groups'!$C$4),'Final Calculation Sheet'!$G$20)),'Final Calculation Sheet'!$B$20,"")))))</f>
        <v/>
      </c>
      <c r="GX20">
        <f>IF(GW20="","",COUNTIFS(GW$4:GW$40,"&lt;"&amp;GW20,GW$4:GW$40,"&lt;&gt;"&amp;"")+COUNTIF(GW$4:GW20,GW20))</f>
        <v/>
      </c>
      <c r="GY20">
        <f>IF(ROW()-3&gt;COUNTIF(GW$4:GW$40,"&lt;&gt;"&amp;""),"",INDEX(GW$4:GW$40,MATCH(ROW()-3,GX$4:GX$40,0)))</f>
        <v/>
      </c>
      <c r="GZ20">
        <f>GZ19+IF(AND(GY20&lt;&gt;"",COUNTIF(GY$4:GY20,GY20)=1),1,0)</f>
        <v/>
      </c>
      <c r="HA20">
        <f>IF(ROW()-3&gt;MAX(GZ$4:GZ$40),"",INDEX(GY$4:GY$40,MATCH(ROW()-3,GZ$4:GZ$40,0)))</f>
        <v/>
      </c>
    </row>
    <row r="21">
      <c r="A21">
        <f>IF('Final Calculation Sheet'!$F$21="","",'Final Calculation Sheet'!$F$21)</f>
        <v/>
      </c>
      <c r="B21">
        <f>IF(A21="","",COUNTIFS(A$4:A$114,"&lt;"&amp;A21,A$4:A$114,"&lt;&gt;"&amp;"")+COUNTIF(A$4:A21,A21))</f>
        <v/>
      </c>
      <c r="C21">
        <f>IF(ROW()-3&gt;COUNTIF(A$4:A$114,"&lt;&gt;"&amp;""),"",INDEX(A$4:A$114,MATCH(ROW()-3,B$4:B$114,0)))</f>
        <v/>
      </c>
      <c r="D21">
        <f>D20+IF(AND(C21&lt;&gt;"",COUNTIF(C$4:C21,C21)=1),1,0)</f>
        <v/>
      </c>
      <c r="E21">
        <f>IF(ROW()-3&gt;MAX(D$4:D$114),"",INDEX(C$4:C$114,MATCH(ROW()-3,D$4:D$114,0)))</f>
        <v/>
      </c>
      <c r="F21">
        <f>ROW()-3</f>
        <v/>
      </c>
      <c r="G21">
        <f>IF(F21="","",COUNTIFS(F$4:F$40,"&lt;"&amp;F21,F$4:F$40,"&lt;&gt;"&amp;"")+COUNTIF(F$4:F21,F21))</f>
        <v/>
      </c>
      <c r="H21">
        <f>IF(ROW()-3&gt;COUNTIF(F$4:F$40,"&lt;&gt;"&amp;""),"",INDEX(F$4:F$40,MATCH(ROW()-3,G$4:G$40,0)))</f>
        <v/>
      </c>
      <c r="I21">
        <f>I20+IF(AND(H21&lt;&gt;"",COUNTIF(H$4:H21,H21)=1),1,0)</f>
        <v/>
      </c>
      <c r="J21">
        <f>IF(ROW()-3&gt;MAX(I$4:I$40),"",INDEX(H$4:H$40,MATCH(ROW()-3,I$4:I$40,0)))</f>
        <v/>
      </c>
      <c r="K21">
        <f>IF('Final Calculation Sheet'!$F$21="","",'Final Calculation Sheet'!$F$21)</f>
        <v/>
      </c>
      <c r="L21">
        <f>IF(K21="","",COUNTIFS(K$4:K$40,"&lt;"&amp;K21,K$4:K$40,"&lt;&gt;"&amp;"")+COUNTIF(K$4:K21,K21))</f>
        <v/>
      </c>
      <c r="M21">
        <f>IF(ROW()-3&gt;COUNTIF(K$4:K$40,"&lt;&gt;"&amp;""),"",INDEX(K$4:K$40,MATCH(ROW()-3,L$4:L$40,0)))</f>
        <v/>
      </c>
      <c r="N21">
        <f>N20+IF(AND(M21&lt;&gt;"",COUNTIF(M$4:M21,M21)=1),1,0)</f>
        <v/>
      </c>
      <c r="O21">
        <f>IF(ROW()-3&gt;MAX(N$4:N$40),"",INDEX(M$4:M$40,MATCH(ROW()-3,N$4:N$40,0)))</f>
        <v/>
      </c>
      <c r="P21">
        <f>IF('Final Calculation Sheet'!$G$21="","",'Final Calculation Sheet'!$G$21)</f>
        <v/>
      </c>
      <c r="Q21">
        <f>IF(P21="","",COUNTIFS(P$4:P$40,"&lt;"&amp;P21,P$4:P$40,"&lt;&gt;"&amp;"")+COUNTIF(P$4:P21,P21))</f>
        <v/>
      </c>
      <c r="R21">
        <f>IF(ROW()-3&gt;COUNTIF(P$4:P$40,"&lt;&gt;"&amp;""),"",INDEX(P$4:P$40,MATCH(ROW()-3,Q$4:Q$40,0)))</f>
        <v/>
      </c>
      <c r="S21">
        <f>S20+IF(AND(R21&lt;&gt;"",COUNTIF(R$4:R21,R21)=1),1,0)</f>
        <v/>
      </c>
      <c r="T21">
        <f>IF(ROW()-3&gt;MAX(S$4:S$40),"",INDEX(R$4:R$40,MATCH(ROW()-3,S$4:S$40,0)))</f>
        <v/>
      </c>
      <c r="U21">
        <f>IF('Final Calculation Sheet'!$B$21="","",'Final Calculation Sheet'!$B$21)</f>
        <v/>
      </c>
      <c r="V21">
        <f>IF(U21="","",COUNTIFS(U$4:U$40,"&lt;"&amp;U21,U$4:U$40,"&lt;&gt;"&amp;"")+COUNTIF(U$4:U21,U21))</f>
        <v/>
      </c>
      <c r="W21">
        <f>IF(ROW()-3&gt;COUNTIF(U$4:U$40,"&lt;&gt;"&amp;""),"",INDEX(U$4:U$40,MATCH(ROW()-3,V$4:V$40,0)))</f>
        <v/>
      </c>
      <c r="X21">
        <f>X20+IF(AND(W21&lt;&gt;"",COUNTIF(W$4:W21,W21)=1),1,0)</f>
        <v/>
      </c>
      <c r="Y21">
        <f>IF(ROW()-3&gt;MAX(X$4:X$40),"",INDEX(W$4:W$40,MATCH(ROW()-3,X$4:X$40,0)))</f>
        <v/>
      </c>
      <c r="Z21">
        <f>IF('Final Calculation Sheet'!$D$21="","",'Final Calculation Sheet'!$D$21)</f>
        <v/>
      </c>
      <c r="AA21">
        <f>IF(Z21="","",COUNTIFS(Z$4:Z$40,"&lt;"&amp;Z21,Z$4:Z$40,"&lt;&gt;"&amp;"")+COUNTIF(Z$4:Z21,Z21))</f>
        <v/>
      </c>
      <c r="AB21">
        <f>IF(ROW()-3&gt;COUNTIF(Z$4:Z$40,"&lt;&gt;"&amp;""),"",INDEX(Z$4:Z$40,MATCH(ROW()-3,AA$4:AA$40,0)))</f>
        <v/>
      </c>
      <c r="AC21">
        <f>AC20+IF(AND(AB21&lt;&gt;"",COUNTIF(AB$4:AB21,AB21)=1),1,0)</f>
        <v/>
      </c>
      <c r="AD21">
        <f>IF(ROW()-3&gt;MAX(AC$4:AC$40),"",INDEX(AB$4:AB$40,MATCH(ROW()-3,AC$4:AC$40,0)))</f>
        <v/>
      </c>
      <c r="AE21">
        <f>IF('Final Calculation Sheet'!$A$21="","",'Final Calculation Sheet'!$A$21)</f>
        <v/>
      </c>
      <c r="AF21">
        <f>IF(AE21="","",COUNTIFS(AE$4:AE$40,"&lt;"&amp;AE21,AE$4:AE$40,"&lt;&gt;"&amp;"")+COUNTIF(AE$4:AE21,AE21))</f>
        <v/>
      </c>
      <c r="AG21">
        <f>IF(ROW()-3&gt;COUNTIF(AE$4:AE$40,"&lt;&gt;"&amp;""),"",INDEX(AE$4:AE$40,MATCH(ROW()-3,AF$4:AF$40,0)))</f>
        <v/>
      </c>
      <c r="AH21">
        <f>AH20+IF(AND(AG21&lt;&gt;"",COUNTIF(AG$4:AG21,AG21)=1),1,0)</f>
        <v/>
      </c>
      <c r="AI21">
        <f>IF(ROW()-3&gt;MAX(AH$4:AH$40),"",INDEX(AG$4:AG$40,MATCH(ROW()-3,AH$4:AH$40,0)))</f>
        <v/>
      </c>
      <c r="AJ21">
        <f>IF('Final Calculation Sheet'!$E$21="","",'Final Calculation Sheet'!$E$21)</f>
        <v/>
      </c>
      <c r="AK21">
        <f>IF(AJ21="","",COUNTIFS(AJ$4:AJ$40,"&lt;"&amp;AJ21,AJ$4:AJ$40,"&lt;&gt;"&amp;"")+COUNTIF(AJ$4:AJ21,AJ21))</f>
        <v/>
      </c>
      <c r="AL21">
        <f>IF(ROW()-3&gt;COUNTIF(AJ$4:AJ$40,"&lt;&gt;"&amp;""),"",INDEX(AJ$4:AJ$40,MATCH(ROW()-3,AK$4:AK$40,0)))</f>
        <v/>
      </c>
      <c r="AM21">
        <f>AM20+IF(AND(AL21&lt;&gt;"",COUNTIF(AL$4:AL21,AL21)=1),1,0)</f>
        <v/>
      </c>
      <c r="AN21">
        <f>IF(ROW()-3&gt;MAX(AM$4:AM$40),"",INDEX(AL$4:AL$40,MATCH(ROW()-3,AM$4:AM$40,0)))</f>
        <v/>
      </c>
      <c r="AO21" s="55">
        <f>IF('Final Calculation Sheet'!$C$21="","",'Final Calculation Sheet'!$C$21)</f>
        <v/>
      </c>
      <c r="AP21">
        <f>IF(AO21="","",COUNTIFS(AO$4:AO$40,"&lt;"&amp;AO21,AO$4:AO$40,"&lt;&gt;"&amp;"")+COUNTIF(AO$4:AO21,AO21))</f>
        <v/>
      </c>
      <c r="AQ21" s="55">
        <f>IF(ROW()-3&gt;COUNTIF(AO$4:AO$40,"&lt;&gt;"&amp;""),"",INDEX(AO$4:AO$40,MATCH(ROW()-3,AP$4:AP$40,0)))</f>
        <v/>
      </c>
      <c r="AR21">
        <f>AR20+IF(AND(AQ21&lt;&gt;"",COUNTIF(AQ$4:AQ21,AQ21)=1),1,0)</f>
        <v/>
      </c>
      <c r="AS21" s="55">
        <f>IF(ROW()-3&gt;MAX(AR$4:AR$40),"",INDEX(AQ$4:AQ$40,MATCH(ROW()-3,AR$4:AR$40,0)))</f>
        <v/>
      </c>
      <c r="AT21" s="55">
        <f>IF('Final Calculation Sheet'!$H$21="","",'Final Calculation Sheet'!$H$21)</f>
        <v/>
      </c>
      <c r="AU21">
        <f>IF(AT21="","",COUNTIFS(AT$4:AT$40,"&lt;"&amp;AT21,AT$4:AT$40,"&lt;&gt;"&amp;"")+COUNTIF(AT$4:AT21,AT21))</f>
        <v/>
      </c>
      <c r="AV21" s="55">
        <f>IF(ROW()-3&gt;COUNTIF(AT$4:AT$40,"&lt;&gt;"&amp;""),"",INDEX(AT$4:AT$40,MATCH(ROW()-3,AU$4:AU$40,0)))</f>
        <v/>
      </c>
      <c r="AW21">
        <f>AW20+IF(AND(AV21&lt;&gt;"",COUNTIF(AV$4:AV21,AV21)=1),1,0)</f>
        <v/>
      </c>
      <c r="AX21" s="55">
        <f>IF(ROW()-3&gt;MAX(AW$4:AW$40),"",INDEX(AV$4:AV$40,MATCH(ROW()-3,AW$4:AW$40,0)))</f>
        <v/>
      </c>
      <c r="AY21" s="55">
        <f>IF('Final Calculation Sheet'!$I$21="","",'Final Calculation Sheet'!$I$21)</f>
        <v/>
      </c>
      <c r="AZ21">
        <f>IF(AY21="","",COUNTIFS(AY$4:AY$40,"&lt;"&amp;AY21,AY$4:AY$40,"&lt;&gt;"&amp;"")+COUNTIF(AY$4:AY21,AY21))</f>
        <v/>
      </c>
      <c r="BA21" s="55">
        <f>IF(ROW()-3&gt;COUNTIF(AY$4:AY$40,"&lt;&gt;"&amp;""),"",INDEX(AY$4:AY$40,MATCH(ROW()-3,AZ$4:AZ$40,0)))</f>
        <v/>
      </c>
      <c r="BB21">
        <f>BB20+IF(AND(BA21&lt;&gt;"",COUNTIF(BA$4:BA21,BA21)=1),1,0)</f>
        <v/>
      </c>
      <c r="BC21" s="55">
        <f>IF(ROW()-3&gt;MAX(BB$4:BB$40),"",INDEX(BA$4:BA$40,MATCH(ROW()-3,BB$4:BB$40,0)))</f>
        <v/>
      </c>
      <c r="BD21" s="55">
        <f>IF('Final Calculation Sheet'!$J$21="","",'Final Calculation Sheet'!$J$21)</f>
        <v/>
      </c>
      <c r="BE21">
        <f>IF(BD21="","",COUNTIFS(BD$4:BD$40,"&lt;"&amp;BD21,BD$4:BD$40,"&lt;&gt;"&amp;"")+COUNTIF(BD$4:BD21,BD21))</f>
        <v/>
      </c>
      <c r="BF21" s="55">
        <f>IF(ROW()-3&gt;COUNTIF(BD$4:BD$40,"&lt;&gt;"&amp;""),"",INDEX(BD$4:BD$40,MATCH(ROW()-3,BE$4:BE$40,0)))</f>
        <v/>
      </c>
      <c r="BG21">
        <f>BG20+IF(AND(BF21&lt;&gt;"",COUNTIF(BF$4:BF21,BF21)=1),1,0)</f>
        <v/>
      </c>
      <c r="BH21" s="55">
        <f>IF(ROW()-3&gt;MAX(BG$4:BG$40),"",INDEX(BF$4:BF$40,MATCH(ROW()-3,BG$4:BG$40,0)))</f>
        <v/>
      </c>
      <c r="BI21" s="55">
        <f>IF('Final Calculation Sheet'!$K$21="","",'Final Calculation Sheet'!$K$21)</f>
        <v/>
      </c>
      <c r="BJ21">
        <f>IF(BI21="","",COUNTIFS(BI$4:BI$40,"&lt;"&amp;BI21,BI$4:BI$40,"&lt;&gt;"&amp;"")+COUNTIF(BI$4:BI21,BI21))</f>
        <v/>
      </c>
      <c r="BK21" s="55">
        <f>IF(ROW()-3&gt;COUNTIF(BI$4:BI$40,"&lt;&gt;"&amp;""),"",INDEX(BI$4:BI$40,MATCH(ROW()-3,BJ$4:BJ$40,0)))</f>
        <v/>
      </c>
      <c r="BL21">
        <f>BL20+IF(AND(BK21&lt;&gt;"",COUNTIF(BK$4:BK21,BK21)=1),1,0)</f>
        <v/>
      </c>
      <c r="BM21" s="55">
        <f>IF(ROW()-3&gt;MAX(BL$4:BL$40),"",INDEX(BK$4:BK$40,MATCH(ROW()-3,BL$4:BL$40,0)))</f>
        <v/>
      </c>
      <c r="BN21" s="55">
        <f>IF('Final Calculation Sheet'!$L$21="","",'Final Calculation Sheet'!$L$21)</f>
        <v/>
      </c>
      <c r="BO21">
        <f>IF(BN21="","",COUNTIFS(BN$4:BN$40,"&lt;"&amp;BN21,BN$4:BN$40,"&lt;&gt;"&amp;"")+COUNTIF(BN$4:BN21,BN21))</f>
        <v/>
      </c>
      <c r="BP21" s="55">
        <f>IF(ROW()-3&gt;COUNTIF(BN$4:BN$40,"&lt;&gt;"&amp;""),"",INDEX(BN$4:BN$40,MATCH(ROW()-3,BO$4:BO$40,0)))</f>
        <v/>
      </c>
      <c r="BQ21">
        <f>BQ20+IF(AND(BP21&lt;&gt;"",COUNTIF(BP$4:BP21,BP21)=1),1,0)</f>
        <v/>
      </c>
      <c r="BR21" s="55">
        <f>IF(ROW()-3&gt;MAX(BQ$4:BQ$40),"",INDEX(BP$4:BP$40,MATCH(ROW()-3,BQ$4:BQ$40,0)))</f>
        <v/>
      </c>
      <c r="BS21" s="55">
        <f>IF('Final Calculation Sheet'!$M$21="","",'Final Calculation Sheet'!$M$21)</f>
        <v/>
      </c>
      <c r="BT21">
        <f>IF(BS21="","",COUNTIFS(BS$4:BS$40,"&lt;"&amp;BS21,BS$4:BS$40,"&lt;&gt;"&amp;"")+COUNTIF(BS$4:BS21,BS21))</f>
        <v/>
      </c>
      <c r="BU21" s="55">
        <f>IF(ROW()-3&gt;COUNTIF(BS$4:BS$40,"&lt;&gt;"&amp;""),"",INDEX(BS$4:BS$40,MATCH(ROW()-3,BT$4:BT$40,0)))</f>
        <v/>
      </c>
      <c r="BV21">
        <f>BV20+IF(AND(BU21&lt;&gt;"",COUNTIF(BU$4:BU21,BU21)=1),1,0)</f>
        <v/>
      </c>
      <c r="BW21" s="55">
        <f>IF(ROW()-3&gt;MAX(BV$4:BV$40),"",INDEX(BU$4:BU$40,MATCH(ROW()-3,BV$4:BV$40,0)))</f>
        <v/>
      </c>
      <c r="BX21" s="138">
        <f>IF('Final Calculation Sheet'!$N$21="","",'Final Calculation Sheet'!$N$21)</f>
        <v/>
      </c>
      <c r="BY21">
        <f>IF(BX21="","",COUNTIFS(BX$4:BX$40,"&lt;"&amp;BX21,BX$4:BX$40,"&lt;&gt;"&amp;"")+COUNTIF(BX$4:BX21,BX21))</f>
        <v/>
      </c>
      <c r="BZ21" s="138">
        <f>IF(ROW()-3&gt;COUNTIF(BX$4:BX$40,"&lt;&gt;"&amp;""),"",INDEX(BX$4:BX$40,MATCH(ROW()-3,BY$4:BY$40,0)))</f>
        <v/>
      </c>
      <c r="CA21">
        <f>CA20+IF(AND(BZ21&lt;&gt;"",COUNTIF(BZ$4:BZ21,BZ21)=1),1,0)</f>
        <v/>
      </c>
      <c r="CB21" s="138">
        <f>IF(ROW()-3&gt;MAX(CA$4:CA$40),"",INDEX(BZ$4:BZ$40,MATCH(ROW()-3,CA$4:CA$40,0)))</f>
        <v/>
      </c>
      <c r="CC21" s="55">
        <f>IF('Final Calculation Sheet'!$O$21="","",'Final Calculation Sheet'!$O$21)</f>
        <v/>
      </c>
      <c r="CD21">
        <f>IF(CC21="","",COUNTIFS(CC$4:CC$40,"&lt;"&amp;CC21,CC$4:CC$40,"&lt;&gt;"&amp;"")+COUNTIF(CC$4:CC21,CC21))</f>
        <v/>
      </c>
      <c r="CE21" s="55">
        <f>IF(ROW()-3&gt;COUNTIF(CC$4:CC$40,"&lt;&gt;"&amp;""),"",INDEX(CC$4:CC$40,MATCH(ROW()-3,CD$4:CD$40,0)))</f>
        <v/>
      </c>
      <c r="CF21">
        <f>CF20+IF(AND(CE21&lt;&gt;"",COUNTIF(CE$4:CE21,CE21)=1),1,0)</f>
        <v/>
      </c>
      <c r="CG21" s="55">
        <f>IF(ROW()-3&gt;MAX(CF$4:CF$40),"",INDEX(CE$4:CE$40,MATCH(ROW()-3,CF$4:CF$40,0)))</f>
        <v/>
      </c>
      <c r="CH21" s="55">
        <f>IF('Final Calculation Sheet'!$P$21="","",'Final Calculation Sheet'!$P$21)</f>
        <v/>
      </c>
      <c r="CI21">
        <f>IF(CH21="","",COUNTIFS(CH$4:CH$40,"&lt;"&amp;CH21,CH$4:CH$40,"&lt;&gt;"&amp;"")+COUNTIF(CH$4:CH21,CH21))</f>
        <v/>
      </c>
      <c r="CJ21" s="55">
        <f>IF(ROW()-3&gt;COUNTIF(CH$4:CH$40,"&lt;&gt;"&amp;""),"",INDEX(CH$4:CH$40,MATCH(ROW()-3,CI$4:CI$40,0)))</f>
        <v/>
      </c>
      <c r="CK21">
        <f>CK20+IF(AND(CJ21&lt;&gt;"",COUNTIF(CJ$4:CJ21,CJ21)=1),1,0)</f>
        <v/>
      </c>
      <c r="CL21" s="55">
        <f>IF(ROW()-3&gt;MAX(CK$4:CK$40),"",INDEX(CJ$4:CJ$40,MATCH(ROW()-3,CK$4:CK$40,0)))</f>
        <v/>
      </c>
      <c r="CM21" s="139">
        <f>IF('Final Calculation Sheet'!$Q$21="","",'Final Calculation Sheet'!$Q$21)</f>
        <v/>
      </c>
      <c r="CN21">
        <f>IF(CM21="","",COUNTIFS(CM$4:CM$40,"&lt;"&amp;CM21,CM$4:CM$40,"&lt;&gt;"&amp;"")+COUNTIF(CM$4:CM21,CM21))</f>
        <v/>
      </c>
      <c r="CO21" s="139">
        <f>IF(ROW()-3&gt;COUNTIF(CM$4:CM$40,"&lt;&gt;"&amp;""),"",INDEX(CM$4:CM$40,MATCH(ROW()-3,CN$4:CN$40,0)))</f>
        <v/>
      </c>
      <c r="CP21">
        <f>CP20+IF(AND(CO21&lt;&gt;"",COUNTIF(CO$4:CO21,CO21)=1),1,0)</f>
        <v/>
      </c>
      <c r="CQ21">
        <f>IF(ROW()-3&gt;MAX(CP$4:CP$40),"",INDEX(CO$4:CO$40,MATCH(ROW()-3,CP$4:CP$40,0)))</f>
        <v/>
      </c>
      <c r="CR21" s="55">
        <f>IF('Final Calculation Sheet'!$R$21="","",'Final Calculation Sheet'!$R$21)</f>
        <v/>
      </c>
      <c r="CS21">
        <f>IF(CR21="","",COUNTIFS(CR$4:CR$40,"&lt;"&amp;CR21,CR$4:CR$40,"&lt;&gt;"&amp;"")+COUNTIF(CR$4:CR21,CR21))</f>
        <v/>
      </c>
      <c r="CT21" s="55">
        <f>IF(ROW()-3&gt;COUNTIF(CR$4:CR$40,"&lt;&gt;"&amp;""),"",INDEX(CR$4:CR$40,MATCH(ROW()-3,CS$4:CS$40,0)))</f>
        <v/>
      </c>
      <c r="CU21">
        <f>CU20+IF(AND(CT21&lt;&gt;"",COUNTIF(CT$4:CT21,CT21)=1),1,0)</f>
        <v/>
      </c>
      <c r="CV21">
        <f>IF(ROW()-3&gt;MAX(CU$4:CU$40),"",INDEX(CT$4:CT$40,MATCH(ROW()-3,CU$4:CU$40,0)))</f>
        <v/>
      </c>
      <c r="CW21" s="55">
        <f>IF('Final Calculation Sheet'!$S$21="","",'Final Calculation Sheet'!$S$21)</f>
        <v/>
      </c>
      <c r="CX21">
        <f>IF(CW21="","",COUNTIFS(CW$4:CW$40,"&lt;"&amp;CW21,CW$4:CW$40,"&lt;&gt;"&amp;"")+COUNTIF(CW$4:CW21,CW21))</f>
        <v/>
      </c>
      <c r="CY21" s="55">
        <f>IF(ROW()-3&gt;COUNTIF(CW$4:CW$40,"&lt;&gt;"&amp;""),"",INDEX(CW$4:CW$40,MATCH(ROW()-3,CX$4:CX$40,0)))</f>
        <v/>
      </c>
      <c r="CZ21">
        <f>CZ20+IF(AND(CY21&lt;&gt;"",COUNTIF(CY$4:CY21,CY21)=1),1,0)</f>
        <v/>
      </c>
      <c r="DA21" s="55">
        <f>IF(ROW()-3&gt;MAX(CZ$4:CZ$40),"",INDEX(CY$4:CY$40,MATCH(ROW()-3,CZ$4:CZ$40,0)))</f>
        <v/>
      </c>
      <c r="DB21" s="55">
        <f>IF('Final Calculation Sheet'!$T$21="","",'Final Calculation Sheet'!$T$21)</f>
        <v/>
      </c>
      <c r="DC21">
        <f>IF(DB21="","",COUNTIFS(DB$4:DB$40,"&lt;"&amp;DB21,DB$4:DB$40,"&lt;&gt;"&amp;"")+COUNTIF(DB$4:DB21,DB21))</f>
        <v/>
      </c>
      <c r="DD21" s="55">
        <f>IF(ROW()-3&gt;COUNTIF(DB$4:DB$40,"&lt;&gt;"&amp;""),"",INDEX(DB$4:DB$40,MATCH(ROW()-3,DC$4:DC$40,0)))</f>
        <v/>
      </c>
      <c r="DE21">
        <f>DE20+IF(AND(DD21&lt;&gt;"",COUNTIF(DD$4:DD21,DD21)=1),1,0)</f>
        <v/>
      </c>
      <c r="DF21" s="55">
        <f>IF(ROW()-3&gt;MAX(DE$4:DE$40),"",INDEX(DD$4:DD$40,MATCH(ROW()-3,DE$4:DE$40,0)))</f>
        <v/>
      </c>
      <c r="DG21" s="140">
        <f>IF('Final Calculation Sheet'!$U$21="","",'Final Calculation Sheet'!$U$21)</f>
        <v/>
      </c>
      <c r="DH21">
        <f>IF(DG21="","",COUNTIFS(DG$4:DG$40,"&lt;"&amp;DG21,DG$4:DG$40,"&lt;&gt;"&amp;"")+COUNTIF(DG$4:DG21,DG21))</f>
        <v/>
      </c>
      <c r="DI21" s="140">
        <f>IF(ROW()-3&gt;COUNTIF(DG$4:DG$40,"&lt;&gt;"&amp;""),"",INDEX(DG$4:DG$40,MATCH(ROW()-3,DH$4:DH$40,0)))</f>
        <v/>
      </c>
      <c r="DJ21">
        <f>DJ20+IF(AND(DI21&lt;&gt;"",COUNTIF(DI$4:DI21,DI21)=1),1,0)</f>
        <v/>
      </c>
      <c r="DK21" s="140">
        <f>IF(ROW()-3&gt;MAX(DJ$4:DJ$40),"",INDEX(DI$4:DI$40,MATCH(ROW()-3,DJ$4:DJ$40,0)))</f>
        <v/>
      </c>
      <c r="DL21">
        <f>IF('Final Calculation Sheet'!$V$21="","",'Final Calculation Sheet'!$V$21)</f>
        <v/>
      </c>
      <c r="DM21">
        <f>IF(DL21="","",COUNTIFS(DL$4:DL$40,"&lt;"&amp;DL21,DL$4:DL$40,"&lt;&gt;"&amp;"")+COUNTIF(DL$4:DL21,DL21))</f>
        <v/>
      </c>
      <c r="DN21">
        <f>IF(ROW()-3&gt;COUNTIF(DL$4:DL$40,"&lt;&gt;"&amp;""),"",INDEX(DL$4:DL$40,MATCH(ROW()-3,DM$4:DM$40,0)))</f>
        <v/>
      </c>
      <c r="DO21">
        <f>DO20+IF(AND(DN21&lt;&gt;"",COUNTIF(DN$4:DN21,DN21)=1),1,0)</f>
        <v/>
      </c>
      <c r="DP21">
        <f>IF(ROW()-3&gt;MAX(DO$4:DO$40),"",INDEX(DN$4:DN$40,MATCH(ROW()-3,DO$4:DO$40,0)))</f>
        <v/>
      </c>
      <c r="DQ21" s="55">
        <f>IF('Final Calculation Sheet'!$W$21="","",'Final Calculation Sheet'!$W$21)</f>
        <v/>
      </c>
      <c r="DR21">
        <f>IF(DQ21="","",COUNTIFS(DQ$4:DQ$40,"&lt;"&amp;DQ21,DQ$4:DQ$40,"&lt;&gt;"&amp;"")+COUNTIF(DQ$4:DQ21,DQ21))</f>
        <v/>
      </c>
      <c r="DS21" s="55">
        <f>IF(ROW()-3&gt;COUNTIF(DQ$4:DQ$40,"&lt;&gt;"&amp;""),"",INDEX(DQ$4:DQ$40,MATCH(ROW()-3,DR$4:DR$40,0)))</f>
        <v/>
      </c>
      <c r="DT21">
        <f>DT20+IF(AND(DS21&lt;&gt;"",COUNTIF(DS$4:DS21,DS21)=1),1,0)</f>
        <v/>
      </c>
      <c r="DU21" s="55">
        <f>IF(ROW()-3&gt;MAX(DT$4:DT$40),"",INDEX(DS$4:DS$40,MATCH(ROW()-3,DT$4:DT$40,0)))</f>
        <v/>
      </c>
      <c r="DV21" s="55">
        <f>IF('Final Calculation Sheet'!$X$21="","",'Final Calculation Sheet'!$X$21)</f>
        <v/>
      </c>
      <c r="DW21">
        <f>IF(DV21="","",COUNTIFS(DV$4:DV$40,"&lt;"&amp;DV21,DV$4:DV$40,"&lt;&gt;"&amp;"")+COUNTIF(DV$4:DV21,DV21))</f>
        <v/>
      </c>
      <c r="DX21" s="55">
        <f>IF(ROW()-3&gt;COUNTIF(DV$4:DV$40,"&lt;&gt;"&amp;""),"",INDEX(DV$4:DV$40,MATCH(ROW()-3,DW$4:DW$40,0)))</f>
        <v/>
      </c>
      <c r="DY21">
        <f>DY20+IF(AND(DX21&lt;&gt;"",COUNTIF(DX$4:DX21,DX21)=1),1,0)</f>
        <v/>
      </c>
      <c r="DZ21">
        <f>IF(ROW()-3&gt;MAX(DY$4:DY$40),"",INDEX(DX$4:DX$40,MATCH(ROW()-3,DY$4:DY$40,0)))</f>
        <v/>
      </c>
      <c r="EA21">
        <f>IF('Final Calculation Sheet'!$Y$21="","",'Final Calculation Sheet'!$Y$21)</f>
        <v/>
      </c>
      <c r="EB21">
        <f>IF(EA21="","",COUNTIFS(EA$4:EA$40,"&lt;"&amp;EA21,EA$4:EA$40,"&lt;&gt;"&amp;"")+COUNTIF(EA$4:EA21,EA21))</f>
        <v/>
      </c>
      <c r="EC21">
        <f>IF(ROW()-3&gt;COUNTIF(EA$4:EA$40,"&lt;&gt;"&amp;""),"",INDEX(EA$4:EA$40,MATCH(ROW()-3,EB$4:EB$40,0)))</f>
        <v/>
      </c>
      <c r="ED21">
        <f>ED20+IF(AND(EC21&lt;&gt;"",COUNTIF(EC$4:EC21,EC21)=1),1,0)</f>
        <v/>
      </c>
      <c r="EE21">
        <f>IF(ROW()-3&gt;MAX(ED$4:ED$40),"",INDEX(EC$4:EC$40,MATCH(ROW()-3,ED$4:ED$40,0)))</f>
        <v/>
      </c>
      <c r="EF21" s="55">
        <f>IF('Final Calculation Sheet'!$Z$21="","",'Final Calculation Sheet'!$Z$21)</f>
        <v/>
      </c>
      <c r="EG21">
        <f>IF(EF21="","",COUNTIFS(EF$4:EF$40,"&lt;"&amp;EF21,EF$4:EF$40,"&lt;&gt;"&amp;"")+COUNTIF(EF$4:EF21,EF21))</f>
        <v/>
      </c>
      <c r="EH21" s="55">
        <f>IF(ROW()-3&gt;COUNTIF(EF$4:EF$40,"&lt;&gt;"&amp;""),"",INDEX(EF$4:EF$40,MATCH(ROW()-3,EG$4:EG$40,0)))</f>
        <v/>
      </c>
      <c r="EI21">
        <f>EI20+IF(AND(EH21&lt;&gt;"",COUNTIF(EH$4:EH21,EH21)=1),1,0)</f>
        <v/>
      </c>
      <c r="EJ21">
        <f>IF(ROW()-3&gt;MAX(EI$4:EI$40),"",INDEX(EH$4:EH$40,MATCH(ROW()-3,EI$4:EI$40,0)))</f>
        <v/>
      </c>
      <c r="EK21">
        <f>IF('Final Calculation Sheet'!$AA$21="","",'Final Calculation Sheet'!$AA$21)</f>
        <v/>
      </c>
      <c r="EL21">
        <f>IF(EK21="","",COUNTIFS(EK$4:EK$40,"&lt;"&amp;EK21,EK$4:EK$40,"&lt;&gt;"&amp;"")+COUNTIF(EK$4:EK21,EK21))</f>
        <v/>
      </c>
      <c r="EM21">
        <f>IF(ROW()-3&gt;COUNTIF(EK$4:EK$40,"&lt;&gt;"&amp;""),"",INDEX(EK$4:EK$40,MATCH(ROW()-3,EL$4:EL$40,0)))</f>
        <v/>
      </c>
      <c r="EN21">
        <f>EN20+IF(AND(EM21&lt;&gt;"",COUNTIF(EM$4:EM21,EM21)=1),1,0)</f>
        <v/>
      </c>
      <c r="EO21">
        <f>IF(ROW()-3&gt;MAX(EN$4:EN$40),"",INDEX(EM$4:EM$40,MATCH(ROW()-3,EN$4:EN$40,0)))</f>
        <v/>
      </c>
      <c r="EP21">
        <f>IF('Final Calculation Sheet'!$AB$21="","",'Final Calculation Sheet'!$AB$21)</f>
        <v/>
      </c>
      <c r="EQ21">
        <f>IF(EP21="","",COUNTIFS(EP$4:EP$40,"&lt;"&amp;EP21,EP$4:EP$40,"&lt;&gt;"&amp;"")+COUNTIF(EP$4:EP21,EP21))</f>
        <v/>
      </c>
      <c r="ER21">
        <f>IF(ROW()-3&gt;COUNTIF(EP$4:EP$40,"&lt;&gt;"&amp;""),"",INDEX(EP$4:EP$40,MATCH(ROW()-3,EQ$4:EQ$40,0)))</f>
        <v/>
      </c>
      <c r="ES21">
        <f>ES20+IF(AND(ER21&lt;&gt;"",COUNTIF(ER$4:ER21,ER21)=1),1,0)</f>
        <v/>
      </c>
      <c r="ET21">
        <f>IF(ROW()-3&gt;MAX(ES$4:ES$40),"",INDEX(ER$4:ER$40,MATCH(ROW()-3,ES$4:ES$40,0)))</f>
        <v/>
      </c>
      <c r="EU21" s="55">
        <f>IF('Final Calculation Sheet'!$AC$21="","",'Final Calculation Sheet'!$AC$21)</f>
        <v/>
      </c>
      <c r="EV21">
        <f>IF(EU21="","",COUNTIFS(EU$4:EU$40,"&lt;"&amp;EU21,EU$4:EU$40,"&lt;&gt;"&amp;"")+COUNTIF(EU$4:EU21,EU21))</f>
        <v/>
      </c>
      <c r="EW21" s="55">
        <f>IF(ROW()-3&gt;COUNTIF(EU$4:EU$40,"&lt;&gt;"&amp;""),"",INDEX(EU$4:EU$40,MATCH(ROW()-3,EV$4:EV$40,0)))</f>
        <v/>
      </c>
      <c r="EX21">
        <f>EX20+IF(AND(EW21&lt;&gt;"",COUNTIF(EW$4:EW21,EW21)=1),1,0)</f>
        <v/>
      </c>
      <c r="EY21" s="55">
        <f>IF(ROW()-3&gt;MAX(EX$4:EX$40),"",INDEX(EW$4:EW$40,MATCH(ROW()-3,EX$4:EX$40,0)))</f>
        <v/>
      </c>
      <c r="EZ21" s="55">
        <f>IF('Final Calculation Sheet'!$AD$21="","",'Final Calculation Sheet'!$AD$21)</f>
        <v/>
      </c>
      <c r="FA21">
        <f>IF(EZ21="","",COUNTIFS(EZ$4:EZ$40,"&lt;"&amp;EZ21,EZ$4:EZ$40,"&lt;&gt;"&amp;"")+COUNTIF(EZ$4:EZ21,EZ21))</f>
        <v/>
      </c>
      <c r="FB21" s="55">
        <f>IF(ROW()-3&gt;COUNTIF(EZ$4:EZ$40,"&lt;&gt;"&amp;""),"",INDEX(EZ$4:EZ$40,MATCH(ROW()-3,FA$4:FA$40,0)))</f>
        <v/>
      </c>
      <c r="FC21">
        <f>FC20+IF(AND(FB21&lt;&gt;"",COUNTIF(FB$4:FB21,FB21)=1),1,0)</f>
        <v/>
      </c>
      <c r="FD21">
        <f>IF(ROW()-3&gt;MAX(FC$4:FC$40),"",INDEX(FB$4:FB$40,MATCH(ROW()-3,FC$4:FC$40,0)))</f>
        <v/>
      </c>
      <c r="FE21">
        <f>IF('Final Calculation Sheet'!$AF$21="","",'Final Calculation Sheet'!$AF$21)</f>
        <v/>
      </c>
      <c r="FF21">
        <f>IF(FE21="","",COUNTIFS(FE$4:FE$40,"&lt;"&amp;FE21,FE$4:FE$40,"&lt;&gt;"&amp;"")+COUNTIF(FE$4:FE21,FE21))</f>
        <v/>
      </c>
      <c r="FG21">
        <f>IF(ROW()-3&gt;COUNTIF(FE$4:FE$40,"&lt;&gt;"&amp;""),"",INDEX(FE$4:FE$40,MATCH(ROW()-3,FF$4:FF$40,0)))</f>
        <v/>
      </c>
      <c r="FH21">
        <f>FH20+IF(AND(FG21&lt;&gt;"",COUNTIF(FG$4:FG21,FG21)=1),1,0)</f>
        <v/>
      </c>
      <c r="FI21">
        <f>IF(ROW()-3&gt;MAX(FH$4:FH$40),"",INDEX(FG$4:FG$40,MATCH(ROW()-3,FH$4:FH$40,0)))</f>
        <v/>
      </c>
      <c r="FJ21" s="141">
        <f>IF('Final Calculation Sheet'!$AG$21="","",'Final Calculation Sheet'!$AG$21)</f>
        <v/>
      </c>
      <c r="FK21">
        <f>IF(FJ21="","",COUNTIFS(FJ$4:FJ$40,"&lt;"&amp;FJ21,FJ$4:FJ$40,"&lt;&gt;"&amp;"")+COUNTIF(FJ$4:FJ21,FJ21))</f>
        <v/>
      </c>
      <c r="FL21" s="141">
        <f>IF(ROW()-3&gt;COUNTIF(FJ$4:FJ$40,"&lt;&gt;"&amp;""),"",INDEX(FJ$4:FJ$40,MATCH(ROW()-3,FK$4:FK$40,0)))</f>
        <v/>
      </c>
      <c r="FM21">
        <f>FM20+IF(AND(FL21&lt;&gt;"",COUNTIF(FL$4:FL21,FL21)=1),1,0)</f>
        <v/>
      </c>
      <c r="FN21">
        <f>IF(ROW()-3&gt;MAX(FM$4:FM$40),"",INDEX(FL$4:FL$40,MATCH(ROW()-3,FM$4:FM$40,0)))</f>
        <v/>
      </c>
      <c r="FO21">
        <f>IF('Final Calculation Sheet'!$AH$21="","",'Final Calculation Sheet'!$AH$21)</f>
        <v/>
      </c>
      <c r="FP21">
        <f>IF(FO21="","",COUNTIFS(FO$4:FO$40,"&lt;"&amp;FO21,FO$4:FO$40,"&lt;&gt;"&amp;"")+COUNTIF(FO$4:FO21,FO21))</f>
        <v/>
      </c>
      <c r="FQ21">
        <f>IF(ROW()-3&gt;COUNTIF(FO$4:FO$40,"&lt;&gt;"&amp;""),"",INDEX(FO$4:FO$40,MATCH(ROW()-3,FP$4:FP$40,0)))</f>
        <v/>
      </c>
      <c r="FR21">
        <f>FR20+IF(AND(FQ21&lt;&gt;"",COUNTIF(FQ$4:FQ21,FQ21)=1),1,0)</f>
        <v/>
      </c>
      <c r="FS21">
        <f>IF(ROW()-3&gt;MAX(FR$4:FR$40),"",INDEX(FQ$4:FQ$40,MATCH(ROW()-3,FR$4:FR$40,0)))</f>
        <v/>
      </c>
      <c r="FU21">
        <f>IF(FT21="","",COUNTIFS(FT$4:FT$40,"&lt;"&amp;FT21,FT$4:FT$40,"&lt;&gt;"&amp;"")+COUNTIF(FT$4:FT21,FT21))</f>
        <v/>
      </c>
      <c r="FV21">
        <f>IF(ROW()-3&gt;COUNTIF(FT$4:FT$40,"&lt;&gt;"&amp;""),"",INDEX(FT$4:FT$40,MATCH(ROW()-3,FU$4:FU$40,0)))</f>
        <v/>
      </c>
      <c r="FW21">
        <f>FW20+IF(AND(FV21&lt;&gt;"",COUNTIF(FV$4:FV21,FV21)=1),1,0)</f>
        <v/>
      </c>
      <c r="FX21">
        <f>IF(ROW()-3&gt;MAX(FW$4:FW$40),"",INDEX(FV$4:FV$40,MATCH(ROW()-3,FW$4:FW$40,0)))</f>
        <v/>
      </c>
      <c r="FY21">
        <f>IF(COUNTIF('Live Search'!BM$20:BO$20,0)+COUNTIF('Live Search'!BQ$20:CU$20,0)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1">
        <f>IF($Y$21="",FALSE,SUMPRODUCT(('Final Calculation Sheet'!$B$4:$B$40=$Y$21)*($FY$6:$FY$42=1))&gt;0)</f>
        <v/>
      </c>
      <c r="GA21">
        <f>$GA$20+--($FZ$21)</f>
        <v/>
      </c>
      <c r="GB21">
        <f>IF(ROW()-3&gt;MAX($GA$4:$GA$40),"",INDEX($Y$4:$Y$40,MATCH(ROW()-3,$GA$4:$GA$40,0)))</f>
        <v/>
      </c>
      <c r="GC21">
        <f>IF('Final Calculation Sheet'!$F$21="","",IF(TRIM('Final Calculation Sheet'!$G$2)="",'Final Calculation Sheet'!$F$21,IF(TRIM('Final Calculation Sheet'!$G$2)="(nonblank)",IF('Final Calculation Sheet'!$G$21&lt;&gt;"",'Final Calculation Sheet'!$F$21,""),IF(TRIM('Final Calculation Sheet'!$G$2)="(blank)",IF('Final Calculation Sheet'!$G$21="",'Final Calculation Sheet'!$F$21,""),IF(ISNUMBER(SEARCH(TRIM('Final Calculation Sheet'!$G$2),'Final Calculation Sheet'!$G$21)),'Final Calculation Sheet'!$F$21,"")))))</f>
        <v/>
      </c>
      <c r="GD21">
        <f>IF(GC21="","",COUNTIFS(GC$4:GC$40,"&lt;"&amp;GC21,GC$4:GC$40,"&lt;&gt;"&amp;"")+COUNTIF(GC$4:GC21,GC21))</f>
        <v/>
      </c>
      <c r="GE21">
        <f>IF(ROW()-3&gt;COUNTIF(GC$4:GC$40,"&lt;&gt;"&amp;""),"",INDEX(GC$4:GC$40,MATCH(ROW()-3,GD$4:GD$40,0)))</f>
        <v/>
      </c>
      <c r="GF21">
        <f>GF20+IF(AND(GE21&lt;&gt;"",COUNTIF(GE$4:GE21,GE21)=1),1,0)</f>
        <v/>
      </c>
      <c r="GG21">
        <f>IF(ROW()-3&gt;MAX(GF$4:GF$40),"",INDEX(GE$4:GE$40,MATCH(ROW()-3,GF$4:GF$40,0)))</f>
        <v/>
      </c>
      <c r="GH21">
        <f>IF('Final Calculation Sheet'!$F$21="","",IF('Live Search'!$BO$22=1,'Final Calculation Sheet'!$F$21,""))</f>
        <v/>
      </c>
      <c r="GI21">
        <f>IF(GH21="","",COUNTIFS(GH$4:GH$40,"&lt;"&amp;GH21,GH$4:GH$40,"&lt;&gt;"&amp;"")+COUNTIF(GH$4:GH21,GH21))</f>
        <v/>
      </c>
      <c r="GJ21">
        <f>IF(ROW()-3&gt;COUNTIF(GH$4:GH$40,"&lt;&gt;"&amp;""),"",INDEX(GH$4:GH$40,MATCH(ROW()-3,GI$4:GI$40,0)))</f>
        <v/>
      </c>
      <c r="GK21">
        <f>GK20+IF(AND(GJ21&lt;&gt;"",COUNTIF(GJ$4:GJ21,GJ21)=1),1,0)</f>
        <v/>
      </c>
      <c r="GL21">
        <f>IF(ROW()-3&gt;MAX(GK$4:GK$40),"",INDEX(GJ$4:GJ$40,MATCH(ROW()-3,GK$4:GK$40,0)))</f>
        <v/>
      </c>
      <c r="GM21">
        <f>IF('Final Calculation Sheet'!$F$21="","",IF(TRIM('Buyer Groups'!$C$4)="",'Final Calculation Sheet'!$F$21,IF(TRIM('Buyer Groups'!$C$4)="(nonblank)",IF('Final Calculation Sheet'!$G$21&lt;&gt;"",'Final Calculation Sheet'!$F$21,""),IF(TRIM('Buyer Groups'!$C$4)="(blank)",IF('Final Calculation Sheet'!$G$21="",'Final Calculation Sheet'!$F$21,""),IF(ISNUMBER(SEARCH(TRIM('Buyer Groups'!$C$4),'Final Calculation Sheet'!$G$21)),'Final Calculation Sheet'!$F$21,"")))))</f>
        <v/>
      </c>
      <c r="GN21">
        <f>IF(GM21="","",COUNTIFS(GM$4:GM$40,"&lt;"&amp;GM21,GM$4:GM$40,"&lt;&gt;"&amp;"")+COUNTIF(GM$4:GM21,GM21))</f>
        <v/>
      </c>
      <c r="GO21">
        <f>IF(ROW()-3&gt;COUNTIF(GM$4:GM$40,"&lt;&gt;"&amp;""),"",INDEX(GM$4:GM$40,MATCH(ROW()-3,GN$4:GN$40,0)))</f>
        <v/>
      </c>
      <c r="GP21">
        <f>GP20+IF(AND(GO21&lt;&gt;"",COUNTIF(GO$4:GO21,GO21)=1),1,0)</f>
        <v/>
      </c>
      <c r="GQ21">
        <f>IF(ROW()-3&gt;MAX(GP$4:GP$40),"",INDEX(GO$4:GO$40,MATCH(ROW()-3,GP$4:GP$40,0)))</f>
        <v/>
      </c>
      <c r="GR21">
        <f>IF('Final Calculation Sheet'!$B$21="","",IF(TRIM('Final Calculation Sheet'!$G$2)="",'Final Calculation Sheet'!$B$21,IF(TRIM('Final Calculation Sheet'!$G$2)="(nonblank)",IF('Final Calculation Sheet'!$G$21&lt;&gt;"",'Final Calculation Sheet'!$B$21,""),IF(TRIM('Final Calculation Sheet'!$G$2)="(blank)",IF('Final Calculation Sheet'!$G$21="",'Final Calculation Sheet'!$B$21,""),IF(ISNUMBER(SEARCH(TRIM('Final Calculation Sheet'!$G$2),'Final Calculation Sheet'!$G$21)),'Final Calculation Sheet'!$B$21,"")))))</f>
        <v/>
      </c>
      <c r="GS21">
        <f>IF(GR21="","",COUNTIFS(GR$4:GR$40,"&lt;"&amp;GR21,GR$4:GR$40,"&lt;&gt;"&amp;"")+COUNTIF(GR$4:GR21,GR21))</f>
        <v/>
      </c>
      <c r="GT21">
        <f>IF(ROW()-3&gt;COUNTIF(GR$4:GR$40,"&lt;&gt;"&amp;""),"",INDEX(GR$4:GR$40,MATCH(ROW()-3,GS$4:GS$40,0)))</f>
        <v/>
      </c>
      <c r="GU21">
        <f>GU20+IF(AND(GT21&lt;&gt;"",COUNTIF(GT$4:GT21,GT21)=1),1,0)</f>
        <v/>
      </c>
      <c r="GV21">
        <f>IF(ROW()-3&gt;MAX(GU$4:GU$40),"",INDEX(GT$4:GT$40,MATCH(ROW()-3,GU$4:GU$40,0)))</f>
        <v/>
      </c>
      <c r="GW21">
        <f>IF('Final Calculation Sheet'!$B$21="","",IF(TRIM('Buyer Groups'!$C$4)="",'Final Calculation Sheet'!$B$21,IF(TRIM('Buyer Groups'!$C$4)="(nonblank)",IF('Final Calculation Sheet'!$G$21&lt;&gt;"",'Final Calculation Sheet'!$B$21,""),IF(TRIM('Buyer Groups'!$C$4)="(blank)",IF('Final Calculation Sheet'!$G$21="",'Final Calculation Sheet'!$B$21,""),IF(ISNUMBER(SEARCH(TRIM('Buyer Groups'!$C$4),'Final Calculation Sheet'!$G$21)),'Final Calculation Sheet'!$B$21,"")))))</f>
        <v/>
      </c>
      <c r="GX21">
        <f>IF(GW21="","",COUNTIFS(GW$4:GW$40,"&lt;"&amp;GW21,GW$4:GW$40,"&lt;&gt;"&amp;"")+COUNTIF(GW$4:GW21,GW21))</f>
        <v/>
      </c>
      <c r="GY21">
        <f>IF(ROW()-3&gt;COUNTIF(GW$4:GW$40,"&lt;&gt;"&amp;""),"",INDEX(GW$4:GW$40,MATCH(ROW()-3,GX$4:GX$40,0)))</f>
        <v/>
      </c>
      <c r="GZ21">
        <f>GZ20+IF(AND(GY21&lt;&gt;"",COUNTIF(GY$4:GY21,GY21)=1),1,0)</f>
        <v/>
      </c>
      <c r="HA21">
        <f>IF(ROW()-3&gt;MAX(GZ$4:GZ$40),"",INDEX(GY$4:GY$40,MATCH(ROW()-3,GZ$4:GZ$40,0)))</f>
        <v/>
      </c>
    </row>
    <row r="22">
      <c r="A22">
        <f>IF('Final Calculation Sheet'!$F$22="","",'Final Calculation Sheet'!$F$22)</f>
        <v/>
      </c>
      <c r="B22">
        <f>IF(A22="","",COUNTIFS(A$4:A$114,"&lt;"&amp;A22,A$4:A$114,"&lt;&gt;"&amp;"")+COUNTIF(A$4:A22,A22))</f>
        <v/>
      </c>
      <c r="C22">
        <f>IF(ROW()-3&gt;COUNTIF(A$4:A$114,"&lt;&gt;"&amp;""),"",INDEX(A$4:A$114,MATCH(ROW()-3,B$4:B$114,0)))</f>
        <v/>
      </c>
      <c r="D22">
        <f>D21+IF(AND(C22&lt;&gt;"",COUNTIF(C$4:C22,C22)=1),1,0)</f>
        <v/>
      </c>
      <c r="E22">
        <f>IF(ROW()-3&gt;MAX(D$4:D$114),"",INDEX(C$4:C$114,MATCH(ROW()-3,D$4:D$114,0)))</f>
        <v/>
      </c>
      <c r="F22">
        <f>ROW()-3</f>
        <v/>
      </c>
      <c r="G22">
        <f>IF(F22="","",COUNTIFS(F$4:F$40,"&lt;"&amp;F22,F$4:F$40,"&lt;&gt;"&amp;"")+COUNTIF(F$4:F22,F22))</f>
        <v/>
      </c>
      <c r="H22">
        <f>IF(ROW()-3&gt;COUNTIF(F$4:F$40,"&lt;&gt;"&amp;""),"",INDEX(F$4:F$40,MATCH(ROW()-3,G$4:G$40,0)))</f>
        <v/>
      </c>
      <c r="I22">
        <f>I21+IF(AND(H22&lt;&gt;"",COUNTIF(H$4:H22,H22)=1),1,0)</f>
        <v/>
      </c>
      <c r="J22">
        <f>IF(ROW()-3&gt;MAX(I$4:I$40),"",INDEX(H$4:H$40,MATCH(ROW()-3,I$4:I$40,0)))</f>
        <v/>
      </c>
      <c r="K22">
        <f>IF('Final Calculation Sheet'!$F$22="","",'Final Calculation Sheet'!$F$22)</f>
        <v/>
      </c>
      <c r="L22">
        <f>IF(K22="","",COUNTIFS(K$4:K$40,"&lt;"&amp;K22,K$4:K$40,"&lt;&gt;"&amp;"")+COUNTIF(K$4:K22,K22))</f>
        <v/>
      </c>
      <c r="M22">
        <f>IF(ROW()-3&gt;COUNTIF(K$4:K$40,"&lt;&gt;"&amp;""),"",INDEX(K$4:K$40,MATCH(ROW()-3,L$4:L$40,0)))</f>
        <v/>
      </c>
      <c r="N22">
        <f>N21+IF(AND(M22&lt;&gt;"",COUNTIF(M$4:M22,M22)=1),1,0)</f>
        <v/>
      </c>
      <c r="O22">
        <f>IF(ROW()-3&gt;MAX(N$4:N$40),"",INDEX(M$4:M$40,MATCH(ROW()-3,N$4:N$40,0)))</f>
        <v/>
      </c>
      <c r="P22">
        <f>IF('Final Calculation Sheet'!$G$22="","",'Final Calculation Sheet'!$G$22)</f>
        <v/>
      </c>
      <c r="Q22">
        <f>IF(P22="","",COUNTIFS(P$4:P$40,"&lt;"&amp;P22,P$4:P$40,"&lt;&gt;"&amp;"")+COUNTIF(P$4:P22,P22))</f>
        <v/>
      </c>
      <c r="R22">
        <f>IF(ROW()-3&gt;COUNTIF(P$4:P$40,"&lt;&gt;"&amp;""),"",INDEX(P$4:P$40,MATCH(ROW()-3,Q$4:Q$40,0)))</f>
        <v/>
      </c>
      <c r="S22">
        <f>S21+IF(AND(R22&lt;&gt;"",COUNTIF(R$4:R22,R22)=1),1,0)</f>
        <v/>
      </c>
      <c r="T22">
        <f>IF(ROW()-3&gt;MAX(S$4:S$40),"",INDEX(R$4:R$40,MATCH(ROW()-3,S$4:S$40,0)))</f>
        <v/>
      </c>
      <c r="U22">
        <f>IF('Final Calculation Sheet'!$B$22="","",'Final Calculation Sheet'!$B$22)</f>
        <v/>
      </c>
      <c r="V22">
        <f>IF(U22="","",COUNTIFS(U$4:U$40,"&lt;"&amp;U22,U$4:U$40,"&lt;&gt;"&amp;"")+COUNTIF(U$4:U22,U22))</f>
        <v/>
      </c>
      <c r="W22">
        <f>IF(ROW()-3&gt;COUNTIF(U$4:U$40,"&lt;&gt;"&amp;""),"",INDEX(U$4:U$40,MATCH(ROW()-3,V$4:V$40,0)))</f>
        <v/>
      </c>
      <c r="X22">
        <f>X21+IF(AND(W22&lt;&gt;"",COUNTIF(W$4:W22,W22)=1),1,0)</f>
        <v/>
      </c>
      <c r="Y22">
        <f>IF(ROW()-3&gt;MAX(X$4:X$40),"",INDEX(W$4:W$40,MATCH(ROW()-3,X$4:X$40,0)))</f>
        <v/>
      </c>
      <c r="Z22">
        <f>IF('Final Calculation Sheet'!$D$22="","",'Final Calculation Sheet'!$D$22)</f>
        <v/>
      </c>
      <c r="AA22">
        <f>IF(Z22="","",COUNTIFS(Z$4:Z$40,"&lt;"&amp;Z22,Z$4:Z$40,"&lt;&gt;"&amp;"")+COUNTIF(Z$4:Z22,Z22))</f>
        <v/>
      </c>
      <c r="AB22">
        <f>IF(ROW()-3&gt;COUNTIF(Z$4:Z$40,"&lt;&gt;"&amp;""),"",INDEX(Z$4:Z$40,MATCH(ROW()-3,AA$4:AA$40,0)))</f>
        <v/>
      </c>
      <c r="AC22">
        <f>AC21+IF(AND(AB22&lt;&gt;"",COUNTIF(AB$4:AB22,AB22)=1),1,0)</f>
        <v/>
      </c>
      <c r="AD22">
        <f>IF(ROW()-3&gt;MAX(AC$4:AC$40),"",INDEX(AB$4:AB$40,MATCH(ROW()-3,AC$4:AC$40,0)))</f>
        <v/>
      </c>
      <c r="AE22">
        <f>IF('Final Calculation Sheet'!$A$22="","",'Final Calculation Sheet'!$A$22)</f>
        <v/>
      </c>
      <c r="AF22">
        <f>IF(AE22="","",COUNTIFS(AE$4:AE$40,"&lt;"&amp;AE22,AE$4:AE$40,"&lt;&gt;"&amp;"")+COUNTIF(AE$4:AE22,AE22))</f>
        <v/>
      </c>
      <c r="AG22">
        <f>IF(ROW()-3&gt;COUNTIF(AE$4:AE$40,"&lt;&gt;"&amp;""),"",INDEX(AE$4:AE$40,MATCH(ROW()-3,AF$4:AF$40,0)))</f>
        <v/>
      </c>
      <c r="AH22">
        <f>AH21+IF(AND(AG22&lt;&gt;"",COUNTIF(AG$4:AG22,AG22)=1),1,0)</f>
        <v/>
      </c>
      <c r="AI22">
        <f>IF(ROW()-3&gt;MAX(AH$4:AH$40),"",INDEX(AG$4:AG$40,MATCH(ROW()-3,AH$4:AH$40,0)))</f>
        <v/>
      </c>
      <c r="AJ22">
        <f>IF('Final Calculation Sheet'!$E$22="","",'Final Calculation Sheet'!$E$22)</f>
        <v/>
      </c>
      <c r="AK22">
        <f>IF(AJ22="","",COUNTIFS(AJ$4:AJ$40,"&lt;"&amp;AJ22,AJ$4:AJ$40,"&lt;&gt;"&amp;"")+COUNTIF(AJ$4:AJ22,AJ22))</f>
        <v/>
      </c>
      <c r="AL22">
        <f>IF(ROW()-3&gt;COUNTIF(AJ$4:AJ$40,"&lt;&gt;"&amp;""),"",INDEX(AJ$4:AJ$40,MATCH(ROW()-3,AK$4:AK$40,0)))</f>
        <v/>
      </c>
      <c r="AM22">
        <f>AM21+IF(AND(AL22&lt;&gt;"",COUNTIF(AL$4:AL22,AL22)=1),1,0)</f>
        <v/>
      </c>
      <c r="AN22">
        <f>IF(ROW()-3&gt;MAX(AM$4:AM$40),"",INDEX(AL$4:AL$40,MATCH(ROW()-3,AM$4:AM$40,0)))</f>
        <v/>
      </c>
      <c r="AO22" s="55">
        <f>IF('Final Calculation Sheet'!$C$22="","",'Final Calculation Sheet'!$C$22)</f>
        <v/>
      </c>
      <c r="AP22">
        <f>IF(AO22="","",COUNTIFS(AO$4:AO$40,"&lt;"&amp;AO22,AO$4:AO$40,"&lt;&gt;"&amp;"")+COUNTIF(AO$4:AO22,AO22))</f>
        <v/>
      </c>
      <c r="AQ22" s="55">
        <f>IF(ROW()-3&gt;COUNTIF(AO$4:AO$40,"&lt;&gt;"&amp;""),"",INDEX(AO$4:AO$40,MATCH(ROW()-3,AP$4:AP$40,0)))</f>
        <v/>
      </c>
      <c r="AR22">
        <f>AR21+IF(AND(AQ22&lt;&gt;"",COUNTIF(AQ$4:AQ22,AQ22)=1),1,0)</f>
        <v/>
      </c>
      <c r="AS22" s="55">
        <f>IF(ROW()-3&gt;MAX(AR$4:AR$40),"",INDEX(AQ$4:AQ$40,MATCH(ROW()-3,AR$4:AR$40,0)))</f>
        <v/>
      </c>
      <c r="AT22" s="55">
        <f>IF('Final Calculation Sheet'!$H$22="","",'Final Calculation Sheet'!$H$22)</f>
        <v/>
      </c>
      <c r="AU22">
        <f>IF(AT22="","",COUNTIFS(AT$4:AT$40,"&lt;"&amp;AT22,AT$4:AT$40,"&lt;&gt;"&amp;"")+COUNTIF(AT$4:AT22,AT22))</f>
        <v/>
      </c>
      <c r="AV22" s="55">
        <f>IF(ROW()-3&gt;COUNTIF(AT$4:AT$40,"&lt;&gt;"&amp;""),"",INDEX(AT$4:AT$40,MATCH(ROW()-3,AU$4:AU$40,0)))</f>
        <v/>
      </c>
      <c r="AW22">
        <f>AW21+IF(AND(AV22&lt;&gt;"",COUNTIF(AV$4:AV22,AV22)=1),1,0)</f>
        <v/>
      </c>
      <c r="AX22" s="55">
        <f>IF(ROW()-3&gt;MAX(AW$4:AW$40),"",INDEX(AV$4:AV$40,MATCH(ROW()-3,AW$4:AW$40,0)))</f>
        <v/>
      </c>
      <c r="AY22" s="55">
        <f>IF('Final Calculation Sheet'!$I$22="","",'Final Calculation Sheet'!$I$22)</f>
        <v/>
      </c>
      <c r="AZ22">
        <f>IF(AY22="","",COUNTIFS(AY$4:AY$40,"&lt;"&amp;AY22,AY$4:AY$40,"&lt;&gt;"&amp;"")+COUNTIF(AY$4:AY22,AY22))</f>
        <v/>
      </c>
      <c r="BA22" s="55">
        <f>IF(ROW()-3&gt;COUNTIF(AY$4:AY$40,"&lt;&gt;"&amp;""),"",INDEX(AY$4:AY$40,MATCH(ROW()-3,AZ$4:AZ$40,0)))</f>
        <v/>
      </c>
      <c r="BB22">
        <f>BB21+IF(AND(BA22&lt;&gt;"",COUNTIF(BA$4:BA22,BA22)=1),1,0)</f>
        <v/>
      </c>
      <c r="BC22" s="55">
        <f>IF(ROW()-3&gt;MAX(BB$4:BB$40),"",INDEX(BA$4:BA$40,MATCH(ROW()-3,BB$4:BB$40,0)))</f>
        <v/>
      </c>
      <c r="BD22" s="55">
        <f>IF('Final Calculation Sheet'!$J$22="","",'Final Calculation Sheet'!$J$22)</f>
        <v/>
      </c>
      <c r="BE22">
        <f>IF(BD22="","",COUNTIFS(BD$4:BD$40,"&lt;"&amp;BD22,BD$4:BD$40,"&lt;&gt;"&amp;"")+COUNTIF(BD$4:BD22,BD22))</f>
        <v/>
      </c>
      <c r="BF22" s="55">
        <f>IF(ROW()-3&gt;COUNTIF(BD$4:BD$40,"&lt;&gt;"&amp;""),"",INDEX(BD$4:BD$40,MATCH(ROW()-3,BE$4:BE$40,0)))</f>
        <v/>
      </c>
      <c r="BG22">
        <f>BG21+IF(AND(BF22&lt;&gt;"",COUNTIF(BF$4:BF22,BF22)=1),1,0)</f>
        <v/>
      </c>
      <c r="BH22" s="55">
        <f>IF(ROW()-3&gt;MAX(BG$4:BG$40),"",INDEX(BF$4:BF$40,MATCH(ROW()-3,BG$4:BG$40,0)))</f>
        <v/>
      </c>
      <c r="BI22" s="55">
        <f>IF('Final Calculation Sheet'!$K$22="","",'Final Calculation Sheet'!$K$22)</f>
        <v/>
      </c>
      <c r="BJ22">
        <f>IF(BI22="","",COUNTIFS(BI$4:BI$40,"&lt;"&amp;BI22,BI$4:BI$40,"&lt;&gt;"&amp;"")+COUNTIF(BI$4:BI22,BI22))</f>
        <v/>
      </c>
      <c r="BK22" s="55">
        <f>IF(ROW()-3&gt;COUNTIF(BI$4:BI$40,"&lt;&gt;"&amp;""),"",INDEX(BI$4:BI$40,MATCH(ROW()-3,BJ$4:BJ$40,0)))</f>
        <v/>
      </c>
      <c r="BL22">
        <f>BL21+IF(AND(BK22&lt;&gt;"",COUNTIF(BK$4:BK22,BK22)=1),1,0)</f>
        <v/>
      </c>
      <c r="BM22" s="55">
        <f>IF(ROW()-3&gt;MAX(BL$4:BL$40),"",INDEX(BK$4:BK$40,MATCH(ROW()-3,BL$4:BL$40,0)))</f>
        <v/>
      </c>
      <c r="BN22" s="55">
        <f>IF('Final Calculation Sheet'!$L$22="","",'Final Calculation Sheet'!$L$22)</f>
        <v/>
      </c>
      <c r="BO22">
        <f>IF(BN22="","",COUNTIFS(BN$4:BN$40,"&lt;"&amp;BN22,BN$4:BN$40,"&lt;&gt;"&amp;"")+COUNTIF(BN$4:BN22,BN22))</f>
        <v/>
      </c>
      <c r="BP22" s="55">
        <f>IF(ROW()-3&gt;COUNTIF(BN$4:BN$40,"&lt;&gt;"&amp;""),"",INDEX(BN$4:BN$40,MATCH(ROW()-3,BO$4:BO$40,0)))</f>
        <v/>
      </c>
      <c r="BQ22">
        <f>BQ21+IF(AND(BP22&lt;&gt;"",COUNTIF(BP$4:BP22,BP22)=1),1,0)</f>
        <v/>
      </c>
      <c r="BR22" s="55">
        <f>IF(ROW()-3&gt;MAX(BQ$4:BQ$40),"",INDEX(BP$4:BP$40,MATCH(ROW()-3,BQ$4:BQ$40,0)))</f>
        <v/>
      </c>
      <c r="BS22" s="55">
        <f>IF('Final Calculation Sheet'!$M$22="","",'Final Calculation Sheet'!$M$22)</f>
        <v/>
      </c>
      <c r="BT22">
        <f>IF(BS22="","",COUNTIFS(BS$4:BS$40,"&lt;"&amp;BS22,BS$4:BS$40,"&lt;&gt;"&amp;"")+COUNTIF(BS$4:BS22,BS22))</f>
        <v/>
      </c>
      <c r="BU22" s="55">
        <f>IF(ROW()-3&gt;COUNTIF(BS$4:BS$40,"&lt;&gt;"&amp;""),"",INDEX(BS$4:BS$40,MATCH(ROW()-3,BT$4:BT$40,0)))</f>
        <v/>
      </c>
      <c r="BV22">
        <f>BV21+IF(AND(BU22&lt;&gt;"",COUNTIF(BU$4:BU22,BU22)=1),1,0)</f>
        <v/>
      </c>
      <c r="BW22" s="55">
        <f>IF(ROW()-3&gt;MAX(BV$4:BV$40),"",INDEX(BU$4:BU$40,MATCH(ROW()-3,BV$4:BV$40,0)))</f>
        <v/>
      </c>
      <c r="BX22" s="138">
        <f>IF('Final Calculation Sheet'!$N$22="","",'Final Calculation Sheet'!$N$22)</f>
        <v/>
      </c>
      <c r="BY22">
        <f>IF(BX22="","",COUNTIFS(BX$4:BX$40,"&lt;"&amp;BX22,BX$4:BX$40,"&lt;&gt;"&amp;"")+COUNTIF(BX$4:BX22,BX22))</f>
        <v/>
      </c>
      <c r="BZ22" s="138">
        <f>IF(ROW()-3&gt;COUNTIF(BX$4:BX$40,"&lt;&gt;"&amp;""),"",INDEX(BX$4:BX$40,MATCH(ROW()-3,BY$4:BY$40,0)))</f>
        <v/>
      </c>
      <c r="CA22">
        <f>CA21+IF(AND(BZ22&lt;&gt;"",COUNTIF(BZ$4:BZ22,BZ22)=1),1,0)</f>
        <v/>
      </c>
      <c r="CB22" s="138">
        <f>IF(ROW()-3&gt;MAX(CA$4:CA$40),"",INDEX(BZ$4:BZ$40,MATCH(ROW()-3,CA$4:CA$40,0)))</f>
        <v/>
      </c>
      <c r="CC22" s="55">
        <f>IF('Final Calculation Sheet'!$O$22="","",'Final Calculation Sheet'!$O$22)</f>
        <v/>
      </c>
      <c r="CD22">
        <f>IF(CC22="","",COUNTIFS(CC$4:CC$40,"&lt;"&amp;CC22,CC$4:CC$40,"&lt;&gt;"&amp;"")+COUNTIF(CC$4:CC22,CC22))</f>
        <v/>
      </c>
      <c r="CE22" s="55">
        <f>IF(ROW()-3&gt;COUNTIF(CC$4:CC$40,"&lt;&gt;"&amp;""),"",INDEX(CC$4:CC$40,MATCH(ROW()-3,CD$4:CD$40,0)))</f>
        <v/>
      </c>
      <c r="CF22">
        <f>CF21+IF(AND(CE22&lt;&gt;"",COUNTIF(CE$4:CE22,CE22)=1),1,0)</f>
        <v/>
      </c>
      <c r="CG22" s="55">
        <f>IF(ROW()-3&gt;MAX(CF$4:CF$40),"",INDEX(CE$4:CE$40,MATCH(ROW()-3,CF$4:CF$40,0)))</f>
        <v/>
      </c>
      <c r="CH22" s="55">
        <f>IF('Final Calculation Sheet'!$P$22="","",'Final Calculation Sheet'!$P$22)</f>
        <v/>
      </c>
      <c r="CI22">
        <f>IF(CH22="","",COUNTIFS(CH$4:CH$40,"&lt;"&amp;CH22,CH$4:CH$40,"&lt;&gt;"&amp;"")+COUNTIF(CH$4:CH22,CH22))</f>
        <v/>
      </c>
      <c r="CJ22" s="55">
        <f>IF(ROW()-3&gt;COUNTIF(CH$4:CH$40,"&lt;&gt;"&amp;""),"",INDEX(CH$4:CH$40,MATCH(ROW()-3,CI$4:CI$40,0)))</f>
        <v/>
      </c>
      <c r="CK22">
        <f>CK21+IF(AND(CJ22&lt;&gt;"",COUNTIF(CJ$4:CJ22,CJ22)=1),1,0)</f>
        <v/>
      </c>
      <c r="CL22" s="55">
        <f>IF(ROW()-3&gt;MAX(CK$4:CK$40),"",INDEX(CJ$4:CJ$40,MATCH(ROW()-3,CK$4:CK$40,0)))</f>
        <v/>
      </c>
      <c r="CM22" s="139">
        <f>IF('Final Calculation Sheet'!$Q$22="","",'Final Calculation Sheet'!$Q$22)</f>
        <v/>
      </c>
      <c r="CN22">
        <f>IF(CM22="","",COUNTIFS(CM$4:CM$40,"&lt;"&amp;CM22,CM$4:CM$40,"&lt;&gt;"&amp;"")+COUNTIF(CM$4:CM22,CM22))</f>
        <v/>
      </c>
      <c r="CO22" s="139">
        <f>IF(ROW()-3&gt;COUNTIF(CM$4:CM$40,"&lt;&gt;"&amp;""),"",INDEX(CM$4:CM$40,MATCH(ROW()-3,CN$4:CN$40,0)))</f>
        <v/>
      </c>
      <c r="CP22">
        <f>CP21+IF(AND(CO22&lt;&gt;"",COUNTIF(CO$4:CO22,CO22)=1),1,0)</f>
        <v/>
      </c>
      <c r="CQ22">
        <f>IF(ROW()-3&gt;MAX(CP$4:CP$40),"",INDEX(CO$4:CO$40,MATCH(ROW()-3,CP$4:CP$40,0)))</f>
        <v/>
      </c>
      <c r="CR22" s="55">
        <f>IF('Final Calculation Sheet'!$R$22="","",'Final Calculation Sheet'!$R$22)</f>
        <v/>
      </c>
      <c r="CS22">
        <f>IF(CR22="","",COUNTIFS(CR$4:CR$40,"&lt;"&amp;CR22,CR$4:CR$40,"&lt;&gt;"&amp;"")+COUNTIF(CR$4:CR22,CR22))</f>
        <v/>
      </c>
      <c r="CT22" s="55">
        <f>IF(ROW()-3&gt;COUNTIF(CR$4:CR$40,"&lt;&gt;"&amp;""),"",INDEX(CR$4:CR$40,MATCH(ROW()-3,CS$4:CS$40,0)))</f>
        <v/>
      </c>
      <c r="CU22">
        <f>CU21+IF(AND(CT22&lt;&gt;"",COUNTIF(CT$4:CT22,CT22)=1),1,0)</f>
        <v/>
      </c>
      <c r="CV22">
        <f>IF(ROW()-3&gt;MAX(CU$4:CU$40),"",INDEX(CT$4:CT$40,MATCH(ROW()-3,CU$4:CU$40,0)))</f>
        <v/>
      </c>
      <c r="CW22" s="55">
        <f>IF('Final Calculation Sheet'!$S$22="","",'Final Calculation Sheet'!$S$22)</f>
        <v/>
      </c>
      <c r="CX22">
        <f>IF(CW22="","",COUNTIFS(CW$4:CW$40,"&lt;"&amp;CW22,CW$4:CW$40,"&lt;&gt;"&amp;"")+COUNTIF(CW$4:CW22,CW22))</f>
        <v/>
      </c>
      <c r="CY22" s="55">
        <f>IF(ROW()-3&gt;COUNTIF(CW$4:CW$40,"&lt;&gt;"&amp;""),"",INDEX(CW$4:CW$40,MATCH(ROW()-3,CX$4:CX$40,0)))</f>
        <v/>
      </c>
      <c r="CZ22">
        <f>CZ21+IF(AND(CY22&lt;&gt;"",COUNTIF(CY$4:CY22,CY22)=1),1,0)</f>
        <v/>
      </c>
      <c r="DA22" s="55">
        <f>IF(ROW()-3&gt;MAX(CZ$4:CZ$40),"",INDEX(CY$4:CY$40,MATCH(ROW()-3,CZ$4:CZ$40,0)))</f>
        <v/>
      </c>
      <c r="DB22" s="55">
        <f>IF('Final Calculation Sheet'!$T$22="","",'Final Calculation Sheet'!$T$22)</f>
        <v/>
      </c>
      <c r="DC22">
        <f>IF(DB22="","",COUNTIFS(DB$4:DB$40,"&lt;"&amp;DB22,DB$4:DB$40,"&lt;&gt;"&amp;"")+COUNTIF(DB$4:DB22,DB22))</f>
        <v/>
      </c>
      <c r="DD22" s="55">
        <f>IF(ROW()-3&gt;COUNTIF(DB$4:DB$40,"&lt;&gt;"&amp;""),"",INDEX(DB$4:DB$40,MATCH(ROW()-3,DC$4:DC$40,0)))</f>
        <v/>
      </c>
      <c r="DE22">
        <f>DE21+IF(AND(DD22&lt;&gt;"",COUNTIF(DD$4:DD22,DD22)=1),1,0)</f>
        <v/>
      </c>
      <c r="DF22" s="55">
        <f>IF(ROW()-3&gt;MAX(DE$4:DE$40),"",INDEX(DD$4:DD$40,MATCH(ROW()-3,DE$4:DE$40,0)))</f>
        <v/>
      </c>
      <c r="DG22" s="140">
        <f>IF('Final Calculation Sheet'!$U$22="","",'Final Calculation Sheet'!$U$22)</f>
        <v/>
      </c>
      <c r="DH22">
        <f>IF(DG22="","",COUNTIFS(DG$4:DG$40,"&lt;"&amp;DG22,DG$4:DG$40,"&lt;&gt;"&amp;"")+COUNTIF(DG$4:DG22,DG22))</f>
        <v/>
      </c>
      <c r="DI22" s="140">
        <f>IF(ROW()-3&gt;COUNTIF(DG$4:DG$40,"&lt;&gt;"&amp;""),"",INDEX(DG$4:DG$40,MATCH(ROW()-3,DH$4:DH$40,0)))</f>
        <v/>
      </c>
      <c r="DJ22">
        <f>DJ21+IF(AND(DI22&lt;&gt;"",COUNTIF(DI$4:DI22,DI22)=1),1,0)</f>
        <v/>
      </c>
      <c r="DK22" s="140">
        <f>IF(ROW()-3&gt;MAX(DJ$4:DJ$40),"",INDEX(DI$4:DI$40,MATCH(ROW()-3,DJ$4:DJ$40,0)))</f>
        <v/>
      </c>
      <c r="DL22">
        <f>IF('Final Calculation Sheet'!$V$22="","",'Final Calculation Sheet'!$V$22)</f>
        <v/>
      </c>
      <c r="DM22">
        <f>IF(DL22="","",COUNTIFS(DL$4:DL$40,"&lt;"&amp;DL22,DL$4:DL$40,"&lt;&gt;"&amp;"")+COUNTIF(DL$4:DL22,DL22))</f>
        <v/>
      </c>
      <c r="DN22">
        <f>IF(ROW()-3&gt;COUNTIF(DL$4:DL$40,"&lt;&gt;"&amp;""),"",INDEX(DL$4:DL$40,MATCH(ROW()-3,DM$4:DM$40,0)))</f>
        <v/>
      </c>
      <c r="DO22">
        <f>DO21+IF(AND(DN22&lt;&gt;"",COUNTIF(DN$4:DN22,DN22)=1),1,0)</f>
        <v/>
      </c>
      <c r="DP22">
        <f>IF(ROW()-3&gt;MAX(DO$4:DO$40),"",INDEX(DN$4:DN$40,MATCH(ROW()-3,DO$4:DO$40,0)))</f>
        <v/>
      </c>
      <c r="DQ22" s="55">
        <f>IF('Final Calculation Sheet'!$W$22="","",'Final Calculation Sheet'!$W$22)</f>
        <v/>
      </c>
      <c r="DR22">
        <f>IF(DQ22="","",COUNTIFS(DQ$4:DQ$40,"&lt;"&amp;DQ22,DQ$4:DQ$40,"&lt;&gt;"&amp;"")+COUNTIF(DQ$4:DQ22,DQ22))</f>
        <v/>
      </c>
      <c r="DS22" s="55">
        <f>IF(ROW()-3&gt;COUNTIF(DQ$4:DQ$40,"&lt;&gt;"&amp;""),"",INDEX(DQ$4:DQ$40,MATCH(ROW()-3,DR$4:DR$40,0)))</f>
        <v/>
      </c>
      <c r="DT22">
        <f>DT21+IF(AND(DS22&lt;&gt;"",COUNTIF(DS$4:DS22,DS22)=1),1,0)</f>
        <v/>
      </c>
      <c r="DU22" s="55">
        <f>IF(ROW()-3&gt;MAX(DT$4:DT$40),"",INDEX(DS$4:DS$40,MATCH(ROW()-3,DT$4:DT$40,0)))</f>
        <v/>
      </c>
      <c r="DV22" s="55">
        <f>IF('Final Calculation Sheet'!$X$22="","",'Final Calculation Sheet'!$X$22)</f>
        <v/>
      </c>
      <c r="DW22">
        <f>IF(DV22="","",COUNTIFS(DV$4:DV$40,"&lt;"&amp;DV22,DV$4:DV$40,"&lt;&gt;"&amp;"")+COUNTIF(DV$4:DV22,DV22))</f>
        <v/>
      </c>
      <c r="DX22" s="55">
        <f>IF(ROW()-3&gt;COUNTIF(DV$4:DV$40,"&lt;&gt;"&amp;""),"",INDEX(DV$4:DV$40,MATCH(ROW()-3,DW$4:DW$40,0)))</f>
        <v/>
      </c>
      <c r="DY22">
        <f>DY21+IF(AND(DX22&lt;&gt;"",COUNTIF(DX$4:DX22,DX22)=1),1,0)</f>
        <v/>
      </c>
      <c r="DZ22">
        <f>IF(ROW()-3&gt;MAX(DY$4:DY$40),"",INDEX(DX$4:DX$40,MATCH(ROW()-3,DY$4:DY$40,0)))</f>
        <v/>
      </c>
      <c r="EA22">
        <f>IF('Final Calculation Sheet'!$Y$22="","",'Final Calculation Sheet'!$Y$22)</f>
        <v/>
      </c>
      <c r="EB22">
        <f>IF(EA22="","",COUNTIFS(EA$4:EA$40,"&lt;"&amp;EA22,EA$4:EA$40,"&lt;&gt;"&amp;"")+COUNTIF(EA$4:EA22,EA22))</f>
        <v/>
      </c>
      <c r="EC22">
        <f>IF(ROW()-3&gt;COUNTIF(EA$4:EA$40,"&lt;&gt;"&amp;""),"",INDEX(EA$4:EA$40,MATCH(ROW()-3,EB$4:EB$40,0)))</f>
        <v/>
      </c>
      <c r="ED22">
        <f>ED21+IF(AND(EC22&lt;&gt;"",COUNTIF(EC$4:EC22,EC22)=1),1,0)</f>
        <v/>
      </c>
      <c r="EE22">
        <f>IF(ROW()-3&gt;MAX(ED$4:ED$40),"",INDEX(EC$4:EC$40,MATCH(ROW()-3,ED$4:ED$40,0)))</f>
        <v/>
      </c>
      <c r="EF22" s="55">
        <f>IF('Final Calculation Sheet'!$Z$22="","",'Final Calculation Sheet'!$Z$22)</f>
        <v/>
      </c>
      <c r="EG22">
        <f>IF(EF22="","",COUNTIFS(EF$4:EF$40,"&lt;"&amp;EF22,EF$4:EF$40,"&lt;&gt;"&amp;"")+COUNTIF(EF$4:EF22,EF22))</f>
        <v/>
      </c>
      <c r="EH22" s="55">
        <f>IF(ROW()-3&gt;COUNTIF(EF$4:EF$40,"&lt;&gt;"&amp;""),"",INDEX(EF$4:EF$40,MATCH(ROW()-3,EG$4:EG$40,0)))</f>
        <v/>
      </c>
      <c r="EI22">
        <f>EI21+IF(AND(EH22&lt;&gt;"",COUNTIF(EH$4:EH22,EH22)=1),1,0)</f>
        <v/>
      </c>
      <c r="EJ22">
        <f>IF(ROW()-3&gt;MAX(EI$4:EI$40),"",INDEX(EH$4:EH$40,MATCH(ROW()-3,EI$4:EI$40,0)))</f>
        <v/>
      </c>
      <c r="EK22">
        <f>IF('Final Calculation Sheet'!$AA$22="","",'Final Calculation Sheet'!$AA$22)</f>
        <v/>
      </c>
      <c r="EL22">
        <f>IF(EK22="","",COUNTIFS(EK$4:EK$40,"&lt;"&amp;EK22,EK$4:EK$40,"&lt;&gt;"&amp;"")+COUNTIF(EK$4:EK22,EK22))</f>
        <v/>
      </c>
      <c r="EM22">
        <f>IF(ROW()-3&gt;COUNTIF(EK$4:EK$40,"&lt;&gt;"&amp;""),"",INDEX(EK$4:EK$40,MATCH(ROW()-3,EL$4:EL$40,0)))</f>
        <v/>
      </c>
      <c r="EN22">
        <f>EN21+IF(AND(EM22&lt;&gt;"",COUNTIF(EM$4:EM22,EM22)=1),1,0)</f>
        <v/>
      </c>
      <c r="EO22">
        <f>IF(ROW()-3&gt;MAX(EN$4:EN$40),"",INDEX(EM$4:EM$40,MATCH(ROW()-3,EN$4:EN$40,0)))</f>
        <v/>
      </c>
      <c r="EP22">
        <f>IF('Final Calculation Sheet'!$AB$22="","",'Final Calculation Sheet'!$AB$22)</f>
        <v/>
      </c>
      <c r="EQ22">
        <f>IF(EP22="","",COUNTIFS(EP$4:EP$40,"&lt;"&amp;EP22,EP$4:EP$40,"&lt;&gt;"&amp;"")+COUNTIF(EP$4:EP22,EP22))</f>
        <v/>
      </c>
      <c r="ER22">
        <f>IF(ROW()-3&gt;COUNTIF(EP$4:EP$40,"&lt;&gt;"&amp;""),"",INDEX(EP$4:EP$40,MATCH(ROW()-3,EQ$4:EQ$40,0)))</f>
        <v/>
      </c>
      <c r="ES22">
        <f>ES21+IF(AND(ER22&lt;&gt;"",COUNTIF(ER$4:ER22,ER22)=1),1,0)</f>
        <v/>
      </c>
      <c r="ET22">
        <f>IF(ROW()-3&gt;MAX(ES$4:ES$40),"",INDEX(ER$4:ER$40,MATCH(ROW()-3,ES$4:ES$40,0)))</f>
        <v/>
      </c>
      <c r="EU22" s="55">
        <f>IF('Final Calculation Sheet'!$AC$22="","",'Final Calculation Sheet'!$AC$22)</f>
        <v/>
      </c>
      <c r="EV22">
        <f>IF(EU22="","",COUNTIFS(EU$4:EU$40,"&lt;"&amp;EU22,EU$4:EU$40,"&lt;&gt;"&amp;"")+COUNTIF(EU$4:EU22,EU22))</f>
        <v/>
      </c>
      <c r="EW22" s="55">
        <f>IF(ROW()-3&gt;COUNTIF(EU$4:EU$40,"&lt;&gt;"&amp;""),"",INDEX(EU$4:EU$40,MATCH(ROW()-3,EV$4:EV$40,0)))</f>
        <v/>
      </c>
      <c r="EX22">
        <f>EX21+IF(AND(EW22&lt;&gt;"",COUNTIF(EW$4:EW22,EW22)=1),1,0)</f>
        <v/>
      </c>
      <c r="EY22" s="55">
        <f>IF(ROW()-3&gt;MAX(EX$4:EX$40),"",INDEX(EW$4:EW$40,MATCH(ROW()-3,EX$4:EX$40,0)))</f>
        <v/>
      </c>
      <c r="EZ22" s="55">
        <f>IF('Final Calculation Sheet'!$AD$22="","",'Final Calculation Sheet'!$AD$22)</f>
        <v/>
      </c>
      <c r="FA22">
        <f>IF(EZ22="","",COUNTIFS(EZ$4:EZ$40,"&lt;"&amp;EZ22,EZ$4:EZ$40,"&lt;&gt;"&amp;"")+COUNTIF(EZ$4:EZ22,EZ22))</f>
        <v/>
      </c>
      <c r="FB22" s="55">
        <f>IF(ROW()-3&gt;COUNTIF(EZ$4:EZ$40,"&lt;&gt;"&amp;""),"",INDEX(EZ$4:EZ$40,MATCH(ROW()-3,FA$4:FA$40,0)))</f>
        <v/>
      </c>
      <c r="FC22">
        <f>FC21+IF(AND(FB22&lt;&gt;"",COUNTIF(FB$4:FB22,FB22)=1),1,0)</f>
        <v/>
      </c>
      <c r="FD22">
        <f>IF(ROW()-3&gt;MAX(FC$4:FC$40),"",INDEX(FB$4:FB$40,MATCH(ROW()-3,FC$4:FC$40,0)))</f>
        <v/>
      </c>
      <c r="FE22">
        <f>IF('Final Calculation Sheet'!$AF$22="","",'Final Calculation Sheet'!$AF$22)</f>
        <v/>
      </c>
      <c r="FF22">
        <f>IF(FE22="","",COUNTIFS(FE$4:FE$40,"&lt;"&amp;FE22,FE$4:FE$40,"&lt;&gt;"&amp;"")+COUNTIF(FE$4:FE22,FE22))</f>
        <v/>
      </c>
      <c r="FG22">
        <f>IF(ROW()-3&gt;COUNTIF(FE$4:FE$40,"&lt;&gt;"&amp;""),"",INDEX(FE$4:FE$40,MATCH(ROW()-3,FF$4:FF$40,0)))</f>
        <v/>
      </c>
      <c r="FH22">
        <f>FH21+IF(AND(FG22&lt;&gt;"",COUNTIF(FG$4:FG22,FG22)=1),1,0)</f>
        <v/>
      </c>
      <c r="FI22">
        <f>IF(ROW()-3&gt;MAX(FH$4:FH$40),"",INDEX(FG$4:FG$40,MATCH(ROW()-3,FH$4:FH$40,0)))</f>
        <v/>
      </c>
      <c r="FJ22" s="141">
        <f>IF('Final Calculation Sheet'!$AG$22="","",'Final Calculation Sheet'!$AG$22)</f>
        <v/>
      </c>
      <c r="FK22">
        <f>IF(FJ22="","",COUNTIFS(FJ$4:FJ$40,"&lt;"&amp;FJ22,FJ$4:FJ$40,"&lt;&gt;"&amp;"")+COUNTIF(FJ$4:FJ22,FJ22))</f>
        <v/>
      </c>
      <c r="FL22" s="141">
        <f>IF(ROW()-3&gt;COUNTIF(FJ$4:FJ$40,"&lt;&gt;"&amp;""),"",INDEX(FJ$4:FJ$40,MATCH(ROW()-3,FK$4:FK$40,0)))</f>
        <v/>
      </c>
      <c r="FM22">
        <f>FM21+IF(AND(FL22&lt;&gt;"",COUNTIF(FL$4:FL22,FL22)=1),1,0)</f>
        <v/>
      </c>
      <c r="FN22">
        <f>IF(ROW()-3&gt;MAX(FM$4:FM$40),"",INDEX(FL$4:FL$40,MATCH(ROW()-3,FM$4:FM$40,0)))</f>
        <v/>
      </c>
      <c r="FO22">
        <f>IF('Final Calculation Sheet'!$AH$22="","",'Final Calculation Sheet'!$AH$22)</f>
        <v/>
      </c>
      <c r="FP22">
        <f>IF(FO22="","",COUNTIFS(FO$4:FO$40,"&lt;"&amp;FO22,FO$4:FO$40,"&lt;&gt;"&amp;"")+COUNTIF(FO$4:FO22,FO22))</f>
        <v/>
      </c>
      <c r="FQ22">
        <f>IF(ROW()-3&gt;COUNTIF(FO$4:FO$40,"&lt;&gt;"&amp;""),"",INDEX(FO$4:FO$40,MATCH(ROW()-3,FP$4:FP$40,0)))</f>
        <v/>
      </c>
      <c r="FR22">
        <f>FR21+IF(AND(FQ22&lt;&gt;"",COUNTIF(FQ$4:FQ22,FQ22)=1),1,0)</f>
        <v/>
      </c>
      <c r="FS22">
        <f>IF(ROW()-3&gt;MAX(FR$4:FR$40),"",INDEX(FQ$4:FQ$40,MATCH(ROW()-3,FR$4:FR$40,0)))</f>
        <v/>
      </c>
      <c r="FU22">
        <f>IF(FT22="","",COUNTIFS(FT$4:FT$40,"&lt;"&amp;FT22,FT$4:FT$40,"&lt;&gt;"&amp;"")+COUNTIF(FT$4:FT22,FT22))</f>
        <v/>
      </c>
      <c r="FV22">
        <f>IF(ROW()-3&gt;COUNTIF(FT$4:FT$40,"&lt;&gt;"&amp;""),"",INDEX(FT$4:FT$40,MATCH(ROW()-3,FU$4:FU$40,0)))</f>
        <v/>
      </c>
      <c r="FW22">
        <f>FW21+IF(AND(FV22&lt;&gt;"",COUNTIF(FV$4:FV22,FV22)=1),1,0)</f>
        <v/>
      </c>
      <c r="FX22">
        <f>IF(ROW()-3&gt;MAX(FW$4:FW$40),"",INDEX(FV$4:FV$40,MATCH(ROW()-3,FW$4:FW$40,0)))</f>
        <v/>
      </c>
      <c r="FY22">
        <f>IF(COUNTIF('Live Search'!BM$21:BO$21,0)+COUNTIF('Live Search'!BQ$21:CU$21,0)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2">
        <f>IF($Y$22="",FALSE,SUMPRODUCT(('Final Calculation Sheet'!$B$4:$B$40=$Y$22)*($FY$6:$FY$42=1))&gt;0)</f>
        <v/>
      </c>
      <c r="GA22">
        <f>$GA$21+--($FZ$22)</f>
        <v/>
      </c>
      <c r="GB22">
        <f>IF(ROW()-3&gt;MAX($GA$4:$GA$40),"",INDEX($Y$4:$Y$40,MATCH(ROW()-3,$GA$4:$GA$40,0)))</f>
        <v/>
      </c>
      <c r="GC22">
        <f>IF('Final Calculation Sheet'!$F$22="","",IF(TRIM('Final Calculation Sheet'!$G$2)="",'Final Calculation Sheet'!$F$22,IF(TRIM('Final Calculation Sheet'!$G$2)="(nonblank)",IF('Final Calculation Sheet'!$G$22&lt;&gt;"",'Final Calculation Sheet'!$F$22,""),IF(TRIM('Final Calculation Sheet'!$G$2)="(blank)",IF('Final Calculation Sheet'!$G$22="",'Final Calculation Sheet'!$F$22,""),IF(ISNUMBER(SEARCH(TRIM('Final Calculation Sheet'!$G$2),'Final Calculation Sheet'!$G$22)),'Final Calculation Sheet'!$F$22,"")))))</f>
        <v/>
      </c>
      <c r="GD22">
        <f>IF(GC22="","",COUNTIFS(GC$4:GC$40,"&lt;"&amp;GC22,GC$4:GC$40,"&lt;&gt;"&amp;"")+COUNTIF(GC$4:GC22,GC22))</f>
        <v/>
      </c>
      <c r="GE22">
        <f>IF(ROW()-3&gt;COUNTIF(GC$4:GC$40,"&lt;&gt;"&amp;""),"",INDEX(GC$4:GC$40,MATCH(ROW()-3,GD$4:GD$40,0)))</f>
        <v/>
      </c>
      <c r="GF22">
        <f>GF21+IF(AND(GE22&lt;&gt;"",COUNTIF(GE$4:GE22,GE22)=1),1,0)</f>
        <v/>
      </c>
      <c r="GG22">
        <f>IF(ROW()-3&gt;MAX(GF$4:GF$40),"",INDEX(GE$4:GE$40,MATCH(ROW()-3,GF$4:GF$40,0)))</f>
        <v/>
      </c>
      <c r="GH22">
        <f>IF('Final Calculation Sheet'!$F$22="","",IF('Live Search'!$BO$23=1,'Final Calculation Sheet'!$F$22,""))</f>
        <v/>
      </c>
      <c r="GI22">
        <f>IF(GH22="","",COUNTIFS(GH$4:GH$40,"&lt;"&amp;GH22,GH$4:GH$40,"&lt;&gt;"&amp;"")+COUNTIF(GH$4:GH22,GH22))</f>
        <v/>
      </c>
      <c r="GJ22">
        <f>IF(ROW()-3&gt;COUNTIF(GH$4:GH$40,"&lt;&gt;"&amp;""),"",INDEX(GH$4:GH$40,MATCH(ROW()-3,GI$4:GI$40,0)))</f>
        <v/>
      </c>
      <c r="GK22">
        <f>GK21+IF(AND(GJ22&lt;&gt;"",COUNTIF(GJ$4:GJ22,GJ22)=1),1,0)</f>
        <v/>
      </c>
      <c r="GL22">
        <f>IF(ROW()-3&gt;MAX(GK$4:GK$40),"",INDEX(GJ$4:GJ$40,MATCH(ROW()-3,GK$4:GK$40,0)))</f>
        <v/>
      </c>
      <c r="GM22">
        <f>IF('Final Calculation Sheet'!$F$22="","",IF(TRIM('Buyer Groups'!$C$4)="",'Final Calculation Sheet'!$F$22,IF(TRIM('Buyer Groups'!$C$4)="(nonblank)",IF('Final Calculation Sheet'!$G$22&lt;&gt;"",'Final Calculation Sheet'!$F$22,""),IF(TRIM('Buyer Groups'!$C$4)="(blank)",IF('Final Calculation Sheet'!$G$22="",'Final Calculation Sheet'!$F$22,""),IF(ISNUMBER(SEARCH(TRIM('Buyer Groups'!$C$4),'Final Calculation Sheet'!$G$22)),'Final Calculation Sheet'!$F$22,"")))))</f>
        <v/>
      </c>
      <c r="GN22">
        <f>IF(GM22="","",COUNTIFS(GM$4:GM$40,"&lt;"&amp;GM22,GM$4:GM$40,"&lt;&gt;"&amp;"")+COUNTIF(GM$4:GM22,GM22))</f>
        <v/>
      </c>
      <c r="GO22">
        <f>IF(ROW()-3&gt;COUNTIF(GM$4:GM$40,"&lt;&gt;"&amp;""),"",INDEX(GM$4:GM$40,MATCH(ROW()-3,GN$4:GN$40,0)))</f>
        <v/>
      </c>
      <c r="GP22">
        <f>GP21+IF(AND(GO22&lt;&gt;"",COUNTIF(GO$4:GO22,GO22)=1),1,0)</f>
        <v/>
      </c>
      <c r="GQ22">
        <f>IF(ROW()-3&gt;MAX(GP$4:GP$40),"",INDEX(GO$4:GO$40,MATCH(ROW()-3,GP$4:GP$40,0)))</f>
        <v/>
      </c>
      <c r="GR22">
        <f>IF('Final Calculation Sheet'!$B$22="","",IF(TRIM('Final Calculation Sheet'!$G$2)="",'Final Calculation Sheet'!$B$22,IF(TRIM('Final Calculation Sheet'!$G$2)="(nonblank)",IF('Final Calculation Sheet'!$G$22&lt;&gt;"",'Final Calculation Sheet'!$B$22,""),IF(TRIM('Final Calculation Sheet'!$G$2)="(blank)",IF('Final Calculation Sheet'!$G$22="",'Final Calculation Sheet'!$B$22,""),IF(ISNUMBER(SEARCH(TRIM('Final Calculation Sheet'!$G$2),'Final Calculation Sheet'!$G$22)),'Final Calculation Sheet'!$B$22,"")))))</f>
        <v/>
      </c>
      <c r="GS22">
        <f>IF(GR22="","",COUNTIFS(GR$4:GR$40,"&lt;"&amp;GR22,GR$4:GR$40,"&lt;&gt;"&amp;"")+COUNTIF(GR$4:GR22,GR22))</f>
        <v/>
      </c>
      <c r="GT22">
        <f>IF(ROW()-3&gt;COUNTIF(GR$4:GR$40,"&lt;&gt;"&amp;""),"",INDEX(GR$4:GR$40,MATCH(ROW()-3,GS$4:GS$40,0)))</f>
        <v/>
      </c>
      <c r="GU22">
        <f>GU21+IF(AND(GT22&lt;&gt;"",COUNTIF(GT$4:GT22,GT22)=1),1,0)</f>
        <v/>
      </c>
      <c r="GV22">
        <f>IF(ROW()-3&gt;MAX(GU$4:GU$40),"",INDEX(GT$4:GT$40,MATCH(ROW()-3,GU$4:GU$40,0)))</f>
        <v/>
      </c>
      <c r="GW22">
        <f>IF('Final Calculation Sheet'!$B$22="","",IF(TRIM('Buyer Groups'!$C$4)="",'Final Calculation Sheet'!$B$22,IF(TRIM('Buyer Groups'!$C$4)="(nonblank)",IF('Final Calculation Sheet'!$G$22&lt;&gt;"",'Final Calculation Sheet'!$B$22,""),IF(TRIM('Buyer Groups'!$C$4)="(blank)",IF('Final Calculation Sheet'!$G$22="",'Final Calculation Sheet'!$B$22,""),IF(ISNUMBER(SEARCH(TRIM('Buyer Groups'!$C$4),'Final Calculation Sheet'!$G$22)),'Final Calculation Sheet'!$B$22,"")))))</f>
        <v/>
      </c>
      <c r="GX22">
        <f>IF(GW22="","",COUNTIFS(GW$4:GW$40,"&lt;"&amp;GW22,GW$4:GW$40,"&lt;&gt;"&amp;"")+COUNTIF(GW$4:GW22,GW22))</f>
        <v/>
      </c>
      <c r="GY22">
        <f>IF(ROW()-3&gt;COUNTIF(GW$4:GW$40,"&lt;&gt;"&amp;""),"",INDEX(GW$4:GW$40,MATCH(ROW()-3,GX$4:GX$40,0)))</f>
        <v/>
      </c>
      <c r="GZ22">
        <f>GZ21+IF(AND(GY22&lt;&gt;"",COUNTIF(GY$4:GY22,GY22)=1),1,0)</f>
        <v/>
      </c>
      <c r="HA22">
        <f>IF(ROW()-3&gt;MAX(GZ$4:GZ$40),"",INDEX(GY$4:GY$40,MATCH(ROW()-3,GZ$4:GZ$40,0)))</f>
        <v/>
      </c>
    </row>
    <row r="23">
      <c r="A23">
        <f>IF('Final Calculation Sheet'!$F$23="","",'Final Calculation Sheet'!$F$23)</f>
        <v/>
      </c>
      <c r="B23">
        <f>IF(A23="","",COUNTIFS(A$4:A$114,"&lt;"&amp;A23,A$4:A$114,"&lt;&gt;"&amp;"")+COUNTIF(A$4:A23,A23))</f>
        <v/>
      </c>
      <c r="C23">
        <f>IF(ROW()-3&gt;COUNTIF(A$4:A$114,"&lt;&gt;"&amp;""),"",INDEX(A$4:A$114,MATCH(ROW()-3,B$4:B$114,0)))</f>
        <v/>
      </c>
      <c r="D23">
        <f>D22+IF(AND(C23&lt;&gt;"",COUNTIF(C$4:C23,C23)=1),1,0)</f>
        <v/>
      </c>
      <c r="E23">
        <f>IF(ROW()-3&gt;MAX(D$4:D$114),"",INDEX(C$4:C$114,MATCH(ROW()-3,D$4:D$114,0)))</f>
        <v/>
      </c>
      <c r="F23">
        <f>ROW()-3</f>
        <v/>
      </c>
      <c r="G23">
        <f>IF(F23="","",COUNTIFS(F$4:F$40,"&lt;"&amp;F23,F$4:F$40,"&lt;&gt;"&amp;"")+COUNTIF(F$4:F23,F23))</f>
        <v/>
      </c>
      <c r="H23">
        <f>IF(ROW()-3&gt;COUNTIF(F$4:F$40,"&lt;&gt;"&amp;""),"",INDEX(F$4:F$40,MATCH(ROW()-3,G$4:G$40,0)))</f>
        <v/>
      </c>
      <c r="I23">
        <f>I22+IF(AND(H23&lt;&gt;"",COUNTIF(H$4:H23,H23)=1),1,0)</f>
        <v/>
      </c>
      <c r="J23">
        <f>IF(ROW()-3&gt;MAX(I$4:I$40),"",INDEX(H$4:H$40,MATCH(ROW()-3,I$4:I$40,0)))</f>
        <v/>
      </c>
      <c r="K23">
        <f>IF('Final Calculation Sheet'!$F$23="","",'Final Calculation Sheet'!$F$23)</f>
        <v/>
      </c>
      <c r="L23">
        <f>IF(K23="","",COUNTIFS(K$4:K$40,"&lt;"&amp;K23,K$4:K$40,"&lt;&gt;"&amp;"")+COUNTIF(K$4:K23,K23))</f>
        <v/>
      </c>
      <c r="M23">
        <f>IF(ROW()-3&gt;COUNTIF(K$4:K$40,"&lt;&gt;"&amp;""),"",INDEX(K$4:K$40,MATCH(ROW()-3,L$4:L$40,0)))</f>
        <v/>
      </c>
      <c r="N23">
        <f>N22+IF(AND(M23&lt;&gt;"",COUNTIF(M$4:M23,M23)=1),1,0)</f>
        <v/>
      </c>
      <c r="O23">
        <f>IF(ROW()-3&gt;MAX(N$4:N$40),"",INDEX(M$4:M$40,MATCH(ROW()-3,N$4:N$40,0)))</f>
        <v/>
      </c>
      <c r="P23">
        <f>IF('Final Calculation Sheet'!$G$23="","",'Final Calculation Sheet'!$G$23)</f>
        <v/>
      </c>
      <c r="Q23">
        <f>IF(P23="","",COUNTIFS(P$4:P$40,"&lt;"&amp;P23,P$4:P$40,"&lt;&gt;"&amp;"")+COUNTIF(P$4:P23,P23))</f>
        <v/>
      </c>
      <c r="R23">
        <f>IF(ROW()-3&gt;COUNTIF(P$4:P$40,"&lt;&gt;"&amp;""),"",INDEX(P$4:P$40,MATCH(ROW()-3,Q$4:Q$40,0)))</f>
        <v/>
      </c>
      <c r="S23">
        <f>S22+IF(AND(R23&lt;&gt;"",COUNTIF(R$4:R23,R23)=1),1,0)</f>
        <v/>
      </c>
      <c r="T23">
        <f>IF(ROW()-3&gt;MAX(S$4:S$40),"",INDEX(R$4:R$40,MATCH(ROW()-3,S$4:S$40,0)))</f>
        <v/>
      </c>
      <c r="U23">
        <f>IF('Final Calculation Sheet'!$B$23="","",'Final Calculation Sheet'!$B$23)</f>
        <v/>
      </c>
      <c r="V23">
        <f>IF(U23="","",COUNTIFS(U$4:U$40,"&lt;"&amp;U23,U$4:U$40,"&lt;&gt;"&amp;"")+COUNTIF(U$4:U23,U23))</f>
        <v/>
      </c>
      <c r="W23">
        <f>IF(ROW()-3&gt;COUNTIF(U$4:U$40,"&lt;&gt;"&amp;""),"",INDEX(U$4:U$40,MATCH(ROW()-3,V$4:V$40,0)))</f>
        <v/>
      </c>
      <c r="X23">
        <f>X22+IF(AND(W23&lt;&gt;"",COUNTIF(W$4:W23,W23)=1),1,0)</f>
        <v/>
      </c>
      <c r="Y23">
        <f>IF(ROW()-3&gt;MAX(X$4:X$40),"",INDEX(W$4:W$40,MATCH(ROW()-3,X$4:X$40,0)))</f>
        <v/>
      </c>
      <c r="Z23">
        <f>IF('Final Calculation Sheet'!$D$23="","",'Final Calculation Sheet'!$D$23)</f>
        <v/>
      </c>
      <c r="AA23">
        <f>IF(Z23="","",COUNTIFS(Z$4:Z$40,"&lt;"&amp;Z23,Z$4:Z$40,"&lt;&gt;"&amp;"")+COUNTIF(Z$4:Z23,Z23))</f>
        <v/>
      </c>
      <c r="AB23">
        <f>IF(ROW()-3&gt;COUNTIF(Z$4:Z$40,"&lt;&gt;"&amp;""),"",INDEX(Z$4:Z$40,MATCH(ROW()-3,AA$4:AA$40,0)))</f>
        <v/>
      </c>
      <c r="AC23">
        <f>AC22+IF(AND(AB23&lt;&gt;"",COUNTIF(AB$4:AB23,AB23)=1),1,0)</f>
        <v/>
      </c>
      <c r="AD23">
        <f>IF(ROW()-3&gt;MAX(AC$4:AC$40),"",INDEX(AB$4:AB$40,MATCH(ROW()-3,AC$4:AC$40,0)))</f>
        <v/>
      </c>
      <c r="AE23">
        <f>IF('Final Calculation Sheet'!$A$23="","",'Final Calculation Sheet'!$A$23)</f>
        <v/>
      </c>
      <c r="AF23">
        <f>IF(AE23="","",COUNTIFS(AE$4:AE$40,"&lt;"&amp;AE23,AE$4:AE$40,"&lt;&gt;"&amp;"")+COUNTIF(AE$4:AE23,AE23))</f>
        <v/>
      </c>
      <c r="AG23">
        <f>IF(ROW()-3&gt;COUNTIF(AE$4:AE$40,"&lt;&gt;"&amp;""),"",INDEX(AE$4:AE$40,MATCH(ROW()-3,AF$4:AF$40,0)))</f>
        <v/>
      </c>
      <c r="AH23">
        <f>AH22+IF(AND(AG23&lt;&gt;"",COUNTIF(AG$4:AG23,AG23)=1),1,0)</f>
        <v/>
      </c>
      <c r="AI23">
        <f>IF(ROW()-3&gt;MAX(AH$4:AH$40),"",INDEX(AG$4:AG$40,MATCH(ROW()-3,AH$4:AH$40,0)))</f>
        <v/>
      </c>
      <c r="AJ23">
        <f>IF('Final Calculation Sheet'!$E$23="","",'Final Calculation Sheet'!$E$23)</f>
        <v/>
      </c>
      <c r="AK23">
        <f>IF(AJ23="","",COUNTIFS(AJ$4:AJ$40,"&lt;"&amp;AJ23,AJ$4:AJ$40,"&lt;&gt;"&amp;"")+COUNTIF(AJ$4:AJ23,AJ23))</f>
        <v/>
      </c>
      <c r="AL23">
        <f>IF(ROW()-3&gt;COUNTIF(AJ$4:AJ$40,"&lt;&gt;"&amp;""),"",INDEX(AJ$4:AJ$40,MATCH(ROW()-3,AK$4:AK$40,0)))</f>
        <v/>
      </c>
      <c r="AM23">
        <f>AM22+IF(AND(AL23&lt;&gt;"",COUNTIF(AL$4:AL23,AL23)=1),1,0)</f>
        <v/>
      </c>
      <c r="AN23">
        <f>IF(ROW()-3&gt;MAX(AM$4:AM$40),"",INDEX(AL$4:AL$40,MATCH(ROW()-3,AM$4:AM$40,0)))</f>
        <v/>
      </c>
      <c r="AO23" s="55">
        <f>IF('Final Calculation Sheet'!$C$23="","",'Final Calculation Sheet'!$C$23)</f>
        <v/>
      </c>
      <c r="AP23">
        <f>IF(AO23="","",COUNTIFS(AO$4:AO$40,"&lt;"&amp;AO23,AO$4:AO$40,"&lt;&gt;"&amp;"")+COUNTIF(AO$4:AO23,AO23))</f>
        <v/>
      </c>
      <c r="AQ23" s="55">
        <f>IF(ROW()-3&gt;COUNTIF(AO$4:AO$40,"&lt;&gt;"&amp;""),"",INDEX(AO$4:AO$40,MATCH(ROW()-3,AP$4:AP$40,0)))</f>
        <v/>
      </c>
      <c r="AR23">
        <f>AR22+IF(AND(AQ23&lt;&gt;"",COUNTIF(AQ$4:AQ23,AQ23)=1),1,0)</f>
        <v/>
      </c>
      <c r="AS23" s="55">
        <f>IF(ROW()-3&gt;MAX(AR$4:AR$40),"",INDEX(AQ$4:AQ$40,MATCH(ROW()-3,AR$4:AR$40,0)))</f>
        <v/>
      </c>
      <c r="AT23" s="55">
        <f>IF('Final Calculation Sheet'!$H$23="","",'Final Calculation Sheet'!$H$23)</f>
        <v/>
      </c>
      <c r="AU23">
        <f>IF(AT23="","",COUNTIFS(AT$4:AT$40,"&lt;"&amp;AT23,AT$4:AT$40,"&lt;&gt;"&amp;"")+COUNTIF(AT$4:AT23,AT23))</f>
        <v/>
      </c>
      <c r="AV23" s="55">
        <f>IF(ROW()-3&gt;COUNTIF(AT$4:AT$40,"&lt;&gt;"&amp;""),"",INDEX(AT$4:AT$40,MATCH(ROW()-3,AU$4:AU$40,0)))</f>
        <v/>
      </c>
      <c r="AW23">
        <f>AW22+IF(AND(AV23&lt;&gt;"",COUNTIF(AV$4:AV23,AV23)=1),1,0)</f>
        <v/>
      </c>
      <c r="AX23" s="55">
        <f>IF(ROW()-3&gt;MAX(AW$4:AW$40),"",INDEX(AV$4:AV$40,MATCH(ROW()-3,AW$4:AW$40,0)))</f>
        <v/>
      </c>
      <c r="AY23" s="55">
        <f>IF('Final Calculation Sheet'!$I$23="","",'Final Calculation Sheet'!$I$23)</f>
        <v/>
      </c>
      <c r="AZ23">
        <f>IF(AY23="","",COUNTIFS(AY$4:AY$40,"&lt;"&amp;AY23,AY$4:AY$40,"&lt;&gt;"&amp;"")+COUNTIF(AY$4:AY23,AY23))</f>
        <v/>
      </c>
      <c r="BA23" s="55">
        <f>IF(ROW()-3&gt;COUNTIF(AY$4:AY$40,"&lt;&gt;"&amp;""),"",INDEX(AY$4:AY$40,MATCH(ROW()-3,AZ$4:AZ$40,0)))</f>
        <v/>
      </c>
      <c r="BB23">
        <f>BB22+IF(AND(BA23&lt;&gt;"",COUNTIF(BA$4:BA23,BA23)=1),1,0)</f>
        <v/>
      </c>
      <c r="BC23" s="55">
        <f>IF(ROW()-3&gt;MAX(BB$4:BB$40),"",INDEX(BA$4:BA$40,MATCH(ROW()-3,BB$4:BB$40,0)))</f>
        <v/>
      </c>
      <c r="BD23" s="55">
        <f>IF('Final Calculation Sheet'!$J$23="","",'Final Calculation Sheet'!$J$23)</f>
        <v/>
      </c>
      <c r="BE23">
        <f>IF(BD23="","",COUNTIFS(BD$4:BD$40,"&lt;"&amp;BD23,BD$4:BD$40,"&lt;&gt;"&amp;"")+COUNTIF(BD$4:BD23,BD23))</f>
        <v/>
      </c>
      <c r="BF23" s="55">
        <f>IF(ROW()-3&gt;COUNTIF(BD$4:BD$40,"&lt;&gt;"&amp;""),"",INDEX(BD$4:BD$40,MATCH(ROW()-3,BE$4:BE$40,0)))</f>
        <v/>
      </c>
      <c r="BG23">
        <f>BG22+IF(AND(BF23&lt;&gt;"",COUNTIF(BF$4:BF23,BF23)=1),1,0)</f>
        <v/>
      </c>
      <c r="BH23" s="55">
        <f>IF(ROW()-3&gt;MAX(BG$4:BG$40),"",INDEX(BF$4:BF$40,MATCH(ROW()-3,BG$4:BG$40,0)))</f>
        <v/>
      </c>
      <c r="BI23" s="55">
        <f>IF('Final Calculation Sheet'!$K$23="","",'Final Calculation Sheet'!$K$23)</f>
        <v/>
      </c>
      <c r="BJ23">
        <f>IF(BI23="","",COUNTIFS(BI$4:BI$40,"&lt;"&amp;BI23,BI$4:BI$40,"&lt;&gt;"&amp;"")+COUNTIF(BI$4:BI23,BI23))</f>
        <v/>
      </c>
      <c r="BK23" s="55">
        <f>IF(ROW()-3&gt;COUNTIF(BI$4:BI$40,"&lt;&gt;"&amp;""),"",INDEX(BI$4:BI$40,MATCH(ROW()-3,BJ$4:BJ$40,0)))</f>
        <v/>
      </c>
      <c r="BL23">
        <f>BL22+IF(AND(BK23&lt;&gt;"",COUNTIF(BK$4:BK23,BK23)=1),1,0)</f>
        <v/>
      </c>
      <c r="BM23" s="55">
        <f>IF(ROW()-3&gt;MAX(BL$4:BL$40),"",INDEX(BK$4:BK$40,MATCH(ROW()-3,BL$4:BL$40,0)))</f>
        <v/>
      </c>
      <c r="BN23" s="55">
        <f>IF('Final Calculation Sheet'!$L$23="","",'Final Calculation Sheet'!$L$23)</f>
        <v/>
      </c>
      <c r="BO23">
        <f>IF(BN23="","",COUNTIFS(BN$4:BN$40,"&lt;"&amp;BN23,BN$4:BN$40,"&lt;&gt;"&amp;"")+COUNTIF(BN$4:BN23,BN23))</f>
        <v/>
      </c>
      <c r="BP23" s="55">
        <f>IF(ROW()-3&gt;COUNTIF(BN$4:BN$40,"&lt;&gt;"&amp;""),"",INDEX(BN$4:BN$40,MATCH(ROW()-3,BO$4:BO$40,0)))</f>
        <v/>
      </c>
      <c r="BQ23">
        <f>BQ22+IF(AND(BP23&lt;&gt;"",COUNTIF(BP$4:BP23,BP23)=1),1,0)</f>
        <v/>
      </c>
      <c r="BR23" s="55">
        <f>IF(ROW()-3&gt;MAX(BQ$4:BQ$40),"",INDEX(BP$4:BP$40,MATCH(ROW()-3,BQ$4:BQ$40,0)))</f>
        <v/>
      </c>
      <c r="BS23" s="55">
        <f>IF('Final Calculation Sheet'!$M$23="","",'Final Calculation Sheet'!$M$23)</f>
        <v/>
      </c>
      <c r="BT23">
        <f>IF(BS23="","",COUNTIFS(BS$4:BS$40,"&lt;"&amp;BS23,BS$4:BS$40,"&lt;&gt;"&amp;"")+COUNTIF(BS$4:BS23,BS23))</f>
        <v/>
      </c>
      <c r="BU23" s="55">
        <f>IF(ROW()-3&gt;COUNTIF(BS$4:BS$40,"&lt;&gt;"&amp;""),"",INDEX(BS$4:BS$40,MATCH(ROW()-3,BT$4:BT$40,0)))</f>
        <v/>
      </c>
      <c r="BV23">
        <f>BV22+IF(AND(BU23&lt;&gt;"",COUNTIF(BU$4:BU23,BU23)=1),1,0)</f>
        <v/>
      </c>
      <c r="BW23" s="55">
        <f>IF(ROW()-3&gt;MAX(BV$4:BV$40),"",INDEX(BU$4:BU$40,MATCH(ROW()-3,BV$4:BV$40,0)))</f>
        <v/>
      </c>
      <c r="BX23" s="138">
        <f>IF('Final Calculation Sheet'!$N$23="","",'Final Calculation Sheet'!$N$23)</f>
        <v/>
      </c>
      <c r="BY23">
        <f>IF(BX23="","",COUNTIFS(BX$4:BX$40,"&lt;"&amp;BX23,BX$4:BX$40,"&lt;&gt;"&amp;"")+COUNTIF(BX$4:BX23,BX23))</f>
        <v/>
      </c>
      <c r="BZ23" s="138">
        <f>IF(ROW()-3&gt;COUNTIF(BX$4:BX$40,"&lt;&gt;"&amp;""),"",INDEX(BX$4:BX$40,MATCH(ROW()-3,BY$4:BY$40,0)))</f>
        <v/>
      </c>
      <c r="CA23">
        <f>CA22+IF(AND(BZ23&lt;&gt;"",COUNTIF(BZ$4:BZ23,BZ23)=1),1,0)</f>
        <v/>
      </c>
      <c r="CB23" s="138">
        <f>IF(ROW()-3&gt;MAX(CA$4:CA$40),"",INDEX(BZ$4:BZ$40,MATCH(ROW()-3,CA$4:CA$40,0)))</f>
        <v/>
      </c>
      <c r="CC23" s="55">
        <f>IF('Final Calculation Sheet'!$O$23="","",'Final Calculation Sheet'!$O$23)</f>
        <v/>
      </c>
      <c r="CD23">
        <f>IF(CC23="","",COUNTIFS(CC$4:CC$40,"&lt;"&amp;CC23,CC$4:CC$40,"&lt;&gt;"&amp;"")+COUNTIF(CC$4:CC23,CC23))</f>
        <v/>
      </c>
      <c r="CE23" s="55">
        <f>IF(ROW()-3&gt;COUNTIF(CC$4:CC$40,"&lt;&gt;"&amp;""),"",INDEX(CC$4:CC$40,MATCH(ROW()-3,CD$4:CD$40,0)))</f>
        <v/>
      </c>
      <c r="CF23">
        <f>CF22+IF(AND(CE23&lt;&gt;"",COUNTIF(CE$4:CE23,CE23)=1),1,0)</f>
        <v/>
      </c>
      <c r="CG23" s="55">
        <f>IF(ROW()-3&gt;MAX(CF$4:CF$40),"",INDEX(CE$4:CE$40,MATCH(ROW()-3,CF$4:CF$40,0)))</f>
        <v/>
      </c>
      <c r="CH23" s="55">
        <f>IF('Final Calculation Sheet'!$P$23="","",'Final Calculation Sheet'!$P$23)</f>
        <v/>
      </c>
      <c r="CI23">
        <f>IF(CH23="","",COUNTIFS(CH$4:CH$40,"&lt;"&amp;CH23,CH$4:CH$40,"&lt;&gt;"&amp;"")+COUNTIF(CH$4:CH23,CH23))</f>
        <v/>
      </c>
      <c r="CJ23" s="55">
        <f>IF(ROW()-3&gt;COUNTIF(CH$4:CH$40,"&lt;&gt;"&amp;""),"",INDEX(CH$4:CH$40,MATCH(ROW()-3,CI$4:CI$40,0)))</f>
        <v/>
      </c>
      <c r="CK23">
        <f>CK22+IF(AND(CJ23&lt;&gt;"",COUNTIF(CJ$4:CJ23,CJ23)=1),1,0)</f>
        <v/>
      </c>
      <c r="CL23" s="55">
        <f>IF(ROW()-3&gt;MAX(CK$4:CK$40),"",INDEX(CJ$4:CJ$40,MATCH(ROW()-3,CK$4:CK$40,0)))</f>
        <v/>
      </c>
      <c r="CM23" s="139">
        <f>IF('Final Calculation Sheet'!$Q$23="","",'Final Calculation Sheet'!$Q$23)</f>
        <v/>
      </c>
      <c r="CN23">
        <f>IF(CM23="","",COUNTIFS(CM$4:CM$40,"&lt;"&amp;CM23,CM$4:CM$40,"&lt;&gt;"&amp;"")+COUNTIF(CM$4:CM23,CM23))</f>
        <v/>
      </c>
      <c r="CO23" s="139">
        <f>IF(ROW()-3&gt;COUNTIF(CM$4:CM$40,"&lt;&gt;"&amp;""),"",INDEX(CM$4:CM$40,MATCH(ROW()-3,CN$4:CN$40,0)))</f>
        <v/>
      </c>
      <c r="CP23">
        <f>CP22+IF(AND(CO23&lt;&gt;"",COUNTIF(CO$4:CO23,CO23)=1),1,0)</f>
        <v/>
      </c>
      <c r="CQ23">
        <f>IF(ROW()-3&gt;MAX(CP$4:CP$40),"",INDEX(CO$4:CO$40,MATCH(ROW()-3,CP$4:CP$40,0)))</f>
        <v/>
      </c>
      <c r="CR23" s="55">
        <f>IF('Final Calculation Sheet'!$R$23="","",'Final Calculation Sheet'!$R$23)</f>
        <v/>
      </c>
      <c r="CS23">
        <f>IF(CR23="","",COUNTIFS(CR$4:CR$40,"&lt;"&amp;CR23,CR$4:CR$40,"&lt;&gt;"&amp;"")+COUNTIF(CR$4:CR23,CR23))</f>
        <v/>
      </c>
      <c r="CT23" s="55">
        <f>IF(ROW()-3&gt;COUNTIF(CR$4:CR$40,"&lt;&gt;"&amp;""),"",INDEX(CR$4:CR$40,MATCH(ROW()-3,CS$4:CS$40,0)))</f>
        <v/>
      </c>
      <c r="CU23">
        <f>CU22+IF(AND(CT23&lt;&gt;"",COUNTIF(CT$4:CT23,CT23)=1),1,0)</f>
        <v/>
      </c>
      <c r="CV23">
        <f>IF(ROW()-3&gt;MAX(CU$4:CU$40),"",INDEX(CT$4:CT$40,MATCH(ROW()-3,CU$4:CU$40,0)))</f>
        <v/>
      </c>
      <c r="CW23" s="55">
        <f>IF('Final Calculation Sheet'!$S$23="","",'Final Calculation Sheet'!$S$23)</f>
        <v/>
      </c>
      <c r="CX23">
        <f>IF(CW23="","",COUNTIFS(CW$4:CW$40,"&lt;"&amp;CW23,CW$4:CW$40,"&lt;&gt;"&amp;"")+COUNTIF(CW$4:CW23,CW23))</f>
        <v/>
      </c>
      <c r="CY23" s="55">
        <f>IF(ROW()-3&gt;COUNTIF(CW$4:CW$40,"&lt;&gt;"&amp;""),"",INDEX(CW$4:CW$40,MATCH(ROW()-3,CX$4:CX$40,0)))</f>
        <v/>
      </c>
      <c r="CZ23">
        <f>CZ22+IF(AND(CY23&lt;&gt;"",COUNTIF(CY$4:CY23,CY23)=1),1,0)</f>
        <v/>
      </c>
      <c r="DA23" s="55">
        <f>IF(ROW()-3&gt;MAX(CZ$4:CZ$40),"",INDEX(CY$4:CY$40,MATCH(ROW()-3,CZ$4:CZ$40,0)))</f>
        <v/>
      </c>
      <c r="DB23" s="55">
        <f>IF('Final Calculation Sheet'!$T$23="","",'Final Calculation Sheet'!$T$23)</f>
        <v/>
      </c>
      <c r="DC23">
        <f>IF(DB23="","",COUNTIFS(DB$4:DB$40,"&lt;"&amp;DB23,DB$4:DB$40,"&lt;&gt;"&amp;"")+COUNTIF(DB$4:DB23,DB23))</f>
        <v/>
      </c>
      <c r="DD23" s="55">
        <f>IF(ROW()-3&gt;COUNTIF(DB$4:DB$40,"&lt;&gt;"&amp;""),"",INDEX(DB$4:DB$40,MATCH(ROW()-3,DC$4:DC$40,0)))</f>
        <v/>
      </c>
      <c r="DE23">
        <f>DE22+IF(AND(DD23&lt;&gt;"",COUNTIF(DD$4:DD23,DD23)=1),1,0)</f>
        <v/>
      </c>
      <c r="DF23" s="55">
        <f>IF(ROW()-3&gt;MAX(DE$4:DE$40),"",INDEX(DD$4:DD$40,MATCH(ROW()-3,DE$4:DE$40,0)))</f>
        <v/>
      </c>
      <c r="DG23" s="140">
        <f>IF('Final Calculation Sheet'!$U$23="","",'Final Calculation Sheet'!$U$23)</f>
        <v/>
      </c>
      <c r="DH23">
        <f>IF(DG23="","",COUNTIFS(DG$4:DG$40,"&lt;"&amp;DG23,DG$4:DG$40,"&lt;&gt;"&amp;"")+COUNTIF(DG$4:DG23,DG23))</f>
        <v/>
      </c>
      <c r="DI23" s="140">
        <f>IF(ROW()-3&gt;COUNTIF(DG$4:DG$40,"&lt;&gt;"&amp;""),"",INDEX(DG$4:DG$40,MATCH(ROW()-3,DH$4:DH$40,0)))</f>
        <v/>
      </c>
      <c r="DJ23">
        <f>DJ22+IF(AND(DI23&lt;&gt;"",COUNTIF(DI$4:DI23,DI23)=1),1,0)</f>
        <v/>
      </c>
      <c r="DK23" s="140">
        <f>IF(ROW()-3&gt;MAX(DJ$4:DJ$40),"",INDEX(DI$4:DI$40,MATCH(ROW()-3,DJ$4:DJ$40,0)))</f>
        <v/>
      </c>
      <c r="DL23">
        <f>IF('Final Calculation Sheet'!$V$23="","",'Final Calculation Sheet'!$V$23)</f>
        <v/>
      </c>
      <c r="DM23">
        <f>IF(DL23="","",COUNTIFS(DL$4:DL$40,"&lt;"&amp;DL23,DL$4:DL$40,"&lt;&gt;"&amp;"")+COUNTIF(DL$4:DL23,DL23))</f>
        <v/>
      </c>
      <c r="DN23">
        <f>IF(ROW()-3&gt;COUNTIF(DL$4:DL$40,"&lt;&gt;"&amp;""),"",INDEX(DL$4:DL$40,MATCH(ROW()-3,DM$4:DM$40,0)))</f>
        <v/>
      </c>
      <c r="DO23">
        <f>DO22+IF(AND(DN23&lt;&gt;"",COUNTIF(DN$4:DN23,DN23)=1),1,0)</f>
        <v/>
      </c>
      <c r="DP23">
        <f>IF(ROW()-3&gt;MAX(DO$4:DO$40),"",INDEX(DN$4:DN$40,MATCH(ROW()-3,DO$4:DO$40,0)))</f>
        <v/>
      </c>
      <c r="DQ23" s="55">
        <f>IF('Final Calculation Sheet'!$W$23="","",'Final Calculation Sheet'!$W$23)</f>
        <v/>
      </c>
      <c r="DR23">
        <f>IF(DQ23="","",COUNTIFS(DQ$4:DQ$40,"&lt;"&amp;DQ23,DQ$4:DQ$40,"&lt;&gt;"&amp;"")+COUNTIF(DQ$4:DQ23,DQ23))</f>
        <v/>
      </c>
      <c r="DS23" s="55">
        <f>IF(ROW()-3&gt;COUNTIF(DQ$4:DQ$40,"&lt;&gt;"&amp;""),"",INDEX(DQ$4:DQ$40,MATCH(ROW()-3,DR$4:DR$40,0)))</f>
        <v/>
      </c>
      <c r="DT23">
        <f>DT22+IF(AND(DS23&lt;&gt;"",COUNTIF(DS$4:DS23,DS23)=1),1,0)</f>
        <v/>
      </c>
      <c r="DU23" s="55">
        <f>IF(ROW()-3&gt;MAX(DT$4:DT$40),"",INDEX(DS$4:DS$40,MATCH(ROW()-3,DT$4:DT$40,0)))</f>
        <v/>
      </c>
      <c r="DV23" s="55">
        <f>IF('Final Calculation Sheet'!$X$23="","",'Final Calculation Sheet'!$X$23)</f>
        <v/>
      </c>
      <c r="DW23">
        <f>IF(DV23="","",COUNTIFS(DV$4:DV$40,"&lt;"&amp;DV23,DV$4:DV$40,"&lt;&gt;"&amp;"")+COUNTIF(DV$4:DV23,DV23))</f>
        <v/>
      </c>
      <c r="DX23" s="55">
        <f>IF(ROW()-3&gt;COUNTIF(DV$4:DV$40,"&lt;&gt;"&amp;""),"",INDEX(DV$4:DV$40,MATCH(ROW()-3,DW$4:DW$40,0)))</f>
        <v/>
      </c>
      <c r="DY23">
        <f>DY22+IF(AND(DX23&lt;&gt;"",COUNTIF(DX$4:DX23,DX23)=1),1,0)</f>
        <v/>
      </c>
      <c r="DZ23">
        <f>IF(ROW()-3&gt;MAX(DY$4:DY$40),"",INDEX(DX$4:DX$40,MATCH(ROW()-3,DY$4:DY$40,0)))</f>
        <v/>
      </c>
      <c r="EA23">
        <f>IF('Final Calculation Sheet'!$Y$23="","",'Final Calculation Sheet'!$Y$23)</f>
        <v/>
      </c>
      <c r="EB23">
        <f>IF(EA23="","",COUNTIFS(EA$4:EA$40,"&lt;"&amp;EA23,EA$4:EA$40,"&lt;&gt;"&amp;"")+COUNTIF(EA$4:EA23,EA23))</f>
        <v/>
      </c>
      <c r="EC23">
        <f>IF(ROW()-3&gt;COUNTIF(EA$4:EA$40,"&lt;&gt;"&amp;""),"",INDEX(EA$4:EA$40,MATCH(ROW()-3,EB$4:EB$40,0)))</f>
        <v/>
      </c>
      <c r="ED23">
        <f>ED22+IF(AND(EC23&lt;&gt;"",COUNTIF(EC$4:EC23,EC23)=1),1,0)</f>
        <v/>
      </c>
      <c r="EE23">
        <f>IF(ROW()-3&gt;MAX(ED$4:ED$40),"",INDEX(EC$4:EC$40,MATCH(ROW()-3,ED$4:ED$40,0)))</f>
        <v/>
      </c>
      <c r="EF23" s="55">
        <f>IF('Final Calculation Sheet'!$Z$23="","",'Final Calculation Sheet'!$Z$23)</f>
        <v/>
      </c>
      <c r="EG23">
        <f>IF(EF23="","",COUNTIFS(EF$4:EF$40,"&lt;"&amp;EF23,EF$4:EF$40,"&lt;&gt;"&amp;"")+COUNTIF(EF$4:EF23,EF23))</f>
        <v/>
      </c>
      <c r="EH23" s="55">
        <f>IF(ROW()-3&gt;COUNTIF(EF$4:EF$40,"&lt;&gt;"&amp;""),"",INDEX(EF$4:EF$40,MATCH(ROW()-3,EG$4:EG$40,0)))</f>
        <v/>
      </c>
      <c r="EI23">
        <f>EI22+IF(AND(EH23&lt;&gt;"",COUNTIF(EH$4:EH23,EH23)=1),1,0)</f>
        <v/>
      </c>
      <c r="EJ23">
        <f>IF(ROW()-3&gt;MAX(EI$4:EI$40),"",INDEX(EH$4:EH$40,MATCH(ROW()-3,EI$4:EI$40,0)))</f>
        <v/>
      </c>
      <c r="EK23">
        <f>IF('Final Calculation Sheet'!$AA$23="","",'Final Calculation Sheet'!$AA$23)</f>
        <v/>
      </c>
      <c r="EL23">
        <f>IF(EK23="","",COUNTIFS(EK$4:EK$40,"&lt;"&amp;EK23,EK$4:EK$40,"&lt;&gt;"&amp;"")+COUNTIF(EK$4:EK23,EK23))</f>
        <v/>
      </c>
      <c r="EM23">
        <f>IF(ROW()-3&gt;COUNTIF(EK$4:EK$40,"&lt;&gt;"&amp;""),"",INDEX(EK$4:EK$40,MATCH(ROW()-3,EL$4:EL$40,0)))</f>
        <v/>
      </c>
      <c r="EN23">
        <f>EN22+IF(AND(EM23&lt;&gt;"",COUNTIF(EM$4:EM23,EM23)=1),1,0)</f>
        <v/>
      </c>
      <c r="EO23">
        <f>IF(ROW()-3&gt;MAX(EN$4:EN$40),"",INDEX(EM$4:EM$40,MATCH(ROW()-3,EN$4:EN$40,0)))</f>
        <v/>
      </c>
      <c r="EP23">
        <f>IF('Final Calculation Sheet'!$AB$23="","",'Final Calculation Sheet'!$AB$23)</f>
        <v/>
      </c>
      <c r="EQ23">
        <f>IF(EP23="","",COUNTIFS(EP$4:EP$40,"&lt;"&amp;EP23,EP$4:EP$40,"&lt;&gt;"&amp;"")+COUNTIF(EP$4:EP23,EP23))</f>
        <v/>
      </c>
      <c r="ER23">
        <f>IF(ROW()-3&gt;COUNTIF(EP$4:EP$40,"&lt;&gt;"&amp;""),"",INDEX(EP$4:EP$40,MATCH(ROW()-3,EQ$4:EQ$40,0)))</f>
        <v/>
      </c>
      <c r="ES23">
        <f>ES22+IF(AND(ER23&lt;&gt;"",COUNTIF(ER$4:ER23,ER23)=1),1,0)</f>
        <v/>
      </c>
      <c r="ET23">
        <f>IF(ROW()-3&gt;MAX(ES$4:ES$40),"",INDEX(ER$4:ER$40,MATCH(ROW()-3,ES$4:ES$40,0)))</f>
        <v/>
      </c>
      <c r="EU23" s="55">
        <f>IF('Final Calculation Sheet'!$AC$23="","",'Final Calculation Sheet'!$AC$23)</f>
        <v/>
      </c>
      <c r="EV23">
        <f>IF(EU23="","",COUNTIFS(EU$4:EU$40,"&lt;"&amp;EU23,EU$4:EU$40,"&lt;&gt;"&amp;"")+COUNTIF(EU$4:EU23,EU23))</f>
        <v/>
      </c>
      <c r="EW23" s="55">
        <f>IF(ROW()-3&gt;COUNTIF(EU$4:EU$40,"&lt;&gt;"&amp;""),"",INDEX(EU$4:EU$40,MATCH(ROW()-3,EV$4:EV$40,0)))</f>
        <v/>
      </c>
      <c r="EX23">
        <f>EX22+IF(AND(EW23&lt;&gt;"",COUNTIF(EW$4:EW23,EW23)=1),1,0)</f>
        <v/>
      </c>
      <c r="EY23" s="55">
        <f>IF(ROW()-3&gt;MAX(EX$4:EX$40),"",INDEX(EW$4:EW$40,MATCH(ROW()-3,EX$4:EX$40,0)))</f>
        <v/>
      </c>
      <c r="EZ23" s="55">
        <f>IF('Final Calculation Sheet'!$AD$23="","",'Final Calculation Sheet'!$AD$23)</f>
        <v/>
      </c>
      <c r="FA23">
        <f>IF(EZ23="","",COUNTIFS(EZ$4:EZ$40,"&lt;"&amp;EZ23,EZ$4:EZ$40,"&lt;&gt;"&amp;"")+COUNTIF(EZ$4:EZ23,EZ23))</f>
        <v/>
      </c>
      <c r="FB23" s="55">
        <f>IF(ROW()-3&gt;COUNTIF(EZ$4:EZ$40,"&lt;&gt;"&amp;""),"",INDEX(EZ$4:EZ$40,MATCH(ROW()-3,FA$4:FA$40,0)))</f>
        <v/>
      </c>
      <c r="FC23">
        <f>FC22+IF(AND(FB23&lt;&gt;"",COUNTIF(FB$4:FB23,FB23)=1),1,0)</f>
        <v/>
      </c>
      <c r="FD23">
        <f>IF(ROW()-3&gt;MAX(FC$4:FC$40),"",INDEX(FB$4:FB$40,MATCH(ROW()-3,FC$4:FC$40,0)))</f>
        <v/>
      </c>
      <c r="FE23">
        <f>IF('Final Calculation Sheet'!$AF$23="","",'Final Calculation Sheet'!$AF$23)</f>
        <v/>
      </c>
      <c r="FF23">
        <f>IF(FE23="","",COUNTIFS(FE$4:FE$40,"&lt;"&amp;FE23,FE$4:FE$40,"&lt;&gt;"&amp;"")+COUNTIF(FE$4:FE23,FE23))</f>
        <v/>
      </c>
      <c r="FG23">
        <f>IF(ROW()-3&gt;COUNTIF(FE$4:FE$40,"&lt;&gt;"&amp;""),"",INDEX(FE$4:FE$40,MATCH(ROW()-3,FF$4:FF$40,0)))</f>
        <v/>
      </c>
      <c r="FH23">
        <f>FH22+IF(AND(FG23&lt;&gt;"",COUNTIF(FG$4:FG23,FG23)=1),1,0)</f>
        <v/>
      </c>
      <c r="FI23">
        <f>IF(ROW()-3&gt;MAX(FH$4:FH$40),"",INDEX(FG$4:FG$40,MATCH(ROW()-3,FH$4:FH$40,0)))</f>
        <v/>
      </c>
      <c r="FJ23" s="141">
        <f>IF('Final Calculation Sheet'!$AG$23="","",'Final Calculation Sheet'!$AG$23)</f>
        <v/>
      </c>
      <c r="FK23">
        <f>IF(FJ23="","",COUNTIFS(FJ$4:FJ$40,"&lt;"&amp;FJ23,FJ$4:FJ$40,"&lt;&gt;"&amp;"")+COUNTIF(FJ$4:FJ23,FJ23))</f>
        <v/>
      </c>
      <c r="FL23" s="141">
        <f>IF(ROW()-3&gt;COUNTIF(FJ$4:FJ$40,"&lt;&gt;"&amp;""),"",INDEX(FJ$4:FJ$40,MATCH(ROW()-3,FK$4:FK$40,0)))</f>
        <v/>
      </c>
      <c r="FM23">
        <f>FM22+IF(AND(FL23&lt;&gt;"",COUNTIF(FL$4:FL23,FL23)=1),1,0)</f>
        <v/>
      </c>
      <c r="FN23">
        <f>IF(ROW()-3&gt;MAX(FM$4:FM$40),"",INDEX(FL$4:FL$40,MATCH(ROW()-3,FM$4:FM$40,0)))</f>
        <v/>
      </c>
      <c r="FO23">
        <f>IF('Final Calculation Sheet'!$AH$23="","",'Final Calculation Sheet'!$AH$23)</f>
        <v/>
      </c>
      <c r="FP23">
        <f>IF(FO23="","",COUNTIFS(FO$4:FO$40,"&lt;"&amp;FO23,FO$4:FO$40,"&lt;&gt;"&amp;"")+COUNTIF(FO$4:FO23,FO23))</f>
        <v/>
      </c>
      <c r="FQ23">
        <f>IF(ROW()-3&gt;COUNTIF(FO$4:FO$40,"&lt;&gt;"&amp;""),"",INDEX(FO$4:FO$40,MATCH(ROW()-3,FP$4:FP$40,0)))</f>
        <v/>
      </c>
      <c r="FR23">
        <f>FR22+IF(AND(FQ23&lt;&gt;"",COUNTIF(FQ$4:FQ23,FQ23)=1),1,0)</f>
        <v/>
      </c>
      <c r="FS23">
        <f>IF(ROW()-3&gt;MAX(FR$4:FR$40),"",INDEX(FQ$4:FQ$40,MATCH(ROW()-3,FR$4:FR$40,0)))</f>
        <v/>
      </c>
      <c r="FU23">
        <f>IF(FT23="","",COUNTIFS(FT$4:FT$40,"&lt;"&amp;FT23,FT$4:FT$40,"&lt;&gt;"&amp;"")+COUNTIF(FT$4:FT23,FT23))</f>
        <v/>
      </c>
      <c r="FV23">
        <f>IF(ROW()-3&gt;COUNTIF(FT$4:FT$40,"&lt;&gt;"&amp;""),"",INDEX(FT$4:FT$40,MATCH(ROW()-3,FU$4:FU$40,0)))</f>
        <v/>
      </c>
      <c r="FW23">
        <f>FW22+IF(AND(FV23&lt;&gt;"",COUNTIF(FV$4:FV23,FV23)=1),1,0)</f>
        <v/>
      </c>
      <c r="FX23">
        <f>IF(ROW()-3&gt;MAX(FW$4:FW$40),"",INDEX(FV$4:FV$40,MATCH(ROW()-3,FW$4:FW$40,0)))</f>
        <v/>
      </c>
      <c r="FY23">
        <f>IF(COUNTIF('Live Search'!BM$22:BO$22,0)+COUNTIF('Live Search'!BQ$22:CU$22,0)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3">
        <f>IF($Y$23="",FALSE,SUMPRODUCT(('Final Calculation Sheet'!$B$4:$B$40=$Y$23)*($FY$6:$FY$42=1))&gt;0)</f>
        <v/>
      </c>
      <c r="GA23">
        <f>$GA$22+--($FZ$23)</f>
        <v/>
      </c>
      <c r="GB23">
        <f>IF(ROW()-3&gt;MAX($GA$4:$GA$40),"",INDEX($Y$4:$Y$40,MATCH(ROW()-3,$GA$4:$GA$40,0)))</f>
        <v/>
      </c>
      <c r="GC23">
        <f>IF('Final Calculation Sheet'!$F$23="","",IF(TRIM('Final Calculation Sheet'!$G$2)="",'Final Calculation Sheet'!$F$23,IF(TRIM('Final Calculation Sheet'!$G$2)="(nonblank)",IF('Final Calculation Sheet'!$G$23&lt;&gt;"",'Final Calculation Sheet'!$F$23,""),IF(TRIM('Final Calculation Sheet'!$G$2)="(blank)",IF('Final Calculation Sheet'!$G$23="",'Final Calculation Sheet'!$F$23,""),IF(ISNUMBER(SEARCH(TRIM('Final Calculation Sheet'!$G$2),'Final Calculation Sheet'!$G$23)),'Final Calculation Sheet'!$F$23,"")))))</f>
        <v/>
      </c>
      <c r="GD23">
        <f>IF(GC23="","",COUNTIFS(GC$4:GC$40,"&lt;"&amp;GC23,GC$4:GC$40,"&lt;&gt;"&amp;"")+COUNTIF(GC$4:GC23,GC23))</f>
        <v/>
      </c>
      <c r="GE23">
        <f>IF(ROW()-3&gt;COUNTIF(GC$4:GC$40,"&lt;&gt;"&amp;""),"",INDEX(GC$4:GC$40,MATCH(ROW()-3,GD$4:GD$40,0)))</f>
        <v/>
      </c>
      <c r="GF23">
        <f>GF22+IF(AND(GE23&lt;&gt;"",COUNTIF(GE$4:GE23,GE23)=1),1,0)</f>
        <v/>
      </c>
      <c r="GG23">
        <f>IF(ROW()-3&gt;MAX(GF$4:GF$40),"",INDEX(GE$4:GE$40,MATCH(ROW()-3,GF$4:GF$40,0)))</f>
        <v/>
      </c>
      <c r="GH23">
        <f>IF('Final Calculation Sheet'!$F$23="","",IF('Live Search'!$BO$24=1,'Final Calculation Sheet'!$F$23,""))</f>
        <v/>
      </c>
      <c r="GI23">
        <f>IF(GH23="","",COUNTIFS(GH$4:GH$40,"&lt;"&amp;GH23,GH$4:GH$40,"&lt;&gt;"&amp;"")+COUNTIF(GH$4:GH23,GH23))</f>
        <v/>
      </c>
      <c r="GJ23">
        <f>IF(ROW()-3&gt;COUNTIF(GH$4:GH$40,"&lt;&gt;"&amp;""),"",INDEX(GH$4:GH$40,MATCH(ROW()-3,GI$4:GI$40,0)))</f>
        <v/>
      </c>
      <c r="GK23">
        <f>GK22+IF(AND(GJ23&lt;&gt;"",COUNTIF(GJ$4:GJ23,GJ23)=1),1,0)</f>
        <v/>
      </c>
      <c r="GL23">
        <f>IF(ROW()-3&gt;MAX(GK$4:GK$40),"",INDEX(GJ$4:GJ$40,MATCH(ROW()-3,GK$4:GK$40,0)))</f>
        <v/>
      </c>
      <c r="GM23">
        <f>IF('Final Calculation Sheet'!$F$23="","",IF(TRIM('Buyer Groups'!$C$4)="",'Final Calculation Sheet'!$F$23,IF(TRIM('Buyer Groups'!$C$4)="(nonblank)",IF('Final Calculation Sheet'!$G$23&lt;&gt;"",'Final Calculation Sheet'!$F$23,""),IF(TRIM('Buyer Groups'!$C$4)="(blank)",IF('Final Calculation Sheet'!$G$23="",'Final Calculation Sheet'!$F$23,""),IF(ISNUMBER(SEARCH(TRIM('Buyer Groups'!$C$4),'Final Calculation Sheet'!$G$23)),'Final Calculation Sheet'!$F$23,"")))))</f>
        <v/>
      </c>
      <c r="GN23">
        <f>IF(GM23="","",COUNTIFS(GM$4:GM$40,"&lt;"&amp;GM23,GM$4:GM$40,"&lt;&gt;"&amp;"")+COUNTIF(GM$4:GM23,GM23))</f>
        <v/>
      </c>
      <c r="GO23">
        <f>IF(ROW()-3&gt;COUNTIF(GM$4:GM$40,"&lt;&gt;"&amp;""),"",INDEX(GM$4:GM$40,MATCH(ROW()-3,GN$4:GN$40,0)))</f>
        <v/>
      </c>
      <c r="GP23">
        <f>GP22+IF(AND(GO23&lt;&gt;"",COUNTIF(GO$4:GO23,GO23)=1),1,0)</f>
        <v/>
      </c>
      <c r="GQ23">
        <f>IF(ROW()-3&gt;MAX(GP$4:GP$40),"",INDEX(GO$4:GO$40,MATCH(ROW()-3,GP$4:GP$40,0)))</f>
        <v/>
      </c>
      <c r="GR23">
        <f>IF('Final Calculation Sheet'!$B$23="","",IF(TRIM('Final Calculation Sheet'!$G$2)="",'Final Calculation Sheet'!$B$23,IF(TRIM('Final Calculation Sheet'!$G$2)="(nonblank)",IF('Final Calculation Sheet'!$G$23&lt;&gt;"",'Final Calculation Sheet'!$B$23,""),IF(TRIM('Final Calculation Sheet'!$G$2)="(blank)",IF('Final Calculation Sheet'!$G$23="",'Final Calculation Sheet'!$B$23,""),IF(ISNUMBER(SEARCH(TRIM('Final Calculation Sheet'!$G$2),'Final Calculation Sheet'!$G$23)),'Final Calculation Sheet'!$B$23,"")))))</f>
        <v/>
      </c>
      <c r="GS23">
        <f>IF(GR23="","",COUNTIFS(GR$4:GR$40,"&lt;"&amp;GR23,GR$4:GR$40,"&lt;&gt;"&amp;"")+COUNTIF(GR$4:GR23,GR23))</f>
        <v/>
      </c>
      <c r="GT23">
        <f>IF(ROW()-3&gt;COUNTIF(GR$4:GR$40,"&lt;&gt;"&amp;""),"",INDEX(GR$4:GR$40,MATCH(ROW()-3,GS$4:GS$40,0)))</f>
        <v/>
      </c>
      <c r="GU23">
        <f>GU22+IF(AND(GT23&lt;&gt;"",COUNTIF(GT$4:GT23,GT23)=1),1,0)</f>
        <v/>
      </c>
      <c r="GV23">
        <f>IF(ROW()-3&gt;MAX(GU$4:GU$40),"",INDEX(GT$4:GT$40,MATCH(ROW()-3,GU$4:GU$40,0)))</f>
        <v/>
      </c>
      <c r="GW23">
        <f>IF('Final Calculation Sheet'!$B$23="","",IF(TRIM('Buyer Groups'!$C$4)="",'Final Calculation Sheet'!$B$23,IF(TRIM('Buyer Groups'!$C$4)="(nonblank)",IF('Final Calculation Sheet'!$G$23&lt;&gt;"",'Final Calculation Sheet'!$B$23,""),IF(TRIM('Buyer Groups'!$C$4)="(blank)",IF('Final Calculation Sheet'!$G$23="",'Final Calculation Sheet'!$B$23,""),IF(ISNUMBER(SEARCH(TRIM('Buyer Groups'!$C$4),'Final Calculation Sheet'!$G$23)),'Final Calculation Sheet'!$B$23,"")))))</f>
        <v/>
      </c>
      <c r="GX23">
        <f>IF(GW23="","",COUNTIFS(GW$4:GW$40,"&lt;"&amp;GW23,GW$4:GW$40,"&lt;&gt;"&amp;"")+COUNTIF(GW$4:GW23,GW23))</f>
        <v/>
      </c>
      <c r="GY23">
        <f>IF(ROW()-3&gt;COUNTIF(GW$4:GW$40,"&lt;&gt;"&amp;""),"",INDEX(GW$4:GW$40,MATCH(ROW()-3,GX$4:GX$40,0)))</f>
        <v/>
      </c>
      <c r="GZ23">
        <f>GZ22+IF(AND(GY23&lt;&gt;"",COUNTIF(GY$4:GY23,GY23)=1),1,0)</f>
        <v/>
      </c>
      <c r="HA23">
        <f>IF(ROW()-3&gt;MAX(GZ$4:GZ$40),"",INDEX(GY$4:GY$40,MATCH(ROW()-3,GZ$4:GZ$40,0)))</f>
        <v/>
      </c>
    </row>
    <row r="24">
      <c r="A24">
        <f>IF('Final Calculation Sheet'!$F$24="","",'Final Calculation Sheet'!$F$24)</f>
        <v/>
      </c>
      <c r="B24">
        <f>IF(A24="","",COUNTIFS(A$4:A$114,"&lt;"&amp;A24,A$4:A$114,"&lt;&gt;"&amp;"")+COUNTIF(A$4:A24,A24))</f>
        <v/>
      </c>
      <c r="C24">
        <f>IF(ROW()-3&gt;COUNTIF(A$4:A$114,"&lt;&gt;"&amp;""),"",INDEX(A$4:A$114,MATCH(ROW()-3,B$4:B$114,0)))</f>
        <v/>
      </c>
      <c r="D24">
        <f>D23+IF(AND(C24&lt;&gt;"",COUNTIF(C$4:C24,C24)=1),1,0)</f>
        <v/>
      </c>
      <c r="E24">
        <f>IF(ROW()-3&gt;MAX(D$4:D$114),"",INDEX(C$4:C$114,MATCH(ROW()-3,D$4:D$114,0)))</f>
        <v/>
      </c>
      <c r="F24">
        <f>ROW()-3</f>
        <v/>
      </c>
      <c r="G24">
        <f>IF(F24="","",COUNTIFS(F$4:F$40,"&lt;"&amp;F24,F$4:F$40,"&lt;&gt;"&amp;"")+COUNTIF(F$4:F24,F24))</f>
        <v/>
      </c>
      <c r="H24">
        <f>IF(ROW()-3&gt;COUNTIF(F$4:F$40,"&lt;&gt;"&amp;""),"",INDEX(F$4:F$40,MATCH(ROW()-3,G$4:G$40,0)))</f>
        <v/>
      </c>
      <c r="I24">
        <f>I23+IF(AND(H24&lt;&gt;"",COUNTIF(H$4:H24,H24)=1),1,0)</f>
        <v/>
      </c>
      <c r="J24">
        <f>IF(ROW()-3&gt;MAX(I$4:I$40),"",INDEX(H$4:H$40,MATCH(ROW()-3,I$4:I$40,0)))</f>
        <v/>
      </c>
      <c r="K24">
        <f>IF('Final Calculation Sheet'!$F$24="","",'Final Calculation Sheet'!$F$24)</f>
        <v/>
      </c>
      <c r="L24">
        <f>IF(K24="","",COUNTIFS(K$4:K$40,"&lt;"&amp;K24,K$4:K$40,"&lt;&gt;"&amp;"")+COUNTIF(K$4:K24,K24))</f>
        <v/>
      </c>
      <c r="M24">
        <f>IF(ROW()-3&gt;COUNTIF(K$4:K$40,"&lt;&gt;"&amp;""),"",INDEX(K$4:K$40,MATCH(ROW()-3,L$4:L$40,0)))</f>
        <v/>
      </c>
      <c r="N24">
        <f>N23+IF(AND(M24&lt;&gt;"",COUNTIF(M$4:M24,M24)=1),1,0)</f>
        <v/>
      </c>
      <c r="O24">
        <f>IF(ROW()-3&gt;MAX(N$4:N$40),"",INDEX(M$4:M$40,MATCH(ROW()-3,N$4:N$40,0)))</f>
        <v/>
      </c>
      <c r="P24">
        <f>IF('Final Calculation Sheet'!$G$24="","",'Final Calculation Sheet'!$G$24)</f>
        <v/>
      </c>
      <c r="Q24">
        <f>IF(P24="","",COUNTIFS(P$4:P$40,"&lt;"&amp;P24,P$4:P$40,"&lt;&gt;"&amp;"")+COUNTIF(P$4:P24,P24))</f>
        <v/>
      </c>
      <c r="R24">
        <f>IF(ROW()-3&gt;COUNTIF(P$4:P$40,"&lt;&gt;"&amp;""),"",INDEX(P$4:P$40,MATCH(ROW()-3,Q$4:Q$40,0)))</f>
        <v/>
      </c>
      <c r="S24">
        <f>S23+IF(AND(R24&lt;&gt;"",COUNTIF(R$4:R24,R24)=1),1,0)</f>
        <v/>
      </c>
      <c r="T24">
        <f>IF(ROW()-3&gt;MAX(S$4:S$40),"",INDEX(R$4:R$40,MATCH(ROW()-3,S$4:S$40,0)))</f>
        <v/>
      </c>
      <c r="U24">
        <f>IF('Final Calculation Sheet'!$B$24="","",'Final Calculation Sheet'!$B$24)</f>
        <v/>
      </c>
      <c r="V24">
        <f>IF(U24="","",COUNTIFS(U$4:U$40,"&lt;"&amp;U24,U$4:U$40,"&lt;&gt;"&amp;"")+COUNTIF(U$4:U24,U24))</f>
        <v/>
      </c>
      <c r="W24">
        <f>IF(ROW()-3&gt;COUNTIF(U$4:U$40,"&lt;&gt;"&amp;""),"",INDEX(U$4:U$40,MATCH(ROW()-3,V$4:V$40,0)))</f>
        <v/>
      </c>
      <c r="X24">
        <f>X23+IF(AND(W24&lt;&gt;"",COUNTIF(W$4:W24,W24)=1),1,0)</f>
        <v/>
      </c>
      <c r="Y24">
        <f>IF(ROW()-3&gt;MAX(X$4:X$40),"",INDEX(W$4:W$40,MATCH(ROW()-3,X$4:X$40,0)))</f>
        <v/>
      </c>
      <c r="Z24">
        <f>IF('Final Calculation Sheet'!$D$24="","",'Final Calculation Sheet'!$D$24)</f>
        <v/>
      </c>
      <c r="AA24">
        <f>IF(Z24="","",COUNTIFS(Z$4:Z$40,"&lt;"&amp;Z24,Z$4:Z$40,"&lt;&gt;"&amp;"")+COUNTIF(Z$4:Z24,Z24))</f>
        <v/>
      </c>
      <c r="AB24">
        <f>IF(ROW()-3&gt;COUNTIF(Z$4:Z$40,"&lt;&gt;"&amp;""),"",INDEX(Z$4:Z$40,MATCH(ROW()-3,AA$4:AA$40,0)))</f>
        <v/>
      </c>
      <c r="AC24">
        <f>AC23+IF(AND(AB24&lt;&gt;"",COUNTIF(AB$4:AB24,AB24)=1),1,0)</f>
        <v/>
      </c>
      <c r="AD24">
        <f>IF(ROW()-3&gt;MAX(AC$4:AC$40),"",INDEX(AB$4:AB$40,MATCH(ROW()-3,AC$4:AC$40,0)))</f>
        <v/>
      </c>
      <c r="AE24">
        <f>IF('Final Calculation Sheet'!$A$24="","",'Final Calculation Sheet'!$A$24)</f>
        <v/>
      </c>
      <c r="AF24">
        <f>IF(AE24="","",COUNTIFS(AE$4:AE$40,"&lt;"&amp;AE24,AE$4:AE$40,"&lt;&gt;"&amp;"")+COUNTIF(AE$4:AE24,AE24))</f>
        <v/>
      </c>
      <c r="AG24">
        <f>IF(ROW()-3&gt;COUNTIF(AE$4:AE$40,"&lt;&gt;"&amp;""),"",INDEX(AE$4:AE$40,MATCH(ROW()-3,AF$4:AF$40,0)))</f>
        <v/>
      </c>
      <c r="AH24">
        <f>AH23+IF(AND(AG24&lt;&gt;"",COUNTIF(AG$4:AG24,AG24)=1),1,0)</f>
        <v/>
      </c>
      <c r="AI24">
        <f>IF(ROW()-3&gt;MAX(AH$4:AH$40),"",INDEX(AG$4:AG$40,MATCH(ROW()-3,AH$4:AH$40,0)))</f>
        <v/>
      </c>
      <c r="AJ24">
        <f>IF('Final Calculation Sheet'!$E$24="","",'Final Calculation Sheet'!$E$24)</f>
        <v/>
      </c>
      <c r="AK24">
        <f>IF(AJ24="","",COUNTIFS(AJ$4:AJ$40,"&lt;"&amp;AJ24,AJ$4:AJ$40,"&lt;&gt;"&amp;"")+COUNTIF(AJ$4:AJ24,AJ24))</f>
        <v/>
      </c>
      <c r="AL24">
        <f>IF(ROW()-3&gt;COUNTIF(AJ$4:AJ$40,"&lt;&gt;"&amp;""),"",INDEX(AJ$4:AJ$40,MATCH(ROW()-3,AK$4:AK$40,0)))</f>
        <v/>
      </c>
      <c r="AM24">
        <f>AM23+IF(AND(AL24&lt;&gt;"",COUNTIF(AL$4:AL24,AL24)=1),1,0)</f>
        <v/>
      </c>
      <c r="AN24">
        <f>IF(ROW()-3&gt;MAX(AM$4:AM$40),"",INDEX(AL$4:AL$40,MATCH(ROW()-3,AM$4:AM$40,0)))</f>
        <v/>
      </c>
      <c r="AO24" s="55">
        <f>IF('Final Calculation Sheet'!$C$24="","",'Final Calculation Sheet'!$C$24)</f>
        <v/>
      </c>
      <c r="AP24">
        <f>IF(AO24="","",COUNTIFS(AO$4:AO$40,"&lt;"&amp;AO24,AO$4:AO$40,"&lt;&gt;"&amp;"")+COUNTIF(AO$4:AO24,AO24))</f>
        <v/>
      </c>
      <c r="AQ24" s="55">
        <f>IF(ROW()-3&gt;COUNTIF(AO$4:AO$40,"&lt;&gt;"&amp;""),"",INDEX(AO$4:AO$40,MATCH(ROW()-3,AP$4:AP$40,0)))</f>
        <v/>
      </c>
      <c r="AR24">
        <f>AR23+IF(AND(AQ24&lt;&gt;"",COUNTIF(AQ$4:AQ24,AQ24)=1),1,0)</f>
        <v/>
      </c>
      <c r="AS24" s="55">
        <f>IF(ROW()-3&gt;MAX(AR$4:AR$40),"",INDEX(AQ$4:AQ$40,MATCH(ROW()-3,AR$4:AR$40,0)))</f>
        <v/>
      </c>
      <c r="AT24" s="55">
        <f>IF('Final Calculation Sheet'!$H$24="","",'Final Calculation Sheet'!$H$24)</f>
        <v/>
      </c>
      <c r="AU24">
        <f>IF(AT24="","",COUNTIFS(AT$4:AT$40,"&lt;"&amp;AT24,AT$4:AT$40,"&lt;&gt;"&amp;"")+COUNTIF(AT$4:AT24,AT24))</f>
        <v/>
      </c>
      <c r="AV24" s="55">
        <f>IF(ROW()-3&gt;COUNTIF(AT$4:AT$40,"&lt;&gt;"&amp;""),"",INDEX(AT$4:AT$40,MATCH(ROW()-3,AU$4:AU$40,0)))</f>
        <v/>
      </c>
      <c r="AW24">
        <f>AW23+IF(AND(AV24&lt;&gt;"",COUNTIF(AV$4:AV24,AV24)=1),1,0)</f>
        <v/>
      </c>
      <c r="AX24" s="55">
        <f>IF(ROW()-3&gt;MAX(AW$4:AW$40),"",INDEX(AV$4:AV$40,MATCH(ROW()-3,AW$4:AW$40,0)))</f>
        <v/>
      </c>
      <c r="AY24" s="55">
        <f>IF('Final Calculation Sheet'!$I$24="","",'Final Calculation Sheet'!$I$24)</f>
        <v/>
      </c>
      <c r="AZ24">
        <f>IF(AY24="","",COUNTIFS(AY$4:AY$40,"&lt;"&amp;AY24,AY$4:AY$40,"&lt;&gt;"&amp;"")+COUNTIF(AY$4:AY24,AY24))</f>
        <v/>
      </c>
      <c r="BA24" s="55">
        <f>IF(ROW()-3&gt;COUNTIF(AY$4:AY$40,"&lt;&gt;"&amp;""),"",INDEX(AY$4:AY$40,MATCH(ROW()-3,AZ$4:AZ$40,0)))</f>
        <v/>
      </c>
      <c r="BB24">
        <f>BB23+IF(AND(BA24&lt;&gt;"",COUNTIF(BA$4:BA24,BA24)=1),1,0)</f>
        <v/>
      </c>
      <c r="BC24" s="55">
        <f>IF(ROW()-3&gt;MAX(BB$4:BB$40),"",INDEX(BA$4:BA$40,MATCH(ROW()-3,BB$4:BB$40,0)))</f>
        <v/>
      </c>
      <c r="BD24" s="55">
        <f>IF('Final Calculation Sheet'!$J$24="","",'Final Calculation Sheet'!$J$24)</f>
        <v/>
      </c>
      <c r="BE24">
        <f>IF(BD24="","",COUNTIFS(BD$4:BD$40,"&lt;"&amp;BD24,BD$4:BD$40,"&lt;&gt;"&amp;"")+COUNTIF(BD$4:BD24,BD24))</f>
        <v/>
      </c>
      <c r="BF24" s="55">
        <f>IF(ROW()-3&gt;COUNTIF(BD$4:BD$40,"&lt;&gt;"&amp;""),"",INDEX(BD$4:BD$40,MATCH(ROW()-3,BE$4:BE$40,0)))</f>
        <v/>
      </c>
      <c r="BG24">
        <f>BG23+IF(AND(BF24&lt;&gt;"",COUNTIF(BF$4:BF24,BF24)=1),1,0)</f>
        <v/>
      </c>
      <c r="BH24" s="55">
        <f>IF(ROW()-3&gt;MAX(BG$4:BG$40),"",INDEX(BF$4:BF$40,MATCH(ROW()-3,BG$4:BG$40,0)))</f>
        <v/>
      </c>
      <c r="BI24" s="55">
        <f>IF('Final Calculation Sheet'!$K$24="","",'Final Calculation Sheet'!$K$24)</f>
        <v/>
      </c>
      <c r="BJ24">
        <f>IF(BI24="","",COUNTIFS(BI$4:BI$40,"&lt;"&amp;BI24,BI$4:BI$40,"&lt;&gt;"&amp;"")+COUNTIF(BI$4:BI24,BI24))</f>
        <v/>
      </c>
      <c r="BK24" s="55">
        <f>IF(ROW()-3&gt;COUNTIF(BI$4:BI$40,"&lt;&gt;"&amp;""),"",INDEX(BI$4:BI$40,MATCH(ROW()-3,BJ$4:BJ$40,0)))</f>
        <v/>
      </c>
      <c r="BL24">
        <f>BL23+IF(AND(BK24&lt;&gt;"",COUNTIF(BK$4:BK24,BK24)=1),1,0)</f>
        <v/>
      </c>
      <c r="BM24" s="55">
        <f>IF(ROW()-3&gt;MAX(BL$4:BL$40),"",INDEX(BK$4:BK$40,MATCH(ROW()-3,BL$4:BL$40,0)))</f>
        <v/>
      </c>
      <c r="BN24" s="55">
        <f>IF('Final Calculation Sheet'!$L$24="","",'Final Calculation Sheet'!$L$24)</f>
        <v/>
      </c>
      <c r="BO24">
        <f>IF(BN24="","",COUNTIFS(BN$4:BN$40,"&lt;"&amp;BN24,BN$4:BN$40,"&lt;&gt;"&amp;"")+COUNTIF(BN$4:BN24,BN24))</f>
        <v/>
      </c>
      <c r="BP24" s="55">
        <f>IF(ROW()-3&gt;COUNTIF(BN$4:BN$40,"&lt;&gt;"&amp;""),"",INDEX(BN$4:BN$40,MATCH(ROW()-3,BO$4:BO$40,0)))</f>
        <v/>
      </c>
      <c r="BQ24">
        <f>BQ23+IF(AND(BP24&lt;&gt;"",COUNTIF(BP$4:BP24,BP24)=1),1,0)</f>
        <v/>
      </c>
      <c r="BR24" s="55">
        <f>IF(ROW()-3&gt;MAX(BQ$4:BQ$40),"",INDEX(BP$4:BP$40,MATCH(ROW()-3,BQ$4:BQ$40,0)))</f>
        <v/>
      </c>
      <c r="BS24" s="55">
        <f>IF('Final Calculation Sheet'!$M$24="","",'Final Calculation Sheet'!$M$24)</f>
        <v/>
      </c>
      <c r="BT24">
        <f>IF(BS24="","",COUNTIFS(BS$4:BS$40,"&lt;"&amp;BS24,BS$4:BS$40,"&lt;&gt;"&amp;"")+COUNTIF(BS$4:BS24,BS24))</f>
        <v/>
      </c>
      <c r="BU24" s="55">
        <f>IF(ROW()-3&gt;COUNTIF(BS$4:BS$40,"&lt;&gt;"&amp;""),"",INDEX(BS$4:BS$40,MATCH(ROW()-3,BT$4:BT$40,0)))</f>
        <v/>
      </c>
      <c r="BV24">
        <f>BV23+IF(AND(BU24&lt;&gt;"",COUNTIF(BU$4:BU24,BU24)=1),1,0)</f>
        <v/>
      </c>
      <c r="BW24" s="55">
        <f>IF(ROW()-3&gt;MAX(BV$4:BV$40),"",INDEX(BU$4:BU$40,MATCH(ROW()-3,BV$4:BV$40,0)))</f>
        <v/>
      </c>
      <c r="BX24" s="138">
        <f>IF('Final Calculation Sheet'!$N$24="","",'Final Calculation Sheet'!$N$24)</f>
        <v/>
      </c>
      <c r="BY24">
        <f>IF(BX24="","",COUNTIFS(BX$4:BX$40,"&lt;"&amp;BX24,BX$4:BX$40,"&lt;&gt;"&amp;"")+COUNTIF(BX$4:BX24,BX24))</f>
        <v/>
      </c>
      <c r="BZ24" s="138">
        <f>IF(ROW()-3&gt;COUNTIF(BX$4:BX$40,"&lt;&gt;"&amp;""),"",INDEX(BX$4:BX$40,MATCH(ROW()-3,BY$4:BY$40,0)))</f>
        <v/>
      </c>
      <c r="CA24">
        <f>CA23+IF(AND(BZ24&lt;&gt;"",COUNTIF(BZ$4:BZ24,BZ24)=1),1,0)</f>
        <v/>
      </c>
      <c r="CB24" s="138">
        <f>IF(ROW()-3&gt;MAX(CA$4:CA$40),"",INDEX(BZ$4:BZ$40,MATCH(ROW()-3,CA$4:CA$40,0)))</f>
        <v/>
      </c>
      <c r="CC24" s="55">
        <f>IF('Final Calculation Sheet'!$O$24="","",'Final Calculation Sheet'!$O$24)</f>
        <v/>
      </c>
      <c r="CD24">
        <f>IF(CC24="","",COUNTIFS(CC$4:CC$40,"&lt;"&amp;CC24,CC$4:CC$40,"&lt;&gt;"&amp;"")+COUNTIF(CC$4:CC24,CC24))</f>
        <v/>
      </c>
      <c r="CE24" s="55">
        <f>IF(ROW()-3&gt;COUNTIF(CC$4:CC$40,"&lt;&gt;"&amp;""),"",INDEX(CC$4:CC$40,MATCH(ROW()-3,CD$4:CD$40,0)))</f>
        <v/>
      </c>
      <c r="CF24">
        <f>CF23+IF(AND(CE24&lt;&gt;"",COUNTIF(CE$4:CE24,CE24)=1),1,0)</f>
        <v/>
      </c>
      <c r="CG24" s="55">
        <f>IF(ROW()-3&gt;MAX(CF$4:CF$40),"",INDEX(CE$4:CE$40,MATCH(ROW()-3,CF$4:CF$40,0)))</f>
        <v/>
      </c>
      <c r="CH24" s="55">
        <f>IF('Final Calculation Sheet'!$P$24="","",'Final Calculation Sheet'!$P$24)</f>
        <v/>
      </c>
      <c r="CI24">
        <f>IF(CH24="","",COUNTIFS(CH$4:CH$40,"&lt;"&amp;CH24,CH$4:CH$40,"&lt;&gt;"&amp;"")+COUNTIF(CH$4:CH24,CH24))</f>
        <v/>
      </c>
      <c r="CJ24" s="55">
        <f>IF(ROW()-3&gt;COUNTIF(CH$4:CH$40,"&lt;&gt;"&amp;""),"",INDEX(CH$4:CH$40,MATCH(ROW()-3,CI$4:CI$40,0)))</f>
        <v/>
      </c>
      <c r="CK24">
        <f>CK23+IF(AND(CJ24&lt;&gt;"",COUNTIF(CJ$4:CJ24,CJ24)=1),1,0)</f>
        <v/>
      </c>
      <c r="CL24" s="55">
        <f>IF(ROW()-3&gt;MAX(CK$4:CK$40),"",INDEX(CJ$4:CJ$40,MATCH(ROW()-3,CK$4:CK$40,0)))</f>
        <v/>
      </c>
      <c r="CM24" s="139">
        <f>IF('Final Calculation Sheet'!$Q$24="","",'Final Calculation Sheet'!$Q$24)</f>
        <v/>
      </c>
      <c r="CN24">
        <f>IF(CM24="","",COUNTIFS(CM$4:CM$40,"&lt;"&amp;CM24,CM$4:CM$40,"&lt;&gt;"&amp;"")+COUNTIF(CM$4:CM24,CM24))</f>
        <v/>
      </c>
      <c r="CO24" s="139">
        <f>IF(ROW()-3&gt;COUNTIF(CM$4:CM$40,"&lt;&gt;"&amp;""),"",INDEX(CM$4:CM$40,MATCH(ROW()-3,CN$4:CN$40,0)))</f>
        <v/>
      </c>
      <c r="CP24">
        <f>CP23+IF(AND(CO24&lt;&gt;"",COUNTIF(CO$4:CO24,CO24)=1),1,0)</f>
        <v/>
      </c>
      <c r="CQ24">
        <f>IF(ROW()-3&gt;MAX(CP$4:CP$40),"",INDEX(CO$4:CO$40,MATCH(ROW()-3,CP$4:CP$40,0)))</f>
        <v/>
      </c>
      <c r="CR24" s="55">
        <f>IF('Final Calculation Sheet'!$R$24="","",'Final Calculation Sheet'!$R$24)</f>
        <v/>
      </c>
      <c r="CS24">
        <f>IF(CR24="","",COUNTIFS(CR$4:CR$40,"&lt;"&amp;CR24,CR$4:CR$40,"&lt;&gt;"&amp;"")+COUNTIF(CR$4:CR24,CR24))</f>
        <v/>
      </c>
      <c r="CT24" s="55">
        <f>IF(ROW()-3&gt;COUNTIF(CR$4:CR$40,"&lt;&gt;"&amp;""),"",INDEX(CR$4:CR$40,MATCH(ROW()-3,CS$4:CS$40,0)))</f>
        <v/>
      </c>
      <c r="CU24">
        <f>CU23+IF(AND(CT24&lt;&gt;"",COUNTIF(CT$4:CT24,CT24)=1),1,0)</f>
        <v/>
      </c>
      <c r="CV24">
        <f>IF(ROW()-3&gt;MAX(CU$4:CU$40),"",INDEX(CT$4:CT$40,MATCH(ROW()-3,CU$4:CU$40,0)))</f>
        <v/>
      </c>
      <c r="CW24" s="55">
        <f>IF('Final Calculation Sheet'!$S$24="","",'Final Calculation Sheet'!$S$24)</f>
        <v/>
      </c>
      <c r="CX24">
        <f>IF(CW24="","",COUNTIFS(CW$4:CW$40,"&lt;"&amp;CW24,CW$4:CW$40,"&lt;&gt;"&amp;"")+COUNTIF(CW$4:CW24,CW24))</f>
        <v/>
      </c>
      <c r="CY24" s="55">
        <f>IF(ROW()-3&gt;COUNTIF(CW$4:CW$40,"&lt;&gt;"&amp;""),"",INDEX(CW$4:CW$40,MATCH(ROW()-3,CX$4:CX$40,0)))</f>
        <v/>
      </c>
      <c r="CZ24">
        <f>CZ23+IF(AND(CY24&lt;&gt;"",COUNTIF(CY$4:CY24,CY24)=1),1,0)</f>
        <v/>
      </c>
      <c r="DA24" s="55">
        <f>IF(ROW()-3&gt;MAX(CZ$4:CZ$40),"",INDEX(CY$4:CY$40,MATCH(ROW()-3,CZ$4:CZ$40,0)))</f>
        <v/>
      </c>
      <c r="DB24" s="55">
        <f>IF('Final Calculation Sheet'!$T$24="","",'Final Calculation Sheet'!$T$24)</f>
        <v/>
      </c>
      <c r="DC24">
        <f>IF(DB24="","",COUNTIFS(DB$4:DB$40,"&lt;"&amp;DB24,DB$4:DB$40,"&lt;&gt;"&amp;"")+COUNTIF(DB$4:DB24,DB24))</f>
        <v/>
      </c>
      <c r="DD24" s="55">
        <f>IF(ROW()-3&gt;COUNTIF(DB$4:DB$40,"&lt;&gt;"&amp;""),"",INDEX(DB$4:DB$40,MATCH(ROW()-3,DC$4:DC$40,0)))</f>
        <v/>
      </c>
      <c r="DE24">
        <f>DE23+IF(AND(DD24&lt;&gt;"",COUNTIF(DD$4:DD24,DD24)=1),1,0)</f>
        <v/>
      </c>
      <c r="DF24" s="55">
        <f>IF(ROW()-3&gt;MAX(DE$4:DE$40),"",INDEX(DD$4:DD$40,MATCH(ROW()-3,DE$4:DE$40,0)))</f>
        <v/>
      </c>
      <c r="DG24" s="140">
        <f>IF('Final Calculation Sheet'!$U$24="","",'Final Calculation Sheet'!$U$24)</f>
        <v/>
      </c>
      <c r="DH24">
        <f>IF(DG24="","",COUNTIFS(DG$4:DG$40,"&lt;"&amp;DG24,DG$4:DG$40,"&lt;&gt;"&amp;"")+COUNTIF(DG$4:DG24,DG24))</f>
        <v/>
      </c>
      <c r="DI24" s="140">
        <f>IF(ROW()-3&gt;COUNTIF(DG$4:DG$40,"&lt;&gt;"&amp;""),"",INDEX(DG$4:DG$40,MATCH(ROW()-3,DH$4:DH$40,0)))</f>
        <v/>
      </c>
      <c r="DJ24">
        <f>DJ23+IF(AND(DI24&lt;&gt;"",COUNTIF(DI$4:DI24,DI24)=1),1,0)</f>
        <v/>
      </c>
      <c r="DK24" s="140">
        <f>IF(ROW()-3&gt;MAX(DJ$4:DJ$40),"",INDEX(DI$4:DI$40,MATCH(ROW()-3,DJ$4:DJ$40,0)))</f>
        <v/>
      </c>
      <c r="DL24">
        <f>IF('Final Calculation Sheet'!$V$24="","",'Final Calculation Sheet'!$V$24)</f>
        <v/>
      </c>
      <c r="DM24">
        <f>IF(DL24="","",COUNTIFS(DL$4:DL$40,"&lt;"&amp;DL24,DL$4:DL$40,"&lt;&gt;"&amp;"")+COUNTIF(DL$4:DL24,DL24))</f>
        <v/>
      </c>
      <c r="DN24">
        <f>IF(ROW()-3&gt;COUNTIF(DL$4:DL$40,"&lt;&gt;"&amp;""),"",INDEX(DL$4:DL$40,MATCH(ROW()-3,DM$4:DM$40,0)))</f>
        <v/>
      </c>
      <c r="DO24">
        <f>DO23+IF(AND(DN24&lt;&gt;"",COUNTIF(DN$4:DN24,DN24)=1),1,0)</f>
        <v/>
      </c>
      <c r="DP24">
        <f>IF(ROW()-3&gt;MAX(DO$4:DO$40),"",INDEX(DN$4:DN$40,MATCH(ROW()-3,DO$4:DO$40,0)))</f>
        <v/>
      </c>
      <c r="DQ24" s="55">
        <f>IF('Final Calculation Sheet'!$W$24="","",'Final Calculation Sheet'!$W$24)</f>
        <v/>
      </c>
      <c r="DR24">
        <f>IF(DQ24="","",COUNTIFS(DQ$4:DQ$40,"&lt;"&amp;DQ24,DQ$4:DQ$40,"&lt;&gt;"&amp;"")+COUNTIF(DQ$4:DQ24,DQ24))</f>
        <v/>
      </c>
      <c r="DS24" s="55">
        <f>IF(ROW()-3&gt;COUNTIF(DQ$4:DQ$40,"&lt;&gt;"&amp;""),"",INDEX(DQ$4:DQ$40,MATCH(ROW()-3,DR$4:DR$40,0)))</f>
        <v/>
      </c>
      <c r="DT24">
        <f>DT23+IF(AND(DS24&lt;&gt;"",COUNTIF(DS$4:DS24,DS24)=1),1,0)</f>
        <v/>
      </c>
      <c r="DU24" s="55">
        <f>IF(ROW()-3&gt;MAX(DT$4:DT$40),"",INDEX(DS$4:DS$40,MATCH(ROW()-3,DT$4:DT$40,0)))</f>
        <v/>
      </c>
      <c r="DV24" s="55">
        <f>IF('Final Calculation Sheet'!$X$24="","",'Final Calculation Sheet'!$X$24)</f>
        <v/>
      </c>
      <c r="DW24">
        <f>IF(DV24="","",COUNTIFS(DV$4:DV$40,"&lt;"&amp;DV24,DV$4:DV$40,"&lt;&gt;"&amp;"")+COUNTIF(DV$4:DV24,DV24))</f>
        <v/>
      </c>
      <c r="DX24" s="55">
        <f>IF(ROW()-3&gt;COUNTIF(DV$4:DV$40,"&lt;&gt;"&amp;""),"",INDEX(DV$4:DV$40,MATCH(ROW()-3,DW$4:DW$40,0)))</f>
        <v/>
      </c>
      <c r="DY24">
        <f>DY23+IF(AND(DX24&lt;&gt;"",COUNTIF(DX$4:DX24,DX24)=1),1,0)</f>
        <v/>
      </c>
      <c r="DZ24">
        <f>IF(ROW()-3&gt;MAX(DY$4:DY$40),"",INDEX(DX$4:DX$40,MATCH(ROW()-3,DY$4:DY$40,0)))</f>
        <v/>
      </c>
      <c r="EA24">
        <f>IF('Final Calculation Sheet'!$Y$24="","",'Final Calculation Sheet'!$Y$24)</f>
        <v/>
      </c>
      <c r="EB24">
        <f>IF(EA24="","",COUNTIFS(EA$4:EA$40,"&lt;"&amp;EA24,EA$4:EA$40,"&lt;&gt;"&amp;"")+COUNTIF(EA$4:EA24,EA24))</f>
        <v/>
      </c>
      <c r="EC24">
        <f>IF(ROW()-3&gt;COUNTIF(EA$4:EA$40,"&lt;&gt;"&amp;""),"",INDEX(EA$4:EA$40,MATCH(ROW()-3,EB$4:EB$40,0)))</f>
        <v/>
      </c>
      <c r="ED24">
        <f>ED23+IF(AND(EC24&lt;&gt;"",COUNTIF(EC$4:EC24,EC24)=1),1,0)</f>
        <v/>
      </c>
      <c r="EE24">
        <f>IF(ROW()-3&gt;MAX(ED$4:ED$40),"",INDEX(EC$4:EC$40,MATCH(ROW()-3,ED$4:ED$40,0)))</f>
        <v/>
      </c>
      <c r="EF24" s="55">
        <f>IF('Final Calculation Sheet'!$Z$24="","",'Final Calculation Sheet'!$Z$24)</f>
        <v/>
      </c>
      <c r="EG24">
        <f>IF(EF24="","",COUNTIFS(EF$4:EF$40,"&lt;"&amp;EF24,EF$4:EF$40,"&lt;&gt;"&amp;"")+COUNTIF(EF$4:EF24,EF24))</f>
        <v/>
      </c>
      <c r="EH24" s="55">
        <f>IF(ROW()-3&gt;COUNTIF(EF$4:EF$40,"&lt;&gt;"&amp;""),"",INDEX(EF$4:EF$40,MATCH(ROW()-3,EG$4:EG$40,0)))</f>
        <v/>
      </c>
      <c r="EI24">
        <f>EI23+IF(AND(EH24&lt;&gt;"",COUNTIF(EH$4:EH24,EH24)=1),1,0)</f>
        <v/>
      </c>
      <c r="EJ24">
        <f>IF(ROW()-3&gt;MAX(EI$4:EI$40),"",INDEX(EH$4:EH$40,MATCH(ROW()-3,EI$4:EI$40,0)))</f>
        <v/>
      </c>
      <c r="EK24">
        <f>IF('Final Calculation Sheet'!$AA$24="","",'Final Calculation Sheet'!$AA$24)</f>
        <v/>
      </c>
      <c r="EL24">
        <f>IF(EK24="","",COUNTIFS(EK$4:EK$40,"&lt;"&amp;EK24,EK$4:EK$40,"&lt;&gt;"&amp;"")+COUNTIF(EK$4:EK24,EK24))</f>
        <v/>
      </c>
      <c r="EM24">
        <f>IF(ROW()-3&gt;COUNTIF(EK$4:EK$40,"&lt;&gt;"&amp;""),"",INDEX(EK$4:EK$40,MATCH(ROW()-3,EL$4:EL$40,0)))</f>
        <v/>
      </c>
      <c r="EN24">
        <f>EN23+IF(AND(EM24&lt;&gt;"",COUNTIF(EM$4:EM24,EM24)=1),1,0)</f>
        <v/>
      </c>
      <c r="EO24">
        <f>IF(ROW()-3&gt;MAX(EN$4:EN$40),"",INDEX(EM$4:EM$40,MATCH(ROW()-3,EN$4:EN$40,0)))</f>
        <v/>
      </c>
      <c r="EP24">
        <f>IF('Final Calculation Sheet'!$AB$24="","",'Final Calculation Sheet'!$AB$24)</f>
        <v/>
      </c>
      <c r="EQ24">
        <f>IF(EP24="","",COUNTIFS(EP$4:EP$40,"&lt;"&amp;EP24,EP$4:EP$40,"&lt;&gt;"&amp;"")+COUNTIF(EP$4:EP24,EP24))</f>
        <v/>
      </c>
      <c r="ER24">
        <f>IF(ROW()-3&gt;COUNTIF(EP$4:EP$40,"&lt;&gt;"&amp;""),"",INDEX(EP$4:EP$40,MATCH(ROW()-3,EQ$4:EQ$40,0)))</f>
        <v/>
      </c>
      <c r="ES24">
        <f>ES23+IF(AND(ER24&lt;&gt;"",COUNTIF(ER$4:ER24,ER24)=1),1,0)</f>
        <v/>
      </c>
      <c r="ET24">
        <f>IF(ROW()-3&gt;MAX(ES$4:ES$40),"",INDEX(ER$4:ER$40,MATCH(ROW()-3,ES$4:ES$40,0)))</f>
        <v/>
      </c>
      <c r="EU24" s="55">
        <f>IF('Final Calculation Sheet'!$AC$24="","",'Final Calculation Sheet'!$AC$24)</f>
        <v/>
      </c>
      <c r="EV24">
        <f>IF(EU24="","",COUNTIFS(EU$4:EU$40,"&lt;"&amp;EU24,EU$4:EU$40,"&lt;&gt;"&amp;"")+COUNTIF(EU$4:EU24,EU24))</f>
        <v/>
      </c>
      <c r="EW24" s="55">
        <f>IF(ROW()-3&gt;COUNTIF(EU$4:EU$40,"&lt;&gt;"&amp;""),"",INDEX(EU$4:EU$40,MATCH(ROW()-3,EV$4:EV$40,0)))</f>
        <v/>
      </c>
      <c r="EX24">
        <f>EX23+IF(AND(EW24&lt;&gt;"",COUNTIF(EW$4:EW24,EW24)=1),1,0)</f>
        <v/>
      </c>
      <c r="EY24" s="55">
        <f>IF(ROW()-3&gt;MAX(EX$4:EX$40),"",INDEX(EW$4:EW$40,MATCH(ROW()-3,EX$4:EX$40,0)))</f>
        <v/>
      </c>
      <c r="EZ24" s="55">
        <f>IF('Final Calculation Sheet'!$AD$24="","",'Final Calculation Sheet'!$AD$24)</f>
        <v/>
      </c>
      <c r="FA24">
        <f>IF(EZ24="","",COUNTIFS(EZ$4:EZ$40,"&lt;"&amp;EZ24,EZ$4:EZ$40,"&lt;&gt;"&amp;"")+COUNTIF(EZ$4:EZ24,EZ24))</f>
        <v/>
      </c>
      <c r="FB24" s="55">
        <f>IF(ROW()-3&gt;COUNTIF(EZ$4:EZ$40,"&lt;&gt;"&amp;""),"",INDEX(EZ$4:EZ$40,MATCH(ROW()-3,FA$4:FA$40,0)))</f>
        <v/>
      </c>
      <c r="FC24">
        <f>FC23+IF(AND(FB24&lt;&gt;"",COUNTIF(FB$4:FB24,FB24)=1),1,0)</f>
        <v/>
      </c>
      <c r="FD24">
        <f>IF(ROW()-3&gt;MAX(FC$4:FC$40),"",INDEX(FB$4:FB$40,MATCH(ROW()-3,FC$4:FC$40,0)))</f>
        <v/>
      </c>
      <c r="FE24">
        <f>IF('Final Calculation Sheet'!$AF$24="","",'Final Calculation Sheet'!$AF$24)</f>
        <v/>
      </c>
      <c r="FF24">
        <f>IF(FE24="","",COUNTIFS(FE$4:FE$40,"&lt;"&amp;FE24,FE$4:FE$40,"&lt;&gt;"&amp;"")+COUNTIF(FE$4:FE24,FE24))</f>
        <v/>
      </c>
      <c r="FG24">
        <f>IF(ROW()-3&gt;COUNTIF(FE$4:FE$40,"&lt;&gt;"&amp;""),"",INDEX(FE$4:FE$40,MATCH(ROW()-3,FF$4:FF$40,0)))</f>
        <v/>
      </c>
      <c r="FH24">
        <f>FH23+IF(AND(FG24&lt;&gt;"",COUNTIF(FG$4:FG24,FG24)=1),1,0)</f>
        <v/>
      </c>
      <c r="FI24">
        <f>IF(ROW()-3&gt;MAX(FH$4:FH$40),"",INDEX(FG$4:FG$40,MATCH(ROW()-3,FH$4:FH$40,0)))</f>
        <v/>
      </c>
      <c r="FJ24" s="141">
        <f>IF('Final Calculation Sheet'!$AG$24="","",'Final Calculation Sheet'!$AG$24)</f>
        <v/>
      </c>
      <c r="FK24">
        <f>IF(FJ24="","",COUNTIFS(FJ$4:FJ$40,"&lt;"&amp;FJ24,FJ$4:FJ$40,"&lt;&gt;"&amp;"")+COUNTIF(FJ$4:FJ24,FJ24))</f>
        <v/>
      </c>
      <c r="FL24" s="141">
        <f>IF(ROW()-3&gt;COUNTIF(FJ$4:FJ$40,"&lt;&gt;"&amp;""),"",INDEX(FJ$4:FJ$40,MATCH(ROW()-3,FK$4:FK$40,0)))</f>
        <v/>
      </c>
      <c r="FM24">
        <f>FM23+IF(AND(FL24&lt;&gt;"",COUNTIF(FL$4:FL24,FL24)=1),1,0)</f>
        <v/>
      </c>
      <c r="FN24">
        <f>IF(ROW()-3&gt;MAX(FM$4:FM$40),"",INDEX(FL$4:FL$40,MATCH(ROW()-3,FM$4:FM$40,0)))</f>
        <v/>
      </c>
      <c r="FO24">
        <f>IF('Final Calculation Sheet'!$AH$24="","",'Final Calculation Sheet'!$AH$24)</f>
        <v/>
      </c>
      <c r="FP24">
        <f>IF(FO24="","",COUNTIFS(FO$4:FO$40,"&lt;"&amp;FO24,FO$4:FO$40,"&lt;&gt;"&amp;"")+COUNTIF(FO$4:FO24,FO24))</f>
        <v/>
      </c>
      <c r="FQ24">
        <f>IF(ROW()-3&gt;COUNTIF(FO$4:FO$40,"&lt;&gt;"&amp;""),"",INDEX(FO$4:FO$40,MATCH(ROW()-3,FP$4:FP$40,0)))</f>
        <v/>
      </c>
      <c r="FR24">
        <f>FR23+IF(AND(FQ24&lt;&gt;"",COUNTIF(FQ$4:FQ24,FQ24)=1),1,0)</f>
        <v/>
      </c>
      <c r="FS24">
        <f>IF(ROW()-3&gt;MAX(FR$4:FR$40),"",INDEX(FQ$4:FQ$40,MATCH(ROW()-3,FR$4:FR$40,0)))</f>
        <v/>
      </c>
      <c r="FU24">
        <f>IF(FT24="","",COUNTIFS(FT$4:FT$40,"&lt;"&amp;FT24,FT$4:FT$40,"&lt;&gt;"&amp;"")+COUNTIF(FT$4:FT24,FT24))</f>
        <v/>
      </c>
      <c r="FV24">
        <f>IF(ROW()-3&gt;COUNTIF(FT$4:FT$40,"&lt;&gt;"&amp;""),"",INDEX(FT$4:FT$40,MATCH(ROW()-3,FU$4:FU$40,0)))</f>
        <v/>
      </c>
      <c r="FW24">
        <f>FW23+IF(AND(FV24&lt;&gt;"",COUNTIF(FV$4:FV24,FV24)=1),1,0)</f>
        <v/>
      </c>
      <c r="FX24">
        <f>IF(ROW()-3&gt;MAX(FW$4:FW$40),"",INDEX(FV$4:FV$40,MATCH(ROW()-3,FW$4:FW$40,0)))</f>
        <v/>
      </c>
      <c r="FY24">
        <f>IF(COUNTIF('Live Search'!BM$23:BO$23,0)+COUNTIF('Live Search'!BQ$23:CU$23,0)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4">
        <f>IF($Y$24="",FALSE,SUMPRODUCT(('Final Calculation Sheet'!$B$4:$B$40=$Y$24)*($FY$6:$FY$42=1))&gt;0)</f>
        <v/>
      </c>
      <c r="GA24">
        <f>$GA$23+--($FZ$24)</f>
        <v/>
      </c>
      <c r="GB24">
        <f>IF(ROW()-3&gt;MAX($GA$4:$GA$40),"",INDEX($Y$4:$Y$40,MATCH(ROW()-3,$GA$4:$GA$40,0)))</f>
        <v/>
      </c>
      <c r="GC24">
        <f>IF('Final Calculation Sheet'!$F$24="","",IF(TRIM('Final Calculation Sheet'!$G$2)="",'Final Calculation Sheet'!$F$24,IF(TRIM('Final Calculation Sheet'!$G$2)="(nonblank)",IF('Final Calculation Sheet'!$G$24&lt;&gt;"",'Final Calculation Sheet'!$F$24,""),IF(TRIM('Final Calculation Sheet'!$G$2)="(blank)",IF('Final Calculation Sheet'!$G$24="",'Final Calculation Sheet'!$F$24,""),IF(ISNUMBER(SEARCH(TRIM('Final Calculation Sheet'!$G$2),'Final Calculation Sheet'!$G$24)),'Final Calculation Sheet'!$F$24,"")))))</f>
        <v/>
      </c>
      <c r="GD24">
        <f>IF(GC24="","",COUNTIFS(GC$4:GC$40,"&lt;"&amp;GC24,GC$4:GC$40,"&lt;&gt;"&amp;"")+COUNTIF(GC$4:GC24,GC24))</f>
        <v/>
      </c>
      <c r="GE24">
        <f>IF(ROW()-3&gt;COUNTIF(GC$4:GC$40,"&lt;&gt;"&amp;""),"",INDEX(GC$4:GC$40,MATCH(ROW()-3,GD$4:GD$40,0)))</f>
        <v/>
      </c>
      <c r="GF24">
        <f>GF23+IF(AND(GE24&lt;&gt;"",COUNTIF(GE$4:GE24,GE24)=1),1,0)</f>
        <v/>
      </c>
      <c r="GG24">
        <f>IF(ROW()-3&gt;MAX(GF$4:GF$40),"",INDEX(GE$4:GE$40,MATCH(ROW()-3,GF$4:GF$40,0)))</f>
        <v/>
      </c>
      <c r="GH24">
        <f>IF('Final Calculation Sheet'!$F$24="","",IF('Live Search'!$BO$25=1,'Final Calculation Sheet'!$F$24,""))</f>
        <v/>
      </c>
      <c r="GI24">
        <f>IF(GH24="","",COUNTIFS(GH$4:GH$40,"&lt;"&amp;GH24,GH$4:GH$40,"&lt;&gt;"&amp;"")+COUNTIF(GH$4:GH24,GH24))</f>
        <v/>
      </c>
      <c r="GJ24">
        <f>IF(ROW()-3&gt;COUNTIF(GH$4:GH$40,"&lt;&gt;"&amp;""),"",INDEX(GH$4:GH$40,MATCH(ROW()-3,GI$4:GI$40,0)))</f>
        <v/>
      </c>
      <c r="GK24">
        <f>GK23+IF(AND(GJ24&lt;&gt;"",COUNTIF(GJ$4:GJ24,GJ24)=1),1,0)</f>
        <v/>
      </c>
      <c r="GL24">
        <f>IF(ROW()-3&gt;MAX(GK$4:GK$40),"",INDEX(GJ$4:GJ$40,MATCH(ROW()-3,GK$4:GK$40,0)))</f>
        <v/>
      </c>
      <c r="GM24">
        <f>IF('Final Calculation Sheet'!$F$24="","",IF(TRIM('Buyer Groups'!$C$4)="",'Final Calculation Sheet'!$F$24,IF(TRIM('Buyer Groups'!$C$4)="(nonblank)",IF('Final Calculation Sheet'!$G$24&lt;&gt;"",'Final Calculation Sheet'!$F$24,""),IF(TRIM('Buyer Groups'!$C$4)="(blank)",IF('Final Calculation Sheet'!$G$24="",'Final Calculation Sheet'!$F$24,""),IF(ISNUMBER(SEARCH(TRIM('Buyer Groups'!$C$4),'Final Calculation Sheet'!$G$24)),'Final Calculation Sheet'!$F$24,"")))))</f>
        <v/>
      </c>
      <c r="GN24">
        <f>IF(GM24="","",COUNTIFS(GM$4:GM$40,"&lt;"&amp;GM24,GM$4:GM$40,"&lt;&gt;"&amp;"")+COUNTIF(GM$4:GM24,GM24))</f>
        <v/>
      </c>
      <c r="GO24">
        <f>IF(ROW()-3&gt;COUNTIF(GM$4:GM$40,"&lt;&gt;"&amp;""),"",INDEX(GM$4:GM$40,MATCH(ROW()-3,GN$4:GN$40,0)))</f>
        <v/>
      </c>
      <c r="GP24">
        <f>GP23+IF(AND(GO24&lt;&gt;"",COUNTIF(GO$4:GO24,GO24)=1),1,0)</f>
        <v/>
      </c>
      <c r="GQ24">
        <f>IF(ROW()-3&gt;MAX(GP$4:GP$40),"",INDEX(GO$4:GO$40,MATCH(ROW()-3,GP$4:GP$40,0)))</f>
        <v/>
      </c>
      <c r="GR24">
        <f>IF('Final Calculation Sheet'!$B$24="","",IF(TRIM('Final Calculation Sheet'!$G$2)="",'Final Calculation Sheet'!$B$24,IF(TRIM('Final Calculation Sheet'!$G$2)="(nonblank)",IF('Final Calculation Sheet'!$G$24&lt;&gt;"",'Final Calculation Sheet'!$B$24,""),IF(TRIM('Final Calculation Sheet'!$G$2)="(blank)",IF('Final Calculation Sheet'!$G$24="",'Final Calculation Sheet'!$B$24,""),IF(ISNUMBER(SEARCH(TRIM('Final Calculation Sheet'!$G$2),'Final Calculation Sheet'!$G$24)),'Final Calculation Sheet'!$B$24,"")))))</f>
        <v/>
      </c>
      <c r="GS24">
        <f>IF(GR24="","",COUNTIFS(GR$4:GR$40,"&lt;"&amp;GR24,GR$4:GR$40,"&lt;&gt;"&amp;"")+COUNTIF(GR$4:GR24,GR24))</f>
        <v/>
      </c>
      <c r="GT24">
        <f>IF(ROW()-3&gt;COUNTIF(GR$4:GR$40,"&lt;&gt;"&amp;""),"",INDEX(GR$4:GR$40,MATCH(ROW()-3,GS$4:GS$40,0)))</f>
        <v/>
      </c>
      <c r="GU24">
        <f>GU23+IF(AND(GT24&lt;&gt;"",COUNTIF(GT$4:GT24,GT24)=1),1,0)</f>
        <v/>
      </c>
      <c r="GV24">
        <f>IF(ROW()-3&gt;MAX(GU$4:GU$40),"",INDEX(GT$4:GT$40,MATCH(ROW()-3,GU$4:GU$40,0)))</f>
        <v/>
      </c>
      <c r="GW24">
        <f>IF('Final Calculation Sheet'!$B$24="","",IF(TRIM('Buyer Groups'!$C$4)="",'Final Calculation Sheet'!$B$24,IF(TRIM('Buyer Groups'!$C$4)="(nonblank)",IF('Final Calculation Sheet'!$G$24&lt;&gt;"",'Final Calculation Sheet'!$B$24,""),IF(TRIM('Buyer Groups'!$C$4)="(blank)",IF('Final Calculation Sheet'!$G$24="",'Final Calculation Sheet'!$B$24,""),IF(ISNUMBER(SEARCH(TRIM('Buyer Groups'!$C$4),'Final Calculation Sheet'!$G$24)),'Final Calculation Sheet'!$B$24,"")))))</f>
        <v/>
      </c>
      <c r="GX24">
        <f>IF(GW24="","",COUNTIFS(GW$4:GW$40,"&lt;"&amp;GW24,GW$4:GW$40,"&lt;&gt;"&amp;"")+COUNTIF(GW$4:GW24,GW24))</f>
        <v/>
      </c>
      <c r="GY24">
        <f>IF(ROW()-3&gt;COUNTIF(GW$4:GW$40,"&lt;&gt;"&amp;""),"",INDEX(GW$4:GW$40,MATCH(ROW()-3,GX$4:GX$40,0)))</f>
        <v/>
      </c>
      <c r="GZ24">
        <f>GZ23+IF(AND(GY24&lt;&gt;"",COUNTIF(GY$4:GY24,GY24)=1),1,0)</f>
        <v/>
      </c>
      <c r="HA24">
        <f>IF(ROW()-3&gt;MAX(GZ$4:GZ$40),"",INDEX(GY$4:GY$40,MATCH(ROW()-3,GZ$4:GZ$40,0)))</f>
        <v/>
      </c>
    </row>
    <row r="25">
      <c r="A25">
        <f>IF('Final Calculation Sheet'!$F$25="","",'Final Calculation Sheet'!$F$25)</f>
        <v/>
      </c>
      <c r="B25">
        <f>IF(A25="","",COUNTIFS(A$4:A$114,"&lt;"&amp;A25,A$4:A$114,"&lt;&gt;"&amp;"")+COUNTIF(A$4:A25,A25))</f>
        <v/>
      </c>
      <c r="C25">
        <f>IF(ROW()-3&gt;COUNTIF(A$4:A$114,"&lt;&gt;"&amp;""),"",INDEX(A$4:A$114,MATCH(ROW()-3,B$4:B$114,0)))</f>
        <v/>
      </c>
      <c r="D25">
        <f>D24+IF(AND(C25&lt;&gt;"",COUNTIF(C$4:C25,C25)=1),1,0)</f>
        <v/>
      </c>
      <c r="E25">
        <f>IF(ROW()-3&gt;MAX(D$4:D$114),"",INDEX(C$4:C$114,MATCH(ROW()-3,D$4:D$114,0)))</f>
        <v/>
      </c>
      <c r="F25">
        <f>ROW()-3</f>
        <v/>
      </c>
      <c r="G25">
        <f>IF(F25="","",COUNTIFS(F$4:F$40,"&lt;"&amp;F25,F$4:F$40,"&lt;&gt;"&amp;"")+COUNTIF(F$4:F25,F25))</f>
        <v/>
      </c>
      <c r="H25">
        <f>IF(ROW()-3&gt;COUNTIF(F$4:F$40,"&lt;&gt;"&amp;""),"",INDEX(F$4:F$40,MATCH(ROW()-3,G$4:G$40,0)))</f>
        <v/>
      </c>
      <c r="I25">
        <f>I24+IF(AND(H25&lt;&gt;"",COUNTIF(H$4:H25,H25)=1),1,0)</f>
        <v/>
      </c>
      <c r="J25">
        <f>IF(ROW()-3&gt;MAX(I$4:I$40),"",INDEX(H$4:H$40,MATCH(ROW()-3,I$4:I$40,0)))</f>
        <v/>
      </c>
      <c r="K25">
        <f>IF('Final Calculation Sheet'!$F$25="","",'Final Calculation Sheet'!$F$25)</f>
        <v/>
      </c>
      <c r="L25">
        <f>IF(K25="","",COUNTIFS(K$4:K$40,"&lt;"&amp;K25,K$4:K$40,"&lt;&gt;"&amp;"")+COUNTIF(K$4:K25,K25))</f>
        <v/>
      </c>
      <c r="M25">
        <f>IF(ROW()-3&gt;COUNTIF(K$4:K$40,"&lt;&gt;"&amp;""),"",INDEX(K$4:K$40,MATCH(ROW()-3,L$4:L$40,0)))</f>
        <v/>
      </c>
      <c r="N25">
        <f>N24+IF(AND(M25&lt;&gt;"",COUNTIF(M$4:M25,M25)=1),1,0)</f>
        <v/>
      </c>
      <c r="O25">
        <f>IF(ROW()-3&gt;MAX(N$4:N$40),"",INDEX(M$4:M$40,MATCH(ROW()-3,N$4:N$40,0)))</f>
        <v/>
      </c>
      <c r="P25">
        <f>IF('Final Calculation Sheet'!$G$25="","",'Final Calculation Sheet'!$G$25)</f>
        <v/>
      </c>
      <c r="Q25">
        <f>IF(P25="","",COUNTIFS(P$4:P$40,"&lt;"&amp;P25,P$4:P$40,"&lt;&gt;"&amp;"")+COUNTIF(P$4:P25,P25))</f>
        <v/>
      </c>
      <c r="R25">
        <f>IF(ROW()-3&gt;COUNTIF(P$4:P$40,"&lt;&gt;"&amp;""),"",INDEX(P$4:P$40,MATCH(ROW()-3,Q$4:Q$40,0)))</f>
        <v/>
      </c>
      <c r="S25">
        <f>S24+IF(AND(R25&lt;&gt;"",COUNTIF(R$4:R25,R25)=1),1,0)</f>
        <v/>
      </c>
      <c r="T25">
        <f>IF(ROW()-3&gt;MAX(S$4:S$40),"",INDEX(R$4:R$40,MATCH(ROW()-3,S$4:S$40,0)))</f>
        <v/>
      </c>
      <c r="U25">
        <f>IF('Final Calculation Sheet'!$B$25="","",'Final Calculation Sheet'!$B$25)</f>
        <v/>
      </c>
      <c r="V25">
        <f>IF(U25="","",COUNTIFS(U$4:U$40,"&lt;"&amp;U25,U$4:U$40,"&lt;&gt;"&amp;"")+COUNTIF(U$4:U25,U25))</f>
        <v/>
      </c>
      <c r="W25">
        <f>IF(ROW()-3&gt;COUNTIF(U$4:U$40,"&lt;&gt;"&amp;""),"",INDEX(U$4:U$40,MATCH(ROW()-3,V$4:V$40,0)))</f>
        <v/>
      </c>
      <c r="X25">
        <f>X24+IF(AND(W25&lt;&gt;"",COUNTIF(W$4:W25,W25)=1),1,0)</f>
        <v/>
      </c>
      <c r="Y25">
        <f>IF(ROW()-3&gt;MAX(X$4:X$40),"",INDEX(W$4:W$40,MATCH(ROW()-3,X$4:X$40,0)))</f>
        <v/>
      </c>
      <c r="Z25">
        <f>IF('Final Calculation Sheet'!$D$25="","",'Final Calculation Sheet'!$D$25)</f>
        <v/>
      </c>
      <c r="AA25">
        <f>IF(Z25="","",COUNTIFS(Z$4:Z$40,"&lt;"&amp;Z25,Z$4:Z$40,"&lt;&gt;"&amp;"")+COUNTIF(Z$4:Z25,Z25))</f>
        <v/>
      </c>
      <c r="AB25">
        <f>IF(ROW()-3&gt;COUNTIF(Z$4:Z$40,"&lt;&gt;"&amp;""),"",INDEX(Z$4:Z$40,MATCH(ROW()-3,AA$4:AA$40,0)))</f>
        <v/>
      </c>
      <c r="AC25">
        <f>AC24+IF(AND(AB25&lt;&gt;"",COUNTIF(AB$4:AB25,AB25)=1),1,0)</f>
        <v/>
      </c>
      <c r="AD25">
        <f>IF(ROW()-3&gt;MAX(AC$4:AC$40),"",INDEX(AB$4:AB$40,MATCH(ROW()-3,AC$4:AC$40,0)))</f>
        <v/>
      </c>
      <c r="AE25">
        <f>IF('Final Calculation Sheet'!$A$25="","",'Final Calculation Sheet'!$A$25)</f>
        <v/>
      </c>
      <c r="AF25">
        <f>IF(AE25="","",COUNTIFS(AE$4:AE$40,"&lt;"&amp;AE25,AE$4:AE$40,"&lt;&gt;"&amp;"")+COUNTIF(AE$4:AE25,AE25))</f>
        <v/>
      </c>
      <c r="AG25">
        <f>IF(ROW()-3&gt;COUNTIF(AE$4:AE$40,"&lt;&gt;"&amp;""),"",INDEX(AE$4:AE$40,MATCH(ROW()-3,AF$4:AF$40,0)))</f>
        <v/>
      </c>
      <c r="AH25">
        <f>AH24+IF(AND(AG25&lt;&gt;"",COUNTIF(AG$4:AG25,AG25)=1),1,0)</f>
        <v/>
      </c>
      <c r="AI25">
        <f>IF(ROW()-3&gt;MAX(AH$4:AH$40),"",INDEX(AG$4:AG$40,MATCH(ROW()-3,AH$4:AH$40,0)))</f>
        <v/>
      </c>
      <c r="AJ25">
        <f>IF('Final Calculation Sheet'!$E$25="","",'Final Calculation Sheet'!$E$25)</f>
        <v/>
      </c>
      <c r="AK25">
        <f>IF(AJ25="","",COUNTIFS(AJ$4:AJ$40,"&lt;"&amp;AJ25,AJ$4:AJ$40,"&lt;&gt;"&amp;"")+COUNTIF(AJ$4:AJ25,AJ25))</f>
        <v/>
      </c>
      <c r="AL25">
        <f>IF(ROW()-3&gt;COUNTIF(AJ$4:AJ$40,"&lt;&gt;"&amp;""),"",INDEX(AJ$4:AJ$40,MATCH(ROW()-3,AK$4:AK$40,0)))</f>
        <v/>
      </c>
      <c r="AM25">
        <f>AM24+IF(AND(AL25&lt;&gt;"",COUNTIF(AL$4:AL25,AL25)=1),1,0)</f>
        <v/>
      </c>
      <c r="AN25">
        <f>IF(ROW()-3&gt;MAX(AM$4:AM$40),"",INDEX(AL$4:AL$40,MATCH(ROW()-3,AM$4:AM$40,0)))</f>
        <v/>
      </c>
      <c r="AO25" s="55">
        <f>IF('Final Calculation Sheet'!$C$25="","",'Final Calculation Sheet'!$C$25)</f>
        <v/>
      </c>
      <c r="AP25">
        <f>IF(AO25="","",COUNTIFS(AO$4:AO$40,"&lt;"&amp;AO25,AO$4:AO$40,"&lt;&gt;"&amp;"")+COUNTIF(AO$4:AO25,AO25))</f>
        <v/>
      </c>
      <c r="AQ25" s="55">
        <f>IF(ROW()-3&gt;COUNTIF(AO$4:AO$40,"&lt;&gt;"&amp;""),"",INDEX(AO$4:AO$40,MATCH(ROW()-3,AP$4:AP$40,0)))</f>
        <v/>
      </c>
      <c r="AR25">
        <f>AR24+IF(AND(AQ25&lt;&gt;"",COUNTIF(AQ$4:AQ25,AQ25)=1),1,0)</f>
        <v/>
      </c>
      <c r="AS25" s="55">
        <f>IF(ROW()-3&gt;MAX(AR$4:AR$40),"",INDEX(AQ$4:AQ$40,MATCH(ROW()-3,AR$4:AR$40,0)))</f>
        <v/>
      </c>
      <c r="AT25" s="55">
        <f>IF('Final Calculation Sheet'!$H$25="","",'Final Calculation Sheet'!$H$25)</f>
        <v/>
      </c>
      <c r="AU25">
        <f>IF(AT25="","",COUNTIFS(AT$4:AT$40,"&lt;"&amp;AT25,AT$4:AT$40,"&lt;&gt;"&amp;"")+COUNTIF(AT$4:AT25,AT25))</f>
        <v/>
      </c>
      <c r="AV25" s="55">
        <f>IF(ROW()-3&gt;COUNTIF(AT$4:AT$40,"&lt;&gt;"&amp;""),"",INDEX(AT$4:AT$40,MATCH(ROW()-3,AU$4:AU$40,0)))</f>
        <v/>
      </c>
      <c r="AW25">
        <f>AW24+IF(AND(AV25&lt;&gt;"",COUNTIF(AV$4:AV25,AV25)=1),1,0)</f>
        <v/>
      </c>
      <c r="AX25" s="55">
        <f>IF(ROW()-3&gt;MAX(AW$4:AW$40),"",INDEX(AV$4:AV$40,MATCH(ROW()-3,AW$4:AW$40,0)))</f>
        <v/>
      </c>
      <c r="AY25" s="55">
        <f>IF('Final Calculation Sheet'!$I$25="","",'Final Calculation Sheet'!$I$25)</f>
        <v/>
      </c>
      <c r="AZ25">
        <f>IF(AY25="","",COUNTIFS(AY$4:AY$40,"&lt;"&amp;AY25,AY$4:AY$40,"&lt;&gt;"&amp;"")+COUNTIF(AY$4:AY25,AY25))</f>
        <v/>
      </c>
      <c r="BA25" s="55">
        <f>IF(ROW()-3&gt;COUNTIF(AY$4:AY$40,"&lt;&gt;"&amp;""),"",INDEX(AY$4:AY$40,MATCH(ROW()-3,AZ$4:AZ$40,0)))</f>
        <v/>
      </c>
      <c r="BB25">
        <f>BB24+IF(AND(BA25&lt;&gt;"",COUNTIF(BA$4:BA25,BA25)=1),1,0)</f>
        <v/>
      </c>
      <c r="BC25" s="55">
        <f>IF(ROW()-3&gt;MAX(BB$4:BB$40),"",INDEX(BA$4:BA$40,MATCH(ROW()-3,BB$4:BB$40,0)))</f>
        <v/>
      </c>
      <c r="BD25" s="55">
        <f>IF('Final Calculation Sheet'!$J$25="","",'Final Calculation Sheet'!$J$25)</f>
        <v/>
      </c>
      <c r="BE25">
        <f>IF(BD25="","",COUNTIFS(BD$4:BD$40,"&lt;"&amp;BD25,BD$4:BD$40,"&lt;&gt;"&amp;"")+COUNTIF(BD$4:BD25,BD25))</f>
        <v/>
      </c>
      <c r="BF25" s="55">
        <f>IF(ROW()-3&gt;COUNTIF(BD$4:BD$40,"&lt;&gt;"&amp;""),"",INDEX(BD$4:BD$40,MATCH(ROW()-3,BE$4:BE$40,0)))</f>
        <v/>
      </c>
      <c r="BG25">
        <f>BG24+IF(AND(BF25&lt;&gt;"",COUNTIF(BF$4:BF25,BF25)=1),1,0)</f>
        <v/>
      </c>
      <c r="BH25" s="55">
        <f>IF(ROW()-3&gt;MAX(BG$4:BG$40),"",INDEX(BF$4:BF$40,MATCH(ROW()-3,BG$4:BG$40,0)))</f>
        <v/>
      </c>
      <c r="BI25" s="55">
        <f>IF('Final Calculation Sheet'!$K$25="","",'Final Calculation Sheet'!$K$25)</f>
        <v/>
      </c>
      <c r="BJ25">
        <f>IF(BI25="","",COUNTIFS(BI$4:BI$40,"&lt;"&amp;BI25,BI$4:BI$40,"&lt;&gt;"&amp;"")+COUNTIF(BI$4:BI25,BI25))</f>
        <v/>
      </c>
      <c r="BK25" s="55">
        <f>IF(ROW()-3&gt;COUNTIF(BI$4:BI$40,"&lt;&gt;"&amp;""),"",INDEX(BI$4:BI$40,MATCH(ROW()-3,BJ$4:BJ$40,0)))</f>
        <v/>
      </c>
      <c r="BL25">
        <f>BL24+IF(AND(BK25&lt;&gt;"",COUNTIF(BK$4:BK25,BK25)=1),1,0)</f>
        <v/>
      </c>
      <c r="BM25" s="55">
        <f>IF(ROW()-3&gt;MAX(BL$4:BL$40),"",INDEX(BK$4:BK$40,MATCH(ROW()-3,BL$4:BL$40,0)))</f>
        <v/>
      </c>
      <c r="BN25" s="55">
        <f>IF('Final Calculation Sheet'!$L$25="","",'Final Calculation Sheet'!$L$25)</f>
        <v/>
      </c>
      <c r="BO25">
        <f>IF(BN25="","",COUNTIFS(BN$4:BN$40,"&lt;"&amp;BN25,BN$4:BN$40,"&lt;&gt;"&amp;"")+COUNTIF(BN$4:BN25,BN25))</f>
        <v/>
      </c>
      <c r="BP25" s="55">
        <f>IF(ROW()-3&gt;COUNTIF(BN$4:BN$40,"&lt;&gt;"&amp;""),"",INDEX(BN$4:BN$40,MATCH(ROW()-3,BO$4:BO$40,0)))</f>
        <v/>
      </c>
      <c r="BQ25">
        <f>BQ24+IF(AND(BP25&lt;&gt;"",COUNTIF(BP$4:BP25,BP25)=1),1,0)</f>
        <v/>
      </c>
      <c r="BR25" s="55">
        <f>IF(ROW()-3&gt;MAX(BQ$4:BQ$40),"",INDEX(BP$4:BP$40,MATCH(ROW()-3,BQ$4:BQ$40,0)))</f>
        <v/>
      </c>
      <c r="BS25" s="55">
        <f>IF('Final Calculation Sheet'!$M$25="","",'Final Calculation Sheet'!$M$25)</f>
        <v/>
      </c>
      <c r="BT25">
        <f>IF(BS25="","",COUNTIFS(BS$4:BS$40,"&lt;"&amp;BS25,BS$4:BS$40,"&lt;&gt;"&amp;"")+COUNTIF(BS$4:BS25,BS25))</f>
        <v/>
      </c>
      <c r="BU25" s="55">
        <f>IF(ROW()-3&gt;COUNTIF(BS$4:BS$40,"&lt;&gt;"&amp;""),"",INDEX(BS$4:BS$40,MATCH(ROW()-3,BT$4:BT$40,0)))</f>
        <v/>
      </c>
      <c r="BV25">
        <f>BV24+IF(AND(BU25&lt;&gt;"",COUNTIF(BU$4:BU25,BU25)=1),1,0)</f>
        <v/>
      </c>
      <c r="BW25" s="55">
        <f>IF(ROW()-3&gt;MAX(BV$4:BV$40),"",INDEX(BU$4:BU$40,MATCH(ROW()-3,BV$4:BV$40,0)))</f>
        <v/>
      </c>
      <c r="BX25" s="138">
        <f>IF('Final Calculation Sheet'!$N$25="","",'Final Calculation Sheet'!$N$25)</f>
        <v/>
      </c>
      <c r="BY25">
        <f>IF(BX25="","",COUNTIFS(BX$4:BX$40,"&lt;"&amp;BX25,BX$4:BX$40,"&lt;&gt;"&amp;"")+COUNTIF(BX$4:BX25,BX25))</f>
        <v/>
      </c>
      <c r="BZ25" s="138">
        <f>IF(ROW()-3&gt;COUNTIF(BX$4:BX$40,"&lt;&gt;"&amp;""),"",INDEX(BX$4:BX$40,MATCH(ROW()-3,BY$4:BY$40,0)))</f>
        <v/>
      </c>
      <c r="CA25">
        <f>CA24+IF(AND(BZ25&lt;&gt;"",COUNTIF(BZ$4:BZ25,BZ25)=1),1,0)</f>
        <v/>
      </c>
      <c r="CB25" s="138">
        <f>IF(ROW()-3&gt;MAX(CA$4:CA$40),"",INDEX(BZ$4:BZ$40,MATCH(ROW()-3,CA$4:CA$40,0)))</f>
        <v/>
      </c>
      <c r="CC25" s="55">
        <f>IF('Final Calculation Sheet'!$O$25="","",'Final Calculation Sheet'!$O$25)</f>
        <v/>
      </c>
      <c r="CD25">
        <f>IF(CC25="","",COUNTIFS(CC$4:CC$40,"&lt;"&amp;CC25,CC$4:CC$40,"&lt;&gt;"&amp;"")+COUNTIF(CC$4:CC25,CC25))</f>
        <v/>
      </c>
      <c r="CE25" s="55">
        <f>IF(ROW()-3&gt;COUNTIF(CC$4:CC$40,"&lt;&gt;"&amp;""),"",INDEX(CC$4:CC$40,MATCH(ROW()-3,CD$4:CD$40,0)))</f>
        <v/>
      </c>
      <c r="CF25">
        <f>CF24+IF(AND(CE25&lt;&gt;"",COUNTIF(CE$4:CE25,CE25)=1),1,0)</f>
        <v/>
      </c>
      <c r="CG25" s="55">
        <f>IF(ROW()-3&gt;MAX(CF$4:CF$40),"",INDEX(CE$4:CE$40,MATCH(ROW()-3,CF$4:CF$40,0)))</f>
        <v/>
      </c>
      <c r="CH25" s="55">
        <f>IF('Final Calculation Sheet'!$P$25="","",'Final Calculation Sheet'!$P$25)</f>
        <v/>
      </c>
      <c r="CI25">
        <f>IF(CH25="","",COUNTIFS(CH$4:CH$40,"&lt;"&amp;CH25,CH$4:CH$40,"&lt;&gt;"&amp;"")+COUNTIF(CH$4:CH25,CH25))</f>
        <v/>
      </c>
      <c r="CJ25" s="55">
        <f>IF(ROW()-3&gt;COUNTIF(CH$4:CH$40,"&lt;&gt;"&amp;""),"",INDEX(CH$4:CH$40,MATCH(ROW()-3,CI$4:CI$40,0)))</f>
        <v/>
      </c>
      <c r="CK25">
        <f>CK24+IF(AND(CJ25&lt;&gt;"",COUNTIF(CJ$4:CJ25,CJ25)=1),1,0)</f>
        <v/>
      </c>
      <c r="CL25" s="55">
        <f>IF(ROW()-3&gt;MAX(CK$4:CK$40),"",INDEX(CJ$4:CJ$40,MATCH(ROW()-3,CK$4:CK$40,0)))</f>
        <v/>
      </c>
      <c r="CM25" s="139">
        <f>IF('Final Calculation Sheet'!$Q$25="","",'Final Calculation Sheet'!$Q$25)</f>
        <v/>
      </c>
      <c r="CN25">
        <f>IF(CM25="","",COUNTIFS(CM$4:CM$40,"&lt;"&amp;CM25,CM$4:CM$40,"&lt;&gt;"&amp;"")+COUNTIF(CM$4:CM25,CM25))</f>
        <v/>
      </c>
      <c r="CO25" s="139">
        <f>IF(ROW()-3&gt;COUNTIF(CM$4:CM$40,"&lt;&gt;"&amp;""),"",INDEX(CM$4:CM$40,MATCH(ROW()-3,CN$4:CN$40,0)))</f>
        <v/>
      </c>
      <c r="CP25">
        <f>CP24+IF(AND(CO25&lt;&gt;"",COUNTIF(CO$4:CO25,CO25)=1),1,0)</f>
        <v/>
      </c>
      <c r="CQ25">
        <f>IF(ROW()-3&gt;MAX(CP$4:CP$40),"",INDEX(CO$4:CO$40,MATCH(ROW()-3,CP$4:CP$40,0)))</f>
        <v/>
      </c>
      <c r="CR25" s="55">
        <f>IF('Final Calculation Sheet'!$R$25="","",'Final Calculation Sheet'!$R$25)</f>
        <v/>
      </c>
      <c r="CS25">
        <f>IF(CR25="","",COUNTIFS(CR$4:CR$40,"&lt;"&amp;CR25,CR$4:CR$40,"&lt;&gt;"&amp;"")+COUNTIF(CR$4:CR25,CR25))</f>
        <v/>
      </c>
      <c r="CT25" s="55">
        <f>IF(ROW()-3&gt;COUNTIF(CR$4:CR$40,"&lt;&gt;"&amp;""),"",INDEX(CR$4:CR$40,MATCH(ROW()-3,CS$4:CS$40,0)))</f>
        <v/>
      </c>
      <c r="CU25">
        <f>CU24+IF(AND(CT25&lt;&gt;"",COUNTIF(CT$4:CT25,CT25)=1),1,0)</f>
        <v/>
      </c>
      <c r="CV25">
        <f>IF(ROW()-3&gt;MAX(CU$4:CU$40),"",INDEX(CT$4:CT$40,MATCH(ROW()-3,CU$4:CU$40,0)))</f>
        <v/>
      </c>
      <c r="CW25" s="55">
        <f>IF('Final Calculation Sheet'!$S$25="","",'Final Calculation Sheet'!$S$25)</f>
        <v/>
      </c>
      <c r="CX25">
        <f>IF(CW25="","",COUNTIFS(CW$4:CW$40,"&lt;"&amp;CW25,CW$4:CW$40,"&lt;&gt;"&amp;"")+COUNTIF(CW$4:CW25,CW25))</f>
        <v/>
      </c>
      <c r="CY25" s="55">
        <f>IF(ROW()-3&gt;COUNTIF(CW$4:CW$40,"&lt;&gt;"&amp;""),"",INDEX(CW$4:CW$40,MATCH(ROW()-3,CX$4:CX$40,0)))</f>
        <v/>
      </c>
      <c r="CZ25">
        <f>CZ24+IF(AND(CY25&lt;&gt;"",COUNTIF(CY$4:CY25,CY25)=1),1,0)</f>
        <v/>
      </c>
      <c r="DA25" s="55">
        <f>IF(ROW()-3&gt;MAX(CZ$4:CZ$40),"",INDEX(CY$4:CY$40,MATCH(ROW()-3,CZ$4:CZ$40,0)))</f>
        <v/>
      </c>
      <c r="DB25" s="55">
        <f>IF('Final Calculation Sheet'!$T$25="","",'Final Calculation Sheet'!$T$25)</f>
        <v/>
      </c>
      <c r="DC25">
        <f>IF(DB25="","",COUNTIFS(DB$4:DB$40,"&lt;"&amp;DB25,DB$4:DB$40,"&lt;&gt;"&amp;"")+COUNTIF(DB$4:DB25,DB25))</f>
        <v/>
      </c>
      <c r="DD25" s="55">
        <f>IF(ROW()-3&gt;COUNTIF(DB$4:DB$40,"&lt;&gt;"&amp;""),"",INDEX(DB$4:DB$40,MATCH(ROW()-3,DC$4:DC$40,0)))</f>
        <v/>
      </c>
      <c r="DE25">
        <f>DE24+IF(AND(DD25&lt;&gt;"",COUNTIF(DD$4:DD25,DD25)=1),1,0)</f>
        <v/>
      </c>
      <c r="DF25" s="55">
        <f>IF(ROW()-3&gt;MAX(DE$4:DE$40),"",INDEX(DD$4:DD$40,MATCH(ROW()-3,DE$4:DE$40,0)))</f>
        <v/>
      </c>
      <c r="DG25" s="140">
        <f>IF('Final Calculation Sheet'!$U$25="","",'Final Calculation Sheet'!$U$25)</f>
        <v/>
      </c>
      <c r="DH25">
        <f>IF(DG25="","",COUNTIFS(DG$4:DG$40,"&lt;"&amp;DG25,DG$4:DG$40,"&lt;&gt;"&amp;"")+COUNTIF(DG$4:DG25,DG25))</f>
        <v/>
      </c>
      <c r="DI25" s="140">
        <f>IF(ROW()-3&gt;COUNTIF(DG$4:DG$40,"&lt;&gt;"&amp;""),"",INDEX(DG$4:DG$40,MATCH(ROW()-3,DH$4:DH$40,0)))</f>
        <v/>
      </c>
      <c r="DJ25">
        <f>DJ24+IF(AND(DI25&lt;&gt;"",COUNTIF(DI$4:DI25,DI25)=1),1,0)</f>
        <v/>
      </c>
      <c r="DK25" s="140">
        <f>IF(ROW()-3&gt;MAX(DJ$4:DJ$40),"",INDEX(DI$4:DI$40,MATCH(ROW()-3,DJ$4:DJ$40,0)))</f>
        <v/>
      </c>
      <c r="DL25">
        <f>IF('Final Calculation Sheet'!$V$25="","",'Final Calculation Sheet'!$V$25)</f>
        <v/>
      </c>
      <c r="DM25">
        <f>IF(DL25="","",COUNTIFS(DL$4:DL$40,"&lt;"&amp;DL25,DL$4:DL$40,"&lt;&gt;"&amp;"")+COUNTIF(DL$4:DL25,DL25))</f>
        <v/>
      </c>
      <c r="DN25">
        <f>IF(ROW()-3&gt;COUNTIF(DL$4:DL$40,"&lt;&gt;"&amp;""),"",INDEX(DL$4:DL$40,MATCH(ROW()-3,DM$4:DM$40,0)))</f>
        <v/>
      </c>
      <c r="DO25">
        <f>DO24+IF(AND(DN25&lt;&gt;"",COUNTIF(DN$4:DN25,DN25)=1),1,0)</f>
        <v/>
      </c>
      <c r="DP25">
        <f>IF(ROW()-3&gt;MAX(DO$4:DO$40),"",INDEX(DN$4:DN$40,MATCH(ROW()-3,DO$4:DO$40,0)))</f>
        <v/>
      </c>
      <c r="DQ25" s="55">
        <f>IF('Final Calculation Sheet'!$W$25="","",'Final Calculation Sheet'!$W$25)</f>
        <v/>
      </c>
      <c r="DR25">
        <f>IF(DQ25="","",COUNTIFS(DQ$4:DQ$40,"&lt;"&amp;DQ25,DQ$4:DQ$40,"&lt;&gt;"&amp;"")+COUNTIF(DQ$4:DQ25,DQ25))</f>
        <v/>
      </c>
      <c r="DS25" s="55">
        <f>IF(ROW()-3&gt;COUNTIF(DQ$4:DQ$40,"&lt;&gt;"&amp;""),"",INDEX(DQ$4:DQ$40,MATCH(ROW()-3,DR$4:DR$40,0)))</f>
        <v/>
      </c>
      <c r="DT25">
        <f>DT24+IF(AND(DS25&lt;&gt;"",COUNTIF(DS$4:DS25,DS25)=1),1,0)</f>
        <v/>
      </c>
      <c r="DU25" s="55">
        <f>IF(ROW()-3&gt;MAX(DT$4:DT$40),"",INDEX(DS$4:DS$40,MATCH(ROW()-3,DT$4:DT$40,0)))</f>
        <v/>
      </c>
      <c r="DV25" s="55">
        <f>IF('Final Calculation Sheet'!$X$25="","",'Final Calculation Sheet'!$X$25)</f>
        <v/>
      </c>
      <c r="DW25">
        <f>IF(DV25="","",COUNTIFS(DV$4:DV$40,"&lt;"&amp;DV25,DV$4:DV$40,"&lt;&gt;"&amp;"")+COUNTIF(DV$4:DV25,DV25))</f>
        <v/>
      </c>
      <c r="DX25" s="55">
        <f>IF(ROW()-3&gt;COUNTIF(DV$4:DV$40,"&lt;&gt;"&amp;""),"",INDEX(DV$4:DV$40,MATCH(ROW()-3,DW$4:DW$40,0)))</f>
        <v/>
      </c>
      <c r="DY25">
        <f>DY24+IF(AND(DX25&lt;&gt;"",COUNTIF(DX$4:DX25,DX25)=1),1,0)</f>
        <v/>
      </c>
      <c r="DZ25">
        <f>IF(ROW()-3&gt;MAX(DY$4:DY$40),"",INDEX(DX$4:DX$40,MATCH(ROW()-3,DY$4:DY$40,0)))</f>
        <v/>
      </c>
      <c r="EA25">
        <f>IF('Final Calculation Sheet'!$Y$25="","",'Final Calculation Sheet'!$Y$25)</f>
        <v/>
      </c>
      <c r="EB25">
        <f>IF(EA25="","",COUNTIFS(EA$4:EA$40,"&lt;"&amp;EA25,EA$4:EA$40,"&lt;&gt;"&amp;"")+COUNTIF(EA$4:EA25,EA25))</f>
        <v/>
      </c>
      <c r="EC25">
        <f>IF(ROW()-3&gt;COUNTIF(EA$4:EA$40,"&lt;&gt;"&amp;""),"",INDEX(EA$4:EA$40,MATCH(ROW()-3,EB$4:EB$40,0)))</f>
        <v/>
      </c>
      <c r="ED25">
        <f>ED24+IF(AND(EC25&lt;&gt;"",COUNTIF(EC$4:EC25,EC25)=1),1,0)</f>
        <v/>
      </c>
      <c r="EE25">
        <f>IF(ROW()-3&gt;MAX(ED$4:ED$40),"",INDEX(EC$4:EC$40,MATCH(ROW()-3,ED$4:ED$40,0)))</f>
        <v/>
      </c>
      <c r="EF25" s="55">
        <f>IF('Final Calculation Sheet'!$Z$25="","",'Final Calculation Sheet'!$Z$25)</f>
        <v/>
      </c>
      <c r="EG25">
        <f>IF(EF25="","",COUNTIFS(EF$4:EF$40,"&lt;"&amp;EF25,EF$4:EF$40,"&lt;&gt;"&amp;"")+COUNTIF(EF$4:EF25,EF25))</f>
        <v/>
      </c>
      <c r="EH25" s="55">
        <f>IF(ROW()-3&gt;COUNTIF(EF$4:EF$40,"&lt;&gt;"&amp;""),"",INDEX(EF$4:EF$40,MATCH(ROW()-3,EG$4:EG$40,0)))</f>
        <v/>
      </c>
      <c r="EI25">
        <f>EI24+IF(AND(EH25&lt;&gt;"",COUNTIF(EH$4:EH25,EH25)=1),1,0)</f>
        <v/>
      </c>
      <c r="EJ25">
        <f>IF(ROW()-3&gt;MAX(EI$4:EI$40),"",INDEX(EH$4:EH$40,MATCH(ROW()-3,EI$4:EI$40,0)))</f>
        <v/>
      </c>
      <c r="EK25">
        <f>IF('Final Calculation Sheet'!$AA$25="","",'Final Calculation Sheet'!$AA$25)</f>
        <v/>
      </c>
      <c r="EL25">
        <f>IF(EK25="","",COUNTIFS(EK$4:EK$40,"&lt;"&amp;EK25,EK$4:EK$40,"&lt;&gt;"&amp;"")+COUNTIF(EK$4:EK25,EK25))</f>
        <v/>
      </c>
      <c r="EM25">
        <f>IF(ROW()-3&gt;COUNTIF(EK$4:EK$40,"&lt;&gt;"&amp;""),"",INDEX(EK$4:EK$40,MATCH(ROW()-3,EL$4:EL$40,0)))</f>
        <v/>
      </c>
      <c r="EN25">
        <f>EN24+IF(AND(EM25&lt;&gt;"",COUNTIF(EM$4:EM25,EM25)=1),1,0)</f>
        <v/>
      </c>
      <c r="EO25">
        <f>IF(ROW()-3&gt;MAX(EN$4:EN$40),"",INDEX(EM$4:EM$40,MATCH(ROW()-3,EN$4:EN$40,0)))</f>
        <v/>
      </c>
      <c r="EP25">
        <f>IF('Final Calculation Sheet'!$AB$25="","",'Final Calculation Sheet'!$AB$25)</f>
        <v/>
      </c>
      <c r="EQ25">
        <f>IF(EP25="","",COUNTIFS(EP$4:EP$40,"&lt;"&amp;EP25,EP$4:EP$40,"&lt;&gt;"&amp;"")+COUNTIF(EP$4:EP25,EP25))</f>
        <v/>
      </c>
      <c r="ER25">
        <f>IF(ROW()-3&gt;COUNTIF(EP$4:EP$40,"&lt;&gt;"&amp;""),"",INDEX(EP$4:EP$40,MATCH(ROW()-3,EQ$4:EQ$40,0)))</f>
        <v/>
      </c>
      <c r="ES25">
        <f>ES24+IF(AND(ER25&lt;&gt;"",COUNTIF(ER$4:ER25,ER25)=1),1,0)</f>
        <v/>
      </c>
      <c r="ET25">
        <f>IF(ROW()-3&gt;MAX(ES$4:ES$40),"",INDEX(ER$4:ER$40,MATCH(ROW()-3,ES$4:ES$40,0)))</f>
        <v/>
      </c>
      <c r="EU25" s="55">
        <f>IF('Final Calculation Sheet'!$AC$25="","",'Final Calculation Sheet'!$AC$25)</f>
        <v/>
      </c>
      <c r="EV25">
        <f>IF(EU25="","",COUNTIFS(EU$4:EU$40,"&lt;"&amp;EU25,EU$4:EU$40,"&lt;&gt;"&amp;"")+COUNTIF(EU$4:EU25,EU25))</f>
        <v/>
      </c>
      <c r="EW25" s="55">
        <f>IF(ROW()-3&gt;COUNTIF(EU$4:EU$40,"&lt;&gt;"&amp;""),"",INDEX(EU$4:EU$40,MATCH(ROW()-3,EV$4:EV$40,0)))</f>
        <v/>
      </c>
      <c r="EX25">
        <f>EX24+IF(AND(EW25&lt;&gt;"",COUNTIF(EW$4:EW25,EW25)=1),1,0)</f>
        <v/>
      </c>
      <c r="EY25" s="55">
        <f>IF(ROW()-3&gt;MAX(EX$4:EX$40),"",INDEX(EW$4:EW$40,MATCH(ROW()-3,EX$4:EX$40,0)))</f>
        <v/>
      </c>
      <c r="EZ25" s="55">
        <f>IF('Final Calculation Sheet'!$AD$25="","",'Final Calculation Sheet'!$AD$25)</f>
        <v/>
      </c>
      <c r="FA25">
        <f>IF(EZ25="","",COUNTIFS(EZ$4:EZ$40,"&lt;"&amp;EZ25,EZ$4:EZ$40,"&lt;&gt;"&amp;"")+COUNTIF(EZ$4:EZ25,EZ25))</f>
        <v/>
      </c>
      <c r="FB25" s="55">
        <f>IF(ROW()-3&gt;COUNTIF(EZ$4:EZ$40,"&lt;&gt;"&amp;""),"",INDEX(EZ$4:EZ$40,MATCH(ROW()-3,FA$4:FA$40,0)))</f>
        <v/>
      </c>
      <c r="FC25">
        <f>FC24+IF(AND(FB25&lt;&gt;"",COUNTIF(FB$4:FB25,FB25)=1),1,0)</f>
        <v/>
      </c>
      <c r="FD25">
        <f>IF(ROW()-3&gt;MAX(FC$4:FC$40),"",INDEX(FB$4:FB$40,MATCH(ROW()-3,FC$4:FC$40,0)))</f>
        <v/>
      </c>
      <c r="FE25">
        <f>IF('Final Calculation Sheet'!$AF$25="","",'Final Calculation Sheet'!$AF$25)</f>
        <v/>
      </c>
      <c r="FF25">
        <f>IF(FE25="","",COUNTIFS(FE$4:FE$40,"&lt;"&amp;FE25,FE$4:FE$40,"&lt;&gt;"&amp;"")+COUNTIF(FE$4:FE25,FE25))</f>
        <v/>
      </c>
      <c r="FG25">
        <f>IF(ROW()-3&gt;COUNTIF(FE$4:FE$40,"&lt;&gt;"&amp;""),"",INDEX(FE$4:FE$40,MATCH(ROW()-3,FF$4:FF$40,0)))</f>
        <v/>
      </c>
      <c r="FH25">
        <f>FH24+IF(AND(FG25&lt;&gt;"",COUNTIF(FG$4:FG25,FG25)=1),1,0)</f>
        <v/>
      </c>
      <c r="FI25">
        <f>IF(ROW()-3&gt;MAX(FH$4:FH$40),"",INDEX(FG$4:FG$40,MATCH(ROW()-3,FH$4:FH$40,0)))</f>
        <v/>
      </c>
      <c r="FJ25" s="141">
        <f>IF('Final Calculation Sheet'!$AG$25="","",'Final Calculation Sheet'!$AG$25)</f>
        <v/>
      </c>
      <c r="FK25">
        <f>IF(FJ25="","",COUNTIFS(FJ$4:FJ$40,"&lt;"&amp;FJ25,FJ$4:FJ$40,"&lt;&gt;"&amp;"")+COUNTIF(FJ$4:FJ25,FJ25))</f>
        <v/>
      </c>
      <c r="FL25" s="141">
        <f>IF(ROW()-3&gt;COUNTIF(FJ$4:FJ$40,"&lt;&gt;"&amp;""),"",INDEX(FJ$4:FJ$40,MATCH(ROW()-3,FK$4:FK$40,0)))</f>
        <v/>
      </c>
      <c r="FM25">
        <f>FM24+IF(AND(FL25&lt;&gt;"",COUNTIF(FL$4:FL25,FL25)=1),1,0)</f>
        <v/>
      </c>
      <c r="FN25">
        <f>IF(ROW()-3&gt;MAX(FM$4:FM$40),"",INDEX(FL$4:FL$40,MATCH(ROW()-3,FM$4:FM$40,0)))</f>
        <v/>
      </c>
      <c r="FO25">
        <f>IF('Final Calculation Sheet'!$AH$25="","",'Final Calculation Sheet'!$AH$25)</f>
        <v/>
      </c>
      <c r="FP25">
        <f>IF(FO25="","",COUNTIFS(FO$4:FO$40,"&lt;"&amp;FO25,FO$4:FO$40,"&lt;&gt;"&amp;"")+COUNTIF(FO$4:FO25,FO25))</f>
        <v/>
      </c>
      <c r="FQ25">
        <f>IF(ROW()-3&gt;COUNTIF(FO$4:FO$40,"&lt;&gt;"&amp;""),"",INDEX(FO$4:FO$40,MATCH(ROW()-3,FP$4:FP$40,0)))</f>
        <v/>
      </c>
      <c r="FR25">
        <f>FR24+IF(AND(FQ25&lt;&gt;"",COUNTIF(FQ$4:FQ25,FQ25)=1),1,0)</f>
        <v/>
      </c>
      <c r="FS25">
        <f>IF(ROW()-3&gt;MAX(FR$4:FR$40),"",INDEX(FQ$4:FQ$40,MATCH(ROW()-3,FR$4:FR$40,0)))</f>
        <v/>
      </c>
      <c r="FU25">
        <f>IF(FT25="","",COUNTIFS(FT$4:FT$40,"&lt;"&amp;FT25,FT$4:FT$40,"&lt;&gt;"&amp;"")+COUNTIF(FT$4:FT25,FT25))</f>
        <v/>
      </c>
      <c r="FV25">
        <f>IF(ROW()-3&gt;COUNTIF(FT$4:FT$40,"&lt;&gt;"&amp;""),"",INDEX(FT$4:FT$40,MATCH(ROW()-3,FU$4:FU$40,0)))</f>
        <v/>
      </c>
      <c r="FW25">
        <f>FW24+IF(AND(FV25&lt;&gt;"",COUNTIF(FV$4:FV25,FV25)=1),1,0)</f>
        <v/>
      </c>
      <c r="FX25">
        <f>IF(ROW()-3&gt;MAX(FW$4:FW$40),"",INDEX(FV$4:FV$40,MATCH(ROW()-3,FW$4:FW$40,0)))</f>
        <v/>
      </c>
      <c r="FY25">
        <f>IF(COUNTIF('Live Search'!BM$24:BO$24,0)+COUNTIF('Live Search'!BQ$24:CU$24,0)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5">
        <f>IF($Y$25="",FALSE,SUMPRODUCT(('Final Calculation Sheet'!$B$4:$B$40=$Y$25)*($FY$6:$FY$42=1))&gt;0)</f>
        <v/>
      </c>
      <c r="GA25">
        <f>$GA$24+--($FZ$25)</f>
        <v/>
      </c>
      <c r="GB25">
        <f>IF(ROW()-3&gt;MAX($GA$4:$GA$40),"",INDEX($Y$4:$Y$40,MATCH(ROW()-3,$GA$4:$GA$40,0)))</f>
        <v/>
      </c>
      <c r="GC25">
        <f>IF('Final Calculation Sheet'!$F$25="","",IF(TRIM('Final Calculation Sheet'!$G$2)="",'Final Calculation Sheet'!$F$25,IF(TRIM('Final Calculation Sheet'!$G$2)="(nonblank)",IF('Final Calculation Sheet'!$G$25&lt;&gt;"",'Final Calculation Sheet'!$F$25,""),IF(TRIM('Final Calculation Sheet'!$G$2)="(blank)",IF('Final Calculation Sheet'!$G$25="",'Final Calculation Sheet'!$F$25,""),IF(ISNUMBER(SEARCH(TRIM('Final Calculation Sheet'!$G$2),'Final Calculation Sheet'!$G$25)),'Final Calculation Sheet'!$F$25,"")))))</f>
        <v/>
      </c>
      <c r="GD25">
        <f>IF(GC25="","",COUNTIFS(GC$4:GC$40,"&lt;"&amp;GC25,GC$4:GC$40,"&lt;&gt;"&amp;"")+COUNTIF(GC$4:GC25,GC25))</f>
        <v/>
      </c>
      <c r="GE25">
        <f>IF(ROW()-3&gt;COUNTIF(GC$4:GC$40,"&lt;&gt;"&amp;""),"",INDEX(GC$4:GC$40,MATCH(ROW()-3,GD$4:GD$40,0)))</f>
        <v/>
      </c>
      <c r="GF25">
        <f>GF24+IF(AND(GE25&lt;&gt;"",COUNTIF(GE$4:GE25,GE25)=1),1,0)</f>
        <v/>
      </c>
      <c r="GG25">
        <f>IF(ROW()-3&gt;MAX(GF$4:GF$40),"",INDEX(GE$4:GE$40,MATCH(ROW()-3,GF$4:GF$40,0)))</f>
        <v/>
      </c>
      <c r="GH25">
        <f>IF('Final Calculation Sheet'!$F$25="","",IF('Live Search'!$BO$26=1,'Final Calculation Sheet'!$F$25,""))</f>
        <v/>
      </c>
      <c r="GI25">
        <f>IF(GH25="","",COUNTIFS(GH$4:GH$40,"&lt;"&amp;GH25,GH$4:GH$40,"&lt;&gt;"&amp;"")+COUNTIF(GH$4:GH25,GH25))</f>
        <v/>
      </c>
      <c r="GJ25">
        <f>IF(ROW()-3&gt;COUNTIF(GH$4:GH$40,"&lt;&gt;"&amp;""),"",INDEX(GH$4:GH$40,MATCH(ROW()-3,GI$4:GI$40,0)))</f>
        <v/>
      </c>
      <c r="GK25">
        <f>GK24+IF(AND(GJ25&lt;&gt;"",COUNTIF(GJ$4:GJ25,GJ25)=1),1,0)</f>
        <v/>
      </c>
      <c r="GL25">
        <f>IF(ROW()-3&gt;MAX(GK$4:GK$40),"",INDEX(GJ$4:GJ$40,MATCH(ROW()-3,GK$4:GK$40,0)))</f>
        <v/>
      </c>
      <c r="GM25">
        <f>IF('Final Calculation Sheet'!$F$25="","",IF(TRIM('Buyer Groups'!$C$4)="",'Final Calculation Sheet'!$F$25,IF(TRIM('Buyer Groups'!$C$4)="(nonblank)",IF('Final Calculation Sheet'!$G$25&lt;&gt;"",'Final Calculation Sheet'!$F$25,""),IF(TRIM('Buyer Groups'!$C$4)="(blank)",IF('Final Calculation Sheet'!$G$25="",'Final Calculation Sheet'!$F$25,""),IF(ISNUMBER(SEARCH(TRIM('Buyer Groups'!$C$4),'Final Calculation Sheet'!$G$25)),'Final Calculation Sheet'!$F$25,"")))))</f>
        <v/>
      </c>
      <c r="GN25">
        <f>IF(GM25="","",COUNTIFS(GM$4:GM$40,"&lt;"&amp;GM25,GM$4:GM$40,"&lt;&gt;"&amp;"")+COUNTIF(GM$4:GM25,GM25))</f>
        <v/>
      </c>
      <c r="GO25">
        <f>IF(ROW()-3&gt;COUNTIF(GM$4:GM$40,"&lt;&gt;"&amp;""),"",INDEX(GM$4:GM$40,MATCH(ROW()-3,GN$4:GN$40,0)))</f>
        <v/>
      </c>
      <c r="GP25">
        <f>GP24+IF(AND(GO25&lt;&gt;"",COUNTIF(GO$4:GO25,GO25)=1),1,0)</f>
        <v/>
      </c>
      <c r="GQ25">
        <f>IF(ROW()-3&gt;MAX(GP$4:GP$40),"",INDEX(GO$4:GO$40,MATCH(ROW()-3,GP$4:GP$40,0)))</f>
        <v/>
      </c>
      <c r="GR25">
        <f>IF('Final Calculation Sheet'!$B$25="","",IF(TRIM('Final Calculation Sheet'!$G$2)="",'Final Calculation Sheet'!$B$25,IF(TRIM('Final Calculation Sheet'!$G$2)="(nonblank)",IF('Final Calculation Sheet'!$G$25&lt;&gt;"",'Final Calculation Sheet'!$B$25,""),IF(TRIM('Final Calculation Sheet'!$G$2)="(blank)",IF('Final Calculation Sheet'!$G$25="",'Final Calculation Sheet'!$B$25,""),IF(ISNUMBER(SEARCH(TRIM('Final Calculation Sheet'!$G$2),'Final Calculation Sheet'!$G$25)),'Final Calculation Sheet'!$B$25,"")))))</f>
        <v/>
      </c>
      <c r="GS25">
        <f>IF(GR25="","",COUNTIFS(GR$4:GR$40,"&lt;"&amp;GR25,GR$4:GR$40,"&lt;&gt;"&amp;"")+COUNTIF(GR$4:GR25,GR25))</f>
        <v/>
      </c>
      <c r="GT25">
        <f>IF(ROW()-3&gt;COUNTIF(GR$4:GR$40,"&lt;&gt;"&amp;""),"",INDEX(GR$4:GR$40,MATCH(ROW()-3,GS$4:GS$40,0)))</f>
        <v/>
      </c>
      <c r="GU25">
        <f>GU24+IF(AND(GT25&lt;&gt;"",COUNTIF(GT$4:GT25,GT25)=1),1,0)</f>
        <v/>
      </c>
      <c r="GV25">
        <f>IF(ROW()-3&gt;MAX(GU$4:GU$40),"",INDEX(GT$4:GT$40,MATCH(ROW()-3,GU$4:GU$40,0)))</f>
        <v/>
      </c>
      <c r="GW25">
        <f>IF('Final Calculation Sheet'!$B$25="","",IF(TRIM('Buyer Groups'!$C$4)="",'Final Calculation Sheet'!$B$25,IF(TRIM('Buyer Groups'!$C$4)="(nonblank)",IF('Final Calculation Sheet'!$G$25&lt;&gt;"",'Final Calculation Sheet'!$B$25,""),IF(TRIM('Buyer Groups'!$C$4)="(blank)",IF('Final Calculation Sheet'!$G$25="",'Final Calculation Sheet'!$B$25,""),IF(ISNUMBER(SEARCH(TRIM('Buyer Groups'!$C$4),'Final Calculation Sheet'!$G$25)),'Final Calculation Sheet'!$B$25,"")))))</f>
        <v/>
      </c>
      <c r="GX25">
        <f>IF(GW25="","",COUNTIFS(GW$4:GW$40,"&lt;"&amp;GW25,GW$4:GW$40,"&lt;&gt;"&amp;"")+COUNTIF(GW$4:GW25,GW25))</f>
        <v/>
      </c>
      <c r="GY25">
        <f>IF(ROW()-3&gt;COUNTIF(GW$4:GW$40,"&lt;&gt;"&amp;""),"",INDEX(GW$4:GW$40,MATCH(ROW()-3,GX$4:GX$40,0)))</f>
        <v/>
      </c>
      <c r="GZ25">
        <f>GZ24+IF(AND(GY25&lt;&gt;"",COUNTIF(GY$4:GY25,GY25)=1),1,0)</f>
        <v/>
      </c>
      <c r="HA25">
        <f>IF(ROW()-3&gt;MAX(GZ$4:GZ$40),"",INDEX(GY$4:GY$40,MATCH(ROW()-3,GZ$4:GZ$40,0)))</f>
        <v/>
      </c>
    </row>
    <row r="26">
      <c r="A26">
        <f>IF('Final Calculation Sheet'!$F$26="","",'Final Calculation Sheet'!$F$26)</f>
        <v/>
      </c>
      <c r="B26">
        <f>IF(A26="","",COUNTIFS(A$4:A$114,"&lt;"&amp;A26,A$4:A$114,"&lt;&gt;"&amp;"")+COUNTIF(A$4:A26,A26))</f>
        <v/>
      </c>
      <c r="C26">
        <f>IF(ROW()-3&gt;COUNTIF(A$4:A$114,"&lt;&gt;"&amp;""),"",INDEX(A$4:A$114,MATCH(ROW()-3,B$4:B$114,0)))</f>
        <v/>
      </c>
      <c r="D26">
        <f>D25+IF(AND(C26&lt;&gt;"",COUNTIF(C$4:C26,C26)=1),1,0)</f>
        <v/>
      </c>
      <c r="E26">
        <f>IF(ROW()-3&gt;MAX(D$4:D$114),"",INDEX(C$4:C$114,MATCH(ROW()-3,D$4:D$114,0)))</f>
        <v/>
      </c>
      <c r="F26">
        <f>ROW()-3</f>
        <v/>
      </c>
      <c r="G26">
        <f>IF(F26="","",COUNTIFS(F$4:F$40,"&lt;"&amp;F26,F$4:F$40,"&lt;&gt;"&amp;"")+COUNTIF(F$4:F26,F26))</f>
        <v/>
      </c>
      <c r="H26">
        <f>IF(ROW()-3&gt;COUNTIF(F$4:F$40,"&lt;&gt;"&amp;""),"",INDEX(F$4:F$40,MATCH(ROW()-3,G$4:G$40,0)))</f>
        <v/>
      </c>
      <c r="I26">
        <f>I25+IF(AND(H26&lt;&gt;"",COUNTIF(H$4:H26,H26)=1),1,0)</f>
        <v/>
      </c>
      <c r="J26">
        <f>IF(ROW()-3&gt;MAX(I$4:I$40),"",INDEX(H$4:H$40,MATCH(ROW()-3,I$4:I$40,0)))</f>
        <v/>
      </c>
      <c r="K26">
        <f>IF('Final Calculation Sheet'!$F$26="","",'Final Calculation Sheet'!$F$26)</f>
        <v/>
      </c>
      <c r="L26">
        <f>IF(K26="","",COUNTIFS(K$4:K$40,"&lt;"&amp;K26,K$4:K$40,"&lt;&gt;"&amp;"")+COUNTIF(K$4:K26,K26))</f>
        <v/>
      </c>
      <c r="M26">
        <f>IF(ROW()-3&gt;COUNTIF(K$4:K$40,"&lt;&gt;"&amp;""),"",INDEX(K$4:K$40,MATCH(ROW()-3,L$4:L$40,0)))</f>
        <v/>
      </c>
      <c r="N26">
        <f>N25+IF(AND(M26&lt;&gt;"",COUNTIF(M$4:M26,M26)=1),1,0)</f>
        <v/>
      </c>
      <c r="O26">
        <f>IF(ROW()-3&gt;MAX(N$4:N$40),"",INDEX(M$4:M$40,MATCH(ROW()-3,N$4:N$40,0)))</f>
        <v/>
      </c>
      <c r="P26">
        <f>IF('Final Calculation Sheet'!$G$26="","",'Final Calculation Sheet'!$G$26)</f>
        <v/>
      </c>
      <c r="Q26">
        <f>IF(P26="","",COUNTIFS(P$4:P$40,"&lt;"&amp;P26,P$4:P$40,"&lt;&gt;"&amp;"")+COUNTIF(P$4:P26,P26))</f>
        <v/>
      </c>
      <c r="R26">
        <f>IF(ROW()-3&gt;COUNTIF(P$4:P$40,"&lt;&gt;"&amp;""),"",INDEX(P$4:P$40,MATCH(ROW()-3,Q$4:Q$40,0)))</f>
        <v/>
      </c>
      <c r="S26">
        <f>S25+IF(AND(R26&lt;&gt;"",COUNTIF(R$4:R26,R26)=1),1,0)</f>
        <v/>
      </c>
      <c r="T26">
        <f>IF(ROW()-3&gt;MAX(S$4:S$40),"",INDEX(R$4:R$40,MATCH(ROW()-3,S$4:S$40,0)))</f>
        <v/>
      </c>
      <c r="U26">
        <f>IF('Final Calculation Sheet'!$B$26="","",'Final Calculation Sheet'!$B$26)</f>
        <v/>
      </c>
      <c r="V26">
        <f>IF(U26="","",COUNTIFS(U$4:U$40,"&lt;"&amp;U26,U$4:U$40,"&lt;&gt;"&amp;"")+COUNTIF(U$4:U26,U26))</f>
        <v/>
      </c>
      <c r="W26">
        <f>IF(ROW()-3&gt;COUNTIF(U$4:U$40,"&lt;&gt;"&amp;""),"",INDEX(U$4:U$40,MATCH(ROW()-3,V$4:V$40,0)))</f>
        <v/>
      </c>
      <c r="X26">
        <f>X25+IF(AND(W26&lt;&gt;"",COUNTIF(W$4:W26,W26)=1),1,0)</f>
        <v/>
      </c>
      <c r="Y26">
        <f>IF(ROW()-3&gt;MAX(X$4:X$40),"",INDEX(W$4:W$40,MATCH(ROW()-3,X$4:X$40,0)))</f>
        <v/>
      </c>
      <c r="Z26">
        <f>IF('Final Calculation Sheet'!$D$26="","",'Final Calculation Sheet'!$D$26)</f>
        <v/>
      </c>
      <c r="AA26">
        <f>IF(Z26="","",COUNTIFS(Z$4:Z$40,"&lt;"&amp;Z26,Z$4:Z$40,"&lt;&gt;"&amp;"")+COUNTIF(Z$4:Z26,Z26))</f>
        <v/>
      </c>
      <c r="AB26">
        <f>IF(ROW()-3&gt;COUNTIF(Z$4:Z$40,"&lt;&gt;"&amp;""),"",INDEX(Z$4:Z$40,MATCH(ROW()-3,AA$4:AA$40,0)))</f>
        <v/>
      </c>
      <c r="AC26">
        <f>AC25+IF(AND(AB26&lt;&gt;"",COUNTIF(AB$4:AB26,AB26)=1),1,0)</f>
        <v/>
      </c>
      <c r="AD26">
        <f>IF(ROW()-3&gt;MAX(AC$4:AC$40),"",INDEX(AB$4:AB$40,MATCH(ROW()-3,AC$4:AC$40,0)))</f>
        <v/>
      </c>
      <c r="AE26">
        <f>IF('Final Calculation Sheet'!$A$26="","",'Final Calculation Sheet'!$A$26)</f>
        <v/>
      </c>
      <c r="AF26">
        <f>IF(AE26="","",COUNTIFS(AE$4:AE$40,"&lt;"&amp;AE26,AE$4:AE$40,"&lt;&gt;"&amp;"")+COUNTIF(AE$4:AE26,AE26))</f>
        <v/>
      </c>
      <c r="AG26">
        <f>IF(ROW()-3&gt;COUNTIF(AE$4:AE$40,"&lt;&gt;"&amp;""),"",INDEX(AE$4:AE$40,MATCH(ROW()-3,AF$4:AF$40,0)))</f>
        <v/>
      </c>
      <c r="AH26">
        <f>AH25+IF(AND(AG26&lt;&gt;"",COUNTIF(AG$4:AG26,AG26)=1),1,0)</f>
        <v/>
      </c>
      <c r="AI26">
        <f>IF(ROW()-3&gt;MAX(AH$4:AH$40),"",INDEX(AG$4:AG$40,MATCH(ROW()-3,AH$4:AH$40,0)))</f>
        <v/>
      </c>
      <c r="AJ26">
        <f>IF('Final Calculation Sheet'!$E$26="","",'Final Calculation Sheet'!$E$26)</f>
        <v/>
      </c>
      <c r="AK26">
        <f>IF(AJ26="","",COUNTIFS(AJ$4:AJ$40,"&lt;"&amp;AJ26,AJ$4:AJ$40,"&lt;&gt;"&amp;"")+COUNTIF(AJ$4:AJ26,AJ26))</f>
        <v/>
      </c>
      <c r="AL26">
        <f>IF(ROW()-3&gt;COUNTIF(AJ$4:AJ$40,"&lt;&gt;"&amp;""),"",INDEX(AJ$4:AJ$40,MATCH(ROW()-3,AK$4:AK$40,0)))</f>
        <v/>
      </c>
      <c r="AM26">
        <f>AM25+IF(AND(AL26&lt;&gt;"",COUNTIF(AL$4:AL26,AL26)=1),1,0)</f>
        <v/>
      </c>
      <c r="AN26">
        <f>IF(ROW()-3&gt;MAX(AM$4:AM$40),"",INDEX(AL$4:AL$40,MATCH(ROW()-3,AM$4:AM$40,0)))</f>
        <v/>
      </c>
      <c r="AO26" s="55">
        <f>IF('Final Calculation Sheet'!$C$26="","",'Final Calculation Sheet'!$C$26)</f>
        <v/>
      </c>
      <c r="AP26">
        <f>IF(AO26="","",COUNTIFS(AO$4:AO$40,"&lt;"&amp;AO26,AO$4:AO$40,"&lt;&gt;"&amp;"")+COUNTIF(AO$4:AO26,AO26))</f>
        <v/>
      </c>
      <c r="AQ26" s="55">
        <f>IF(ROW()-3&gt;COUNTIF(AO$4:AO$40,"&lt;&gt;"&amp;""),"",INDEX(AO$4:AO$40,MATCH(ROW()-3,AP$4:AP$40,0)))</f>
        <v/>
      </c>
      <c r="AR26">
        <f>AR25+IF(AND(AQ26&lt;&gt;"",COUNTIF(AQ$4:AQ26,AQ26)=1),1,0)</f>
        <v/>
      </c>
      <c r="AS26" s="55">
        <f>IF(ROW()-3&gt;MAX(AR$4:AR$40),"",INDEX(AQ$4:AQ$40,MATCH(ROW()-3,AR$4:AR$40,0)))</f>
        <v/>
      </c>
      <c r="AT26" s="55">
        <f>IF('Final Calculation Sheet'!$H$26="","",'Final Calculation Sheet'!$H$26)</f>
        <v/>
      </c>
      <c r="AU26">
        <f>IF(AT26="","",COUNTIFS(AT$4:AT$40,"&lt;"&amp;AT26,AT$4:AT$40,"&lt;&gt;"&amp;"")+COUNTIF(AT$4:AT26,AT26))</f>
        <v/>
      </c>
      <c r="AV26" s="55">
        <f>IF(ROW()-3&gt;COUNTIF(AT$4:AT$40,"&lt;&gt;"&amp;""),"",INDEX(AT$4:AT$40,MATCH(ROW()-3,AU$4:AU$40,0)))</f>
        <v/>
      </c>
      <c r="AW26">
        <f>AW25+IF(AND(AV26&lt;&gt;"",COUNTIF(AV$4:AV26,AV26)=1),1,0)</f>
        <v/>
      </c>
      <c r="AX26" s="55">
        <f>IF(ROW()-3&gt;MAX(AW$4:AW$40),"",INDEX(AV$4:AV$40,MATCH(ROW()-3,AW$4:AW$40,0)))</f>
        <v/>
      </c>
      <c r="AY26" s="55">
        <f>IF('Final Calculation Sheet'!$I$26="","",'Final Calculation Sheet'!$I$26)</f>
        <v/>
      </c>
      <c r="AZ26">
        <f>IF(AY26="","",COUNTIFS(AY$4:AY$40,"&lt;"&amp;AY26,AY$4:AY$40,"&lt;&gt;"&amp;"")+COUNTIF(AY$4:AY26,AY26))</f>
        <v/>
      </c>
      <c r="BA26" s="55">
        <f>IF(ROW()-3&gt;COUNTIF(AY$4:AY$40,"&lt;&gt;"&amp;""),"",INDEX(AY$4:AY$40,MATCH(ROW()-3,AZ$4:AZ$40,0)))</f>
        <v/>
      </c>
      <c r="BB26">
        <f>BB25+IF(AND(BA26&lt;&gt;"",COUNTIF(BA$4:BA26,BA26)=1),1,0)</f>
        <v/>
      </c>
      <c r="BC26" s="55">
        <f>IF(ROW()-3&gt;MAX(BB$4:BB$40),"",INDEX(BA$4:BA$40,MATCH(ROW()-3,BB$4:BB$40,0)))</f>
        <v/>
      </c>
      <c r="BD26" s="55">
        <f>IF('Final Calculation Sheet'!$J$26="","",'Final Calculation Sheet'!$J$26)</f>
        <v/>
      </c>
      <c r="BE26">
        <f>IF(BD26="","",COUNTIFS(BD$4:BD$40,"&lt;"&amp;BD26,BD$4:BD$40,"&lt;&gt;"&amp;"")+COUNTIF(BD$4:BD26,BD26))</f>
        <v/>
      </c>
      <c r="BF26" s="55">
        <f>IF(ROW()-3&gt;COUNTIF(BD$4:BD$40,"&lt;&gt;"&amp;""),"",INDEX(BD$4:BD$40,MATCH(ROW()-3,BE$4:BE$40,0)))</f>
        <v/>
      </c>
      <c r="BG26">
        <f>BG25+IF(AND(BF26&lt;&gt;"",COUNTIF(BF$4:BF26,BF26)=1),1,0)</f>
        <v/>
      </c>
      <c r="BH26" s="55">
        <f>IF(ROW()-3&gt;MAX(BG$4:BG$40),"",INDEX(BF$4:BF$40,MATCH(ROW()-3,BG$4:BG$40,0)))</f>
        <v/>
      </c>
      <c r="BI26" s="55">
        <f>IF('Final Calculation Sheet'!$K$26="","",'Final Calculation Sheet'!$K$26)</f>
        <v/>
      </c>
      <c r="BJ26">
        <f>IF(BI26="","",COUNTIFS(BI$4:BI$40,"&lt;"&amp;BI26,BI$4:BI$40,"&lt;&gt;"&amp;"")+COUNTIF(BI$4:BI26,BI26))</f>
        <v/>
      </c>
      <c r="BK26" s="55">
        <f>IF(ROW()-3&gt;COUNTIF(BI$4:BI$40,"&lt;&gt;"&amp;""),"",INDEX(BI$4:BI$40,MATCH(ROW()-3,BJ$4:BJ$40,0)))</f>
        <v/>
      </c>
      <c r="BL26">
        <f>BL25+IF(AND(BK26&lt;&gt;"",COUNTIF(BK$4:BK26,BK26)=1),1,0)</f>
        <v/>
      </c>
      <c r="BM26" s="55">
        <f>IF(ROW()-3&gt;MAX(BL$4:BL$40),"",INDEX(BK$4:BK$40,MATCH(ROW()-3,BL$4:BL$40,0)))</f>
        <v/>
      </c>
      <c r="BN26" s="55">
        <f>IF('Final Calculation Sheet'!$L$26="","",'Final Calculation Sheet'!$L$26)</f>
        <v/>
      </c>
      <c r="BO26">
        <f>IF(BN26="","",COUNTIFS(BN$4:BN$40,"&lt;"&amp;BN26,BN$4:BN$40,"&lt;&gt;"&amp;"")+COUNTIF(BN$4:BN26,BN26))</f>
        <v/>
      </c>
      <c r="BP26" s="55">
        <f>IF(ROW()-3&gt;COUNTIF(BN$4:BN$40,"&lt;&gt;"&amp;""),"",INDEX(BN$4:BN$40,MATCH(ROW()-3,BO$4:BO$40,0)))</f>
        <v/>
      </c>
      <c r="BQ26">
        <f>BQ25+IF(AND(BP26&lt;&gt;"",COUNTIF(BP$4:BP26,BP26)=1),1,0)</f>
        <v/>
      </c>
      <c r="BR26" s="55">
        <f>IF(ROW()-3&gt;MAX(BQ$4:BQ$40),"",INDEX(BP$4:BP$40,MATCH(ROW()-3,BQ$4:BQ$40,0)))</f>
        <v/>
      </c>
      <c r="BS26" s="55">
        <f>IF('Final Calculation Sheet'!$M$26="","",'Final Calculation Sheet'!$M$26)</f>
        <v/>
      </c>
      <c r="BT26">
        <f>IF(BS26="","",COUNTIFS(BS$4:BS$40,"&lt;"&amp;BS26,BS$4:BS$40,"&lt;&gt;"&amp;"")+COUNTIF(BS$4:BS26,BS26))</f>
        <v/>
      </c>
      <c r="BU26" s="55">
        <f>IF(ROW()-3&gt;COUNTIF(BS$4:BS$40,"&lt;&gt;"&amp;""),"",INDEX(BS$4:BS$40,MATCH(ROW()-3,BT$4:BT$40,0)))</f>
        <v/>
      </c>
      <c r="BV26">
        <f>BV25+IF(AND(BU26&lt;&gt;"",COUNTIF(BU$4:BU26,BU26)=1),1,0)</f>
        <v/>
      </c>
      <c r="BW26" s="55">
        <f>IF(ROW()-3&gt;MAX(BV$4:BV$40),"",INDEX(BU$4:BU$40,MATCH(ROW()-3,BV$4:BV$40,0)))</f>
        <v/>
      </c>
      <c r="BX26" s="138">
        <f>IF('Final Calculation Sheet'!$N$26="","",'Final Calculation Sheet'!$N$26)</f>
        <v/>
      </c>
      <c r="BY26">
        <f>IF(BX26="","",COUNTIFS(BX$4:BX$40,"&lt;"&amp;BX26,BX$4:BX$40,"&lt;&gt;"&amp;"")+COUNTIF(BX$4:BX26,BX26))</f>
        <v/>
      </c>
      <c r="BZ26" s="138">
        <f>IF(ROW()-3&gt;COUNTIF(BX$4:BX$40,"&lt;&gt;"&amp;""),"",INDEX(BX$4:BX$40,MATCH(ROW()-3,BY$4:BY$40,0)))</f>
        <v/>
      </c>
      <c r="CA26">
        <f>CA25+IF(AND(BZ26&lt;&gt;"",COUNTIF(BZ$4:BZ26,BZ26)=1),1,0)</f>
        <v/>
      </c>
      <c r="CB26" s="138">
        <f>IF(ROW()-3&gt;MAX(CA$4:CA$40),"",INDEX(BZ$4:BZ$40,MATCH(ROW()-3,CA$4:CA$40,0)))</f>
        <v/>
      </c>
      <c r="CC26" s="55">
        <f>IF('Final Calculation Sheet'!$O$26="","",'Final Calculation Sheet'!$O$26)</f>
        <v/>
      </c>
      <c r="CD26">
        <f>IF(CC26="","",COUNTIFS(CC$4:CC$40,"&lt;"&amp;CC26,CC$4:CC$40,"&lt;&gt;"&amp;"")+COUNTIF(CC$4:CC26,CC26))</f>
        <v/>
      </c>
      <c r="CE26" s="55">
        <f>IF(ROW()-3&gt;COUNTIF(CC$4:CC$40,"&lt;&gt;"&amp;""),"",INDEX(CC$4:CC$40,MATCH(ROW()-3,CD$4:CD$40,0)))</f>
        <v/>
      </c>
      <c r="CF26">
        <f>CF25+IF(AND(CE26&lt;&gt;"",COUNTIF(CE$4:CE26,CE26)=1),1,0)</f>
        <v/>
      </c>
      <c r="CG26" s="55">
        <f>IF(ROW()-3&gt;MAX(CF$4:CF$40),"",INDEX(CE$4:CE$40,MATCH(ROW()-3,CF$4:CF$40,0)))</f>
        <v/>
      </c>
      <c r="CH26" s="55">
        <f>IF('Final Calculation Sheet'!$P$26="","",'Final Calculation Sheet'!$P$26)</f>
        <v/>
      </c>
      <c r="CI26">
        <f>IF(CH26="","",COUNTIFS(CH$4:CH$40,"&lt;"&amp;CH26,CH$4:CH$40,"&lt;&gt;"&amp;"")+COUNTIF(CH$4:CH26,CH26))</f>
        <v/>
      </c>
      <c r="CJ26" s="55">
        <f>IF(ROW()-3&gt;COUNTIF(CH$4:CH$40,"&lt;&gt;"&amp;""),"",INDEX(CH$4:CH$40,MATCH(ROW()-3,CI$4:CI$40,0)))</f>
        <v/>
      </c>
      <c r="CK26">
        <f>CK25+IF(AND(CJ26&lt;&gt;"",COUNTIF(CJ$4:CJ26,CJ26)=1),1,0)</f>
        <v/>
      </c>
      <c r="CL26" s="55">
        <f>IF(ROW()-3&gt;MAX(CK$4:CK$40),"",INDEX(CJ$4:CJ$40,MATCH(ROW()-3,CK$4:CK$40,0)))</f>
        <v/>
      </c>
      <c r="CM26" s="139">
        <f>IF('Final Calculation Sheet'!$Q$26="","",'Final Calculation Sheet'!$Q$26)</f>
        <v/>
      </c>
      <c r="CN26">
        <f>IF(CM26="","",COUNTIFS(CM$4:CM$40,"&lt;"&amp;CM26,CM$4:CM$40,"&lt;&gt;"&amp;"")+COUNTIF(CM$4:CM26,CM26))</f>
        <v/>
      </c>
      <c r="CO26" s="139">
        <f>IF(ROW()-3&gt;COUNTIF(CM$4:CM$40,"&lt;&gt;"&amp;""),"",INDEX(CM$4:CM$40,MATCH(ROW()-3,CN$4:CN$40,0)))</f>
        <v/>
      </c>
      <c r="CP26">
        <f>CP25+IF(AND(CO26&lt;&gt;"",COUNTIF(CO$4:CO26,CO26)=1),1,0)</f>
        <v/>
      </c>
      <c r="CQ26">
        <f>IF(ROW()-3&gt;MAX(CP$4:CP$40),"",INDEX(CO$4:CO$40,MATCH(ROW()-3,CP$4:CP$40,0)))</f>
        <v/>
      </c>
      <c r="CR26" s="55">
        <f>IF('Final Calculation Sheet'!$R$26="","",'Final Calculation Sheet'!$R$26)</f>
        <v/>
      </c>
      <c r="CS26">
        <f>IF(CR26="","",COUNTIFS(CR$4:CR$40,"&lt;"&amp;CR26,CR$4:CR$40,"&lt;&gt;"&amp;"")+COUNTIF(CR$4:CR26,CR26))</f>
        <v/>
      </c>
      <c r="CT26" s="55">
        <f>IF(ROW()-3&gt;COUNTIF(CR$4:CR$40,"&lt;&gt;"&amp;""),"",INDEX(CR$4:CR$40,MATCH(ROW()-3,CS$4:CS$40,0)))</f>
        <v/>
      </c>
      <c r="CU26">
        <f>CU25+IF(AND(CT26&lt;&gt;"",COUNTIF(CT$4:CT26,CT26)=1),1,0)</f>
        <v/>
      </c>
      <c r="CV26">
        <f>IF(ROW()-3&gt;MAX(CU$4:CU$40),"",INDEX(CT$4:CT$40,MATCH(ROW()-3,CU$4:CU$40,0)))</f>
        <v/>
      </c>
      <c r="CW26" s="55">
        <f>IF('Final Calculation Sheet'!$S$26="","",'Final Calculation Sheet'!$S$26)</f>
        <v/>
      </c>
      <c r="CX26">
        <f>IF(CW26="","",COUNTIFS(CW$4:CW$40,"&lt;"&amp;CW26,CW$4:CW$40,"&lt;&gt;"&amp;"")+COUNTIF(CW$4:CW26,CW26))</f>
        <v/>
      </c>
      <c r="CY26" s="55">
        <f>IF(ROW()-3&gt;COUNTIF(CW$4:CW$40,"&lt;&gt;"&amp;""),"",INDEX(CW$4:CW$40,MATCH(ROW()-3,CX$4:CX$40,0)))</f>
        <v/>
      </c>
      <c r="CZ26">
        <f>CZ25+IF(AND(CY26&lt;&gt;"",COUNTIF(CY$4:CY26,CY26)=1),1,0)</f>
        <v/>
      </c>
      <c r="DA26" s="55">
        <f>IF(ROW()-3&gt;MAX(CZ$4:CZ$40),"",INDEX(CY$4:CY$40,MATCH(ROW()-3,CZ$4:CZ$40,0)))</f>
        <v/>
      </c>
      <c r="DB26" s="55">
        <f>IF('Final Calculation Sheet'!$T$26="","",'Final Calculation Sheet'!$T$26)</f>
        <v/>
      </c>
      <c r="DC26">
        <f>IF(DB26="","",COUNTIFS(DB$4:DB$40,"&lt;"&amp;DB26,DB$4:DB$40,"&lt;&gt;"&amp;"")+COUNTIF(DB$4:DB26,DB26))</f>
        <v/>
      </c>
      <c r="DD26" s="55">
        <f>IF(ROW()-3&gt;COUNTIF(DB$4:DB$40,"&lt;&gt;"&amp;""),"",INDEX(DB$4:DB$40,MATCH(ROW()-3,DC$4:DC$40,0)))</f>
        <v/>
      </c>
      <c r="DE26">
        <f>DE25+IF(AND(DD26&lt;&gt;"",COUNTIF(DD$4:DD26,DD26)=1),1,0)</f>
        <v/>
      </c>
      <c r="DF26" s="55">
        <f>IF(ROW()-3&gt;MAX(DE$4:DE$40),"",INDEX(DD$4:DD$40,MATCH(ROW()-3,DE$4:DE$40,0)))</f>
        <v/>
      </c>
      <c r="DG26" s="140">
        <f>IF('Final Calculation Sheet'!$U$26="","",'Final Calculation Sheet'!$U$26)</f>
        <v/>
      </c>
      <c r="DH26">
        <f>IF(DG26="","",COUNTIFS(DG$4:DG$40,"&lt;"&amp;DG26,DG$4:DG$40,"&lt;&gt;"&amp;"")+COUNTIF(DG$4:DG26,DG26))</f>
        <v/>
      </c>
      <c r="DI26" s="140">
        <f>IF(ROW()-3&gt;COUNTIF(DG$4:DG$40,"&lt;&gt;"&amp;""),"",INDEX(DG$4:DG$40,MATCH(ROW()-3,DH$4:DH$40,0)))</f>
        <v/>
      </c>
      <c r="DJ26">
        <f>DJ25+IF(AND(DI26&lt;&gt;"",COUNTIF(DI$4:DI26,DI26)=1),1,0)</f>
        <v/>
      </c>
      <c r="DK26" s="140">
        <f>IF(ROW()-3&gt;MAX(DJ$4:DJ$40),"",INDEX(DI$4:DI$40,MATCH(ROW()-3,DJ$4:DJ$40,0)))</f>
        <v/>
      </c>
      <c r="DL26">
        <f>IF('Final Calculation Sheet'!$V$26="","",'Final Calculation Sheet'!$V$26)</f>
        <v/>
      </c>
      <c r="DM26">
        <f>IF(DL26="","",COUNTIFS(DL$4:DL$40,"&lt;"&amp;DL26,DL$4:DL$40,"&lt;&gt;"&amp;"")+COUNTIF(DL$4:DL26,DL26))</f>
        <v/>
      </c>
      <c r="DN26">
        <f>IF(ROW()-3&gt;COUNTIF(DL$4:DL$40,"&lt;&gt;"&amp;""),"",INDEX(DL$4:DL$40,MATCH(ROW()-3,DM$4:DM$40,0)))</f>
        <v/>
      </c>
      <c r="DO26">
        <f>DO25+IF(AND(DN26&lt;&gt;"",COUNTIF(DN$4:DN26,DN26)=1),1,0)</f>
        <v/>
      </c>
      <c r="DP26">
        <f>IF(ROW()-3&gt;MAX(DO$4:DO$40),"",INDEX(DN$4:DN$40,MATCH(ROW()-3,DO$4:DO$40,0)))</f>
        <v/>
      </c>
      <c r="DQ26" s="55">
        <f>IF('Final Calculation Sheet'!$W$26="","",'Final Calculation Sheet'!$W$26)</f>
        <v/>
      </c>
      <c r="DR26">
        <f>IF(DQ26="","",COUNTIFS(DQ$4:DQ$40,"&lt;"&amp;DQ26,DQ$4:DQ$40,"&lt;&gt;"&amp;"")+COUNTIF(DQ$4:DQ26,DQ26))</f>
        <v/>
      </c>
      <c r="DS26" s="55">
        <f>IF(ROW()-3&gt;COUNTIF(DQ$4:DQ$40,"&lt;&gt;"&amp;""),"",INDEX(DQ$4:DQ$40,MATCH(ROW()-3,DR$4:DR$40,0)))</f>
        <v/>
      </c>
      <c r="DT26">
        <f>DT25+IF(AND(DS26&lt;&gt;"",COUNTIF(DS$4:DS26,DS26)=1),1,0)</f>
        <v/>
      </c>
      <c r="DU26" s="55">
        <f>IF(ROW()-3&gt;MAX(DT$4:DT$40),"",INDEX(DS$4:DS$40,MATCH(ROW()-3,DT$4:DT$40,0)))</f>
        <v/>
      </c>
      <c r="DV26" s="55">
        <f>IF('Final Calculation Sheet'!$X$26="","",'Final Calculation Sheet'!$X$26)</f>
        <v/>
      </c>
      <c r="DW26">
        <f>IF(DV26="","",COUNTIFS(DV$4:DV$40,"&lt;"&amp;DV26,DV$4:DV$40,"&lt;&gt;"&amp;"")+COUNTIF(DV$4:DV26,DV26))</f>
        <v/>
      </c>
      <c r="DX26" s="55">
        <f>IF(ROW()-3&gt;COUNTIF(DV$4:DV$40,"&lt;&gt;"&amp;""),"",INDEX(DV$4:DV$40,MATCH(ROW()-3,DW$4:DW$40,0)))</f>
        <v/>
      </c>
      <c r="DY26">
        <f>DY25+IF(AND(DX26&lt;&gt;"",COUNTIF(DX$4:DX26,DX26)=1),1,0)</f>
        <v/>
      </c>
      <c r="DZ26">
        <f>IF(ROW()-3&gt;MAX(DY$4:DY$40),"",INDEX(DX$4:DX$40,MATCH(ROW()-3,DY$4:DY$40,0)))</f>
        <v/>
      </c>
      <c r="EA26">
        <f>IF('Final Calculation Sheet'!$Y$26="","",'Final Calculation Sheet'!$Y$26)</f>
        <v/>
      </c>
      <c r="EB26">
        <f>IF(EA26="","",COUNTIFS(EA$4:EA$40,"&lt;"&amp;EA26,EA$4:EA$40,"&lt;&gt;"&amp;"")+COUNTIF(EA$4:EA26,EA26))</f>
        <v/>
      </c>
      <c r="EC26">
        <f>IF(ROW()-3&gt;COUNTIF(EA$4:EA$40,"&lt;&gt;"&amp;""),"",INDEX(EA$4:EA$40,MATCH(ROW()-3,EB$4:EB$40,0)))</f>
        <v/>
      </c>
      <c r="ED26">
        <f>ED25+IF(AND(EC26&lt;&gt;"",COUNTIF(EC$4:EC26,EC26)=1),1,0)</f>
        <v/>
      </c>
      <c r="EE26">
        <f>IF(ROW()-3&gt;MAX(ED$4:ED$40),"",INDEX(EC$4:EC$40,MATCH(ROW()-3,ED$4:ED$40,0)))</f>
        <v/>
      </c>
      <c r="EF26" s="55">
        <f>IF('Final Calculation Sheet'!$Z$26="","",'Final Calculation Sheet'!$Z$26)</f>
        <v/>
      </c>
      <c r="EG26">
        <f>IF(EF26="","",COUNTIFS(EF$4:EF$40,"&lt;"&amp;EF26,EF$4:EF$40,"&lt;&gt;"&amp;"")+COUNTIF(EF$4:EF26,EF26))</f>
        <v/>
      </c>
      <c r="EH26" s="55">
        <f>IF(ROW()-3&gt;COUNTIF(EF$4:EF$40,"&lt;&gt;"&amp;""),"",INDEX(EF$4:EF$40,MATCH(ROW()-3,EG$4:EG$40,0)))</f>
        <v/>
      </c>
      <c r="EI26">
        <f>EI25+IF(AND(EH26&lt;&gt;"",COUNTIF(EH$4:EH26,EH26)=1),1,0)</f>
        <v/>
      </c>
      <c r="EJ26">
        <f>IF(ROW()-3&gt;MAX(EI$4:EI$40),"",INDEX(EH$4:EH$40,MATCH(ROW()-3,EI$4:EI$40,0)))</f>
        <v/>
      </c>
      <c r="EK26">
        <f>IF('Final Calculation Sheet'!$AA$26="","",'Final Calculation Sheet'!$AA$26)</f>
        <v/>
      </c>
      <c r="EL26">
        <f>IF(EK26="","",COUNTIFS(EK$4:EK$40,"&lt;"&amp;EK26,EK$4:EK$40,"&lt;&gt;"&amp;"")+COUNTIF(EK$4:EK26,EK26))</f>
        <v/>
      </c>
      <c r="EM26">
        <f>IF(ROW()-3&gt;COUNTIF(EK$4:EK$40,"&lt;&gt;"&amp;""),"",INDEX(EK$4:EK$40,MATCH(ROW()-3,EL$4:EL$40,0)))</f>
        <v/>
      </c>
      <c r="EN26">
        <f>EN25+IF(AND(EM26&lt;&gt;"",COUNTIF(EM$4:EM26,EM26)=1),1,0)</f>
        <v/>
      </c>
      <c r="EO26">
        <f>IF(ROW()-3&gt;MAX(EN$4:EN$40),"",INDEX(EM$4:EM$40,MATCH(ROW()-3,EN$4:EN$40,0)))</f>
        <v/>
      </c>
      <c r="EP26">
        <f>IF('Final Calculation Sheet'!$AB$26="","",'Final Calculation Sheet'!$AB$26)</f>
        <v/>
      </c>
      <c r="EQ26">
        <f>IF(EP26="","",COUNTIFS(EP$4:EP$40,"&lt;"&amp;EP26,EP$4:EP$40,"&lt;&gt;"&amp;"")+COUNTIF(EP$4:EP26,EP26))</f>
        <v/>
      </c>
      <c r="ER26">
        <f>IF(ROW()-3&gt;COUNTIF(EP$4:EP$40,"&lt;&gt;"&amp;""),"",INDEX(EP$4:EP$40,MATCH(ROW()-3,EQ$4:EQ$40,0)))</f>
        <v/>
      </c>
      <c r="ES26">
        <f>ES25+IF(AND(ER26&lt;&gt;"",COUNTIF(ER$4:ER26,ER26)=1),1,0)</f>
        <v/>
      </c>
      <c r="ET26">
        <f>IF(ROW()-3&gt;MAX(ES$4:ES$40),"",INDEX(ER$4:ER$40,MATCH(ROW()-3,ES$4:ES$40,0)))</f>
        <v/>
      </c>
      <c r="EU26" s="55">
        <f>IF('Final Calculation Sheet'!$AC$26="","",'Final Calculation Sheet'!$AC$26)</f>
        <v/>
      </c>
      <c r="EV26">
        <f>IF(EU26="","",COUNTIFS(EU$4:EU$40,"&lt;"&amp;EU26,EU$4:EU$40,"&lt;&gt;"&amp;"")+COUNTIF(EU$4:EU26,EU26))</f>
        <v/>
      </c>
      <c r="EW26" s="55">
        <f>IF(ROW()-3&gt;COUNTIF(EU$4:EU$40,"&lt;&gt;"&amp;""),"",INDEX(EU$4:EU$40,MATCH(ROW()-3,EV$4:EV$40,0)))</f>
        <v/>
      </c>
      <c r="EX26">
        <f>EX25+IF(AND(EW26&lt;&gt;"",COUNTIF(EW$4:EW26,EW26)=1),1,0)</f>
        <v/>
      </c>
      <c r="EY26" s="55">
        <f>IF(ROW()-3&gt;MAX(EX$4:EX$40),"",INDEX(EW$4:EW$40,MATCH(ROW()-3,EX$4:EX$40,0)))</f>
        <v/>
      </c>
      <c r="EZ26" s="55">
        <f>IF('Final Calculation Sheet'!$AD$26="","",'Final Calculation Sheet'!$AD$26)</f>
        <v/>
      </c>
      <c r="FA26">
        <f>IF(EZ26="","",COUNTIFS(EZ$4:EZ$40,"&lt;"&amp;EZ26,EZ$4:EZ$40,"&lt;&gt;"&amp;"")+COUNTIF(EZ$4:EZ26,EZ26))</f>
        <v/>
      </c>
      <c r="FB26" s="55">
        <f>IF(ROW()-3&gt;COUNTIF(EZ$4:EZ$40,"&lt;&gt;"&amp;""),"",INDEX(EZ$4:EZ$40,MATCH(ROW()-3,FA$4:FA$40,0)))</f>
        <v/>
      </c>
      <c r="FC26">
        <f>FC25+IF(AND(FB26&lt;&gt;"",COUNTIF(FB$4:FB26,FB26)=1),1,0)</f>
        <v/>
      </c>
      <c r="FD26">
        <f>IF(ROW()-3&gt;MAX(FC$4:FC$40),"",INDEX(FB$4:FB$40,MATCH(ROW()-3,FC$4:FC$40,0)))</f>
        <v/>
      </c>
      <c r="FE26">
        <f>IF('Final Calculation Sheet'!$AF$26="","",'Final Calculation Sheet'!$AF$26)</f>
        <v/>
      </c>
      <c r="FF26">
        <f>IF(FE26="","",COUNTIFS(FE$4:FE$40,"&lt;"&amp;FE26,FE$4:FE$40,"&lt;&gt;"&amp;"")+COUNTIF(FE$4:FE26,FE26))</f>
        <v/>
      </c>
      <c r="FG26">
        <f>IF(ROW()-3&gt;COUNTIF(FE$4:FE$40,"&lt;&gt;"&amp;""),"",INDEX(FE$4:FE$40,MATCH(ROW()-3,FF$4:FF$40,0)))</f>
        <v/>
      </c>
      <c r="FH26">
        <f>FH25+IF(AND(FG26&lt;&gt;"",COUNTIF(FG$4:FG26,FG26)=1),1,0)</f>
        <v/>
      </c>
      <c r="FI26">
        <f>IF(ROW()-3&gt;MAX(FH$4:FH$40),"",INDEX(FG$4:FG$40,MATCH(ROW()-3,FH$4:FH$40,0)))</f>
        <v/>
      </c>
      <c r="FJ26" s="141">
        <f>IF('Final Calculation Sheet'!$AG$26="","",'Final Calculation Sheet'!$AG$26)</f>
        <v/>
      </c>
      <c r="FK26">
        <f>IF(FJ26="","",COUNTIFS(FJ$4:FJ$40,"&lt;"&amp;FJ26,FJ$4:FJ$40,"&lt;&gt;"&amp;"")+COUNTIF(FJ$4:FJ26,FJ26))</f>
        <v/>
      </c>
      <c r="FL26" s="141">
        <f>IF(ROW()-3&gt;COUNTIF(FJ$4:FJ$40,"&lt;&gt;"&amp;""),"",INDEX(FJ$4:FJ$40,MATCH(ROW()-3,FK$4:FK$40,0)))</f>
        <v/>
      </c>
      <c r="FM26">
        <f>FM25+IF(AND(FL26&lt;&gt;"",COUNTIF(FL$4:FL26,FL26)=1),1,0)</f>
        <v/>
      </c>
      <c r="FN26">
        <f>IF(ROW()-3&gt;MAX(FM$4:FM$40),"",INDEX(FL$4:FL$40,MATCH(ROW()-3,FM$4:FM$40,0)))</f>
        <v/>
      </c>
      <c r="FO26">
        <f>IF('Final Calculation Sheet'!$AH$26="","",'Final Calculation Sheet'!$AH$26)</f>
        <v/>
      </c>
      <c r="FP26">
        <f>IF(FO26="","",COUNTIFS(FO$4:FO$40,"&lt;"&amp;FO26,FO$4:FO$40,"&lt;&gt;"&amp;"")+COUNTIF(FO$4:FO26,FO26))</f>
        <v/>
      </c>
      <c r="FQ26">
        <f>IF(ROW()-3&gt;COUNTIF(FO$4:FO$40,"&lt;&gt;"&amp;""),"",INDEX(FO$4:FO$40,MATCH(ROW()-3,FP$4:FP$40,0)))</f>
        <v/>
      </c>
      <c r="FR26">
        <f>FR25+IF(AND(FQ26&lt;&gt;"",COUNTIF(FQ$4:FQ26,FQ26)=1),1,0)</f>
        <v/>
      </c>
      <c r="FS26">
        <f>IF(ROW()-3&gt;MAX(FR$4:FR$40),"",INDEX(FQ$4:FQ$40,MATCH(ROW()-3,FR$4:FR$40,0)))</f>
        <v/>
      </c>
      <c r="FU26">
        <f>IF(FT26="","",COUNTIFS(FT$4:FT$40,"&lt;"&amp;FT26,FT$4:FT$40,"&lt;&gt;"&amp;"")+COUNTIF(FT$4:FT26,FT26))</f>
        <v/>
      </c>
      <c r="FV26">
        <f>IF(ROW()-3&gt;COUNTIF(FT$4:FT$40,"&lt;&gt;"&amp;""),"",INDEX(FT$4:FT$40,MATCH(ROW()-3,FU$4:FU$40,0)))</f>
        <v/>
      </c>
      <c r="FW26">
        <f>FW25+IF(AND(FV26&lt;&gt;"",COUNTIF(FV$4:FV26,FV26)=1),1,0)</f>
        <v/>
      </c>
      <c r="FX26">
        <f>IF(ROW()-3&gt;MAX(FW$4:FW$40),"",INDEX(FV$4:FV$40,MATCH(ROW()-3,FW$4:FW$40,0)))</f>
        <v/>
      </c>
      <c r="FY26">
        <f>IF(COUNTIF('Live Search'!BM$25:BO$25,0)+COUNTIF('Live Search'!BQ$25:CU$25,0)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6">
        <f>IF($Y$26="",FALSE,SUMPRODUCT(('Final Calculation Sheet'!$B$4:$B$40=$Y$26)*($FY$6:$FY$42=1))&gt;0)</f>
        <v/>
      </c>
      <c r="GA26">
        <f>$GA$25+--($FZ$26)</f>
        <v/>
      </c>
      <c r="GB26">
        <f>IF(ROW()-3&gt;MAX($GA$4:$GA$40),"",INDEX($Y$4:$Y$40,MATCH(ROW()-3,$GA$4:$GA$40,0)))</f>
        <v/>
      </c>
      <c r="GC26">
        <f>IF('Final Calculation Sheet'!$F$26="","",IF(TRIM('Final Calculation Sheet'!$G$2)="",'Final Calculation Sheet'!$F$26,IF(TRIM('Final Calculation Sheet'!$G$2)="(nonblank)",IF('Final Calculation Sheet'!$G$26&lt;&gt;"",'Final Calculation Sheet'!$F$26,""),IF(TRIM('Final Calculation Sheet'!$G$2)="(blank)",IF('Final Calculation Sheet'!$G$26="",'Final Calculation Sheet'!$F$26,""),IF(ISNUMBER(SEARCH(TRIM('Final Calculation Sheet'!$G$2),'Final Calculation Sheet'!$G$26)),'Final Calculation Sheet'!$F$26,"")))))</f>
        <v/>
      </c>
      <c r="GD26">
        <f>IF(GC26="","",COUNTIFS(GC$4:GC$40,"&lt;"&amp;GC26,GC$4:GC$40,"&lt;&gt;"&amp;"")+COUNTIF(GC$4:GC26,GC26))</f>
        <v/>
      </c>
      <c r="GE26">
        <f>IF(ROW()-3&gt;COUNTIF(GC$4:GC$40,"&lt;&gt;"&amp;""),"",INDEX(GC$4:GC$40,MATCH(ROW()-3,GD$4:GD$40,0)))</f>
        <v/>
      </c>
      <c r="GF26">
        <f>GF25+IF(AND(GE26&lt;&gt;"",COUNTIF(GE$4:GE26,GE26)=1),1,0)</f>
        <v/>
      </c>
      <c r="GG26">
        <f>IF(ROW()-3&gt;MAX(GF$4:GF$40),"",INDEX(GE$4:GE$40,MATCH(ROW()-3,GF$4:GF$40,0)))</f>
        <v/>
      </c>
      <c r="GH26">
        <f>IF('Final Calculation Sheet'!$F$26="","",IF('Live Search'!$BO$27=1,'Final Calculation Sheet'!$F$26,""))</f>
        <v/>
      </c>
      <c r="GI26">
        <f>IF(GH26="","",COUNTIFS(GH$4:GH$40,"&lt;"&amp;GH26,GH$4:GH$40,"&lt;&gt;"&amp;"")+COUNTIF(GH$4:GH26,GH26))</f>
        <v/>
      </c>
      <c r="GJ26">
        <f>IF(ROW()-3&gt;COUNTIF(GH$4:GH$40,"&lt;&gt;"&amp;""),"",INDEX(GH$4:GH$40,MATCH(ROW()-3,GI$4:GI$40,0)))</f>
        <v/>
      </c>
      <c r="GK26">
        <f>GK25+IF(AND(GJ26&lt;&gt;"",COUNTIF(GJ$4:GJ26,GJ26)=1),1,0)</f>
        <v/>
      </c>
      <c r="GL26">
        <f>IF(ROW()-3&gt;MAX(GK$4:GK$40),"",INDEX(GJ$4:GJ$40,MATCH(ROW()-3,GK$4:GK$40,0)))</f>
        <v/>
      </c>
      <c r="GM26">
        <f>IF('Final Calculation Sheet'!$F$26="","",IF(TRIM('Buyer Groups'!$C$4)="",'Final Calculation Sheet'!$F$26,IF(TRIM('Buyer Groups'!$C$4)="(nonblank)",IF('Final Calculation Sheet'!$G$26&lt;&gt;"",'Final Calculation Sheet'!$F$26,""),IF(TRIM('Buyer Groups'!$C$4)="(blank)",IF('Final Calculation Sheet'!$G$26="",'Final Calculation Sheet'!$F$26,""),IF(ISNUMBER(SEARCH(TRIM('Buyer Groups'!$C$4),'Final Calculation Sheet'!$G$26)),'Final Calculation Sheet'!$F$26,"")))))</f>
        <v/>
      </c>
      <c r="GN26">
        <f>IF(GM26="","",COUNTIFS(GM$4:GM$40,"&lt;"&amp;GM26,GM$4:GM$40,"&lt;&gt;"&amp;"")+COUNTIF(GM$4:GM26,GM26))</f>
        <v/>
      </c>
      <c r="GO26">
        <f>IF(ROW()-3&gt;COUNTIF(GM$4:GM$40,"&lt;&gt;"&amp;""),"",INDEX(GM$4:GM$40,MATCH(ROW()-3,GN$4:GN$40,0)))</f>
        <v/>
      </c>
      <c r="GP26">
        <f>GP25+IF(AND(GO26&lt;&gt;"",COUNTIF(GO$4:GO26,GO26)=1),1,0)</f>
        <v/>
      </c>
      <c r="GQ26">
        <f>IF(ROW()-3&gt;MAX(GP$4:GP$40),"",INDEX(GO$4:GO$40,MATCH(ROW()-3,GP$4:GP$40,0)))</f>
        <v/>
      </c>
      <c r="GR26">
        <f>IF('Final Calculation Sheet'!$B$26="","",IF(TRIM('Final Calculation Sheet'!$G$2)="",'Final Calculation Sheet'!$B$26,IF(TRIM('Final Calculation Sheet'!$G$2)="(nonblank)",IF('Final Calculation Sheet'!$G$26&lt;&gt;"",'Final Calculation Sheet'!$B$26,""),IF(TRIM('Final Calculation Sheet'!$G$2)="(blank)",IF('Final Calculation Sheet'!$G$26="",'Final Calculation Sheet'!$B$26,""),IF(ISNUMBER(SEARCH(TRIM('Final Calculation Sheet'!$G$2),'Final Calculation Sheet'!$G$26)),'Final Calculation Sheet'!$B$26,"")))))</f>
        <v/>
      </c>
      <c r="GS26">
        <f>IF(GR26="","",COUNTIFS(GR$4:GR$40,"&lt;"&amp;GR26,GR$4:GR$40,"&lt;&gt;"&amp;"")+COUNTIF(GR$4:GR26,GR26))</f>
        <v/>
      </c>
      <c r="GT26">
        <f>IF(ROW()-3&gt;COUNTIF(GR$4:GR$40,"&lt;&gt;"&amp;""),"",INDEX(GR$4:GR$40,MATCH(ROW()-3,GS$4:GS$40,0)))</f>
        <v/>
      </c>
      <c r="GU26">
        <f>GU25+IF(AND(GT26&lt;&gt;"",COUNTIF(GT$4:GT26,GT26)=1),1,0)</f>
        <v/>
      </c>
      <c r="GV26">
        <f>IF(ROW()-3&gt;MAX(GU$4:GU$40),"",INDEX(GT$4:GT$40,MATCH(ROW()-3,GU$4:GU$40,0)))</f>
        <v/>
      </c>
      <c r="GW26">
        <f>IF('Final Calculation Sheet'!$B$26="","",IF(TRIM('Buyer Groups'!$C$4)="",'Final Calculation Sheet'!$B$26,IF(TRIM('Buyer Groups'!$C$4)="(nonblank)",IF('Final Calculation Sheet'!$G$26&lt;&gt;"",'Final Calculation Sheet'!$B$26,""),IF(TRIM('Buyer Groups'!$C$4)="(blank)",IF('Final Calculation Sheet'!$G$26="",'Final Calculation Sheet'!$B$26,""),IF(ISNUMBER(SEARCH(TRIM('Buyer Groups'!$C$4),'Final Calculation Sheet'!$G$26)),'Final Calculation Sheet'!$B$26,"")))))</f>
        <v/>
      </c>
      <c r="GX26">
        <f>IF(GW26="","",COUNTIFS(GW$4:GW$40,"&lt;"&amp;GW26,GW$4:GW$40,"&lt;&gt;"&amp;"")+COUNTIF(GW$4:GW26,GW26))</f>
        <v/>
      </c>
      <c r="GY26">
        <f>IF(ROW()-3&gt;COUNTIF(GW$4:GW$40,"&lt;&gt;"&amp;""),"",INDEX(GW$4:GW$40,MATCH(ROW()-3,GX$4:GX$40,0)))</f>
        <v/>
      </c>
      <c r="GZ26">
        <f>GZ25+IF(AND(GY26&lt;&gt;"",COUNTIF(GY$4:GY26,GY26)=1),1,0)</f>
        <v/>
      </c>
      <c r="HA26">
        <f>IF(ROW()-3&gt;MAX(GZ$4:GZ$40),"",INDEX(GY$4:GY$40,MATCH(ROW()-3,GZ$4:GZ$40,0)))</f>
        <v/>
      </c>
    </row>
    <row r="27">
      <c r="A27">
        <f>IF('Final Calculation Sheet'!$F$27="","",'Final Calculation Sheet'!$F$27)</f>
        <v/>
      </c>
      <c r="B27">
        <f>IF(A27="","",COUNTIFS(A$4:A$114,"&lt;"&amp;A27,A$4:A$114,"&lt;&gt;"&amp;"")+COUNTIF(A$4:A27,A27))</f>
        <v/>
      </c>
      <c r="C27">
        <f>IF(ROW()-3&gt;COUNTIF(A$4:A$114,"&lt;&gt;"&amp;""),"",INDEX(A$4:A$114,MATCH(ROW()-3,B$4:B$114,0)))</f>
        <v/>
      </c>
      <c r="D27">
        <f>D26+IF(AND(C27&lt;&gt;"",COUNTIF(C$4:C27,C27)=1),1,0)</f>
        <v/>
      </c>
      <c r="E27">
        <f>IF(ROW()-3&gt;MAX(D$4:D$114),"",INDEX(C$4:C$114,MATCH(ROW()-3,D$4:D$114,0)))</f>
        <v/>
      </c>
      <c r="F27">
        <f>ROW()-3</f>
        <v/>
      </c>
      <c r="G27">
        <f>IF(F27="","",COUNTIFS(F$4:F$40,"&lt;"&amp;F27,F$4:F$40,"&lt;&gt;"&amp;"")+COUNTIF(F$4:F27,F27))</f>
        <v/>
      </c>
      <c r="H27">
        <f>IF(ROW()-3&gt;COUNTIF(F$4:F$40,"&lt;&gt;"&amp;""),"",INDEX(F$4:F$40,MATCH(ROW()-3,G$4:G$40,0)))</f>
        <v/>
      </c>
      <c r="I27">
        <f>I26+IF(AND(H27&lt;&gt;"",COUNTIF(H$4:H27,H27)=1),1,0)</f>
        <v/>
      </c>
      <c r="J27">
        <f>IF(ROW()-3&gt;MAX(I$4:I$40),"",INDEX(H$4:H$40,MATCH(ROW()-3,I$4:I$40,0)))</f>
        <v/>
      </c>
      <c r="K27">
        <f>IF('Final Calculation Sheet'!$F$27="","",'Final Calculation Sheet'!$F$27)</f>
        <v/>
      </c>
      <c r="L27">
        <f>IF(K27="","",COUNTIFS(K$4:K$40,"&lt;"&amp;K27,K$4:K$40,"&lt;&gt;"&amp;"")+COUNTIF(K$4:K27,K27))</f>
        <v/>
      </c>
      <c r="M27">
        <f>IF(ROW()-3&gt;COUNTIF(K$4:K$40,"&lt;&gt;"&amp;""),"",INDEX(K$4:K$40,MATCH(ROW()-3,L$4:L$40,0)))</f>
        <v/>
      </c>
      <c r="N27">
        <f>N26+IF(AND(M27&lt;&gt;"",COUNTIF(M$4:M27,M27)=1),1,0)</f>
        <v/>
      </c>
      <c r="O27">
        <f>IF(ROW()-3&gt;MAX(N$4:N$40),"",INDEX(M$4:M$40,MATCH(ROW()-3,N$4:N$40,0)))</f>
        <v/>
      </c>
      <c r="P27">
        <f>IF('Final Calculation Sheet'!$G$27="","",'Final Calculation Sheet'!$G$27)</f>
        <v/>
      </c>
      <c r="Q27">
        <f>IF(P27="","",COUNTIFS(P$4:P$40,"&lt;"&amp;P27,P$4:P$40,"&lt;&gt;"&amp;"")+COUNTIF(P$4:P27,P27))</f>
        <v/>
      </c>
      <c r="R27">
        <f>IF(ROW()-3&gt;COUNTIF(P$4:P$40,"&lt;&gt;"&amp;""),"",INDEX(P$4:P$40,MATCH(ROW()-3,Q$4:Q$40,0)))</f>
        <v/>
      </c>
      <c r="S27">
        <f>S26+IF(AND(R27&lt;&gt;"",COUNTIF(R$4:R27,R27)=1),1,0)</f>
        <v/>
      </c>
      <c r="T27">
        <f>IF(ROW()-3&gt;MAX(S$4:S$40),"",INDEX(R$4:R$40,MATCH(ROW()-3,S$4:S$40,0)))</f>
        <v/>
      </c>
      <c r="U27">
        <f>IF('Final Calculation Sheet'!$B$27="","",'Final Calculation Sheet'!$B$27)</f>
        <v/>
      </c>
      <c r="V27">
        <f>IF(U27="","",COUNTIFS(U$4:U$40,"&lt;"&amp;U27,U$4:U$40,"&lt;&gt;"&amp;"")+COUNTIF(U$4:U27,U27))</f>
        <v/>
      </c>
      <c r="W27">
        <f>IF(ROW()-3&gt;COUNTIF(U$4:U$40,"&lt;&gt;"&amp;""),"",INDEX(U$4:U$40,MATCH(ROW()-3,V$4:V$40,0)))</f>
        <v/>
      </c>
      <c r="X27">
        <f>X26+IF(AND(W27&lt;&gt;"",COUNTIF(W$4:W27,W27)=1),1,0)</f>
        <v/>
      </c>
      <c r="Y27">
        <f>IF(ROW()-3&gt;MAX(X$4:X$40),"",INDEX(W$4:W$40,MATCH(ROW()-3,X$4:X$40,0)))</f>
        <v/>
      </c>
      <c r="Z27">
        <f>IF('Final Calculation Sheet'!$D$27="","",'Final Calculation Sheet'!$D$27)</f>
        <v/>
      </c>
      <c r="AA27">
        <f>IF(Z27="","",COUNTIFS(Z$4:Z$40,"&lt;"&amp;Z27,Z$4:Z$40,"&lt;&gt;"&amp;"")+COUNTIF(Z$4:Z27,Z27))</f>
        <v/>
      </c>
      <c r="AB27">
        <f>IF(ROW()-3&gt;COUNTIF(Z$4:Z$40,"&lt;&gt;"&amp;""),"",INDEX(Z$4:Z$40,MATCH(ROW()-3,AA$4:AA$40,0)))</f>
        <v/>
      </c>
      <c r="AC27">
        <f>AC26+IF(AND(AB27&lt;&gt;"",COUNTIF(AB$4:AB27,AB27)=1),1,0)</f>
        <v/>
      </c>
      <c r="AD27">
        <f>IF(ROW()-3&gt;MAX(AC$4:AC$40),"",INDEX(AB$4:AB$40,MATCH(ROW()-3,AC$4:AC$40,0)))</f>
        <v/>
      </c>
      <c r="AE27">
        <f>IF('Final Calculation Sheet'!$A$27="","",'Final Calculation Sheet'!$A$27)</f>
        <v/>
      </c>
      <c r="AF27">
        <f>IF(AE27="","",COUNTIFS(AE$4:AE$40,"&lt;"&amp;AE27,AE$4:AE$40,"&lt;&gt;"&amp;"")+COUNTIF(AE$4:AE27,AE27))</f>
        <v/>
      </c>
      <c r="AG27">
        <f>IF(ROW()-3&gt;COUNTIF(AE$4:AE$40,"&lt;&gt;"&amp;""),"",INDEX(AE$4:AE$40,MATCH(ROW()-3,AF$4:AF$40,0)))</f>
        <v/>
      </c>
      <c r="AH27">
        <f>AH26+IF(AND(AG27&lt;&gt;"",COUNTIF(AG$4:AG27,AG27)=1),1,0)</f>
        <v/>
      </c>
      <c r="AI27">
        <f>IF(ROW()-3&gt;MAX(AH$4:AH$40),"",INDEX(AG$4:AG$40,MATCH(ROW()-3,AH$4:AH$40,0)))</f>
        <v/>
      </c>
      <c r="AJ27">
        <f>IF('Final Calculation Sheet'!$E$27="","",'Final Calculation Sheet'!$E$27)</f>
        <v/>
      </c>
      <c r="AK27">
        <f>IF(AJ27="","",COUNTIFS(AJ$4:AJ$40,"&lt;"&amp;AJ27,AJ$4:AJ$40,"&lt;&gt;"&amp;"")+COUNTIF(AJ$4:AJ27,AJ27))</f>
        <v/>
      </c>
      <c r="AL27">
        <f>IF(ROW()-3&gt;COUNTIF(AJ$4:AJ$40,"&lt;&gt;"&amp;""),"",INDEX(AJ$4:AJ$40,MATCH(ROW()-3,AK$4:AK$40,0)))</f>
        <v/>
      </c>
      <c r="AM27">
        <f>AM26+IF(AND(AL27&lt;&gt;"",COUNTIF(AL$4:AL27,AL27)=1),1,0)</f>
        <v/>
      </c>
      <c r="AN27">
        <f>IF(ROW()-3&gt;MAX(AM$4:AM$40),"",INDEX(AL$4:AL$40,MATCH(ROW()-3,AM$4:AM$40,0)))</f>
        <v/>
      </c>
      <c r="AO27" s="55">
        <f>IF('Final Calculation Sheet'!$C$27="","",'Final Calculation Sheet'!$C$27)</f>
        <v/>
      </c>
      <c r="AP27">
        <f>IF(AO27="","",COUNTIFS(AO$4:AO$40,"&lt;"&amp;AO27,AO$4:AO$40,"&lt;&gt;"&amp;"")+COUNTIF(AO$4:AO27,AO27))</f>
        <v/>
      </c>
      <c r="AQ27" s="55">
        <f>IF(ROW()-3&gt;COUNTIF(AO$4:AO$40,"&lt;&gt;"&amp;""),"",INDEX(AO$4:AO$40,MATCH(ROW()-3,AP$4:AP$40,0)))</f>
        <v/>
      </c>
      <c r="AR27">
        <f>AR26+IF(AND(AQ27&lt;&gt;"",COUNTIF(AQ$4:AQ27,AQ27)=1),1,0)</f>
        <v/>
      </c>
      <c r="AS27" s="55">
        <f>IF(ROW()-3&gt;MAX(AR$4:AR$40),"",INDEX(AQ$4:AQ$40,MATCH(ROW()-3,AR$4:AR$40,0)))</f>
        <v/>
      </c>
      <c r="AT27" s="55">
        <f>IF('Final Calculation Sheet'!$H$27="","",'Final Calculation Sheet'!$H$27)</f>
        <v/>
      </c>
      <c r="AU27">
        <f>IF(AT27="","",COUNTIFS(AT$4:AT$40,"&lt;"&amp;AT27,AT$4:AT$40,"&lt;&gt;"&amp;"")+COUNTIF(AT$4:AT27,AT27))</f>
        <v/>
      </c>
      <c r="AV27" s="55">
        <f>IF(ROW()-3&gt;COUNTIF(AT$4:AT$40,"&lt;&gt;"&amp;""),"",INDEX(AT$4:AT$40,MATCH(ROW()-3,AU$4:AU$40,0)))</f>
        <v/>
      </c>
      <c r="AW27">
        <f>AW26+IF(AND(AV27&lt;&gt;"",COUNTIF(AV$4:AV27,AV27)=1),1,0)</f>
        <v/>
      </c>
      <c r="AX27" s="55">
        <f>IF(ROW()-3&gt;MAX(AW$4:AW$40),"",INDEX(AV$4:AV$40,MATCH(ROW()-3,AW$4:AW$40,0)))</f>
        <v/>
      </c>
      <c r="AY27" s="55">
        <f>IF('Final Calculation Sheet'!$I$27="","",'Final Calculation Sheet'!$I$27)</f>
        <v/>
      </c>
      <c r="AZ27">
        <f>IF(AY27="","",COUNTIFS(AY$4:AY$40,"&lt;"&amp;AY27,AY$4:AY$40,"&lt;&gt;"&amp;"")+COUNTIF(AY$4:AY27,AY27))</f>
        <v/>
      </c>
      <c r="BA27" s="55">
        <f>IF(ROW()-3&gt;COUNTIF(AY$4:AY$40,"&lt;&gt;"&amp;""),"",INDEX(AY$4:AY$40,MATCH(ROW()-3,AZ$4:AZ$40,0)))</f>
        <v/>
      </c>
      <c r="BB27">
        <f>BB26+IF(AND(BA27&lt;&gt;"",COUNTIF(BA$4:BA27,BA27)=1),1,0)</f>
        <v/>
      </c>
      <c r="BC27" s="55">
        <f>IF(ROW()-3&gt;MAX(BB$4:BB$40),"",INDEX(BA$4:BA$40,MATCH(ROW()-3,BB$4:BB$40,0)))</f>
        <v/>
      </c>
      <c r="BD27" s="55">
        <f>IF('Final Calculation Sheet'!$J$27="","",'Final Calculation Sheet'!$J$27)</f>
        <v/>
      </c>
      <c r="BE27">
        <f>IF(BD27="","",COUNTIFS(BD$4:BD$40,"&lt;"&amp;BD27,BD$4:BD$40,"&lt;&gt;"&amp;"")+COUNTIF(BD$4:BD27,BD27))</f>
        <v/>
      </c>
      <c r="BF27" s="55">
        <f>IF(ROW()-3&gt;COUNTIF(BD$4:BD$40,"&lt;&gt;"&amp;""),"",INDEX(BD$4:BD$40,MATCH(ROW()-3,BE$4:BE$40,0)))</f>
        <v/>
      </c>
      <c r="BG27">
        <f>BG26+IF(AND(BF27&lt;&gt;"",COUNTIF(BF$4:BF27,BF27)=1),1,0)</f>
        <v/>
      </c>
      <c r="BH27" s="55">
        <f>IF(ROW()-3&gt;MAX(BG$4:BG$40),"",INDEX(BF$4:BF$40,MATCH(ROW()-3,BG$4:BG$40,0)))</f>
        <v/>
      </c>
      <c r="BI27" s="55">
        <f>IF('Final Calculation Sheet'!$K$27="","",'Final Calculation Sheet'!$K$27)</f>
        <v/>
      </c>
      <c r="BJ27">
        <f>IF(BI27="","",COUNTIFS(BI$4:BI$40,"&lt;"&amp;BI27,BI$4:BI$40,"&lt;&gt;"&amp;"")+COUNTIF(BI$4:BI27,BI27))</f>
        <v/>
      </c>
      <c r="BK27" s="55">
        <f>IF(ROW()-3&gt;COUNTIF(BI$4:BI$40,"&lt;&gt;"&amp;""),"",INDEX(BI$4:BI$40,MATCH(ROW()-3,BJ$4:BJ$40,0)))</f>
        <v/>
      </c>
      <c r="BL27">
        <f>BL26+IF(AND(BK27&lt;&gt;"",COUNTIF(BK$4:BK27,BK27)=1),1,0)</f>
        <v/>
      </c>
      <c r="BM27" s="55">
        <f>IF(ROW()-3&gt;MAX(BL$4:BL$40),"",INDEX(BK$4:BK$40,MATCH(ROW()-3,BL$4:BL$40,0)))</f>
        <v/>
      </c>
      <c r="BN27" s="55">
        <f>IF('Final Calculation Sheet'!$L$27="","",'Final Calculation Sheet'!$L$27)</f>
        <v/>
      </c>
      <c r="BO27">
        <f>IF(BN27="","",COUNTIFS(BN$4:BN$40,"&lt;"&amp;BN27,BN$4:BN$40,"&lt;&gt;"&amp;"")+COUNTIF(BN$4:BN27,BN27))</f>
        <v/>
      </c>
      <c r="BP27" s="55">
        <f>IF(ROW()-3&gt;COUNTIF(BN$4:BN$40,"&lt;&gt;"&amp;""),"",INDEX(BN$4:BN$40,MATCH(ROW()-3,BO$4:BO$40,0)))</f>
        <v/>
      </c>
      <c r="BQ27">
        <f>BQ26+IF(AND(BP27&lt;&gt;"",COUNTIF(BP$4:BP27,BP27)=1),1,0)</f>
        <v/>
      </c>
      <c r="BR27" s="55">
        <f>IF(ROW()-3&gt;MAX(BQ$4:BQ$40),"",INDEX(BP$4:BP$40,MATCH(ROW()-3,BQ$4:BQ$40,0)))</f>
        <v/>
      </c>
      <c r="BS27" s="55">
        <f>IF('Final Calculation Sheet'!$M$27="","",'Final Calculation Sheet'!$M$27)</f>
        <v/>
      </c>
      <c r="BT27">
        <f>IF(BS27="","",COUNTIFS(BS$4:BS$40,"&lt;"&amp;BS27,BS$4:BS$40,"&lt;&gt;"&amp;"")+COUNTIF(BS$4:BS27,BS27))</f>
        <v/>
      </c>
      <c r="BU27" s="55">
        <f>IF(ROW()-3&gt;COUNTIF(BS$4:BS$40,"&lt;&gt;"&amp;""),"",INDEX(BS$4:BS$40,MATCH(ROW()-3,BT$4:BT$40,0)))</f>
        <v/>
      </c>
      <c r="BV27">
        <f>BV26+IF(AND(BU27&lt;&gt;"",COUNTIF(BU$4:BU27,BU27)=1),1,0)</f>
        <v/>
      </c>
      <c r="BW27" s="55">
        <f>IF(ROW()-3&gt;MAX(BV$4:BV$40),"",INDEX(BU$4:BU$40,MATCH(ROW()-3,BV$4:BV$40,0)))</f>
        <v/>
      </c>
      <c r="BX27" s="138">
        <f>IF('Final Calculation Sheet'!$N$27="","",'Final Calculation Sheet'!$N$27)</f>
        <v/>
      </c>
      <c r="BY27">
        <f>IF(BX27="","",COUNTIFS(BX$4:BX$40,"&lt;"&amp;BX27,BX$4:BX$40,"&lt;&gt;"&amp;"")+COUNTIF(BX$4:BX27,BX27))</f>
        <v/>
      </c>
      <c r="BZ27" s="138">
        <f>IF(ROW()-3&gt;COUNTIF(BX$4:BX$40,"&lt;&gt;"&amp;""),"",INDEX(BX$4:BX$40,MATCH(ROW()-3,BY$4:BY$40,0)))</f>
        <v/>
      </c>
      <c r="CA27">
        <f>CA26+IF(AND(BZ27&lt;&gt;"",COUNTIF(BZ$4:BZ27,BZ27)=1),1,0)</f>
        <v/>
      </c>
      <c r="CB27" s="138">
        <f>IF(ROW()-3&gt;MAX(CA$4:CA$40),"",INDEX(BZ$4:BZ$40,MATCH(ROW()-3,CA$4:CA$40,0)))</f>
        <v/>
      </c>
      <c r="CC27" s="55">
        <f>IF('Final Calculation Sheet'!$O$27="","",'Final Calculation Sheet'!$O$27)</f>
        <v/>
      </c>
      <c r="CD27">
        <f>IF(CC27="","",COUNTIFS(CC$4:CC$40,"&lt;"&amp;CC27,CC$4:CC$40,"&lt;&gt;"&amp;"")+COUNTIF(CC$4:CC27,CC27))</f>
        <v/>
      </c>
      <c r="CE27" s="55">
        <f>IF(ROW()-3&gt;COUNTIF(CC$4:CC$40,"&lt;&gt;"&amp;""),"",INDEX(CC$4:CC$40,MATCH(ROW()-3,CD$4:CD$40,0)))</f>
        <v/>
      </c>
      <c r="CF27">
        <f>CF26+IF(AND(CE27&lt;&gt;"",COUNTIF(CE$4:CE27,CE27)=1),1,0)</f>
        <v/>
      </c>
      <c r="CG27" s="55">
        <f>IF(ROW()-3&gt;MAX(CF$4:CF$40),"",INDEX(CE$4:CE$40,MATCH(ROW()-3,CF$4:CF$40,0)))</f>
        <v/>
      </c>
      <c r="CH27" s="55">
        <f>IF('Final Calculation Sheet'!$P$27="","",'Final Calculation Sheet'!$P$27)</f>
        <v/>
      </c>
      <c r="CI27">
        <f>IF(CH27="","",COUNTIFS(CH$4:CH$40,"&lt;"&amp;CH27,CH$4:CH$40,"&lt;&gt;"&amp;"")+COUNTIF(CH$4:CH27,CH27))</f>
        <v/>
      </c>
      <c r="CJ27" s="55">
        <f>IF(ROW()-3&gt;COUNTIF(CH$4:CH$40,"&lt;&gt;"&amp;""),"",INDEX(CH$4:CH$40,MATCH(ROW()-3,CI$4:CI$40,0)))</f>
        <v/>
      </c>
      <c r="CK27">
        <f>CK26+IF(AND(CJ27&lt;&gt;"",COUNTIF(CJ$4:CJ27,CJ27)=1),1,0)</f>
        <v/>
      </c>
      <c r="CL27" s="55">
        <f>IF(ROW()-3&gt;MAX(CK$4:CK$40),"",INDEX(CJ$4:CJ$40,MATCH(ROW()-3,CK$4:CK$40,0)))</f>
        <v/>
      </c>
      <c r="CM27" s="139">
        <f>IF('Final Calculation Sheet'!$Q$27="","",'Final Calculation Sheet'!$Q$27)</f>
        <v/>
      </c>
      <c r="CN27">
        <f>IF(CM27="","",COUNTIFS(CM$4:CM$40,"&lt;"&amp;CM27,CM$4:CM$40,"&lt;&gt;"&amp;"")+COUNTIF(CM$4:CM27,CM27))</f>
        <v/>
      </c>
      <c r="CO27" s="139">
        <f>IF(ROW()-3&gt;COUNTIF(CM$4:CM$40,"&lt;&gt;"&amp;""),"",INDEX(CM$4:CM$40,MATCH(ROW()-3,CN$4:CN$40,0)))</f>
        <v/>
      </c>
      <c r="CP27">
        <f>CP26+IF(AND(CO27&lt;&gt;"",COUNTIF(CO$4:CO27,CO27)=1),1,0)</f>
        <v/>
      </c>
      <c r="CQ27">
        <f>IF(ROW()-3&gt;MAX(CP$4:CP$40),"",INDEX(CO$4:CO$40,MATCH(ROW()-3,CP$4:CP$40,0)))</f>
        <v/>
      </c>
      <c r="CR27" s="55">
        <f>IF('Final Calculation Sheet'!$R$27="","",'Final Calculation Sheet'!$R$27)</f>
        <v/>
      </c>
      <c r="CS27">
        <f>IF(CR27="","",COUNTIFS(CR$4:CR$40,"&lt;"&amp;CR27,CR$4:CR$40,"&lt;&gt;"&amp;"")+COUNTIF(CR$4:CR27,CR27))</f>
        <v/>
      </c>
      <c r="CT27" s="55">
        <f>IF(ROW()-3&gt;COUNTIF(CR$4:CR$40,"&lt;&gt;"&amp;""),"",INDEX(CR$4:CR$40,MATCH(ROW()-3,CS$4:CS$40,0)))</f>
        <v/>
      </c>
      <c r="CU27">
        <f>CU26+IF(AND(CT27&lt;&gt;"",COUNTIF(CT$4:CT27,CT27)=1),1,0)</f>
        <v/>
      </c>
      <c r="CV27">
        <f>IF(ROW()-3&gt;MAX(CU$4:CU$40),"",INDEX(CT$4:CT$40,MATCH(ROW()-3,CU$4:CU$40,0)))</f>
        <v/>
      </c>
      <c r="CW27" s="55">
        <f>IF('Final Calculation Sheet'!$S$27="","",'Final Calculation Sheet'!$S$27)</f>
        <v/>
      </c>
      <c r="CX27">
        <f>IF(CW27="","",COUNTIFS(CW$4:CW$40,"&lt;"&amp;CW27,CW$4:CW$40,"&lt;&gt;"&amp;"")+COUNTIF(CW$4:CW27,CW27))</f>
        <v/>
      </c>
      <c r="CY27" s="55">
        <f>IF(ROW()-3&gt;COUNTIF(CW$4:CW$40,"&lt;&gt;"&amp;""),"",INDEX(CW$4:CW$40,MATCH(ROW()-3,CX$4:CX$40,0)))</f>
        <v/>
      </c>
      <c r="CZ27">
        <f>CZ26+IF(AND(CY27&lt;&gt;"",COUNTIF(CY$4:CY27,CY27)=1),1,0)</f>
        <v/>
      </c>
      <c r="DA27" s="55">
        <f>IF(ROW()-3&gt;MAX(CZ$4:CZ$40),"",INDEX(CY$4:CY$40,MATCH(ROW()-3,CZ$4:CZ$40,0)))</f>
        <v/>
      </c>
      <c r="DB27" s="55">
        <f>IF('Final Calculation Sheet'!$T$27="","",'Final Calculation Sheet'!$T$27)</f>
        <v/>
      </c>
      <c r="DC27">
        <f>IF(DB27="","",COUNTIFS(DB$4:DB$40,"&lt;"&amp;DB27,DB$4:DB$40,"&lt;&gt;"&amp;"")+COUNTIF(DB$4:DB27,DB27))</f>
        <v/>
      </c>
      <c r="DD27" s="55">
        <f>IF(ROW()-3&gt;COUNTIF(DB$4:DB$40,"&lt;&gt;"&amp;""),"",INDEX(DB$4:DB$40,MATCH(ROW()-3,DC$4:DC$40,0)))</f>
        <v/>
      </c>
      <c r="DE27">
        <f>DE26+IF(AND(DD27&lt;&gt;"",COUNTIF(DD$4:DD27,DD27)=1),1,0)</f>
        <v/>
      </c>
      <c r="DF27" s="55">
        <f>IF(ROW()-3&gt;MAX(DE$4:DE$40),"",INDEX(DD$4:DD$40,MATCH(ROW()-3,DE$4:DE$40,0)))</f>
        <v/>
      </c>
      <c r="DG27" s="140">
        <f>IF('Final Calculation Sheet'!$U$27="","",'Final Calculation Sheet'!$U$27)</f>
        <v/>
      </c>
      <c r="DH27">
        <f>IF(DG27="","",COUNTIFS(DG$4:DG$40,"&lt;"&amp;DG27,DG$4:DG$40,"&lt;&gt;"&amp;"")+COUNTIF(DG$4:DG27,DG27))</f>
        <v/>
      </c>
      <c r="DI27" s="140">
        <f>IF(ROW()-3&gt;COUNTIF(DG$4:DG$40,"&lt;&gt;"&amp;""),"",INDEX(DG$4:DG$40,MATCH(ROW()-3,DH$4:DH$40,0)))</f>
        <v/>
      </c>
      <c r="DJ27">
        <f>DJ26+IF(AND(DI27&lt;&gt;"",COUNTIF(DI$4:DI27,DI27)=1),1,0)</f>
        <v/>
      </c>
      <c r="DK27" s="140">
        <f>IF(ROW()-3&gt;MAX(DJ$4:DJ$40),"",INDEX(DI$4:DI$40,MATCH(ROW()-3,DJ$4:DJ$40,0)))</f>
        <v/>
      </c>
      <c r="DL27">
        <f>IF('Final Calculation Sheet'!$V$27="","",'Final Calculation Sheet'!$V$27)</f>
        <v/>
      </c>
      <c r="DM27">
        <f>IF(DL27="","",COUNTIFS(DL$4:DL$40,"&lt;"&amp;DL27,DL$4:DL$40,"&lt;&gt;"&amp;"")+COUNTIF(DL$4:DL27,DL27))</f>
        <v/>
      </c>
      <c r="DN27">
        <f>IF(ROW()-3&gt;COUNTIF(DL$4:DL$40,"&lt;&gt;"&amp;""),"",INDEX(DL$4:DL$40,MATCH(ROW()-3,DM$4:DM$40,0)))</f>
        <v/>
      </c>
      <c r="DO27">
        <f>DO26+IF(AND(DN27&lt;&gt;"",COUNTIF(DN$4:DN27,DN27)=1),1,0)</f>
        <v/>
      </c>
      <c r="DP27">
        <f>IF(ROW()-3&gt;MAX(DO$4:DO$40),"",INDEX(DN$4:DN$40,MATCH(ROW()-3,DO$4:DO$40,0)))</f>
        <v/>
      </c>
      <c r="DQ27" s="55">
        <f>IF('Final Calculation Sheet'!$W$27="","",'Final Calculation Sheet'!$W$27)</f>
        <v/>
      </c>
      <c r="DR27">
        <f>IF(DQ27="","",COUNTIFS(DQ$4:DQ$40,"&lt;"&amp;DQ27,DQ$4:DQ$40,"&lt;&gt;"&amp;"")+COUNTIF(DQ$4:DQ27,DQ27))</f>
        <v/>
      </c>
      <c r="DS27" s="55">
        <f>IF(ROW()-3&gt;COUNTIF(DQ$4:DQ$40,"&lt;&gt;"&amp;""),"",INDEX(DQ$4:DQ$40,MATCH(ROW()-3,DR$4:DR$40,0)))</f>
        <v/>
      </c>
      <c r="DT27">
        <f>DT26+IF(AND(DS27&lt;&gt;"",COUNTIF(DS$4:DS27,DS27)=1),1,0)</f>
        <v/>
      </c>
      <c r="DU27" s="55">
        <f>IF(ROW()-3&gt;MAX(DT$4:DT$40),"",INDEX(DS$4:DS$40,MATCH(ROW()-3,DT$4:DT$40,0)))</f>
        <v/>
      </c>
      <c r="DV27">
        <f>IF('Final Calculation Sheet'!$X$27="","",'Final Calculation Sheet'!$X$27)</f>
        <v/>
      </c>
      <c r="DW27">
        <f>IF(DV27="","",COUNTIFS(DV$4:DV$40,"&lt;"&amp;DV27,DV$4:DV$40,"&lt;&gt;"&amp;"")+COUNTIF(DV$4:DV27,DV27))</f>
        <v/>
      </c>
      <c r="DX27" s="55">
        <f>IF(ROW()-3&gt;COUNTIF(DV$4:DV$40,"&lt;&gt;"&amp;""),"",INDEX(DV$4:DV$40,MATCH(ROW()-3,DW$4:DW$40,0)))</f>
        <v/>
      </c>
      <c r="DY27">
        <f>DY26+IF(AND(DX27&lt;&gt;"",COUNTIF(DX$4:DX27,DX27)=1),1,0)</f>
        <v/>
      </c>
      <c r="DZ27">
        <f>IF(ROW()-3&gt;MAX(DY$4:DY$40),"",INDEX(DX$4:DX$40,MATCH(ROW()-3,DY$4:DY$40,0)))</f>
        <v/>
      </c>
      <c r="EA27" s="55">
        <f>IF('Final Calculation Sheet'!$Y$27="","",'Final Calculation Sheet'!$Y$27)</f>
        <v/>
      </c>
      <c r="EB27">
        <f>IF(EA27="","",COUNTIFS(EA$4:EA$40,"&lt;"&amp;EA27,EA$4:EA$40,"&lt;&gt;"&amp;"")+COUNTIF(EA$4:EA27,EA27))</f>
        <v/>
      </c>
      <c r="EC27">
        <f>IF(ROW()-3&gt;COUNTIF(EA$4:EA$40,"&lt;&gt;"&amp;""),"",INDEX(EA$4:EA$40,MATCH(ROW()-3,EB$4:EB$40,0)))</f>
        <v/>
      </c>
      <c r="ED27">
        <f>ED26+IF(AND(EC27&lt;&gt;"",COUNTIF(EC$4:EC27,EC27)=1),1,0)</f>
        <v/>
      </c>
      <c r="EE27">
        <f>IF(ROW()-3&gt;MAX(ED$4:ED$40),"",INDEX(EC$4:EC$40,MATCH(ROW()-3,ED$4:ED$40,0)))</f>
        <v/>
      </c>
      <c r="EF27" s="55">
        <f>IF('Final Calculation Sheet'!$Z$27="","",'Final Calculation Sheet'!$Z$27)</f>
        <v/>
      </c>
      <c r="EG27">
        <f>IF(EF27="","",COUNTIFS(EF$4:EF$40,"&lt;"&amp;EF27,EF$4:EF$40,"&lt;&gt;"&amp;"")+COUNTIF(EF$4:EF27,EF27))</f>
        <v/>
      </c>
      <c r="EH27" s="55">
        <f>IF(ROW()-3&gt;COUNTIF(EF$4:EF$40,"&lt;&gt;"&amp;""),"",INDEX(EF$4:EF$40,MATCH(ROW()-3,EG$4:EG$40,0)))</f>
        <v/>
      </c>
      <c r="EI27">
        <f>EI26+IF(AND(EH27&lt;&gt;"",COUNTIF(EH$4:EH27,EH27)=1),1,0)</f>
        <v/>
      </c>
      <c r="EJ27">
        <f>IF(ROW()-3&gt;MAX(EI$4:EI$40),"",INDEX(EH$4:EH$40,MATCH(ROW()-3,EI$4:EI$40,0)))</f>
        <v/>
      </c>
      <c r="EK27">
        <f>IF('Final Calculation Sheet'!$AA$27="","",'Final Calculation Sheet'!$AA$27)</f>
        <v/>
      </c>
      <c r="EL27">
        <f>IF(EK27="","",COUNTIFS(EK$4:EK$40,"&lt;"&amp;EK27,EK$4:EK$40,"&lt;&gt;"&amp;"")+COUNTIF(EK$4:EK27,EK27))</f>
        <v/>
      </c>
      <c r="EM27">
        <f>IF(ROW()-3&gt;COUNTIF(EK$4:EK$40,"&lt;&gt;"&amp;""),"",INDEX(EK$4:EK$40,MATCH(ROW()-3,EL$4:EL$40,0)))</f>
        <v/>
      </c>
      <c r="EN27">
        <f>EN26+IF(AND(EM27&lt;&gt;"",COUNTIF(EM$4:EM27,EM27)=1),1,0)</f>
        <v/>
      </c>
      <c r="EO27">
        <f>IF(ROW()-3&gt;MAX(EN$4:EN$40),"",INDEX(EM$4:EM$40,MATCH(ROW()-3,EN$4:EN$40,0)))</f>
        <v/>
      </c>
      <c r="EP27">
        <f>IF('Final Calculation Sheet'!$AB$27="","",'Final Calculation Sheet'!$AB$27)</f>
        <v/>
      </c>
      <c r="EQ27">
        <f>IF(EP27="","",COUNTIFS(EP$4:EP$40,"&lt;"&amp;EP27,EP$4:EP$40,"&lt;&gt;"&amp;"")+COUNTIF(EP$4:EP27,EP27))</f>
        <v/>
      </c>
      <c r="ER27">
        <f>IF(ROW()-3&gt;COUNTIF(EP$4:EP$40,"&lt;&gt;"&amp;""),"",INDEX(EP$4:EP$40,MATCH(ROW()-3,EQ$4:EQ$40,0)))</f>
        <v/>
      </c>
      <c r="ES27">
        <f>ES26+IF(AND(ER27&lt;&gt;"",COUNTIF(ER$4:ER27,ER27)=1),1,0)</f>
        <v/>
      </c>
      <c r="ET27">
        <f>IF(ROW()-3&gt;MAX(ES$4:ES$40),"",INDEX(ER$4:ER$40,MATCH(ROW()-3,ES$4:ES$40,0)))</f>
        <v/>
      </c>
      <c r="EU27" s="55">
        <f>IF('Final Calculation Sheet'!$AC$27="","",'Final Calculation Sheet'!$AC$27)</f>
        <v/>
      </c>
      <c r="EV27">
        <f>IF(EU27="","",COUNTIFS(EU$4:EU$40,"&lt;"&amp;EU27,EU$4:EU$40,"&lt;&gt;"&amp;"")+COUNTIF(EU$4:EU27,EU27))</f>
        <v/>
      </c>
      <c r="EW27" s="55">
        <f>IF(ROW()-3&gt;COUNTIF(EU$4:EU$40,"&lt;&gt;"&amp;""),"",INDEX(EU$4:EU$40,MATCH(ROW()-3,EV$4:EV$40,0)))</f>
        <v/>
      </c>
      <c r="EX27">
        <f>EX26+IF(AND(EW27&lt;&gt;"",COUNTIF(EW$4:EW27,EW27)=1),1,0)</f>
        <v/>
      </c>
      <c r="EY27" s="55">
        <f>IF(ROW()-3&gt;MAX(EX$4:EX$40),"",INDEX(EW$4:EW$40,MATCH(ROW()-3,EX$4:EX$40,0)))</f>
        <v/>
      </c>
      <c r="EZ27" s="55">
        <f>IF('Final Calculation Sheet'!$AD$27="","",'Final Calculation Sheet'!$AD$27)</f>
        <v/>
      </c>
      <c r="FA27">
        <f>IF(EZ27="","",COUNTIFS(EZ$4:EZ$40,"&lt;"&amp;EZ27,EZ$4:EZ$40,"&lt;&gt;"&amp;"")+COUNTIF(EZ$4:EZ27,EZ27))</f>
        <v/>
      </c>
      <c r="FB27" s="55">
        <f>IF(ROW()-3&gt;COUNTIF(EZ$4:EZ$40,"&lt;&gt;"&amp;""),"",INDEX(EZ$4:EZ$40,MATCH(ROW()-3,FA$4:FA$40,0)))</f>
        <v/>
      </c>
      <c r="FC27">
        <f>FC26+IF(AND(FB27&lt;&gt;"",COUNTIF(FB$4:FB27,FB27)=1),1,0)</f>
        <v/>
      </c>
      <c r="FD27">
        <f>IF(ROW()-3&gt;MAX(FC$4:FC$40),"",INDEX(FB$4:FB$40,MATCH(ROW()-3,FC$4:FC$40,0)))</f>
        <v/>
      </c>
      <c r="FE27">
        <f>IF('Final Calculation Sheet'!$AF$27="","",'Final Calculation Sheet'!$AF$27)</f>
        <v/>
      </c>
      <c r="FF27">
        <f>IF(FE27="","",COUNTIFS(FE$4:FE$40,"&lt;"&amp;FE27,FE$4:FE$40,"&lt;&gt;"&amp;"")+COUNTIF(FE$4:FE27,FE27))</f>
        <v/>
      </c>
      <c r="FG27">
        <f>IF(ROW()-3&gt;COUNTIF(FE$4:FE$40,"&lt;&gt;"&amp;""),"",INDEX(FE$4:FE$40,MATCH(ROW()-3,FF$4:FF$40,0)))</f>
        <v/>
      </c>
      <c r="FH27">
        <f>FH26+IF(AND(FG27&lt;&gt;"",COUNTIF(FG$4:FG27,FG27)=1),1,0)</f>
        <v/>
      </c>
      <c r="FI27">
        <f>IF(ROW()-3&gt;MAX(FH$4:FH$40),"",INDEX(FG$4:FG$40,MATCH(ROW()-3,FH$4:FH$40,0)))</f>
        <v/>
      </c>
      <c r="FJ27">
        <f>IF('Final Calculation Sheet'!$AG$27="","",'Final Calculation Sheet'!$AG$27)</f>
        <v/>
      </c>
      <c r="FK27">
        <f>IF(FJ27="","",COUNTIFS(FJ$4:FJ$40,"&lt;"&amp;FJ27,FJ$4:FJ$40,"&lt;&gt;"&amp;"")+COUNTIF(FJ$4:FJ27,FJ27))</f>
        <v/>
      </c>
      <c r="FL27" s="141">
        <f>IF(ROW()-3&gt;COUNTIF(FJ$4:FJ$40,"&lt;&gt;"&amp;""),"",INDEX(FJ$4:FJ$40,MATCH(ROW()-3,FK$4:FK$40,0)))</f>
        <v/>
      </c>
      <c r="FM27">
        <f>FM26+IF(AND(FL27&lt;&gt;"",COUNTIF(FL$4:FL27,FL27)=1),1,0)</f>
        <v/>
      </c>
      <c r="FN27">
        <f>IF(ROW()-3&gt;MAX(FM$4:FM$40),"",INDEX(FL$4:FL$40,MATCH(ROW()-3,FM$4:FM$40,0)))</f>
        <v/>
      </c>
      <c r="FO27">
        <f>IF('Final Calculation Sheet'!$AH$27="","",'Final Calculation Sheet'!$AH$27)</f>
        <v/>
      </c>
      <c r="FP27">
        <f>IF(FO27="","",COUNTIFS(FO$4:FO$40,"&lt;"&amp;FO27,FO$4:FO$40,"&lt;&gt;"&amp;"")+COUNTIF(FO$4:FO27,FO27))</f>
        <v/>
      </c>
      <c r="FQ27">
        <f>IF(ROW()-3&gt;COUNTIF(FO$4:FO$40,"&lt;&gt;"&amp;""),"",INDEX(FO$4:FO$40,MATCH(ROW()-3,FP$4:FP$40,0)))</f>
        <v/>
      </c>
      <c r="FR27">
        <f>FR26+IF(AND(FQ27&lt;&gt;"",COUNTIF(FQ$4:FQ27,FQ27)=1),1,0)</f>
        <v/>
      </c>
      <c r="FS27">
        <f>IF(ROW()-3&gt;MAX(FR$4:FR$40),"",INDEX(FQ$4:FQ$40,MATCH(ROW()-3,FR$4:FR$40,0)))</f>
        <v/>
      </c>
      <c r="FU27">
        <f>IF(FT27="","",COUNTIFS(FT$4:FT$40,"&lt;"&amp;FT27,FT$4:FT$40,"&lt;&gt;"&amp;"")+COUNTIF(FT$4:FT27,FT27))</f>
        <v/>
      </c>
      <c r="FV27">
        <f>IF(ROW()-3&gt;COUNTIF(FT$4:FT$40,"&lt;&gt;"&amp;""),"",INDEX(FT$4:FT$40,MATCH(ROW()-3,FU$4:FU$40,0)))</f>
        <v/>
      </c>
      <c r="FW27">
        <f>FW26+IF(AND(FV27&lt;&gt;"",COUNTIF(FV$4:FV27,FV27)=1),1,0)</f>
        <v/>
      </c>
      <c r="FX27">
        <f>IF(ROW()-3&gt;MAX(FW$4:FW$40),"",INDEX(FV$4:FV$40,MATCH(ROW()-3,FW$4:FW$40,0)))</f>
        <v/>
      </c>
      <c r="FY27">
        <f>IF(COUNTIF('Live Search'!BM$26:BO$26,0)+COUNTIF('Live Search'!BQ$26:CU$26,0)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7">
        <f>IF($Y$27="",FALSE,SUMPRODUCT(('Final Calculation Sheet'!$B$4:$B$40=$Y$27)*($FY$6:$FY$42=1))&gt;0)</f>
        <v/>
      </c>
      <c r="GA27">
        <f>$GA$26+--($FZ$27)</f>
        <v/>
      </c>
      <c r="GB27">
        <f>IF(ROW()-3&gt;MAX($GA$4:$GA$40),"",INDEX($Y$4:$Y$40,MATCH(ROW()-3,$GA$4:$GA$40,0)))</f>
        <v/>
      </c>
      <c r="GC27">
        <f>IF('Final Calculation Sheet'!$F$27="","",IF(TRIM('Final Calculation Sheet'!$G$2)="",'Final Calculation Sheet'!$F$27,IF(TRIM('Final Calculation Sheet'!$G$2)="(nonblank)",IF('Final Calculation Sheet'!$G$27&lt;&gt;"",'Final Calculation Sheet'!$F$27,""),IF(TRIM('Final Calculation Sheet'!$G$2)="(blank)",IF('Final Calculation Sheet'!$G$27="",'Final Calculation Sheet'!$F$27,""),IF(ISNUMBER(SEARCH(TRIM('Final Calculation Sheet'!$G$2),'Final Calculation Sheet'!$G$27)),'Final Calculation Sheet'!$F$27,"")))))</f>
        <v/>
      </c>
      <c r="GD27">
        <f>IF(GC27="","",COUNTIFS(GC$4:GC$40,"&lt;"&amp;GC27,GC$4:GC$40,"&lt;&gt;"&amp;"")+COUNTIF(GC$4:GC27,GC27))</f>
        <v/>
      </c>
      <c r="GE27">
        <f>IF(ROW()-3&gt;COUNTIF(GC$4:GC$40,"&lt;&gt;"&amp;""),"",INDEX(GC$4:GC$40,MATCH(ROW()-3,GD$4:GD$40,0)))</f>
        <v/>
      </c>
      <c r="GF27">
        <f>GF26+IF(AND(GE27&lt;&gt;"",COUNTIF(GE$4:GE27,GE27)=1),1,0)</f>
        <v/>
      </c>
      <c r="GG27">
        <f>IF(ROW()-3&gt;MAX(GF$4:GF$40),"",INDEX(GE$4:GE$40,MATCH(ROW()-3,GF$4:GF$40,0)))</f>
        <v/>
      </c>
      <c r="GH27">
        <f>IF('Final Calculation Sheet'!$F$27="","",IF('Live Search'!$BO$28=1,'Final Calculation Sheet'!$F$27,""))</f>
        <v/>
      </c>
      <c r="GI27">
        <f>IF(GH27="","",COUNTIFS(GH$4:GH$40,"&lt;"&amp;GH27,GH$4:GH$40,"&lt;&gt;"&amp;"")+COUNTIF(GH$4:GH27,GH27))</f>
        <v/>
      </c>
      <c r="GJ27">
        <f>IF(ROW()-3&gt;COUNTIF(GH$4:GH$40,"&lt;&gt;"&amp;""),"",INDEX(GH$4:GH$40,MATCH(ROW()-3,GI$4:GI$40,0)))</f>
        <v/>
      </c>
      <c r="GK27">
        <f>GK26+IF(AND(GJ27&lt;&gt;"",COUNTIF(GJ$4:GJ27,GJ27)=1),1,0)</f>
        <v/>
      </c>
      <c r="GL27">
        <f>IF(ROW()-3&gt;MAX(GK$4:GK$40),"",INDEX(GJ$4:GJ$40,MATCH(ROW()-3,GK$4:GK$40,0)))</f>
        <v/>
      </c>
      <c r="GM27">
        <f>IF('Final Calculation Sheet'!$F$27="","",IF(TRIM('Buyer Groups'!$C$4)="",'Final Calculation Sheet'!$F$27,IF(TRIM('Buyer Groups'!$C$4)="(nonblank)",IF('Final Calculation Sheet'!$G$27&lt;&gt;"",'Final Calculation Sheet'!$F$27,""),IF(TRIM('Buyer Groups'!$C$4)="(blank)",IF('Final Calculation Sheet'!$G$27="",'Final Calculation Sheet'!$F$27,""),IF(ISNUMBER(SEARCH(TRIM('Buyer Groups'!$C$4),'Final Calculation Sheet'!$G$27)),'Final Calculation Sheet'!$F$27,"")))))</f>
        <v/>
      </c>
      <c r="GN27">
        <f>IF(GM27="","",COUNTIFS(GM$4:GM$40,"&lt;"&amp;GM27,GM$4:GM$40,"&lt;&gt;"&amp;"")+COUNTIF(GM$4:GM27,GM27))</f>
        <v/>
      </c>
      <c r="GO27">
        <f>IF(ROW()-3&gt;COUNTIF(GM$4:GM$40,"&lt;&gt;"&amp;""),"",INDEX(GM$4:GM$40,MATCH(ROW()-3,GN$4:GN$40,0)))</f>
        <v/>
      </c>
      <c r="GP27">
        <f>GP26+IF(AND(GO27&lt;&gt;"",COUNTIF(GO$4:GO27,GO27)=1),1,0)</f>
        <v/>
      </c>
      <c r="GQ27">
        <f>IF(ROW()-3&gt;MAX(GP$4:GP$40),"",INDEX(GO$4:GO$40,MATCH(ROW()-3,GP$4:GP$40,0)))</f>
        <v/>
      </c>
      <c r="GR27">
        <f>IF('Final Calculation Sheet'!$B$27="","",IF(TRIM('Final Calculation Sheet'!$G$2)="",'Final Calculation Sheet'!$B$27,IF(TRIM('Final Calculation Sheet'!$G$2)="(nonblank)",IF('Final Calculation Sheet'!$G$27&lt;&gt;"",'Final Calculation Sheet'!$B$27,""),IF(TRIM('Final Calculation Sheet'!$G$2)="(blank)",IF('Final Calculation Sheet'!$G$27="",'Final Calculation Sheet'!$B$27,""),IF(ISNUMBER(SEARCH(TRIM('Final Calculation Sheet'!$G$2),'Final Calculation Sheet'!$G$27)),'Final Calculation Sheet'!$B$27,"")))))</f>
        <v/>
      </c>
      <c r="GS27">
        <f>IF(GR27="","",COUNTIFS(GR$4:GR$40,"&lt;"&amp;GR27,GR$4:GR$40,"&lt;&gt;"&amp;"")+COUNTIF(GR$4:GR27,GR27))</f>
        <v/>
      </c>
      <c r="GT27">
        <f>IF(ROW()-3&gt;COUNTIF(GR$4:GR$40,"&lt;&gt;"&amp;""),"",INDEX(GR$4:GR$40,MATCH(ROW()-3,GS$4:GS$40,0)))</f>
        <v/>
      </c>
      <c r="GU27">
        <f>GU26+IF(AND(GT27&lt;&gt;"",COUNTIF(GT$4:GT27,GT27)=1),1,0)</f>
        <v/>
      </c>
      <c r="GV27">
        <f>IF(ROW()-3&gt;MAX(GU$4:GU$40),"",INDEX(GT$4:GT$40,MATCH(ROW()-3,GU$4:GU$40,0)))</f>
        <v/>
      </c>
      <c r="GW27">
        <f>IF('Final Calculation Sheet'!$B$27="","",IF(TRIM('Buyer Groups'!$C$4)="",'Final Calculation Sheet'!$B$27,IF(TRIM('Buyer Groups'!$C$4)="(nonblank)",IF('Final Calculation Sheet'!$G$27&lt;&gt;"",'Final Calculation Sheet'!$B$27,""),IF(TRIM('Buyer Groups'!$C$4)="(blank)",IF('Final Calculation Sheet'!$G$27="",'Final Calculation Sheet'!$B$27,""),IF(ISNUMBER(SEARCH(TRIM('Buyer Groups'!$C$4),'Final Calculation Sheet'!$G$27)),'Final Calculation Sheet'!$B$27,"")))))</f>
        <v/>
      </c>
      <c r="GX27">
        <f>IF(GW27="","",COUNTIFS(GW$4:GW$40,"&lt;"&amp;GW27,GW$4:GW$40,"&lt;&gt;"&amp;"")+COUNTIF(GW$4:GW27,GW27))</f>
        <v/>
      </c>
      <c r="GY27">
        <f>IF(ROW()-3&gt;COUNTIF(GW$4:GW$40,"&lt;&gt;"&amp;""),"",INDEX(GW$4:GW$40,MATCH(ROW()-3,GX$4:GX$40,0)))</f>
        <v/>
      </c>
      <c r="GZ27">
        <f>GZ26+IF(AND(GY27&lt;&gt;"",COUNTIF(GY$4:GY27,GY27)=1),1,0)</f>
        <v/>
      </c>
      <c r="HA27">
        <f>IF(ROW()-3&gt;MAX(GZ$4:GZ$40),"",INDEX(GY$4:GY$40,MATCH(ROW()-3,GZ$4:GZ$40,0)))</f>
        <v/>
      </c>
    </row>
    <row r="28">
      <c r="A28">
        <f>IF('Final Calculation Sheet'!$F$28="","",'Final Calculation Sheet'!$F$28)</f>
        <v/>
      </c>
      <c r="B28">
        <f>IF(A28="","",COUNTIFS(A$4:A$114,"&lt;"&amp;A28,A$4:A$114,"&lt;&gt;"&amp;"")+COUNTIF(A$4:A28,A28))</f>
        <v/>
      </c>
      <c r="C28">
        <f>IF(ROW()-3&gt;COUNTIF(A$4:A$114,"&lt;&gt;"&amp;""),"",INDEX(A$4:A$114,MATCH(ROW()-3,B$4:B$114,0)))</f>
        <v/>
      </c>
      <c r="D28">
        <f>D27+IF(AND(C28&lt;&gt;"",COUNTIF(C$4:C28,C28)=1),1,0)</f>
        <v/>
      </c>
      <c r="E28">
        <f>IF(ROW()-3&gt;MAX(D$4:D$114),"",INDEX(C$4:C$114,MATCH(ROW()-3,D$4:D$114,0)))</f>
        <v/>
      </c>
      <c r="F28">
        <f>ROW()-3</f>
        <v/>
      </c>
      <c r="G28">
        <f>IF(F28="","",COUNTIFS(F$4:F$40,"&lt;"&amp;F28,F$4:F$40,"&lt;&gt;"&amp;"")+COUNTIF(F$4:F28,F28))</f>
        <v/>
      </c>
      <c r="H28">
        <f>IF(ROW()-3&gt;COUNTIF(F$4:F$40,"&lt;&gt;"&amp;""),"",INDEX(F$4:F$40,MATCH(ROW()-3,G$4:G$40,0)))</f>
        <v/>
      </c>
      <c r="I28">
        <f>I27+IF(AND(H28&lt;&gt;"",COUNTIF(H$4:H28,H28)=1),1,0)</f>
        <v/>
      </c>
      <c r="J28">
        <f>IF(ROW()-3&gt;MAX(I$4:I$40),"",INDEX(H$4:H$40,MATCH(ROW()-3,I$4:I$40,0)))</f>
        <v/>
      </c>
      <c r="K28">
        <f>IF('Final Calculation Sheet'!$F$28="","",'Final Calculation Sheet'!$F$28)</f>
        <v/>
      </c>
      <c r="L28">
        <f>IF(K28="","",COUNTIFS(K$4:K$40,"&lt;"&amp;K28,K$4:K$40,"&lt;&gt;"&amp;"")+COUNTIF(K$4:K28,K28))</f>
        <v/>
      </c>
      <c r="M28">
        <f>IF(ROW()-3&gt;COUNTIF(K$4:K$40,"&lt;&gt;"&amp;""),"",INDEX(K$4:K$40,MATCH(ROW()-3,L$4:L$40,0)))</f>
        <v/>
      </c>
      <c r="N28">
        <f>N27+IF(AND(M28&lt;&gt;"",COUNTIF(M$4:M28,M28)=1),1,0)</f>
        <v/>
      </c>
      <c r="O28">
        <f>IF(ROW()-3&gt;MAX(N$4:N$40),"",INDEX(M$4:M$40,MATCH(ROW()-3,N$4:N$40,0)))</f>
        <v/>
      </c>
      <c r="P28">
        <f>IF('Final Calculation Sheet'!$G$28="","",'Final Calculation Sheet'!$G$28)</f>
        <v/>
      </c>
      <c r="Q28">
        <f>IF(P28="","",COUNTIFS(P$4:P$40,"&lt;"&amp;P28,P$4:P$40,"&lt;&gt;"&amp;"")+COUNTIF(P$4:P28,P28))</f>
        <v/>
      </c>
      <c r="R28">
        <f>IF(ROW()-3&gt;COUNTIF(P$4:P$40,"&lt;&gt;"&amp;""),"",INDEX(P$4:P$40,MATCH(ROW()-3,Q$4:Q$40,0)))</f>
        <v/>
      </c>
      <c r="S28">
        <f>S27+IF(AND(R28&lt;&gt;"",COUNTIF(R$4:R28,R28)=1),1,0)</f>
        <v/>
      </c>
      <c r="T28">
        <f>IF(ROW()-3&gt;MAX(S$4:S$40),"",INDEX(R$4:R$40,MATCH(ROW()-3,S$4:S$40,0)))</f>
        <v/>
      </c>
      <c r="U28">
        <f>IF('Final Calculation Sheet'!$B$28="","",'Final Calculation Sheet'!$B$28)</f>
        <v/>
      </c>
      <c r="V28">
        <f>IF(U28="","",COUNTIFS(U$4:U$40,"&lt;"&amp;U28,U$4:U$40,"&lt;&gt;"&amp;"")+COUNTIF(U$4:U28,U28))</f>
        <v/>
      </c>
      <c r="W28">
        <f>IF(ROW()-3&gt;COUNTIF(U$4:U$40,"&lt;&gt;"&amp;""),"",INDEX(U$4:U$40,MATCH(ROW()-3,V$4:V$40,0)))</f>
        <v/>
      </c>
      <c r="X28">
        <f>X27+IF(AND(W28&lt;&gt;"",COUNTIF(W$4:W28,W28)=1),1,0)</f>
        <v/>
      </c>
      <c r="Y28">
        <f>IF(ROW()-3&gt;MAX(X$4:X$40),"",INDEX(W$4:W$40,MATCH(ROW()-3,X$4:X$40,0)))</f>
        <v/>
      </c>
      <c r="Z28">
        <f>IF('Final Calculation Sheet'!$D$28="","",'Final Calculation Sheet'!$D$28)</f>
        <v/>
      </c>
      <c r="AA28">
        <f>IF(Z28="","",COUNTIFS(Z$4:Z$40,"&lt;"&amp;Z28,Z$4:Z$40,"&lt;&gt;"&amp;"")+COUNTIF(Z$4:Z28,Z28))</f>
        <v/>
      </c>
      <c r="AB28">
        <f>IF(ROW()-3&gt;COUNTIF(Z$4:Z$40,"&lt;&gt;"&amp;""),"",INDEX(Z$4:Z$40,MATCH(ROW()-3,AA$4:AA$40,0)))</f>
        <v/>
      </c>
      <c r="AC28">
        <f>AC27+IF(AND(AB28&lt;&gt;"",COUNTIF(AB$4:AB28,AB28)=1),1,0)</f>
        <v/>
      </c>
      <c r="AD28">
        <f>IF(ROW()-3&gt;MAX(AC$4:AC$40),"",INDEX(AB$4:AB$40,MATCH(ROW()-3,AC$4:AC$40,0)))</f>
        <v/>
      </c>
      <c r="AE28">
        <f>IF('Final Calculation Sheet'!$A$28="","",'Final Calculation Sheet'!$A$28)</f>
        <v/>
      </c>
      <c r="AF28">
        <f>IF(AE28="","",COUNTIFS(AE$4:AE$40,"&lt;"&amp;AE28,AE$4:AE$40,"&lt;&gt;"&amp;"")+COUNTIF(AE$4:AE28,AE28))</f>
        <v/>
      </c>
      <c r="AG28">
        <f>IF(ROW()-3&gt;COUNTIF(AE$4:AE$40,"&lt;&gt;"&amp;""),"",INDEX(AE$4:AE$40,MATCH(ROW()-3,AF$4:AF$40,0)))</f>
        <v/>
      </c>
      <c r="AH28">
        <f>AH27+IF(AND(AG28&lt;&gt;"",COUNTIF(AG$4:AG28,AG28)=1),1,0)</f>
        <v/>
      </c>
      <c r="AI28">
        <f>IF(ROW()-3&gt;MAX(AH$4:AH$40),"",INDEX(AG$4:AG$40,MATCH(ROW()-3,AH$4:AH$40,0)))</f>
        <v/>
      </c>
      <c r="AJ28">
        <f>IF('Final Calculation Sheet'!$E$28="","",'Final Calculation Sheet'!$E$28)</f>
        <v/>
      </c>
      <c r="AK28">
        <f>IF(AJ28="","",COUNTIFS(AJ$4:AJ$40,"&lt;"&amp;AJ28,AJ$4:AJ$40,"&lt;&gt;"&amp;"")+COUNTIF(AJ$4:AJ28,AJ28))</f>
        <v/>
      </c>
      <c r="AL28">
        <f>IF(ROW()-3&gt;COUNTIF(AJ$4:AJ$40,"&lt;&gt;"&amp;""),"",INDEX(AJ$4:AJ$40,MATCH(ROW()-3,AK$4:AK$40,0)))</f>
        <v/>
      </c>
      <c r="AM28">
        <f>AM27+IF(AND(AL28&lt;&gt;"",COUNTIF(AL$4:AL28,AL28)=1),1,0)</f>
        <v/>
      </c>
      <c r="AN28">
        <f>IF(ROW()-3&gt;MAX(AM$4:AM$40),"",INDEX(AL$4:AL$40,MATCH(ROW()-3,AM$4:AM$40,0)))</f>
        <v/>
      </c>
      <c r="AO28" s="55">
        <f>IF('Final Calculation Sheet'!$C$28="","",'Final Calculation Sheet'!$C$28)</f>
        <v/>
      </c>
      <c r="AP28">
        <f>IF(AO28="","",COUNTIFS(AO$4:AO$40,"&lt;"&amp;AO28,AO$4:AO$40,"&lt;&gt;"&amp;"")+COUNTIF(AO$4:AO28,AO28))</f>
        <v/>
      </c>
      <c r="AQ28" s="55">
        <f>IF(ROW()-3&gt;COUNTIF(AO$4:AO$40,"&lt;&gt;"&amp;""),"",INDEX(AO$4:AO$40,MATCH(ROW()-3,AP$4:AP$40,0)))</f>
        <v/>
      </c>
      <c r="AR28">
        <f>AR27+IF(AND(AQ28&lt;&gt;"",COUNTIF(AQ$4:AQ28,AQ28)=1),1,0)</f>
        <v/>
      </c>
      <c r="AS28" s="55">
        <f>IF(ROW()-3&gt;MAX(AR$4:AR$40),"",INDEX(AQ$4:AQ$40,MATCH(ROW()-3,AR$4:AR$40,0)))</f>
        <v/>
      </c>
      <c r="AT28" s="55">
        <f>IF('Final Calculation Sheet'!$H$28="","",'Final Calculation Sheet'!$H$28)</f>
        <v/>
      </c>
      <c r="AU28">
        <f>IF(AT28="","",COUNTIFS(AT$4:AT$40,"&lt;"&amp;AT28,AT$4:AT$40,"&lt;&gt;"&amp;"")+COUNTIF(AT$4:AT28,AT28))</f>
        <v/>
      </c>
      <c r="AV28" s="55">
        <f>IF(ROW()-3&gt;COUNTIF(AT$4:AT$40,"&lt;&gt;"&amp;""),"",INDEX(AT$4:AT$40,MATCH(ROW()-3,AU$4:AU$40,0)))</f>
        <v/>
      </c>
      <c r="AW28">
        <f>AW27+IF(AND(AV28&lt;&gt;"",COUNTIF(AV$4:AV28,AV28)=1),1,0)</f>
        <v/>
      </c>
      <c r="AX28" s="55">
        <f>IF(ROW()-3&gt;MAX(AW$4:AW$40),"",INDEX(AV$4:AV$40,MATCH(ROW()-3,AW$4:AW$40,0)))</f>
        <v/>
      </c>
      <c r="AY28" s="55">
        <f>IF('Final Calculation Sheet'!$I$28="","",'Final Calculation Sheet'!$I$28)</f>
        <v/>
      </c>
      <c r="AZ28">
        <f>IF(AY28="","",COUNTIFS(AY$4:AY$40,"&lt;"&amp;AY28,AY$4:AY$40,"&lt;&gt;"&amp;"")+COUNTIF(AY$4:AY28,AY28))</f>
        <v/>
      </c>
      <c r="BA28" s="55">
        <f>IF(ROW()-3&gt;COUNTIF(AY$4:AY$40,"&lt;&gt;"&amp;""),"",INDEX(AY$4:AY$40,MATCH(ROW()-3,AZ$4:AZ$40,0)))</f>
        <v/>
      </c>
      <c r="BB28">
        <f>BB27+IF(AND(BA28&lt;&gt;"",COUNTIF(BA$4:BA28,BA28)=1),1,0)</f>
        <v/>
      </c>
      <c r="BC28" s="55">
        <f>IF(ROW()-3&gt;MAX(BB$4:BB$40),"",INDEX(BA$4:BA$40,MATCH(ROW()-3,BB$4:BB$40,0)))</f>
        <v/>
      </c>
      <c r="BD28" s="55">
        <f>IF('Final Calculation Sheet'!$J$28="","",'Final Calculation Sheet'!$J$28)</f>
        <v/>
      </c>
      <c r="BE28">
        <f>IF(BD28="","",COUNTIFS(BD$4:BD$40,"&lt;"&amp;BD28,BD$4:BD$40,"&lt;&gt;"&amp;"")+COUNTIF(BD$4:BD28,BD28))</f>
        <v/>
      </c>
      <c r="BF28" s="55">
        <f>IF(ROW()-3&gt;COUNTIF(BD$4:BD$40,"&lt;&gt;"&amp;""),"",INDEX(BD$4:BD$40,MATCH(ROW()-3,BE$4:BE$40,0)))</f>
        <v/>
      </c>
      <c r="BG28">
        <f>BG27+IF(AND(BF28&lt;&gt;"",COUNTIF(BF$4:BF28,BF28)=1),1,0)</f>
        <v/>
      </c>
      <c r="BH28" s="55">
        <f>IF(ROW()-3&gt;MAX(BG$4:BG$40),"",INDEX(BF$4:BF$40,MATCH(ROW()-3,BG$4:BG$40,0)))</f>
        <v/>
      </c>
      <c r="BI28" s="55">
        <f>IF('Final Calculation Sheet'!$K$28="","",'Final Calculation Sheet'!$K$28)</f>
        <v/>
      </c>
      <c r="BJ28">
        <f>IF(BI28="","",COUNTIFS(BI$4:BI$40,"&lt;"&amp;BI28,BI$4:BI$40,"&lt;&gt;"&amp;"")+COUNTIF(BI$4:BI28,BI28))</f>
        <v/>
      </c>
      <c r="BK28" s="55">
        <f>IF(ROW()-3&gt;COUNTIF(BI$4:BI$40,"&lt;&gt;"&amp;""),"",INDEX(BI$4:BI$40,MATCH(ROW()-3,BJ$4:BJ$40,0)))</f>
        <v/>
      </c>
      <c r="BL28">
        <f>BL27+IF(AND(BK28&lt;&gt;"",COUNTIF(BK$4:BK28,BK28)=1),1,0)</f>
        <v/>
      </c>
      <c r="BM28" s="55">
        <f>IF(ROW()-3&gt;MAX(BL$4:BL$40),"",INDEX(BK$4:BK$40,MATCH(ROW()-3,BL$4:BL$40,0)))</f>
        <v/>
      </c>
      <c r="BN28" s="55">
        <f>IF('Final Calculation Sheet'!$L$28="","",'Final Calculation Sheet'!$L$28)</f>
        <v/>
      </c>
      <c r="BO28">
        <f>IF(BN28="","",COUNTIFS(BN$4:BN$40,"&lt;"&amp;BN28,BN$4:BN$40,"&lt;&gt;"&amp;"")+COUNTIF(BN$4:BN28,BN28))</f>
        <v/>
      </c>
      <c r="BP28" s="55">
        <f>IF(ROW()-3&gt;COUNTIF(BN$4:BN$40,"&lt;&gt;"&amp;""),"",INDEX(BN$4:BN$40,MATCH(ROW()-3,BO$4:BO$40,0)))</f>
        <v/>
      </c>
      <c r="BQ28">
        <f>BQ27+IF(AND(BP28&lt;&gt;"",COUNTIF(BP$4:BP28,BP28)=1),1,0)</f>
        <v/>
      </c>
      <c r="BR28" s="55">
        <f>IF(ROW()-3&gt;MAX(BQ$4:BQ$40),"",INDEX(BP$4:BP$40,MATCH(ROW()-3,BQ$4:BQ$40,0)))</f>
        <v/>
      </c>
      <c r="BS28" s="55">
        <f>IF('Final Calculation Sheet'!$M$28="","",'Final Calculation Sheet'!$M$28)</f>
        <v/>
      </c>
      <c r="BT28">
        <f>IF(BS28="","",COUNTIFS(BS$4:BS$40,"&lt;"&amp;BS28,BS$4:BS$40,"&lt;&gt;"&amp;"")+COUNTIF(BS$4:BS28,BS28))</f>
        <v/>
      </c>
      <c r="BU28" s="55">
        <f>IF(ROW()-3&gt;COUNTIF(BS$4:BS$40,"&lt;&gt;"&amp;""),"",INDEX(BS$4:BS$40,MATCH(ROW()-3,BT$4:BT$40,0)))</f>
        <v/>
      </c>
      <c r="BV28">
        <f>BV27+IF(AND(BU28&lt;&gt;"",COUNTIF(BU$4:BU28,BU28)=1),1,0)</f>
        <v/>
      </c>
      <c r="BW28" s="55">
        <f>IF(ROW()-3&gt;MAX(BV$4:BV$40),"",INDEX(BU$4:BU$40,MATCH(ROW()-3,BV$4:BV$40,0)))</f>
        <v/>
      </c>
      <c r="BX28" s="138">
        <f>IF('Final Calculation Sheet'!$N$28="","",'Final Calculation Sheet'!$N$28)</f>
        <v/>
      </c>
      <c r="BY28">
        <f>IF(BX28="","",COUNTIFS(BX$4:BX$40,"&lt;"&amp;BX28,BX$4:BX$40,"&lt;&gt;"&amp;"")+COUNTIF(BX$4:BX28,BX28))</f>
        <v/>
      </c>
      <c r="BZ28" s="138">
        <f>IF(ROW()-3&gt;COUNTIF(BX$4:BX$40,"&lt;&gt;"&amp;""),"",INDEX(BX$4:BX$40,MATCH(ROW()-3,BY$4:BY$40,0)))</f>
        <v/>
      </c>
      <c r="CA28">
        <f>CA27+IF(AND(BZ28&lt;&gt;"",COUNTIF(BZ$4:BZ28,BZ28)=1),1,0)</f>
        <v/>
      </c>
      <c r="CB28" s="138">
        <f>IF(ROW()-3&gt;MAX(CA$4:CA$40),"",INDEX(BZ$4:BZ$40,MATCH(ROW()-3,CA$4:CA$40,0)))</f>
        <v/>
      </c>
      <c r="CC28" s="55">
        <f>IF('Final Calculation Sheet'!$O$28="","",'Final Calculation Sheet'!$O$28)</f>
        <v/>
      </c>
      <c r="CD28">
        <f>IF(CC28="","",COUNTIFS(CC$4:CC$40,"&lt;"&amp;CC28,CC$4:CC$40,"&lt;&gt;"&amp;"")+COUNTIF(CC$4:CC28,CC28))</f>
        <v/>
      </c>
      <c r="CE28" s="55">
        <f>IF(ROW()-3&gt;COUNTIF(CC$4:CC$40,"&lt;&gt;"&amp;""),"",INDEX(CC$4:CC$40,MATCH(ROW()-3,CD$4:CD$40,0)))</f>
        <v/>
      </c>
      <c r="CF28">
        <f>CF27+IF(AND(CE28&lt;&gt;"",COUNTIF(CE$4:CE28,CE28)=1),1,0)</f>
        <v/>
      </c>
      <c r="CG28" s="55">
        <f>IF(ROW()-3&gt;MAX(CF$4:CF$40),"",INDEX(CE$4:CE$40,MATCH(ROW()-3,CF$4:CF$40,0)))</f>
        <v/>
      </c>
      <c r="CH28" s="55">
        <f>IF('Final Calculation Sheet'!$P$28="","",'Final Calculation Sheet'!$P$28)</f>
        <v/>
      </c>
      <c r="CI28">
        <f>IF(CH28="","",COUNTIFS(CH$4:CH$40,"&lt;"&amp;CH28,CH$4:CH$40,"&lt;&gt;"&amp;"")+COUNTIF(CH$4:CH28,CH28))</f>
        <v/>
      </c>
      <c r="CJ28" s="55">
        <f>IF(ROW()-3&gt;COUNTIF(CH$4:CH$40,"&lt;&gt;"&amp;""),"",INDEX(CH$4:CH$40,MATCH(ROW()-3,CI$4:CI$40,0)))</f>
        <v/>
      </c>
      <c r="CK28">
        <f>CK27+IF(AND(CJ28&lt;&gt;"",COUNTIF(CJ$4:CJ28,CJ28)=1),1,0)</f>
        <v/>
      </c>
      <c r="CL28" s="55">
        <f>IF(ROW()-3&gt;MAX(CK$4:CK$40),"",INDEX(CJ$4:CJ$40,MATCH(ROW()-3,CK$4:CK$40,0)))</f>
        <v/>
      </c>
      <c r="CM28" s="139">
        <f>IF('Final Calculation Sheet'!$Q$28="","",'Final Calculation Sheet'!$Q$28)</f>
        <v/>
      </c>
      <c r="CN28">
        <f>IF(CM28="","",COUNTIFS(CM$4:CM$40,"&lt;"&amp;CM28,CM$4:CM$40,"&lt;&gt;"&amp;"")+COUNTIF(CM$4:CM28,CM28))</f>
        <v/>
      </c>
      <c r="CO28" s="139">
        <f>IF(ROW()-3&gt;COUNTIF(CM$4:CM$40,"&lt;&gt;"&amp;""),"",INDEX(CM$4:CM$40,MATCH(ROW()-3,CN$4:CN$40,0)))</f>
        <v/>
      </c>
      <c r="CP28">
        <f>CP27+IF(AND(CO28&lt;&gt;"",COUNTIF(CO$4:CO28,CO28)=1),1,0)</f>
        <v/>
      </c>
      <c r="CQ28">
        <f>IF(ROW()-3&gt;MAX(CP$4:CP$40),"",INDEX(CO$4:CO$40,MATCH(ROW()-3,CP$4:CP$40,0)))</f>
        <v/>
      </c>
      <c r="CR28" s="55">
        <f>IF('Final Calculation Sheet'!$R$28="","",'Final Calculation Sheet'!$R$28)</f>
        <v/>
      </c>
      <c r="CS28">
        <f>IF(CR28="","",COUNTIFS(CR$4:CR$40,"&lt;"&amp;CR28,CR$4:CR$40,"&lt;&gt;"&amp;"")+COUNTIF(CR$4:CR28,CR28))</f>
        <v/>
      </c>
      <c r="CT28" s="55">
        <f>IF(ROW()-3&gt;COUNTIF(CR$4:CR$40,"&lt;&gt;"&amp;""),"",INDEX(CR$4:CR$40,MATCH(ROW()-3,CS$4:CS$40,0)))</f>
        <v/>
      </c>
      <c r="CU28">
        <f>CU27+IF(AND(CT28&lt;&gt;"",COUNTIF(CT$4:CT28,CT28)=1),1,0)</f>
        <v/>
      </c>
      <c r="CV28">
        <f>IF(ROW()-3&gt;MAX(CU$4:CU$40),"",INDEX(CT$4:CT$40,MATCH(ROW()-3,CU$4:CU$40,0)))</f>
        <v/>
      </c>
      <c r="CW28" s="55">
        <f>IF('Final Calculation Sheet'!$S$28="","",'Final Calculation Sheet'!$S$28)</f>
        <v/>
      </c>
      <c r="CX28">
        <f>IF(CW28="","",COUNTIFS(CW$4:CW$40,"&lt;"&amp;CW28,CW$4:CW$40,"&lt;&gt;"&amp;"")+COUNTIF(CW$4:CW28,CW28))</f>
        <v/>
      </c>
      <c r="CY28" s="55">
        <f>IF(ROW()-3&gt;COUNTIF(CW$4:CW$40,"&lt;&gt;"&amp;""),"",INDEX(CW$4:CW$40,MATCH(ROW()-3,CX$4:CX$40,0)))</f>
        <v/>
      </c>
      <c r="CZ28">
        <f>CZ27+IF(AND(CY28&lt;&gt;"",COUNTIF(CY$4:CY28,CY28)=1),1,0)</f>
        <v/>
      </c>
      <c r="DA28" s="55">
        <f>IF(ROW()-3&gt;MAX(CZ$4:CZ$40),"",INDEX(CY$4:CY$40,MATCH(ROW()-3,CZ$4:CZ$40,0)))</f>
        <v/>
      </c>
      <c r="DB28" s="55">
        <f>IF('Final Calculation Sheet'!$T$28="","",'Final Calculation Sheet'!$T$28)</f>
        <v/>
      </c>
      <c r="DC28">
        <f>IF(DB28="","",COUNTIFS(DB$4:DB$40,"&lt;"&amp;DB28,DB$4:DB$40,"&lt;&gt;"&amp;"")+COUNTIF(DB$4:DB28,DB28))</f>
        <v/>
      </c>
      <c r="DD28" s="55">
        <f>IF(ROW()-3&gt;COUNTIF(DB$4:DB$40,"&lt;&gt;"&amp;""),"",INDEX(DB$4:DB$40,MATCH(ROW()-3,DC$4:DC$40,0)))</f>
        <v/>
      </c>
      <c r="DE28">
        <f>DE27+IF(AND(DD28&lt;&gt;"",COUNTIF(DD$4:DD28,DD28)=1),1,0)</f>
        <v/>
      </c>
      <c r="DF28" s="55">
        <f>IF(ROW()-3&gt;MAX(DE$4:DE$40),"",INDEX(DD$4:DD$40,MATCH(ROW()-3,DE$4:DE$40,0)))</f>
        <v/>
      </c>
      <c r="DG28" s="140">
        <f>IF('Final Calculation Sheet'!$U$28="","",'Final Calculation Sheet'!$U$28)</f>
        <v/>
      </c>
      <c r="DH28">
        <f>IF(DG28="","",COUNTIFS(DG$4:DG$40,"&lt;"&amp;DG28,DG$4:DG$40,"&lt;&gt;"&amp;"")+COUNTIF(DG$4:DG28,DG28))</f>
        <v/>
      </c>
      <c r="DI28" s="140">
        <f>IF(ROW()-3&gt;COUNTIF(DG$4:DG$40,"&lt;&gt;"&amp;""),"",INDEX(DG$4:DG$40,MATCH(ROW()-3,DH$4:DH$40,0)))</f>
        <v/>
      </c>
      <c r="DJ28">
        <f>DJ27+IF(AND(DI28&lt;&gt;"",COUNTIF(DI$4:DI28,DI28)=1),1,0)</f>
        <v/>
      </c>
      <c r="DK28" s="140">
        <f>IF(ROW()-3&gt;MAX(DJ$4:DJ$40),"",INDEX(DI$4:DI$40,MATCH(ROW()-3,DJ$4:DJ$40,0)))</f>
        <v/>
      </c>
      <c r="DL28">
        <f>IF('Final Calculation Sheet'!$V$28="","",'Final Calculation Sheet'!$V$28)</f>
        <v/>
      </c>
      <c r="DM28">
        <f>IF(DL28="","",COUNTIFS(DL$4:DL$40,"&lt;"&amp;DL28,DL$4:DL$40,"&lt;&gt;"&amp;"")+COUNTIF(DL$4:DL28,DL28))</f>
        <v/>
      </c>
      <c r="DN28">
        <f>IF(ROW()-3&gt;COUNTIF(DL$4:DL$40,"&lt;&gt;"&amp;""),"",INDEX(DL$4:DL$40,MATCH(ROW()-3,DM$4:DM$40,0)))</f>
        <v/>
      </c>
      <c r="DO28">
        <f>DO27+IF(AND(DN28&lt;&gt;"",COUNTIF(DN$4:DN28,DN28)=1),1,0)</f>
        <v/>
      </c>
      <c r="DP28">
        <f>IF(ROW()-3&gt;MAX(DO$4:DO$40),"",INDEX(DN$4:DN$40,MATCH(ROW()-3,DO$4:DO$40,0)))</f>
        <v/>
      </c>
      <c r="DQ28" s="55">
        <f>IF('Final Calculation Sheet'!$W$28="","",'Final Calculation Sheet'!$W$28)</f>
        <v/>
      </c>
      <c r="DR28">
        <f>IF(DQ28="","",COUNTIFS(DQ$4:DQ$40,"&lt;"&amp;DQ28,DQ$4:DQ$40,"&lt;&gt;"&amp;"")+COUNTIF(DQ$4:DQ28,DQ28))</f>
        <v/>
      </c>
      <c r="DS28" s="55">
        <f>IF(ROW()-3&gt;COUNTIF(DQ$4:DQ$40,"&lt;&gt;"&amp;""),"",INDEX(DQ$4:DQ$40,MATCH(ROW()-3,DR$4:DR$40,0)))</f>
        <v/>
      </c>
      <c r="DT28">
        <f>DT27+IF(AND(DS28&lt;&gt;"",COUNTIF(DS$4:DS28,DS28)=1),1,0)</f>
        <v/>
      </c>
      <c r="DU28" s="55">
        <f>IF(ROW()-3&gt;MAX(DT$4:DT$40),"",INDEX(DS$4:DS$40,MATCH(ROW()-3,DT$4:DT$40,0)))</f>
        <v/>
      </c>
      <c r="DV28" s="55">
        <f>IF('Final Calculation Sheet'!$X$28="","",'Final Calculation Sheet'!$X$28)</f>
        <v/>
      </c>
      <c r="DW28">
        <f>IF(DV28="","",COUNTIFS(DV$4:DV$40,"&lt;"&amp;DV28,DV$4:DV$40,"&lt;&gt;"&amp;"")+COUNTIF(DV$4:DV28,DV28))</f>
        <v/>
      </c>
      <c r="DX28" s="55">
        <f>IF(ROW()-3&gt;COUNTIF(DV$4:DV$40,"&lt;&gt;"&amp;""),"",INDEX(DV$4:DV$40,MATCH(ROW()-3,DW$4:DW$40,0)))</f>
        <v/>
      </c>
      <c r="DY28">
        <f>DY27+IF(AND(DX28&lt;&gt;"",COUNTIF(DX$4:DX28,DX28)=1),1,0)</f>
        <v/>
      </c>
      <c r="DZ28">
        <f>IF(ROW()-3&gt;MAX(DY$4:DY$40),"",INDEX(DX$4:DX$40,MATCH(ROW()-3,DY$4:DY$40,0)))</f>
        <v/>
      </c>
      <c r="EA28">
        <f>IF('Final Calculation Sheet'!$Y$28="","",'Final Calculation Sheet'!$Y$28)</f>
        <v/>
      </c>
      <c r="EB28">
        <f>IF(EA28="","",COUNTIFS(EA$4:EA$40,"&lt;"&amp;EA28,EA$4:EA$40,"&lt;&gt;"&amp;"")+COUNTIF(EA$4:EA28,EA28))</f>
        <v/>
      </c>
      <c r="EC28">
        <f>IF(ROW()-3&gt;COUNTIF(EA$4:EA$40,"&lt;&gt;"&amp;""),"",INDEX(EA$4:EA$40,MATCH(ROW()-3,EB$4:EB$40,0)))</f>
        <v/>
      </c>
      <c r="ED28">
        <f>ED27+IF(AND(EC28&lt;&gt;"",COUNTIF(EC$4:EC28,EC28)=1),1,0)</f>
        <v/>
      </c>
      <c r="EE28">
        <f>IF(ROW()-3&gt;MAX(ED$4:ED$40),"",INDEX(EC$4:EC$40,MATCH(ROW()-3,ED$4:ED$40,0)))</f>
        <v/>
      </c>
      <c r="EF28" s="55">
        <f>IF('Final Calculation Sheet'!$Z$28="","",'Final Calculation Sheet'!$Z$28)</f>
        <v/>
      </c>
      <c r="EG28">
        <f>IF(EF28="","",COUNTIFS(EF$4:EF$40,"&lt;"&amp;EF28,EF$4:EF$40,"&lt;&gt;"&amp;"")+COUNTIF(EF$4:EF28,EF28))</f>
        <v/>
      </c>
      <c r="EH28" s="55">
        <f>IF(ROW()-3&gt;COUNTIF(EF$4:EF$40,"&lt;&gt;"&amp;""),"",INDEX(EF$4:EF$40,MATCH(ROW()-3,EG$4:EG$40,0)))</f>
        <v/>
      </c>
      <c r="EI28">
        <f>EI27+IF(AND(EH28&lt;&gt;"",COUNTIF(EH$4:EH28,EH28)=1),1,0)</f>
        <v/>
      </c>
      <c r="EJ28">
        <f>IF(ROW()-3&gt;MAX(EI$4:EI$40),"",INDEX(EH$4:EH$40,MATCH(ROW()-3,EI$4:EI$40,0)))</f>
        <v/>
      </c>
      <c r="EK28">
        <f>IF('Final Calculation Sheet'!$AA$28="","",'Final Calculation Sheet'!$AA$28)</f>
        <v/>
      </c>
      <c r="EL28">
        <f>IF(EK28="","",COUNTIFS(EK$4:EK$40,"&lt;"&amp;EK28,EK$4:EK$40,"&lt;&gt;"&amp;"")+COUNTIF(EK$4:EK28,EK28))</f>
        <v/>
      </c>
      <c r="EM28">
        <f>IF(ROW()-3&gt;COUNTIF(EK$4:EK$40,"&lt;&gt;"&amp;""),"",INDEX(EK$4:EK$40,MATCH(ROW()-3,EL$4:EL$40,0)))</f>
        <v/>
      </c>
      <c r="EN28">
        <f>EN27+IF(AND(EM28&lt;&gt;"",COUNTIF(EM$4:EM28,EM28)=1),1,0)</f>
        <v/>
      </c>
      <c r="EO28">
        <f>IF(ROW()-3&gt;MAX(EN$4:EN$40),"",INDEX(EM$4:EM$40,MATCH(ROW()-3,EN$4:EN$40,0)))</f>
        <v/>
      </c>
      <c r="EP28">
        <f>IF('Final Calculation Sheet'!$AB$28="","",'Final Calculation Sheet'!$AB$28)</f>
        <v/>
      </c>
      <c r="EQ28">
        <f>IF(EP28="","",COUNTIFS(EP$4:EP$40,"&lt;"&amp;EP28,EP$4:EP$40,"&lt;&gt;"&amp;"")+COUNTIF(EP$4:EP28,EP28))</f>
        <v/>
      </c>
      <c r="ER28">
        <f>IF(ROW()-3&gt;COUNTIF(EP$4:EP$40,"&lt;&gt;"&amp;""),"",INDEX(EP$4:EP$40,MATCH(ROW()-3,EQ$4:EQ$40,0)))</f>
        <v/>
      </c>
      <c r="ES28">
        <f>ES27+IF(AND(ER28&lt;&gt;"",COUNTIF(ER$4:ER28,ER28)=1),1,0)</f>
        <v/>
      </c>
      <c r="ET28">
        <f>IF(ROW()-3&gt;MAX(ES$4:ES$40),"",INDEX(ER$4:ER$40,MATCH(ROW()-3,ES$4:ES$40,0)))</f>
        <v/>
      </c>
      <c r="EU28" s="55">
        <f>IF('Final Calculation Sheet'!$AC$28="","",'Final Calculation Sheet'!$AC$28)</f>
        <v/>
      </c>
      <c r="EV28">
        <f>IF(EU28="","",COUNTIFS(EU$4:EU$40,"&lt;"&amp;EU28,EU$4:EU$40,"&lt;&gt;"&amp;"")+COUNTIF(EU$4:EU28,EU28))</f>
        <v/>
      </c>
      <c r="EW28" s="55">
        <f>IF(ROW()-3&gt;COUNTIF(EU$4:EU$40,"&lt;&gt;"&amp;""),"",INDEX(EU$4:EU$40,MATCH(ROW()-3,EV$4:EV$40,0)))</f>
        <v/>
      </c>
      <c r="EX28">
        <f>EX27+IF(AND(EW28&lt;&gt;"",COUNTIF(EW$4:EW28,EW28)=1),1,0)</f>
        <v/>
      </c>
      <c r="EY28" s="55">
        <f>IF(ROW()-3&gt;MAX(EX$4:EX$40),"",INDEX(EW$4:EW$40,MATCH(ROW()-3,EX$4:EX$40,0)))</f>
        <v/>
      </c>
      <c r="EZ28" s="55">
        <f>IF('Final Calculation Sheet'!$AD$28="","",'Final Calculation Sheet'!$AD$28)</f>
        <v/>
      </c>
      <c r="FA28">
        <f>IF(EZ28="","",COUNTIFS(EZ$4:EZ$40,"&lt;"&amp;EZ28,EZ$4:EZ$40,"&lt;&gt;"&amp;"")+COUNTIF(EZ$4:EZ28,EZ28))</f>
        <v/>
      </c>
      <c r="FB28" s="55">
        <f>IF(ROW()-3&gt;COUNTIF(EZ$4:EZ$40,"&lt;&gt;"&amp;""),"",INDEX(EZ$4:EZ$40,MATCH(ROW()-3,FA$4:FA$40,0)))</f>
        <v/>
      </c>
      <c r="FC28">
        <f>FC27+IF(AND(FB28&lt;&gt;"",COUNTIF(FB$4:FB28,FB28)=1),1,0)</f>
        <v/>
      </c>
      <c r="FD28">
        <f>IF(ROW()-3&gt;MAX(FC$4:FC$40),"",INDEX(FB$4:FB$40,MATCH(ROW()-3,FC$4:FC$40,0)))</f>
        <v/>
      </c>
      <c r="FE28">
        <f>IF('Final Calculation Sheet'!$AF$28="","",'Final Calculation Sheet'!$AF$28)</f>
        <v/>
      </c>
      <c r="FF28">
        <f>IF(FE28="","",COUNTIFS(FE$4:FE$40,"&lt;"&amp;FE28,FE$4:FE$40,"&lt;&gt;"&amp;"")+COUNTIF(FE$4:FE28,FE28))</f>
        <v/>
      </c>
      <c r="FG28">
        <f>IF(ROW()-3&gt;COUNTIF(FE$4:FE$40,"&lt;&gt;"&amp;""),"",INDEX(FE$4:FE$40,MATCH(ROW()-3,FF$4:FF$40,0)))</f>
        <v/>
      </c>
      <c r="FH28">
        <f>FH27+IF(AND(FG28&lt;&gt;"",COUNTIF(FG$4:FG28,FG28)=1),1,0)</f>
        <v/>
      </c>
      <c r="FI28">
        <f>IF(ROW()-3&gt;MAX(FH$4:FH$40),"",INDEX(FG$4:FG$40,MATCH(ROW()-3,FH$4:FH$40,0)))</f>
        <v/>
      </c>
      <c r="FJ28" s="141">
        <f>IF('Final Calculation Sheet'!$AG$28="","",'Final Calculation Sheet'!$AG$28)</f>
        <v/>
      </c>
      <c r="FK28">
        <f>IF(FJ28="","",COUNTIFS(FJ$4:FJ$40,"&lt;"&amp;FJ28,FJ$4:FJ$40,"&lt;&gt;"&amp;"")+COUNTIF(FJ$4:FJ28,FJ28))</f>
        <v/>
      </c>
      <c r="FL28" s="141">
        <f>IF(ROW()-3&gt;COUNTIF(FJ$4:FJ$40,"&lt;&gt;"&amp;""),"",INDEX(FJ$4:FJ$40,MATCH(ROW()-3,FK$4:FK$40,0)))</f>
        <v/>
      </c>
      <c r="FM28">
        <f>FM27+IF(AND(FL28&lt;&gt;"",COUNTIF(FL$4:FL28,FL28)=1),1,0)</f>
        <v/>
      </c>
      <c r="FN28">
        <f>IF(ROW()-3&gt;MAX(FM$4:FM$40),"",INDEX(FL$4:FL$40,MATCH(ROW()-3,FM$4:FM$40,0)))</f>
        <v/>
      </c>
      <c r="FO28">
        <f>IF('Final Calculation Sheet'!$AH$28="","",'Final Calculation Sheet'!$AH$28)</f>
        <v/>
      </c>
      <c r="FP28">
        <f>IF(FO28="","",COUNTIFS(FO$4:FO$40,"&lt;"&amp;FO28,FO$4:FO$40,"&lt;&gt;"&amp;"")+COUNTIF(FO$4:FO28,FO28))</f>
        <v/>
      </c>
      <c r="FQ28">
        <f>IF(ROW()-3&gt;COUNTIF(FO$4:FO$40,"&lt;&gt;"&amp;""),"",INDEX(FO$4:FO$40,MATCH(ROW()-3,FP$4:FP$40,0)))</f>
        <v/>
      </c>
      <c r="FR28">
        <f>FR27+IF(AND(FQ28&lt;&gt;"",COUNTIF(FQ$4:FQ28,FQ28)=1),1,0)</f>
        <v/>
      </c>
      <c r="FS28">
        <f>IF(ROW()-3&gt;MAX(FR$4:FR$40),"",INDEX(FQ$4:FQ$40,MATCH(ROW()-3,FR$4:FR$40,0)))</f>
        <v/>
      </c>
      <c r="FU28">
        <f>IF(FT28="","",COUNTIFS(FT$4:FT$40,"&lt;"&amp;FT28,FT$4:FT$40,"&lt;&gt;"&amp;"")+COUNTIF(FT$4:FT28,FT28))</f>
        <v/>
      </c>
      <c r="FV28">
        <f>IF(ROW()-3&gt;COUNTIF(FT$4:FT$40,"&lt;&gt;"&amp;""),"",INDEX(FT$4:FT$40,MATCH(ROW()-3,FU$4:FU$40,0)))</f>
        <v/>
      </c>
      <c r="FW28">
        <f>FW27+IF(AND(FV28&lt;&gt;"",COUNTIF(FV$4:FV28,FV28)=1),1,0)</f>
        <v/>
      </c>
      <c r="FX28">
        <f>IF(ROW()-3&gt;MAX(FW$4:FW$40),"",INDEX(FV$4:FV$40,MATCH(ROW()-3,FW$4:FW$40,0)))</f>
        <v/>
      </c>
      <c r="FY28">
        <f>IF(COUNTIF('Live Search'!BM$27:BO$27,0)+COUNTIF('Live Search'!BQ$27:CU$27,0)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8">
        <f>IF($Y$28="",FALSE,SUMPRODUCT(('Final Calculation Sheet'!$B$4:$B$40=$Y$28)*($FY$6:$FY$42=1))&gt;0)</f>
        <v/>
      </c>
      <c r="GA28">
        <f>$GA$27+--($FZ$28)</f>
        <v/>
      </c>
      <c r="GB28">
        <f>IF(ROW()-3&gt;MAX($GA$4:$GA$40),"",INDEX($Y$4:$Y$40,MATCH(ROW()-3,$GA$4:$GA$40,0)))</f>
        <v/>
      </c>
      <c r="GC28">
        <f>IF('Final Calculation Sheet'!$F$28="","",IF(TRIM('Final Calculation Sheet'!$G$2)="",'Final Calculation Sheet'!$F$28,IF(TRIM('Final Calculation Sheet'!$G$2)="(nonblank)",IF('Final Calculation Sheet'!$G$28&lt;&gt;"",'Final Calculation Sheet'!$F$28,""),IF(TRIM('Final Calculation Sheet'!$G$2)="(blank)",IF('Final Calculation Sheet'!$G$28="",'Final Calculation Sheet'!$F$28,""),IF(ISNUMBER(SEARCH(TRIM('Final Calculation Sheet'!$G$2),'Final Calculation Sheet'!$G$28)),'Final Calculation Sheet'!$F$28,"")))))</f>
        <v/>
      </c>
      <c r="GD28">
        <f>IF(GC28="","",COUNTIFS(GC$4:GC$40,"&lt;"&amp;GC28,GC$4:GC$40,"&lt;&gt;"&amp;"")+COUNTIF(GC$4:GC28,GC28))</f>
        <v/>
      </c>
      <c r="GE28">
        <f>IF(ROW()-3&gt;COUNTIF(GC$4:GC$40,"&lt;&gt;"&amp;""),"",INDEX(GC$4:GC$40,MATCH(ROW()-3,GD$4:GD$40,0)))</f>
        <v/>
      </c>
      <c r="GF28">
        <f>GF27+IF(AND(GE28&lt;&gt;"",COUNTIF(GE$4:GE28,GE28)=1),1,0)</f>
        <v/>
      </c>
      <c r="GG28">
        <f>IF(ROW()-3&gt;MAX(GF$4:GF$40),"",INDEX(GE$4:GE$40,MATCH(ROW()-3,GF$4:GF$40,0)))</f>
        <v/>
      </c>
      <c r="GH28">
        <f>IF('Final Calculation Sheet'!$F$28="","",IF('Live Search'!$BO$29=1,'Final Calculation Sheet'!$F$28,""))</f>
        <v/>
      </c>
      <c r="GI28">
        <f>IF(GH28="","",COUNTIFS(GH$4:GH$40,"&lt;"&amp;GH28,GH$4:GH$40,"&lt;&gt;"&amp;"")+COUNTIF(GH$4:GH28,GH28))</f>
        <v/>
      </c>
      <c r="GJ28">
        <f>IF(ROW()-3&gt;COUNTIF(GH$4:GH$40,"&lt;&gt;"&amp;""),"",INDEX(GH$4:GH$40,MATCH(ROW()-3,GI$4:GI$40,0)))</f>
        <v/>
      </c>
      <c r="GK28">
        <f>GK27+IF(AND(GJ28&lt;&gt;"",COUNTIF(GJ$4:GJ28,GJ28)=1),1,0)</f>
        <v/>
      </c>
      <c r="GL28">
        <f>IF(ROW()-3&gt;MAX(GK$4:GK$40),"",INDEX(GJ$4:GJ$40,MATCH(ROW()-3,GK$4:GK$40,0)))</f>
        <v/>
      </c>
      <c r="GM28">
        <f>IF('Final Calculation Sheet'!$F$28="","",IF(TRIM('Buyer Groups'!$C$4)="",'Final Calculation Sheet'!$F$28,IF(TRIM('Buyer Groups'!$C$4)="(nonblank)",IF('Final Calculation Sheet'!$G$28&lt;&gt;"",'Final Calculation Sheet'!$F$28,""),IF(TRIM('Buyer Groups'!$C$4)="(blank)",IF('Final Calculation Sheet'!$G$28="",'Final Calculation Sheet'!$F$28,""),IF(ISNUMBER(SEARCH(TRIM('Buyer Groups'!$C$4),'Final Calculation Sheet'!$G$28)),'Final Calculation Sheet'!$F$28,"")))))</f>
        <v/>
      </c>
      <c r="GN28">
        <f>IF(GM28="","",COUNTIFS(GM$4:GM$40,"&lt;"&amp;GM28,GM$4:GM$40,"&lt;&gt;"&amp;"")+COUNTIF(GM$4:GM28,GM28))</f>
        <v/>
      </c>
      <c r="GO28">
        <f>IF(ROW()-3&gt;COUNTIF(GM$4:GM$40,"&lt;&gt;"&amp;""),"",INDEX(GM$4:GM$40,MATCH(ROW()-3,GN$4:GN$40,0)))</f>
        <v/>
      </c>
      <c r="GP28">
        <f>GP27+IF(AND(GO28&lt;&gt;"",COUNTIF(GO$4:GO28,GO28)=1),1,0)</f>
        <v/>
      </c>
      <c r="GQ28">
        <f>IF(ROW()-3&gt;MAX(GP$4:GP$40),"",INDEX(GO$4:GO$40,MATCH(ROW()-3,GP$4:GP$40,0)))</f>
        <v/>
      </c>
      <c r="GR28">
        <f>IF('Final Calculation Sheet'!$B$28="","",IF(TRIM('Final Calculation Sheet'!$G$2)="",'Final Calculation Sheet'!$B$28,IF(TRIM('Final Calculation Sheet'!$G$2)="(nonblank)",IF('Final Calculation Sheet'!$G$28&lt;&gt;"",'Final Calculation Sheet'!$B$28,""),IF(TRIM('Final Calculation Sheet'!$G$2)="(blank)",IF('Final Calculation Sheet'!$G$28="",'Final Calculation Sheet'!$B$28,""),IF(ISNUMBER(SEARCH(TRIM('Final Calculation Sheet'!$G$2),'Final Calculation Sheet'!$G$28)),'Final Calculation Sheet'!$B$28,"")))))</f>
        <v/>
      </c>
      <c r="GS28">
        <f>IF(GR28="","",COUNTIFS(GR$4:GR$40,"&lt;"&amp;GR28,GR$4:GR$40,"&lt;&gt;"&amp;"")+COUNTIF(GR$4:GR28,GR28))</f>
        <v/>
      </c>
      <c r="GT28">
        <f>IF(ROW()-3&gt;COUNTIF(GR$4:GR$40,"&lt;&gt;"&amp;""),"",INDEX(GR$4:GR$40,MATCH(ROW()-3,GS$4:GS$40,0)))</f>
        <v/>
      </c>
      <c r="GU28">
        <f>GU27+IF(AND(GT28&lt;&gt;"",COUNTIF(GT$4:GT28,GT28)=1),1,0)</f>
        <v/>
      </c>
      <c r="GV28">
        <f>IF(ROW()-3&gt;MAX(GU$4:GU$40),"",INDEX(GT$4:GT$40,MATCH(ROW()-3,GU$4:GU$40,0)))</f>
        <v/>
      </c>
      <c r="GW28">
        <f>IF('Final Calculation Sheet'!$B$28="","",IF(TRIM('Buyer Groups'!$C$4)="",'Final Calculation Sheet'!$B$28,IF(TRIM('Buyer Groups'!$C$4)="(nonblank)",IF('Final Calculation Sheet'!$G$28&lt;&gt;"",'Final Calculation Sheet'!$B$28,""),IF(TRIM('Buyer Groups'!$C$4)="(blank)",IF('Final Calculation Sheet'!$G$28="",'Final Calculation Sheet'!$B$28,""),IF(ISNUMBER(SEARCH(TRIM('Buyer Groups'!$C$4),'Final Calculation Sheet'!$G$28)),'Final Calculation Sheet'!$B$28,"")))))</f>
        <v/>
      </c>
      <c r="GX28">
        <f>IF(GW28="","",COUNTIFS(GW$4:GW$40,"&lt;"&amp;GW28,GW$4:GW$40,"&lt;&gt;"&amp;"")+COUNTIF(GW$4:GW28,GW28))</f>
        <v/>
      </c>
      <c r="GY28">
        <f>IF(ROW()-3&gt;COUNTIF(GW$4:GW$40,"&lt;&gt;"&amp;""),"",INDEX(GW$4:GW$40,MATCH(ROW()-3,GX$4:GX$40,0)))</f>
        <v/>
      </c>
      <c r="GZ28">
        <f>GZ27+IF(AND(GY28&lt;&gt;"",COUNTIF(GY$4:GY28,GY28)=1),1,0)</f>
        <v/>
      </c>
      <c r="HA28">
        <f>IF(ROW()-3&gt;MAX(GZ$4:GZ$40),"",INDEX(GY$4:GY$40,MATCH(ROW()-3,GZ$4:GZ$40,0)))</f>
        <v/>
      </c>
    </row>
    <row r="29">
      <c r="A29">
        <f>IF('Final Calculation Sheet'!$F$29="","",'Final Calculation Sheet'!$F$29)</f>
        <v/>
      </c>
      <c r="B29">
        <f>IF(A29="","",COUNTIFS(A$4:A$114,"&lt;"&amp;A29,A$4:A$114,"&lt;&gt;"&amp;"")+COUNTIF(A$4:A29,A29))</f>
        <v/>
      </c>
      <c r="C29">
        <f>IF(ROW()-3&gt;COUNTIF(A$4:A$114,"&lt;&gt;"&amp;""),"",INDEX(A$4:A$114,MATCH(ROW()-3,B$4:B$114,0)))</f>
        <v/>
      </c>
      <c r="D29">
        <f>D28+IF(AND(C29&lt;&gt;"",COUNTIF(C$4:C29,C29)=1),1,0)</f>
        <v/>
      </c>
      <c r="E29">
        <f>IF(ROW()-3&gt;MAX(D$4:D$114),"",INDEX(C$4:C$114,MATCH(ROW()-3,D$4:D$114,0)))</f>
        <v/>
      </c>
      <c r="F29">
        <f>ROW()-3</f>
        <v/>
      </c>
      <c r="G29">
        <f>IF(F29="","",COUNTIFS(F$4:F$40,"&lt;"&amp;F29,F$4:F$40,"&lt;&gt;"&amp;"")+COUNTIF(F$4:F29,F29))</f>
        <v/>
      </c>
      <c r="H29">
        <f>IF(ROW()-3&gt;COUNTIF(F$4:F$40,"&lt;&gt;"&amp;""),"",INDEX(F$4:F$40,MATCH(ROW()-3,G$4:G$40,0)))</f>
        <v/>
      </c>
      <c r="I29">
        <f>I28+IF(AND(H29&lt;&gt;"",COUNTIF(H$4:H29,H29)=1),1,0)</f>
        <v/>
      </c>
      <c r="J29">
        <f>IF(ROW()-3&gt;MAX(I$4:I$40),"",INDEX(H$4:H$40,MATCH(ROW()-3,I$4:I$40,0)))</f>
        <v/>
      </c>
      <c r="K29">
        <f>IF('Final Calculation Sheet'!$F$29="","",'Final Calculation Sheet'!$F$29)</f>
        <v/>
      </c>
      <c r="L29">
        <f>IF(K29="","",COUNTIFS(K$4:K$40,"&lt;"&amp;K29,K$4:K$40,"&lt;&gt;"&amp;"")+COUNTIF(K$4:K29,K29))</f>
        <v/>
      </c>
      <c r="M29">
        <f>IF(ROW()-3&gt;COUNTIF(K$4:K$40,"&lt;&gt;"&amp;""),"",INDEX(K$4:K$40,MATCH(ROW()-3,L$4:L$40,0)))</f>
        <v/>
      </c>
      <c r="N29">
        <f>N28+IF(AND(M29&lt;&gt;"",COUNTIF(M$4:M29,M29)=1),1,0)</f>
        <v/>
      </c>
      <c r="O29">
        <f>IF(ROW()-3&gt;MAX(N$4:N$40),"",INDEX(M$4:M$40,MATCH(ROW()-3,N$4:N$40,0)))</f>
        <v/>
      </c>
      <c r="P29">
        <f>IF('Final Calculation Sheet'!$G$29="","",'Final Calculation Sheet'!$G$29)</f>
        <v/>
      </c>
      <c r="Q29">
        <f>IF(P29="","",COUNTIFS(P$4:P$40,"&lt;"&amp;P29,P$4:P$40,"&lt;&gt;"&amp;"")+COUNTIF(P$4:P29,P29))</f>
        <v/>
      </c>
      <c r="R29">
        <f>IF(ROW()-3&gt;COUNTIF(P$4:P$40,"&lt;&gt;"&amp;""),"",INDEX(P$4:P$40,MATCH(ROW()-3,Q$4:Q$40,0)))</f>
        <v/>
      </c>
      <c r="S29">
        <f>S28+IF(AND(R29&lt;&gt;"",COUNTIF(R$4:R29,R29)=1),1,0)</f>
        <v/>
      </c>
      <c r="T29">
        <f>IF(ROW()-3&gt;MAX(S$4:S$40),"",INDEX(R$4:R$40,MATCH(ROW()-3,S$4:S$40,0)))</f>
        <v/>
      </c>
      <c r="U29">
        <f>IF('Final Calculation Sheet'!$B$29="","",'Final Calculation Sheet'!$B$29)</f>
        <v/>
      </c>
      <c r="V29">
        <f>IF(U29="","",COUNTIFS(U$4:U$40,"&lt;"&amp;U29,U$4:U$40,"&lt;&gt;"&amp;"")+COUNTIF(U$4:U29,U29))</f>
        <v/>
      </c>
      <c r="W29">
        <f>IF(ROW()-3&gt;COUNTIF(U$4:U$40,"&lt;&gt;"&amp;""),"",INDEX(U$4:U$40,MATCH(ROW()-3,V$4:V$40,0)))</f>
        <v/>
      </c>
      <c r="X29">
        <f>X28+IF(AND(W29&lt;&gt;"",COUNTIF(W$4:W29,W29)=1),1,0)</f>
        <v/>
      </c>
      <c r="Y29">
        <f>IF(ROW()-3&gt;MAX(X$4:X$40),"",INDEX(W$4:W$40,MATCH(ROW()-3,X$4:X$40,0)))</f>
        <v/>
      </c>
      <c r="Z29">
        <f>IF('Final Calculation Sheet'!$D$29="","",'Final Calculation Sheet'!$D$29)</f>
        <v/>
      </c>
      <c r="AA29">
        <f>IF(Z29="","",COUNTIFS(Z$4:Z$40,"&lt;"&amp;Z29,Z$4:Z$40,"&lt;&gt;"&amp;"")+COUNTIF(Z$4:Z29,Z29))</f>
        <v/>
      </c>
      <c r="AB29">
        <f>IF(ROW()-3&gt;COUNTIF(Z$4:Z$40,"&lt;&gt;"&amp;""),"",INDEX(Z$4:Z$40,MATCH(ROW()-3,AA$4:AA$40,0)))</f>
        <v/>
      </c>
      <c r="AC29">
        <f>AC28+IF(AND(AB29&lt;&gt;"",COUNTIF(AB$4:AB29,AB29)=1),1,0)</f>
        <v/>
      </c>
      <c r="AD29">
        <f>IF(ROW()-3&gt;MAX(AC$4:AC$40),"",INDEX(AB$4:AB$40,MATCH(ROW()-3,AC$4:AC$40,0)))</f>
        <v/>
      </c>
      <c r="AE29">
        <f>IF('Final Calculation Sheet'!$A$29="","",'Final Calculation Sheet'!$A$29)</f>
        <v/>
      </c>
      <c r="AF29">
        <f>IF(AE29="","",COUNTIFS(AE$4:AE$40,"&lt;"&amp;AE29,AE$4:AE$40,"&lt;&gt;"&amp;"")+COUNTIF(AE$4:AE29,AE29))</f>
        <v/>
      </c>
      <c r="AG29">
        <f>IF(ROW()-3&gt;COUNTIF(AE$4:AE$40,"&lt;&gt;"&amp;""),"",INDEX(AE$4:AE$40,MATCH(ROW()-3,AF$4:AF$40,0)))</f>
        <v/>
      </c>
      <c r="AH29">
        <f>AH28+IF(AND(AG29&lt;&gt;"",COUNTIF(AG$4:AG29,AG29)=1),1,0)</f>
        <v/>
      </c>
      <c r="AI29">
        <f>IF(ROW()-3&gt;MAX(AH$4:AH$40),"",INDEX(AG$4:AG$40,MATCH(ROW()-3,AH$4:AH$40,0)))</f>
        <v/>
      </c>
      <c r="AJ29">
        <f>IF('Final Calculation Sheet'!$E$29="","",'Final Calculation Sheet'!$E$29)</f>
        <v/>
      </c>
      <c r="AK29">
        <f>IF(AJ29="","",COUNTIFS(AJ$4:AJ$40,"&lt;"&amp;AJ29,AJ$4:AJ$40,"&lt;&gt;"&amp;"")+COUNTIF(AJ$4:AJ29,AJ29))</f>
        <v/>
      </c>
      <c r="AL29">
        <f>IF(ROW()-3&gt;COUNTIF(AJ$4:AJ$40,"&lt;&gt;"&amp;""),"",INDEX(AJ$4:AJ$40,MATCH(ROW()-3,AK$4:AK$40,0)))</f>
        <v/>
      </c>
      <c r="AM29">
        <f>AM28+IF(AND(AL29&lt;&gt;"",COUNTIF(AL$4:AL29,AL29)=1),1,0)</f>
        <v/>
      </c>
      <c r="AN29">
        <f>IF(ROW()-3&gt;MAX(AM$4:AM$40),"",INDEX(AL$4:AL$40,MATCH(ROW()-3,AM$4:AM$40,0)))</f>
        <v/>
      </c>
      <c r="AO29" s="55">
        <f>IF('Final Calculation Sheet'!$C$29="","",'Final Calculation Sheet'!$C$29)</f>
        <v/>
      </c>
      <c r="AP29">
        <f>IF(AO29="","",COUNTIFS(AO$4:AO$40,"&lt;"&amp;AO29,AO$4:AO$40,"&lt;&gt;"&amp;"")+COUNTIF(AO$4:AO29,AO29))</f>
        <v/>
      </c>
      <c r="AQ29" s="55">
        <f>IF(ROW()-3&gt;COUNTIF(AO$4:AO$40,"&lt;&gt;"&amp;""),"",INDEX(AO$4:AO$40,MATCH(ROW()-3,AP$4:AP$40,0)))</f>
        <v/>
      </c>
      <c r="AR29">
        <f>AR28+IF(AND(AQ29&lt;&gt;"",COUNTIF(AQ$4:AQ29,AQ29)=1),1,0)</f>
        <v/>
      </c>
      <c r="AS29" s="55">
        <f>IF(ROW()-3&gt;MAX(AR$4:AR$40),"",INDEX(AQ$4:AQ$40,MATCH(ROW()-3,AR$4:AR$40,0)))</f>
        <v/>
      </c>
      <c r="AT29" s="55">
        <f>IF('Final Calculation Sheet'!$H$29="","",'Final Calculation Sheet'!$H$29)</f>
        <v/>
      </c>
      <c r="AU29">
        <f>IF(AT29="","",COUNTIFS(AT$4:AT$40,"&lt;"&amp;AT29,AT$4:AT$40,"&lt;&gt;"&amp;"")+COUNTIF(AT$4:AT29,AT29))</f>
        <v/>
      </c>
      <c r="AV29" s="55">
        <f>IF(ROW()-3&gt;COUNTIF(AT$4:AT$40,"&lt;&gt;"&amp;""),"",INDEX(AT$4:AT$40,MATCH(ROW()-3,AU$4:AU$40,0)))</f>
        <v/>
      </c>
      <c r="AW29">
        <f>AW28+IF(AND(AV29&lt;&gt;"",COUNTIF(AV$4:AV29,AV29)=1),1,0)</f>
        <v/>
      </c>
      <c r="AX29" s="55">
        <f>IF(ROW()-3&gt;MAX(AW$4:AW$40),"",INDEX(AV$4:AV$40,MATCH(ROW()-3,AW$4:AW$40,0)))</f>
        <v/>
      </c>
      <c r="AY29" s="55">
        <f>IF('Final Calculation Sheet'!$I$29="","",'Final Calculation Sheet'!$I$29)</f>
        <v/>
      </c>
      <c r="AZ29">
        <f>IF(AY29="","",COUNTIFS(AY$4:AY$40,"&lt;"&amp;AY29,AY$4:AY$40,"&lt;&gt;"&amp;"")+COUNTIF(AY$4:AY29,AY29))</f>
        <v/>
      </c>
      <c r="BA29" s="55">
        <f>IF(ROW()-3&gt;COUNTIF(AY$4:AY$40,"&lt;&gt;"&amp;""),"",INDEX(AY$4:AY$40,MATCH(ROW()-3,AZ$4:AZ$40,0)))</f>
        <v/>
      </c>
      <c r="BB29">
        <f>BB28+IF(AND(BA29&lt;&gt;"",COUNTIF(BA$4:BA29,BA29)=1),1,0)</f>
        <v/>
      </c>
      <c r="BC29" s="55">
        <f>IF(ROW()-3&gt;MAX(BB$4:BB$40),"",INDEX(BA$4:BA$40,MATCH(ROW()-3,BB$4:BB$40,0)))</f>
        <v/>
      </c>
      <c r="BD29" s="55">
        <f>IF('Final Calculation Sheet'!$J$29="","",'Final Calculation Sheet'!$J$29)</f>
        <v/>
      </c>
      <c r="BE29">
        <f>IF(BD29="","",COUNTIFS(BD$4:BD$40,"&lt;"&amp;BD29,BD$4:BD$40,"&lt;&gt;"&amp;"")+COUNTIF(BD$4:BD29,BD29))</f>
        <v/>
      </c>
      <c r="BF29" s="55">
        <f>IF(ROW()-3&gt;COUNTIF(BD$4:BD$40,"&lt;&gt;"&amp;""),"",INDEX(BD$4:BD$40,MATCH(ROW()-3,BE$4:BE$40,0)))</f>
        <v/>
      </c>
      <c r="BG29">
        <f>BG28+IF(AND(BF29&lt;&gt;"",COUNTIF(BF$4:BF29,BF29)=1),1,0)</f>
        <v/>
      </c>
      <c r="BH29" s="55">
        <f>IF(ROW()-3&gt;MAX(BG$4:BG$40),"",INDEX(BF$4:BF$40,MATCH(ROW()-3,BG$4:BG$40,0)))</f>
        <v/>
      </c>
      <c r="BI29" s="55">
        <f>IF('Final Calculation Sheet'!$K$29="","",'Final Calculation Sheet'!$K$29)</f>
        <v/>
      </c>
      <c r="BJ29">
        <f>IF(BI29="","",COUNTIFS(BI$4:BI$40,"&lt;"&amp;BI29,BI$4:BI$40,"&lt;&gt;"&amp;"")+COUNTIF(BI$4:BI29,BI29))</f>
        <v/>
      </c>
      <c r="BK29" s="55">
        <f>IF(ROW()-3&gt;COUNTIF(BI$4:BI$40,"&lt;&gt;"&amp;""),"",INDEX(BI$4:BI$40,MATCH(ROW()-3,BJ$4:BJ$40,0)))</f>
        <v/>
      </c>
      <c r="BL29">
        <f>BL28+IF(AND(BK29&lt;&gt;"",COUNTIF(BK$4:BK29,BK29)=1),1,0)</f>
        <v/>
      </c>
      <c r="BM29" s="55">
        <f>IF(ROW()-3&gt;MAX(BL$4:BL$40),"",INDEX(BK$4:BK$40,MATCH(ROW()-3,BL$4:BL$40,0)))</f>
        <v/>
      </c>
      <c r="BN29" s="55">
        <f>IF('Final Calculation Sheet'!$L$29="","",'Final Calculation Sheet'!$L$29)</f>
        <v/>
      </c>
      <c r="BO29">
        <f>IF(BN29="","",COUNTIFS(BN$4:BN$40,"&lt;"&amp;BN29,BN$4:BN$40,"&lt;&gt;"&amp;"")+COUNTIF(BN$4:BN29,BN29))</f>
        <v/>
      </c>
      <c r="BP29" s="55">
        <f>IF(ROW()-3&gt;COUNTIF(BN$4:BN$40,"&lt;&gt;"&amp;""),"",INDEX(BN$4:BN$40,MATCH(ROW()-3,BO$4:BO$40,0)))</f>
        <v/>
      </c>
      <c r="BQ29">
        <f>BQ28+IF(AND(BP29&lt;&gt;"",COUNTIF(BP$4:BP29,BP29)=1),1,0)</f>
        <v/>
      </c>
      <c r="BR29" s="55">
        <f>IF(ROW()-3&gt;MAX(BQ$4:BQ$40),"",INDEX(BP$4:BP$40,MATCH(ROW()-3,BQ$4:BQ$40,0)))</f>
        <v/>
      </c>
      <c r="BS29" s="55">
        <f>IF('Final Calculation Sheet'!$M$29="","",'Final Calculation Sheet'!$M$29)</f>
        <v/>
      </c>
      <c r="BT29">
        <f>IF(BS29="","",COUNTIFS(BS$4:BS$40,"&lt;"&amp;BS29,BS$4:BS$40,"&lt;&gt;"&amp;"")+COUNTIF(BS$4:BS29,BS29))</f>
        <v/>
      </c>
      <c r="BU29" s="55">
        <f>IF(ROW()-3&gt;COUNTIF(BS$4:BS$40,"&lt;&gt;"&amp;""),"",INDEX(BS$4:BS$40,MATCH(ROW()-3,BT$4:BT$40,0)))</f>
        <v/>
      </c>
      <c r="BV29">
        <f>BV28+IF(AND(BU29&lt;&gt;"",COUNTIF(BU$4:BU29,BU29)=1),1,0)</f>
        <v/>
      </c>
      <c r="BW29" s="55">
        <f>IF(ROW()-3&gt;MAX(BV$4:BV$40),"",INDEX(BU$4:BU$40,MATCH(ROW()-3,BV$4:BV$40,0)))</f>
        <v/>
      </c>
      <c r="BX29" s="138">
        <f>IF('Final Calculation Sheet'!$N$29="","",'Final Calculation Sheet'!$N$29)</f>
        <v/>
      </c>
      <c r="BY29">
        <f>IF(BX29="","",COUNTIFS(BX$4:BX$40,"&lt;"&amp;BX29,BX$4:BX$40,"&lt;&gt;"&amp;"")+COUNTIF(BX$4:BX29,BX29))</f>
        <v/>
      </c>
      <c r="BZ29" s="138">
        <f>IF(ROW()-3&gt;COUNTIF(BX$4:BX$40,"&lt;&gt;"&amp;""),"",INDEX(BX$4:BX$40,MATCH(ROW()-3,BY$4:BY$40,0)))</f>
        <v/>
      </c>
      <c r="CA29">
        <f>CA28+IF(AND(BZ29&lt;&gt;"",COUNTIF(BZ$4:BZ29,BZ29)=1),1,0)</f>
        <v/>
      </c>
      <c r="CB29" s="138">
        <f>IF(ROW()-3&gt;MAX(CA$4:CA$40),"",INDEX(BZ$4:BZ$40,MATCH(ROW()-3,CA$4:CA$40,0)))</f>
        <v/>
      </c>
      <c r="CC29" s="55">
        <f>IF('Final Calculation Sheet'!$O$29="","",'Final Calculation Sheet'!$O$29)</f>
        <v/>
      </c>
      <c r="CD29">
        <f>IF(CC29="","",COUNTIFS(CC$4:CC$40,"&lt;"&amp;CC29,CC$4:CC$40,"&lt;&gt;"&amp;"")+COUNTIF(CC$4:CC29,CC29))</f>
        <v/>
      </c>
      <c r="CE29" s="55">
        <f>IF(ROW()-3&gt;COUNTIF(CC$4:CC$40,"&lt;&gt;"&amp;""),"",INDEX(CC$4:CC$40,MATCH(ROW()-3,CD$4:CD$40,0)))</f>
        <v/>
      </c>
      <c r="CF29">
        <f>CF28+IF(AND(CE29&lt;&gt;"",COUNTIF(CE$4:CE29,CE29)=1),1,0)</f>
        <v/>
      </c>
      <c r="CG29" s="55">
        <f>IF(ROW()-3&gt;MAX(CF$4:CF$40),"",INDEX(CE$4:CE$40,MATCH(ROW()-3,CF$4:CF$40,0)))</f>
        <v/>
      </c>
      <c r="CH29" s="55">
        <f>IF('Final Calculation Sheet'!$P$29="","",'Final Calculation Sheet'!$P$29)</f>
        <v/>
      </c>
      <c r="CI29">
        <f>IF(CH29="","",COUNTIFS(CH$4:CH$40,"&lt;"&amp;CH29,CH$4:CH$40,"&lt;&gt;"&amp;"")+COUNTIF(CH$4:CH29,CH29))</f>
        <v/>
      </c>
      <c r="CJ29" s="55">
        <f>IF(ROW()-3&gt;COUNTIF(CH$4:CH$40,"&lt;&gt;"&amp;""),"",INDEX(CH$4:CH$40,MATCH(ROW()-3,CI$4:CI$40,0)))</f>
        <v/>
      </c>
      <c r="CK29">
        <f>CK28+IF(AND(CJ29&lt;&gt;"",COUNTIF(CJ$4:CJ29,CJ29)=1),1,0)</f>
        <v/>
      </c>
      <c r="CL29" s="55">
        <f>IF(ROW()-3&gt;MAX(CK$4:CK$40),"",INDEX(CJ$4:CJ$40,MATCH(ROW()-3,CK$4:CK$40,0)))</f>
        <v/>
      </c>
      <c r="CM29" s="139">
        <f>IF('Final Calculation Sheet'!$Q$29="","",'Final Calculation Sheet'!$Q$29)</f>
        <v/>
      </c>
      <c r="CN29">
        <f>IF(CM29="","",COUNTIFS(CM$4:CM$40,"&lt;"&amp;CM29,CM$4:CM$40,"&lt;&gt;"&amp;"")+COUNTIF(CM$4:CM29,CM29))</f>
        <v/>
      </c>
      <c r="CO29" s="139">
        <f>IF(ROW()-3&gt;COUNTIF(CM$4:CM$40,"&lt;&gt;"&amp;""),"",INDEX(CM$4:CM$40,MATCH(ROW()-3,CN$4:CN$40,0)))</f>
        <v/>
      </c>
      <c r="CP29">
        <f>CP28+IF(AND(CO29&lt;&gt;"",COUNTIF(CO$4:CO29,CO29)=1),1,0)</f>
        <v/>
      </c>
      <c r="CQ29">
        <f>IF(ROW()-3&gt;MAX(CP$4:CP$40),"",INDEX(CO$4:CO$40,MATCH(ROW()-3,CP$4:CP$40,0)))</f>
        <v/>
      </c>
      <c r="CR29" s="55">
        <f>IF('Final Calculation Sheet'!$R$29="","",'Final Calculation Sheet'!$R$29)</f>
        <v/>
      </c>
      <c r="CS29">
        <f>IF(CR29="","",COUNTIFS(CR$4:CR$40,"&lt;"&amp;CR29,CR$4:CR$40,"&lt;&gt;"&amp;"")+COUNTIF(CR$4:CR29,CR29))</f>
        <v/>
      </c>
      <c r="CT29" s="55">
        <f>IF(ROW()-3&gt;COUNTIF(CR$4:CR$40,"&lt;&gt;"&amp;""),"",INDEX(CR$4:CR$40,MATCH(ROW()-3,CS$4:CS$40,0)))</f>
        <v/>
      </c>
      <c r="CU29">
        <f>CU28+IF(AND(CT29&lt;&gt;"",COUNTIF(CT$4:CT29,CT29)=1),1,0)</f>
        <v/>
      </c>
      <c r="CV29">
        <f>IF(ROW()-3&gt;MAX(CU$4:CU$40),"",INDEX(CT$4:CT$40,MATCH(ROW()-3,CU$4:CU$40,0)))</f>
        <v/>
      </c>
      <c r="CW29" s="55">
        <f>IF('Final Calculation Sheet'!$S$29="","",'Final Calculation Sheet'!$S$29)</f>
        <v/>
      </c>
      <c r="CX29">
        <f>IF(CW29="","",COUNTIFS(CW$4:CW$40,"&lt;"&amp;CW29,CW$4:CW$40,"&lt;&gt;"&amp;"")+COUNTIF(CW$4:CW29,CW29))</f>
        <v/>
      </c>
      <c r="CY29" s="55">
        <f>IF(ROW()-3&gt;COUNTIF(CW$4:CW$40,"&lt;&gt;"&amp;""),"",INDEX(CW$4:CW$40,MATCH(ROW()-3,CX$4:CX$40,0)))</f>
        <v/>
      </c>
      <c r="CZ29">
        <f>CZ28+IF(AND(CY29&lt;&gt;"",COUNTIF(CY$4:CY29,CY29)=1),1,0)</f>
        <v/>
      </c>
      <c r="DA29" s="55">
        <f>IF(ROW()-3&gt;MAX(CZ$4:CZ$40),"",INDEX(CY$4:CY$40,MATCH(ROW()-3,CZ$4:CZ$40,0)))</f>
        <v/>
      </c>
      <c r="DB29" s="55">
        <f>IF('Final Calculation Sheet'!$T$29="","",'Final Calculation Sheet'!$T$29)</f>
        <v/>
      </c>
      <c r="DC29">
        <f>IF(DB29="","",COUNTIFS(DB$4:DB$40,"&lt;"&amp;DB29,DB$4:DB$40,"&lt;&gt;"&amp;"")+COUNTIF(DB$4:DB29,DB29))</f>
        <v/>
      </c>
      <c r="DD29" s="55">
        <f>IF(ROW()-3&gt;COUNTIF(DB$4:DB$40,"&lt;&gt;"&amp;""),"",INDEX(DB$4:DB$40,MATCH(ROW()-3,DC$4:DC$40,0)))</f>
        <v/>
      </c>
      <c r="DE29">
        <f>DE28+IF(AND(DD29&lt;&gt;"",COUNTIF(DD$4:DD29,DD29)=1),1,0)</f>
        <v/>
      </c>
      <c r="DF29" s="55">
        <f>IF(ROW()-3&gt;MAX(DE$4:DE$40),"",INDEX(DD$4:DD$40,MATCH(ROW()-3,DE$4:DE$40,0)))</f>
        <v/>
      </c>
      <c r="DG29" s="140">
        <f>IF('Final Calculation Sheet'!$U$29="","",'Final Calculation Sheet'!$U$29)</f>
        <v/>
      </c>
      <c r="DH29">
        <f>IF(DG29="","",COUNTIFS(DG$4:DG$40,"&lt;"&amp;DG29,DG$4:DG$40,"&lt;&gt;"&amp;"")+COUNTIF(DG$4:DG29,DG29))</f>
        <v/>
      </c>
      <c r="DI29" s="140">
        <f>IF(ROW()-3&gt;COUNTIF(DG$4:DG$40,"&lt;&gt;"&amp;""),"",INDEX(DG$4:DG$40,MATCH(ROW()-3,DH$4:DH$40,0)))</f>
        <v/>
      </c>
      <c r="DJ29">
        <f>DJ28+IF(AND(DI29&lt;&gt;"",COUNTIF(DI$4:DI29,DI29)=1),1,0)</f>
        <v/>
      </c>
      <c r="DK29" s="140">
        <f>IF(ROW()-3&gt;MAX(DJ$4:DJ$40),"",INDEX(DI$4:DI$40,MATCH(ROW()-3,DJ$4:DJ$40,0)))</f>
        <v/>
      </c>
      <c r="DL29">
        <f>IF('Final Calculation Sheet'!$V$29="","",'Final Calculation Sheet'!$V$29)</f>
        <v/>
      </c>
      <c r="DM29">
        <f>IF(DL29="","",COUNTIFS(DL$4:DL$40,"&lt;"&amp;DL29,DL$4:DL$40,"&lt;&gt;"&amp;"")+COUNTIF(DL$4:DL29,DL29))</f>
        <v/>
      </c>
      <c r="DN29">
        <f>IF(ROW()-3&gt;COUNTIF(DL$4:DL$40,"&lt;&gt;"&amp;""),"",INDEX(DL$4:DL$40,MATCH(ROW()-3,DM$4:DM$40,0)))</f>
        <v/>
      </c>
      <c r="DO29">
        <f>DO28+IF(AND(DN29&lt;&gt;"",COUNTIF(DN$4:DN29,DN29)=1),1,0)</f>
        <v/>
      </c>
      <c r="DP29">
        <f>IF(ROW()-3&gt;MAX(DO$4:DO$40),"",INDEX(DN$4:DN$40,MATCH(ROW()-3,DO$4:DO$40,0)))</f>
        <v/>
      </c>
      <c r="DQ29" s="55">
        <f>IF('Final Calculation Sheet'!$W$29="","",'Final Calculation Sheet'!$W$29)</f>
        <v/>
      </c>
      <c r="DR29">
        <f>IF(DQ29="","",COUNTIFS(DQ$4:DQ$40,"&lt;"&amp;DQ29,DQ$4:DQ$40,"&lt;&gt;"&amp;"")+COUNTIF(DQ$4:DQ29,DQ29))</f>
        <v/>
      </c>
      <c r="DS29" s="55">
        <f>IF(ROW()-3&gt;COUNTIF(DQ$4:DQ$40,"&lt;&gt;"&amp;""),"",INDEX(DQ$4:DQ$40,MATCH(ROW()-3,DR$4:DR$40,0)))</f>
        <v/>
      </c>
      <c r="DT29">
        <f>DT28+IF(AND(DS29&lt;&gt;"",COUNTIF(DS$4:DS29,DS29)=1),1,0)</f>
        <v/>
      </c>
      <c r="DU29" s="55">
        <f>IF(ROW()-3&gt;MAX(DT$4:DT$40),"",INDEX(DS$4:DS$40,MATCH(ROW()-3,DT$4:DT$40,0)))</f>
        <v/>
      </c>
      <c r="DV29">
        <f>IF('Final Calculation Sheet'!$X$29="","",'Final Calculation Sheet'!$X$29)</f>
        <v/>
      </c>
      <c r="DW29">
        <f>IF(DV29="","",COUNTIFS(DV$4:DV$40,"&lt;"&amp;DV29,DV$4:DV$40,"&lt;&gt;"&amp;"")+COUNTIF(DV$4:DV29,DV29))</f>
        <v/>
      </c>
      <c r="DX29" s="55">
        <f>IF(ROW()-3&gt;COUNTIF(DV$4:DV$40,"&lt;&gt;"&amp;""),"",INDEX(DV$4:DV$40,MATCH(ROW()-3,DW$4:DW$40,0)))</f>
        <v/>
      </c>
      <c r="DY29">
        <f>DY28+IF(AND(DX29&lt;&gt;"",COUNTIF(DX$4:DX29,DX29)=1),1,0)</f>
        <v/>
      </c>
      <c r="DZ29">
        <f>IF(ROW()-3&gt;MAX(DY$4:DY$40),"",INDEX(DX$4:DX$40,MATCH(ROW()-3,DY$4:DY$40,0)))</f>
        <v/>
      </c>
      <c r="EA29" s="55">
        <f>IF('Final Calculation Sheet'!$Y$29="","",'Final Calculation Sheet'!$Y$29)</f>
        <v/>
      </c>
      <c r="EB29">
        <f>IF(EA29="","",COUNTIFS(EA$4:EA$40,"&lt;"&amp;EA29,EA$4:EA$40,"&lt;&gt;"&amp;"")+COUNTIF(EA$4:EA29,EA29))</f>
        <v/>
      </c>
      <c r="EC29">
        <f>IF(ROW()-3&gt;COUNTIF(EA$4:EA$40,"&lt;&gt;"&amp;""),"",INDEX(EA$4:EA$40,MATCH(ROW()-3,EB$4:EB$40,0)))</f>
        <v/>
      </c>
      <c r="ED29">
        <f>ED28+IF(AND(EC29&lt;&gt;"",COUNTIF(EC$4:EC29,EC29)=1),1,0)</f>
        <v/>
      </c>
      <c r="EE29">
        <f>IF(ROW()-3&gt;MAX(ED$4:ED$40),"",INDEX(EC$4:EC$40,MATCH(ROW()-3,ED$4:ED$40,0)))</f>
        <v/>
      </c>
      <c r="EF29" s="55">
        <f>IF('Final Calculation Sheet'!$Z$29="","",'Final Calculation Sheet'!$Z$29)</f>
        <v/>
      </c>
      <c r="EG29">
        <f>IF(EF29="","",COUNTIFS(EF$4:EF$40,"&lt;"&amp;EF29,EF$4:EF$40,"&lt;&gt;"&amp;"")+COUNTIF(EF$4:EF29,EF29))</f>
        <v/>
      </c>
      <c r="EH29" s="55">
        <f>IF(ROW()-3&gt;COUNTIF(EF$4:EF$40,"&lt;&gt;"&amp;""),"",INDEX(EF$4:EF$40,MATCH(ROW()-3,EG$4:EG$40,0)))</f>
        <v/>
      </c>
      <c r="EI29">
        <f>EI28+IF(AND(EH29&lt;&gt;"",COUNTIF(EH$4:EH29,EH29)=1),1,0)</f>
        <v/>
      </c>
      <c r="EJ29">
        <f>IF(ROW()-3&gt;MAX(EI$4:EI$40),"",INDEX(EH$4:EH$40,MATCH(ROW()-3,EI$4:EI$40,0)))</f>
        <v/>
      </c>
      <c r="EK29">
        <f>IF('Final Calculation Sheet'!$AA$29="","",'Final Calculation Sheet'!$AA$29)</f>
        <v/>
      </c>
      <c r="EL29">
        <f>IF(EK29="","",COUNTIFS(EK$4:EK$40,"&lt;"&amp;EK29,EK$4:EK$40,"&lt;&gt;"&amp;"")+COUNTIF(EK$4:EK29,EK29))</f>
        <v/>
      </c>
      <c r="EM29">
        <f>IF(ROW()-3&gt;COUNTIF(EK$4:EK$40,"&lt;&gt;"&amp;""),"",INDEX(EK$4:EK$40,MATCH(ROW()-3,EL$4:EL$40,0)))</f>
        <v/>
      </c>
      <c r="EN29">
        <f>EN28+IF(AND(EM29&lt;&gt;"",COUNTIF(EM$4:EM29,EM29)=1),1,0)</f>
        <v/>
      </c>
      <c r="EO29">
        <f>IF(ROW()-3&gt;MAX(EN$4:EN$40),"",INDEX(EM$4:EM$40,MATCH(ROW()-3,EN$4:EN$40,0)))</f>
        <v/>
      </c>
      <c r="EP29">
        <f>IF('Final Calculation Sheet'!$AB$29="","",'Final Calculation Sheet'!$AB$29)</f>
        <v/>
      </c>
      <c r="EQ29">
        <f>IF(EP29="","",COUNTIFS(EP$4:EP$40,"&lt;"&amp;EP29,EP$4:EP$40,"&lt;&gt;"&amp;"")+COUNTIF(EP$4:EP29,EP29))</f>
        <v/>
      </c>
      <c r="ER29">
        <f>IF(ROW()-3&gt;COUNTIF(EP$4:EP$40,"&lt;&gt;"&amp;""),"",INDEX(EP$4:EP$40,MATCH(ROW()-3,EQ$4:EQ$40,0)))</f>
        <v/>
      </c>
      <c r="ES29">
        <f>ES28+IF(AND(ER29&lt;&gt;"",COUNTIF(ER$4:ER29,ER29)=1),1,0)</f>
        <v/>
      </c>
      <c r="ET29">
        <f>IF(ROW()-3&gt;MAX(ES$4:ES$40),"",INDEX(ER$4:ER$40,MATCH(ROW()-3,ES$4:ES$40,0)))</f>
        <v/>
      </c>
      <c r="EU29" s="55">
        <f>IF('Final Calculation Sheet'!$AC$29="","",'Final Calculation Sheet'!$AC$29)</f>
        <v/>
      </c>
      <c r="EV29">
        <f>IF(EU29="","",COUNTIFS(EU$4:EU$40,"&lt;"&amp;EU29,EU$4:EU$40,"&lt;&gt;"&amp;"")+COUNTIF(EU$4:EU29,EU29))</f>
        <v/>
      </c>
      <c r="EW29" s="55">
        <f>IF(ROW()-3&gt;COUNTIF(EU$4:EU$40,"&lt;&gt;"&amp;""),"",INDEX(EU$4:EU$40,MATCH(ROW()-3,EV$4:EV$40,0)))</f>
        <v/>
      </c>
      <c r="EX29">
        <f>EX28+IF(AND(EW29&lt;&gt;"",COUNTIF(EW$4:EW29,EW29)=1),1,0)</f>
        <v/>
      </c>
      <c r="EY29" s="55">
        <f>IF(ROW()-3&gt;MAX(EX$4:EX$40),"",INDEX(EW$4:EW$40,MATCH(ROW()-3,EX$4:EX$40,0)))</f>
        <v/>
      </c>
      <c r="EZ29" s="55">
        <f>IF('Final Calculation Sheet'!$AD$29="","",'Final Calculation Sheet'!$AD$29)</f>
        <v/>
      </c>
      <c r="FA29">
        <f>IF(EZ29="","",COUNTIFS(EZ$4:EZ$40,"&lt;"&amp;EZ29,EZ$4:EZ$40,"&lt;&gt;"&amp;"")+COUNTIF(EZ$4:EZ29,EZ29))</f>
        <v/>
      </c>
      <c r="FB29" s="55">
        <f>IF(ROW()-3&gt;COUNTIF(EZ$4:EZ$40,"&lt;&gt;"&amp;""),"",INDEX(EZ$4:EZ$40,MATCH(ROW()-3,FA$4:FA$40,0)))</f>
        <v/>
      </c>
      <c r="FC29">
        <f>FC28+IF(AND(FB29&lt;&gt;"",COUNTIF(FB$4:FB29,FB29)=1),1,0)</f>
        <v/>
      </c>
      <c r="FD29">
        <f>IF(ROW()-3&gt;MAX(FC$4:FC$40),"",INDEX(FB$4:FB$40,MATCH(ROW()-3,FC$4:FC$40,0)))</f>
        <v/>
      </c>
      <c r="FE29">
        <f>IF('Final Calculation Sheet'!$AF$29="","",'Final Calculation Sheet'!$AF$29)</f>
        <v/>
      </c>
      <c r="FF29">
        <f>IF(FE29="","",COUNTIFS(FE$4:FE$40,"&lt;"&amp;FE29,FE$4:FE$40,"&lt;&gt;"&amp;"")+COUNTIF(FE$4:FE29,FE29))</f>
        <v/>
      </c>
      <c r="FG29">
        <f>IF(ROW()-3&gt;COUNTIF(FE$4:FE$40,"&lt;&gt;"&amp;""),"",INDEX(FE$4:FE$40,MATCH(ROW()-3,FF$4:FF$40,0)))</f>
        <v/>
      </c>
      <c r="FH29">
        <f>FH28+IF(AND(FG29&lt;&gt;"",COUNTIF(FG$4:FG29,FG29)=1),1,0)</f>
        <v/>
      </c>
      <c r="FI29">
        <f>IF(ROW()-3&gt;MAX(FH$4:FH$40),"",INDEX(FG$4:FG$40,MATCH(ROW()-3,FH$4:FH$40,0)))</f>
        <v/>
      </c>
      <c r="FJ29">
        <f>IF('Final Calculation Sheet'!$AG$29="","",'Final Calculation Sheet'!$AG$29)</f>
        <v/>
      </c>
      <c r="FK29">
        <f>IF(FJ29="","",COUNTIFS(FJ$4:FJ$40,"&lt;"&amp;FJ29,FJ$4:FJ$40,"&lt;&gt;"&amp;"")+COUNTIF(FJ$4:FJ29,FJ29))</f>
        <v/>
      </c>
      <c r="FL29" s="141">
        <f>IF(ROW()-3&gt;COUNTIF(FJ$4:FJ$40,"&lt;&gt;"&amp;""),"",INDEX(FJ$4:FJ$40,MATCH(ROW()-3,FK$4:FK$40,0)))</f>
        <v/>
      </c>
      <c r="FM29">
        <f>FM28+IF(AND(FL29&lt;&gt;"",COUNTIF(FL$4:FL29,FL29)=1),1,0)</f>
        <v/>
      </c>
      <c r="FN29">
        <f>IF(ROW()-3&gt;MAX(FM$4:FM$40),"",INDEX(FL$4:FL$40,MATCH(ROW()-3,FM$4:FM$40,0)))</f>
        <v/>
      </c>
      <c r="FO29">
        <f>IF('Final Calculation Sheet'!$AH$29="","",'Final Calculation Sheet'!$AH$29)</f>
        <v/>
      </c>
      <c r="FP29">
        <f>IF(FO29="","",COUNTIFS(FO$4:FO$40,"&lt;"&amp;FO29,FO$4:FO$40,"&lt;&gt;"&amp;"")+COUNTIF(FO$4:FO29,FO29))</f>
        <v/>
      </c>
      <c r="FQ29">
        <f>IF(ROW()-3&gt;COUNTIF(FO$4:FO$40,"&lt;&gt;"&amp;""),"",INDEX(FO$4:FO$40,MATCH(ROW()-3,FP$4:FP$40,0)))</f>
        <v/>
      </c>
      <c r="FR29">
        <f>FR28+IF(AND(FQ29&lt;&gt;"",COUNTIF(FQ$4:FQ29,FQ29)=1),1,0)</f>
        <v/>
      </c>
      <c r="FS29">
        <f>IF(ROW()-3&gt;MAX(FR$4:FR$40),"",INDEX(FQ$4:FQ$40,MATCH(ROW()-3,FR$4:FR$40,0)))</f>
        <v/>
      </c>
      <c r="FU29">
        <f>IF(FT29="","",COUNTIFS(FT$4:FT$40,"&lt;"&amp;FT29,FT$4:FT$40,"&lt;&gt;"&amp;"")+COUNTIF(FT$4:FT29,FT29))</f>
        <v/>
      </c>
      <c r="FV29">
        <f>IF(ROW()-3&gt;COUNTIF(FT$4:FT$40,"&lt;&gt;"&amp;""),"",INDEX(FT$4:FT$40,MATCH(ROW()-3,FU$4:FU$40,0)))</f>
        <v/>
      </c>
      <c r="FW29">
        <f>FW28+IF(AND(FV29&lt;&gt;"",COUNTIF(FV$4:FV29,FV29)=1),1,0)</f>
        <v/>
      </c>
      <c r="FX29">
        <f>IF(ROW()-3&gt;MAX(FW$4:FW$40),"",INDEX(FV$4:FV$40,MATCH(ROW()-3,FW$4:FW$40,0)))</f>
        <v/>
      </c>
      <c r="FY29">
        <f>IF(COUNTIF('Live Search'!BM$28:BO$28,0)+COUNTIF('Live Search'!BQ$28:CU$28,0)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29">
        <f>IF($Y$29="",FALSE,SUMPRODUCT(('Final Calculation Sheet'!$B$4:$B$40=$Y$29)*($FY$6:$FY$42=1))&gt;0)</f>
        <v/>
      </c>
      <c r="GA29">
        <f>$GA$28+--($FZ$29)</f>
        <v/>
      </c>
      <c r="GB29">
        <f>IF(ROW()-3&gt;MAX($GA$4:$GA$40),"",INDEX($Y$4:$Y$40,MATCH(ROW()-3,$GA$4:$GA$40,0)))</f>
        <v/>
      </c>
      <c r="GC29">
        <f>IF('Final Calculation Sheet'!$F$29="","",IF(TRIM('Final Calculation Sheet'!$G$2)="",'Final Calculation Sheet'!$F$29,IF(TRIM('Final Calculation Sheet'!$G$2)="(nonblank)",IF('Final Calculation Sheet'!$G$29&lt;&gt;"",'Final Calculation Sheet'!$F$29,""),IF(TRIM('Final Calculation Sheet'!$G$2)="(blank)",IF('Final Calculation Sheet'!$G$29="",'Final Calculation Sheet'!$F$29,""),IF(ISNUMBER(SEARCH(TRIM('Final Calculation Sheet'!$G$2),'Final Calculation Sheet'!$G$29)),'Final Calculation Sheet'!$F$29,"")))))</f>
        <v/>
      </c>
      <c r="GD29">
        <f>IF(GC29="","",COUNTIFS(GC$4:GC$40,"&lt;"&amp;GC29,GC$4:GC$40,"&lt;&gt;"&amp;"")+COUNTIF(GC$4:GC29,GC29))</f>
        <v/>
      </c>
      <c r="GE29">
        <f>IF(ROW()-3&gt;COUNTIF(GC$4:GC$40,"&lt;&gt;"&amp;""),"",INDEX(GC$4:GC$40,MATCH(ROW()-3,GD$4:GD$40,0)))</f>
        <v/>
      </c>
      <c r="GF29">
        <f>GF28+IF(AND(GE29&lt;&gt;"",COUNTIF(GE$4:GE29,GE29)=1),1,0)</f>
        <v/>
      </c>
      <c r="GG29">
        <f>IF(ROW()-3&gt;MAX(GF$4:GF$40),"",INDEX(GE$4:GE$40,MATCH(ROW()-3,GF$4:GF$40,0)))</f>
        <v/>
      </c>
      <c r="GH29">
        <f>IF('Final Calculation Sheet'!$F$29="","",IF('Live Search'!$BO$30=1,'Final Calculation Sheet'!$F$29,""))</f>
        <v/>
      </c>
      <c r="GI29">
        <f>IF(GH29="","",COUNTIFS(GH$4:GH$40,"&lt;"&amp;GH29,GH$4:GH$40,"&lt;&gt;"&amp;"")+COUNTIF(GH$4:GH29,GH29))</f>
        <v/>
      </c>
      <c r="GJ29">
        <f>IF(ROW()-3&gt;COUNTIF(GH$4:GH$40,"&lt;&gt;"&amp;""),"",INDEX(GH$4:GH$40,MATCH(ROW()-3,GI$4:GI$40,0)))</f>
        <v/>
      </c>
      <c r="GK29">
        <f>GK28+IF(AND(GJ29&lt;&gt;"",COUNTIF(GJ$4:GJ29,GJ29)=1),1,0)</f>
        <v/>
      </c>
      <c r="GL29">
        <f>IF(ROW()-3&gt;MAX(GK$4:GK$40),"",INDEX(GJ$4:GJ$40,MATCH(ROW()-3,GK$4:GK$40,0)))</f>
        <v/>
      </c>
      <c r="GM29">
        <f>IF('Final Calculation Sheet'!$F$29="","",IF(TRIM('Buyer Groups'!$C$4)="",'Final Calculation Sheet'!$F$29,IF(TRIM('Buyer Groups'!$C$4)="(nonblank)",IF('Final Calculation Sheet'!$G$29&lt;&gt;"",'Final Calculation Sheet'!$F$29,""),IF(TRIM('Buyer Groups'!$C$4)="(blank)",IF('Final Calculation Sheet'!$G$29="",'Final Calculation Sheet'!$F$29,""),IF(ISNUMBER(SEARCH(TRIM('Buyer Groups'!$C$4),'Final Calculation Sheet'!$G$29)),'Final Calculation Sheet'!$F$29,"")))))</f>
        <v/>
      </c>
      <c r="GN29">
        <f>IF(GM29="","",COUNTIFS(GM$4:GM$40,"&lt;"&amp;GM29,GM$4:GM$40,"&lt;&gt;"&amp;"")+COUNTIF(GM$4:GM29,GM29))</f>
        <v/>
      </c>
      <c r="GO29">
        <f>IF(ROW()-3&gt;COUNTIF(GM$4:GM$40,"&lt;&gt;"&amp;""),"",INDEX(GM$4:GM$40,MATCH(ROW()-3,GN$4:GN$40,0)))</f>
        <v/>
      </c>
      <c r="GP29">
        <f>GP28+IF(AND(GO29&lt;&gt;"",COUNTIF(GO$4:GO29,GO29)=1),1,0)</f>
        <v/>
      </c>
      <c r="GQ29">
        <f>IF(ROW()-3&gt;MAX(GP$4:GP$40),"",INDEX(GO$4:GO$40,MATCH(ROW()-3,GP$4:GP$40,0)))</f>
        <v/>
      </c>
      <c r="GR29">
        <f>IF('Final Calculation Sheet'!$B$29="","",IF(TRIM('Final Calculation Sheet'!$G$2)="",'Final Calculation Sheet'!$B$29,IF(TRIM('Final Calculation Sheet'!$G$2)="(nonblank)",IF('Final Calculation Sheet'!$G$29&lt;&gt;"",'Final Calculation Sheet'!$B$29,""),IF(TRIM('Final Calculation Sheet'!$G$2)="(blank)",IF('Final Calculation Sheet'!$G$29="",'Final Calculation Sheet'!$B$29,""),IF(ISNUMBER(SEARCH(TRIM('Final Calculation Sheet'!$G$2),'Final Calculation Sheet'!$G$29)),'Final Calculation Sheet'!$B$29,"")))))</f>
        <v/>
      </c>
      <c r="GS29">
        <f>IF(GR29="","",COUNTIFS(GR$4:GR$40,"&lt;"&amp;GR29,GR$4:GR$40,"&lt;&gt;"&amp;"")+COUNTIF(GR$4:GR29,GR29))</f>
        <v/>
      </c>
      <c r="GT29">
        <f>IF(ROW()-3&gt;COUNTIF(GR$4:GR$40,"&lt;&gt;"&amp;""),"",INDEX(GR$4:GR$40,MATCH(ROW()-3,GS$4:GS$40,0)))</f>
        <v/>
      </c>
      <c r="GU29">
        <f>GU28+IF(AND(GT29&lt;&gt;"",COUNTIF(GT$4:GT29,GT29)=1),1,0)</f>
        <v/>
      </c>
      <c r="GV29">
        <f>IF(ROW()-3&gt;MAX(GU$4:GU$40),"",INDEX(GT$4:GT$40,MATCH(ROW()-3,GU$4:GU$40,0)))</f>
        <v/>
      </c>
      <c r="GW29">
        <f>IF('Final Calculation Sheet'!$B$29="","",IF(TRIM('Buyer Groups'!$C$4)="",'Final Calculation Sheet'!$B$29,IF(TRIM('Buyer Groups'!$C$4)="(nonblank)",IF('Final Calculation Sheet'!$G$29&lt;&gt;"",'Final Calculation Sheet'!$B$29,""),IF(TRIM('Buyer Groups'!$C$4)="(blank)",IF('Final Calculation Sheet'!$G$29="",'Final Calculation Sheet'!$B$29,""),IF(ISNUMBER(SEARCH(TRIM('Buyer Groups'!$C$4),'Final Calculation Sheet'!$G$29)),'Final Calculation Sheet'!$B$29,"")))))</f>
        <v/>
      </c>
      <c r="GX29">
        <f>IF(GW29="","",COUNTIFS(GW$4:GW$40,"&lt;"&amp;GW29,GW$4:GW$40,"&lt;&gt;"&amp;"")+COUNTIF(GW$4:GW29,GW29))</f>
        <v/>
      </c>
      <c r="GY29">
        <f>IF(ROW()-3&gt;COUNTIF(GW$4:GW$40,"&lt;&gt;"&amp;""),"",INDEX(GW$4:GW$40,MATCH(ROW()-3,GX$4:GX$40,0)))</f>
        <v/>
      </c>
      <c r="GZ29">
        <f>GZ28+IF(AND(GY29&lt;&gt;"",COUNTIF(GY$4:GY29,GY29)=1),1,0)</f>
        <v/>
      </c>
      <c r="HA29">
        <f>IF(ROW()-3&gt;MAX(GZ$4:GZ$40),"",INDEX(GY$4:GY$40,MATCH(ROW()-3,GZ$4:GZ$40,0)))</f>
        <v/>
      </c>
    </row>
    <row r="30">
      <c r="A30">
        <f>IF('Final Calculation Sheet'!$F$30="","",'Final Calculation Sheet'!$F$30)</f>
        <v/>
      </c>
      <c r="B30">
        <f>IF(A30="","",COUNTIFS(A$4:A$114,"&lt;"&amp;A30,A$4:A$114,"&lt;&gt;"&amp;"")+COUNTIF(A$4:A30,A30))</f>
        <v/>
      </c>
      <c r="C30">
        <f>IF(ROW()-3&gt;COUNTIF(A$4:A$114,"&lt;&gt;"&amp;""),"",INDEX(A$4:A$114,MATCH(ROW()-3,B$4:B$114,0)))</f>
        <v/>
      </c>
      <c r="D30">
        <f>D29+IF(AND(C30&lt;&gt;"",COUNTIF(C$4:C30,C30)=1),1,0)</f>
        <v/>
      </c>
      <c r="E30">
        <f>IF(ROW()-3&gt;MAX(D$4:D$114),"",INDEX(C$4:C$114,MATCH(ROW()-3,D$4:D$114,0)))</f>
        <v/>
      </c>
      <c r="F30">
        <f>ROW()-3</f>
        <v/>
      </c>
      <c r="G30">
        <f>IF(F30="","",COUNTIFS(F$4:F$40,"&lt;"&amp;F30,F$4:F$40,"&lt;&gt;"&amp;"")+COUNTIF(F$4:F30,F30))</f>
        <v/>
      </c>
      <c r="H30">
        <f>IF(ROW()-3&gt;COUNTIF(F$4:F$40,"&lt;&gt;"&amp;""),"",INDEX(F$4:F$40,MATCH(ROW()-3,G$4:G$40,0)))</f>
        <v/>
      </c>
      <c r="I30">
        <f>I29+IF(AND(H30&lt;&gt;"",COUNTIF(H$4:H30,H30)=1),1,0)</f>
        <v/>
      </c>
      <c r="J30">
        <f>IF(ROW()-3&gt;MAX(I$4:I$40),"",INDEX(H$4:H$40,MATCH(ROW()-3,I$4:I$40,0)))</f>
        <v/>
      </c>
      <c r="K30">
        <f>IF('Final Calculation Sheet'!$F$30="","",'Final Calculation Sheet'!$F$30)</f>
        <v/>
      </c>
      <c r="L30">
        <f>IF(K30="","",COUNTIFS(K$4:K$40,"&lt;"&amp;K30,K$4:K$40,"&lt;&gt;"&amp;"")+COUNTIF(K$4:K30,K30))</f>
        <v/>
      </c>
      <c r="M30">
        <f>IF(ROW()-3&gt;COUNTIF(K$4:K$40,"&lt;&gt;"&amp;""),"",INDEX(K$4:K$40,MATCH(ROW()-3,L$4:L$40,0)))</f>
        <v/>
      </c>
      <c r="N30">
        <f>N29+IF(AND(M30&lt;&gt;"",COUNTIF(M$4:M30,M30)=1),1,0)</f>
        <v/>
      </c>
      <c r="O30">
        <f>IF(ROW()-3&gt;MAX(N$4:N$40),"",INDEX(M$4:M$40,MATCH(ROW()-3,N$4:N$40,0)))</f>
        <v/>
      </c>
      <c r="P30">
        <f>IF('Final Calculation Sheet'!$G$30="","",'Final Calculation Sheet'!$G$30)</f>
        <v/>
      </c>
      <c r="Q30">
        <f>IF(P30="","",COUNTIFS(P$4:P$40,"&lt;"&amp;P30,P$4:P$40,"&lt;&gt;"&amp;"")+COUNTIF(P$4:P30,P30))</f>
        <v/>
      </c>
      <c r="R30">
        <f>IF(ROW()-3&gt;COUNTIF(P$4:P$40,"&lt;&gt;"&amp;""),"",INDEX(P$4:P$40,MATCH(ROW()-3,Q$4:Q$40,0)))</f>
        <v/>
      </c>
      <c r="S30">
        <f>S29+IF(AND(R30&lt;&gt;"",COUNTIF(R$4:R30,R30)=1),1,0)</f>
        <v/>
      </c>
      <c r="T30">
        <f>IF(ROW()-3&gt;MAX(S$4:S$40),"",INDEX(R$4:R$40,MATCH(ROW()-3,S$4:S$40,0)))</f>
        <v/>
      </c>
      <c r="U30">
        <f>IF('Final Calculation Sheet'!$B$30="","",'Final Calculation Sheet'!$B$30)</f>
        <v/>
      </c>
      <c r="V30">
        <f>IF(U30="","",COUNTIFS(U$4:U$40,"&lt;"&amp;U30,U$4:U$40,"&lt;&gt;"&amp;"")+COUNTIF(U$4:U30,U30))</f>
        <v/>
      </c>
      <c r="W30">
        <f>IF(ROW()-3&gt;COUNTIF(U$4:U$40,"&lt;&gt;"&amp;""),"",INDEX(U$4:U$40,MATCH(ROW()-3,V$4:V$40,0)))</f>
        <v/>
      </c>
      <c r="X30">
        <f>X29+IF(AND(W30&lt;&gt;"",COUNTIF(W$4:W30,W30)=1),1,0)</f>
        <v/>
      </c>
      <c r="Y30">
        <f>IF(ROW()-3&gt;MAX(X$4:X$40),"",INDEX(W$4:W$40,MATCH(ROW()-3,X$4:X$40,0)))</f>
        <v/>
      </c>
      <c r="Z30">
        <f>IF('Final Calculation Sheet'!$D$30="","",'Final Calculation Sheet'!$D$30)</f>
        <v/>
      </c>
      <c r="AA30">
        <f>IF(Z30="","",COUNTIFS(Z$4:Z$40,"&lt;"&amp;Z30,Z$4:Z$40,"&lt;&gt;"&amp;"")+COUNTIF(Z$4:Z30,Z30))</f>
        <v/>
      </c>
      <c r="AB30">
        <f>IF(ROW()-3&gt;COUNTIF(Z$4:Z$40,"&lt;&gt;"&amp;""),"",INDEX(Z$4:Z$40,MATCH(ROW()-3,AA$4:AA$40,0)))</f>
        <v/>
      </c>
      <c r="AC30">
        <f>AC29+IF(AND(AB30&lt;&gt;"",COUNTIF(AB$4:AB30,AB30)=1),1,0)</f>
        <v/>
      </c>
      <c r="AD30">
        <f>IF(ROW()-3&gt;MAX(AC$4:AC$40),"",INDEX(AB$4:AB$40,MATCH(ROW()-3,AC$4:AC$40,0)))</f>
        <v/>
      </c>
      <c r="AE30">
        <f>IF('Final Calculation Sheet'!$A$30="","",'Final Calculation Sheet'!$A$30)</f>
        <v/>
      </c>
      <c r="AF30">
        <f>IF(AE30="","",COUNTIFS(AE$4:AE$40,"&lt;"&amp;AE30,AE$4:AE$40,"&lt;&gt;"&amp;"")+COUNTIF(AE$4:AE30,AE30))</f>
        <v/>
      </c>
      <c r="AG30">
        <f>IF(ROW()-3&gt;COUNTIF(AE$4:AE$40,"&lt;&gt;"&amp;""),"",INDEX(AE$4:AE$40,MATCH(ROW()-3,AF$4:AF$40,0)))</f>
        <v/>
      </c>
      <c r="AH30">
        <f>AH29+IF(AND(AG30&lt;&gt;"",COUNTIF(AG$4:AG30,AG30)=1),1,0)</f>
        <v/>
      </c>
      <c r="AI30">
        <f>IF(ROW()-3&gt;MAX(AH$4:AH$40),"",INDEX(AG$4:AG$40,MATCH(ROW()-3,AH$4:AH$40,0)))</f>
        <v/>
      </c>
      <c r="AJ30">
        <f>IF('Final Calculation Sheet'!$E$30="","",'Final Calculation Sheet'!$E$30)</f>
        <v/>
      </c>
      <c r="AK30">
        <f>IF(AJ30="","",COUNTIFS(AJ$4:AJ$40,"&lt;"&amp;AJ30,AJ$4:AJ$40,"&lt;&gt;"&amp;"")+COUNTIF(AJ$4:AJ30,AJ30))</f>
        <v/>
      </c>
      <c r="AL30">
        <f>IF(ROW()-3&gt;COUNTIF(AJ$4:AJ$40,"&lt;&gt;"&amp;""),"",INDEX(AJ$4:AJ$40,MATCH(ROW()-3,AK$4:AK$40,0)))</f>
        <v/>
      </c>
      <c r="AM30">
        <f>AM29+IF(AND(AL30&lt;&gt;"",COUNTIF(AL$4:AL30,AL30)=1),1,0)</f>
        <v/>
      </c>
      <c r="AN30">
        <f>IF(ROW()-3&gt;MAX(AM$4:AM$40),"",INDEX(AL$4:AL$40,MATCH(ROW()-3,AM$4:AM$40,0)))</f>
        <v/>
      </c>
      <c r="AO30" s="55">
        <f>IF('Final Calculation Sheet'!$C$30="","",'Final Calculation Sheet'!$C$30)</f>
        <v/>
      </c>
      <c r="AP30">
        <f>IF(AO30="","",COUNTIFS(AO$4:AO$40,"&lt;"&amp;AO30,AO$4:AO$40,"&lt;&gt;"&amp;"")+COUNTIF(AO$4:AO30,AO30))</f>
        <v/>
      </c>
      <c r="AQ30" s="55">
        <f>IF(ROW()-3&gt;COUNTIF(AO$4:AO$40,"&lt;&gt;"&amp;""),"",INDEX(AO$4:AO$40,MATCH(ROW()-3,AP$4:AP$40,0)))</f>
        <v/>
      </c>
      <c r="AR30">
        <f>AR29+IF(AND(AQ30&lt;&gt;"",COUNTIF(AQ$4:AQ30,AQ30)=1),1,0)</f>
        <v/>
      </c>
      <c r="AS30" s="55">
        <f>IF(ROW()-3&gt;MAX(AR$4:AR$40),"",INDEX(AQ$4:AQ$40,MATCH(ROW()-3,AR$4:AR$40,0)))</f>
        <v/>
      </c>
      <c r="AT30" s="55">
        <f>IF('Final Calculation Sheet'!$H$30="","",'Final Calculation Sheet'!$H$30)</f>
        <v/>
      </c>
      <c r="AU30">
        <f>IF(AT30="","",COUNTIFS(AT$4:AT$40,"&lt;"&amp;AT30,AT$4:AT$40,"&lt;&gt;"&amp;"")+COUNTIF(AT$4:AT30,AT30))</f>
        <v/>
      </c>
      <c r="AV30" s="55">
        <f>IF(ROW()-3&gt;COUNTIF(AT$4:AT$40,"&lt;&gt;"&amp;""),"",INDEX(AT$4:AT$40,MATCH(ROW()-3,AU$4:AU$40,0)))</f>
        <v/>
      </c>
      <c r="AW30">
        <f>AW29+IF(AND(AV30&lt;&gt;"",COUNTIF(AV$4:AV30,AV30)=1),1,0)</f>
        <v/>
      </c>
      <c r="AX30" s="55">
        <f>IF(ROW()-3&gt;MAX(AW$4:AW$40),"",INDEX(AV$4:AV$40,MATCH(ROW()-3,AW$4:AW$40,0)))</f>
        <v/>
      </c>
      <c r="AY30" s="55">
        <f>IF('Final Calculation Sheet'!$I$30="","",'Final Calculation Sheet'!$I$30)</f>
        <v/>
      </c>
      <c r="AZ30">
        <f>IF(AY30="","",COUNTIFS(AY$4:AY$40,"&lt;"&amp;AY30,AY$4:AY$40,"&lt;&gt;"&amp;"")+COUNTIF(AY$4:AY30,AY30))</f>
        <v/>
      </c>
      <c r="BA30" s="55">
        <f>IF(ROW()-3&gt;COUNTIF(AY$4:AY$40,"&lt;&gt;"&amp;""),"",INDEX(AY$4:AY$40,MATCH(ROW()-3,AZ$4:AZ$40,0)))</f>
        <v/>
      </c>
      <c r="BB30">
        <f>BB29+IF(AND(BA30&lt;&gt;"",COUNTIF(BA$4:BA30,BA30)=1),1,0)</f>
        <v/>
      </c>
      <c r="BC30" s="55">
        <f>IF(ROW()-3&gt;MAX(BB$4:BB$40),"",INDEX(BA$4:BA$40,MATCH(ROW()-3,BB$4:BB$40,0)))</f>
        <v/>
      </c>
      <c r="BD30" s="55">
        <f>IF('Final Calculation Sheet'!$J$30="","",'Final Calculation Sheet'!$J$30)</f>
        <v/>
      </c>
      <c r="BE30">
        <f>IF(BD30="","",COUNTIFS(BD$4:BD$40,"&lt;"&amp;BD30,BD$4:BD$40,"&lt;&gt;"&amp;"")+COUNTIF(BD$4:BD30,BD30))</f>
        <v/>
      </c>
      <c r="BF30" s="55">
        <f>IF(ROW()-3&gt;COUNTIF(BD$4:BD$40,"&lt;&gt;"&amp;""),"",INDEX(BD$4:BD$40,MATCH(ROW()-3,BE$4:BE$40,0)))</f>
        <v/>
      </c>
      <c r="BG30">
        <f>BG29+IF(AND(BF30&lt;&gt;"",COUNTIF(BF$4:BF30,BF30)=1),1,0)</f>
        <v/>
      </c>
      <c r="BH30" s="55">
        <f>IF(ROW()-3&gt;MAX(BG$4:BG$40),"",INDEX(BF$4:BF$40,MATCH(ROW()-3,BG$4:BG$40,0)))</f>
        <v/>
      </c>
      <c r="BI30" s="55">
        <f>IF('Final Calculation Sheet'!$K$30="","",'Final Calculation Sheet'!$K$30)</f>
        <v/>
      </c>
      <c r="BJ30">
        <f>IF(BI30="","",COUNTIFS(BI$4:BI$40,"&lt;"&amp;BI30,BI$4:BI$40,"&lt;&gt;"&amp;"")+COUNTIF(BI$4:BI30,BI30))</f>
        <v/>
      </c>
      <c r="BK30" s="55">
        <f>IF(ROW()-3&gt;COUNTIF(BI$4:BI$40,"&lt;&gt;"&amp;""),"",INDEX(BI$4:BI$40,MATCH(ROW()-3,BJ$4:BJ$40,0)))</f>
        <v/>
      </c>
      <c r="BL30">
        <f>BL29+IF(AND(BK30&lt;&gt;"",COUNTIF(BK$4:BK30,BK30)=1),1,0)</f>
        <v/>
      </c>
      <c r="BM30" s="55">
        <f>IF(ROW()-3&gt;MAX(BL$4:BL$40),"",INDEX(BK$4:BK$40,MATCH(ROW()-3,BL$4:BL$40,0)))</f>
        <v/>
      </c>
      <c r="BN30" s="55">
        <f>IF('Final Calculation Sheet'!$L$30="","",'Final Calculation Sheet'!$L$30)</f>
        <v/>
      </c>
      <c r="BO30">
        <f>IF(BN30="","",COUNTIFS(BN$4:BN$40,"&lt;"&amp;BN30,BN$4:BN$40,"&lt;&gt;"&amp;"")+COUNTIF(BN$4:BN30,BN30))</f>
        <v/>
      </c>
      <c r="BP30" s="55">
        <f>IF(ROW()-3&gt;COUNTIF(BN$4:BN$40,"&lt;&gt;"&amp;""),"",INDEX(BN$4:BN$40,MATCH(ROW()-3,BO$4:BO$40,0)))</f>
        <v/>
      </c>
      <c r="BQ30">
        <f>BQ29+IF(AND(BP30&lt;&gt;"",COUNTIF(BP$4:BP30,BP30)=1),1,0)</f>
        <v/>
      </c>
      <c r="BR30" s="55">
        <f>IF(ROW()-3&gt;MAX(BQ$4:BQ$40),"",INDEX(BP$4:BP$40,MATCH(ROW()-3,BQ$4:BQ$40,0)))</f>
        <v/>
      </c>
      <c r="BS30" s="55">
        <f>IF('Final Calculation Sheet'!$M$30="","",'Final Calculation Sheet'!$M$30)</f>
        <v/>
      </c>
      <c r="BT30">
        <f>IF(BS30="","",COUNTIFS(BS$4:BS$40,"&lt;"&amp;BS30,BS$4:BS$40,"&lt;&gt;"&amp;"")+COUNTIF(BS$4:BS30,BS30))</f>
        <v/>
      </c>
      <c r="BU30" s="55">
        <f>IF(ROW()-3&gt;COUNTIF(BS$4:BS$40,"&lt;&gt;"&amp;""),"",INDEX(BS$4:BS$40,MATCH(ROW()-3,BT$4:BT$40,0)))</f>
        <v/>
      </c>
      <c r="BV30">
        <f>BV29+IF(AND(BU30&lt;&gt;"",COUNTIF(BU$4:BU30,BU30)=1),1,0)</f>
        <v/>
      </c>
      <c r="BW30" s="55">
        <f>IF(ROW()-3&gt;MAX(BV$4:BV$40),"",INDEX(BU$4:BU$40,MATCH(ROW()-3,BV$4:BV$40,0)))</f>
        <v/>
      </c>
      <c r="BX30" s="138">
        <f>IF('Final Calculation Sheet'!$N$30="","",'Final Calculation Sheet'!$N$30)</f>
        <v/>
      </c>
      <c r="BY30">
        <f>IF(BX30="","",COUNTIFS(BX$4:BX$40,"&lt;"&amp;BX30,BX$4:BX$40,"&lt;&gt;"&amp;"")+COUNTIF(BX$4:BX30,BX30))</f>
        <v/>
      </c>
      <c r="BZ30" s="138">
        <f>IF(ROW()-3&gt;COUNTIF(BX$4:BX$40,"&lt;&gt;"&amp;""),"",INDEX(BX$4:BX$40,MATCH(ROW()-3,BY$4:BY$40,0)))</f>
        <v/>
      </c>
      <c r="CA30">
        <f>CA29+IF(AND(BZ30&lt;&gt;"",COUNTIF(BZ$4:BZ30,BZ30)=1),1,0)</f>
        <v/>
      </c>
      <c r="CB30" s="138">
        <f>IF(ROW()-3&gt;MAX(CA$4:CA$40),"",INDEX(BZ$4:BZ$40,MATCH(ROW()-3,CA$4:CA$40,0)))</f>
        <v/>
      </c>
      <c r="CC30" s="55">
        <f>IF('Final Calculation Sheet'!$O$30="","",'Final Calculation Sheet'!$O$30)</f>
        <v/>
      </c>
      <c r="CD30">
        <f>IF(CC30="","",COUNTIFS(CC$4:CC$40,"&lt;"&amp;CC30,CC$4:CC$40,"&lt;&gt;"&amp;"")+COUNTIF(CC$4:CC30,CC30))</f>
        <v/>
      </c>
      <c r="CE30" s="55">
        <f>IF(ROW()-3&gt;COUNTIF(CC$4:CC$40,"&lt;&gt;"&amp;""),"",INDEX(CC$4:CC$40,MATCH(ROW()-3,CD$4:CD$40,0)))</f>
        <v/>
      </c>
      <c r="CF30">
        <f>CF29+IF(AND(CE30&lt;&gt;"",COUNTIF(CE$4:CE30,CE30)=1),1,0)</f>
        <v/>
      </c>
      <c r="CG30" s="55">
        <f>IF(ROW()-3&gt;MAX(CF$4:CF$40),"",INDEX(CE$4:CE$40,MATCH(ROW()-3,CF$4:CF$40,0)))</f>
        <v/>
      </c>
      <c r="CH30" s="55">
        <f>IF('Final Calculation Sheet'!$P$30="","",'Final Calculation Sheet'!$P$30)</f>
        <v/>
      </c>
      <c r="CI30">
        <f>IF(CH30="","",COUNTIFS(CH$4:CH$40,"&lt;"&amp;CH30,CH$4:CH$40,"&lt;&gt;"&amp;"")+COUNTIF(CH$4:CH30,CH30))</f>
        <v/>
      </c>
      <c r="CJ30" s="55">
        <f>IF(ROW()-3&gt;COUNTIF(CH$4:CH$40,"&lt;&gt;"&amp;""),"",INDEX(CH$4:CH$40,MATCH(ROW()-3,CI$4:CI$40,0)))</f>
        <v/>
      </c>
      <c r="CK30">
        <f>CK29+IF(AND(CJ30&lt;&gt;"",COUNTIF(CJ$4:CJ30,CJ30)=1),1,0)</f>
        <v/>
      </c>
      <c r="CL30" s="55">
        <f>IF(ROW()-3&gt;MAX(CK$4:CK$40),"",INDEX(CJ$4:CJ$40,MATCH(ROW()-3,CK$4:CK$40,0)))</f>
        <v/>
      </c>
      <c r="CM30" s="139">
        <f>IF('Final Calculation Sheet'!$Q$30="","",'Final Calculation Sheet'!$Q$30)</f>
        <v/>
      </c>
      <c r="CN30">
        <f>IF(CM30="","",COUNTIFS(CM$4:CM$40,"&lt;"&amp;CM30,CM$4:CM$40,"&lt;&gt;"&amp;"")+COUNTIF(CM$4:CM30,CM30))</f>
        <v/>
      </c>
      <c r="CO30" s="139">
        <f>IF(ROW()-3&gt;COUNTIF(CM$4:CM$40,"&lt;&gt;"&amp;""),"",INDEX(CM$4:CM$40,MATCH(ROW()-3,CN$4:CN$40,0)))</f>
        <v/>
      </c>
      <c r="CP30">
        <f>CP29+IF(AND(CO30&lt;&gt;"",COUNTIF(CO$4:CO30,CO30)=1),1,0)</f>
        <v/>
      </c>
      <c r="CQ30">
        <f>IF(ROW()-3&gt;MAX(CP$4:CP$40),"",INDEX(CO$4:CO$40,MATCH(ROW()-3,CP$4:CP$40,0)))</f>
        <v/>
      </c>
      <c r="CR30" s="55">
        <f>IF('Final Calculation Sheet'!$R$30="","",'Final Calculation Sheet'!$R$30)</f>
        <v/>
      </c>
      <c r="CS30">
        <f>IF(CR30="","",COUNTIFS(CR$4:CR$40,"&lt;"&amp;CR30,CR$4:CR$40,"&lt;&gt;"&amp;"")+COUNTIF(CR$4:CR30,CR30))</f>
        <v/>
      </c>
      <c r="CT30" s="55">
        <f>IF(ROW()-3&gt;COUNTIF(CR$4:CR$40,"&lt;&gt;"&amp;""),"",INDEX(CR$4:CR$40,MATCH(ROW()-3,CS$4:CS$40,0)))</f>
        <v/>
      </c>
      <c r="CU30">
        <f>CU29+IF(AND(CT30&lt;&gt;"",COUNTIF(CT$4:CT30,CT30)=1),1,0)</f>
        <v/>
      </c>
      <c r="CV30">
        <f>IF(ROW()-3&gt;MAX(CU$4:CU$40),"",INDEX(CT$4:CT$40,MATCH(ROW()-3,CU$4:CU$40,0)))</f>
        <v/>
      </c>
      <c r="CW30" s="55">
        <f>IF('Final Calculation Sheet'!$S$30="","",'Final Calculation Sheet'!$S$30)</f>
        <v/>
      </c>
      <c r="CX30">
        <f>IF(CW30="","",COUNTIFS(CW$4:CW$40,"&lt;"&amp;CW30,CW$4:CW$40,"&lt;&gt;"&amp;"")+COUNTIF(CW$4:CW30,CW30))</f>
        <v/>
      </c>
      <c r="CY30" s="55">
        <f>IF(ROW()-3&gt;COUNTIF(CW$4:CW$40,"&lt;&gt;"&amp;""),"",INDEX(CW$4:CW$40,MATCH(ROW()-3,CX$4:CX$40,0)))</f>
        <v/>
      </c>
      <c r="CZ30">
        <f>CZ29+IF(AND(CY30&lt;&gt;"",COUNTIF(CY$4:CY30,CY30)=1),1,0)</f>
        <v/>
      </c>
      <c r="DA30" s="55">
        <f>IF(ROW()-3&gt;MAX(CZ$4:CZ$40),"",INDEX(CY$4:CY$40,MATCH(ROW()-3,CZ$4:CZ$40,0)))</f>
        <v/>
      </c>
      <c r="DB30" s="55">
        <f>IF('Final Calculation Sheet'!$T$30="","",'Final Calculation Sheet'!$T$30)</f>
        <v/>
      </c>
      <c r="DC30">
        <f>IF(DB30="","",COUNTIFS(DB$4:DB$40,"&lt;"&amp;DB30,DB$4:DB$40,"&lt;&gt;"&amp;"")+COUNTIF(DB$4:DB30,DB30))</f>
        <v/>
      </c>
      <c r="DD30" s="55">
        <f>IF(ROW()-3&gt;COUNTIF(DB$4:DB$40,"&lt;&gt;"&amp;""),"",INDEX(DB$4:DB$40,MATCH(ROW()-3,DC$4:DC$40,0)))</f>
        <v/>
      </c>
      <c r="DE30">
        <f>DE29+IF(AND(DD30&lt;&gt;"",COUNTIF(DD$4:DD30,DD30)=1),1,0)</f>
        <v/>
      </c>
      <c r="DF30" s="55">
        <f>IF(ROW()-3&gt;MAX(DE$4:DE$40),"",INDEX(DD$4:DD$40,MATCH(ROW()-3,DE$4:DE$40,0)))</f>
        <v/>
      </c>
      <c r="DG30" s="140">
        <f>IF('Final Calculation Sheet'!$U$30="","",'Final Calculation Sheet'!$U$30)</f>
        <v/>
      </c>
      <c r="DH30">
        <f>IF(DG30="","",COUNTIFS(DG$4:DG$40,"&lt;"&amp;DG30,DG$4:DG$40,"&lt;&gt;"&amp;"")+COUNTIF(DG$4:DG30,DG30))</f>
        <v/>
      </c>
      <c r="DI30" s="140">
        <f>IF(ROW()-3&gt;COUNTIF(DG$4:DG$40,"&lt;&gt;"&amp;""),"",INDEX(DG$4:DG$40,MATCH(ROW()-3,DH$4:DH$40,0)))</f>
        <v/>
      </c>
      <c r="DJ30">
        <f>DJ29+IF(AND(DI30&lt;&gt;"",COUNTIF(DI$4:DI30,DI30)=1),1,0)</f>
        <v/>
      </c>
      <c r="DK30" s="140">
        <f>IF(ROW()-3&gt;MAX(DJ$4:DJ$40),"",INDEX(DI$4:DI$40,MATCH(ROW()-3,DJ$4:DJ$40,0)))</f>
        <v/>
      </c>
      <c r="DL30">
        <f>IF('Final Calculation Sheet'!$V$30="","",'Final Calculation Sheet'!$V$30)</f>
        <v/>
      </c>
      <c r="DM30">
        <f>IF(DL30="","",COUNTIFS(DL$4:DL$40,"&lt;"&amp;DL30,DL$4:DL$40,"&lt;&gt;"&amp;"")+COUNTIF(DL$4:DL30,DL30))</f>
        <v/>
      </c>
      <c r="DN30">
        <f>IF(ROW()-3&gt;COUNTIF(DL$4:DL$40,"&lt;&gt;"&amp;""),"",INDEX(DL$4:DL$40,MATCH(ROW()-3,DM$4:DM$40,0)))</f>
        <v/>
      </c>
      <c r="DO30">
        <f>DO29+IF(AND(DN30&lt;&gt;"",COUNTIF(DN$4:DN30,DN30)=1),1,0)</f>
        <v/>
      </c>
      <c r="DP30">
        <f>IF(ROW()-3&gt;MAX(DO$4:DO$40),"",INDEX(DN$4:DN$40,MATCH(ROW()-3,DO$4:DO$40,0)))</f>
        <v/>
      </c>
      <c r="DQ30" s="55">
        <f>IF('Final Calculation Sheet'!$W$30="","",'Final Calculation Sheet'!$W$30)</f>
        <v/>
      </c>
      <c r="DR30">
        <f>IF(DQ30="","",COUNTIFS(DQ$4:DQ$40,"&lt;"&amp;DQ30,DQ$4:DQ$40,"&lt;&gt;"&amp;"")+COUNTIF(DQ$4:DQ30,DQ30))</f>
        <v/>
      </c>
      <c r="DS30" s="55">
        <f>IF(ROW()-3&gt;COUNTIF(DQ$4:DQ$40,"&lt;&gt;"&amp;""),"",INDEX(DQ$4:DQ$40,MATCH(ROW()-3,DR$4:DR$40,0)))</f>
        <v/>
      </c>
      <c r="DT30">
        <f>DT29+IF(AND(DS30&lt;&gt;"",COUNTIF(DS$4:DS30,DS30)=1),1,0)</f>
        <v/>
      </c>
      <c r="DU30" s="55">
        <f>IF(ROW()-3&gt;MAX(DT$4:DT$40),"",INDEX(DS$4:DS$40,MATCH(ROW()-3,DT$4:DT$40,0)))</f>
        <v/>
      </c>
      <c r="DV30" s="55">
        <f>IF('Final Calculation Sheet'!$X$30="","",'Final Calculation Sheet'!$X$30)</f>
        <v/>
      </c>
      <c r="DW30">
        <f>IF(DV30="","",COUNTIFS(DV$4:DV$40,"&lt;"&amp;DV30,DV$4:DV$40,"&lt;&gt;"&amp;"")+COUNTIF(DV$4:DV30,DV30))</f>
        <v/>
      </c>
      <c r="DX30" s="55">
        <f>IF(ROW()-3&gt;COUNTIF(DV$4:DV$40,"&lt;&gt;"&amp;""),"",INDEX(DV$4:DV$40,MATCH(ROW()-3,DW$4:DW$40,0)))</f>
        <v/>
      </c>
      <c r="DY30">
        <f>DY29+IF(AND(DX30&lt;&gt;"",COUNTIF(DX$4:DX30,DX30)=1),1,0)</f>
        <v/>
      </c>
      <c r="DZ30">
        <f>IF(ROW()-3&gt;MAX(DY$4:DY$40),"",INDEX(DX$4:DX$40,MATCH(ROW()-3,DY$4:DY$40,0)))</f>
        <v/>
      </c>
      <c r="EA30">
        <f>IF('Final Calculation Sheet'!$Y$30="","",'Final Calculation Sheet'!$Y$30)</f>
        <v/>
      </c>
      <c r="EB30">
        <f>IF(EA30="","",COUNTIFS(EA$4:EA$40,"&lt;"&amp;EA30,EA$4:EA$40,"&lt;&gt;"&amp;"")+COUNTIF(EA$4:EA30,EA30))</f>
        <v/>
      </c>
      <c r="EC30">
        <f>IF(ROW()-3&gt;COUNTIF(EA$4:EA$40,"&lt;&gt;"&amp;""),"",INDEX(EA$4:EA$40,MATCH(ROW()-3,EB$4:EB$40,0)))</f>
        <v/>
      </c>
      <c r="ED30">
        <f>ED29+IF(AND(EC30&lt;&gt;"",COUNTIF(EC$4:EC30,EC30)=1),1,0)</f>
        <v/>
      </c>
      <c r="EE30">
        <f>IF(ROW()-3&gt;MAX(ED$4:ED$40),"",INDEX(EC$4:EC$40,MATCH(ROW()-3,ED$4:ED$40,0)))</f>
        <v/>
      </c>
      <c r="EF30" s="55">
        <f>IF('Final Calculation Sheet'!$Z$30="","",'Final Calculation Sheet'!$Z$30)</f>
        <v/>
      </c>
      <c r="EG30">
        <f>IF(EF30="","",COUNTIFS(EF$4:EF$40,"&lt;"&amp;EF30,EF$4:EF$40,"&lt;&gt;"&amp;"")+COUNTIF(EF$4:EF30,EF30))</f>
        <v/>
      </c>
      <c r="EH30" s="55">
        <f>IF(ROW()-3&gt;COUNTIF(EF$4:EF$40,"&lt;&gt;"&amp;""),"",INDEX(EF$4:EF$40,MATCH(ROW()-3,EG$4:EG$40,0)))</f>
        <v/>
      </c>
      <c r="EI30">
        <f>EI29+IF(AND(EH30&lt;&gt;"",COUNTIF(EH$4:EH30,EH30)=1),1,0)</f>
        <v/>
      </c>
      <c r="EJ30">
        <f>IF(ROW()-3&gt;MAX(EI$4:EI$40),"",INDEX(EH$4:EH$40,MATCH(ROW()-3,EI$4:EI$40,0)))</f>
        <v/>
      </c>
      <c r="EK30">
        <f>IF('Final Calculation Sheet'!$AA$30="","",'Final Calculation Sheet'!$AA$30)</f>
        <v/>
      </c>
      <c r="EL30">
        <f>IF(EK30="","",COUNTIFS(EK$4:EK$40,"&lt;"&amp;EK30,EK$4:EK$40,"&lt;&gt;"&amp;"")+COUNTIF(EK$4:EK30,EK30))</f>
        <v/>
      </c>
      <c r="EM30">
        <f>IF(ROW()-3&gt;COUNTIF(EK$4:EK$40,"&lt;&gt;"&amp;""),"",INDEX(EK$4:EK$40,MATCH(ROW()-3,EL$4:EL$40,0)))</f>
        <v/>
      </c>
      <c r="EN30">
        <f>EN29+IF(AND(EM30&lt;&gt;"",COUNTIF(EM$4:EM30,EM30)=1),1,0)</f>
        <v/>
      </c>
      <c r="EO30">
        <f>IF(ROW()-3&gt;MAX(EN$4:EN$40),"",INDEX(EM$4:EM$40,MATCH(ROW()-3,EN$4:EN$40,0)))</f>
        <v/>
      </c>
      <c r="EP30">
        <f>IF('Final Calculation Sheet'!$AB$30="","",'Final Calculation Sheet'!$AB$30)</f>
        <v/>
      </c>
      <c r="EQ30">
        <f>IF(EP30="","",COUNTIFS(EP$4:EP$40,"&lt;"&amp;EP30,EP$4:EP$40,"&lt;&gt;"&amp;"")+COUNTIF(EP$4:EP30,EP30))</f>
        <v/>
      </c>
      <c r="ER30">
        <f>IF(ROW()-3&gt;COUNTIF(EP$4:EP$40,"&lt;&gt;"&amp;""),"",INDEX(EP$4:EP$40,MATCH(ROW()-3,EQ$4:EQ$40,0)))</f>
        <v/>
      </c>
      <c r="ES30">
        <f>ES29+IF(AND(ER30&lt;&gt;"",COUNTIF(ER$4:ER30,ER30)=1),1,0)</f>
        <v/>
      </c>
      <c r="ET30">
        <f>IF(ROW()-3&gt;MAX(ES$4:ES$40),"",INDEX(ER$4:ER$40,MATCH(ROW()-3,ES$4:ES$40,0)))</f>
        <v/>
      </c>
      <c r="EU30" s="55">
        <f>IF('Final Calculation Sheet'!$AC$30="","",'Final Calculation Sheet'!$AC$30)</f>
        <v/>
      </c>
      <c r="EV30">
        <f>IF(EU30="","",COUNTIFS(EU$4:EU$40,"&lt;"&amp;EU30,EU$4:EU$40,"&lt;&gt;"&amp;"")+COUNTIF(EU$4:EU30,EU30))</f>
        <v/>
      </c>
      <c r="EW30" s="55">
        <f>IF(ROW()-3&gt;COUNTIF(EU$4:EU$40,"&lt;&gt;"&amp;""),"",INDEX(EU$4:EU$40,MATCH(ROW()-3,EV$4:EV$40,0)))</f>
        <v/>
      </c>
      <c r="EX30">
        <f>EX29+IF(AND(EW30&lt;&gt;"",COUNTIF(EW$4:EW30,EW30)=1),1,0)</f>
        <v/>
      </c>
      <c r="EY30" s="55">
        <f>IF(ROW()-3&gt;MAX(EX$4:EX$40),"",INDEX(EW$4:EW$40,MATCH(ROW()-3,EX$4:EX$40,0)))</f>
        <v/>
      </c>
      <c r="EZ30" s="55">
        <f>IF('Final Calculation Sheet'!$AD$30="","",'Final Calculation Sheet'!$AD$30)</f>
        <v/>
      </c>
      <c r="FA30">
        <f>IF(EZ30="","",COUNTIFS(EZ$4:EZ$40,"&lt;"&amp;EZ30,EZ$4:EZ$40,"&lt;&gt;"&amp;"")+COUNTIF(EZ$4:EZ30,EZ30))</f>
        <v/>
      </c>
      <c r="FB30" s="55">
        <f>IF(ROW()-3&gt;COUNTIF(EZ$4:EZ$40,"&lt;&gt;"&amp;""),"",INDEX(EZ$4:EZ$40,MATCH(ROW()-3,FA$4:FA$40,0)))</f>
        <v/>
      </c>
      <c r="FC30">
        <f>FC29+IF(AND(FB30&lt;&gt;"",COUNTIF(FB$4:FB30,FB30)=1),1,0)</f>
        <v/>
      </c>
      <c r="FD30">
        <f>IF(ROW()-3&gt;MAX(FC$4:FC$40),"",INDEX(FB$4:FB$40,MATCH(ROW()-3,FC$4:FC$40,0)))</f>
        <v/>
      </c>
      <c r="FE30">
        <f>IF('Final Calculation Sheet'!$AF$30="","",'Final Calculation Sheet'!$AF$30)</f>
        <v/>
      </c>
      <c r="FF30">
        <f>IF(FE30="","",COUNTIFS(FE$4:FE$40,"&lt;"&amp;FE30,FE$4:FE$40,"&lt;&gt;"&amp;"")+COUNTIF(FE$4:FE30,FE30))</f>
        <v/>
      </c>
      <c r="FG30">
        <f>IF(ROW()-3&gt;COUNTIF(FE$4:FE$40,"&lt;&gt;"&amp;""),"",INDEX(FE$4:FE$40,MATCH(ROW()-3,FF$4:FF$40,0)))</f>
        <v/>
      </c>
      <c r="FH30">
        <f>FH29+IF(AND(FG30&lt;&gt;"",COUNTIF(FG$4:FG30,FG30)=1),1,0)</f>
        <v/>
      </c>
      <c r="FI30">
        <f>IF(ROW()-3&gt;MAX(FH$4:FH$40),"",INDEX(FG$4:FG$40,MATCH(ROW()-3,FH$4:FH$40,0)))</f>
        <v/>
      </c>
      <c r="FJ30" s="141">
        <f>IF('Final Calculation Sheet'!$AG$30="","",'Final Calculation Sheet'!$AG$30)</f>
        <v/>
      </c>
      <c r="FK30">
        <f>IF(FJ30="","",COUNTIFS(FJ$4:FJ$40,"&lt;"&amp;FJ30,FJ$4:FJ$40,"&lt;&gt;"&amp;"")+COUNTIF(FJ$4:FJ30,FJ30))</f>
        <v/>
      </c>
      <c r="FL30" s="141">
        <f>IF(ROW()-3&gt;COUNTIF(FJ$4:FJ$40,"&lt;&gt;"&amp;""),"",INDEX(FJ$4:FJ$40,MATCH(ROW()-3,FK$4:FK$40,0)))</f>
        <v/>
      </c>
      <c r="FM30">
        <f>FM29+IF(AND(FL30&lt;&gt;"",COUNTIF(FL$4:FL30,FL30)=1),1,0)</f>
        <v/>
      </c>
      <c r="FN30">
        <f>IF(ROW()-3&gt;MAX(FM$4:FM$40),"",INDEX(FL$4:FL$40,MATCH(ROW()-3,FM$4:FM$40,0)))</f>
        <v/>
      </c>
      <c r="FO30">
        <f>IF('Final Calculation Sheet'!$AH$30="","",'Final Calculation Sheet'!$AH$30)</f>
        <v/>
      </c>
      <c r="FP30">
        <f>IF(FO30="","",COUNTIFS(FO$4:FO$40,"&lt;"&amp;FO30,FO$4:FO$40,"&lt;&gt;"&amp;"")+COUNTIF(FO$4:FO30,FO30))</f>
        <v/>
      </c>
      <c r="FQ30">
        <f>IF(ROW()-3&gt;COUNTIF(FO$4:FO$40,"&lt;&gt;"&amp;""),"",INDEX(FO$4:FO$40,MATCH(ROW()-3,FP$4:FP$40,0)))</f>
        <v/>
      </c>
      <c r="FR30">
        <f>FR29+IF(AND(FQ30&lt;&gt;"",COUNTIF(FQ$4:FQ30,FQ30)=1),1,0)</f>
        <v/>
      </c>
      <c r="FS30">
        <f>IF(ROW()-3&gt;MAX(FR$4:FR$40),"",INDEX(FQ$4:FQ$40,MATCH(ROW()-3,FR$4:FR$40,0)))</f>
        <v/>
      </c>
      <c r="FU30">
        <f>IF(FT30="","",COUNTIFS(FT$4:FT$40,"&lt;"&amp;FT30,FT$4:FT$40,"&lt;&gt;"&amp;"")+COUNTIF(FT$4:FT30,FT30))</f>
        <v/>
      </c>
      <c r="FV30">
        <f>IF(ROW()-3&gt;COUNTIF(FT$4:FT$40,"&lt;&gt;"&amp;""),"",INDEX(FT$4:FT$40,MATCH(ROW()-3,FU$4:FU$40,0)))</f>
        <v/>
      </c>
      <c r="FW30">
        <f>FW29+IF(AND(FV30&lt;&gt;"",COUNTIF(FV$4:FV30,FV30)=1),1,0)</f>
        <v/>
      </c>
      <c r="FX30">
        <f>IF(ROW()-3&gt;MAX(FW$4:FW$40),"",INDEX(FV$4:FV$40,MATCH(ROW()-3,FW$4:FW$40,0)))</f>
        <v/>
      </c>
      <c r="FY30">
        <f>IF(COUNTIF('Live Search'!BM$29:BO$29,0)+COUNTIF('Live Search'!BQ$29:CU$29,0)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0">
        <f>IF($Y$30="",FALSE,SUMPRODUCT(('Final Calculation Sheet'!$B$4:$B$40=$Y$30)*($FY$6:$FY$42=1))&gt;0)</f>
        <v/>
      </c>
      <c r="GA30">
        <f>$GA$29+--($FZ$30)</f>
        <v/>
      </c>
      <c r="GB30">
        <f>IF(ROW()-3&gt;MAX($GA$4:$GA$40),"",INDEX($Y$4:$Y$40,MATCH(ROW()-3,$GA$4:$GA$40,0)))</f>
        <v/>
      </c>
      <c r="GC30">
        <f>IF('Final Calculation Sheet'!$F$30="","",IF(TRIM('Final Calculation Sheet'!$G$2)="",'Final Calculation Sheet'!$F$30,IF(TRIM('Final Calculation Sheet'!$G$2)="(nonblank)",IF('Final Calculation Sheet'!$G$30&lt;&gt;"",'Final Calculation Sheet'!$F$30,""),IF(TRIM('Final Calculation Sheet'!$G$2)="(blank)",IF('Final Calculation Sheet'!$G$30="",'Final Calculation Sheet'!$F$30,""),IF(ISNUMBER(SEARCH(TRIM('Final Calculation Sheet'!$G$2),'Final Calculation Sheet'!$G$30)),'Final Calculation Sheet'!$F$30,"")))))</f>
        <v/>
      </c>
      <c r="GD30">
        <f>IF(GC30="","",COUNTIFS(GC$4:GC$40,"&lt;"&amp;GC30,GC$4:GC$40,"&lt;&gt;"&amp;"")+COUNTIF(GC$4:GC30,GC30))</f>
        <v/>
      </c>
      <c r="GE30">
        <f>IF(ROW()-3&gt;COUNTIF(GC$4:GC$40,"&lt;&gt;"&amp;""),"",INDEX(GC$4:GC$40,MATCH(ROW()-3,GD$4:GD$40,0)))</f>
        <v/>
      </c>
      <c r="GF30">
        <f>GF29+IF(AND(GE30&lt;&gt;"",COUNTIF(GE$4:GE30,GE30)=1),1,0)</f>
        <v/>
      </c>
      <c r="GG30">
        <f>IF(ROW()-3&gt;MAX(GF$4:GF$40),"",INDEX(GE$4:GE$40,MATCH(ROW()-3,GF$4:GF$40,0)))</f>
        <v/>
      </c>
      <c r="GH30">
        <f>IF('Final Calculation Sheet'!$F$30="","",IF('Live Search'!$BO$31=1,'Final Calculation Sheet'!$F$30,""))</f>
        <v/>
      </c>
      <c r="GI30">
        <f>IF(GH30="","",COUNTIFS(GH$4:GH$40,"&lt;"&amp;GH30,GH$4:GH$40,"&lt;&gt;"&amp;"")+COUNTIF(GH$4:GH30,GH30))</f>
        <v/>
      </c>
      <c r="GJ30">
        <f>IF(ROW()-3&gt;COUNTIF(GH$4:GH$40,"&lt;&gt;"&amp;""),"",INDEX(GH$4:GH$40,MATCH(ROW()-3,GI$4:GI$40,0)))</f>
        <v/>
      </c>
      <c r="GK30">
        <f>GK29+IF(AND(GJ30&lt;&gt;"",COUNTIF(GJ$4:GJ30,GJ30)=1),1,0)</f>
        <v/>
      </c>
      <c r="GL30">
        <f>IF(ROW()-3&gt;MAX(GK$4:GK$40),"",INDEX(GJ$4:GJ$40,MATCH(ROW()-3,GK$4:GK$40,0)))</f>
        <v/>
      </c>
      <c r="GM30">
        <f>IF('Final Calculation Sheet'!$F$30="","",IF(TRIM('Buyer Groups'!$C$4)="",'Final Calculation Sheet'!$F$30,IF(TRIM('Buyer Groups'!$C$4)="(nonblank)",IF('Final Calculation Sheet'!$G$30&lt;&gt;"",'Final Calculation Sheet'!$F$30,""),IF(TRIM('Buyer Groups'!$C$4)="(blank)",IF('Final Calculation Sheet'!$G$30="",'Final Calculation Sheet'!$F$30,""),IF(ISNUMBER(SEARCH(TRIM('Buyer Groups'!$C$4),'Final Calculation Sheet'!$G$30)),'Final Calculation Sheet'!$F$30,"")))))</f>
        <v/>
      </c>
      <c r="GN30">
        <f>IF(GM30="","",COUNTIFS(GM$4:GM$40,"&lt;"&amp;GM30,GM$4:GM$40,"&lt;&gt;"&amp;"")+COUNTIF(GM$4:GM30,GM30))</f>
        <v/>
      </c>
      <c r="GO30">
        <f>IF(ROW()-3&gt;COUNTIF(GM$4:GM$40,"&lt;&gt;"&amp;""),"",INDEX(GM$4:GM$40,MATCH(ROW()-3,GN$4:GN$40,0)))</f>
        <v/>
      </c>
      <c r="GP30">
        <f>GP29+IF(AND(GO30&lt;&gt;"",COUNTIF(GO$4:GO30,GO30)=1),1,0)</f>
        <v/>
      </c>
      <c r="GQ30">
        <f>IF(ROW()-3&gt;MAX(GP$4:GP$40),"",INDEX(GO$4:GO$40,MATCH(ROW()-3,GP$4:GP$40,0)))</f>
        <v/>
      </c>
      <c r="GR30">
        <f>IF('Final Calculation Sheet'!$B$30="","",IF(TRIM('Final Calculation Sheet'!$G$2)="",'Final Calculation Sheet'!$B$30,IF(TRIM('Final Calculation Sheet'!$G$2)="(nonblank)",IF('Final Calculation Sheet'!$G$30&lt;&gt;"",'Final Calculation Sheet'!$B$30,""),IF(TRIM('Final Calculation Sheet'!$G$2)="(blank)",IF('Final Calculation Sheet'!$G$30="",'Final Calculation Sheet'!$B$30,""),IF(ISNUMBER(SEARCH(TRIM('Final Calculation Sheet'!$G$2),'Final Calculation Sheet'!$G$30)),'Final Calculation Sheet'!$B$30,"")))))</f>
        <v/>
      </c>
      <c r="GS30">
        <f>IF(GR30="","",COUNTIFS(GR$4:GR$40,"&lt;"&amp;GR30,GR$4:GR$40,"&lt;&gt;"&amp;"")+COUNTIF(GR$4:GR30,GR30))</f>
        <v/>
      </c>
      <c r="GT30">
        <f>IF(ROW()-3&gt;COUNTIF(GR$4:GR$40,"&lt;&gt;"&amp;""),"",INDEX(GR$4:GR$40,MATCH(ROW()-3,GS$4:GS$40,0)))</f>
        <v/>
      </c>
      <c r="GU30">
        <f>GU29+IF(AND(GT30&lt;&gt;"",COUNTIF(GT$4:GT30,GT30)=1),1,0)</f>
        <v/>
      </c>
      <c r="GV30">
        <f>IF(ROW()-3&gt;MAX(GU$4:GU$40),"",INDEX(GT$4:GT$40,MATCH(ROW()-3,GU$4:GU$40,0)))</f>
        <v/>
      </c>
      <c r="GW30">
        <f>IF('Final Calculation Sheet'!$B$30="","",IF(TRIM('Buyer Groups'!$C$4)="",'Final Calculation Sheet'!$B$30,IF(TRIM('Buyer Groups'!$C$4)="(nonblank)",IF('Final Calculation Sheet'!$G$30&lt;&gt;"",'Final Calculation Sheet'!$B$30,""),IF(TRIM('Buyer Groups'!$C$4)="(blank)",IF('Final Calculation Sheet'!$G$30="",'Final Calculation Sheet'!$B$30,""),IF(ISNUMBER(SEARCH(TRIM('Buyer Groups'!$C$4),'Final Calculation Sheet'!$G$30)),'Final Calculation Sheet'!$B$30,"")))))</f>
        <v/>
      </c>
      <c r="GX30">
        <f>IF(GW30="","",COUNTIFS(GW$4:GW$40,"&lt;"&amp;GW30,GW$4:GW$40,"&lt;&gt;"&amp;"")+COUNTIF(GW$4:GW30,GW30))</f>
        <v/>
      </c>
      <c r="GY30">
        <f>IF(ROW()-3&gt;COUNTIF(GW$4:GW$40,"&lt;&gt;"&amp;""),"",INDEX(GW$4:GW$40,MATCH(ROW()-3,GX$4:GX$40,0)))</f>
        <v/>
      </c>
      <c r="GZ30">
        <f>GZ29+IF(AND(GY30&lt;&gt;"",COUNTIF(GY$4:GY30,GY30)=1),1,0)</f>
        <v/>
      </c>
      <c r="HA30">
        <f>IF(ROW()-3&gt;MAX(GZ$4:GZ$40),"",INDEX(GY$4:GY$40,MATCH(ROW()-3,GZ$4:GZ$40,0)))</f>
        <v/>
      </c>
    </row>
    <row r="31">
      <c r="A31">
        <f>IF('Final Calculation Sheet'!$F$31="","",'Final Calculation Sheet'!$F$31)</f>
        <v/>
      </c>
      <c r="B31">
        <f>IF(A31="","",COUNTIFS(A$4:A$114,"&lt;"&amp;A31,A$4:A$114,"&lt;&gt;"&amp;"")+COUNTIF(A$4:A31,A31))</f>
        <v/>
      </c>
      <c r="C31">
        <f>IF(ROW()-3&gt;COUNTIF(A$4:A$114,"&lt;&gt;"&amp;""),"",INDEX(A$4:A$114,MATCH(ROW()-3,B$4:B$114,0)))</f>
        <v/>
      </c>
      <c r="D31">
        <f>D30+IF(AND(C31&lt;&gt;"",COUNTIF(C$4:C31,C31)=1),1,0)</f>
        <v/>
      </c>
      <c r="E31">
        <f>IF(ROW()-3&gt;MAX(D$4:D$114),"",INDEX(C$4:C$114,MATCH(ROW()-3,D$4:D$114,0)))</f>
        <v/>
      </c>
      <c r="F31">
        <f>ROW()-3</f>
        <v/>
      </c>
      <c r="G31">
        <f>IF(F31="","",COUNTIFS(F$4:F$40,"&lt;"&amp;F31,F$4:F$40,"&lt;&gt;"&amp;"")+COUNTIF(F$4:F31,F31))</f>
        <v/>
      </c>
      <c r="H31">
        <f>IF(ROW()-3&gt;COUNTIF(F$4:F$40,"&lt;&gt;"&amp;""),"",INDEX(F$4:F$40,MATCH(ROW()-3,G$4:G$40,0)))</f>
        <v/>
      </c>
      <c r="I31">
        <f>I30+IF(AND(H31&lt;&gt;"",COUNTIF(H$4:H31,H31)=1),1,0)</f>
        <v/>
      </c>
      <c r="J31">
        <f>IF(ROW()-3&gt;MAX(I$4:I$40),"",INDEX(H$4:H$40,MATCH(ROW()-3,I$4:I$40,0)))</f>
        <v/>
      </c>
      <c r="K31">
        <f>IF('Final Calculation Sheet'!$F$31="","",'Final Calculation Sheet'!$F$31)</f>
        <v/>
      </c>
      <c r="L31">
        <f>IF(K31="","",COUNTIFS(K$4:K$40,"&lt;"&amp;K31,K$4:K$40,"&lt;&gt;"&amp;"")+COUNTIF(K$4:K31,K31))</f>
        <v/>
      </c>
      <c r="M31">
        <f>IF(ROW()-3&gt;COUNTIF(K$4:K$40,"&lt;&gt;"&amp;""),"",INDEX(K$4:K$40,MATCH(ROW()-3,L$4:L$40,0)))</f>
        <v/>
      </c>
      <c r="N31">
        <f>N30+IF(AND(M31&lt;&gt;"",COUNTIF(M$4:M31,M31)=1),1,0)</f>
        <v/>
      </c>
      <c r="O31">
        <f>IF(ROW()-3&gt;MAX(N$4:N$40),"",INDEX(M$4:M$40,MATCH(ROW()-3,N$4:N$40,0)))</f>
        <v/>
      </c>
      <c r="P31">
        <f>IF('Final Calculation Sheet'!$G$31="","",'Final Calculation Sheet'!$G$31)</f>
        <v/>
      </c>
      <c r="Q31">
        <f>IF(P31="","",COUNTIFS(P$4:P$40,"&lt;"&amp;P31,P$4:P$40,"&lt;&gt;"&amp;"")+COUNTIF(P$4:P31,P31))</f>
        <v/>
      </c>
      <c r="R31">
        <f>IF(ROW()-3&gt;COUNTIF(P$4:P$40,"&lt;&gt;"&amp;""),"",INDEX(P$4:P$40,MATCH(ROW()-3,Q$4:Q$40,0)))</f>
        <v/>
      </c>
      <c r="S31">
        <f>S30+IF(AND(R31&lt;&gt;"",COUNTIF(R$4:R31,R31)=1),1,0)</f>
        <v/>
      </c>
      <c r="T31">
        <f>IF(ROW()-3&gt;MAX(S$4:S$40),"",INDEX(R$4:R$40,MATCH(ROW()-3,S$4:S$40,0)))</f>
        <v/>
      </c>
      <c r="U31">
        <f>IF('Final Calculation Sheet'!$B$31="","",'Final Calculation Sheet'!$B$31)</f>
        <v/>
      </c>
      <c r="V31">
        <f>IF(U31="","",COUNTIFS(U$4:U$40,"&lt;"&amp;U31,U$4:U$40,"&lt;&gt;"&amp;"")+COUNTIF(U$4:U31,U31))</f>
        <v/>
      </c>
      <c r="W31">
        <f>IF(ROW()-3&gt;COUNTIF(U$4:U$40,"&lt;&gt;"&amp;""),"",INDEX(U$4:U$40,MATCH(ROW()-3,V$4:V$40,0)))</f>
        <v/>
      </c>
      <c r="X31">
        <f>X30+IF(AND(W31&lt;&gt;"",COUNTIF(W$4:W31,W31)=1),1,0)</f>
        <v/>
      </c>
      <c r="Y31">
        <f>IF(ROW()-3&gt;MAX(X$4:X$40),"",INDEX(W$4:W$40,MATCH(ROW()-3,X$4:X$40,0)))</f>
        <v/>
      </c>
      <c r="Z31">
        <f>IF('Final Calculation Sheet'!$D$31="","",'Final Calculation Sheet'!$D$31)</f>
        <v/>
      </c>
      <c r="AA31">
        <f>IF(Z31="","",COUNTIFS(Z$4:Z$40,"&lt;"&amp;Z31,Z$4:Z$40,"&lt;&gt;"&amp;"")+COUNTIF(Z$4:Z31,Z31))</f>
        <v/>
      </c>
      <c r="AB31">
        <f>IF(ROW()-3&gt;COUNTIF(Z$4:Z$40,"&lt;&gt;"&amp;""),"",INDEX(Z$4:Z$40,MATCH(ROW()-3,AA$4:AA$40,0)))</f>
        <v/>
      </c>
      <c r="AC31">
        <f>AC30+IF(AND(AB31&lt;&gt;"",COUNTIF(AB$4:AB31,AB31)=1),1,0)</f>
        <v/>
      </c>
      <c r="AD31">
        <f>IF(ROW()-3&gt;MAX(AC$4:AC$40),"",INDEX(AB$4:AB$40,MATCH(ROW()-3,AC$4:AC$40,0)))</f>
        <v/>
      </c>
      <c r="AE31">
        <f>IF('Final Calculation Sheet'!$A$31="","",'Final Calculation Sheet'!$A$31)</f>
        <v/>
      </c>
      <c r="AF31">
        <f>IF(AE31="","",COUNTIFS(AE$4:AE$40,"&lt;"&amp;AE31,AE$4:AE$40,"&lt;&gt;"&amp;"")+COUNTIF(AE$4:AE31,AE31))</f>
        <v/>
      </c>
      <c r="AG31">
        <f>IF(ROW()-3&gt;COUNTIF(AE$4:AE$40,"&lt;&gt;"&amp;""),"",INDEX(AE$4:AE$40,MATCH(ROW()-3,AF$4:AF$40,0)))</f>
        <v/>
      </c>
      <c r="AH31">
        <f>AH30+IF(AND(AG31&lt;&gt;"",COUNTIF(AG$4:AG31,AG31)=1),1,0)</f>
        <v/>
      </c>
      <c r="AI31">
        <f>IF(ROW()-3&gt;MAX(AH$4:AH$40),"",INDEX(AG$4:AG$40,MATCH(ROW()-3,AH$4:AH$40,0)))</f>
        <v/>
      </c>
      <c r="AJ31">
        <f>IF('Final Calculation Sheet'!$E$31="","",'Final Calculation Sheet'!$E$31)</f>
        <v/>
      </c>
      <c r="AK31">
        <f>IF(AJ31="","",COUNTIFS(AJ$4:AJ$40,"&lt;"&amp;AJ31,AJ$4:AJ$40,"&lt;&gt;"&amp;"")+COUNTIF(AJ$4:AJ31,AJ31))</f>
        <v/>
      </c>
      <c r="AL31">
        <f>IF(ROW()-3&gt;COUNTIF(AJ$4:AJ$40,"&lt;&gt;"&amp;""),"",INDEX(AJ$4:AJ$40,MATCH(ROW()-3,AK$4:AK$40,0)))</f>
        <v/>
      </c>
      <c r="AM31">
        <f>AM30+IF(AND(AL31&lt;&gt;"",COUNTIF(AL$4:AL31,AL31)=1),1,0)</f>
        <v/>
      </c>
      <c r="AN31">
        <f>IF(ROW()-3&gt;MAX(AM$4:AM$40),"",INDEX(AL$4:AL$40,MATCH(ROW()-3,AM$4:AM$40,0)))</f>
        <v/>
      </c>
      <c r="AO31" s="55">
        <f>IF('Final Calculation Sheet'!$C$31="","",'Final Calculation Sheet'!$C$31)</f>
        <v/>
      </c>
      <c r="AP31">
        <f>IF(AO31="","",COUNTIFS(AO$4:AO$40,"&lt;"&amp;AO31,AO$4:AO$40,"&lt;&gt;"&amp;"")+COUNTIF(AO$4:AO31,AO31))</f>
        <v/>
      </c>
      <c r="AQ31" s="55">
        <f>IF(ROW()-3&gt;COUNTIF(AO$4:AO$40,"&lt;&gt;"&amp;""),"",INDEX(AO$4:AO$40,MATCH(ROW()-3,AP$4:AP$40,0)))</f>
        <v/>
      </c>
      <c r="AR31">
        <f>AR30+IF(AND(AQ31&lt;&gt;"",COUNTIF(AQ$4:AQ31,AQ31)=1),1,0)</f>
        <v/>
      </c>
      <c r="AS31" s="55">
        <f>IF(ROW()-3&gt;MAX(AR$4:AR$40),"",INDEX(AQ$4:AQ$40,MATCH(ROW()-3,AR$4:AR$40,0)))</f>
        <v/>
      </c>
      <c r="AT31" s="55">
        <f>IF('Final Calculation Sheet'!$H$31="","",'Final Calculation Sheet'!$H$31)</f>
        <v/>
      </c>
      <c r="AU31">
        <f>IF(AT31="","",COUNTIFS(AT$4:AT$40,"&lt;"&amp;AT31,AT$4:AT$40,"&lt;&gt;"&amp;"")+COUNTIF(AT$4:AT31,AT31))</f>
        <v/>
      </c>
      <c r="AV31" s="55">
        <f>IF(ROW()-3&gt;COUNTIF(AT$4:AT$40,"&lt;&gt;"&amp;""),"",INDEX(AT$4:AT$40,MATCH(ROW()-3,AU$4:AU$40,0)))</f>
        <v/>
      </c>
      <c r="AW31">
        <f>AW30+IF(AND(AV31&lt;&gt;"",COUNTIF(AV$4:AV31,AV31)=1),1,0)</f>
        <v/>
      </c>
      <c r="AX31" s="55">
        <f>IF(ROW()-3&gt;MAX(AW$4:AW$40),"",INDEX(AV$4:AV$40,MATCH(ROW()-3,AW$4:AW$40,0)))</f>
        <v/>
      </c>
      <c r="AY31" s="55">
        <f>IF('Final Calculation Sheet'!$I$31="","",'Final Calculation Sheet'!$I$31)</f>
        <v/>
      </c>
      <c r="AZ31">
        <f>IF(AY31="","",COUNTIFS(AY$4:AY$40,"&lt;"&amp;AY31,AY$4:AY$40,"&lt;&gt;"&amp;"")+COUNTIF(AY$4:AY31,AY31))</f>
        <v/>
      </c>
      <c r="BA31" s="55">
        <f>IF(ROW()-3&gt;COUNTIF(AY$4:AY$40,"&lt;&gt;"&amp;""),"",INDEX(AY$4:AY$40,MATCH(ROW()-3,AZ$4:AZ$40,0)))</f>
        <v/>
      </c>
      <c r="BB31">
        <f>BB30+IF(AND(BA31&lt;&gt;"",COUNTIF(BA$4:BA31,BA31)=1),1,0)</f>
        <v/>
      </c>
      <c r="BC31" s="55">
        <f>IF(ROW()-3&gt;MAX(BB$4:BB$40),"",INDEX(BA$4:BA$40,MATCH(ROW()-3,BB$4:BB$40,0)))</f>
        <v/>
      </c>
      <c r="BD31" s="55">
        <f>IF('Final Calculation Sheet'!$J$31="","",'Final Calculation Sheet'!$J$31)</f>
        <v/>
      </c>
      <c r="BE31">
        <f>IF(BD31="","",COUNTIFS(BD$4:BD$40,"&lt;"&amp;BD31,BD$4:BD$40,"&lt;&gt;"&amp;"")+COUNTIF(BD$4:BD31,BD31))</f>
        <v/>
      </c>
      <c r="BF31" s="55">
        <f>IF(ROW()-3&gt;COUNTIF(BD$4:BD$40,"&lt;&gt;"&amp;""),"",INDEX(BD$4:BD$40,MATCH(ROW()-3,BE$4:BE$40,0)))</f>
        <v/>
      </c>
      <c r="BG31">
        <f>BG30+IF(AND(BF31&lt;&gt;"",COUNTIF(BF$4:BF31,BF31)=1),1,0)</f>
        <v/>
      </c>
      <c r="BH31" s="55">
        <f>IF(ROW()-3&gt;MAX(BG$4:BG$40),"",INDEX(BF$4:BF$40,MATCH(ROW()-3,BG$4:BG$40,0)))</f>
        <v/>
      </c>
      <c r="BI31" s="55">
        <f>IF('Final Calculation Sheet'!$K$31="","",'Final Calculation Sheet'!$K$31)</f>
        <v/>
      </c>
      <c r="BJ31">
        <f>IF(BI31="","",COUNTIFS(BI$4:BI$40,"&lt;"&amp;BI31,BI$4:BI$40,"&lt;&gt;"&amp;"")+COUNTIF(BI$4:BI31,BI31))</f>
        <v/>
      </c>
      <c r="BK31" s="55">
        <f>IF(ROW()-3&gt;COUNTIF(BI$4:BI$40,"&lt;&gt;"&amp;""),"",INDEX(BI$4:BI$40,MATCH(ROW()-3,BJ$4:BJ$40,0)))</f>
        <v/>
      </c>
      <c r="BL31">
        <f>BL30+IF(AND(BK31&lt;&gt;"",COUNTIF(BK$4:BK31,BK31)=1),1,0)</f>
        <v/>
      </c>
      <c r="BM31" s="55">
        <f>IF(ROW()-3&gt;MAX(BL$4:BL$40),"",INDEX(BK$4:BK$40,MATCH(ROW()-3,BL$4:BL$40,0)))</f>
        <v/>
      </c>
      <c r="BN31" s="55">
        <f>IF('Final Calculation Sheet'!$L$31="","",'Final Calculation Sheet'!$L$31)</f>
        <v/>
      </c>
      <c r="BO31">
        <f>IF(BN31="","",COUNTIFS(BN$4:BN$40,"&lt;"&amp;BN31,BN$4:BN$40,"&lt;&gt;"&amp;"")+COUNTIF(BN$4:BN31,BN31))</f>
        <v/>
      </c>
      <c r="BP31" s="55">
        <f>IF(ROW()-3&gt;COUNTIF(BN$4:BN$40,"&lt;&gt;"&amp;""),"",INDEX(BN$4:BN$40,MATCH(ROW()-3,BO$4:BO$40,0)))</f>
        <v/>
      </c>
      <c r="BQ31">
        <f>BQ30+IF(AND(BP31&lt;&gt;"",COUNTIF(BP$4:BP31,BP31)=1),1,0)</f>
        <v/>
      </c>
      <c r="BR31" s="55">
        <f>IF(ROW()-3&gt;MAX(BQ$4:BQ$40),"",INDEX(BP$4:BP$40,MATCH(ROW()-3,BQ$4:BQ$40,0)))</f>
        <v/>
      </c>
      <c r="BS31" s="55">
        <f>IF('Final Calculation Sheet'!$M$31="","",'Final Calculation Sheet'!$M$31)</f>
        <v/>
      </c>
      <c r="BT31">
        <f>IF(BS31="","",COUNTIFS(BS$4:BS$40,"&lt;"&amp;BS31,BS$4:BS$40,"&lt;&gt;"&amp;"")+COUNTIF(BS$4:BS31,BS31))</f>
        <v/>
      </c>
      <c r="BU31" s="55">
        <f>IF(ROW()-3&gt;COUNTIF(BS$4:BS$40,"&lt;&gt;"&amp;""),"",INDEX(BS$4:BS$40,MATCH(ROW()-3,BT$4:BT$40,0)))</f>
        <v/>
      </c>
      <c r="BV31">
        <f>BV30+IF(AND(BU31&lt;&gt;"",COUNTIF(BU$4:BU31,BU31)=1),1,0)</f>
        <v/>
      </c>
      <c r="BW31" s="55">
        <f>IF(ROW()-3&gt;MAX(BV$4:BV$40),"",INDEX(BU$4:BU$40,MATCH(ROW()-3,BV$4:BV$40,0)))</f>
        <v/>
      </c>
      <c r="BX31" s="138">
        <f>IF('Final Calculation Sheet'!$N$31="","",'Final Calculation Sheet'!$N$31)</f>
        <v/>
      </c>
      <c r="BY31">
        <f>IF(BX31="","",COUNTIFS(BX$4:BX$40,"&lt;"&amp;BX31,BX$4:BX$40,"&lt;&gt;"&amp;"")+COUNTIF(BX$4:BX31,BX31))</f>
        <v/>
      </c>
      <c r="BZ31" s="138">
        <f>IF(ROW()-3&gt;COUNTIF(BX$4:BX$40,"&lt;&gt;"&amp;""),"",INDEX(BX$4:BX$40,MATCH(ROW()-3,BY$4:BY$40,0)))</f>
        <v/>
      </c>
      <c r="CA31">
        <f>CA30+IF(AND(BZ31&lt;&gt;"",COUNTIF(BZ$4:BZ31,BZ31)=1),1,0)</f>
        <v/>
      </c>
      <c r="CB31" s="138">
        <f>IF(ROW()-3&gt;MAX(CA$4:CA$40),"",INDEX(BZ$4:BZ$40,MATCH(ROW()-3,CA$4:CA$40,0)))</f>
        <v/>
      </c>
      <c r="CC31" s="55">
        <f>IF('Final Calculation Sheet'!$O$31="","",'Final Calculation Sheet'!$O$31)</f>
        <v/>
      </c>
      <c r="CD31">
        <f>IF(CC31="","",COUNTIFS(CC$4:CC$40,"&lt;"&amp;CC31,CC$4:CC$40,"&lt;&gt;"&amp;"")+COUNTIF(CC$4:CC31,CC31))</f>
        <v/>
      </c>
      <c r="CE31" s="55">
        <f>IF(ROW()-3&gt;COUNTIF(CC$4:CC$40,"&lt;&gt;"&amp;""),"",INDEX(CC$4:CC$40,MATCH(ROW()-3,CD$4:CD$40,0)))</f>
        <v/>
      </c>
      <c r="CF31">
        <f>CF30+IF(AND(CE31&lt;&gt;"",COUNTIF(CE$4:CE31,CE31)=1),1,0)</f>
        <v/>
      </c>
      <c r="CG31" s="55">
        <f>IF(ROW()-3&gt;MAX(CF$4:CF$40),"",INDEX(CE$4:CE$40,MATCH(ROW()-3,CF$4:CF$40,0)))</f>
        <v/>
      </c>
      <c r="CH31" s="55">
        <f>IF('Final Calculation Sheet'!$P$31="","",'Final Calculation Sheet'!$P$31)</f>
        <v/>
      </c>
      <c r="CI31">
        <f>IF(CH31="","",COUNTIFS(CH$4:CH$40,"&lt;"&amp;CH31,CH$4:CH$40,"&lt;&gt;"&amp;"")+COUNTIF(CH$4:CH31,CH31))</f>
        <v/>
      </c>
      <c r="CJ31" s="55">
        <f>IF(ROW()-3&gt;COUNTIF(CH$4:CH$40,"&lt;&gt;"&amp;""),"",INDEX(CH$4:CH$40,MATCH(ROW()-3,CI$4:CI$40,0)))</f>
        <v/>
      </c>
      <c r="CK31">
        <f>CK30+IF(AND(CJ31&lt;&gt;"",COUNTIF(CJ$4:CJ31,CJ31)=1),1,0)</f>
        <v/>
      </c>
      <c r="CL31" s="55">
        <f>IF(ROW()-3&gt;MAX(CK$4:CK$40),"",INDEX(CJ$4:CJ$40,MATCH(ROW()-3,CK$4:CK$40,0)))</f>
        <v/>
      </c>
      <c r="CM31" s="139">
        <f>IF('Final Calculation Sheet'!$Q$31="","",'Final Calculation Sheet'!$Q$31)</f>
        <v/>
      </c>
      <c r="CN31">
        <f>IF(CM31="","",COUNTIFS(CM$4:CM$40,"&lt;"&amp;CM31,CM$4:CM$40,"&lt;&gt;"&amp;"")+COUNTIF(CM$4:CM31,CM31))</f>
        <v/>
      </c>
      <c r="CO31" s="139">
        <f>IF(ROW()-3&gt;COUNTIF(CM$4:CM$40,"&lt;&gt;"&amp;""),"",INDEX(CM$4:CM$40,MATCH(ROW()-3,CN$4:CN$40,0)))</f>
        <v/>
      </c>
      <c r="CP31">
        <f>CP30+IF(AND(CO31&lt;&gt;"",COUNTIF(CO$4:CO31,CO31)=1),1,0)</f>
        <v/>
      </c>
      <c r="CQ31">
        <f>IF(ROW()-3&gt;MAX(CP$4:CP$40),"",INDEX(CO$4:CO$40,MATCH(ROW()-3,CP$4:CP$40,0)))</f>
        <v/>
      </c>
      <c r="CR31" s="55">
        <f>IF('Final Calculation Sheet'!$R$31="","",'Final Calculation Sheet'!$R$31)</f>
        <v/>
      </c>
      <c r="CS31">
        <f>IF(CR31="","",COUNTIFS(CR$4:CR$40,"&lt;"&amp;CR31,CR$4:CR$40,"&lt;&gt;"&amp;"")+COUNTIF(CR$4:CR31,CR31))</f>
        <v/>
      </c>
      <c r="CT31" s="55">
        <f>IF(ROW()-3&gt;COUNTIF(CR$4:CR$40,"&lt;&gt;"&amp;""),"",INDEX(CR$4:CR$40,MATCH(ROW()-3,CS$4:CS$40,0)))</f>
        <v/>
      </c>
      <c r="CU31">
        <f>CU30+IF(AND(CT31&lt;&gt;"",COUNTIF(CT$4:CT31,CT31)=1),1,0)</f>
        <v/>
      </c>
      <c r="CV31">
        <f>IF(ROW()-3&gt;MAX(CU$4:CU$40),"",INDEX(CT$4:CT$40,MATCH(ROW()-3,CU$4:CU$40,0)))</f>
        <v/>
      </c>
      <c r="CW31" s="55">
        <f>IF('Final Calculation Sheet'!$S$31="","",'Final Calculation Sheet'!$S$31)</f>
        <v/>
      </c>
      <c r="CX31">
        <f>IF(CW31="","",COUNTIFS(CW$4:CW$40,"&lt;"&amp;CW31,CW$4:CW$40,"&lt;&gt;"&amp;"")+COUNTIF(CW$4:CW31,CW31))</f>
        <v/>
      </c>
      <c r="CY31" s="55">
        <f>IF(ROW()-3&gt;COUNTIF(CW$4:CW$40,"&lt;&gt;"&amp;""),"",INDEX(CW$4:CW$40,MATCH(ROW()-3,CX$4:CX$40,0)))</f>
        <v/>
      </c>
      <c r="CZ31">
        <f>CZ30+IF(AND(CY31&lt;&gt;"",COUNTIF(CY$4:CY31,CY31)=1),1,0)</f>
        <v/>
      </c>
      <c r="DA31" s="55">
        <f>IF(ROW()-3&gt;MAX(CZ$4:CZ$40),"",INDEX(CY$4:CY$40,MATCH(ROW()-3,CZ$4:CZ$40,0)))</f>
        <v/>
      </c>
      <c r="DB31" s="55">
        <f>IF('Final Calculation Sheet'!$T$31="","",'Final Calculation Sheet'!$T$31)</f>
        <v/>
      </c>
      <c r="DC31">
        <f>IF(DB31="","",COUNTIFS(DB$4:DB$40,"&lt;"&amp;DB31,DB$4:DB$40,"&lt;&gt;"&amp;"")+COUNTIF(DB$4:DB31,DB31))</f>
        <v/>
      </c>
      <c r="DD31" s="55">
        <f>IF(ROW()-3&gt;COUNTIF(DB$4:DB$40,"&lt;&gt;"&amp;""),"",INDEX(DB$4:DB$40,MATCH(ROW()-3,DC$4:DC$40,0)))</f>
        <v/>
      </c>
      <c r="DE31">
        <f>DE30+IF(AND(DD31&lt;&gt;"",COUNTIF(DD$4:DD31,DD31)=1),1,0)</f>
        <v/>
      </c>
      <c r="DF31" s="55">
        <f>IF(ROW()-3&gt;MAX(DE$4:DE$40),"",INDEX(DD$4:DD$40,MATCH(ROW()-3,DE$4:DE$40,0)))</f>
        <v/>
      </c>
      <c r="DG31" s="140">
        <f>IF('Final Calculation Sheet'!$U$31="","",'Final Calculation Sheet'!$U$31)</f>
        <v/>
      </c>
      <c r="DH31">
        <f>IF(DG31="","",COUNTIFS(DG$4:DG$40,"&lt;"&amp;DG31,DG$4:DG$40,"&lt;&gt;"&amp;"")+COUNTIF(DG$4:DG31,DG31))</f>
        <v/>
      </c>
      <c r="DI31" s="140">
        <f>IF(ROW()-3&gt;COUNTIF(DG$4:DG$40,"&lt;&gt;"&amp;""),"",INDEX(DG$4:DG$40,MATCH(ROW()-3,DH$4:DH$40,0)))</f>
        <v/>
      </c>
      <c r="DJ31">
        <f>DJ30+IF(AND(DI31&lt;&gt;"",COUNTIF(DI$4:DI31,DI31)=1),1,0)</f>
        <v/>
      </c>
      <c r="DK31" s="140">
        <f>IF(ROW()-3&gt;MAX(DJ$4:DJ$40),"",INDEX(DI$4:DI$40,MATCH(ROW()-3,DJ$4:DJ$40,0)))</f>
        <v/>
      </c>
      <c r="DL31">
        <f>IF('Final Calculation Sheet'!$V$31="","",'Final Calculation Sheet'!$V$31)</f>
        <v/>
      </c>
      <c r="DM31">
        <f>IF(DL31="","",COUNTIFS(DL$4:DL$40,"&lt;"&amp;DL31,DL$4:DL$40,"&lt;&gt;"&amp;"")+COUNTIF(DL$4:DL31,DL31))</f>
        <v/>
      </c>
      <c r="DN31">
        <f>IF(ROW()-3&gt;COUNTIF(DL$4:DL$40,"&lt;&gt;"&amp;""),"",INDEX(DL$4:DL$40,MATCH(ROW()-3,DM$4:DM$40,0)))</f>
        <v/>
      </c>
      <c r="DO31">
        <f>DO30+IF(AND(DN31&lt;&gt;"",COUNTIF(DN$4:DN31,DN31)=1),1,0)</f>
        <v/>
      </c>
      <c r="DP31">
        <f>IF(ROW()-3&gt;MAX(DO$4:DO$40),"",INDEX(DN$4:DN$40,MATCH(ROW()-3,DO$4:DO$40,0)))</f>
        <v/>
      </c>
      <c r="DQ31" s="55">
        <f>IF('Final Calculation Sheet'!$W$31="","",'Final Calculation Sheet'!$W$31)</f>
        <v/>
      </c>
      <c r="DR31">
        <f>IF(DQ31="","",COUNTIFS(DQ$4:DQ$40,"&lt;"&amp;DQ31,DQ$4:DQ$40,"&lt;&gt;"&amp;"")+COUNTIF(DQ$4:DQ31,DQ31))</f>
        <v/>
      </c>
      <c r="DS31" s="55">
        <f>IF(ROW()-3&gt;COUNTIF(DQ$4:DQ$40,"&lt;&gt;"&amp;""),"",INDEX(DQ$4:DQ$40,MATCH(ROW()-3,DR$4:DR$40,0)))</f>
        <v/>
      </c>
      <c r="DT31">
        <f>DT30+IF(AND(DS31&lt;&gt;"",COUNTIF(DS$4:DS31,DS31)=1),1,0)</f>
        <v/>
      </c>
      <c r="DU31" s="55">
        <f>IF(ROW()-3&gt;MAX(DT$4:DT$40),"",INDEX(DS$4:DS$40,MATCH(ROW()-3,DT$4:DT$40,0)))</f>
        <v/>
      </c>
      <c r="DV31" s="55">
        <f>IF('Final Calculation Sheet'!$X$31="","",'Final Calculation Sheet'!$X$31)</f>
        <v/>
      </c>
      <c r="DW31">
        <f>IF(DV31="","",COUNTIFS(DV$4:DV$40,"&lt;"&amp;DV31,DV$4:DV$40,"&lt;&gt;"&amp;"")+COUNTIF(DV$4:DV31,DV31))</f>
        <v/>
      </c>
      <c r="DX31" s="55">
        <f>IF(ROW()-3&gt;COUNTIF(DV$4:DV$40,"&lt;&gt;"&amp;""),"",INDEX(DV$4:DV$40,MATCH(ROW()-3,DW$4:DW$40,0)))</f>
        <v/>
      </c>
      <c r="DY31">
        <f>DY30+IF(AND(DX31&lt;&gt;"",COUNTIF(DX$4:DX31,DX31)=1),1,0)</f>
        <v/>
      </c>
      <c r="DZ31">
        <f>IF(ROW()-3&gt;MAX(DY$4:DY$40),"",INDEX(DX$4:DX$40,MATCH(ROW()-3,DY$4:DY$40,0)))</f>
        <v/>
      </c>
      <c r="EA31">
        <f>IF('Final Calculation Sheet'!$Y$31="","",'Final Calculation Sheet'!$Y$31)</f>
        <v/>
      </c>
      <c r="EB31">
        <f>IF(EA31="","",COUNTIFS(EA$4:EA$40,"&lt;"&amp;EA31,EA$4:EA$40,"&lt;&gt;"&amp;"")+COUNTIF(EA$4:EA31,EA31))</f>
        <v/>
      </c>
      <c r="EC31">
        <f>IF(ROW()-3&gt;COUNTIF(EA$4:EA$40,"&lt;&gt;"&amp;""),"",INDEX(EA$4:EA$40,MATCH(ROW()-3,EB$4:EB$40,0)))</f>
        <v/>
      </c>
      <c r="ED31">
        <f>ED30+IF(AND(EC31&lt;&gt;"",COUNTIF(EC$4:EC31,EC31)=1),1,0)</f>
        <v/>
      </c>
      <c r="EE31">
        <f>IF(ROW()-3&gt;MAX(ED$4:ED$40),"",INDEX(EC$4:EC$40,MATCH(ROW()-3,ED$4:ED$40,0)))</f>
        <v/>
      </c>
      <c r="EF31" s="55">
        <f>IF('Final Calculation Sheet'!$Z$31="","",'Final Calculation Sheet'!$Z$31)</f>
        <v/>
      </c>
      <c r="EG31">
        <f>IF(EF31="","",COUNTIFS(EF$4:EF$40,"&lt;"&amp;EF31,EF$4:EF$40,"&lt;&gt;"&amp;"")+COUNTIF(EF$4:EF31,EF31))</f>
        <v/>
      </c>
      <c r="EH31" s="55">
        <f>IF(ROW()-3&gt;COUNTIF(EF$4:EF$40,"&lt;&gt;"&amp;""),"",INDEX(EF$4:EF$40,MATCH(ROW()-3,EG$4:EG$40,0)))</f>
        <v/>
      </c>
      <c r="EI31">
        <f>EI30+IF(AND(EH31&lt;&gt;"",COUNTIF(EH$4:EH31,EH31)=1),1,0)</f>
        <v/>
      </c>
      <c r="EJ31">
        <f>IF(ROW()-3&gt;MAX(EI$4:EI$40),"",INDEX(EH$4:EH$40,MATCH(ROW()-3,EI$4:EI$40,0)))</f>
        <v/>
      </c>
      <c r="EK31">
        <f>IF('Final Calculation Sheet'!$AA$31="","",'Final Calculation Sheet'!$AA$31)</f>
        <v/>
      </c>
      <c r="EL31">
        <f>IF(EK31="","",COUNTIFS(EK$4:EK$40,"&lt;"&amp;EK31,EK$4:EK$40,"&lt;&gt;"&amp;"")+COUNTIF(EK$4:EK31,EK31))</f>
        <v/>
      </c>
      <c r="EM31">
        <f>IF(ROW()-3&gt;COUNTIF(EK$4:EK$40,"&lt;&gt;"&amp;""),"",INDEX(EK$4:EK$40,MATCH(ROW()-3,EL$4:EL$40,0)))</f>
        <v/>
      </c>
      <c r="EN31">
        <f>EN30+IF(AND(EM31&lt;&gt;"",COUNTIF(EM$4:EM31,EM31)=1),1,0)</f>
        <v/>
      </c>
      <c r="EO31">
        <f>IF(ROW()-3&gt;MAX(EN$4:EN$40),"",INDEX(EM$4:EM$40,MATCH(ROW()-3,EN$4:EN$40,0)))</f>
        <v/>
      </c>
      <c r="EP31">
        <f>IF('Final Calculation Sheet'!$AB$31="","",'Final Calculation Sheet'!$AB$31)</f>
        <v/>
      </c>
      <c r="EQ31">
        <f>IF(EP31="","",COUNTIFS(EP$4:EP$40,"&lt;"&amp;EP31,EP$4:EP$40,"&lt;&gt;"&amp;"")+COUNTIF(EP$4:EP31,EP31))</f>
        <v/>
      </c>
      <c r="ER31">
        <f>IF(ROW()-3&gt;COUNTIF(EP$4:EP$40,"&lt;&gt;"&amp;""),"",INDEX(EP$4:EP$40,MATCH(ROW()-3,EQ$4:EQ$40,0)))</f>
        <v/>
      </c>
      <c r="ES31">
        <f>ES30+IF(AND(ER31&lt;&gt;"",COUNTIF(ER$4:ER31,ER31)=1),1,0)</f>
        <v/>
      </c>
      <c r="ET31">
        <f>IF(ROW()-3&gt;MAX(ES$4:ES$40),"",INDEX(ER$4:ER$40,MATCH(ROW()-3,ES$4:ES$40,0)))</f>
        <v/>
      </c>
      <c r="EU31" s="55">
        <f>IF('Final Calculation Sheet'!$AC$31="","",'Final Calculation Sheet'!$AC$31)</f>
        <v/>
      </c>
      <c r="EV31">
        <f>IF(EU31="","",COUNTIFS(EU$4:EU$40,"&lt;"&amp;EU31,EU$4:EU$40,"&lt;&gt;"&amp;"")+COUNTIF(EU$4:EU31,EU31))</f>
        <v/>
      </c>
      <c r="EW31" s="55">
        <f>IF(ROW()-3&gt;COUNTIF(EU$4:EU$40,"&lt;&gt;"&amp;""),"",INDEX(EU$4:EU$40,MATCH(ROW()-3,EV$4:EV$40,0)))</f>
        <v/>
      </c>
      <c r="EX31">
        <f>EX30+IF(AND(EW31&lt;&gt;"",COUNTIF(EW$4:EW31,EW31)=1),1,0)</f>
        <v/>
      </c>
      <c r="EY31" s="55">
        <f>IF(ROW()-3&gt;MAX(EX$4:EX$40),"",INDEX(EW$4:EW$40,MATCH(ROW()-3,EX$4:EX$40,0)))</f>
        <v/>
      </c>
      <c r="EZ31" s="55">
        <f>IF('Final Calculation Sheet'!$AD$31="","",'Final Calculation Sheet'!$AD$31)</f>
        <v/>
      </c>
      <c r="FA31">
        <f>IF(EZ31="","",COUNTIFS(EZ$4:EZ$40,"&lt;"&amp;EZ31,EZ$4:EZ$40,"&lt;&gt;"&amp;"")+COUNTIF(EZ$4:EZ31,EZ31))</f>
        <v/>
      </c>
      <c r="FB31" s="55">
        <f>IF(ROW()-3&gt;COUNTIF(EZ$4:EZ$40,"&lt;&gt;"&amp;""),"",INDEX(EZ$4:EZ$40,MATCH(ROW()-3,FA$4:FA$40,0)))</f>
        <v/>
      </c>
      <c r="FC31">
        <f>FC30+IF(AND(FB31&lt;&gt;"",COUNTIF(FB$4:FB31,FB31)=1),1,0)</f>
        <v/>
      </c>
      <c r="FD31">
        <f>IF(ROW()-3&gt;MAX(FC$4:FC$40),"",INDEX(FB$4:FB$40,MATCH(ROW()-3,FC$4:FC$40,0)))</f>
        <v/>
      </c>
      <c r="FE31">
        <f>IF('Final Calculation Sheet'!$AF$31="","",'Final Calculation Sheet'!$AF$31)</f>
        <v/>
      </c>
      <c r="FF31">
        <f>IF(FE31="","",COUNTIFS(FE$4:FE$40,"&lt;"&amp;FE31,FE$4:FE$40,"&lt;&gt;"&amp;"")+COUNTIF(FE$4:FE31,FE31))</f>
        <v/>
      </c>
      <c r="FG31">
        <f>IF(ROW()-3&gt;COUNTIF(FE$4:FE$40,"&lt;&gt;"&amp;""),"",INDEX(FE$4:FE$40,MATCH(ROW()-3,FF$4:FF$40,0)))</f>
        <v/>
      </c>
      <c r="FH31">
        <f>FH30+IF(AND(FG31&lt;&gt;"",COUNTIF(FG$4:FG31,FG31)=1),1,0)</f>
        <v/>
      </c>
      <c r="FI31">
        <f>IF(ROW()-3&gt;MAX(FH$4:FH$40),"",INDEX(FG$4:FG$40,MATCH(ROW()-3,FH$4:FH$40,0)))</f>
        <v/>
      </c>
      <c r="FJ31" s="141">
        <f>IF('Final Calculation Sheet'!$AG$31="","",'Final Calculation Sheet'!$AG$31)</f>
        <v/>
      </c>
      <c r="FK31">
        <f>IF(FJ31="","",COUNTIFS(FJ$4:FJ$40,"&lt;"&amp;FJ31,FJ$4:FJ$40,"&lt;&gt;"&amp;"")+COUNTIF(FJ$4:FJ31,FJ31))</f>
        <v/>
      </c>
      <c r="FL31" s="141">
        <f>IF(ROW()-3&gt;COUNTIF(FJ$4:FJ$40,"&lt;&gt;"&amp;""),"",INDEX(FJ$4:FJ$40,MATCH(ROW()-3,FK$4:FK$40,0)))</f>
        <v/>
      </c>
      <c r="FM31">
        <f>FM30+IF(AND(FL31&lt;&gt;"",COUNTIF(FL$4:FL31,FL31)=1),1,0)</f>
        <v/>
      </c>
      <c r="FN31">
        <f>IF(ROW()-3&gt;MAX(FM$4:FM$40),"",INDEX(FL$4:FL$40,MATCH(ROW()-3,FM$4:FM$40,0)))</f>
        <v/>
      </c>
      <c r="FO31">
        <f>IF('Final Calculation Sheet'!$AH$31="","",'Final Calculation Sheet'!$AH$31)</f>
        <v/>
      </c>
      <c r="FP31">
        <f>IF(FO31="","",COUNTIFS(FO$4:FO$40,"&lt;"&amp;FO31,FO$4:FO$40,"&lt;&gt;"&amp;"")+COUNTIF(FO$4:FO31,FO31))</f>
        <v/>
      </c>
      <c r="FQ31">
        <f>IF(ROW()-3&gt;COUNTIF(FO$4:FO$40,"&lt;&gt;"&amp;""),"",INDEX(FO$4:FO$40,MATCH(ROW()-3,FP$4:FP$40,0)))</f>
        <v/>
      </c>
      <c r="FR31">
        <f>FR30+IF(AND(FQ31&lt;&gt;"",COUNTIF(FQ$4:FQ31,FQ31)=1),1,0)</f>
        <v/>
      </c>
      <c r="FS31">
        <f>IF(ROW()-3&gt;MAX(FR$4:FR$40),"",INDEX(FQ$4:FQ$40,MATCH(ROW()-3,FR$4:FR$40,0)))</f>
        <v/>
      </c>
      <c r="FU31">
        <f>IF(FT31="","",COUNTIFS(FT$4:FT$40,"&lt;"&amp;FT31,FT$4:FT$40,"&lt;&gt;"&amp;"")+COUNTIF(FT$4:FT31,FT31))</f>
        <v/>
      </c>
      <c r="FV31">
        <f>IF(ROW()-3&gt;COUNTIF(FT$4:FT$40,"&lt;&gt;"&amp;""),"",INDEX(FT$4:FT$40,MATCH(ROW()-3,FU$4:FU$40,0)))</f>
        <v/>
      </c>
      <c r="FW31">
        <f>FW30+IF(AND(FV31&lt;&gt;"",COUNTIF(FV$4:FV31,FV31)=1),1,0)</f>
        <v/>
      </c>
      <c r="FX31">
        <f>IF(ROW()-3&gt;MAX(FW$4:FW$40),"",INDEX(FV$4:FV$40,MATCH(ROW()-3,FW$4:FW$40,0)))</f>
        <v/>
      </c>
      <c r="FY31">
        <f>IF(COUNTIF('Live Search'!BM$30:BO$30,0)+COUNTIF('Live Search'!BQ$30:CU$30,0)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1">
        <f>IF($Y$31="",FALSE,SUMPRODUCT(('Final Calculation Sheet'!$B$4:$B$40=$Y$31)*($FY$6:$FY$42=1))&gt;0)</f>
        <v/>
      </c>
      <c r="GA31">
        <f>$GA$30+--($FZ$31)</f>
        <v/>
      </c>
      <c r="GB31">
        <f>IF(ROW()-3&gt;MAX($GA$4:$GA$40),"",INDEX($Y$4:$Y$40,MATCH(ROW()-3,$GA$4:$GA$40,0)))</f>
        <v/>
      </c>
      <c r="GC31">
        <f>IF('Final Calculation Sheet'!$F$31="","",IF(TRIM('Final Calculation Sheet'!$G$2)="",'Final Calculation Sheet'!$F$31,IF(TRIM('Final Calculation Sheet'!$G$2)="(nonblank)",IF('Final Calculation Sheet'!$G$31&lt;&gt;"",'Final Calculation Sheet'!$F$31,""),IF(TRIM('Final Calculation Sheet'!$G$2)="(blank)",IF('Final Calculation Sheet'!$G$31="",'Final Calculation Sheet'!$F$31,""),IF(ISNUMBER(SEARCH(TRIM('Final Calculation Sheet'!$G$2),'Final Calculation Sheet'!$G$31)),'Final Calculation Sheet'!$F$31,"")))))</f>
        <v/>
      </c>
      <c r="GD31">
        <f>IF(GC31="","",COUNTIFS(GC$4:GC$40,"&lt;"&amp;GC31,GC$4:GC$40,"&lt;&gt;"&amp;"")+COUNTIF(GC$4:GC31,GC31))</f>
        <v/>
      </c>
      <c r="GE31">
        <f>IF(ROW()-3&gt;COUNTIF(GC$4:GC$40,"&lt;&gt;"&amp;""),"",INDEX(GC$4:GC$40,MATCH(ROW()-3,GD$4:GD$40,0)))</f>
        <v/>
      </c>
      <c r="GF31">
        <f>GF30+IF(AND(GE31&lt;&gt;"",COUNTIF(GE$4:GE31,GE31)=1),1,0)</f>
        <v/>
      </c>
      <c r="GG31">
        <f>IF(ROW()-3&gt;MAX(GF$4:GF$40),"",INDEX(GE$4:GE$40,MATCH(ROW()-3,GF$4:GF$40,0)))</f>
        <v/>
      </c>
      <c r="GH31">
        <f>IF('Final Calculation Sheet'!$F$31="","",IF('Live Search'!$BO$32=1,'Final Calculation Sheet'!$F$31,""))</f>
        <v/>
      </c>
      <c r="GI31">
        <f>IF(GH31="","",COUNTIFS(GH$4:GH$40,"&lt;"&amp;GH31,GH$4:GH$40,"&lt;&gt;"&amp;"")+COUNTIF(GH$4:GH31,GH31))</f>
        <v/>
      </c>
      <c r="GJ31">
        <f>IF(ROW()-3&gt;COUNTIF(GH$4:GH$40,"&lt;&gt;"&amp;""),"",INDEX(GH$4:GH$40,MATCH(ROW()-3,GI$4:GI$40,0)))</f>
        <v/>
      </c>
      <c r="GK31">
        <f>GK30+IF(AND(GJ31&lt;&gt;"",COUNTIF(GJ$4:GJ31,GJ31)=1),1,0)</f>
        <v/>
      </c>
      <c r="GL31">
        <f>IF(ROW()-3&gt;MAX(GK$4:GK$40),"",INDEX(GJ$4:GJ$40,MATCH(ROW()-3,GK$4:GK$40,0)))</f>
        <v/>
      </c>
      <c r="GM31">
        <f>IF('Final Calculation Sheet'!$F$31="","",IF(TRIM('Buyer Groups'!$C$4)="",'Final Calculation Sheet'!$F$31,IF(TRIM('Buyer Groups'!$C$4)="(nonblank)",IF('Final Calculation Sheet'!$G$31&lt;&gt;"",'Final Calculation Sheet'!$F$31,""),IF(TRIM('Buyer Groups'!$C$4)="(blank)",IF('Final Calculation Sheet'!$G$31="",'Final Calculation Sheet'!$F$31,""),IF(ISNUMBER(SEARCH(TRIM('Buyer Groups'!$C$4),'Final Calculation Sheet'!$G$31)),'Final Calculation Sheet'!$F$31,"")))))</f>
        <v/>
      </c>
      <c r="GN31">
        <f>IF(GM31="","",COUNTIFS(GM$4:GM$40,"&lt;"&amp;GM31,GM$4:GM$40,"&lt;&gt;"&amp;"")+COUNTIF(GM$4:GM31,GM31))</f>
        <v/>
      </c>
      <c r="GO31">
        <f>IF(ROW()-3&gt;COUNTIF(GM$4:GM$40,"&lt;&gt;"&amp;""),"",INDEX(GM$4:GM$40,MATCH(ROW()-3,GN$4:GN$40,0)))</f>
        <v/>
      </c>
      <c r="GP31">
        <f>GP30+IF(AND(GO31&lt;&gt;"",COUNTIF(GO$4:GO31,GO31)=1),1,0)</f>
        <v/>
      </c>
      <c r="GQ31">
        <f>IF(ROW()-3&gt;MAX(GP$4:GP$40),"",INDEX(GO$4:GO$40,MATCH(ROW()-3,GP$4:GP$40,0)))</f>
        <v/>
      </c>
      <c r="GR31">
        <f>IF('Final Calculation Sheet'!$B$31="","",IF(TRIM('Final Calculation Sheet'!$G$2)="",'Final Calculation Sheet'!$B$31,IF(TRIM('Final Calculation Sheet'!$G$2)="(nonblank)",IF('Final Calculation Sheet'!$G$31&lt;&gt;"",'Final Calculation Sheet'!$B$31,""),IF(TRIM('Final Calculation Sheet'!$G$2)="(blank)",IF('Final Calculation Sheet'!$G$31="",'Final Calculation Sheet'!$B$31,""),IF(ISNUMBER(SEARCH(TRIM('Final Calculation Sheet'!$G$2),'Final Calculation Sheet'!$G$31)),'Final Calculation Sheet'!$B$31,"")))))</f>
        <v/>
      </c>
      <c r="GS31">
        <f>IF(GR31="","",COUNTIFS(GR$4:GR$40,"&lt;"&amp;GR31,GR$4:GR$40,"&lt;&gt;"&amp;"")+COUNTIF(GR$4:GR31,GR31))</f>
        <v/>
      </c>
      <c r="GT31">
        <f>IF(ROW()-3&gt;COUNTIF(GR$4:GR$40,"&lt;&gt;"&amp;""),"",INDEX(GR$4:GR$40,MATCH(ROW()-3,GS$4:GS$40,0)))</f>
        <v/>
      </c>
      <c r="GU31">
        <f>GU30+IF(AND(GT31&lt;&gt;"",COUNTIF(GT$4:GT31,GT31)=1),1,0)</f>
        <v/>
      </c>
      <c r="GV31">
        <f>IF(ROW()-3&gt;MAX(GU$4:GU$40),"",INDEX(GT$4:GT$40,MATCH(ROW()-3,GU$4:GU$40,0)))</f>
        <v/>
      </c>
      <c r="GW31">
        <f>IF('Final Calculation Sheet'!$B$31="","",IF(TRIM('Buyer Groups'!$C$4)="",'Final Calculation Sheet'!$B$31,IF(TRIM('Buyer Groups'!$C$4)="(nonblank)",IF('Final Calculation Sheet'!$G$31&lt;&gt;"",'Final Calculation Sheet'!$B$31,""),IF(TRIM('Buyer Groups'!$C$4)="(blank)",IF('Final Calculation Sheet'!$G$31="",'Final Calculation Sheet'!$B$31,""),IF(ISNUMBER(SEARCH(TRIM('Buyer Groups'!$C$4),'Final Calculation Sheet'!$G$31)),'Final Calculation Sheet'!$B$31,"")))))</f>
        <v/>
      </c>
      <c r="GX31">
        <f>IF(GW31="","",COUNTIFS(GW$4:GW$40,"&lt;"&amp;GW31,GW$4:GW$40,"&lt;&gt;"&amp;"")+COUNTIF(GW$4:GW31,GW31))</f>
        <v/>
      </c>
      <c r="GY31">
        <f>IF(ROW()-3&gt;COUNTIF(GW$4:GW$40,"&lt;&gt;"&amp;""),"",INDEX(GW$4:GW$40,MATCH(ROW()-3,GX$4:GX$40,0)))</f>
        <v/>
      </c>
      <c r="GZ31">
        <f>GZ30+IF(AND(GY31&lt;&gt;"",COUNTIF(GY$4:GY31,GY31)=1),1,0)</f>
        <v/>
      </c>
      <c r="HA31">
        <f>IF(ROW()-3&gt;MAX(GZ$4:GZ$40),"",INDEX(GY$4:GY$40,MATCH(ROW()-3,GZ$4:GZ$40,0)))</f>
        <v/>
      </c>
    </row>
    <row r="32">
      <c r="A32">
        <f>IF('Final Calculation Sheet'!$F$32="","",'Final Calculation Sheet'!$F$32)</f>
        <v/>
      </c>
      <c r="B32">
        <f>IF(A32="","",COUNTIFS(A$4:A$114,"&lt;"&amp;A32,A$4:A$114,"&lt;&gt;"&amp;"")+COUNTIF(A$4:A32,A32))</f>
        <v/>
      </c>
      <c r="C32">
        <f>IF(ROW()-3&gt;COUNTIF(A$4:A$114,"&lt;&gt;"&amp;""),"",INDEX(A$4:A$114,MATCH(ROW()-3,B$4:B$114,0)))</f>
        <v/>
      </c>
      <c r="D32">
        <f>D31+IF(AND(C32&lt;&gt;"",COUNTIF(C$4:C32,C32)=1),1,0)</f>
        <v/>
      </c>
      <c r="E32">
        <f>IF(ROW()-3&gt;MAX(D$4:D$114),"",INDEX(C$4:C$114,MATCH(ROW()-3,D$4:D$114,0)))</f>
        <v/>
      </c>
      <c r="F32">
        <f>ROW()-3</f>
        <v/>
      </c>
      <c r="G32">
        <f>IF(F32="","",COUNTIFS(F$4:F$40,"&lt;"&amp;F32,F$4:F$40,"&lt;&gt;"&amp;"")+COUNTIF(F$4:F32,F32))</f>
        <v/>
      </c>
      <c r="H32">
        <f>IF(ROW()-3&gt;COUNTIF(F$4:F$40,"&lt;&gt;"&amp;""),"",INDEX(F$4:F$40,MATCH(ROW()-3,G$4:G$40,0)))</f>
        <v/>
      </c>
      <c r="I32">
        <f>I31+IF(AND(H32&lt;&gt;"",COUNTIF(H$4:H32,H32)=1),1,0)</f>
        <v/>
      </c>
      <c r="J32">
        <f>IF(ROW()-3&gt;MAX(I$4:I$40),"",INDEX(H$4:H$40,MATCH(ROW()-3,I$4:I$40,0)))</f>
        <v/>
      </c>
      <c r="K32">
        <f>IF('Final Calculation Sheet'!$F$32="","",'Final Calculation Sheet'!$F$32)</f>
        <v/>
      </c>
      <c r="L32">
        <f>IF(K32="","",COUNTIFS(K$4:K$40,"&lt;"&amp;K32,K$4:K$40,"&lt;&gt;"&amp;"")+COUNTIF(K$4:K32,K32))</f>
        <v/>
      </c>
      <c r="M32">
        <f>IF(ROW()-3&gt;COUNTIF(K$4:K$40,"&lt;&gt;"&amp;""),"",INDEX(K$4:K$40,MATCH(ROW()-3,L$4:L$40,0)))</f>
        <v/>
      </c>
      <c r="N32">
        <f>N31+IF(AND(M32&lt;&gt;"",COUNTIF(M$4:M32,M32)=1),1,0)</f>
        <v/>
      </c>
      <c r="O32">
        <f>IF(ROW()-3&gt;MAX(N$4:N$40),"",INDEX(M$4:M$40,MATCH(ROW()-3,N$4:N$40,0)))</f>
        <v/>
      </c>
      <c r="P32">
        <f>IF('Final Calculation Sheet'!$G$32="","",'Final Calculation Sheet'!$G$32)</f>
        <v/>
      </c>
      <c r="Q32">
        <f>IF(P32="","",COUNTIFS(P$4:P$40,"&lt;"&amp;P32,P$4:P$40,"&lt;&gt;"&amp;"")+COUNTIF(P$4:P32,P32))</f>
        <v/>
      </c>
      <c r="R32">
        <f>IF(ROW()-3&gt;COUNTIF(P$4:P$40,"&lt;&gt;"&amp;""),"",INDEX(P$4:P$40,MATCH(ROW()-3,Q$4:Q$40,0)))</f>
        <v/>
      </c>
      <c r="S32">
        <f>S31+IF(AND(R32&lt;&gt;"",COUNTIF(R$4:R32,R32)=1),1,0)</f>
        <v/>
      </c>
      <c r="T32">
        <f>IF(ROW()-3&gt;MAX(S$4:S$40),"",INDEX(R$4:R$40,MATCH(ROW()-3,S$4:S$40,0)))</f>
        <v/>
      </c>
      <c r="U32">
        <f>IF('Final Calculation Sheet'!$B$32="","",'Final Calculation Sheet'!$B$32)</f>
        <v/>
      </c>
      <c r="V32">
        <f>IF(U32="","",COUNTIFS(U$4:U$40,"&lt;"&amp;U32,U$4:U$40,"&lt;&gt;"&amp;"")+COUNTIF(U$4:U32,U32))</f>
        <v/>
      </c>
      <c r="W32">
        <f>IF(ROW()-3&gt;COUNTIF(U$4:U$40,"&lt;&gt;"&amp;""),"",INDEX(U$4:U$40,MATCH(ROW()-3,V$4:V$40,0)))</f>
        <v/>
      </c>
      <c r="X32">
        <f>X31+IF(AND(W32&lt;&gt;"",COUNTIF(W$4:W32,W32)=1),1,0)</f>
        <v/>
      </c>
      <c r="Y32">
        <f>IF(ROW()-3&gt;MAX(X$4:X$40),"",INDEX(W$4:W$40,MATCH(ROW()-3,X$4:X$40,0)))</f>
        <v/>
      </c>
      <c r="Z32">
        <f>IF('Final Calculation Sheet'!$D$32="","",'Final Calculation Sheet'!$D$32)</f>
        <v/>
      </c>
      <c r="AA32">
        <f>IF(Z32="","",COUNTIFS(Z$4:Z$40,"&lt;"&amp;Z32,Z$4:Z$40,"&lt;&gt;"&amp;"")+COUNTIF(Z$4:Z32,Z32))</f>
        <v/>
      </c>
      <c r="AB32">
        <f>IF(ROW()-3&gt;COUNTIF(Z$4:Z$40,"&lt;&gt;"&amp;""),"",INDEX(Z$4:Z$40,MATCH(ROW()-3,AA$4:AA$40,0)))</f>
        <v/>
      </c>
      <c r="AC32">
        <f>AC31+IF(AND(AB32&lt;&gt;"",COUNTIF(AB$4:AB32,AB32)=1),1,0)</f>
        <v/>
      </c>
      <c r="AD32">
        <f>IF(ROW()-3&gt;MAX(AC$4:AC$40),"",INDEX(AB$4:AB$40,MATCH(ROW()-3,AC$4:AC$40,0)))</f>
        <v/>
      </c>
      <c r="AE32">
        <f>IF('Final Calculation Sheet'!$A$32="","",'Final Calculation Sheet'!$A$32)</f>
        <v/>
      </c>
      <c r="AF32">
        <f>IF(AE32="","",COUNTIFS(AE$4:AE$40,"&lt;"&amp;AE32,AE$4:AE$40,"&lt;&gt;"&amp;"")+COUNTIF(AE$4:AE32,AE32))</f>
        <v/>
      </c>
      <c r="AG32">
        <f>IF(ROW()-3&gt;COUNTIF(AE$4:AE$40,"&lt;&gt;"&amp;""),"",INDEX(AE$4:AE$40,MATCH(ROW()-3,AF$4:AF$40,0)))</f>
        <v/>
      </c>
      <c r="AH32">
        <f>AH31+IF(AND(AG32&lt;&gt;"",COUNTIF(AG$4:AG32,AG32)=1),1,0)</f>
        <v/>
      </c>
      <c r="AI32">
        <f>IF(ROW()-3&gt;MAX(AH$4:AH$40),"",INDEX(AG$4:AG$40,MATCH(ROW()-3,AH$4:AH$40,0)))</f>
        <v/>
      </c>
      <c r="AJ32">
        <f>IF('Final Calculation Sheet'!$E$32="","",'Final Calculation Sheet'!$E$32)</f>
        <v/>
      </c>
      <c r="AK32">
        <f>IF(AJ32="","",COUNTIFS(AJ$4:AJ$40,"&lt;"&amp;AJ32,AJ$4:AJ$40,"&lt;&gt;"&amp;"")+COUNTIF(AJ$4:AJ32,AJ32))</f>
        <v/>
      </c>
      <c r="AL32">
        <f>IF(ROW()-3&gt;COUNTIF(AJ$4:AJ$40,"&lt;&gt;"&amp;""),"",INDEX(AJ$4:AJ$40,MATCH(ROW()-3,AK$4:AK$40,0)))</f>
        <v/>
      </c>
      <c r="AM32">
        <f>AM31+IF(AND(AL32&lt;&gt;"",COUNTIF(AL$4:AL32,AL32)=1),1,0)</f>
        <v/>
      </c>
      <c r="AN32">
        <f>IF(ROW()-3&gt;MAX(AM$4:AM$40),"",INDEX(AL$4:AL$40,MATCH(ROW()-3,AM$4:AM$40,0)))</f>
        <v/>
      </c>
      <c r="AO32" s="55">
        <f>IF('Final Calculation Sheet'!$C$32="","",'Final Calculation Sheet'!$C$32)</f>
        <v/>
      </c>
      <c r="AP32">
        <f>IF(AO32="","",COUNTIFS(AO$4:AO$40,"&lt;"&amp;AO32,AO$4:AO$40,"&lt;&gt;"&amp;"")+COUNTIF(AO$4:AO32,AO32))</f>
        <v/>
      </c>
      <c r="AQ32" s="55">
        <f>IF(ROW()-3&gt;COUNTIF(AO$4:AO$40,"&lt;&gt;"&amp;""),"",INDEX(AO$4:AO$40,MATCH(ROW()-3,AP$4:AP$40,0)))</f>
        <v/>
      </c>
      <c r="AR32">
        <f>AR31+IF(AND(AQ32&lt;&gt;"",COUNTIF(AQ$4:AQ32,AQ32)=1),1,0)</f>
        <v/>
      </c>
      <c r="AS32" s="55">
        <f>IF(ROW()-3&gt;MAX(AR$4:AR$40),"",INDEX(AQ$4:AQ$40,MATCH(ROW()-3,AR$4:AR$40,0)))</f>
        <v/>
      </c>
      <c r="AT32" s="55">
        <f>IF('Final Calculation Sheet'!$H$32="","",'Final Calculation Sheet'!$H$32)</f>
        <v/>
      </c>
      <c r="AU32">
        <f>IF(AT32="","",COUNTIFS(AT$4:AT$40,"&lt;"&amp;AT32,AT$4:AT$40,"&lt;&gt;"&amp;"")+COUNTIF(AT$4:AT32,AT32))</f>
        <v/>
      </c>
      <c r="AV32" s="55">
        <f>IF(ROW()-3&gt;COUNTIF(AT$4:AT$40,"&lt;&gt;"&amp;""),"",INDEX(AT$4:AT$40,MATCH(ROW()-3,AU$4:AU$40,0)))</f>
        <v/>
      </c>
      <c r="AW32">
        <f>AW31+IF(AND(AV32&lt;&gt;"",COUNTIF(AV$4:AV32,AV32)=1),1,0)</f>
        <v/>
      </c>
      <c r="AX32" s="55">
        <f>IF(ROW()-3&gt;MAX(AW$4:AW$40),"",INDEX(AV$4:AV$40,MATCH(ROW()-3,AW$4:AW$40,0)))</f>
        <v/>
      </c>
      <c r="AY32" s="55">
        <f>IF('Final Calculation Sheet'!$I$32="","",'Final Calculation Sheet'!$I$32)</f>
        <v/>
      </c>
      <c r="AZ32">
        <f>IF(AY32="","",COUNTIFS(AY$4:AY$40,"&lt;"&amp;AY32,AY$4:AY$40,"&lt;&gt;"&amp;"")+COUNTIF(AY$4:AY32,AY32))</f>
        <v/>
      </c>
      <c r="BA32" s="55">
        <f>IF(ROW()-3&gt;COUNTIF(AY$4:AY$40,"&lt;&gt;"&amp;""),"",INDEX(AY$4:AY$40,MATCH(ROW()-3,AZ$4:AZ$40,0)))</f>
        <v/>
      </c>
      <c r="BB32">
        <f>BB31+IF(AND(BA32&lt;&gt;"",COUNTIF(BA$4:BA32,BA32)=1),1,0)</f>
        <v/>
      </c>
      <c r="BC32" s="55">
        <f>IF(ROW()-3&gt;MAX(BB$4:BB$40),"",INDEX(BA$4:BA$40,MATCH(ROW()-3,BB$4:BB$40,0)))</f>
        <v/>
      </c>
      <c r="BD32" s="55">
        <f>IF('Final Calculation Sheet'!$J$32="","",'Final Calculation Sheet'!$J$32)</f>
        <v/>
      </c>
      <c r="BE32">
        <f>IF(BD32="","",COUNTIFS(BD$4:BD$40,"&lt;"&amp;BD32,BD$4:BD$40,"&lt;&gt;"&amp;"")+COUNTIF(BD$4:BD32,BD32))</f>
        <v/>
      </c>
      <c r="BF32" s="55">
        <f>IF(ROW()-3&gt;COUNTIF(BD$4:BD$40,"&lt;&gt;"&amp;""),"",INDEX(BD$4:BD$40,MATCH(ROW()-3,BE$4:BE$40,0)))</f>
        <v/>
      </c>
      <c r="BG32">
        <f>BG31+IF(AND(BF32&lt;&gt;"",COUNTIF(BF$4:BF32,BF32)=1),1,0)</f>
        <v/>
      </c>
      <c r="BH32" s="55">
        <f>IF(ROW()-3&gt;MAX(BG$4:BG$40),"",INDEX(BF$4:BF$40,MATCH(ROW()-3,BG$4:BG$40,0)))</f>
        <v/>
      </c>
      <c r="BI32" s="55">
        <f>IF('Final Calculation Sheet'!$K$32="","",'Final Calculation Sheet'!$K$32)</f>
        <v/>
      </c>
      <c r="BJ32">
        <f>IF(BI32="","",COUNTIFS(BI$4:BI$40,"&lt;"&amp;BI32,BI$4:BI$40,"&lt;&gt;"&amp;"")+COUNTIF(BI$4:BI32,BI32))</f>
        <v/>
      </c>
      <c r="BK32" s="55">
        <f>IF(ROW()-3&gt;COUNTIF(BI$4:BI$40,"&lt;&gt;"&amp;""),"",INDEX(BI$4:BI$40,MATCH(ROW()-3,BJ$4:BJ$40,0)))</f>
        <v/>
      </c>
      <c r="BL32">
        <f>BL31+IF(AND(BK32&lt;&gt;"",COUNTIF(BK$4:BK32,BK32)=1),1,0)</f>
        <v/>
      </c>
      <c r="BM32" s="55">
        <f>IF(ROW()-3&gt;MAX(BL$4:BL$40),"",INDEX(BK$4:BK$40,MATCH(ROW()-3,BL$4:BL$40,0)))</f>
        <v/>
      </c>
      <c r="BN32" s="55">
        <f>IF('Final Calculation Sheet'!$L$32="","",'Final Calculation Sheet'!$L$32)</f>
        <v/>
      </c>
      <c r="BO32">
        <f>IF(BN32="","",COUNTIFS(BN$4:BN$40,"&lt;"&amp;BN32,BN$4:BN$40,"&lt;&gt;"&amp;"")+COUNTIF(BN$4:BN32,BN32))</f>
        <v/>
      </c>
      <c r="BP32" s="55">
        <f>IF(ROW()-3&gt;COUNTIF(BN$4:BN$40,"&lt;&gt;"&amp;""),"",INDEX(BN$4:BN$40,MATCH(ROW()-3,BO$4:BO$40,0)))</f>
        <v/>
      </c>
      <c r="BQ32">
        <f>BQ31+IF(AND(BP32&lt;&gt;"",COUNTIF(BP$4:BP32,BP32)=1),1,0)</f>
        <v/>
      </c>
      <c r="BR32" s="55">
        <f>IF(ROW()-3&gt;MAX(BQ$4:BQ$40),"",INDEX(BP$4:BP$40,MATCH(ROW()-3,BQ$4:BQ$40,0)))</f>
        <v/>
      </c>
      <c r="BS32" s="55">
        <f>IF('Final Calculation Sheet'!$M$32="","",'Final Calculation Sheet'!$M$32)</f>
        <v/>
      </c>
      <c r="BT32">
        <f>IF(BS32="","",COUNTIFS(BS$4:BS$40,"&lt;"&amp;BS32,BS$4:BS$40,"&lt;&gt;"&amp;"")+COUNTIF(BS$4:BS32,BS32))</f>
        <v/>
      </c>
      <c r="BU32" s="55">
        <f>IF(ROW()-3&gt;COUNTIF(BS$4:BS$40,"&lt;&gt;"&amp;""),"",INDEX(BS$4:BS$40,MATCH(ROW()-3,BT$4:BT$40,0)))</f>
        <v/>
      </c>
      <c r="BV32">
        <f>BV31+IF(AND(BU32&lt;&gt;"",COUNTIF(BU$4:BU32,BU32)=1),1,0)</f>
        <v/>
      </c>
      <c r="BW32" s="55">
        <f>IF(ROW()-3&gt;MAX(BV$4:BV$40),"",INDEX(BU$4:BU$40,MATCH(ROW()-3,BV$4:BV$40,0)))</f>
        <v/>
      </c>
      <c r="BX32" s="138">
        <f>IF('Final Calculation Sheet'!$N$32="","",'Final Calculation Sheet'!$N$32)</f>
        <v/>
      </c>
      <c r="BY32">
        <f>IF(BX32="","",COUNTIFS(BX$4:BX$40,"&lt;"&amp;BX32,BX$4:BX$40,"&lt;&gt;"&amp;"")+COUNTIF(BX$4:BX32,BX32))</f>
        <v/>
      </c>
      <c r="BZ32" s="138">
        <f>IF(ROW()-3&gt;COUNTIF(BX$4:BX$40,"&lt;&gt;"&amp;""),"",INDEX(BX$4:BX$40,MATCH(ROW()-3,BY$4:BY$40,0)))</f>
        <v/>
      </c>
      <c r="CA32">
        <f>CA31+IF(AND(BZ32&lt;&gt;"",COUNTIF(BZ$4:BZ32,BZ32)=1),1,0)</f>
        <v/>
      </c>
      <c r="CB32" s="138">
        <f>IF(ROW()-3&gt;MAX(CA$4:CA$40),"",INDEX(BZ$4:BZ$40,MATCH(ROW()-3,CA$4:CA$40,0)))</f>
        <v/>
      </c>
      <c r="CC32" s="55">
        <f>IF('Final Calculation Sheet'!$O$32="","",'Final Calculation Sheet'!$O$32)</f>
        <v/>
      </c>
      <c r="CD32">
        <f>IF(CC32="","",COUNTIFS(CC$4:CC$40,"&lt;"&amp;CC32,CC$4:CC$40,"&lt;&gt;"&amp;"")+COUNTIF(CC$4:CC32,CC32))</f>
        <v/>
      </c>
      <c r="CE32" s="55">
        <f>IF(ROW()-3&gt;COUNTIF(CC$4:CC$40,"&lt;&gt;"&amp;""),"",INDEX(CC$4:CC$40,MATCH(ROW()-3,CD$4:CD$40,0)))</f>
        <v/>
      </c>
      <c r="CF32">
        <f>CF31+IF(AND(CE32&lt;&gt;"",COUNTIF(CE$4:CE32,CE32)=1),1,0)</f>
        <v/>
      </c>
      <c r="CG32" s="55">
        <f>IF(ROW()-3&gt;MAX(CF$4:CF$40),"",INDEX(CE$4:CE$40,MATCH(ROW()-3,CF$4:CF$40,0)))</f>
        <v/>
      </c>
      <c r="CH32" s="55">
        <f>IF('Final Calculation Sheet'!$P$32="","",'Final Calculation Sheet'!$P$32)</f>
        <v/>
      </c>
      <c r="CI32">
        <f>IF(CH32="","",COUNTIFS(CH$4:CH$40,"&lt;"&amp;CH32,CH$4:CH$40,"&lt;&gt;"&amp;"")+COUNTIF(CH$4:CH32,CH32))</f>
        <v/>
      </c>
      <c r="CJ32" s="55">
        <f>IF(ROW()-3&gt;COUNTIF(CH$4:CH$40,"&lt;&gt;"&amp;""),"",INDEX(CH$4:CH$40,MATCH(ROW()-3,CI$4:CI$40,0)))</f>
        <v/>
      </c>
      <c r="CK32">
        <f>CK31+IF(AND(CJ32&lt;&gt;"",COUNTIF(CJ$4:CJ32,CJ32)=1),1,0)</f>
        <v/>
      </c>
      <c r="CL32" s="55">
        <f>IF(ROW()-3&gt;MAX(CK$4:CK$40),"",INDEX(CJ$4:CJ$40,MATCH(ROW()-3,CK$4:CK$40,0)))</f>
        <v/>
      </c>
      <c r="CM32" s="139">
        <f>IF('Final Calculation Sheet'!$Q$32="","",'Final Calculation Sheet'!$Q$32)</f>
        <v/>
      </c>
      <c r="CN32">
        <f>IF(CM32="","",COUNTIFS(CM$4:CM$40,"&lt;"&amp;CM32,CM$4:CM$40,"&lt;&gt;"&amp;"")+COUNTIF(CM$4:CM32,CM32))</f>
        <v/>
      </c>
      <c r="CO32" s="139">
        <f>IF(ROW()-3&gt;COUNTIF(CM$4:CM$40,"&lt;&gt;"&amp;""),"",INDEX(CM$4:CM$40,MATCH(ROW()-3,CN$4:CN$40,0)))</f>
        <v/>
      </c>
      <c r="CP32">
        <f>CP31+IF(AND(CO32&lt;&gt;"",COUNTIF(CO$4:CO32,CO32)=1),1,0)</f>
        <v/>
      </c>
      <c r="CQ32">
        <f>IF(ROW()-3&gt;MAX(CP$4:CP$40),"",INDEX(CO$4:CO$40,MATCH(ROW()-3,CP$4:CP$40,0)))</f>
        <v/>
      </c>
      <c r="CR32" s="55">
        <f>IF('Final Calculation Sheet'!$R$32="","",'Final Calculation Sheet'!$R$32)</f>
        <v/>
      </c>
      <c r="CS32">
        <f>IF(CR32="","",COUNTIFS(CR$4:CR$40,"&lt;"&amp;CR32,CR$4:CR$40,"&lt;&gt;"&amp;"")+COUNTIF(CR$4:CR32,CR32))</f>
        <v/>
      </c>
      <c r="CT32" s="55">
        <f>IF(ROW()-3&gt;COUNTIF(CR$4:CR$40,"&lt;&gt;"&amp;""),"",INDEX(CR$4:CR$40,MATCH(ROW()-3,CS$4:CS$40,0)))</f>
        <v/>
      </c>
      <c r="CU32">
        <f>CU31+IF(AND(CT32&lt;&gt;"",COUNTIF(CT$4:CT32,CT32)=1),1,0)</f>
        <v/>
      </c>
      <c r="CV32">
        <f>IF(ROW()-3&gt;MAX(CU$4:CU$40),"",INDEX(CT$4:CT$40,MATCH(ROW()-3,CU$4:CU$40,0)))</f>
        <v/>
      </c>
      <c r="CW32" s="55">
        <f>IF('Final Calculation Sheet'!$S$32="","",'Final Calculation Sheet'!$S$32)</f>
        <v/>
      </c>
      <c r="CX32">
        <f>IF(CW32="","",COUNTIFS(CW$4:CW$40,"&lt;"&amp;CW32,CW$4:CW$40,"&lt;&gt;"&amp;"")+COUNTIF(CW$4:CW32,CW32))</f>
        <v/>
      </c>
      <c r="CY32" s="55">
        <f>IF(ROW()-3&gt;COUNTIF(CW$4:CW$40,"&lt;&gt;"&amp;""),"",INDEX(CW$4:CW$40,MATCH(ROW()-3,CX$4:CX$40,0)))</f>
        <v/>
      </c>
      <c r="CZ32">
        <f>CZ31+IF(AND(CY32&lt;&gt;"",COUNTIF(CY$4:CY32,CY32)=1),1,0)</f>
        <v/>
      </c>
      <c r="DA32" s="55">
        <f>IF(ROW()-3&gt;MAX(CZ$4:CZ$40),"",INDEX(CY$4:CY$40,MATCH(ROW()-3,CZ$4:CZ$40,0)))</f>
        <v/>
      </c>
      <c r="DB32" s="55">
        <f>IF('Final Calculation Sheet'!$T$32="","",'Final Calculation Sheet'!$T$32)</f>
        <v/>
      </c>
      <c r="DC32">
        <f>IF(DB32="","",COUNTIFS(DB$4:DB$40,"&lt;"&amp;DB32,DB$4:DB$40,"&lt;&gt;"&amp;"")+COUNTIF(DB$4:DB32,DB32))</f>
        <v/>
      </c>
      <c r="DD32" s="55">
        <f>IF(ROW()-3&gt;COUNTIF(DB$4:DB$40,"&lt;&gt;"&amp;""),"",INDEX(DB$4:DB$40,MATCH(ROW()-3,DC$4:DC$40,0)))</f>
        <v/>
      </c>
      <c r="DE32">
        <f>DE31+IF(AND(DD32&lt;&gt;"",COUNTIF(DD$4:DD32,DD32)=1),1,0)</f>
        <v/>
      </c>
      <c r="DF32" s="55">
        <f>IF(ROW()-3&gt;MAX(DE$4:DE$40),"",INDEX(DD$4:DD$40,MATCH(ROW()-3,DE$4:DE$40,0)))</f>
        <v/>
      </c>
      <c r="DG32" s="140">
        <f>IF('Final Calculation Sheet'!$U$32="","",'Final Calculation Sheet'!$U$32)</f>
        <v/>
      </c>
      <c r="DH32">
        <f>IF(DG32="","",COUNTIFS(DG$4:DG$40,"&lt;"&amp;DG32,DG$4:DG$40,"&lt;&gt;"&amp;"")+COUNTIF(DG$4:DG32,DG32))</f>
        <v/>
      </c>
      <c r="DI32" s="140">
        <f>IF(ROW()-3&gt;COUNTIF(DG$4:DG$40,"&lt;&gt;"&amp;""),"",INDEX(DG$4:DG$40,MATCH(ROW()-3,DH$4:DH$40,0)))</f>
        <v/>
      </c>
      <c r="DJ32">
        <f>DJ31+IF(AND(DI32&lt;&gt;"",COUNTIF(DI$4:DI32,DI32)=1),1,0)</f>
        <v/>
      </c>
      <c r="DK32" s="140">
        <f>IF(ROW()-3&gt;MAX(DJ$4:DJ$40),"",INDEX(DI$4:DI$40,MATCH(ROW()-3,DJ$4:DJ$40,0)))</f>
        <v/>
      </c>
      <c r="DL32">
        <f>IF('Final Calculation Sheet'!$V$32="","",'Final Calculation Sheet'!$V$32)</f>
        <v/>
      </c>
      <c r="DM32">
        <f>IF(DL32="","",COUNTIFS(DL$4:DL$40,"&lt;"&amp;DL32,DL$4:DL$40,"&lt;&gt;"&amp;"")+COUNTIF(DL$4:DL32,DL32))</f>
        <v/>
      </c>
      <c r="DN32">
        <f>IF(ROW()-3&gt;COUNTIF(DL$4:DL$40,"&lt;&gt;"&amp;""),"",INDEX(DL$4:DL$40,MATCH(ROW()-3,DM$4:DM$40,0)))</f>
        <v/>
      </c>
      <c r="DO32">
        <f>DO31+IF(AND(DN32&lt;&gt;"",COUNTIF(DN$4:DN32,DN32)=1),1,0)</f>
        <v/>
      </c>
      <c r="DP32">
        <f>IF(ROW()-3&gt;MAX(DO$4:DO$40),"",INDEX(DN$4:DN$40,MATCH(ROW()-3,DO$4:DO$40,0)))</f>
        <v/>
      </c>
      <c r="DQ32" s="55">
        <f>IF('Final Calculation Sheet'!$W$32="","",'Final Calculation Sheet'!$W$32)</f>
        <v/>
      </c>
      <c r="DR32">
        <f>IF(DQ32="","",COUNTIFS(DQ$4:DQ$40,"&lt;"&amp;DQ32,DQ$4:DQ$40,"&lt;&gt;"&amp;"")+COUNTIF(DQ$4:DQ32,DQ32))</f>
        <v/>
      </c>
      <c r="DS32" s="55">
        <f>IF(ROW()-3&gt;COUNTIF(DQ$4:DQ$40,"&lt;&gt;"&amp;""),"",INDEX(DQ$4:DQ$40,MATCH(ROW()-3,DR$4:DR$40,0)))</f>
        <v/>
      </c>
      <c r="DT32">
        <f>DT31+IF(AND(DS32&lt;&gt;"",COUNTIF(DS$4:DS32,DS32)=1),1,0)</f>
        <v/>
      </c>
      <c r="DU32" s="55">
        <f>IF(ROW()-3&gt;MAX(DT$4:DT$40),"",INDEX(DS$4:DS$40,MATCH(ROW()-3,DT$4:DT$40,0)))</f>
        <v/>
      </c>
      <c r="DV32" s="55">
        <f>IF('Final Calculation Sheet'!$X$32="","",'Final Calculation Sheet'!$X$32)</f>
        <v/>
      </c>
      <c r="DW32">
        <f>IF(DV32="","",COUNTIFS(DV$4:DV$40,"&lt;"&amp;DV32,DV$4:DV$40,"&lt;&gt;"&amp;"")+COUNTIF(DV$4:DV32,DV32))</f>
        <v/>
      </c>
      <c r="DX32" s="55">
        <f>IF(ROW()-3&gt;COUNTIF(DV$4:DV$40,"&lt;&gt;"&amp;""),"",INDEX(DV$4:DV$40,MATCH(ROW()-3,DW$4:DW$40,0)))</f>
        <v/>
      </c>
      <c r="DY32">
        <f>DY31+IF(AND(DX32&lt;&gt;"",COUNTIF(DX$4:DX32,DX32)=1),1,0)</f>
        <v/>
      </c>
      <c r="DZ32">
        <f>IF(ROW()-3&gt;MAX(DY$4:DY$40),"",INDEX(DX$4:DX$40,MATCH(ROW()-3,DY$4:DY$40,0)))</f>
        <v/>
      </c>
      <c r="EA32">
        <f>IF('Final Calculation Sheet'!$Y$32="","",'Final Calculation Sheet'!$Y$32)</f>
        <v/>
      </c>
      <c r="EB32">
        <f>IF(EA32="","",COUNTIFS(EA$4:EA$40,"&lt;"&amp;EA32,EA$4:EA$40,"&lt;&gt;"&amp;"")+COUNTIF(EA$4:EA32,EA32))</f>
        <v/>
      </c>
      <c r="EC32">
        <f>IF(ROW()-3&gt;COUNTIF(EA$4:EA$40,"&lt;&gt;"&amp;""),"",INDEX(EA$4:EA$40,MATCH(ROW()-3,EB$4:EB$40,0)))</f>
        <v/>
      </c>
      <c r="ED32">
        <f>ED31+IF(AND(EC32&lt;&gt;"",COUNTIF(EC$4:EC32,EC32)=1),1,0)</f>
        <v/>
      </c>
      <c r="EE32">
        <f>IF(ROW()-3&gt;MAX(ED$4:ED$40),"",INDEX(EC$4:EC$40,MATCH(ROW()-3,ED$4:ED$40,0)))</f>
        <v/>
      </c>
      <c r="EF32" s="55">
        <f>IF('Final Calculation Sheet'!$Z$32="","",'Final Calculation Sheet'!$Z$32)</f>
        <v/>
      </c>
      <c r="EG32">
        <f>IF(EF32="","",COUNTIFS(EF$4:EF$40,"&lt;"&amp;EF32,EF$4:EF$40,"&lt;&gt;"&amp;"")+COUNTIF(EF$4:EF32,EF32))</f>
        <v/>
      </c>
      <c r="EH32" s="55">
        <f>IF(ROW()-3&gt;COUNTIF(EF$4:EF$40,"&lt;&gt;"&amp;""),"",INDEX(EF$4:EF$40,MATCH(ROW()-3,EG$4:EG$40,0)))</f>
        <v/>
      </c>
      <c r="EI32">
        <f>EI31+IF(AND(EH32&lt;&gt;"",COUNTIF(EH$4:EH32,EH32)=1),1,0)</f>
        <v/>
      </c>
      <c r="EJ32">
        <f>IF(ROW()-3&gt;MAX(EI$4:EI$40),"",INDEX(EH$4:EH$40,MATCH(ROW()-3,EI$4:EI$40,0)))</f>
        <v/>
      </c>
      <c r="EK32">
        <f>IF('Final Calculation Sheet'!$AA$32="","",'Final Calculation Sheet'!$AA$32)</f>
        <v/>
      </c>
      <c r="EL32">
        <f>IF(EK32="","",COUNTIFS(EK$4:EK$40,"&lt;"&amp;EK32,EK$4:EK$40,"&lt;&gt;"&amp;"")+COUNTIF(EK$4:EK32,EK32))</f>
        <v/>
      </c>
      <c r="EM32">
        <f>IF(ROW()-3&gt;COUNTIF(EK$4:EK$40,"&lt;&gt;"&amp;""),"",INDEX(EK$4:EK$40,MATCH(ROW()-3,EL$4:EL$40,0)))</f>
        <v/>
      </c>
      <c r="EN32">
        <f>EN31+IF(AND(EM32&lt;&gt;"",COUNTIF(EM$4:EM32,EM32)=1),1,0)</f>
        <v/>
      </c>
      <c r="EO32">
        <f>IF(ROW()-3&gt;MAX(EN$4:EN$40),"",INDEX(EM$4:EM$40,MATCH(ROW()-3,EN$4:EN$40,0)))</f>
        <v/>
      </c>
      <c r="EP32">
        <f>IF('Final Calculation Sheet'!$AB$32="","",'Final Calculation Sheet'!$AB$32)</f>
        <v/>
      </c>
      <c r="EQ32">
        <f>IF(EP32="","",COUNTIFS(EP$4:EP$40,"&lt;"&amp;EP32,EP$4:EP$40,"&lt;&gt;"&amp;"")+COUNTIF(EP$4:EP32,EP32))</f>
        <v/>
      </c>
      <c r="ER32">
        <f>IF(ROW()-3&gt;COUNTIF(EP$4:EP$40,"&lt;&gt;"&amp;""),"",INDEX(EP$4:EP$40,MATCH(ROW()-3,EQ$4:EQ$40,0)))</f>
        <v/>
      </c>
      <c r="ES32">
        <f>ES31+IF(AND(ER32&lt;&gt;"",COUNTIF(ER$4:ER32,ER32)=1),1,0)</f>
        <v/>
      </c>
      <c r="ET32">
        <f>IF(ROW()-3&gt;MAX(ES$4:ES$40),"",INDEX(ER$4:ER$40,MATCH(ROW()-3,ES$4:ES$40,0)))</f>
        <v/>
      </c>
      <c r="EU32" s="55">
        <f>IF('Final Calculation Sheet'!$AC$32="","",'Final Calculation Sheet'!$AC$32)</f>
        <v/>
      </c>
      <c r="EV32">
        <f>IF(EU32="","",COUNTIFS(EU$4:EU$40,"&lt;"&amp;EU32,EU$4:EU$40,"&lt;&gt;"&amp;"")+COUNTIF(EU$4:EU32,EU32))</f>
        <v/>
      </c>
      <c r="EW32" s="55">
        <f>IF(ROW()-3&gt;COUNTIF(EU$4:EU$40,"&lt;&gt;"&amp;""),"",INDEX(EU$4:EU$40,MATCH(ROW()-3,EV$4:EV$40,0)))</f>
        <v/>
      </c>
      <c r="EX32">
        <f>EX31+IF(AND(EW32&lt;&gt;"",COUNTIF(EW$4:EW32,EW32)=1),1,0)</f>
        <v/>
      </c>
      <c r="EY32" s="55">
        <f>IF(ROW()-3&gt;MAX(EX$4:EX$40),"",INDEX(EW$4:EW$40,MATCH(ROW()-3,EX$4:EX$40,0)))</f>
        <v/>
      </c>
      <c r="EZ32" s="55">
        <f>IF('Final Calculation Sheet'!$AD$32="","",'Final Calculation Sheet'!$AD$32)</f>
        <v/>
      </c>
      <c r="FA32">
        <f>IF(EZ32="","",COUNTIFS(EZ$4:EZ$40,"&lt;"&amp;EZ32,EZ$4:EZ$40,"&lt;&gt;"&amp;"")+COUNTIF(EZ$4:EZ32,EZ32))</f>
        <v/>
      </c>
      <c r="FB32" s="55">
        <f>IF(ROW()-3&gt;COUNTIF(EZ$4:EZ$40,"&lt;&gt;"&amp;""),"",INDEX(EZ$4:EZ$40,MATCH(ROW()-3,FA$4:FA$40,0)))</f>
        <v/>
      </c>
      <c r="FC32">
        <f>FC31+IF(AND(FB32&lt;&gt;"",COUNTIF(FB$4:FB32,FB32)=1),1,0)</f>
        <v/>
      </c>
      <c r="FD32">
        <f>IF(ROW()-3&gt;MAX(FC$4:FC$40),"",INDEX(FB$4:FB$40,MATCH(ROW()-3,FC$4:FC$40,0)))</f>
        <v/>
      </c>
      <c r="FE32">
        <f>IF('Final Calculation Sheet'!$AF$32="","",'Final Calculation Sheet'!$AF$32)</f>
        <v/>
      </c>
      <c r="FF32">
        <f>IF(FE32="","",COUNTIFS(FE$4:FE$40,"&lt;"&amp;FE32,FE$4:FE$40,"&lt;&gt;"&amp;"")+COUNTIF(FE$4:FE32,FE32))</f>
        <v/>
      </c>
      <c r="FG32">
        <f>IF(ROW()-3&gt;COUNTIF(FE$4:FE$40,"&lt;&gt;"&amp;""),"",INDEX(FE$4:FE$40,MATCH(ROW()-3,FF$4:FF$40,0)))</f>
        <v/>
      </c>
      <c r="FH32">
        <f>FH31+IF(AND(FG32&lt;&gt;"",COUNTIF(FG$4:FG32,FG32)=1),1,0)</f>
        <v/>
      </c>
      <c r="FI32">
        <f>IF(ROW()-3&gt;MAX(FH$4:FH$40),"",INDEX(FG$4:FG$40,MATCH(ROW()-3,FH$4:FH$40,0)))</f>
        <v/>
      </c>
      <c r="FJ32" s="141">
        <f>IF('Final Calculation Sheet'!$AG$32="","",'Final Calculation Sheet'!$AG$32)</f>
        <v/>
      </c>
      <c r="FK32">
        <f>IF(FJ32="","",COUNTIFS(FJ$4:FJ$40,"&lt;"&amp;FJ32,FJ$4:FJ$40,"&lt;&gt;"&amp;"")+COUNTIF(FJ$4:FJ32,FJ32))</f>
        <v/>
      </c>
      <c r="FL32" s="141">
        <f>IF(ROW()-3&gt;COUNTIF(FJ$4:FJ$40,"&lt;&gt;"&amp;""),"",INDEX(FJ$4:FJ$40,MATCH(ROW()-3,FK$4:FK$40,0)))</f>
        <v/>
      </c>
      <c r="FM32">
        <f>FM31+IF(AND(FL32&lt;&gt;"",COUNTIF(FL$4:FL32,FL32)=1),1,0)</f>
        <v/>
      </c>
      <c r="FN32">
        <f>IF(ROW()-3&gt;MAX(FM$4:FM$40),"",INDEX(FL$4:FL$40,MATCH(ROW()-3,FM$4:FM$40,0)))</f>
        <v/>
      </c>
      <c r="FO32">
        <f>IF('Final Calculation Sheet'!$AH$32="","",'Final Calculation Sheet'!$AH$32)</f>
        <v/>
      </c>
      <c r="FP32">
        <f>IF(FO32="","",COUNTIFS(FO$4:FO$40,"&lt;"&amp;FO32,FO$4:FO$40,"&lt;&gt;"&amp;"")+COUNTIF(FO$4:FO32,FO32))</f>
        <v/>
      </c>
      <c r="FQ32">
        <f>IF(ROW()-3&gt;COUNTIF(FO$4:FO$40,"&lt;&gt;"&amp;""),"",INDEX(FO$4:FO$40,MATCH(ROW()-3,FP$4:FP$40,0)))</f>
        <v/>
      </c>
      <c r="FR32">
        <f>FR31+IF(AND(FQ32&lt;&gt;"",COUNTIF(FQ$4:FQ32,FQ32)=1),1,0)</f>
        <v/>
      </c>
      <c r="FS32">
        <f>IF(ROW()-3&gt;MAX(FR$4:FR$40),"",INDEX(FQ$4:FQ$40,MATCH(ROW()-3,FR$4:FR$40,0)))</f>
        <v/>
      </c>
      <c r="FU32">
        <f>IF(FT32="","",COUNTIFS(FT$4:FT$40,"&lt;"&amp;FT32,FT$4:FT$40,"&lt;&gt;"&amp;"")+COUNTIF(FT$4:FT32,FT32))</f>
        <v/>
      </c>
      <c r="FV32">
        <f>IF(ROW()-3&gt;COUNTIF(FT$4:FT$40,"&lt;&gt;"&amp;""),"",INDEX(FT$4:FT$40,MATCH(ROW()-3,FU$4:FU$40,0)))</f>
        <v/>
      </c>
      <c r="FW32">
        <f>FW31+IF(AND(FV32&lt;&gt;"",COUNTIF(FV$4:FV32,FV32)=1),1,0)</f>
        <v/>
      </c>
      <c r="FX32">
        <f>IF(ROW()-3&gt;MAX(FW$4:FW$40),"",INDEX(FV$4:FV$40,MATCH(ROW()-3,FW$4:FW$40,0)))</f>
        <v/>
      </c>
      <c r="FY32">
        <f>IF(COUNTIF('Live Search'!BM$31:BO$31,0)+COUNTIF('Live Search'!BQ$31:CU$31,0)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2">
        <f>IF($Y$32="",FALSE,SUMPRODUCT(('Final Calculation Sheet'!$B$4:$B$40=$Y$32)*($FY$6:$FY$42=1))&gt;0)</f>
        <v/>
      </c>
      <c r="GA32">
        <f>$GA$31+--($FZ$32)</f>
        <v/>
      </c>
      <c r="GB32">
        <f>IF(ROW()-3&gt;MAX($GA$4:$GA$40),"",INDEX($Y$4:$Y$40,MATCH(ROW()-3,$GA$4:$GA$40,0)))</f>
        <v/>
      </c>
      <c r="GC32">
        <f>IF('Final Calculation Sheet'!$F$32="","",IF(TRIM('Final Calculation Sheet'!$G$2)="",'Final Calculation Sheet'!$F$32,IF(TRIM('Final Calculation Sheet'!$G$2)="(nonblank)",IF('Final Calculation Sheet'!$G$32&lt;&gt;"",'Final Calculation Sheet'!$F$32,""),IF(TRIM('Final Calculation Sheet'!$G$2)="(blank)",IF('Final Calculation Sheet'!$G$32="",'Final Calculation Sheet'!$F$32,""),IF(ISNUMBER(SEARCH(TRIM('Final Calculation Sheet'!$G$2),'Final Calculation Sheet'!$G$32)),'Final Calculation Sheet'!$F$32,"")))))</f>
        <v/>
      </c>
      <c r="GD32">
        <f>IF(GC32="","",COUNTIFS(GC$4:GC$40,"&lt;"&amp;GC32,GC$4:GC$40,"&lt;&gt;"&amp;"")+COUNTIF(GC$4:GC32,GC32))</f>
        <v/>
      </c>
      <c r="GE32">
        <f>IF(ROW()-3&gt;COUNTIF(GC$4:GC$40,"&lt;&gt;"&amp;""),"",INDEX(GC$4:GC$40,MATCH(ROW()-3,GD$4:GD$40,0)))</f>
        <v/>
      </c>
      <c r="GF32">
        <f>GF31+IF(AND(GE32&lt;&gt;"",COUNTIF(GE$4:GE32,GE32)=1),1,0)</f>
        <v/>
      </c>
      <c r="GG32">
        <f>IF(ROW()-3&gt;MAX(GF$4:GF$40),"",INDEX(GE$4:GE$40,MATCH(ROW()-3,GF$4:GF$40,0)))</f>
        <v/>
      </c>
      <c r="GH32">
        <f>IF('Final Calculation Sheet'!$F$32="","",IF('Live Search'!$BO$33=1,'Final Calculation Sheet'!$F$32,""))</f>
        <v/>
      </c>
      <c r="GI32">
        <f>IF(GH32="","",COUNTIFS(GH$4:GH$40,"&lt;"&amp;GH32,GH$4:GH$40,"&lt;&gt;"&amp;"")+COUNTIF(GH$4:GH32,GH32))</f>
        <v/>
      </c>
      <c r="GJ32">
        <f>IF(ROW()-3&gt;COUNTIF(GH$4:GH$40,"&lt;&gt;"&amp;""),"",INDEX(GH$4:GH$40,MATCH(ROW()-3,GI$4:GI$40,0)))</f>
        <v/>
      </c>
      <c r="GK32">
        <f>GK31+IF(AND(GJ32&lt;&gt;"",COUNTIF(GJ$4:GJ32,GJ32)=1),1,0)</f>
        <v/>
      </c>
      <c r="GL32">
        <f>IF(ROW()-3&gt;MAX(GK$4:GK$40),"",INDEX(GJ$4:GJ$40,MATCH(ROW()-3,GK$4:GK$40,0)))</f>
        <v/>
      </c>
      <c r="GM32">
        <f>IF('Final Calculation Sheet'!$F$32="","",IF(TRIM('Buyer Groups'!$C$4)="",'Final Calculation Sheet'!$F$32,IF(TRIM('Buyer Groups'!$C$4)="(nonblank)",IF('Final Calculation Sheet'!$G$32&lt;&gt;"",'Final Calculation Sheet'!$F$32,""),IF(TRIM('Buyer Groups'!$C$4)="(blank)",IF('Final Calculation Sheet'!$G$32="",'Final Calculation Sheet'!$F$32,""),IF(ISNUMBER(SEARCH(TRIM('Buyer Groups'!$C$4),'Final Calculation Sheet'!$G$32)),'Final Calculation Sheet'!$F$32,"")))))</f>
        <v/>
      </c>
      <c r="GN32">
        <f>IF(GM32="","",COUNTIFS(GM$4:GM$40,"&lt;"&amp;GM32,GM$4:GM$40,"&lt;&gt;"&amp;"")+COUNTIF(GM$4:GM32,GM32))</f>
        <v/>
      </c>
      <c r="GO32">
        <f>IF(ROW()-3&gt;COUNTIF(GM$4:GM$40,"&lt;&gt;"&amp;""),"",INDEX(GM$4:GM$40,MATCH(ROW()-3,GN$4:GN$40,0)))</f>
        <v/>
      </c>
      <c r="GP32">
        <f>GP31+IF(AND(GO32&lt;&gt;"",COUNTIF(GO$4:GO32,GO32)=1),1,0)</f>
        <v/>
      </c>
      <c r="GQ32">
        <f>IF(ROW()-3&gt;MAX(GP$4:GP$40),"",INDEX(GO$4:GO$40,MATCH(ROW()-3,GP$4:GP$40,0)))</f>
        <v/>
      </c>
      <c r="GR32">
        <f>IF('Final Calculation Sheet'!$B$32="","",IF(TRIM('Final Calculation Sheet'!$G$2)="",'Final Calculation Sheet'!$B$32,IF(TRIM('Final Calculation Sheet'!$G$2)="(nonblank)",IF('Final Calculation Sheet'!$G$32&lt;&gt;"",'Final Calculation Sheet'!$B$32,""),IF(TRIM('Final Calculation Sheet'!$G$2)="(blank)",IF('Final Calculation Sheet'!$G$32="",'Final Calculation Sheet'!$B$32,""),IF(ISNUMBER(SEARCH(TRIM('Final Calculation Sheet'!$G$2),'Final Calculation Sheet'!$G$32)),'Final Calculation Sheet'!$B$32,"")))))</f>
        <v/>
      </c>
      <c r="GS32">
        <f>IF(GR32="","",COUNTIFS(GR$4:GR$40,"&lt;"&amp;GR32,GR$4:GR$40,"&lt;&gt;"&amp;"")+COUNTIF(GR$4:GR32,GR32))</f>
        <v/>
      </c>
      <c r="GT32">
        <f>IF(ROW()-3&gt;COUNTIF(GR$4:GR$40,"&lt;&gt;"&amp;""),"",INDEX(GR$4:GR$40,MATCH(ROW()-3,GS$4:GS$40,0)))</f>
        <v/>
      </c>
      <c r="GU32">
        <f>GU31+IF(AND(GT32&lt;&gt;"",COUNTIF(GT$4:GT32,GT32)=1),1,0)</f>
        <v/>
      </c>
      <c r="GV32">
        <f>IF(ROW()-3&gt;MAX(GU$4:GU$40),"",INDEX(GT$4:GT$40,MATCH(ROW()-3,GU$4:GU$40,0)))</f>
        <v/>
      </c>
      <c r="GW32">
        <f>IF('Final Calculation Sheet'!$B$32="","",IF(TRIM('Buyer Groups'!$C$4)="",'Final Calculation Sheet'!$B$32,IF(TRIM('Buyer Groups'!$C$4)="(nonblank)",IF('Final Calculation Sheet'!$G$32&lt;&gt;"",'Final Calculation Sheet'!$B$32,""),IF(TRIM('Buyer Groups'!$C$4)="(blank)",IF('Final Calculation Sheet'!$G$32="",'Final Calculation Sheet'!$B$32,""),IF(ISNUMBER(SEARCH(TRIM('Buyer Groups'!$C$4),'Final Calculation Sheet'!$G$32)),'Final Calculation Sheet'!$B$32,"")))))</f>
        <v/>
      </c>
      <c r="GX32">
        <f>IF(GW32="","",COUNTIFS(GW$4:GW$40,"&lt;"&amp;GW32,GW$4:GW$40,"&lt;&gt;"&amp;"")+COUNTIF(GW$4:GW32,GW32))</f>
        <v/>
      </c>
      <c r="GY32">
        <f>IF(ROW()-3&gt;COUNTIF(GW$4:GW$40,"&lt;&gt;"&amp;""),"",INDEX(GW$4:GW$40,MATCH(ROW()-3,GX$4:GX$40,0)))</f>
        <v/>
      </c>
      <c r="GZ32">
        <f>GZ31+IF(AND(GY32&lt;&gt;"",COUNTIF(GY$4:GY32,GY32)=1),1,0)</f>
        <v/>
      </c>
      <c r="HA32">
        <f>IF(ROW()-3&gt;MAX(GZ$4:GZ$40),"",INDEX(GY$4:GY$40,MATCH(ROW()-3,GZ$4:GZ$40,0)))</f>
        <v/>
      </c>
    </row>
    <row r="33">
      <c r="A33">
        <f>IF('Final Calculation Sheet'!$F$33="","",'Final Calculation Sheet'!$F$33)</f>
        <v/>
      </c>
      <c r="B33">
        <f>IF(A33="","",COUNTIFS(A$4:A$114,"&lt;"&amp;A33,A$4:A$114,"&lt;&gt;"&amp;"")+COUNTIF(A$4:A33,A33))</f>
        <v/>
      </c>
      <c r="C33">
        <f>IF(ROW()-3&gt;COUNTIF(A$4:A$114,"&lt;&gt;"&amp;""),"",INDEX(A$4:A$114,MATCH(ROW()-3,B$4:B$114,0)))</f>
        <v/>
      </c>
      <c r="D33">
        <f>D32+IF(AND(C33&lt;&gt;"",COUNTIF(C$4:C33,C33)=1),1,0)</f>
        <v/>
      </c>
      <c r="E33">
        <f>IF(ROW()-3&gt;MAX(D$4:D$114),"",INDEX(C$4:C$114,MATCH(ROW()-3,D$4:D$114,0)))</f>
        <v/>
      </c>
      <c r="F33">
        <f>ROW()-3</f>
        <v/>
      </c>
      <c r="G33">
        <f>IF(F33="","",COUNTIFS(F$4:F$40,"&lt;"&amp;F33,F$4:F$40,"&lt;&gt;"&amp;"")+COUNTIF(F$4:F33,F33))</f>
        <v/>
      </c>
      <c r="H33">
        <f>IF(ROW()-3&gt;COUNTIF(F$4:F$40,"&lt;&gt;"&amp;""),"",INDEX(F$4:F$40,MATCH(ROW()-3,G$4:G$40,0)))</f>
        <v/>
      </c>
      <c r="I33">
        <f>I32+IF(AND(H33&lt;&gt;"",COUNTIF(H$4:H33,H33)=1),1,0)</f>
        <v/>
      </c>
      <c r="J33">
        <f>IF(ROW()-3&gt;MAX(I$4:I$40),"",INDEX(H$4:H$40,MATCH(ROW()-3,I$4:I$40,0)))</f>
        <v/>
      </c>
      <c r="K33">
        <f>IF('Final Calculation Sheet'!$F$33="","",'Final Calculation Sheet'!$F$33)</f>
        <v/>
      </c>
      <c r="L33">
        <f>IF(K33="","",COUNTIFS(K$4:K$40,"&lt;"&amp;K33,K$4:K$40,"&lt;&gt;"&amp;"")+COUNTIF(K$4:K33,K33))</f>
        <v/>
      </c>
      <c r="M33">
        <f>IF(ROW()-3&gt;COUNTIF(K$4:K$40,"&lt;&gt;"&amp;""),"",INDEX(K$4:K$40,MATCH(ROW()-3,L$4:L$40,0)))</f>
        <v/>
      </c>
      <c r="N33">
        <f>N32+IF(AND(M33&lt;&gt;"",COUNTIF(M$4:M33,M33)=1),1,0)</f>
        <v/>
      </c>
      <c r="O33">
        <f>IF(ROW()-3&gt;MAX(N$4:N$40),"",INDEX(M$4:M$40,MATCH(ROW()-3,N$4:N$40,0)))</f>
        <v/>
      </c>
      <c r="P33">
        <f>IF('Final Calculation Sheet'!$G$33="","",'Final Calculation Sheet'!$G$33)</f>
        <v/>
      </c>
      <c r="Q33">
        <f>IF(P33="","",COUNTIFS(P$4:P$40,"&lt;"&amp;P33,P$4:P$40,"&lt;&gt;"&amp;"")+COUNTIF(P$4:P33,P33))</f>
        <v/>
      </c>
      <c r="R33">
        <f>IF(ROW()-3&gt;COUNTIF(P$4:P$40,"&lt;&gt;"&amp;""),"",INDEX(P$4:P$40,MATCH(ROW()-3,Q$4:Q$40,0)))</f>
        <v/>
      </c>
      <c r="S33">
        <f>S32+IF(AND(R33&lt;&gt;"",COUNTIF(R$4:R33,R33)=1),1,0)</f>
        <v/>
      </c>
      <c r="T33">
        <f>IF(ROW()-3&gt;MAX(S$4:S$40),"",INDEX(R$4:R$40,MATCH(ROW()-3,S$4:S$40,0)))</f>
        <v/>
      </c>
      <c r="U33">
        <f>IF('Final Calculation Sheet'!$B$33="","",'Final Calculation Sheet'!$B$33)</f>
        <v/>
      </c>
      <c r="V33">
        <f>IF(U33="","",COUNTIFS(U$4:U$40,"&lt;"&amp;U33,U$4:U$40,"&lt;&gt;"&amp;"")+COUNTIF(U$4:U33,U33))</f>
        <v/>
      </c>
      <c r="W33">
        <f>IF(ROW()-3&gt;COUNTIF(U$4:U$40,"&lt;&gt;"&amp;""),"",INDEX(U$4:U$40,MATCH(ROW()-3,V$4:V$40,0)))</f>
        <v/>
      </c>
      <c r="X33">
        <f>X32+IF(AND(W33&lt;&gt;"",COUNTIF(W$4:W33,W33)=1),1,0)</f>
        <v/>
      </c>
      <c r="Y33">
        <f>IF(ROW()-3&gt;MAX(X$4:X$40),"",INDEX(W$4:W$40,MATCH(ROW()-3,X$4:X$40,0)))</f>
        <v/>
      </c>
      <c r="Z33">
        <f>IF('Final Calculation Sheet'!$D$33="","",'Final Calculation Sheet'!$D$33)</f>
        <v/>
      </c>
      <c r="AA33">
        <f>IF(Z33="","",COUNTIFS(Z$4:Z$40,"&lt;"&amp;Z33,Z$4:Z$40,"&lt;&gt;"&amp;"")+COUNTIF(Z$4:Z33,Z33))</f>
        <v/>
      </c>
      <c r="AB33">
        <f>IF(ROW()-3&gt;COUNTIF(Z$4:Z$40,"&lt;&gt;"&amp;""),"",INDEX(Z$4:Z$40,MATCH(ROW()-3,AA$4:AA$40,0)))</f>
        <v/>
      </c>
      <c r="AC33">
        <f>AC32+IF(AND(AB33&lt;&gt;"",COUNTIF(AB$4:AB33,AB33)=1),1,0)</f>
        <v/>
      </c>
      <c r="AD33">
        <f>IF(ROW()-3&gt;MAX(AC$4:AC$40),"",INDEX(AB$4:AB$40,MATCH(ROW()-3,AC$4:AC$40,0)))</f>
        <v/>
      </c>
      <c r="AE33">
        <f>IF('Final Calculation Sheet'!$A$33="","",'Final Calculation Sheet'!$A$33)</f>
        <v/>
      </c>
      <c r="AF33">
        <f>IF(AE33="","",COUNTIFS(AE$4:AE$40,"&lt;"&amp;AE33,AE$4:AE$40,"&lt;&gt;"&amp;"")+COUNTIF(AE$4:AE33,AE33))</f>
        <v/>
      </c>
      <c r="AG33">
        <f>IF(ROW()-3&gt;COUNTIF(AE$4:AE$40,"&lt;&gt;"&amp;""),"",INDEX(AE$4:AE$40,MATCH(ROW()-3,AF$4:AF$40,0)))</f>
        <v/>
      </c>
      <c r="AH33">
        <f>AH32+IF(AND(AG33&lt;&gt;"",COUNTIF(AG$4:AG33,AG33)=1),1,0)</f>
        <v/>
      </c>
      <c r="AI33">
        <f>IF(ROW()-3&gt;MAX(AH$4:AH$40),"",INDEX(AG$4:AG$40,MATCH(ROW()-3,AH$4:AH$40,0)))</f>
        <v/>
      </c>
      <c r="AJ33">
        <f>IF('Final Calculation Sheet'!$E$33="","",'Final Calculation Sheet'!$E$33)</f>
        <v/>
      </c>
      <c r="AK33">
        <f>IF(AJ33="","",COUNTIFS(AJ$4:AJ$40,"&lt;"&amp;AJ33,AJ$4:AJ$40,"&lt;&gt;"&amp;"")+COUNTIF(AJ$4:AJ33,AJ33))</f>
        <v/>
      </c>
      <c r="AL33">
        <f>IF(ROW()-3&gt;COUNTIF(AJ$4:AJ$40,"&lt;&gt;"&amp;""),"",INDEX(AJ$4:AJ$40,MATCH(ROW()-3,AK$4:AK$40,0)))</f>
        <v/>
      </c>
      <c r="AM33">
        <f>AM32+IF(AND(AL33&lt;&gt;"",COUNTIF(AL$4:AL33,AL33)=1),1,0)</f>
        <v/>
      </c>
      <c r="AN33">
        <f>IF(ROW()-3&gt;MAX(AM$4:AM$40),"",INDEX(AL$4:AL$40,MATCH(ROW()-3,AM$4:AM$40,0)))</f>
        <v/>
      </c>
      <c r="AO33" s="55">
        <f>IF('Final Calculation Sheet'!$C$33="","",'Final Calculation Sheet'!$C$33)</f>
        <v/>
      </c>
      <c r="AP33">
        <f>IF(AO33="","",COUNTIFS(AO$4:AO$40,"&lt;"&amp;AO33,AO$4:AO$40,"&lt;&gt;"&amp;"")+COUNTIF(AO$4:AO33,AO33))</f>
        <v/>
      </c>
      <c r="AQ33" s="55">
        <f>IF(ROW()-3&gt;COUNTIF(AO$4:AO$40,"&lt;&gt;"&amp;""),"",INDEX(AO$4:AO$40,MATCH(ROW()-3,AP$4:AP$40,0)))</f>
        <v/>
      </c>
      <c r="AR33">
        <f>AR32+IF(AND(AQ33&lt;&gt;"",COUNTIF(AQ$4:AQ33,AQ33)=1),1,0)</f>
        <v/>
      </c>
      <c r="AS33" s="55">
        <f>IF(ROW()-3&gt;MAX(AR$4:AR$40),"",INDEX(AQ$4:AQ$40,MATCH(ROW()-3,AR$4:AR$40,0)))</f>
        <v/>
      </c>
      <c r="AT33" s="55">
        <f>IF('Final Calculation Sheet'!$H$33="","",'Final Calculation Sheet'!$H$33)</f>
        <v/>
      </c>
      <c r="AU33">
        <f>IF(AT33="","",COUNTIFS(AT$4:AT$40,"&lt;"&amp;AT33,AT$4:AT$40,"&lt;&gt;"&amp;"")+COUNTIF(AT$4:AT33,AT33))</f>
        <v/>
      </c>
      <c r="AV33" s="55">
        <f>IF(ROW()-3&gt;COUNTIF(AT$4:AT$40,"&lt;&gt;"&amp;""),"",INDEX(AT$4:AT$40,MATCH(ROW()-3,AU$4:AU$40,0)))</f>
        <v/>
      </c>
      <c r="AW33">
        <f>AW32+IF(AND(AV33&lt;&gt;"",COUNTIF(AV$4:AV33,AV33)=1),1,0)</f>
        <v/>
      </c>
      <c r="AX33" s="55">
        <f>IF(ROW()-3&gt;MAX(AW$4:AW$40),"",INDEX(AV$4:AV$40,MATCH(ROW()-3,AW$4:AW$40,0)))</f>
        <v/>
      </c>
      <c r="AY33" s="55">
        <f>IF('Final Calculation Sheet'!$I$33="","",'Final Calculation Sheet'!$I$33)</f>
        <v/>
      </c>
      <c r="AZ33">
        <f>IF(AY33="","",COUNTIFS(AY$4:AY$40,"&lt;"&amp;AY33,AY$4:AY$40,"&lt;&gt;"&amp;"")+COUNTIF(AY$4:AY33,AY33))</f>
        <v/>
      </c>
      <c r="BA33" s="55">
        <f>IF(ROW()-3&gt;COUNTIF(AY$4:AY$40,"&lt;&gt;"&amp;""),"",INDEX(AY$4:AY$40,MATCH(ROW()-3,AZ$4:AZ$40,0)))</f>
        <v/>
      </c>
      <c r="BB33">
        <f>BB32+IF(AND(BA33&lt;&gt;"",COUNTIF(BA$4:BA33,BA33)=1),1,0)</f>
        <v/>
      </c>
      <c r="BC33" s="55">
        <f>IF(ROW()-3&gt;MAX(BB$4:BB$40),"",INDEX(BA$4:BA$40,MATCH(ROW()-3,BB$4:BB$40,0)))</f>
        <v/>
      </c>
      <c r="BD33" s="55">
        <f>IF('Final Calculation Sheet'!$J$33="","",'Final Calculation Sheet'!$J$33)</f>
        <v/>
      </c>
      <c r="BE33">
        <f>IF(BD33="","",COUNTIFS(BD$4:BD$40,"&lt;"&amp;BD33,BD$4:BD$40,"&lt;&gt;"&amp;"")+COUNTIF(BD$4:BD33,BD33))</f>
        <v/>
      </c>
      <c r="BF33" s="55">
        <f>IF(ROW()-3&gt;COUNTIF(BD$4:BD$40,"&lt;&gt;"&amp;""),"",INDEX(BD$4:BD$40,MATCH(ROW()-3,BE$4:BE$40,0)))</f>
        <v/>
      </c>
      <c r="BG33">
        <f>BG32+IF(AND(BF33&lt;&gt;"",COUNTIF(BF$4:BF33,BF33)=1),1,0)</f>
        <v/>
      </c>
      <c r="BH33" s="55">
        <f>IF(ROW()-3&gt;MAX(BG$4:BG$40),"",INDEX(BF$4:BF$40,MATCH(ROW()-3,BG$4:BG$40,0)))</f>
        <v/>
      </c>
      <c r="BI33" s="55">
        <f>IF('Final Calculation Sheet'!$K$33="","",'Final Calculation Sheet'!$K$33)</f>
        <v/>
      </c>
      <c r="BJ33">
        <f>IF(BI33="","",COUNTIFS(BI$4:BI$40,"&lt;"&amp;BI33,BI$4:BI$40,"&lt;&gt;"&amp;"")+COUNTIF(BI$4:BI33,BI33))</f>
        <v/>
      </c>
      <c r="BK33" s="55">
        <f>IF(ROW()-3&gt;COUNTIF(BI$4:BI$40,"&lt;&gt;"&amp;""),"",INDEX(BI$4:BI$40,MATCH(ROW()-3,BJ$4:BJ$40,0)))</f>
        <v/>
      </c>
      <c r="BL33">
        <f>BL32+IF(AND(BK33&lt;&gt;"",COUNTIF(BK$4:BK33,BK33)=1),1,0)</f>
        <v/>
      </c>
      <c r="BM33" s="55">
        <f>IF(ROW()-3&gt;MAX(BL$4:BL$40),"",INDEX(BK$4:BK$40,MATCH(ROW()-3,BL$4:BL$40,0)))</f>
        <v/>
      </c>
      <c r="BN33" s="55">
        <f>IF('Final Calculation Sheet'!$L$33="","",'Final Calculation Sheet'!$L$33)</f>
        <v/>
      </c>
      <c r="BO33">
        <f>IF(BN33="","",COUNTIFS(BN$4:BN$40,"&lt;"&amp;BN33,BN$4:BN$40,"&lt;&gt;"&amp;"")+COUNTIF(BN$4:BN33,BN33))</f>
        <v/>
      </c>
      <c r="BP33" s="55">
        <f>IF(ROW()-3&gt;COUNTIF(BN$4:BN$40,"&lt;&gt;"&amp;""),"",INDEX(BN$4:BN$40,MATCH(ROW()-3,BO$4:BO$40,0)))</f>
        <v/>
      </c>
      <c r="BQ33">
        <f>BQ32+IF(AND(BP33&lt;&gt;"",COUNTIF(BP$4:BP33,BP33)=1),1,0)</f>
        <v/>
      </c>
      <c r="BR33" s="55">
        <f>IF(ROW()-3&gt;MAX(BQ$4:BQ$40),"",INDEX(BP$4:BP$40,MATCH(ROW()-3,BQ$4:BQ$40,0)))</f>
        <v/>
      </c>
      <c r="BS33" s="55">
        <f>IF('Final Calculation Sheet'!$M$33="","",'Final Calculation Sheet'!$M$33)</f>
        <v/>
      </c>
      <c r="BT33">
        <f>IF(BS33="","",COUNTIFS(BS$4:BS$40,"&lt;"&amp;BS33,BS$4:BS$40,"&lt;&gt;"&amp;"")+COUNTIF(BS$4:BS33,BS33))</f>
        <v/>
      </c>
      <c r="BU33" s="55">
        <f>IF(ROW()-3&gt;COUNTIF(BS$4:BS$40,"&lt;&gt;"&amp;""),"",INDEX(BS$4:BS$40,MATCH(ROW()-3,BT$4:BT$40,0)))</f>
        <v/>
      </c>
      <c r="BV33">
        <f>BV32+IF(AND(BU33&lt;&gt;"",COUNTIF(BU$4:BU33,BU33)=1),1,0)</f>
        <v/>
      </c>
      <c r="BW33" s="55">
        <f>IF(ROW()-3&gt;MAX(BV$4:BV$40),"",INDEX(BU$4:BU$40,MATCH(ROW()-3,BV$4:BV$40,0)))</f>
        <v/>
      </c>
      <c r="BX33" s="138">
        <f>IF('Final Calculation Sheet'!$N$33="","",'Final Calculation Sheet'!$N$33)</f>
        <v/>
      </c>
      <c r="BY33">
        <f>IF(BX33="","",COUNTIFS(BX$4:BX$40,"&lt;"&amp;BX33,BX$4:BX$40,"&lt;&gt;"&amp;"")+COUNTIF(BX$4:BX33,BX33))</f>
        <v/>
      </c>
      <c r="BZ33" s="138">
        <f>IF(ROW()-3&gt;COUNTIF(BX$4:BX$40,"&lt;&gt;"&amp;""),"",INDEX(BX$4:BX$40,MATCH(ROW()-3,BY$4:BY$40,0)))</f>
        <v/>
      </c>
      <c r="CA33">
        <f>CA32+IF(AND(BZ33&lt;&gt;"",COUNTIF(BZ$4:BZ33,BZ33)=1),1,0)</f>
        <v/>
      </c>
      <c r="CB33" s="138">
        <f>IF(ROW()-3&gt;MAX(CA$4:CA$40),"",INDEX(BZ$4:BZ$40,MATCH(ROW()-3,CA$4:CA$40,0)))</f>
        <v/>
      </c>
      <c r="CC33" s="55">
        <f>IF('Final Calculation Sheet'!$O$33="","",'Final Calculation Sheet'!$O$33)</f>
        <v/>
      </c>
      <c r="CD33">
        <f>IF(CC33="","",COUNTIFS(CC$4:CC$40,"&lt;"&amp;CC33,CC$4:CC$40,"&lt;&gt;"&amp;"")+COUNTIF(CC$4:CC33,CC33))</f>
        <v/>
      </c>
      <c r="CE33" s="55">
        <f>IF(ROW()-3&gt;COUNTIF(CC$4:CC$40,"&lt;&gt;"&amp;""),"",INDEX(CC$4:CC$40,MATCH(ROW()-3,CD$4:CD$40,0)))</f>
        <v/>
      </c>
      <c r="CF33">
        <f>CF32+IF(AND(CE33&lt;&gt;"",COUNTIF(CE$4:CE33,CE33)=1),1,0)</f>
        <v/>
      </c>
      <c r="CG33" s="55">
        <f>IF(ROW()-3&gt;MAX(CF$4:CF$40),"",INDEX(CE$4:CE$40,MATCH(ROW()-3,CF$4:CF$40,0)))</f>
        <v/>
      </c>
      <c r="CH33" s="55">
        <f>IF('Final Calculation Sheet'!$P$33="","",'Final Calculation Sheet'!$P$33)</f>
        <v/>
      </c>
      <c r="CI33">
        <f>IF(CH33="","",COUNTIFS(CH$4:CH$40,"&lt;"&amp;CH33,CH$4:CH$40,"&lt;&gt;"&amp;"")+COUNTIF(CH$4:CH33,CH33))</f>
        <v/>
      </c>
      <c r="CJ33" s="55">
        <f>IF(ROW()-3&gt;COUNTIF(CH$4:CH$40,"&lt;&gt;"&amp;""),"",INDEX(CH$4:CH$40,MATCH(ROW()-3,CI$4:CI$40,0)))</f>
        <v/>
      </c>
      <c r="CK33">
        <f>CK32+IF(AND(CJ33&lt;&gt;"",COUNTIF(CJ$4:CJ33,CJ33)=1),1,0)</f>
        <v/>
      </c>
      <c r="CL33" s="55">
        <f>IF(ROW()-3&gt;MAX(CK$4:CK$40),"",INDEX(CJ$4:CJ$40,MATCH(ROW()-3,CK$4:CK$40,0)))</f>
        <v/>
      </c>
      <c r="CM33" s="139">
        <f>IF('Final Calculation Sheet'!$Q$33="","",'Final Calculation Sheet'!$Q$33)</f>
        <v/>
      </c>
      <c r="CN33">
        <f>IF(CM33="","",COUNTIFS(CM$4:CM$40,"&lt;"&amp;CM33,CM$4:CM$40,"&lt;&gt;"&amp;"")+COUNTIF(CM$4:CM33,CM33))</f>
        <v/>
      </c>
      <c r="CO33" s="139">
        <f>IF(ROW()-3&gt;COUNTIF(CM$4:CM$40,"&lt;&gt;"&amp;""),"",INDEX(CM$4:CM$40,MATCH(ROW()-3,CN$4:CN$40,0)))</f>
        <v/>
      </c>
      <c r="CP33">
        <f>CP32+IF(AND(CO33&lt;&gt;"",COUNTIF(CO$4:CO33,CO33)=1),1,0)</f>
        <v/>
      </c>
      <c r="CQ33">
        <f>IF(ROW()-3&gt;MAX(CP$4:CP$40),"",INDEX(CO$4:CO$40,MATCH(ROW()-3,CP$4:CP$40,0)))</f>
        <v/>
      </c>
      <c r="CR33" s="55">
        <f>IF('Final Calculation Sheet'!$R$33="","",'Final Calculation Sheet'!$R$33)</f>
        <v/>
      </c>
      <c r="CS33">
        <f>IF(CR33="","",COUNTIFS(CR$4:CR$40,"&lt;"&amp;CR33,CR$4:CR$40,"&lt;&gt;"&amp;"")+COUNTIF(CR$4:CR33,CR33))</f>
        <v/>
      </c>
      <c r="CT33" s="55">
        <f>IF(ROW()-3&gt;COUNTIF(CR$4:CR$40,"&lt;&gt;"&amp;""),"",INDEX(CR$4:CR$40,MATCH(ROW()-3,CS$4:CS$40,0)))</f>
        <v/>
      </c>
      <c r="CU33">
        <f>CU32+IF(AND(CT33&lt;&gt;"",COUNTIF(CT$4:CT33,CT33)=1),1,0)</f>
        <v/>
      </c>
      <c r="CV33">
        <f>IF(ROW()-3&gt;MAX(CU$4:CU$40),"",INDEX(CT$4:CT$40,MATCH(ROW()-3,CU$4:CU$40,0)))</f>
        <v/>
      </c>
      <c r="CW33" s="55">
        <f>IF('Final Calculation Sheet'!$S$33="","",'Final Calculation Sheet'!$S$33)</f>
        <v/>
      </c>
      <c r="CX33">
        <f>IF(CW33="","",COUNTIFS(CW$4:CW$40,"&lt;"&amp;CW33,CW$4:CW$40,"&lt;&gt;"&amp;"")+COUNTIF(CW$4:CW33,CW33))</f>
        <v/>
      </c>
      <c r="CY33" s="55">
        <f>IF(ROW()-3&gt;COUNTIF(CW$4:CW$40,"&lt;&gt;"&amp;""),"",INDEX(CW$4:CW$40,MATCH(ROW()-3,CX$4:CX$40,0)))</f>
        <v/>
      </c>
      <c r="CZ33">
        <f>CZ32+IF(AND(CY33&lt;&gt;"",COUNTIF(CY$4:CY33,CY33)=1),1,0)</f>
        <v/>
      </c>
      <c r="DA33" s="55">
        <f>IF(ROW()-3&gt;MAX(CZ$4:CZ$40),"",INDEX(CY$4:CY$40,MATCH(ROW()-3,CZ$4:CZ$40,0)))</f>
        <v/>
      </c>
      <c r="DB33" s="55">
        <f>IF('Final Calculation Sheet'!$T$33="","",'Final Calculation Sheet'!$T$33)</f>
        <v/>
      </c>
      <c r="DC33">
        <f>IF(DB33="","",COUNTIFS(DB$4:DB$40,"&lt;"&amp;DB33,DB$4:DB$40,"&lt;&gt;"&amp;"")+COUNTIF(DB$4:DB33,DB33))</f>
        <v/>
      </c>
      <c r="DD33" s="55">
        <f>IF(ROW()-3&gt;COUNTIF(DB$4:DB$40,"&lt;&gt;"&amp;""),"",INDEX(DB$4:DB$40,MATCH(ROW()-3,DC$4:DC$40,0)))</f>
        <v/>
      </c>
      <c r="DE33">
        <f>DE32+IF(AND(DD33&lt;&gt;"",COUNTIF(DD$4:DD33,DD33)=1),1,0)</f>
        <v/>
      </c>
      <c r="DF33" s="55">
        <f>IF(ROW()-3&gt;MAX(DE$4:DE$40),"",INDEX(DD$4:DD$40,MATCH(ROW()-3,DE$4:DE$40,0)))</f>
        <v/>
      </c>
      <c r="DG33" s="140">
        <f>IF('Final Calculation Sheet'!$U$33="","",'Final Calculation Sheet'!$U$33)</f>
        <v/>
      </c>
      <c r="DH33">
        <f>IF(DG33="","",COUNTIFS(DG$4:DG$40,"&lt;"&amp;DG33,DG$4:DG$40,"&lt;&gt;"&amp;"")+COUNTIF(DG$4:DG33,DG33))</f>
        <v/>
      </c>
      <c r="DI33" s="140">
        <f>IF(ROW()-3&gt;COUNTIF(DG$4:DG$40,"&lt;&gt;"&amp;""),"",INDEX(DG$4:DG$40,MATCH(ROW()-3,DH$4:DH$40,0)))</f>
        <v/>
      </c>
      <c r="DJ33">
        <f>DJ32+IF(AND(DI33&lt;&gt;"",COUNTIF(DI$4:DI33,DI33)=1),1,0)</f>
        <v/>
      </c>
      <c r="DK33" s="140">
        <f>IF(ROW()-3&gt;MAX(DJ$4:DJ$40),"",INDEX(DI$4:DI$40,MATCH(ROW()-3,DJ$4:DJ$40,0)))</f>
        <v/>
      </c>
      <c r="DL33">
        <f>IF('Final Calculation Sheet'!$V$33="","",'Final Calculation Sheet'!$V$33)</f>
        <v/>
      </c>
      <c r="DM33">
        <f>IF(DL33="","",COUNTIFS(DL$4:DL$40,"&lt;"&amp;DL33,DL$4:DL$40,"&lt;&gt;"&amp;"")+COUNTIF(DL$4:DL33,DL33))</f>
        <v/>
      </c>
      <c r="DN33">
        <f>IF(ROW()-3&gt;COUNTIF(DL$4:DL$40,"&lt;&gt;"&amp;""),"",INDEX(DL$4:DL$40,MATCH(ROW()-3,DM$4:DM$40,0)))</f>
        <v/>
      </c>
      <c r="DO33">
        <f>DO32+IF(AND(DN33&lt;&gt;"",COUNTIF(DN$4:DN33,DN33)=1),1,0)</f>
        <v/>
      </c>
      <c r="DP33">
        <f>IF(ROW()-3&gt;MAX(DO$4:DO$40),"",INDEX(DN$4:DN$40,MATCH(ROW()-3,DO$4:DO$40,0)))</f>
        <v/>
      </c>
      <c r="DQ33" s="55">
        <f>IF('Final Calculation Sheet'!$W$33="","",'Final Calculation Sheet'!$W$33)</f>
        <v/>
      </c>
      <c r="DR33">
        <f>IF(DQ33="","",COUNTIFS(DQ$4:DQ$40,"&lt;"&amp;DQ33,DQ$4:DQ$40,"&lt;&gt;"&amp;"")+COUNTIF(DQ$4:DQ33,DQ33))</f>
        <v/>
      </c>
      <c r="DS33" s="55">
        <f>IF(ROW()-3&gt;COUNTIF(DQ$4:DQ$40,"&lt;&gt;"&amp;""),"",INDEX(DQ$4:DQ$40,MATCH(ROW()-3,DR$4:DR$40,0)))</f>
        <v/>
      </c>
      <c r="DT33">
        <f>DT32+IF(AND(DS33&lt;&gt;"",COUNTIF(DS$4:DS33,DS33)=1),1,0)</f>
        <v/>
      </c>
      <c r="DU33" s="55">
        <f>IF(ROW()-3&gt;MAX(DT$4:DT$40),"",INDEX(DS$4:DS$40,MATCH(ROW()-3,DT$4:DT$40,0)))</f>
        <v/>
      </c>
      <c r="DV33" s="55">
        <f>IF('Final Calculation Sheet'!$X$33="","",'Final Calculation Sheet'!$X$33)</f>
        <v/>
      </c>
      <c r="DW33">
        <f>IF(DV33="","",COUNTIFS(DV$4:DV$40,"&lt;"&amp;DV33,DV$4:DV$40,"&lt;&gt;"&amp;"")+COUNTIF(DV$4:DV33,DV33))</f>
        <v/>
      </c>
      <c r="DX33" s="55">
        <f>IF(ROW()-3&gt;COUNTIF(DV$4:DV$40,"&lt;&gt;"&amp;""),"",INDEX(DV$4:DV$40,MATCH(ROW()-3,DW$4:DW$40,0)))</f>
        <v/>
      </c>
      <c r="DY33">
        <f>DY32+IF(AND(DX33&lt;&gt;"",COUNTIF(DX$4:DX33,DX33)=1),1,0)</f>
        <v/>
      </c>
      <c r="DZ33">
        <f>IF(ROW()-3&gt;MAX(DY$4:DY$40),"",INDEX(DX$4:DX$40,MATCH(ROW()-3,DY$4:DY$40,0)))</f>
        <v/>
      </c>
      <c r="EA33">
        <f>IF('Final Calculation Sheet'!$Y$33="","",'Final Calculation Sheet'!$Y$33)</f>
        <v/>
      </c>
      <c r="EB33">
        <f>IF(EA33="","",COUNTIFS(EA$4:EA$40,"&lt;"&amp;EA33,EA$4:EA$40,"&lt;&gt;"&amp;"")+COUNTIF(EA$4:EA33,EA33))</f>
        <v/>
      </c>
      <c r="EC33">
        <f>IF(ROW()-3&gt;COUNTIF(EA$4:EA$40,"&lt;&gt;"&amp;""),"",INDEX(EA$4:EA$40,MATCH(ROW()-3,EB$4:EB$40,0)))</f>
        <v/>
      </c>
      <c r="ED33">
        <f>ED32+IF(AND(EC33&lt;&gt;"",COUNTIF(EC$4:EC33,EC33)=1),1,0)</f>
        <v/>
      </c>
      <c r="EE33">
        <f>IF(ROW()-3&gt;MAX(ED$4:ED$40),"",INDEX(EC$4:EC$40,MATCH(ROW()-3,ED$4:ED$40,0)))</f>
        <v/>
      </c>
      <c r="EF33" s="55">
        <f>IF('Final Calculation Sheet'!$Z$33="","",'Final Calculation Sheet'!$Z$33)</f>
        <v/>
      </c>
      <c r="EG33">
        <f>IF(EF33="","",COUNTIFS(EF$4:EF$40,"&lt;"&amp;EF33,EF$4:EF$40,"&lt;&gt;"&amp;"")+COUNTIF(EF$4:EF33,EF33))</f>
        <v/>
      </c>
      <c r="EH33" s="55">
        <f>IF(ROW()-3&gt;COUNTIF(EF$4:EF$40,"&lt;&gt;"&amp;""),"",INDEX(EF$4:EF$40,MATCH(ROW()-3,EG$4:EG$40,0)))</f>
        <v/>
      </c>
      <c r="EI33">
        <f>EI32+IF(AND(EH33&lt;&gt;"",COUNTIF(EH$4:EH33,EH33)=1),1,0)</f>
        <v/>
      </c>
      <c r="EJ33">
        <f>IF(ROW()-3&gt;MAX(EI$4:EI$40),"",INDEX(EH$4:EH$40,MATCH(ROW()-3,EI$4:EI$40,0)))</f>
        <v/>
      </c>
      <c r="EK33">
        <f>IF('Final Calculation Sheet'!$AA$33="","",'Final Calculation Sheet'!$AA$33)</f>
        <v/>
      </c>
      <c r="EL33">
        <f>IF(EK33="","",COUNTIFS(EK$4:EK$40,"&lt;"&amp;EK33,EK$4:EK$40,"&lt;&gt;"&amp;"")+COUNTIF(EK$4:EK33,EK33))</f>
        <v/>
      </c>
      <c r="EM33">
        <f>IF(ROW()-3&gt;COUNTIF(EK$4:EK$40,"&lt;&gt;"&amp;""),"",INDEX(EK$4:EK$40,MATCH(ROW()-3,EL$4:EL$40,0)))</f>
        <v/>
      </c>
      <c r="EN33">
        <f>EN32+IF(AND(EM33&lt;&gt;"",COUNTIF(EM$4:EM33,EM33)=1),1,0)</f>
        <v/>
      </c>
      <c r="EO33">
        <f>IF(ROW()-3&gt;MAX(EN$4:EN$40),"",INDEX(EM$4:EM$40,MATCH(ROW()-3,EN$4:EN$40,0)))</f>
        <v/>
      </c>
      <c r="EP33">
        <f>IF('Final Calculation Sheet'!$AB$33="","",'Final Calculation Sheet'!$AB$33)</f>
        <v/>
      </c>
      <c r="EQ33">
        <f>IF(EP33="","",COUNTIFS(EP$4:EP$40,"&lt;"&amp;EP33,EP$4:EP$40,"&lt;&gt;"&amp;"")+COUNTIF(EP$4:EP33,EP33))</f>
        <v/>
      </c>
      <c r="ER33">
        <f>IF(ROW()-3&gt;COUNTIF(EP$4:EP$40,"&lt;&gt;"&amp;""),"",INDEX(EP$4:EP$40,MATCH(ROW()-3,EQ$4:EQ$40,0)))</f>
        <v/>
      </c>
      <c r="ES33">
        <f>ES32+IF(AND(ER33&lt;&gt;"",COUNTIF(ER$4:ER33,ER33)=1),1,0)</f>
        <v/>
      </c>
      <c r="ET33">
        <f>IF(ROW()-3&gt;MAX(ES$4:ES$40),"",INDEX(ER$4:ER$40,MATCH(ROW()-3,ES$4:ES$40,0)))</f>
        <v/>
      </c>
      <c r="EU33" s="55">
        <f>IF('Final Calculation Sheet'!$AC$33="","",'Final Calculation Sheet'!$AC$33)</f>
        <v/>
      </c>
      <c r="EV33">
        <f>IF(EU33="","",COUNTIFS(EU$4:EU$40,"&lt;"&amp;EU33,EU$4:EU$40,"&lt;&gt;"&amp;"")+COUNTIF(EU$4:EU33,EU33))</f>
        <v/>
      </c>
      <c r="EW33" s="55">
        <f>IF(ROW()-3&gt;COUNTIF(EU$4:EU$40,"&lt;&gt;"&amp;""),"",INDEX(EU$4:EU$40,MATCH(ROW()-3,EV$4:EV$40,0)))</f>
        <v/>
      </c>
      <c r="EX33">
        <f>EX32+IF(AND(EW33&lt;&gt;"",COUNTIF(EW$4:EW33,EW33)=1),1,0)</f>
        <v/>
      </c>
      <c r="EY33" s="55">
        <f>IF(ROW()-3&gt;MAX(EX$4:EX$40),"",INDEX(EW$4:EW$40,MATCH(ROW()-3,EX$4:EX$40,0)))</f>
        <v/>
      </c>
      <c r="EZ33" s="55">
        <f>IF('Final Calculation Sheet'!$AD$33="","",'Final Calculation Sheet'!$AD$33)</f>
        <v/>
      </c>
      <c r="FA33">
        <f>IF(EZ33="","",COUNTIFS(EZ$4:EZ$40,"&lt;"&amp;EZ33,EZ$4:EZ$40,"&lt;&gt;"&amp;"")+COUNTIF(EZ$4:EZ33,EZ33))</f>
        <v/>
      </c>
      <c r="FB33" s="55">
        <f>IF(ROW()-3&gt;COUNTIF(EZ$4:EZ$40,"&lt;&gt;"&amp;""),"",INDEX(EZ$4:EZ$40,MATCH(ROW()-3,FA$4:FA$40,0)))</f>
        <v/>
      </c>
      <c r="FC33">
        <f>FC32+IF(AND(FB33&lt;&gt;"",COUNTIF(FB$4:FB33,FB33)=1),1,0)</f>
        <v/>
      </c>
      <c r="FD33">
        <f>IF(ROW()-3&gt;MAX(FC$4:FC$40),"",INDEX(FB$4:FB$40,MATCH(ROW()-3,FC$4:FC$40,0)))</f>
        <v/>
      </c>
      <c r="FE33">
        <f>IF('Final Calculation Sheet'!$AF$33="","",'Final Calculation Sheet'!$AF$33)</f>
        <v/>
      </c>
      <c r="FF33">
        <f>IF(FE33="","",COUNTIFS(FE$4:FE$40,"&lt;"&amp;FE33,FE$4:FE$40,"&lt;&gt;"&amp;"")+COUNTIF(FE$4:FE33,FE33))</f>
        <v/>
      </c>
      <c r="FG33">
        <f>IF(ROW()-3&gt;COUNTIF(FE$4:FE$40,"&lt;&gt;"&amp;""),"",INDEX(FE$4:FE$40,MATCH(ROW()-3,FF$4:FF$40,0)))</f>
        <v/>
      </c>
      <c r="FH33">
        <f>FH32+IF(AND(FG33&lt;&gt;"",COUNTIF(FG$4:FG33,FG33)=1),1,0)</f>
        <v/>
      </c>
      <c r="FI33">
        <f>IF(ROW()-3&gt;MAX(FH$4:FH$40),"",INDEX(FG$4:FG$40,MATCH(ROW()-3,FH$4:FH$40,0)))</f>
        <v/>
      </c>
      <c r="FJ33" s="141">
        <f>IF('Final Calculation Sheet'!$AG$33="","",'Final Calculation Sheet'!$AG$33)</f>
        <v/>
      </c>
      <c r="FK33">
        <f>IF(FJ33="","",COUNTIFS(FJ$4:FJ$40,"&lt;"&amp;FJ33,FJ$4:FJ$40,"&lt;&gt;"&amp;"")+COUNTIF(FJ$4:FJ33,FJ33))</f>
        <v/>
      </c>
      <c r="FL33" s="141">
        <f>IF(ROW()-3&gt;COUNTIF(FJ$4:FJ$40,"&lt;&gt;"&amp;""),"",INDEX(FJ$4:FJ$40,MATCH(ROW()-3,FK$4:FK$40,0)))</f>
        <v/>
      </c>
      <c r="FM33">
        <f>FM32+IF(AND(FL33&lt;&gt;"",COUNTIF(FL$4:FL33,FL33)=1),1,0)</f>
        <v/>
      </c>
      <c r="FN33">
        <f>IF(ROW()-3&gt;MAX(FM$4:FM$40),"",INDEX(FL$4:FL$40,MATCH(ROW()-3,FM$4:FM$40,0)))</f>
        <v/>
      </c>
      <c r="FO33">
        <f>IF('Final Calculation Sheet'!$AH$33="","",'Final Calculation Sheet'!$AH$33)</f>
        <v/>
      </c>
      <c r="FP33">
        <f>IF(FO33="","",COUNTIFS(FO$4:FO$40,"&lt;"&amp;FO33,FO$4:FO$40,"&lt;&gt;"&amp;"")+COUNTIF(FO$4:FO33,FO33))</f>
        <v/>
      </c>
      <c r="FQ33">
        <f>IF(ROW()-3&gt;COUNTIF(FO$4:FO$40,"&lt;&gt;"&amp;""),"",INDEX(FO$4:FO$40,MATCH(ROW()-3,FP$4:FP$40,0)))</f>
        <v/>
      </c>
      <c r="FR33">
        <f>FR32+IF(AND(FQ33&lt;&gt;"",COUNTIF(FQ$4:FQ33,FQ33)=1),1,0)</f>
        <v/>
      </c>
      <c r="FS33">
        <f>IF(ROW()-3&gt;MAX(FR$4:FR$40),"",INDEX(FQ$4:FQ$40,MATCH(ROW()-3,FR$4:FR$40,0)))</f>
        <v/>
      </c>
      <c r="FU33">
        <f>IF(FT33="","",COUNTIFS(FT$4:FT$40,"&lt;"&amp;FT33,FT$4:FT$40,"&lt;&gt;"&amp;"")+COUNTIF(FT$4:FT33,FT33))</f>
        <v/>
      </c>
      <c r="FV33">
        <f>IF(ROW()-3&gt;COUNTIF(FT$4:FT$40,"&lt;&gt;"&amp;""),"",INDEX(FT$4:FT$40,MATCH(ROW()-3,FU$4:FU$40,0)))</f>
        <v/>
      </c>
      <c r="FW33">
        <f>FW32+IF(AND(FV33&lt;&gt;"",COUNTIF(FV$4:FV33,FV33)=1),1,0)</f>
        <v/>
      </c>
      <c r="FX33">
        <f>IF(ROW()-3&gt;MAX(FW$4:FW$40),"",INDEX(FV$4:FV$40,MATCH(ROW()-3,FW$4:FW$40,0)))</f>
        <v/>
      </c>
      <c r="FY33">
        <f>IF(COUNTIF('Live Search'!BM$32:BO$32,0)+COUNTIF('Live Search'!BQ$32:CU$32,0)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3">
        <f>IF($Y$33="",FALSE,SUMPRODUCT(('Final Calculation Sheet'!$B$4:$B$40=$Y$33)*($FY$6:$FY$42=1))&gt;0)</f>
        <v/>
      </c>
      <c r="GA33">
        <f>$GA$32+--($FZ$33)</f>
        <v/>
      </c>
      <c r="GB33">
        <f>IF(ROW()-3&gt;MAX($GA$4:$GA$40),"",INDEX($Y$4:$Y$40,MATCH(ROW()-3,$GA$4:$GA$40,0)))</f>
        <v/>
      </c>
      <c r="GC33">
        <f>IF('Final Calculation Sheet'!$F$33="","",IF(TRIM('Final Calculation Sheet'!$G$2)="",'Final Calculation Sheet'!$F$33,IF(TRIM('Final Calculation Sheet'!$G$2)="(nonblank)",IF('Final Calculation Sheet'!$G$33&lt;&gt;"",'Final Calculation Sheet'!$F$33,""),IF(TRIM('Final Calculation Sheet'!$G$2)="(blank)",IF('Final Calculation Sheet'!$G$33="",'Final Calculation Sheet'!$F$33,""),IF(ISNUMBER(SEARCH(TRIM('Final Calculation Sheet'!$G$2),'Final Calculation Sheet'!$G$33)),'Final Calculation Sheet'!$F$33,"")))))</f>
        <v/>
      </c>
      <c r="GD33">
        <f>IF(GC33="","",COUNTIFS(GC$4:GC$40,"&lt;"&amp;GC33,GC$4:GC$40,"&lt;&gt;"&amp;"")+COUNTIF(GC$4:GC33,GC33))</f>
        <v/>
      </c>
      <c r="GE33">
        <f>IF(ROW()-3&gt;COUNTIF(GC$4:GC$40,"&lt;&gt;"&amp;""),"",INDEX(GC$4:GC$40,MATCH(ROW()-3,GD$4:GD$40,0)))</f>
        <v/>
      </c>
      <c r="GF33">
        <f>GF32+IF(AND(GE33&lt;&gt;"",COUNTIF(GE$4:GE33,GE33)=1),1,0)</f>
        <v/>
      </c>
      <c r="GG33">
        <f>IF(ROW()-3&gt;MAX(GF$4:GF$40),"",INDEX(GE$4:GE$40,MATCH(ROW()-3,GF$4:GF$40,0)))</f>
        <v/>
      </c>
      <c r="GH33">
        <f>IF('Final Calculation Sheet'!$F$33="","",IF('Live Search'!$BO$34=1,'Final Calculation Sheet'!$F$33,""))</f>
        <v/>
      </c>
      <c r="GI33">
        <f>IF(GH33="","",COUNTIFS(GH$4:GH$40,"&lt;"&amp;GH33,GH$4:GH$40,"&lt;&gt;"&amp;"")+COUNTIF(GH$4:GH33,GH33))</f>
        <v/>
      </c>
      <c r="GJ33">
        <f>IF(ROW()-3&gt;COUNTIF(GH$4:GH$40,"&lt;&gt;"&amp;""),"",INDEX(GH$4:GH$40,MATCH(ROW()-3,GI$4:GI$40,0)))</f>
        <v/>
      </c>
      <c r="GK33">
        <f>GK32+IF(AND(GJ33&lt;&gt;"",COUNTIF(GJ$4:GJ33,GJ33)=1),1,0)</f>
        <v/>
      </c>
      <c r="GL33">
        <f>IF(ROW()-3&gt;MAX(GK$4:GK$40),"",INDEX(GJ$4:GJ$40,MATCH(ROW()-3,GK$4:GK$40,0)))</f>
        <v/>
      </c>
      <c r="GM33">
        <f>IF('Final Calculation Sheet'!$F$33="","",IF(TRIM('Buyer Groups'!$C$4)="",'Final Calculation Sheet'!$F$33,IF(TRIM('Buyer Groups'!$C$4)="(nonblank)",IF('Final Calculation Sheet'!$G$33&lt;&gt;"",'Final Calculation Sheet'!$F$33,""),IF(TRIM('Buyer Groups'!$C$4)="(blank)",IF('Final Calculation Sheet'!$G$33="",'Final Calculation Sheet'!$F$33,""),IF(ISNUMBER(SEARCH(TRIM('Buyer Groups'!$C$4),'Final Calculation Sheet'!$G$33)),'Final Calculation Sheet'!$F$33,"")))))</f>
        <v/>
      </c>
      <c r="GN33">
        <f>IF(GM33="","",COUNTIFS(GM$4:GM$40,"&lt;"&amp;GM33,GM$4:GM$40,"&lt;&gt;"&amp;"")+COUNTIF(GM$4:GM33,GM33))</f>
        <v/>
      </c>
      <c r="GO33">
        <f>IF(ROW()-3&gt;COUNTIF(GM$4:GM$40,"&lt;&gt;"&amp;""),"",INDEX(GM$4:GM$40,MATCH(ROW()-3,GN$4:GN$40,0)))</f>
        <v/>
      </c>
      <c r="GP33">
        <f>GP32+IF(AND(GO33&lt;&gt;"",COUNTIF(GO$4:GO33,GO33)=1),1,0)</f>
        <v/>
      </c>
      <c r="GQ33">
        <f>IF(ROW()-3&gt;MAX(GP$4:GP$40),"",INDEX(GO$4:GO$40,MATCH(ROW()-3,GP$4:GP$40,0)))</f>
        <v/>
      </c>
      <c r="GR33">
        <f>IF('Final Calculation Sheet'!$B$33="","",IF(TRIM('Final Calculation Sheet'!$G$2)="",'Final Calculation Sheet'!$B$33,IF(TRIM('Final Calculation Sheet'!$G$2)="(nonblank)",IF('Final Calculation Sheet'!$G$33&lt;&gt;"",'Final Calculation Sheet'!$B$33,""),IF(TRIM('Final Calculation Sheet'!$G$2)="(blank)",IF('Final Calculation Sheet'!$G$33="",'Final Calculation Sheet'!$B$33,""),IF(ISNUMBER(SEARCH(TRIM('Final Calculation Sheet'!$G$2),'Final Calculation Sheet'!$G$33)),'Final Calculation Sheet'!$B$33,"")))))</f>
        <v/>
      </c>
      <c r="GS33">
        <f>IF(GR33="","",COUNTIFS(GR$4:GR$40,"&lt;"&amp;GR33,GR$4:GR$40,"&lt;&gt;"&amp;"")+COUNTIF(GR$4:GR33,GR33))</f>
        <v/>
      </c>
      <c r="GT33">
        <f>IF(ROW()-3&gt;COUNTIF(GR$4:GR$40,"&lt;&gt;"&amp;""),"",INDEX(GR$4:GR$40,MATCH(ROW()-3,GS$4:GS$40,0)))</f>
        <v/>
      </c>
      <c r="GU33">
        <f>GU32+IF(AND(GT33&lt;&gt;"",COUNTIF(GT$4:GT33,GT33)=1),1,0)</f>
        <v/>
      </c>
      <c r="GV33">
        <f>IF(ROW()-3&gt;MAX(GU$4:GU$40),"",INDEX(GT$4:GT$40,MATCH(ROW()-3,GU$4:GU$40,0)))</f>
        <v/>
      </c>
      <c r="GW33">
        <f>IF('Final Calculation Sheet'!$B$33="","",IF(TRIM('Buyer Groups'!$C$4)="",'Final Calculation Sheet'!$B$33,IF(TRIM('Buyer Groups'!$C$4)="(nonblank)",IF('Final Calculation Sheet'!$G$33&lt;&gt;"",'Final Calculation Sheet'!$B$33,""),IF(TRIM('Buyer Groups'!$C$4)="(blank)",IF('Final Calculation Sheet'!$G$33="",'Final Calculation Sheet'!$B$33,""),IF(ISNUMBER(SEARCH(TRIM('Buyer Groups'!$C$4),'Final Calculation Sheet'!$G$33)),'Final Calculation Sheet'!$B$33,"")))))</f>
        <v/>
      </c>
      <c r="GX33">
        <f>IF(GW33="","",COUNTIFS(GW$4:GW$40,"&lt;"&amp;GW33,GW$4:GW$40,"&lt;&gt;"&amp;"")+COUNTIF(GW$4:GW33,GW33))</f>
        <v/>
      </c>
      <c r="GY33">
        <f>IF(ROW()-3&gt;COUNTIF(GW$4:GW$40,"&lt;&gt;"&amp;""),"",INDEX(GW$4:GW$40,MATCH(ROW()-3,GX$4:GX$40,0)))</f>
        <v/>
      </c>
      <c r="GZ33">
        <f>GZ32+IF(AND(GY33&lt;&gt;"",COUNTIF(GY$4:GY33,GY33)=1),1,0)</f>
        <v/>
      </c>
      <c r="HA33">
        <f>IF(ROW()-3&gt;MAX(GZ$4:GZ$40),"",INDEX(GY$4:GY$40,MATCH(ROW()-3,GZ$4:GZ$40,0)))</f>
        <v/>
      </c>
    </row>
    <row r="34">
      <c r="A34">
        <f>IF('Final Calculation Sheet'!$F$34="","",'Final Calculation Sheet'!$F$34)</f>
        <v/>
      </c>
      <c r="B34">
        <f>IF(A34="","",COUNTIFS(A$4:A$114,"&lt;"&amp;A34,A$4:A$114,"&lt;&gt;"&amp;"")+COUNTIF(A$4:A34,A34))</f>
        <v/>
      </c>
      <c r="C34">
        <f>IF(ROW()-3&gt;COUNTIF(A$4:A$114,"&lt;&gt;"&amp;""),"",INDEX(A$4:A$114,MATCH(ROW()-3,B$4:B$114,0)))</f>
        <v/>
      </c>
      <c r="D34">
        <f>D33+IF(AND(C34&lt;&gt;"",COUNTIF(C$4:C34,C34)=1),1,0)</f>
        <v/>
      </c>
      <c r="E34">
        <f>IF(ROW()-3&gt;MAX(D$4:D$114),"",INDEX(C$4:C$114,MATCH(ROW()-3,D$4:D$114,0)))</f>
        <v/>
      </c>
      <c r="F34">
        <f>ROW()-3</f>
        <v/>
      </c>
      <c r="G34">
        <f>IF(F34="","",COUNTIFS(F$4:F$40,"&lt;"&amp;F34,F$4:F$40,"&lt;&gt;"&amp;"")+COUNTIF(F$4:F34,F34))</f>
        <v/>
      </c>
      <c r="H34">
        <f>IF(ROW()-3&gt;COUNTIF(F$4:F$40,"&lt;&gt;"&amp;""),"",INDEX(F$4:F$40,MATCH(ROW()-3,G$4:G$40,0)))</f>
        <v/>
      </c>
      <c r="I34">
        <f>I33+IF(AND(H34&lt;&gt;"",COUNTIF(H$4:H34,H34)=1),1,0)</f>
        <v/>
      </c>
      <c r="J34">
        <f>IF(ROW()-3&gt;MAX(I$4:I$40),"",INDEX(H$4:H$40,MATCH(ROW()-3,I$4:I$40,0)))</f>
        <v/>
      </c>
      <c r="K34">
        <f>IF('Final Calculation Sheet'!$F$34="","",'Final Calculation Sheet'!$F$34)</f>
        <v/>
      </c>
      <c r="L34">
        <f>IF(K34="","",COUNTIFS(K$4:K$40,"&lt;"&amp;K34,K$4:K$40,"&lt;&gt;"&amp;"")+COUNTIF(K$4:K34,K34))</f>
        <v/>
      </c>
      <c r="M34">
        <f>IF(ROW()-3&gt;COUNTIF(K$4:K$40,"&lt;&gt;"&amp;""),"",INDEX(K$4:K$40,MATCH(ROW()-3,L$4:L$40,0)))</f>
        <v/>
      </c>
      <c r="N34">
        <f>N33+IF(AND(M34&lt;&gt;"",COUNTIF(M$4:M34,M34)=1),1,0)</f>
        <v/>
      </c>
      <c r="O34">
        <f>IF(ROW()-3&gt;MAX(N$4:N$40),"",INDEX(M$4:M$40,MATCH(ROW()-3,N$4:N$40,0)))</f>
        <v/>
      </c>
      <c r="P34">
        <f>IF('Final Calculation Sheet'!$G$34="","",'Final Calculation Sheet'!$G$34)</f>
        <v/>
      </c>
      <c r="Q34">
        <f>IF(P34="","",COUNTIFS(P$4:P$40,"&lt;"&amp;P34,P$4:P$40,"&lt;&gt;"&amp;"")+COUNTIF(P$4:P34,P34))</f>
        <v/>
      </c>
      <c r="R34">
        <f>IF(ROW()-3&gt;COUNTIF(P$4:P$40,"&lt;&gt;"&amp;""),"",INDEX(P$4:P$40,MATCH(ROW()-3,Q$4:Q$40,0)))</f>
        <v/>
      </c>
      <c r="S34">
        <f>S33+IF(AND(R34&lt;&gt;"",COUNTIF(R$4:R34,R34)=1),1,0)</f>
        <v/>
      </c>
      <c r="T34">
        <f>IF(ROW()-3&gt;MAX(S$4:S$40),"",INDEX(R$4:R$40,MATCH(ROW()-3,S$4:S$40,0)))</f>
        <v/>
      </c>
      <c r="U34">
        <f>IF('Final Calculation Sheet'!$B$34="","",'Final Calculation Sheet'!$B$34)</f>
        <v/>
      </c>
      <c r="V34">
        <f>IF(U34="","",COUNTIFS(U$4:U$40,"&lt;"&amp;U34,U$4:U$40,"&lt;&gt;"&amp;"")+COUNTIF(U$4:U34,U34))</f>
        <v/>
      </c>
      <c r="W34">
        <f>IF(ROW()-3&gt;COUNTIF(U$4:U$40,"&lt;&gt;"&amp;""),"",INDEX(U$4:U$40,MATCH(ROW()-3,V$4:V$40,0)))</f>
        <v/>
      </c>
      <c r="X34">
        <f>X33+IF(AND(W34&lt;&gt;"",COUNTIF(W$4:W34,W34)=1),1,0)</f>
        <v/>
      </c>
      <c r="Y34">
        <f>IF(ROW()-3&gt;MAX(X$4:X$40),"",INDEX(W$4:W$40,MATCH(ROW()-3,X$4:X$40,0)))</f>
        <v/>
      </c>
      <c r="Z34">
        <f>IF('Final Calculation Sheet'!$D$34="","",'Final Calculation Sheet'!$D$34)</f>
        <v/>
      </c>
      <c r="AA34">
        <f>IF(Z34="","",COUNTIFS(Z$4:Z$40,"&lt;"&amp;Z34,Z$4:Z$40,"&lt;&gt;"&amp;"")+COUNTIF(Z$4:Z34,Z34))</f>
        <v/>
      </c>
      <c r="AB34">
        <f>IF(ROW()-3&gt;COUNTIF(Z$4:Z$40,"&lt;&gt;"&amp;""),"",INDEX(Z$4:Z$40,MATCH(ROW()-3,AA$4:AA$40,0)))</f>
        <v/>
      </c>
      <c r="AC34">
        <f>AC33+IF(AND(AB34&lt;&gt;"",COUNTIF(AB$4:AB34,AB34)=1),1,0)</f>
        <v/>
      </c>
      <c r="AD34">
        <f>IF(ROW()-3&gt;MAX(AC$4:AC$40),"",INDEX(AB$4:AB$40,MATCH(ROW()-3,AC$4:AC$40,0)))</f>
        <v/>
      </c>
      <c r="AE34">
        <f>IF('Final Calculation Sheet'!$A$34="","",'Final Calculation Sheet'!$A$34)</f>
        <v/>
      </c>
      <c r="AF34">
        <f>IF(AE34="","",COUNTIFS(AE$4:AE$40,"&lt;"&amp;AE34,AE$4:AE$40,"&lt;&gt;"&amp;"")+COUNTIF(AE$4:AE34,AE34))</f>
        <v/>
      </c>
      <c r="AG34">
        <f>IF(ROW()-3&gt;COUNTIF(AE$4:AE$40,"&lt;&gt;"&amp;""),"",INDEX(AE$4:AE$40,MATCH(ROW()-3,AF$4:AF$40,0)))</f>
        <v/>
      </c>
      <c r="AH34">
        <f>AH33+IF(AND(AG34&lt;&gt;"",COUNTIF(AG$4:AG34,AG34)=1),1,0)</f>
        <v/>
      </c>
      <c r="AI34">
        <f>IF(ROW()-3&gt;MAX(AH$4:AH$40),"",INDEX(AG$4:AG$40,MATCH(ROW()-3,AH$4:AH$40,0)))</f>
        <v/>
      </c>
      <c r="AJ34">
        <f>IF('Final Calculation Sheet'!$E$34="","",'Final Calculation Sheet'!$E$34)</f>
        <v/>
      </c>
      <c r="AK34">
        <f>IF(AJ34="","",COUNTIFS(AJ$4:AJ$40,"&lt;"&amp;AJ34,AJ$4:AJ$40,"&lt;&gt;"&amp;"")+COUNTIF(AJ$4:AJ34,AJ34))</f>
        <v/>
      </c>
      <c r="AL34">
        <f>IF(ROW()-3&gt;COUNTIF(AJ$4:AJ$40,"&lt;&gt;"&amp;""),"",INDEX(AJ$4:AJ$40,MATCH(ROW()-3,AK$4:AK$40,0)))</f>
        <v/>
      </c>
      <c r="AM34">
        <f>AM33+IF(AND(AL34&lt;&gt;"",COUNTIF(AL$4:AL34,AL34)=1),1,0)</f>
        <v/>
      </c>
      <c r="AN34">
        <f>IF(ROW()-3&gt;MAX(AM$4:AM$40),"",INDEX(AL$4:AL$40,MATCH(ROW()-3,AM$4:AM$40,0)))</f>
        <v/>
      </c>
      <c r="AO34" s="55">
        <f>IF('Final Calculation Sheet'!$C$34="","",'Final Calculation Sheet'!$C$34)</f>
        <v/>
      </c>
      <c r="AP34">
        <f>IF(AO34="","",COUNTIFS(AO$4:AO$40,"&lt;"&amp;AO34,AO$4:AO$40,"&lt;&gt;"&amp;"")+COUNTIF(AO$4:AO34,AO34))</f>
        <v/>
      </c>
      <c r="AQ34" s="55">
        <f>IF(ROW()-3&gt;COUNTIF(AO$4:AO$40,"&lt;&gt;"&amp;""),"",INDEX(AO$4:AO$40,MATCH(ROW()-3,AP$4:AP$40,0)))</f>
        <v/>
      </c>
      <c r="AR34">
        <f>AR33+IF(AND(AQ34&lt;&gt;"",COUNTIF(AQ$4:AQ34,AQ34)=1),1,0)</f>
        <v/>
      </c>
      <c r="AS34" s="55">
        <f>IF(ROW()-3&gt;MAX(AR$4:AR$40),"",INDEX(AQ$4:AQ$40,MATCH(ROW()-3,AR$4:AR$40,0)))</f>
        <v/>
      </c>
      <c r="AT34" s="55">
        <f>IF('Final Calculation Sheet'!$H$34="","",'Final Calculation Sheet'!$H$34)</f>
        <v/>
      </c>
      <c r="AU34">
        <f>IF(AT34="","",COUNTIFS(AT$4:AT$40,"&lt;"&amp;AT34,AT$4:AT$40,"&lt;&gt;"&amp;"")+COUNTIF(AT$4:AT34,AT34))</f>
        <v/>
      </c>
      <c r="AV34" s="55">
        <f>IF(ROW()-3&gt;COUNTIF(AT$4:AT$40,"&lt;&gt;"&amp;""),"",INDEX(AT$4:AT$40,MATCH(ROW()-3,AU$4:AU$40,0)))</f>
        <v/>
      </c>
      <c r="AW34">
        <f>AW33+IF(AND(AV34&lt;&gt;"",COUNTIF(AV$4:AV34,AV34)=1),1,0)</f>
        <v/>
      </c>
      <c r="AX34" s="55">
        <f>IF(ROW()-3&gt;MAX(AW$4:AW$40),"",INDEX(AV$4:AV$40,MATCH(ROW()-3,AW$4:AW$40,0)))</f>
        <v/>
      </c>
      <c r="AY34" s="55">
        <f>IF('Final Calculation Sheet'!$I$34="","",'Final Calculation Sheet'!$I$34)</f>
        <v/>
      </c>
      <c r="AZ34">
        <f>IF(AY34="","",COUNTIFS(AY$4:AY$40,"&lt;"&amp;AY34,AY$4:AY$40,"&lt;&gt;"&amp;"")+COUNTIF(AY$4:AY34,AY34))</f>
        <v/>
      </c>
      <c r="BA34" s="55">
        <f>IF(ROW()-3&gt;COUNTIF(AY$4:AY$40,"&lt;&gt;"&amp;""),"",INDEX(AY$4:AY$40,MATCH(ROW()-3,AZ$4:AZ$40,0)))</f>
        <v/>
      </c>
      <c r="BB34">
        <f>BB33+IF(AND(BA34&lt;&gt;"",COUNTIF(BA$4:BA34,BA34)=1),1,0)</f>
        <v/>
      </c>
      <c r="BC34" s="55">
        <f>IF(ROW()-3&gt;MAX(BB$4:BB$40),"",INDEX(BA$4:BA$40,MATCH(ROW()-3,BB$4:BB$40,0)))</f>
        <v/>
      </c>
      <c r="BD34" s="55">
        <f>IF('Final Calculation Sheet'!$J$34="","",'Final Calculation Sheet'!$J$34)</f>
        <v/>
      </c>
      <c r="BE34">
        <f>IF(BD34="","",COUNTIFS(BD$4:BD$40,"&lt;"&amp;BD34,BD$4:BD$40,"&lt;&gt;"&amp;"")+COUNTIF(BD$4:BD34,BD34))</f>
        <v/>
      </c>
      <c r="BF34" s="55">
        <f>IF(ROW()-3&gt;COUNTIF(BD$4:BD$40,"&lt;&gt;"&amp;""),"",INDEX(BD$4:BD$40,MATCH(ROW()-3,BE$4:BE$40,0)))</f>
        <v/>
      </c>
      <c r="BG34">
        <f>BG33+IF(AND(BF34&lt;&gt;"",COUNTIF(BF$4:BF34,BF34)=1),1,0)</f>
        <v/>
      </c>
      <c r="BH34" s="55">
        <f>IF(ROW()-3&gt;MAX(BG$4:BG$40),"",INDEX(BF$4:BF$40,MATCH(ROW()-3,BG$4:BG$40,0)))</f>
        <v/>
      </c>
      <c r="BI34" s="55">
        <f>IF('Final Calculation Sheet'!$K$34="","",'Final Calculation Sheet'!$K$34)</f>
        <v/>
      </c>
      <c r="BJ34">
        <f>IF(BI34="","",COUNTIFS(BI$4:BI$40,"&lt;"&amp;BI34,BI$4:BI$40,"&lt;&gt;"&amp;"")+COUNTIF(BI$4:BI34,BI34))</f>
        <v/>
      </c>
      <c r="BK34" s="55">
        <f>IF(ROW()-3&gt;COUNTIF(BI$4:BI$40,"&lt;&gt;"&amp;""),"",INDEX(BI$4:BI$40,MATCH(ROW()-3,BJ$4:BJ$40,0)))</f>
        <v/>
      </c>
      <c r="BL34">
        <f>BL33+IF(AND(BK34&lt;&gt;"",COUNTIF(BK$4:BK34,BK34)=1),1,0)</f>
        <v/>
      </c>
      <c r="BM34" s="55">
        <f>IF(ROW()-3&gt;MAX(BL$4:BL$40),"",INDEX(BK$4:BK$40,MATCH(ROW()-3,BL$4:BL$40,0)))</f>
        <v/>
      </c>
      <c r="BN34" s="55">
        <f>IF('Final Calculation Sheet'!$L$34="","",'Final Calculation Sheet'!$L$34)</f>
        <v/>
      </c>
      <c r="BO34">
        <f>IF(BN34="","",COUNTIFS(BN$4:BN$40,"&lt;"&amp;BN34,BN$4:BN$40,"&lt;&gt;"&amp;"")+COUNTIF(BN$4:BN34,BN34))</f>
        <v/>
      </c>
      <c r="BP34" s="55">
        <f>IF(ROW()-3&gt;COUNTIF(BN$4:BN$40,"&lt;&gt;"&amp;""),"",INDEX(BN$4:BN$40,MATCH(ROW()-3,BO$4:BO$40,0)))</f>
        <v/>
      </c>
      <c r="BQ34">
        <f>BQ33+IF(AND(BP34&lt;&gt;"",COUNTIF(BP$4:BP34,BP34)=1),1,0)</f>
        <v/>
      </c>
      <c r="BR34" s="55">
        <f>IF(ROW()-3&gt;MAX(BQ$4:BQ$40),"",INDEX(BP$4:BP$40,MATCH(ROW()-3,BQ$4:BQ$40,0)))</f>
        <v/>
      </c>
      <c r="BS34" s="55">
        <f>IF('Final Calculation Sheet'!$M$34="","",'Final Calculation Sheet'!$M$34)</f>
        <v/>
      </c>
      <c r="BT34">
        <f>IF(BS34="","",COUNTIFS(BS$4:BS$40,"&lt;"&amp;BS34,BS$4:BS$40,"&lt;&gt;"&amp;"")+COUNTIF(BS$4:BS34,BS34))</f>
        <v/>
      </c>
      <c r="BU34" s="55">
        <f>IF(ROW()-3&gt;COUNTIF(BS$4:BS$40,"&lt;&gt;"&amp;""),"",INDEX(BS$4:BS$40,MATCH(ROW()-3,BT$4:BT$40,0)))</f>
        <v/>
      </c>
      <c r="BV34">
        <f>BV33+IF(AND(BU34&lt;&gt;"",COUNTIF(BU$4:BU34,BU34)=1),1,0)</f>
        <v/>
      </c>
      <c r="BW34" s="55">
        <f>IF(ROW()-3&gt;MAX(BV$4:BV$40),"",INDEX(BU$4:BU$40,MATCH(ROW()-3,BV$4:BV$40,0)))</f>
        <v/>
      </c>
      <c r="BX34" s="138">
        <f>IF('Final Calculation Sheet'!$N$34="","",'Final Calculation Sheet'!$N$34)</f>
        <v/>
      </c>
      <c r="BY34">
        <f>IF(BX34="","",COUNTIFS(BX$4:BX$40,"&lt;"&amp;BX34,BX$4:BX$40,"&lt;&gt;"&amp;"")+COUNTIF(BX$4:BX34,BX34))</f>
        <v/>
      </c>
      <c r="BZ34" s="138">
        <f>IF(ROW()-3&gt;COUNTIF(BX$4:BX$40,"&lt;&gt;"&amp;""),"",INDEX(BX$4:BX$40,MATCH(ROW()-3,BY$4:BY$40,0)))</f>
        <v/>
      </c>
      <c r="CA34">
        <f>CA33+IF(AND(BZ34&lt;&gt;"",COUNTIF(BZ$4:BZ34,BZ34)=1),1,0)</f>
        <v/>
      </c>
      <c r="CB34" s="138">
        <f>IF(ROW()-3&gt;MAX(CA$4:CA$40),"",INDEX(BZ$4:BZ$40,MATCH(ROW()-3,CA$4:CA$40,0)))</f>
        <v/>
      </c>
      <c r="CC34" s="55">
        <f>IF('Final Calculation Sheet'!$O$34="","",'Final Calculation Sheet'!$O$34)</f>
        <v/>
      </c>
      <c r="CD34">
        <f>IF(CC34="","",COUNTIFS(CC$4:CC$40,"&lt;"&amp;CC34,CC$4:CC$40,"&lt;&gt;"&amp;"")+COUNTIF(CC$4:CC34,CC34))</f>
        <v/>
      </c>
      <c r="CE34" s="55">
        <f>IF(ROW()-3&gt;COUNTIF(CC$4:CC$40,"&lt;&gt;"&amp;""),"",INDEX(CC$4:CC$40,MATCH(ROW()-3,CD$4:CD$40,0)))</f>
        <v/>
      </c>
      <c r="CF34">
        <f>CF33+IF(AND(CE34&lt;&gt;"",COUNTIF(CE$4:CE34,CE34)=1),1,0)</f>
        <v/>
      </c>
      <c r="CG34" s="55">
        <f>IF(ROW()-3&gt;MAX(CF$4:CF$40),"",INDEX(CE$4:CE$40,MATCH(ROW()-3,CF$4:CF$40,0)))</f>
        <v/>
      </c>
      <c r="CH34" s="55">
        <f>IF('Final Calculation Sheet'!$P$34="","",'Final Calculation Sheet'!$P$34)</f>
        <v/>
      </c>
      <c r="CI34">
        <f>IF(CH34="","",COUNTIFS(CH$4:CH$40,"&lt;"&amp;CH34,CH$4:CH$40,"&lt;&gt;"&amp;"")+COUNTIF(CH$4:CH34,CH34))</f>
        <v/>
      </c>
      <c r="CJ34" s="55">
        <f>IF(ROW()-3&gt;COUNTIF(CH$4:CH$40,"&lt;&gt;"&amp;""),"",INDEX(CH$4:CH$40,MATCH(ROW()-3,CI$4:CI$40,0)))</f>
        <v/>
      </c>
      <c r="CK34">
        <f>CK33+IF(AND(CJ34&lt;&gt;"",COUNTIF(CJ$4:CJ34,CJ34)=1),1,0)</f>
        <v/>
      </c>
      <c r="CL34" s="55">
        <f>IF(ROW()-3&gt;MAX(CK$4:CK$40),"",INDEX(CJ$4:CJ$40,MATCH(ROW()-3,CK$4:CK$40,0)))</f>
        <v/>
      </c>
      <c r="CM34" s="139">
        <f>IF('Final Calculation Sheet'!$Q$34="","",'Final Calculation Sheet'!$Q$34)</f>
        <v/>
      </c>
      <c r="CN34">
        <f>IF(CM34="","",COUNTIFS(CM$4:CM$40,"&lt;"&amp;CM34,CM$4:CM$40,"&lt;&gt;"&amp;"")+COUNTIF(CM$4:CM34,CM34))</f>
        <v/>
      </c>
      <c r="CO34" s="139">
        <f>IF(ROW()-3&gt;COUNTIF(CM$4:CM$40,"&lt;&gt;"&amp;""),"",INDEX(CM$4:CM$40,MATCH(ROW()-3,CN$4:CN$40,0)))</f>
        <v/>
      </c>
      <c r="CP34">
        <f>CP33+IF(AND(CO34&lt;&gt;"",COUNTIF(CO$4:CO34,CO34)=1),1,0)</f>
        <v/>
      </c>
      <c r="CQ34">
        <f>IF(ROW()-3&gt;MAX(CP$4:CP$40),"",INDEX(CO$4:CO$40,MATCH(ROW()-3,CP$4:CP$40,0)))</f>
        <v/>
      </c>
      <c r="CR34" s="55">
        <f>IF('Final Calculation Sheet'!$R$34="","",'Final Calculation Sheet'!$R$34)</f>
        <v/>
      </c>
      <c r="CS34">
        <f>IF(CR34="","",COUNTIFS(CR$4:CR$40,"&lt;"&amp;CR34,CR$4:CR$40,"&lt;&gt;"&amp;"")+COUNTIF(CR$4:CR34,CR34))</f>
        <v/>
      </c>
      <c r="CT34" s="55">
        <f>IF(ROW()-3&gt;COUNTIF(CR$4:CR$40,"&lt;&gt;"&amp;""),"",INDEX(CR$4:CR$40,MATCH(ROW()-3,CS$4:CS$40,0)))</f>
        <v/>
      </c>
      <c r="CU34">
        <f>CU33+IF(AND(CT34&lt;&gt;"",COUNTIF(CT$4:CT34,CT34)=1),1,0)</f>
        <v/>
      </c>
      <c r="CV34">
        <f>IF(ROW()-3&gt;MAX(CU$4:CU$40),"",INDEX(CT$4:CT$40,MATCH(ROW()-3,CU$4:CU$40,0)))</f>
        <v/>
      </c>
      <c r="CW34" s="55">
        <f>IF('Final Calculation Sheet'!$S$34="","",'Final Calculation Sheet'!$S$34)</f>
        <v/>
      </c>
      <c r="CX34">
        <f>IF(CW34="","",COUNTIFS(CW$4:CW$40,"&lt;"&amp;CW34,CW$4:CW$40,"&lt;&gt;"&amp;"")+COUNTIF(CW$4:CW34,CW34))</f>
        <v/>
      </c>
      <c r="CY34" s="55">
        <f>IF(ROW()-3&gt;COUNTIF(CW$4:CW$40,"&lt;&gt;"&amp;""),"",INDEX(CW$4:CW$40,MATCH(ROW()-3,CX$4:CX$40,0)))</f>
        <v/>
      </c>
      <c r="CZ34">
        <f>CZ33+IF(AND(CY34&lt;&gt;"",COUNTIF(CY$4:CY34,CY34)=1),1,0)</f>
        <v/>
      </c>
      <c r="DA34" s="55">
        <f>IF(ROW()-3&gt;MAX(CZ$4:CZ$40),"",INDEX(CY$4:CY$40,MATCH(ROW()-3,CZ$4:CZ$40,0)))</f>
        <v/>
      </c>
      <c r="DB34" s="55">
        <f>IF('Final Calculation Sheet'!$T$34="","",'Final Calculation Sheet'!$T$34)</f>
        <v/>
      </c>
      <c r="DC34">
        <f>IF(DB34="","",COUNTIFS(DB$4:DB$40,"&lt;"&amp;DB34,DB$4:DB$40,"&lt;&gt;"&amp;"")+COUNTIF(DB$4:DB34,DB34))</f>
        <v/>
      </c>
      <c r="DD34" s="55">
        <f>IF(ROW()-3&gt;COUNTIF(DB$4:DB$40,"&lt;&gt;"&amp;""),"",INDEX(DB$4:DB$40,MATCH(ROW()-3,DC$4:DC$40,0)))</f>
        <v/>
      </c>
      <c r="DE34">
        <f>DE33+IF(AND(DD34&lt;&gt;"",COUNTIF(DD$4:DD34,DD34)=1),1,0)</f>
        <v/>
      </c>
      <c r="DF34" s="55">
        <f>IF(ROW()-3&gt;MAX(DE$4:DE$40),"",INDEX(DD$4:DD$40,MATCH(ROW()-3,DE$4:DE$40,0)))</f>
        <v/>
      </c>
      <c r="DG34" s="140">
        <f>IF('Final Calculation Sheet'!$U$34="","",'Final Calculation Sheet'!$U$34)</f>
        <v/>
      </c>
      <c r="DH34">
        <f>IF(DG34="","",COUNTIFS(DG$4:DG$40,"&lt;"&amp;DG34,DG$4:DG$40,"&lt;&gt;"&amp;"")+COUNTIF(DG$4:DG34,DG34))</f>
        <v/>
      </c>
      <c r="DI34" s="140">
        <f>IF(ROW()-3&gt;COUNTIF(DG$4:DG$40,"&lt;&gt;"&amp;""),"",INDEX(DG$4:DG$40,MATCH(ROW()-3,DH$4:DH$40,0)))</f>
        <v/>
      </c>
      <c r="DJ34">
        <f>DJ33+IF(AND(DI34&lt;&gt;"",COUNTIF(DI$4:DI34,DI34)=1),1,0)</f>
        <v/>
      </c>
      <c r="DK34" s="140">
        <f>IF(ROW()-3&gt;MAX(DJ$4:DJ$40),"",INDEX(DI$4:DI$40,MATCH(ROW()-3,DJ$4:DJ$40,0)))</f>
        <v/>
      </c>
      <c r="DL34">
        <f>IF('Final Calculation Sheet'!$V$34="","",'Final Calculation Sheet'!$V$34)</f>
        <v/>
      </c>
      <c r="DM34">
        <f>IF(DL34="","",COUNTIFS(DL$4:DL$40,"&lt;"&amp;DL34,DL$4:DL$40,"&lt;&gt;"&amp;"")+COUNTIF(DL$4:DL34,DL34))</f>
        <v/>
      </c>
      <c r="DN34">
        <f>IF(ROW()-3&gt;COUNTIF(DL$4:DL$40,"&lt;&gt;"&amp;""),"",INDEX(DL$4:DL$40,MATCH(ROW()-3,DM$4:DM$40,0)))</f>
        <v/>
      </c>
      <c r="DO34">
        <f>DO33+IF(AND(DN34&lt;&gt;"",COUNTIF(DN$4:DN34,DN34)=1),1,0)</f>
        <v/>
      </c>
      <c r="DP34">
        <f>IF(ROW()-3&gt;MAX(DO$4:DO$40),"",INDEX(DN$4:DN$40,MATCH(ROW()-3,DO$4:DO$40,0)))</f>
        <v/>
      </c>
      <c r="DQ34" s="55">
        <f>IF('Final Calculation Sheet'!$W$34="","",'Final Calculation Sheet'!$W$34)</f>
        <v/>
      </c>
      <c r="DR34">
        <f>IF(DQ34="","",COUNTIFS(DQ$4:DQ$40,"&lt;"&amp;DQ34,DQ$4:DQ$40,"&lt;&gt;"&amp;"")+COUNTIF(DQ$4:DQ34,DQ34))</f>
        <v/>
      </c>
      <c r="DS34" s="55">
        <f>IF(ROW()-3&gt;COUNTIF(DQ$4:DQ$40,"&lt;&gt;"&amp;""),"",INDEX(DQ$4:DQ$40,MATCH(ROW()-3,DR$4:DR$40,0)))</f>
        <v/>
      </c>
      <c r="DT34">
        <f>DT33+IF(AND(DS34&lt;&gt;"",COUNTIF(DS$4:DS34,DS34)=1),1,0)</f>
        <v/>
      </c>
      <c r="DU34" s="55">
        <f>IF(ROW()-3&gt;MAX(DT$4:DT$40),"",INDEX(DS$4:DS$40,MATCH(ROW()-3,DT$4:DT$40,0)))</f>
        <v/>
      </c>
      <c r="DV34" s="55">
        <f>IF('Final Calculation Sheet'!$X$34="","",'Final Calculation Sheet'!$X$34)</f>
        <v/>
      </c>
      <c r="DW34">
        <f>IF(DV34="","",COUNTIFS(DV$4:DV$40,"&lt;"&amp;DV34,DV$4:DV$40,"&lt;&gt;"&amp;"")+COUNTIF(DV$4:DV34,DV34))</f>
        <v/>
      </c>
      <c r="DX34" s="55">
        <f>IF(ROW()-3&gt;COUNTIF(DV$4:DV$40,"&lt;&gt;"&amp;""),"",INDEX(DV$4:DV$40,MATCH(ROW()-3,DW$4:DW$40,0)))</f>
        <v/>
      </c>
      <c r="DY34">
        <f>DY33+IF(AND(DX34&lt;&gt;"",COUNTIF(DX$4:DX34,DX34)=1),1,0)</f>
        <v/>
      </c>
      <c r="DZ34">
        <f>IF(ROW()-3&gt;MAX(DY$4:DY$40),"",INDEX(DX$4:DX$40,MATCH(ROW()-3,DY$4:DY$40,0)))</f>
        <v/>
      </c>
      <c r="EA34">
        <f>IF('Final Calculation Sheet'!$Y$34="","",'Final Calculation Sheet'!$Y$34)</f>
        <v/>
      </c>
      <c r="EB34">
        <f>IF(EA34="","",COUNTIFS(EA$4:EA$40,"&lt;"&amp;EA34,EA$4:EA$40,"&lt;&gt;"&amp;"")+COUNTIF(EA$4:EA34,EA34))</f>
        <v/>
      </c>
      <c r="EC34">
        <f>IF(ROW()-3&gt;COUNTIF(EA$4:EA$40,"&lt;&gt;"&amp;""),"",INDEX(EA$4:EA$40,MATCH(ROW()-3,EB$4:EB$40,0)))</f>
        <v/>
      </c>
      <c r="ED34">
        <f>ED33+IF(AND(EC34&lt;&gt;"",COUNTIF(EC$4:EC34,EC34)=1),1,0)</f>
        <v/>
      </c>
      <c r="EE34">
        <f>IF(ROW()-3&gt;MAX(ED$4:ED$40),"",INDEX(EC$4:EC$40,MATCH(ROW()-3,ED$4:ED$40,0)))</f>
        <v/>
      </c>
      <c r="EF34" s="55">
        <f>IF('Final Calculation Sheet'!$Z$34="","",'Final Calculation Sheet'!$Z$34)</f>
        <v/>
      </c>
      <c r="EG34">
        <f>IF(EF34="","",COUNTIFS(EF$4:EF$40,"&lt;"&amp;EF34,EF$4:EF$40,"&lt;&gt;"&amp;"")+COUNTIF(EF$4:EF34,EF34))</f>
        <v/>
      </c>
      <c r="EH34" s="55">
        <f>IF(ROW()-3&gt;COUNTIF(EF$4:EF$40,"&lt;&gt;"&amp;""),"",INDEX(EF$4:EF$40,MATCH(ROW()-3,EG$4:EG$40,0)))</f>
        <v/>
      </c>
      <c r="EI34">
        <f>EI33+IF(AND(EH34&lt;&gt;"",COUNTIF(EH$4:EH34,EH34)=1),1,0)</f>
        <v/>
      </c>
      <c r="EJ34">
        <f>IF(ROW()-3&gt;MAX(EI$4:EI$40),"",INDEX(EH$4:EH$40,MATCH(ROW()-3,EI$4:EI$40,0)))</f>
        <v/>
      </c>
      <c r="EK34">
        <f>IF('Final Calculation Sheet'!$AA$34="","",'Final Calculation Sheet'!$AA$34)</f>
        <v/>
      </c>
      <c r="EL34">
        <f>IF(EK34="","",COUNTIFS(EK$4:EK$40,"&lt;"&amp;EK34,EK$4:EK$40,"&lt;&gt;"&amp;"")+COUNTIF(EK$4:EK34,EK34))</f>
        <v/>
      </c>
      <c r="EM34">
        <f>IF(ROW()-3&gt;COUNTIF(EK$4:EK$40,"&lt;&gt;"&amp;""),"",INDEX(EK$4:EK$40,MATCH(ROW()-3,EL$4:EL$40,0)))</f>
        <v/>
      </c>
      <c r="EN34">
        <f>EN33+IF(AND(EM34&lt;&gt;"",COUNTIF(EM$4:EM34,EM34)=1),1,0)</f>
        <v/>
      </c>
      <c r="EO34">
        <f>IF(ROW()-3&gt;MAX(EN$4:EN$40),"",INDEX(EM$4:EM$40,MATCH(ROW()-3,EN$4:EN$40,0)))</f>
        <v/>
      </c>
      <c r="EP34">
        <f>IF('Final Calculation Sheet'!$AB$34="","",'Final Calculation Sheet'!$AB$34)</f>
        <v/>
      </c>
      <c r="EQ34">
        <f>IF(EP34="","",COUNTIFS(EP$4:EP$40,"&lt;"&amp;EP34,EP$4:EP$40,"&lt;&gt;"&amp;"")+COUNTIF(EP$4:EP34,EP34))</f>
        <v/>
      </c>
      <c r="ER34">
        <f>IF(ROW()-3&gt;COUNTIF(EP$4:EP$40,"&lt;&gt;"&amp;""),"",INDEX(EP$4:EP$40,MATCH(ROW()-3,EQ$4:EQ$40,0)))</f>
        <v/>
      </c>
      <c r="ES34">
        <f>ES33+IF(AND(ER34&lt;&gt;"",COUNTIF(ER$4:ER34,ER34)=1),1,0)</f>
        <v/>
      </c>
      <c r="ET34">
        <f>IF(ROW()-3&gt;MAX(ES$4:ES$40),"",INDEX(ER$4:ER$40,MATCH(ROW()-3,ES$4:ES$40,0)))</f>
        <v/>
      </c>
      <c r="EU34" s="55">
        <f>IF('Final Calculation Sheet'!$AC$34="","",'Final Calculation Sheet'!$AC$34)</f>
        <v/>
      </c>
      <c r="EV34">
        <f>IF(EU34="","",COUNTIFS(EU$4:EU$40,"&lt;"&amp;EU34,EU$4:EU$40,"&lt;&gt;"&amp;"")+COUNTIF(EU$4:EU34,EU34))</f>
        <v/>
      </c>
      <c r="EW34" s="55">
        <f>IF(ROW()-3&gt;COUNTIF(EU$4:EU$40,"&lt;&gt;"&amp;""),"",INDEX(EU$4:EU$40,MATCH(ROW()-3,EV$4:EV$40,0)))</f>
        <v/>
      </c>
      <c r="EX34">
        <f>EX33+IF(AND(EW34&lt;&gt;"",COUNTIF(EW$4:EW34,EW34)=1),1,0)</f>
        <v/>
      </c>
      <c r="EY34" s="55">
        <f>IF(ROW()-3&gt;MAX(EX$4:EX$40),"",INDEX(EW$4:EW$40,MATCH(ROW()-3,EX$4:EX$40,0)))</f>
        <v/>
      </c>
      <c r="EZ34" s="55">
        <f>IF('Final Calculation Sheet'!$AD$34="","",'Final Calculation Sheet'!$AD$34)</f>
        <v/>
      </c>
      <c r="FA34">
        <f>IF(EZ34="","",COUNTIFS(EZ$4:EZ$40,"&lt;"&amp;EZ34,EZ$4:EZ$40,"&lt;&gt;"&amp;"")+COUNTIF(EZ$4:EZ34,EZ34))</f>
        <v/>
      </c>
      <c r="FB34" s="55">
        <f>IF(ROW()-3&gt;COUNTIF(EZ$4:EZ$40,"&lt;&gt;"&amp;""),"",INDEX(EZ$4:EZ$40,MATCH(ROW()-3,FA$4:FA$40,0)))</f>
        <v/>
      </c>
      <c r="FC34">
        <f>FC33+IF(AND(FB34&lt;&gt;"",COUNTIF(FB$4:FB34,FB34)=1),1,0)</f>
        <v/>
      </c>
      <c r="FD34">
        <f>IF(ROW()-3&gt;MAX(FC$4:FC$40),"",INDEX(FB$4:FB$40,MATCH(ROW()-3,FC$4:FC$40,0)))</f>
        <v/>
      </c>
      <c r="FE34">
        <f>IF('Final Calculation Sheet'!$AF$34="","",'Final Calculation Sheet'!$AF$34)</f>
        <v/>
      </c>
      <c r="FF34">
        <f>IF(FE34="","",COUNTIFS(FE$4:FE$40,"&lt;"&amp;FE34,FE$4:FE$40,"&lt;&gt;"&amp;"")+COUNTIF(FE$4:FE34,FE34))</f>
        <v/>
      </c>
      <c r="FG34">
        <f>IF(ROW()-3&gt;COUNTIF(FE$4:FE$40,"&lt;&gt;"&amp;""),"",INDEX(FE$4:FE$40,MATCH(ROW()-3,FF$4:FF$40,0)))</f>
        <v/>
      </c>
      <c r="FH34">
        <f>FH33+IF(AND(FG34&lt;&gt;"",COUNTIF(FG$4:FG34,FG34)=1),1,0)</f>
        <v/>
      </c>
      <c r="FI34">
        <f>IF(ROW()-3&gt;MAX(FH$4:FH$40),"",INDEX(FG$4:FG$40,MATCH(ROW()-3,FH$4:FH$40,0)))</f>
        <v/>
      </c>
      <c r="FJ34" s="141">
        <f>IF('Final Calculation Sheet'!$AG$34="","",'Final Calculation Sheet'!$AG$34)</f>
        <v/>
      </c>
      <c r="FK34">
        <f>IF(FJ34="","",COUNTIFS(FJ$4:FJ$40,"&lt;"&amp;FJ34,FJ$4:FJ$40,"&lt;&gt;"&amp;"")+COUNTIF(FJ$4:FJ34,FJ34))</f>
        <v/>
      </c>
      <c r="FL34" s="141">
        <f>IF(ROW()-3&gt;COUNTIF(FJ$4:FJ$40,"&lt;&gt;"&amp;""),"",INDEX(FJ$4:FJ$40,MATCH(ROW()-3,FK$4:FK$40,0)))</f>
        <v/>
      </c>
      <c r="FM34">
        <f>FM33+IF(AND(FL34&lt;&gt;"",COUNTIF(FL$4:FL34,FL34)=1),1,0)</f>
        <v/>
      </c>
      <c r="FN34">
        <f>IF(ROW()-3&gt;MAX(FM$4:FM$40),"",INDEX(FL$4:FL$40,MATCH(ROW()-3,FM$4:FM$40,0)))</f>
        <v/>
      </c>
      <c r="FO34">
        <f>IF('Final Calculation Sheet'!$AH$34="","",'Final Calculation Sheet'!$AH$34)</f>
        <v/>
      </c>
      <c r="FP34">
        <f>IF(FO34="","",COUNTIFS(FO$4:FO$40,"&lt;"&amp;FO34,FO$4:FO$40,"&lt;&gt;"&amp;"")+COUNTIF(FO$4:FO34,FO34))</f>
        <v/>
      </c>
      <c r="FQ34">
        <f>IF(ROW()-3&gt;COUNTIF(FO$4:FO$40,"&lt;&gt;"&amp;""),"",INDEX(FO$4:FO$40,MATCH(ROW()-3,FP$4:FP$40,0)))</f>
        <v/>
      </c>
      <c r="FR34">
        <f>FR33+IF(AND(FQ34&lt;&gt;"",COUNTIF(FQ$4:FQ34,FQ34)=1),1,0)</f>
        <v/>
      </c>
      <c r="FS34">
        <f>IF(ROW()-3&gt;MAX(FR$4:FR$40),"",INDEX(FQ$4:FQ$40,MATCH(ROW()-3,FR$4:FR$40,0)))</f>
        <v/>
      </c>
      <c r="FU34">
        <f>IF(FT34="","",COUNTIFS(FT$4:FT$40,"&lt;"&amp;FT34,FT$4:FT$40,"&lt;&gt;"&amp;"")+COUNTIF(FT$4:FT34,FT34))</f>
        <v/>
      </c>
      <c r="FV34">
        <f>IF(ROW()-3&gt;COUNTIF(FT$4:FT$40,"&lt;&gt;"&amp;""),"",INDEX(FT$4:FT$40,MATCH(ROW()-3,FU$4:FU$40,0)))</f>
        <v/>
      </c>
      <c r="FW34">
        <f>FW33+IF(AND(FV34&lt;&gt;"",COUNTIF(FV$4:FV34,FV34)=1),1,0)</f>
        <v/>
      </c>
      <c r="FX34">
        <f>IF(ROW()-3&gt;MAX(FW$4:FW$40),"",INDEX(FV$4:FV$40,MATCH(ROW()-3,FW$4:FW$40,0)))</f>
        <v/>
      </c>
      <c r="FY34">
        <f>IF(COUNTIF('Live Search'!BM$33:BO$33,0)+COUNTIF('Live Search'!BQ$33:CU$33,0)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4">
        <f>IF($Y$34="",FALSE,SUMPRODUCT(('Final Calculation Sheet'!$B$4:$B$40=$Y$34)*($FY$6:$FY$42=1))&gt;0)</f>
        <v/>
      </c>
      <c r="GA34">
        <f>$GA$33+--($FZ$34)</f>
        <v/>
      </c>
      <c r="GB34">
        <f>IF(ROW()-3&gt;MAX($GA$4:$GA$40),"",INDEX($Y$4:$Y$40,MATCH(ROW()-3,$GA$4:$GA$40,0)))</f>
        <v/>
      </c>
      <c r="GC34">
        <f>IF('Final Calculation Sheet'!$F$34="","",IF(TRIM('Final Calculation Sheet'!$G$2)="",'Final Calculation Sheet'!$F$34,IF(TRIM('Final Calculation Sheet'!$G$2)="(nonblank)",IF('Final Calculation Sheet'!$G$34&lt;&gt;"",'Final Calculation Sheet'!$F$34,""),IF(TRIM('Final Calculation Sheet'!$G$2)="(blank)",IF('Final Calculation Sheet'!$G$34="",'Final Calculation Sheet'!$F$34,""),IF(ISNUMBER(SEARCH(TRIM('Final Calculation Sheet'!$G$2),'Final Calculation Sheet'!$G$34)),'Final Calculation Sheet'!$F$34,"")))))</f>
        <v/>
      </c>
      <c r="GD34">
        <f>IF(GC34="","",COUNTIFS(GC$4:GC$40,"&lt;"&amp;GC34,GC$4:GC$40,"&lt;&gt;"&amp;"")+COUNTIF(GC$4:GC34,GC34))</f>
        <v/>
      </c>
      <c r="GE34">
        <f>IF(ROW()-3&gt;COUNTIF(GC$4:GC$40,"&lt;&gt;"&amp;""),"",INDEX(GC$4:GC$40,MATCH(ROW()-3,GD$4:GD$40,0)))</f>
        <v/>
      </c>
      <c r="GF34">
        <f>GF33+IF(AND(GE34&lt;&gt;"",COUNTIF(GE$4:GE34,GE34)=1),1,0)</f>
        <v/>
      </c>
      <c r="GG34">
        <f>IF(ROW()-3&gt;MAX(GF$4:GF$40),"",INDEX(GE$4:GE$40,MATCH(ROW()-3,GF$4:GF$40,0)))</f>
        <v/>
      </c>
      <c r="GH34">
        <f>IF('Final Calculation Sheet'!$F$34="","",IF('Live Search'!$BO$35=1,'Final Calculation Sheet'!$F$34,""))</f>
        <v/>
      </c>
      <c r="GI34">
        <f>IF(GH34="","",COUNTIFS(GH$4:GH$40,"&lt;"&amp;GH34,GH$4:GH$40,"&lt;&gt;"&amp;"")+COUNTIF(GH$4:GH34,GH34))</f>
        <v/>
      </c>
      <c r="GJ34">
        <f>IF(ROW()-3&gt;COUNTIF(GH$4:GH$40,"&lt;&gt;"&amp;""),"",INDEX(GH$4:GH$40,MATCH(ROW()-3,GI$4:GI$40,0)))</f>
        <v/>
      </c>
      <c r="GK34">
        <f>GK33+IF(AND(GJ34&lt;&gt;"",COUNTIF(GJ$4:GJ34,GJ34)=1),1,0)</f>
        <v/>
      </c>
      <c r="GL34">
        <f>IF(ROW()-3&gt;MAX(GK$4:GK$40),"",INDEX(GJ$4:GJ$40,MATCH(ROW()-3,GK$4:GK$40,0)))</f>
        <v/>
      </c>
      <c r="GM34">
        <f>IF('Final Calculation Sheet'!$F$34="","",IF(TRIM('Buyer Groups'!$C$4)="",'Final Calculation Sheet'!$F$34,IF(TRIM('Buyer Groups'!$C$4)="(nonblank)",IF('Final Calculation Sheet'!$G$34&lt;&gt;"",'Final Calculation Sheet'!$F$34,""),IF(TRIM('Buyer Groups'!$C$4)="(blank)",IF('Final Calculation Sheet'!$G$34="",'Final Calculation Sheet'!$F$34,""),IF(ISNUMBER(SEARCH(TRIM('Buyer Groups'!$C$4),'Final Calculation Sheet'!$G$34)),'Final Calculation Sheet'!$F$34,"")))))</f>
        <v/>
      </c>
      <c r="GN34">
        <f>IF(GM34="","",COUNTIFS(GM$4:GM$40,"&lt;"&amp;GM34,GM$4:GM$40,"&lt;&gt;"&amp;"")+COUNTIF(GM$4:GM34,GM34))</f>
        <v/>
      </c>
      <c r="GO34">
        <f>IF(ROW()-3&gt;COUNTIF(GM$4:GM$40,"&lt;&gt;"&amp;""),"",INDEX(GM$4:GM$40,MATCH(ROW()-3,GN$4:GN$40,0)))</f>
        <v/>
      </c>
      <c r="GP34">
        <f>GP33+IF(AND(GO34&lt;&gt;"",COUNTIF(GO$4:GO34,GO34)=1),1,0)</f>
        <v/>
      </c>
      <c r="GQ34">
        <f>IF(ROW()-3&gt;MAX(GP$4:GP$40),"",INDEX(GO$4:GO$40,MATCH(ROW()-3,GP$4:GP$40,0)))</f>
        <v/>
      </c>
      <c r="GR34">
        <f>IF('Final Calculation Sheet'!$B$34="","",IF(TRIM('Final Calculation Sheet'!$G$2)="",'Final Calculation Sheet'!$B$34,IF(TRIM('Final Calculation Sheet'!$G$2)="(nonblank)",IF('Final Calculation Sheet'!$G$34&lt;&gt;"",'Final Calculation Sheet'!$B$34,""),IF(TRIM('Final Calculation Sheet'!$G$2)="(blank)",IF('Final Calculation Sheet'!$G$34="",'Final Calculation Sheet'!$B$34,""),IF(ISNUMBER(SEARCH(TRIM('Final Calculation Sheet'!$G$2),'Final Calculation Sheet'!$G$34)),'Final Calculation Sheet'!$B$34,"")))))</f>
        <v/>
      </c>
      <c r="GS34">
        <f>IF(GR34="","",COUNTIFS(GR$4:GR$40,"&lt;"&amp;GR34,GR$4:GR$40,"&lt;&gt;"&amp;"")+COUNTIF(GR$4:GR34,GR34))</f>
        <v/>
      </c>
      <c r="GT34">
        <f>IF(ROW()-3&gt;COUNTIF(GR$4:GR$40,"&lt;&gt;"&amp;""),"",INDEX(GR$4:GR$40,MATCH(ROW()-3,GS$4:GS$40,0)))</f>
        <v/>
      </c>
      <c r="GU34">
        <f>GU33+IF(AND(GT34&lt;&gt;"",COUNTIF(GT$4:GT34,GT34)=1),1,0)</f>
        <v/>
      </c>
      <c r="GV34">
        <f>IF(ROW()-3&gt;MAX(GU$4:GU$40),"",INDEX(GT$4:GT$40,MATCH(ROW()-3,GU$4:GU$40,0)))</f>
        <v/>
      </c>
      <c r="GW34">
        <f>IF('Final Calculation Sheet'!$B$34="","",IF(TRIM('Buyer Groups'!$C$4)="",'Final Calculation Sheet'!$B$34,IF(TRIM('Buyer Groups'!$C$4)="(nonblank)",IF('Final Calculation Sheet'!$G$34&lt;&gt;"",'Final Calculation Sheet'!$B$34,""),IF(TRIM('Buyer Groups'!$C$4)="(blank)",IF('Final Calculation Sheet'!$G$34="",'Final Calculation Sheet'!$B$34,""),IF(ISNUMBER(SEARCH(TRIM('Buyer Groups'!$C$4),'Final Calculation Sheet'!$G$34)),'Final Calculation Sheet'!$B$34,"")))))</f>
        <v/>
      </c>
      <c r="GX34">
        <f>IF(GW34="","",COUNTIFS(GW$4:GW$40,"&lt;"&amp;GW34,GW$4:GW$40,"&lt;&gt;"&amp;"")+COUNTIF(GW$4:GW34,GW34))</f>
        <v/>
      </c>
      <c r="GY34">
        <f>IF(ROW()-3&gt;COUNTIF(GW$4:GW$40,"&lt;&gt;"&amp;""),"",INDEX(GW$4:GW$40,MATCH(ROW()-3,GX$4:GX$40,0)))</f>
        <v/>
      </c>
      <c r="GZ34">
        <f>GZ33+IF(AND(GY34&lt;&gt;"",COUNTIF(GY$4:GY34,GY34)=1),1,0)</f>
        <v/>
      </c>
      <c r="HA34">
        <f>IF(ROW()-3&gt;MAX(GZ$4:GZ$40),"",INDEX(GY$4:GY$40,MATCH(ROW()-3,GZ$4:GZ$40,0)))</f>
        <v/>
      </c>
    </row>
    <row r="35">
      <c r="A35">
        <f>IF('Final Calculation Sheet'!$F$35="","",'Final Calculation Sheet'!$F$35)</f>
        <v/>
      </c>
      <c r="B35">
        <f>IF(A35="","",COUNTIFS(A$4:A$114,"&lt;"&amp;A35,A$4:A$114,"&lt;&gt;"&amp;"")+COUNTIF(A$4:A35,A35))</f>
        <v/>
      </c>
      <c r="C35">
        <f>IF(ROW()-3&gt;COUNTIF(A$4:A$114,"&lt;&gt;"&amp;""),"",INDEX(A$4:A$114,MATCH(ROW()-3,B$4:B$114,0)))</f>
        <v/>
      </c>
      <c r="D35">
        <f>D34+IF(AND(C35&lt;&gt;"",COUNTIF(C$4:C35,C35)=1),1,0)</f>
        <v/>
      </c>
      <c r="E35">
        <f>IF(ROW()-3&gt;MAX(D$4:D$114),"",INDEX(C$4:C$114,MATCH(ROW()-3,D$4:D$114,0)))</f>
        <v/>
      </c>
      <c r="F35">
        <f>ROW()-3</f>
        <v/>
      </c>
      <c r="G35">
        <f>IF(F35="","",COUNTIFS(F$4:F$40,"&lt;"&amp;F35,F$4:F$40,"&lt;&gt;"&amp;"")+COUNTIF(F$4:F35,F35))</f>
        <v/>
      </c>
      <c r="H35">
        <f>IF(ROW()-3&gt;COUNTIF(F$4:F$40,"&lt;&gt;"&amp;""),"",INDEX(F$4:F$40,MATCH(ROW()-3,G$4:G$40,0)))</f>
        <v/>
      </c>
      <c r="I35">
        <f>I34+IF(AND(H35&lt;&gt;"",COUNTIF(H$4:H35,H35)=1),1,0)</f>
        <v/>
      </c>
      <c r="J35">
        <f>IF(ROW()-3&gt;MAX(I$4:I$40),"",INDEX(H$4:H$40,MATCH(ROW()-3,I$4:I$40,0)))</f>
        <v/>
      </c>
      <c r="K35">
        <f>IF('Final Calculation Sheet'!$F$35="","",'Final Calculation Sheet'!$F$35)</f>
        <v/>
      </c>
      <c r="L35">
        <f>IF(K35="","",COUNTIFS(K$4:K$40,"&lt;"&amp;K35,K$4:K$40,"&lt;&gt;"&amp;"")+COUNTIF(K$4:K35,K35))</f>
        <v/>
      </c>
      <c r="M35">
        <f>IF(ROW()-3&gt;COUNTIF(K$4:K$40,"&lt;&gt;"&amp;""),"",INDEX(K$4:K$40,MATCH(ROW()-3,L$4:L$40,0)))</f>
        <v/>
      </c>
      <c r="N35">
        <f>N34+IF(AND(M35&lt;&gt;"",COUNTIF(M$4:M35,M35)=1),1,0)</f>
        <v/>
      </c>
      <c r="O35">
        <f>IF(ROW()-3&gt;MAX(N$4:N$40),"",INDEX(M$4:M$40,MATCH(ROW()-3,N$4:N$40,0)))</f>
        <v/>
      </c>
      <c r="P35">
        <f>IF('Final Calculation Sheet'!$G$35="","",'Final Calculation Sheet'!$G$35)</f>
        <v/>
      </c>
      <c r="Q35">
        <f>IF(P35="","",COUNTIFS(P$4:P$40,"&lt;"&amp;P35,P$4:P$40,"&lt;&gt;"&amp;"")+COUNTIF(P$4:P35,P35))</f>
        <v/>
      </c>
      <c r="R35">
        <f>IF(ROW()-3&gt;COUNTIF(P$4:P$40,"&lt;&gt;"&amp;""),"",INDEX(P$4:P$40,MATCH(ROW()-3,Q$4:Q$40,0)))</f>
        <v/>
      </c>
      <c r="S35">
        <f>S34+IF(AND(R35&lt;&gt;"",COUNTIF(R$4:R35,R35)=1),1,0)</f>
        <v/>
      </c>
      <c r="T35">
        <f>IF(ROW()-3&gt;MAX(S$4:S$40),"",INDEX(R$4:R$40,MATCH(ROW()-3,S$4:S$40,0)))</f>
        <v/>
      </c>
      <c r="U35">
        <f>IF('Final Calculation Sheet'!$B$35="","",'Final Calculation Sheet'!$B$35)</f>
        <v/>
      </c>
      <c r="V35">
        <f>IF(U35="","",COUNTIFS(U$4:U$40,"&lt;"&amp;U35,U$4:U$40,"&lt;&gt;"&amp;"")+COUNTIF(U$4:U35,U35))</f>
        <v/>
      </c>
      <c r="W35">
        <f>IF(ROW()-3&gt;COUNTIF(U$4:U$40,"&lt;&gt;"&amp;""),"",INDEX(U$4:U$40,MATCH(ROW()-3,V$4:V$40,0)))</f>
        <v/>
      </c>
      <c r="X35">
        <f>X34+IF(AND(W35&lt;&gt;"",COUNTIF(W$4:W35,W35)=1),1,0)</f>
        <v/>
      </c>
      <c r="Y35">
        <f>IF(ROW()-3&gt;MAX(X$4:X$40),"",INDEX(W$4:W$40,MATCH(ROW()-3,X$4:X$40,0)))</f>
        <v/>
      </c>
      <c r="Z35">
        <f>IF('Final Calculation Sheet'!$D$35="","",'Final Calculation Sheet'!$D$35)</f>
        <v/>
      </c>
      <c r="AA35">
        <f>IF(Z35="","",COUNTIFS(Z$4:Z$40,"&lt;"&amp;Z35,Z$4:Z$40,"&lt;&gt;"&amp;"")+COUNTIF(Z$4:Z35,Z35))</f>
        <v/>
      </c>
      <c r="AB35">
        <f>IF(ROW()-3&gt;COUNTIF(Z$4:Z$40,"&lt;&gt;"&amp;""),"",INDEX(Z$4:Z$40,MATCH(ROW()-3,AA$4:AA$40,0)))</f>
        <v/>
      </c>
      <c r="AC35">
        <f>AC34+IF(AND(AB35&lt;&gt;"",COUNTIF(AB$4:AB35,AB35)=1),1,0)</f>
        <v/>
      </c>
      <c r="AD35">
        <f>IF(ROW()-3&gt;MAX(AC$4:AC$40),"",INDEX(AB$4:AB$40,MATCH(ROW()-3,AC$4:AC$40,0)))</f>
        <v/>
      </c>
      <c r="AE35">
        <f>IF('Final Calculation Sheet'!$A$35="","",'Final Calculation Sheet'!$A$35)</f>
        <v/>
      </c>
      <c r="AF35">
        <f>IF(AE35="","",COUNTIFS(AE$4:AE$40,"&lt;"&amp;AE35,AE$4:AE$40,"&lt;&gt;"&amp;"")+COUNTIF(AE$4:AE35,AE35))</f>
        <v/>
      </c>
      <c r="AG35">
        <f>IF(ROW()-3&gt;COUNTIF(AE$4:AE$40,"&lt;&gt;"&amp;""),"",INDEX(AE$4:AE$40,MATCH(ROW()-3,AF$4:AF$40,0)))</f>
        <v/>
      </c>
      <c r="AH35">
        <f>AH34+IF(AND(AG35&lt;&gt;"",COUNTIF(AG$4:AG35,AG35)=1),1,0)</f>
        <v/>
      </c>
      <c r="AI35">
        <f>IF(ROW()-3&gt;MAX(AH$4:AH$40),"",INDEX(AG$4:AG$40,MATCH(ROW()-3,AH$4:AH$40,0)))</f>
        <v/>
      </c>
      <c r="AJ35">
        <f>IF('Final Calculation Sheet'!$E$35="","",'Final Calculation Sheet'!$E$35)</f>
        <v/>
      </c>
      <c r="AK35">
        <f>IF(AJ35="","",COUNTIFS(AJ$4:AJ$40,"&lt;"&amp;AJ35,AJ$4:AJ$40,"&lt;&gt;"&amp;"")+COUNTIF(AJ$4:AJ35,AJ35))</f>
        <v/>
      </c>
      <c r="AL35">
        <f>IF(ROW()-3&gt;COUNTIF(AJ$4:AJ$40,"&lt;&gt;"&amp;""),"",INDEX(AJ$4:AJ$40,MATCH(ROW()-3,AK$4:AK$40,0)))</f>
        <v/>
      </c>
      <c r="AM35">
        <f>AM34+IF(AND(AL35&lt;&gt;"",COUNTIF(AL$4:AL35,AL35)=1),1,0)</f>
        <v/>
      </c>
      <c r="AN35">
        <f>IF(ROW()-3&gt;MAX(AM$4:AM$40),"",INDEX(AL$4:AL$40,MATCH(ROW()-3,AM$4:AM$40,0)))</f>
        <v/>
      </c>
      <c r="AO35" s="55">
        <f>IF('Final Calculation Sheet'!$C$35="","",'Final Calculation Sheet'!$C$35)</f>
        <v/>
      </c>
      <c r="AP35">
        <f>IF(AO35="","",COUNTIFS(AO$4:AO$40,"&lt;"&amp;AO35,AO$4:AO$40,"&lt;&gt;"&amp;"")+COUNTIF(AO$4:AO35,AO35))</f>
        <v/>
      </c>
      <c r="AQ35" s="55">
        <f>IF(ROW()-3&gt;COUNTIF(AO$4:AO$40,"&lt;&gt;"&amp;""),"",INDEX(AO$4:AO$40,MATCH(ROW()-3,AP$4:AP$40,0)))</f>
        <v/>
      </c>
      <c r="AR35">
        <f>AR34+IF(AND(AQ35&lt;&gt;"",COUNTIF(AQ$4:AQ35,AQ35)=1),1,0)</f>
        <v/>
      </c>
      <c r="AS35" s="55">
        <f>IF(ROW()-3&gt;MAX(AR$4:AR$40),"",INDEX(AQ$4:AQ$40,MATCH(ROW()-3,AR$4:AR$40,0)))</f>
        <v/>
      </c>
      <c r="AT35" s="55">
        <f>IF('Final Calculation Sheet'!$H$35="","",'Final Calculation Sheet'!$H$35)</f>
        <v/>
      </c>
      <c r="AU35">
        <f>IF(AT35="","",COUNTIFS(AT$4:AT$40,"&lt;"&amp;AT35,AT$4:AT$40,"&lt;&gt;"&amp;"")+COUNTIF(AT$4:AT35,AT35))</f>
        <v/>
      </c>
      <c r="AV35" s="55">
        <f>IF(ROW()-3&gt;COUNTIF(AT$4:AT$40,"&lt;&gt;"&amp;""),"",INDEX(AT$4:AT$40,MATCH(ROW()-3,AU$4:AU$40,0)))</f>
        <v/>
      </c>
      <c r="AW35">
        <f>AW34+IF(AND(AV35&lt;&gt;"",COUNTIF(AV$4:AV35,AV35)=1),1,0)</f>
        <v/>
      </c>
      <c r="AX35" s="55">
        <f>IF(ROW()-3&gt;MAX(AW$4:AW$40),"",INDEX(AV$4:AV$40,MATCH(ROW()-3,AW$4:AW$40,0)))</f>
        <v/>
      </c>
      <c r="AY35" s="55">
        <f>IF('Final Calculation Sheet'!$I$35="","",'Final Calculation Sheet'!$I$35)</f>
        <v/>
      </c>
      <c r="AZ35">
        <f>IF(AY35="","",COUNTIFS(AY$4:AY$40,"&lt;"&amp;AY35,AY$4:AY$40,"&lt;&gt;"&amp;"")+COUNTIF(AY$4:AY35,AY35))</f>
        <v/>
      </c>
      <c r="BA35" s="55">
        <f>IF(ROW()-3&gt;COUNTIF(AY$4:AY$40,"&lt;&gt;"&amp;""),"",INDEX(AY$4:AY$40,MATCH(ROW()-3,AZ$4:AZ$40,0)))</f>
        <v/>
      </c>
      <c r="BB35">
        <f>BB34+IF(AND(BA35&lt;&gt;"",COUNTIF(BA$4:BA35,BA35)=1),1,0)</f>
        <v/>
      </c>
      <c r="BC35" s="55">
        <f>IF(ROW()-3&gt;MAX(BB$4:BB$40),"",INDEX(BA$4:BA$40,MATCH(ROW()-3,BB$4:BB$40,0)))</f>
        <v/>
      </c>
      <c r="BD35" s="55">
        <f>IF('Final Calculation Sheet'!$J$35="","",'Final Calculation Sheet'!$J$35)</f>
        <v/>
      </c>
      <c r="BE35">
        <f>IF(BD35="","",COUNTIFS(BD$4:BD$40,"&lt;"&amp;BD35,BD$4:BD$40,"&lt;&gt;"&amp;"")+COUNTIF(BD$4:BD35,BD35))</f>
        <v/>
      </c>
      <c r="BF35" s="55">
        <f>IF(ROW()-3&gt;COUNTIF(BD$4:BD$40,"&lt;&gt;"&amp;""),"",INDEX(BD$4:BD$40,MATCH(ROW()-3,BE$4:BE$40,0)))</f>
        <v/>
      </c>
      <c r="BG35">
        <f>BG34+IF(AND(BF35&lt;&gt;"",COUNTIF(BF$4:BF35,BF35)=1),1,0)</f>
        <v/>
      </c>
      <c r="BH35" s="55">
        <f>IF(ROW()-3&gt;MAX(BG$4:BG$40),"",INDEX(BF$4:BF$40,MATCH(ROW()-3,BG$4:BG$40,0)))</f>
        <v/>
      </c>
      <c r="BI35" s="55">
        <f>IF('Final Calculation Sheet'!$K$35="","",'Final Calculation Sheet'!$K$35)</f>
        <v/>
      </c>
      <c r="BJ35">
        <f>IF(BI35="","",COUNTIFS(BI$4:BI$40,"&lt;"&amp;BI35,BI$4:BI$40,"&lt;&gt;"&amp;"")+COUNTIF(BI$4:BI35,BI35))</f>
        <v/>
      </c>
      <c r="BK35" s="55">
        <f>IF(ROW()-3&gt;COUNTIF(BI$4:BI$40,"&lt;&gt;"&amp;""),"",INDEX(BI$4:BI$40,MATCH(ROW()-3,BJ$4:BJ$40,0)))</f>
        <v/>
      </c>
      <c r="BL35">
        <f>BL34+IF(AND(BK35&lt;&gt;"",COUNTIF(BK$4:BK35,BK35)=1),1,0)</f>
        <v/>
      </c>
      <c r="BM35" s="55">
        <f>IF(ROW()-3&gt;MAX(BL$4:BL$40),"",INDEX(BK$4:BK$40,MATCH(ROW()-3,BL$4:BL$40,0)))</f>
        <v/>
      </c>
      <c r="BN35" s="55">
        <f>IF('Final Calculation Sheet'!$L$35="","",'Final Calculation Sheet'!$L$35)</f>
        <v/>
      </c>
      <c r="BO35">
        <f>IF(BN35="","",COUNTIFS(BN$4:BN$40,"&lt;"&amp;BN35,BN$4:BN$40,"&lt;&gt;"&amp;"")+COUNTIF(BN$4:BN35,BN35))</f>
        <v/>
      </c>
      <c r="BP35" s="55">
        <f>IF(ROW()-3&gt;COUNTIF(BN$4:BN$40,"&lt;&gt;"&amp;""),"",INDEX(BN$4:BN$40,MATCH(ROW()-3,BO$4:BO$40,0)))</f>
        <v/>
      </c>
      <c r="BQ35">
        <f>BQ34+IF(AND(BP35&lt;&gt;"",COUNTIF(BP$4:BP35,BP35)=1),1,0)</f>
        <v/>
      </c>
      <c r="BR35" s="55">
        <f>IF(ROW()-3&gt;MAX(BQ$4:BQ$40),"",INDEX(BP$4:BP$40,MATCH(ROW()-3,BQ$4:BQ$40,0)))</f>
        <v/>
      </c>
      <c r="BS35" s="55">
        <f>IF('Final Calculation Sheet'!$M$35="","",'Final Calculation Sheet'!$M$35)</f>
        <v/>
      </c>
      <c r="BT35">
        <f>IF(BS35="","",COUNTIFS(BS$4:BS$40,"&lt;"&amp;BS35,BS$4:BS$40,"&lt;&gt;"&amp;"")+COUNTIF(BS$4:BS35,BS35))</f>
        <v/>
      </c>
      <c r="BU35" s="55">
        <f>IF(ROW()-3&gt;COUNTIF(BS$4:BS$40,"&lt;&gt;"&amp;""),"",INDEX(BS$4:BS$40,MATCH(ROW()-3,BT$4:BT$40,0)))</f>
        <v/>
      </c>
      <c r="BV35">
        <f>BV34+IF(AND(BU35&lt;&gt;"",COUNTIF(BU$4:BU35,BU35)=1),1,0)</f>
        <v/>
      </c>
      <c r="BW35" s="55">
        <f>IF(ROW()-3&gt;MAX(BV$4:BV$40),"",INDEX(BU$4:BU$40,MATCH(ROW()-3,BV$4:BV$40,0)))</f>
        <v/>
      </c>
      <c r="BX35" s="138">
        <f>IF('Final Calculation Sheet'!$N$35="","",'Final Calculation Sheet'!$N$35)</f>
        <v/>
      </c>
      <c r="BY35">
        <f>IF(BX35="","",COUNTIFS(BX$4:BX$40,"&lt;"&amp;BX35,BX$4:BX$40,"&lt;&gt;"&amp;"")+COUNTIF(BX$4:BX35,BX35))</f>
        <v/>
      </c>
      <c r="BZ35" s="138">
        <f>IF(ROW()-3&gt;COUNTIF(BX$4:BX$40,"&lt;&gt;"&amp;""),"",INDEX(BX$4:BX$40,MATCH(ROW()-3,BY$4:BY$40,0)))</f>
        <v/>
      </c>
      <c r="CA35">
        <f>CA34+IF(AND(BZ35&lt;&gt;"",COUNTIF(BZ$4:BZ35,BZ35)=1),1,0)</f>
        <v/>
      </c>
      <c r="CB35" s="138">
        <f>IF(ROW()-3&gt;MAX(CA$4:CA$40),"",INDEX(BZ$4:BZ$40,MATCH(ROW()-3,CA$4:CA$40,0)))</f>
        <v/>
      </c>
      <c r="CC35" s="55">
        <f>IF('Final Calculation Sheet'!$O$35="","",'Final Calculation Sheet'!$O$35)</f>
        <v/>
      </c>
      <c r="CD35">
        <f>IF(CC35="","",COUNTIFS(CC$4:CC$40,"&lt;"&amp;CC35,CC$4:CC$40,"&lt;&gt;"&amp;"")+COUNTIF(CC$4:CC35,CC35))</f>
        <v/>
      </c>
      <c r="CE35" s="55">
        <f>IF(ROW()-3&gt;COUNTIF(CC$4:CC$40,"&lt;&gt;"&amp;""),"",INDEX(CC$4:CC$40,MATCH(ROW()-3,CD$4:CD$40,0)))</f>
        <v/>
      </c>
      <c r="CF35">
        <f>CF34+IF(AND(CE35&lt;&gt;"",COUNTIF(CE$4:CE35,CE35)=1),1,0)</f>
        <v/>
      </c>
      <c r="CG35" s="55">
        <f>IF(ROW()-3&gt;MAX(CF$4:CF$40),"",INDEX(CE$4:CE$40,MATCH(ROW()-3,CF$4:CF$40,0)))</f>
        <v/>
      </c>
      <c r="CH35" s="55">
        <f>IF('Final Calculation Sheet'!$P$35="","",'Final Calculation Sheet'!$P$35)</f>
        <v/>
      </c>
      <c r="CI35">
        <f>IF(CH35="","",COUNTIFS(CH$4:CH$40,"&lt;"&amp;CH35,CH$4:CH$40,"&lt;&gt;"&amp;"")+COUNTIF(CH$4:CH35,CH35))</f>
        <v/>
      </c>
      <c r="CJ35" s="55">
        <f>IF(ROW()-3&gt;COUNTIF(CH$4:CH$40,"&lt;&gt;"&amp;""),"",INDEX(CH$4:CH$40,MATCH(ROW()-3,CI$4:CI$40,0)))</f>
        <v/>
      </c>
      <c r="CK35">
        <f>CK34+IF(AND(CJ35&lt;&gt;"",COUNTIF(CJ$4:CJ35,CJ35)=1),1,0)</f>
        <v/>
      </c>
      <c r="CL35" s="55">
        <f>IF(ROW()-3&gt;MAX(CK$4:CK$40),"",INDEX(CJ$4:CJ$40,MATCH(ROW()-3,CK$4:CK$40,0)))</f>
        <v/>
      </c>
      <c r="CM35" s="139">
        <f>IF('Final Calculation Sheet'!$Q$35="","",'Final Calculation Sheet'!$Q$35)</f>
        <v/>
      </c>
      <c r="CN35">
        <f>IF(CM35="","",COUNTIFS(CM$4:CM$40,"&lt;"&amp;CM35,CM$4:CM$40,"&lt;&gt;"&amp;"")+COUNTIF(CM$4:CM35,CM35))</f>
        <v/>
      </c>
      <c r="CO35" s="139">
        <f>IF(ROW()-3&gt;COUNTIF(CM$4:CM$40,"&lt;&gt;"&amp;""),"",INDEX(CM$4:CM$40,MATCH(ROW()-3,CN$4:CN$40,0)))</f>
        <v/>
      </c>
      <c r="CP35">
        <f>CP34+IF(AND(CO35&lt;&gt;"",COUNTIF(CO$4:CO35,CO35)=1),1,0)</f>
        <v/>
      </c>
      <c r="CQ35">
        <f>IF(ROW()-3&gt;MAX(CP$4:CP$40),"",INDEX(CO$4:CO$40,MATCH(ROW()-3,CP$4:CP$40,0)))</f>
        <v/>
      </c>
      <c r="CR35" s="55">
        <f>IF('Final Calculation Sheet'!$R$35="","",'Final Calculation Sheet'!$R$35)</f>
        <v/>
      </c>
      <c r="CS35">
        <f>IF(CR35="","",COUNTIFS(CR$4:CR$40,"&lt;"&amp;CR35,CR$4:CR$40,"&lt;&gt;"&amp;"")+COUNTIF(CR$4:CR35,CR35))</f>
        <v/>
      </c>
      <c r="CT35" s="55">
        <f>IF(ROW()-3&gt;COUNTIF(CR$4:CR$40,"&lt;&gt;"&amp;""),"",INDEX(CR$4:CR$40,MATCH(ROW()-3,CS$4:CS$40,0)))</f>
        <v/>
      </c>
      <c r="CU35">
        <f>CU34+IF(AND(CT35&lt;&gt;"",COUNTIF(CT$4:CT35,CT35)=1),1,0)</f>
        <v/>
      </c>
      <c r="CV35">
        <f>IF(ROW()-3&gt;MAX(CU$4:CU$40),"",INDEX(CT$4:CT$40,MATCH(ROW()-3,CU$4:CU$40,0)))</f>
        <v/>
      </c>
      <c r="CW35" s="55">
        <f>IF('Final Calculation Sheet'!$S$35="","",'Final Calculation Sheet'!$S$35)</f>
        <v/>
      </c>
      <c r="CX35">
        <f>IF(CW35="","",COUNTIFS(CW$4:CW$40,"&lt;"&amp;CW35,CW$4:CW$40,"&lt;&gt;"&amp;"")+COUNTIF(CW$4:CW35,CW35))</f>
        <v/>
      </c>
      <c r="CY35" s="55">
        <f>IF(ROW()-3&gt;COUNTIF(CW$4:CW$40,"&lt;&gt;"&amp;""),"",INDEX(CW$4:CW$40,MATCH(ROW()-3,CX$4:CX$40,0)))</f>
        <v/>
      </c>
      <c r="CZ35">
        <f>CZ34+IF(AND(CY35&lt;&gt;"",COUNTIF(CY$4:CY35,CY35)=1),1,0)</f>
        <v/>
      </c>
      <c r="DA35" s="55">
        <f>IF(ROW()-3&gt;MAX(CZ$4:CZ$40),"",INDEX(CY$4:CY$40,MATCH(ROW()-3,CZ$4:CZ$40,0)))</f>
        <v/>
      </c>
      <c r="DB35" s="55">
        <f>IF('Final Calculation Sheet'!$T$35="","",'Final Calculation Sheet'!$T$35)</f>
        <v/>
      </c>
      <c r="DC35">
        <f>IF(DB35="","",COUNTIFS(DB$4:DB$40,"&lt;"&amp;DB35,DB$4:DB$40,"&lt;&gt;"&amp;"")+COUNTIF(DB$4:DB35,DB35))</f>
        <v/>
      </c>
      <c r="DD35" s="55">
        <f>IF(ROW()-3&gt;COUNTIF(DB$4:DB$40,"&lt;&gt;"&amp;""),"",INDEX(DB$4:DB$40,MATCH(ROW()-3,DC$4:DC$40,0)))</f>
        <v/>
      </c>
      <c r="DE35">
        <f>DE34+IF(AND(DD35&lt;&gt;"",COUNTIF(DD$4:DD35,DD35)=1),1,0)</f>
        <v/>
      </c>
      <c r="DF35" s="55">
        <f>IF(ROW()-3&gt;MAX(DE$4:DE$40),"",INDEX(DD$4:DD$40,MATCH(ROW()-3,DE$4:DE$40,0)))</f>
        <v/>
      </c>
      <c r="DG35" s="140">
        <f>IF('Final Calculation Sheet'!$U$35="","",'Final Calculation Sheet'!$U$35)</f>
        <v/>
      </c>
      <c r="DH35">
        <f>IF(DG35="","",COUNTIFS(DG$4:DG$40,"&lt;"&amp;DG35,DG$4:DG$40,"&lt;&gt;"&amp;"")+COUNTIF(DG$4:DG35,DG35))</f>
        <v/>
      </c>
      <c r="DI35" s="140">
        <f>IF(ROW()-3&gt;COUNTIF(DG$4:DG$40,"&lt;&gt;"&amp;""),"",INDEX(DG$4:DG$40,MATCH(ROW()-3,DH$4:DH$40,0)))</f>
        <v/>
      </c>
      <c r="DJ35">
        <f>DJ34+IF(AND(DI35&lt;&gt;"",COUNTIF(DI$4:DI35,DI35)=1),1,0)</f>
        <v/>
      </c>
      <c r="DK35" s="140">
        <f>IF(ROW()-3&gt;MAX(DJ$4:DJ$40),"",INDEX(DI$4:DI$40,MATCH(ROW()-3,DJ$4:DJ$40,0)))</f>
        <v/>
      </c>
      <c r="DL35">
        <f>IF('Final Calculation Sheet'!$V$35="","",'Final Calculation Sheet'!$V$35)</f>
        <v/>
      </c>
      <c r="DM35">
        <f>IF(DL35="","",COUNTIFS(DL$4:DL$40,"&lt;"&amp;DL35,DL$4:DL$40,"&lt;&gt;"&amp;"")+COUNTIF(DL$4:DL35,DL35))</f>
        <v/>
      </c>
      <c r="DN35">
        <f>IF(ROW()-3&gt;COUNTIF(DL$4:DL$40,"&lt;&gt;"&amp;""),"",INDEX(DL$4:DL$40,MATCH(ROW()-3,DM$4:DM$40,0)))</f>
        <v/>
      </c>
      <c r="DO35">
        <f>DO34+IF(AND(DN35&lt;&gt;"",COUNTIF(DN$4:DN35,DN35)=1),1,0)</f>
        <v/>
      </c>
      <c r="DP35">
        <f>IF(ROW()-3&gt;MAX(DO$4:DO$40),"",INDEX(DN$4:DN$40,MATCH(ROW()-3,DO$4:DO$40,0)))</f>
        <v/>
      </c>
      <c r="DQ35" s="55">
        <f>IF('Final Calculation Sheet'!$W$35="","",'Final Calculation Sheet'!$W$35)</f>
        <v/>
      </c>
      <c r="DR35">
        <f>IF(DQ35="","",COUNTIFS(DQ$4:DQ$40,"&lt;"&amp;DQ35,DQ$4:DQ$40,"&lt;&gt;"&amp;"")+COUNTIF(DQ$4:DQ35,DQ35))</f>
        <v/>
      </c>
      <c r="DS35" s="55">
        <f>IF(ROW()-3&gt;COUNTIF(DQ$4:DQ$40,"&lt;&gt;"&amp;""),"",INDEX(DQ$4:DQ$40,MATCH(ROW()-3,DR$4:DR$40,0)))</f>
        <v/>
      </c>
      <c r="DT35">
        <f>DT34+IF(AND(DS35&lt;&gt;"",COUNTIF(DS$4:DS35,DS35)=1),1,0)</f>
        <v/>
      </c>
      <c r="DU35" s="55">
        <f>IF(ROW()-3&gt;MAX(DT$4:DT$40),"",INDEX(DS$4:DS$40,MATCH(ROW()-3,DT$4:DT$40,0)))</f>
        <v/>
      </c>
      <c r="DV35" s="55">
        <f>IF('Final Calculation Sheet'!$X$35="","",'Final Calculation Sheet'!$X$35)</f>
        <v/>
      </c>
      <c r="DW35">
        <f>IF(DV35="","",COUNTIFS(DV$4:DV$40,"&lt;"&amp;DV35,DV$4:DV$40,"&lt;&gt;"&amp;"")+COUNTIF(DV$4:DV35,DV35))</f>
        <v/>
      </c>
      <c r="DX35" s="55">
        <f>IF(ROW()-3&gt;COUNTIF(DV$4:DV$40,"&lt;&gt;"&amp;""),"",INDEX(DV$4:DV$40,MATCH(ROW()-3,DW$4:DW$40,0)))</f>
        <v/>
      </c>
      <c r="DY35">
        <f>DY34+IF(AND(DX35&lt;&gt;"",COUNTIF(DX$4:DX35,DX35)=1),1,0)</f>
        <v/>
      </c>
      <c r="DZ35">
        <f>IF(ROW()-3&gt;MAX(DY$4:DY$40),"",INDEX(DX$4:DX$40,MATCH(ROW()-3,DY$4:DY$40,0)))</f>
        <v/>
      </c>
      <c r="EA35">
        <f>IF('Final Calculation Sheet'!$Y$35="","",'Final Calculation Sheet'!$Y$35)</f>
        <v/>
      </c>
      <c r="EB35">
        <f>IF(EA35="","",COUNTIFS(EA$4:EA$40,"&lt;"&amp;EA35,EA$4:EA$40,"&lt;&gt;"&amp;"")+COUNTIF(EA$4:EA35,EA35))</f>
        <v/>
      </c>
      <c r="EC35">
        <f>IF(ROW()-3&gt;COUNTIF(EA$4:EA$40,"&lt;&gt;"&amp;""),"",INDEX(EA$4:EA$40,MATCH(ROW()-3,EB$4:EB$40,0)))</f>
        <v/>
      </c>
      <c r="ED35">
        <f>ED34+IF(AND(EC35&lt;&gt;"",COUNTIF(EC$4:EC35,EC35)=1),1,0)</f>
        <v/>
      </c>
      <c r="EE35">
        <f>IF(ROW()-3&gt;MAX(ED$4:ED$40),"",INDEX(EC$4:EC$40,MATCH(ROW()-3,ED$4:ED$40,0)))</f>
        <v/>
      </c>
      <c r="EF35" s="55">
        <f>IF('Final Calculation Sheet'!$Z$35="","",'Final Calculation Sheet'!$Z$35)</f>
        <v/>
      </c>
      <c r="EG35">
        <f>IF(EF35="","",COUNTIFS(EF$4:EF$40,"&lt;"&amp;EF35,EF$4:EF$40,"&lt;&gt;"&amp;"")+COUNTIF(EF$4:EF35,EF35))</f>
        <v/>
      </c>
      <c r="EH35" s="55">
        <f>IF(ROW()-3&gt;COUNTIF(EF$4:EF$40,"&lt;&gt;"&amp;""),"",INDEX(EF$4:EF$40,MATCH(ROW()-3,EG$4:EG$40,0)))</f>
        <v/>
      </c>
      <c r="EI35">
        <f>EI34+IF(AND(EH35&lt;&gt;"",COUNTIF(EH$4:EH35,EH35)=1),1,0)</f>
        <v/>
      </c>
      <c r="EJ35">
        <f>IF(ROW()-3&gt;MAX(EI$4:EI$40),"",INDEX(EH$4:EH$40,MATCH(ROW()-3,EI$4:EI$40,0)))</f>
        <v/>
      </c>
      <c r="EK35">
        <f>IF('Final Calculation Sheet'!$AA$35="","",'Final Calculation Sheet'!$AA$35)</f>
        <v/>
      </c>
      <c r="EL35">
        <f>IF(EK35="","",COUNTIFS(EK$4:EK$40,"&lt;"&amp;EK35,EK$4:EK$40,"&lt;&gt;"&amp;"")+COUNTIF(EK$4:EK35,EK35))</f>
        <v/>
      </c>
      <c r="EM35">
        <f>IF(ROW()-3&gt;COUNTIF(EK$4:EK$40,"&lt;&gt;"&amp;""),"",INDEX(EK$4:EK$40,MATCH(ROW()-3,EL$4:EL$40,0)))</f>
        <v/>
      </c>
      <c r="EN35">
        <f>EN34+IF(AND(EM35&lt;&gt;"",COUNTIF(EM$4:EM35,EM35)=1),1,0)</f>
        <v/>
      </c>
      <c r="EO35">
        <f>IF(ROW()-3&gt;MAX(EN$4:EN$40),"",INDEX(EM$4:EM$40,MATCH(ROW()-3,EN$4:EN$40,0)))</f>
        <v/>
      </c>
      <c r="EP35">
        <f>IF('Final Calculation Sheet'!$AB$35="","",'Final Calculation Sheet'!$AB$35)</f>
        <v/>
      </c>
      <c r="EQ35">
        <f>IF(EP35="","",COUNTIFS(EP$4:EP$40,"&lt;"&amp;EP35,EP$4:EP$40,"&lt;&gt;"&amp;"")+COUNTIF(EP$4:EP35,EP35))</f>
        <v/>
      </c>
      <c r="ER35">
        <f>IF(ROW()-3&gt;COUNTIF(EP$4:EP$40,"&lt;&gt;"&amp;""),"",INDEX(EP$4:EP$40,MATCH(ROW()-3,EQ$4:EQ$40,0)))</f>
        <v/>
      </c>
      <c r="ES35">
        <f>ES34+IF(AND(ER35&lt;&gt;"",COUNTIF(ER$4:ER35,ER35)=1),1,0)</f>
        <v/>
      </c>
      <c r="ET35">
        <f>IF(ROW()-3&gt;MAX(ES$4:ES$40),"",INDEX(ER$4:ER$40,MATCH(ROW()-3,ES$4:ES$40,0)))</f>
        <v/>
      </c>
      <c r="EU35" s="55">
        <f>IF('Final Calculation Sheet'!$AC$35="","",'Final Calculation Sheet'!$AC$35)</f>
        <v/>
      </c>
      <c r="EV35">
        <f>IF(EU35="","",COUNTIFS(EU$4:EU$40,"&lt;"&amp;EU35,EU$4:EU$40,"&lt;&gt;"&amp;"")+COUNTIF(EU$4:EU35,EU35))</f>
        <v/>
      </c>
      <c r="EW35" s="55">
        <f>IF(ROW()-3&gt;COUNTIF(EU$4:EU$40,"&lt;&gt;"&amp;""),"",INDEX(EU$4:EU$40,MATCH(ROW()-3,EV$4:EV$40,0)))</f>
        <v/>
      </c>
      <c r="EX35">
        <f>EX34+IF(AND(EW35&lt;&gt;"",COUNTIF(EW$4:EW35,EW35)=1),1,0)</f>
        <v/>
      </c>
      <c r="EY35" s="55">
        <f>IF(ROW()-3&gt;MAX(EX$4:EX$40),"",INDEX(EW$4:EW$40,MATCH(ROW()-3,EX$4:EX$40,0)))</f>
        <v/>
      </c>
      <c r="EZ35" s="55">
        <f>IF('Final Calculation Sheet'!$AD$35="","",'Final Calculation Sheet'!$AD$35)</f>
        <v/>
      </c>
      <c r="FA35">
        <f>IF(EZ35="","",COUNTIFS(EZ$4:EZ$40,"&lt;"&amp;EZ35,EZ$4:EZ$40,"&lt;&gt;"&amp;"")+COUNTIF(EZ$4:EZ35,EZ35))</f>
        <v/>
      </c>
      <c r="FB35" s="55">
        <f>IF(ROW()-3&gt;COUNTIF(EZ$4:EZ$40,"&lt;&gt;"&amp;""),"",INDEX(EZ$4:EZ$40,MATCH(ROW()-3,FA$4:FA$40,0)))</f>
        <v/>
      </c>
      <c r="FC35">
        <f>FC34+IF(AND(FB35&lt;&gt;"",COUNTIF(FB$4:FB35,FB35)=1),1,0)</f>
        <v/>
      </c>
      <c r="FD35">
        <f>IF(ROW()-3&gt;MAX(FC$4:FC$40),"",INDEX(FB$4:FB$40,MATCH(ROW()-3,FC$4:FC$40,0)))</f>
        <v/>
      </c>
      <c r="FE35">
        <f>IF('Final Calculation Sheet'!$AF$35="","",'Final Calculation Sheet'!$AF$35)</f>
        <v/>
      </c>
      <c r="FF35">
        <f>IF(FE35="","",COUNTIFS(FE$4:FE$40,"&lt;"&amp;FE35,FE$4:FE$40,"&lt;&gt;"&amp;"")+COUNTIF(FE$4:FE35,FE35))</f>
        <v/>
      </c>
      <c r="FG35">
        <f>IF(ROW()-3&gt;COUNTIF(FE$4:FE$40,"&lt;&gt;"&amp;""),"",INDEX(FE$4:FE$40,MATCH(ROW()-3,FF$4:FF$40,0)))</f>
        <v/>
      </c>
      <c r="FH35">
        <f>FH34+IF(AND(FG35&lt;&gt;"",COUNTIF(FG$4:FG35,FG35)=1),1,0)</f>
        <v/>
      </c>
      <c r="FI35">
        <f>IF(ROW()-3&gt;MAX(FH$4:FH$40),"",INDEX(FG$4:FG$40,MATCH(ROW()-3,FH$4:FH$40,0)))</f>
        <v/>
      </c>
      <c r="FJ35" s="141">
        <f>IF('Final Calculation Sheet'!$AG$35="","",'Final Calculation Sheet'!$AG$35)</f>
        <v/>
      </c>
      <c r="FK35">
        <f>IF(FJ35="","",COUNTIFS(FJ$4:FJ$40,"&lt;"&amp;FJ35,FJ$4:FJ$40,"&lt;&gt;"&amp;"")+COUNTIF(FJ$4:FJ35,FJ35))</f>
        <v/>
      </c>
      <c r="FL35" s="141">
        <f>IF(ROW()-3&gt;COUNTIF(FJ$4:FJ$40,"&lt;&gt;"&amp;""),"",INDEX(FJ$4:FJ$40,MATCH(ROW()-3,FK$4:FK$40,0)))</f>
        <v/>
      </c>
      <c r="FM35">
        <f>FM34+IF(AND(FL35&lt;&gt;"",COUNTIF(FL$4:FL35,FL35)=1),1,0)</f>
        <v/>
      </c>
      <c r="FN35">
        <f>IF(ROW()-3&gt;MAX(FM$4:FM$40),"",INDEX(FL$4:FL$40,MATCH(ROW()-3,FM$4:FM$40,0)))</f>
        <v/>
      </c>
      <c r="FO35">
        <f>IF('Final Calculation Sheet'!$AH$35="","",'Final Calculation Sheet'!$AH$35)</f>
        <v/>
      </c>
      <c r="FP35">
        <f>IF(FO35="","",COUNTIFS(FO$4:FO$40,"&lt;"&amp;FO35,FO$4:FO$40,"&lt;&gt;"&amp;"")+COUNTIF(FO$4:FO35,FO35))</f>
        <v/>
      </c>
      <c r="FQ35">
        <f>IF(ROW()-3&gt;COUNTIF(FO$4:FO$40,"&lt;&gt;"&amp;""),"",INDEX(FO$4:FO$40,MATCH(ROW()-3,FP$4:FP$40,0)))</f>
        <v/>
      </c>
      <c r="FR35">
        <f>FR34+IF(AND(FQ35&lt;&gt;"",COUNTIF(FQ$4:FQ35,FQ35)=1),1,0)</f>
        <v/>
      </c>
      <c r="FS35">
        <f>IF(ROW()-3&gt;MAX(FR$4:FR$40),"",INDEX(FQ$4:FQ$40,MATCH(ROW()-3,FR$4:FR$40,0)))</f>
        <v/>
      </c>
      <c r="FU35">
        <f>IF(FT35="","",COUNTIFS(FT$4:FT$40,"&lt;"&amp;FT35,FT$4:FT$40,"&lt;&gt;"&amp;"")+COUNTIF(FT$4:FT35,FT35))</f>
        <v/>
      </c>
      <c r="FV35">
        <f>IF(ROW()-3&gt;COUNTIF(FT$4:FT$40,"&lt;&gt;"&amp;""),"",INDEX(FT$4:FT$40,MATCH(ROW()-3,FU$4:FU$40,0)))</f>
        <v/>
      </c>
      <c r="FW35">
        <f>FW34+IF(AND(FV35&lt;&gt;"",COUNTIF(FV$4:FV35,FV35)=1),1,0)</f>
        <v/>
      </c>
      <c r="FX35">
        <f>IF(ROW()-3&gt;MAX(FW$4:FW$40),"",INDEX(FV$4:FV$40,MATCH(ROW()-3,FW$4:FW$40,0)))</f>
        <v/>
      </c>
      <c r="FY35">
        <f>IF(COUNTIF('Live Search'!BM$34:BO$34,0)+COUNTIF('Live Search'!BQ$34:CU$34,0)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5">
        <f>IF($Y$35="",FALSE,SUMPRODUCT(('Final Calculation Sheet'!$B$4:$B$40=$Y$35)*($FY$6:$FY$42=1))&gt;0)</f>
        <v/>
      </c>
      <c r="GA35">
        <f>$GA$34+--($FZ$35)</f>
        <v/>
      </c>
      <c r="GB35">
        <f>IF(ROW()-3&gt;MAX($GA$4:$GA$40),"",INDEX($Y$4:$Y$40,MATCH(ROW()-3,$GA$4:$GA$40,0)))</f>
        <v/>
      </c>
      <c r="GC35">
        <f>IF('Final Calculation Sheet'!$F$35="","",IF(TRIM('Final Calculation Sheet'!$G$2)="",'Final Calculation Sheet'!$F$35,IF(TRIM('Final Calculation Sheet'!$G$2)="(nonblank)",IF('Final Calculation Sheet'!$G$35&lt;&gt;"",'Final Calculation Sheet'!$F$35,""),IF(TRIM('Final Calculation Sheet'!$G$2)="(blank)",IF('Final Calculation Sheet'!$G$35="",'Final Calculation Sheet'!$F$35,""),IF(ISNUMBER(SEARCH(TRIM('Final Calculation Sheet'!$G$2),'Final Calculation Sheet'!$G$35)),'Final Calculation Sheet'!$F$35,"")))))</f>
        <v/>
      </c>
      <c r="GD35">
        <f>IF(GC35="","",COUNTIFS(GC$4:GC$40,"&lt;"&amp;GC35,GC$4:GC$40,"&lt;&gt;"&amp;"")+COUNTIF(GC$4:GC35,GC35))</f>
        <v/>
      </c>
      <c r="GE35">
        <f>IF(ROW()-3&gt;COUNTIF(GC$4:GC$40,"&lt;&gt;"&amp;""),"",INDEX(GC$4:GC$40,MATCH(ROW()-3,GD$4:GD$40,0)))</f>
        <v/>
      </c>
      <c r="GF35">
        <f>GF34+IF(AND(GE35&lt;&gt;"",COUNTIF(GE$4:GE35,GE35)=1),1,0)</f>
        <v/>
      </c>
      <c r="GG35">
        <f>IF(ROW()-3&gt;MAX(GF$4:GF$40),"",INDEX(GE$4:GE$40,MATCH(ROW()-3,GF$4:GF$40,0)))</f>
        <v/>
      </c>
      <c r="GH35">
        <f>IF('Final Calculation Sheet'!$F$35="","",IF('Live Search'!$BO$36=1,'Final Calculation Sheet'!$F$35,""))</f>
        <v/>
      </c>
      <c r="GI35">
        <f>IF(GH35="","",COUNTIFS(GH$4:GH$40,"&lt;"&amp;GH35,GH$4:GH$40,"&lt;&gt;"&amp;"")+COUNTIF(GH$4:GH35,GH35))</f>
        <v/>
      </c>
      <c r="GJ35">
        <f>IF(ROW()-3&gt;COUNTIF(GH$4:GH$40,"&lt;&gt;"&amp;""),"",INDEX(GH$4:GH$40,MATCH(ROW()-3,GI$4:GI$40,0)))</f>
        <v/>
      </c>
      <c r="GK35">
        <f>GK34+IF(AND(GJ35&lt;&gt;"",COUNTIF(GJ$4:GJ35,GJ35)=1),1,0)</f>
        <v/>
      </c>
      <c r="GL35">
        <f>IF(ROW()-3&gt;MAX(GK$4:GK$40),"",INDEX(GJ$4:GJ$40,MATCH(ROW()-3,GK$4:GK$40,0)))</f>
        <v/>
      </c>
      <c r="GM35">
        <f>IF('Final Calculation Sheet'!$F$35="","",IF(TRIM('Buyer Groups'!$C$4)="",'Final Calculation Sheet'!$F$35,IF(TRIM('Buyer Groups'!$C$4)="(nonblank)",IF('Final Calculation Sheet'!$G$35&lt;&gt;"",'Final Calculation Sheet'!$F$35,""),IF(TRIM('Buyer Groups'!$C$4)="(blank)",IF('Final Calculation Sheet'!$G$35="",'Final Calculation Sheet'!$F$35,""),IF(ISNUMBER(SEARCH(TRIM('Buyer Groups'!$C$4),'Final Calculation Sheet'!$G$35)),'Final Calculation Sheet'!$F$35,"")))))</f>
        <v/>
      </c>
      <c r="GN35">
        <f>IF(GM35="","",COUNTIFS(GM$4:GM$40,"&lt;"&amp;GM35,GM$4:GM$40,"&lt;&gt;"&amp;"")+COUNTIF(GM$4:GM35,GM35))</f>
        <v/>
      </c>
      <c r="GO35">
        <f>IF(ROW()-3&gt;COUNTIF(GM$4:GM$40,"&lt;&gt;"&amp;""),"",INDEX(GM$4:GM$40,MATCH(ROW()-3,GN$4:GN$40,0)))</f>
        <v/>
      </c>
      <c r="GP35">
        <f>GP34+IF(AND(GO35&lt;&gt;"",COUNTIF(GO$4:GO35,GO35)=1),1,0)</f>
        <v/>
      </c>
      <c r="GQ35">
        <f>IF(ROW()-3&gt;MAX(GP$4:GP$40),"",INDEX(GO$4:GO$40,MATCH(ROW()-3,GP$4:GP$40,0)))</f>
        <v/>
      </c>
      <c r="GR35">
        <f>IF('Final Calculation Sheet'!$B$35="","",IF(TRIM('Final Calculation Sheet'!$G$2)="",'Final Calculation Sheet'!$B$35,IF(TRIM('Final Calculation Sheet'!$G$2)="(nonblank)",IF('Final Calculation Sheet'!$G$35&lt;&gt;"",'Final Calculation Sheet'!$B$35,""),IF(TRIM('Final Calculation Sheet'!$G$2)="(blank)",IF('Final Calculation Sheet'!$G$35="",'Final Calculation Sheet'!$B$35,""),IF(ISNUMBER(SEARCH(TRIM('Final Calculation Sheet'!$G$2),'Final Calculation Sheet'!$G$35)),'Final Calculation Sheet'!$B$35,"")))))</f>
        <v/>
      </c>
      <c r="GS35">
        <f>IF(GR35="","",COUNTIFS(GR$4:GR$40,"&lt;"&amp;GR35,GR$4:GR$40,"&lt;&gt;"&amp;"")+COUNTIF(GR$4:GR35,GR35))</f>
        <v/>
      </c>
      <c r="GT35">
        <f>IF(ROW()-3&gt;COUNTIF(GR$4:GR$40,"&lt;&gt;"&amp;""),"",INDEX(GR$4:GR$40,MATCH(ROW()-3,GS$4:GS$40,0)))</f>
        <v/>
      </c>
      <c r="GU35">
        <f>GU34+IF(AND(GT35&lt;&gt;"",COUNTIF(GT$4:GT35,GT35)=1),1,0)</f>
        <v/>
      </c>
      <c r="GV35">
        <f>IF(ROW()-3&gt;MAX(GU$4:GU$40),"",INDEX(GT$4:GT$40,MATCH(ROW()-3,GU$4:GU$40,0)))</f>
        <v/>
      </c>
      <c r="GW35">
        <f>IF('Final Calculation Sheet'!$B$35="","",IF(TRIM('Buyer Groups'!$C$4)="",'Final Calculation Sheet'!$B$35,IF(TRIM('Buyer Groups'!$C$4)="(nonblank)",IF('Final Calculation Sheet'!$G$35&lt;&gt;"",'Final Calculation Sheet'!$B$35,""),IF(TRIM('Buyer Groups'!$C$4)="(blank)",IF('Final Calculation Sheet'!$G$35="",'Final Calculation Sheet'!$B$35,""),IF(ISNUMBER(SEARCH(TRIM('Buyer Groups'!$C$4),'Final Calculation Sheet'!$G$35)),'Final Calculation Sheet'!$B$35,"")))))</f>
        <v/>
      </c>
      <c r="GX35">
        <f>IF(GW35="","",COUNTIFS(GW$4:GW$40,"&lt;"&amp;GW35,GW$4:GW$40,"&lt;&gt;"&amp;"")+COUNTIF(GW$4:GW35,GW35))</f>
        <v/>
      </c>
      <c r="GY35">
        <f>IF(ROW()-3&gt;COUNTIF(GW$4:GW$40,"&lt;&gt;"&amp;""),"",INDEX(GW$4:GW$40,MATCH(ROW()-3,GX$4:GX$40,0)))</f>
        <v/>
      </c>
      <c r="GZ35">
        <f>GZ34+IF(AND(GY35&lt;&gt;"",COUNTIF(GY$4:GY35,GY35)=1),1,0)</f>
        <v/>
      </c>
      <c r="HA35">
        <f>IF(ROW()-3&gt;MAX(GZ$4:GZ$40),"",INDEX(GY$4:GY$40,MATCH(ROW()-3,GZ$4:GZ$40,0)))</f>
        <v/>
      </c>
    </row>
    <row r="36">
      <c r="A36">
        <f>IF('Final Calculation Sheet'!$F$36="","",'Final Calculation Sheet'!$F$36)</f>
        <v/>
      </c>
      <c r="B36">
        <f>IF(A36="","",COUNTIFS(A$4:A$114,"&lt;"&amp;A36,A$4:A$114,"&lt;&gt;"&amp;"")+COUNTIF(A$4:A36,A36))</f>
        <v/>
      </c>
      <c r="C36">
        <f>IF(ROW()-3&gt;COUNTIF(A$4:A$114,"&lt;&gt;"&amp;""),"",INDEX(A$4:A$114,MATCH(ROW()-3,B$4:B$114,0)))</f>
        <v/>
      </c>
      <c r="D36">
        <f>D35+IF(AND(C36&lt;&gt;"",COUNTIF(C$4:C36,C36)=1),1,0)</f>
        <v/>
      </c>
      <c r="E36">
        <f>IF(ROW()-3&gt;MAX(D$4:D$114),"",INDEX(C$4:C$114,MATCH(ROW()-3,D$4:D$114,0)))</f>
        <v/>
      </c>
      <c r="F36">
        <f>ROW()-3</f>
        <v/>
      </c>
      <c r="G36">
        <f>IF(F36="","",COUNTIFS(F$4:F$40,"&lt;"&amp;F36,F$4:F$40,"&lt;&gt;"&amp;"")+COUNTIF(F$4:F36,F36))</f>
        <v/>
      </c>
      <c r="H36">
        <f>IF(ROW()-3&gt;COUNTIF(F$4:F$40,"&lt;&gt;"&amp;""),"",INDEX(F$4:F$40,MATCH(ROW()-3,G$4:G$40,0)))</f>
        <v/>
      </c>
      <c r="I36">
        <f>I35+IF(AND(H36&lt;&gt;"",COUNTIF(H$4:H36,H36)=1),1,0)</f>
        <v/>
      </c>
      <c r="J36">
        <f>IF(ROW()-3&gt;MAX(I$4:I$40),"",INDEX(H$4:H$40,MATCH(ROW()-3,I$4:I$40,0)))</f>
        <v/>
      </c>
      <c r="K36">
        <f>IF('Final Calculation Sheet'!$F$36="","",'Final Calculation Sheet'!$F$36)</f>
        <v/>
      </c>
      <c r="L36">
        <f>IF(K36="","",COUNTIFS(K$4:K$40,"&lt;"&amp;K36,K$4:K$40,"&lt;&gt;"&amp;"")+COUNTIF(K$4:K36,K36))</f>
        <v/>
      </c>
      <c r="M36">
        <f>IF(ROW()-3&gt;COUNTIF(K$4:K$40,"&lt;&gt;"&amp;""),"",INDEX(K$4:K$40,MATCH(ROW()-3,L$4:L$40,0)))</f>
        <v/>
      </c>
      <c r="N36">
        <f>N35+IF(AND(M36&lt;&gt;"",COUNTIF(M$4:M36,M36)=1),1,0)</f>
        <v/>
      </c>
      <c r="O36">
        <f>IF(ROW()-3&gt;MAX(N$4:N$40),"",INDEX(M$4:M$40,MATCH(ROW()-3,N$4:N$40,0)))</f>
        <v/>
      </c>
      <c r="P36">
        <f>IF('Final Calculation Sheet'!$G$36="","",'Final Calculation Sheet'!$G$36)</f>
        <v/>
      </c>
      <c r="Q36">
        <f>IF(P36="","",COUNTIFS(P$4:P$40,"&lt;"&amp;P36,P$4:P$40,"&lt;&gt;"&amp;"")+COUNTIF(P$4:P36,P36))</f>
        <v/>
      </c>
      <c r="R36">
        <f>IF(ROW()-3&gt;COUNTIF(P$4:P$40,"&lt;&gt;"&amp;""),"",INDEX(P$4:P$40,MATCH(ROW()-3,Q$4:Q$40,0)))</f>
        <v/>
      </c>
      <c r="S36">
        <f>S35+IF(AND(R36&lt;&gt;"",COUNTIF(R$4:R36,R36)=1),1,0)</f>
        <v/>
      </c>
      <c r="T36">
        <f>IF(ROW()-3&gt;MAX(S$4:S$40),"",INDEX(R$4:R$40,MATCH(ROW()-3,S$4:S$40,0)))</f>
        <v/>
      </c>
      <c r="U36">
        <f>IF('Final Calculation Sheet'!$B$36="","",'Final Calculation Sheet'!$B$36)</f>
        <v/>
      </c>
      <c r="V36">
        <f>IF(U36="","",COUNTIFS(U$4:U$40,"&lt;"&amp;U36,U$4:U$40,"&lt;&gt;"&amp;"")+COUNTIF(U$4:U36,U36))</f>
        <v/>
      </c>
      <c r="W36">
        <f>IF(ROW()-3&gt;COUNTIF(U$4:U$40,"&lt;&gt;"&amp;""),"",INDEX(U$4:U$40,MATCH(ROW()-3,V$4:V$40,0)))</f>
        <v/>
      </c>
      <c r="X36">
        <f>X35+IF(AND(W36&lt;&gt;"",COUNTIF(W$4:W36,W36)=1),1,0)</f>
        <v/>
      </c>
      <c r="Y36">
        <f>IF(ROW()-3&gt;MAX(X$4:X$40),"",INDEX(W$4:W$40,MATCH(ROW()-3,X$4:X$40,0)))</f>
        <v/>
      </c>
      <c r="Z36">
        <f>IF('Final Calculation Sheet'!$D$36="","",'Final Calculation Sheet'!$D$36)</f>
        <v/>
      </c>
      <c r="AA36">
        <f>IF(Z36="","",COUNTIFS(Z$4:Z$40,"&lt;"&amp;Z36,Z$4:Z$40,"&lt;&gt;"&amp;"")+COUNTIF(Z$4:Z36,Z36))</f>
        <v/>
      </c>
      <c r="AB36">
        <f>IF(ROW()-3&gt;COUNTIF(Z$4:Z$40,"&lt;&gt;"&amp;""),"",INDEX(Z$4:Z$40,MATCH(ROW()-3,AA$4:AA$40,0)))</f>
        <v/>
      </c>
      <c r="AC36">
        <f>AC35+IF(AND(AB36&lt;&gt;"",COUNTIF(AB$4:AB36,AB36)=1),1,0)</f>
        <v/>
      </c>
      <c r="AD36">
        <f>IF(ROW()-3&gt;MAX(AC$4:AC$40),"",INDEX(AB$4:AB$40,MATCH(ROW()-3,AC$4:AC$40,0)))</f>
        <v/>
      </c>
      <c r="AE36">
        <f>IF('Final Calculation Sheet'!$A$36="","",'Final Calculation Sheet'!$A$36)</f>
        <v/>
      </c>
      <c r="AF36">
        <f>IF(AE36="","",COUNTIFS(AE$4:AE$40,"&lt;"&amp;AE36,AE$4:AE$40,"&lt;&gt;"&amp;"")+COUNTIF(AE$4:AE36,AE36))</f>
        <v/>
      </c>
      <c r="AG36">
        <f>IF(ROW()-3&gt;COUNTIF(AE$4:AE$40,"&lt;&gt;"&amp;""),"",INDEX(AE$4:AE$40,MATCH(ROW()-3,AF$4:AF$40,0)))</f>
        <v/>
      </c>
      <c r="AH36">
        <f>AH35+IF(AND(AG36&lt;&gt;"",COUNTIF(AG$4:AG36,AG36)=1),1,0)</f>
        <v/>
      </c>
      <c r="AI36">
        <f>IF(ROW()-3&gt;MAX(AH$4:AH$40),"",INDEX(AG$4:AG$40,MATCH(ROW()-3,AH$4:AH$40,0)))</f>
        <v/>
      </c>
      <c r="AJ36">
        <f>IF('Final Calculation Sheet'!$E$36="","",'Final Calculation Sheet'!$E$36)</f>
        <v/>
      </c>
      <c r="AK36">
        <f>IF(AJ36="","",COUNTIFS(AJ$4:AJ$40,"&lt;"&amp;AJ36,AJ$4:AJ$40,"&lt;&gt;"&amp;"")+COUNTIF(AJ$4:AJ36,AJ36))</f>
        <v/>
      </c>
      <c r="AL36">
        <f>IF(ROW()-3&gt;COUNTIF(AJ$4:AJ$40,"&lt;&gt;"&amp;""),"",INDEX(AJ$4:AJ$40,MATCH(ROW()-3,AK$4:AK$40,0)))</f>
        <v/>
      </c>
      <c r="AM36">
        <f>AM35+IF(AND(AL36&lt;&gt;"",COUNTIF(AL$4:AL36,AL36)=1),1,0)</f>
        <v/>
      </c>
      <c r="AN36">
        <f>IF(ROW()-3&gt;MAX(AM$4:AM$40),"",INDEX(AL$4:AL$40,MATCH(ROW()-3,AM$4:AM$40,0)))</f>
        <v/>
      </c>
      <c r="AO36" s="55">
        <f>IF('Final Calculation Sheet'!$C$36="","",'Final Calculation Sheet'!$C$36)</f>
        <v/>
      </c>
      <c r="AP36">
        <f>IF(AO36="","",COUNTIFS(AO$4:AO$40,"&lt;"&amp;AO36,AO$4:AO$40,"&lt;&gt;"&amp;"")+COUNTIF(AO$4:AO36,AO36))</f>
        <v/>
      </c>
      <c r="AQ36" s="55">
        <f>IF(ROW()-3&gt;COUNTIF(AO$4:AO$40,"&lt;&gt;"&amp;""),"",INDEX(AO$4:AO$40,MATCH(ROW()-3,AP$4:AP$40,0)))</f>
        <v/>
      </c>
      <c r="AR36">
        <f>AR35+IF(AND(AQ36&lt;&gt;"",COUNTIF(AQ$4:AQ36,AQ36)=1),1,0)</f>
        <v/>
      </c>
      <c r="AS36" s="55">
        <f>IF(ROW()-3&gt;MAX(AR$4:AR$40),"",INDEX(AQ$4:AQ$40,MATCH(ROW()-3,AR$4:AR$40,0)))</f>
        <v/>
      </c>
      <c r="AT36" s="55">
        <f>IF('Final Calculation Sheet'!$H$36="","",'Final Calculation Sheet'!$H$36)</f>
        <v/>
      </c>
      <c r="AU36">
        <f>IF(AT36="","",COUNTIFS(AT$4:AT$40,"&lt;"&amp;AT36,AT$4:AT$40,"&lt;&gt;"&amp;"")+COUNTIF(AT$4:AT36,AT36))</f>
        <v/>
      </c>
      <c r="AV36" s="55">
        <f>IF(ROW()-3&gt;COUNTIF(AT$4:AT$40,"&lt;&gt;"&amp;""),"",INDEX(AT$4:AT$40,MATCH(ROW()-3,AU$4:AU$40,0)))</f>
        <v/>
      </c>
      <c r="AW36">
        <f>AW35+IF(AND(AV36&lt;&gt;"",COUNTIF(AV$4:AV36,AV36)=1),1,0)</f>
        <v/>
      </c>
      <c r="AX36" s="55">
        <f>IF(ROW()-3&gt;MAX(AW$4:AW$40),"",INDEX(AV$4:AV$40,MATCH(ROW()-3,AW$4:AW$40,0)))</f>
        <v/>
      </c>
      <c r="AY36" s="55">
        <f>IF('Final Calculation Sheet'!$I$36="","",'Final Calculation Sheet'!$I$36)</f>
        <v/>
      </c>
      <c r="AZ36">
        <f>IF(AY36="","",COUNTIFS(AY$4:AY$40,"&lt;"&amp;AY36,AY$4:AY$40,"&lt;&gt;"&amp;"")+COUNTIF(AY$4:AY36,AY36))</f>
        <v/>
      </c>
      <c r="BA36" s="55">
        <f>IF(ROW()-3&gt;COUNTIF(AY$4:AY$40,"&lt;&gt;"&amp;""),"",INDEX(AY$4:AY$40,MATCH(ROW()-3,AZ$4:AZ$40,0)))</f>
        <v/>
      </c>
      <c r="BB36">
        <f>BB35+IF(AND(BA36&lt;&gt;"",COUNTIF(BA$4:BA36,BA36)=1),1,0)</f>
        <v/>
      </c>
      <c r="BC36" s="55">
        <f>IF(ROW()-3&gt;MAX(BB$4:BB$40),"",INDEX(BA$4:BA$40,MATCH(ROW()-3,BB$4:BB$40,0)))</f>
        <v/>
      </c>
      <c r="BD36" s="55">
        <f>IF('Final Calculation Sheet'!$J$36="","",'Final Calculation Sheet'!$J$36)</f>
        <v/>
      </c>
      <c r="BE36">
        <f>IF(BD36="","",COUNTIFS(BD$4:BD$40,"&lt;"&amp;BD36,BD$4:BD$40,"&lt;&gt;"&amp;"")+COUNTIF(BD$4:BD36,BD36))</f>
        <v/>
      </c>
      <c r="BF36" s="55">
        <f>IF(ROW()-3&gt;COUNTIF(BD$4:BD$40,"&lt;&gt;"&amp;""),"",INDEX(BD$4:BD$40,MATCH(ROW()-3,BE$4:BE$40,0)))</f>
        <v/>
      </c>
      <c r="BG36">
        <f>BG35+IF(AND(BF36&lt;&gt;"",COUNTIF(BF$4:BF36,BF36)=1),1,0)</f>
        <v/>
      </c>
      <c r="BH36" s="55">
        <f>IF(ROW()-3&gt;MAX(BG$4:BG$40),"",INDEX(BF$4:BF$40,MATCH(ROW()-3,BG$4:BG$40,0)))</f>
        <v/>
      </c>
      <c r="BI36" s="55">
        <f>IF('Final Calculation Sheet'!$K$36="","",'Final Calculation Sheet'!$K$36)</f>
        <v/>
      </c>
      <c r="BJ36">
        <f>IF(BI36="","",COUNTIFS(BI$4:BI$40,"&lt;"&amp;BI36,BI$4:BI$40,"&lt;&gt;"&amp;"")+COUNTIF(BI$4:BI36,BI36))</f>
        <v/>
      </c>
      <c r="BK36" s="55">
        <f>IF(ROW()-3&gt;COUNTIF(BI$4:BI$40,"&lt;&gt;"&amp;""),"",INDEX(BI$4:BI$40,MATCH(ROW()-3,BJ$4:BJ$40,0)))</f>
        <v/>
      </c>
      <c r="BL36">
        <f>BL35+IF(AND(BK36&lt;&gt;"",COUNTIF(BK$4:BK36,BK36)=1),1,0)</f>
        <v/>
      </c>
      <c r="BM36" s="55">
        <f>IF(ROW()-3&gt;MAX(BL$4:BL$40),"",INDEX(BK$4:BK$40,MATCH(ROW()-3,BL$4:BL$40,0)))</f>
        <v/>
      </c>
      <c r="BN36" s="55">
        <f>IF('Final Calculation Sheet'!$L$36="","",'Final Calculation Sheet'!$L$36)</f>
        <v/>
      </c>
      <c r="BO36">
        <f>IF(BN36="","",COUNTIFS(BN$4:BN$40,"&lt;"&amp;BN36,BN$4:BN$40,"&lt;&gt;"&amp;"")+COUNTIF(BN$4:BN36,BN36))</f>
        <v/>
      </c>
      <c r="BP36" s="55">
        <f>IF(ROW()-3&gt;COUNTIF(BN$4:BN$40,"&lt;&gt;"&amp;""),"",INDEX(BN$4:BN$40,MATCH(ROW()-3,BO$4:BO$40,0)))</f>
        <v/>
      </c>
      <c r="BQ36">
        <f>BQ35+IF(AND(BP36&lt;&gt;"",COUNTIF(BP$4:BP36,BP36)=1),1,0)</f>
        <v/>
      </c>
      <c r="BR36" s="55">
        <f>IF(ROW()-3&gt;MAX(BQ$4:BQ$40),"",INDEX(BP$4:BP$40,MATCH(ROW()-3,BQ$4:BQ$40,0)))</f>
        <v/>
      </c>
      <c r="BS36" s="55">
        <f>IF('Final Calculation Sheet'!$M$36="","",'Final Calculation Sheet'!$M$36)</f>
        <v/>
      </c>
      <c r="BT36">
        <f>IF(BS36="","",COUNTIFS(BS$4:BS$40,"&lt;"&amp;BS36,BS$4:BS$40,"&lt;&gt;"&amp;"")+COUNTIF(BS$4:BS36,BS36))</f>
        <v/>
      </c>
      <c r="BU36" s="55">
        <f>IF(ROW()-3&gt;COUNTIF(BS$4:BS$40,"&lt;&gt;"&amp;""),"",INDEX(BS$4:BS$40,MATCH(ROW()-3,BT$4:BT$40,0)))</f>
        <v/>
      </c>
      <c r="BV36">
        <f>BV35+IF(AND(BU36&lt;&gt;"",COUNTIF(BU$4:BU36,BU36)=1),1,0)</f>
        <v/>
      </c>
      <c r="BW36" s="55">
        <f>IF(ROW()-3&gt;MAX(BV$4:BV$40),"",INDEX(BU$4:BU$40,MATCH(ROW()-3,BV$4:BV$40,0)))</f>
        <v/>
      </c>
      <c r="BX36" s="138">
        <f>IF('Final Calculation Sheet'!$N$36="","",'Final Calculation Sheet'!$N$36)</f>
        <v/>
      </c>
      <c r="BY36">
        <f>IF(BX36="","",COUNTIFS(BX$4:BX$40,"&lt;"&amp;BX36,BX$4:BX$40,"&lt;&gt;"&amp;"")+COUNTIF(BX$4:BX36,BX36))</f>
        <v/>
      </c>
      <c r="BZ36" s="138">
        <f>IF(ROW()-3&gt;COUNTIF(BX$4:BX$40,"&lt;&gt;"&amp;""),"",INDEX(BX$4:BX$40,MATCH(ROW()-3,BY$4:BY$40,0)))</f>
        <v/>
      </c>
      <c r="CA36">
        <f>CA35+IF(AND(BZ36&lt;&gt;"",COUNTIF(BZ$4:BZ36,BZ36)=1),1,0)</f>
        <v/>
      </c>
      <c r="CB36" s="138">
        <f>IF(ROW()-3&gt;MAX(CA$4:CA$40),"",INDEX(BZ$4:BZ$40,MATCH(ROW()-3,CA$4:CA$40,0)))</f>
        <v/>
      </c>
      <c r="CC36" s="55">
        <f>IF('Final Calculation Sheet'!$O$36="","",'Final Calculation Sheet'!$O$36)</f>
        <v/>
      </c>
      <c r="CD36">
        <f>IF(CC36="","",COUNTIFS(CC$4:CC$40,"&lt;"&amp;CC36,CC$4:CC$40,"&lt;&gt;"&amp;"")+COUNTIF(CC$4:CC36,CC36))</f>
        <v/>
      </c>
      <c r="CE36" s="55">
        <f>IF(ROW()-3&gt;COUNTIF(CC$4:CC$40,"&lt;&gt;"&amp;""),"",INDEX(CC$4:CC$40,MATCH(ROW()-3,CD$4:CD$40,0)))</f>
        <v/>
      </c>
      <c r="CF36">
        <f>CF35+IF(AND(CE36&lt;&gt;"",COUNTIF(CE$4:CE36,CE36)=1),1,0)</f>
        <v/>
      </c>
      <c r="CG36" s="55">
        <f>IF(ROW()-3&gt;MAX(CF$4:CF$40),"",INDEX(CE$4:CE$40,MATCH(ROW()-3,CF$4:CF$40,0)))</f>
        <v/>
      </c>
      <c r="CH36" s="55">
        <f>IF('Final Calculation Sheet'!$P$36="","",'Final Calculation Sheet'!$P$36)</f>
        <v/>
      </c>
      <c r="CI36">
        <f>IF(CH36="","",COUNTIFS(CH$4:CH$40,"&lt;"&amp;CH36,CH$4:CH$40,"&lt;&gt;"&amp;"")+COUNTIF(CH$4:CH36,CH36))</f>
        <v/>
      </c>
      <c r="CJ36" s="55">
        <f>IF(ROW()-3&gt;COUNTIF(CH$4:CH$40,"&lt;&gt;"&amp;""),"",INDEX(CH$4:CH$40,MATCH(ROW()-3,CI$4:CI$40,0)))</f>
        <v/>
      </c>
      <c r="CK36">
        <f>CK35+IF(AND(CJ36&lt;&gt;"",COUNTIF(CJ$4:CJ36,CJ36)=1),1,0)</f>
        <v/>
      </c>
      <c r="CL36" s="55">
        <f>IF(ROW()-3&gt;MAX(CK$4:CK$40),"",INDEX(CJ$4:CJ$40,MATCH(ROW()-3,CK$4:CK$40,0)))</f>
        <v/>
      </c>
      <c r="CM36" s="139">
        <f>IF('Final Calculation Sheet'!$Q$36="","",'Final Calculation Sheet'!$Q$36)</f>
        <v/>
      </c>
      <c r="CN36">
        <f>IF(CM36="","",COUNTIFS(CM$4:CM$40,"&lt;"&amp;CM36,CM$4:CM$40,"&lt;&gt;"&amp;"")+COUNTIF(CM$4:CM36,CM36))</f>
        <v/>
      </c>
      <c r="CO36" s="139">
        <f>IF(ROW()-3&gt;COUNTIF(CM$4:CM$40,"&lt;&gt;"&amp;""),"",INDEX(CM$4:CM$40,MATCH(ROW()-3,CN$4:CN$40,0)))</f>
        <v/>
      </c>
      <c r="CP36">
        <f>CP35+IF(AND(CO36&lt;&gt;"",COUNTIF(CO$4:CO36,CO36)=1),1,0)</f>
        <v/>
      </c>
      <c r="CQ36">
        <f>IF(ROW()-3&gt;MAX(CP$4:CP$40),"",INDEX(CO$4:CO$40,MATCH(ROW()-3,CP$4:CP$40,0)))</f>
        <v/>
      </c>
      <c r="CR36" s="55">
        <f>IF('Final Calculation Sheet'!$R$36="","",'Final Calculation Sheet'!$R$36)</f>
        <v/>
      </c>
      <c r="CS36">
        <f>IF(CR36="","",COUNTIFS(CR$4:CR$40,"&lt;"&amp;CR36,CR$4:CR$40,"&lt;&gt;"&amp;"")+COUNTIF(CR$4:CR36,CR36))</f>
        <v/>
      </c>
      <c r="CT36" s="55">
        <f>IF(ROW()-3&gt;COUNTIF(CR$4:CR$40,"&lt;&gt;"&amp;""),"",INDEX(CR$4:CR$40,MATCH(ROW()-3,CS$4:CS$40,0)))</f>
        <v/>
      </c>
      <c r="CU36">
        <f>CU35+IF(AND(CT36&lt;&gt;"",COUNTIF(CT$4:CT36,CT36)=1),1,0)</f>
        <v/>
      </c>
      <c r="CV36">
        <f>IF(ROW()-3&gt;MAX(CU$4:CU$40),"",INDEX(CT$4:CT$40,MATCH(ROW()-3,CU$4:CU$40,0)))</f>
        <v/>
      </c>
      <c r="CW36" s="55">
        <f>IF('Final Calculation Sheet'!$S$36="","",'Final Calculation Sheet'!$S$36)</f>
        <v/>
      </c>
      <c r="CX36">
        <f>IF(CW36="","",COUNTIFS(CW$4:CW$40,"&lt;"&amp;CW36,CW$4:CW$40,"&lt;&gt;"&amp;"")+COUNTIF(CW$4:CW36,CW36))</f>
        <v/>
      </c>
      <c r="CY36" s="55">
        <f>IF(ROW()-3&gt;COUNTIF(CW$4:CW$40,"&lt;&gt;"&amp;""),"",INDEX(CW$4:CW$40,MATCH(ROW()-3,CX$4:CX$40,0)))</f>
        <v/>
      </c>
      <c r="CZ36">
        <f>CZ35+IF(AND(CY36&lt;&gt;"",COUNTIF(CY$4:CY36,CY36)=1),1,0)</f>
        <v/>
      </c>
      <c r="DA36" s="55">
        <f>IF(ROW()-3&gt;MAX(CZ$4:CZ$40),"",INDEX(CY$4:CY$40,MATCH(ROW()-3,CZ$4:CZ$40,0)))</f>
        <v/>
      </c>
      <c r="DB36" s="55">
        <f>IF('Final Calculation Sheet'!$T$36="","",'Final Calculation Sheet'!$T$36)</f>
        <v/>
      </c>
      <c r="DC36">
        <f>IF(DB36="","",COUNTIFS(DB$4:DB$40,"&lt;"&amp;DB36,DB$4:DB$40,"&lt;&gt;"&amp;"")+COUNTIF(DB$4:DB36,DB36))</f>
        <v/>
      </c>
      <c r="DD36" s="55">
        <f>IF(ROW()-3&gt;COUNTIF(DB$4:DB$40,"&lt;&gt;"&amp;""),"",INDEX(DB$4:DB$40,MATCH(ROW()-3,DC$4:DC$40,0)))</f>
        <v/>
      </c>
      <c r="DE36">
        <f>DE35+IF(AND(DD36&lt;&gt;"",COUNTIF(DD$4:DD36,DD36)=1),1,0)</f>
        <v/>
      </c>
      <c r="DF36" s="55">
        <f>IF(ROW()-3&gt;MAX(DE$4:DE$40),"",INDEX(DD$4:DD$40,MATCH(ROW()-3,DE$4:DE$40,0)))</f>
        <v/>
      </c>
      <c r="DG36" s="140">
        <f>IF('Final Calculation Sheet'!$U$36="","",'Final Calculation Sheet'!$U$36)</f>
        <v/>
      </c>
      <c r="DH36">
        <f>IF(DG36="","",COUNTIFS(DG$4:DG$40,"&lt;"&amp;DG36,DG$4:DG$40,"&lt;&gt;"&amp;"")+COUNTIF(DG$4:DG36,DG36))</f>
        <v/>
      </c>
      <c r="DI36" s="140">
        <f>IF(ROW()-3&gt;COUNTIF(DG$4:DG$40,"&lt;&gt;"&amp;""),"",INDEX(DG$4:DG$40,MATCH(ROW()-3,DH$4:DH$40,0)))</f>
        <v/>
      </c>
      <c r="DJ36">
        <f>DJ35+IF(AND(DI36&lt;&gt;"",COUNTIF(DI$4:DI36,DI36)=1),1,0)</f>
        <v/>
      </c>
      <c r="DK36" s="140">
        <f>IF(ROW()-3&gt;MAX(DJ$4:DJ$40),"",INDEX(DI$4:DI$40,MATCH(ROW()-3,DJ$4:DJ$40,0)))</f>
        <v/>
      </c>
      <c r="DL36">
        <f>IF('Final Calculation Sheet'!$V$36="","",'Final Calculation Sheet'!$V$36)</f>
        <v/>
      </c>
      <c r="DM36">
        <f>IF(DL36="","",COUNTIFS(DL$4:DL$40,"&lt;"&amp;DL36,DL$4:DL$40,"&lt;&gt;"&amp;"")+COUNTIF(DL$4:DL36,DL36))</f>
        <v/>
      </c>
      <c r="DN36">
        <f>IF(ROW()-3&gt;COUNTIF(DL$4:DL$40,"&lt;&gt;"&amp;""),"",INDEX(DL$4:DL$40,MATCH(ROW()-3,DM$4:DM$40,0)))</f>
        <v/>
      </c>
      <c r="DO36">
        <f>DO35+IF(AND(DN36&lt;&gt;"",COUNTIF(DN$4:DN36,DN36)=1),1,0)</f>
        <v/>
      </c>
      <c r="DP36">
        <f>IF(ROW()-3&gt;MAX(DO$4:DO$40),"",INDEX(DN$4:DN$40,MATCH(ROW()-3,DO$4:DO$40,0)))</f>
        <v/>
      </c>
      <c r="DQ36" s="55">
        <f>IF('Final Calculation Sheet'!$W$36="","",'Final Calculation Sheet'!$W$36)</f>
        <v/>
      </c>
      <c r="DR36">
        <f>IF(DQ36="","",COUNTIFS(DQ$4:DQ$40,"&lt;"&amp;DQ36,DQ$4:DQ$40,"&lt;&gt;"&amp;"")+COUNTIF(DQ$4:DQ36,DQ36))</f>
        <v/>
      </c>
      <c r="DS36" s="55">
        <f>IF(ROW()-3&gt;COUNTIF(DQ$4:DQ$40,"&lt;&gt;"&amp;""),"",INDEX(DQ$4:DQ$40,MATCH(ROW()-3,DR$4:DR$40,0)))</f>
        <v/>
      </c>
      <c r="DT36">
        <f>DT35+IF(AND(DS36&lt;&gt;"",COUNTIF(DS$4:DS36,DS36)=1),1,0)</f>
        <v/>
      </c>
      <c r="DU36" s="55">
        <f>IF(ROW()-3&gt;MAX(DT$4:DT$40),"",INDEX(DS$4:DS$40,MATCH(ROW()-3,DT$4:DT$40,0)))</f>
        <v/>
      </c>
      <c r="DV36">
        <f>IF('Final Calculation Sheet'!$X$36="","",'Final Calculation Sheet'!$X$36)</f>
        <v/>
      </c>
      <c r="DW36">
        <f>IF(DV36="","",COUNTIFS(DV$4:DV$40,"&lt;"&amp;DV36,DV$4:DV$40,"&lt;&gt;"&amp;"")+COUNTIF(DV$4:DV36,DV36))</f>
        <v/>
      </c>
      <c r="DX36" s="55">
        <f>IF(ROW()-3&gt;COUNTIF(DV$4:DV$40,"&lt;&gt;"&amp;""),"",INDEX(DV$4:DV$40,MATCH(ROW()-3,DW$4:DW$40,0)))</f>
        <v/>
      </c>
      <c r="DY36">
        <f>DY35+IF(AND(DX36&lt;&gt;"",COUNTIF(DX$4:DX36,DX36)=1),1,0)</f>
        <v/>
      </c>
      <c r="DZ36">
        <f>IF(ROW()-3&gt;MAX(DY$4:DY$40),"",INDEX(DX$4:DX$40,MATCH(ROW()-3,DY$4:DY$40,0)))</f>
        <v/>
      </c>
      <c r="EA36" s="55">
        <f>IF('Final Calculation Sheet'!$Y$36="","",'Final Calculation Sheet'!$Y$36)</f>
        <v/>
      </c>
      <c r="EB36">
        <f>IF(EA36="","",COUNTIFS(EA$4:EA$40,"&lt;"&amp;EA36,EA$4:EA$40,"&lt;&gt;"&amp;"")+COUNTIF(EA$4:EA36,EA36))</f>
        <v/>
      </c>
      <c r="EC36">
        <f>IF(ROW()-3&gt;COUNTIF(EA$4:EA$40,"&lt;&gt;"&amp;""),"",INDEX(EA$4:EA$40,MATCH(ROW()-3,EB$4:EB$40,0)))</f>
        <v/>
      </c>
      <c r="ED36">
        <f>ED35+IF(AND(EC36&lt;&gt;"",COUNTIF(EC$4:EC36,EC36)=1),1,0)</f>
        <v/>
      </c>
      <c r="EE36">
        <f>IF(ROW()-3&gt;MAX(ED$4:ED$40),"",INDEX(EC$4:EC$40,MATCH(ROW()-3,ED$4:ED$40,0)))</f>
        <v/>
      </c>
      <c r="EF36" s="55">
        <f>IF('Final Calculation Sheet'!$Z$36="","",'Final Calculation Sheet'!$Z$36)</f>
        <v/>
      </c>
      <c r="EG36">
        <f>IF(EF36="","",COUNTIFS(EF$4:EF$40,"&lt;"&amp;EF36,EF$4:EF$40,"&lt;&gt;"&amp;"")+COUNTIF(EF$4:EF36,EF36))</f>
        <v/>
      </c>
      <c r="EH36" s="55">
        <f>IF(ROW()-3&gt;COUNTIF(EF$4:EF$40,"&lt;&gt;"&amp;""),"",INDEX(EF$4:EF$40,MATCH(ROW()-3,EG$4:EG$40,0)))</f>
        <v/>
      </c>
      <c r="EI36">
        <f>EI35+IF(AND(EH36&lt;&gt;"",COUNTIF(EH$4:EH36,EH36)=1),1,0)</f>
        <v/>
      </c>
      <c r="EJ36">
        <f>IF(ROW()-3&gt;MAX(EI$4:EI$40),"",INDEX(EH$4:EH$40,MATCH(ROW()-3,EI$4:EI$40,0)))</f>
        <v/>
      </c>
      <c r="EK36">
        <f>IF('Final Calculation Sheet'!$AA$36="","",'Final Calculation Sheet'!$AA$36)</f>
        <v/>
      </c>
      <c r="EL36">
        <f>IF(EK36="","",COUNTIFS(EK$4:EK$40,"&lt;"&amp;EK36,EK$4:EK$40,"&lt;&gt;"&amp;"")+COUNTIF(EK$4:EK36,EK36))</f>
        <v/>
      </c>
      <c r="EM36">
        <f>IF(ROW()-3&gt;COUNTIF(EK$4:EK$40,"&lt;&gt;"&amp;""),"",INDEX(EK$4:EK$40,MATCH(ROW()-3,EL$4:EL$40,0)))</f>
        <v/>
      </c>
      <c r="EN36">
        <f>EN35+IF(AND(EM36&lt;&gt;"",COUNTIF(EM$4:EM36,EM36)=1),1,0)</f>
        <v/>
      </c>
      <c r="EO36">
        <f>IF(ROW()-3&gt;MAX(EN$4:EN$40),"",INDEX(EM$4:EM$40,MATCH(ROW()-3,EN$4:EN$40,0)))</f>
        <v/>
      </c>
      <c r="EP36">
        <f>IF('Final Calculation Sheet'!$AB$36="","",'Final Calculation Sheet'!$AB$36)</f>
        <v/>
      </c>
      <c r="EQ36">
        <f>IF(EP36="","",COUNTIFS(EP$4:EP$40,"&lt;"&amp;EP36,EP$4:EP$40,"&lt;&gt;"&amp;"")+COUNTIF(EP$4:EP36,EP36))</f>
        <v/>
      </c>
      <c r="ER36">
        <f>IF(ROW()-3&gt;COUNTIF(EP$4:EP$40,"&lt;&gt;"&amp;""),"",INDEX(EP$4:EP$40,MATCH(ROW()-3,EQ$4:EQ$40,0)))</f>
        <v/>
      </c>
      <c r="ES36">
        <f>ES35+IF(AND(ER36&lt;&gt;"",COUNTIF(ER$4:ER36,ER36)=1),1,0)</f>
        <v/>
      </c>
      <c r="ET36">
        <f>IF(ROW()-3&gt;MAX(ES$4:ES$40),"",INDEX(ER$4:ER$40,MATCH(ROW()-3,ES$4:ES$40,0)))</f>
        <v/>
      </c>
      <c r="EU36" s="55">
        <f>IF('Final Calculation Sheet'!$AC$36="","",'Final Calculation Sheet'!$AC$36)</f>
        <v/>
      </c>
      <c r="EV36">
        <f>IF(EU36="","",COUNTIFS(EU$4:EU$40,"&lt;"&amp;EU36,EU$4:EU$40,"&lt;&gt;"&amp;"")+COUNTIF(EU$4:EU36,EU36))</f>
        <v/>
      </c>
      <c r="EW36" s="55">
        <f>IF(ROW()-3&gt;COUNTIF(EU$4:EU$40,"&lt;&gt;"&amp;""),"",INDEX(EU$4:EU$40,MATCH(ROW()-3,EV$4:EV$40,0)))</f>
        <v/>
      </c>
      <c r="EX36">
        <f>EX35+IF(AND(EW36&lt;&gt;"",COUNTIF(EW$4:EW36,EW36)=1),1,0)</f>
        <v/>
      </c>
      <c r="EY36" s="55">
        <f>IF(ROW()-3&gt;MAX(EX$4:EX$40),"",INDEX(EW$4:EW$40,MATCH(ROW()-3,EX$4:EX$40,0)))</f>
        <v/>
      </c>
      <c r="EZ36" s="55">
        <f>IF('Final Calculation Sheet'!$AD$36="","",'Final Calculation Sheet'!$AD$36)</f>
        <v/>
      </c>
      <c r="FA36">
        <f>IF(EZ36="","",COUNTIFS(EZ$4:EZ$40,"&lt;"&amp;EZ36,EZ$4:EZ$40,"&lt;&gt;"&amp;"")+COUNTIF(EZ$4:EZ36,EZ36))</f>
        <v/>
      </c>
      <c r="FB36" s="55">
        <f>IF(ROW()-3&gt;COUNTIF(EZ$4:EZ$40,"&lt;&gt;"&amp;""),"",INDEX(EZ$4:EZ$40,MATCH(ROW()-3,FA$4:FA$40,0)))</f>
        <v/>
      </c>
      <c r="FC36">
        <f>FC35+IF(AND(FB36&lt;&gt;"",COUNTIF(FB$4:FB36,FB36)=1),1,0)</f>
        <v/>
      </c>
      <c r="FD36">
        <f>IF(ROW()-3&gt;MAX(FC$4:FC$40),"",INDEX(FB$4:FB$40,MATCH(ROW()-3,FC$4:FC$40,0)))</f>
        <v/>
      </c>
      <c r="FE36">
        <f>IF('Final Calculation Sheet'!$AF$36="","",'Final Calculation Sheet'!$AF$36)</f>
        <v/>
      </c>
      <c r="FF36">
        <f>IF(FE36="","",COUNTIFS(FE$4:FE$40,"&lt;"&amp;FE36,FE$4:FE$40,"&lt;&gt;"&amp;"")+COUNTIF(FE$4:FE36,FE36))</f>
        <v/>
      </c>
      <c r="FG36">
        <f>IF(ROW()-3&gt;COUNTIF(FE$4:FE$40,"&lt;&gt;"&amp;""),"",INDEX(FE$4:FE$40,MATCH(ROW()-3,FF$4:FF$40,0)))</f>
        <v/>
      </c>
      <c r="FH36">
        <f>FH35+IF(AND(FG36&lt;&gt;"",COUNTIF(FG$4:FG36,FG36)=1),1,0)</f>
        <v/>
      </c>
      <c r="FI36">
        <f>IF(ROW()-3&gt;MAX(FH$4:FH$40),"",INDEX(FG$4:FG$40,MATCH(ROW()-3,FH$4:FH$40,0)))</f>
        <v/>
      </c>
      <c r="FJ36">
        <f>IF('Final Calculation Sheet'!$AG$36="","",'Final Calculation Sheet'!$AG$36)</f>
        <v/>
      </c>
      <c r="FK36">
        <f>IF(FJ36="","",COUNTIFS(FJ$4:FJ$40,"&lt;"&amp;FJ36,FJ$4:FJ$40,"&lt;&gt;"&amp;"")+COUNTIF(FJ$4:FJ36,FJ36))</f>
        <v/>
      </c>
      <c r="FL36">
        <f>IF(ROW()-3&gt;COUNTIF(FJ$4:FJ$40,"&lt;&gt;"&amp;""),"",INDEX(FJ$4:FJ$40,MATCH(ROW()-3,FK$4:FK$40,0)))</f>
        <v/>
      </c>
      <c r="FM36">
        <f>FM35+IF(AND(FL36&lt;&gt;"",COUNTIF(FL$4:FL36,FL36)=1),1,0)</f>
        <v/>
      </c>
      <c r="FN36">
        <f>IF(ROW()-3&gt;MAX(FM$4:FM$40),"",INDEX(FL$4:FL$40,MATCH(ROW()-3,FM$4:FM$40,0)))</f>
        <v/>
      </c>
      <c r="FO36">
        <f>IF('Final Calculation Sheet'!$AH$36="","",'Final Calculation Sheet'!$AH$36)</f>
        <v/>
      </c>
      <c r="FP36">
        <f>IF(FO36="","",COUNTIFS(FO$4:FO$40,"&lt;"&amp;FO36,FO$4:FO$40,"&lt;&gt;"&amp;"")+COUNTIF(FO$4:FO36,FO36))</f>
        <v/>
      </c>
      <c r="FQ36">
        <f>IF(ROW()-3&gt;COUNTIF(FO$4:FO$40,"&lt;&gt;"&amp;""),"",INDEX(FO$4:FO$40,MATCH(ROW()-3,FP$4:FP$40,0)))</f>
        <v/>
      </c>
      <c r="FR36">
        <f>FR35+IF(AND(FQ36&lt;&gt;"",COUNTIF(FQ$4:FQ36,FQ36)=1),1,0)</f>
        <v/>
      </c>
      <c r="FS36">
        <f>IF(ROW()-3&gt;MAX(FR$4:FR$40),"",INDEX(FQ$4:FQ$40,MATCH(ROW()-3,FR$4:FR$40,0)))</f>
        <v/>
      </c>
      <c r="FU36">
        <f>IF(FT36="","",COUNTIFS(FT$4:FT$40,"&lt;"&amp;FT36,FT$4:FT$40,"&lt;&gt;"&amp;"")+COUNTIF(FT$4:FT36,FT36))</f>
        <v/>
      </c>
      <c r="FV36">
        <f>IF(ROW()-3&gt;COUNTIF(FT$4:FT$40,"&lt;&gt;"&amp;""),"",INDEX(FT$4:FT$40,MATCH(ROW()-3,FU$4:FU$40,0)))</f>
        <v/>
      </c>
      <c r="FW36">
        <f>FW35+IF(AND(FV36&lt;&gt;"",COUNTIF(FV$4:FV36,FV36)=1),1,0)</f>
        <v/>
      </c>
      <c r="FX36">
        <f>IF(ROW()-3&gt;MAX(FW$4:FW$40),"",INDEX(FV$4:FV$40,MATCH(ROW()-3,FW$4:FW$40,0)))</f>
        <v/>
      </c>
      <c r="FY36">
        <f>IF(COUNTIF('Live Search'!BM$35:BO$35,0)+COUNTIF('Live Search'!BQ$35:CU$35,0)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6">
        <f>IF($Y$36="",FALSE,SUMPRODUCT(('Final Calculation Sheet'!$B$4:$B$40=$Y$36)*($FY$6:$FY$42=1))&gt;0)</f>
        <v/>
      </c>
      <c r="GA36">
        <f>$GA$35+--($FZ$36)</f>
        <v/>
      </c>
      <c r="GB36">
        <f>IF(ROW()-3&gt;MAX($GA$4:$GA$40),"",INDEX($Y$4:$Y$40,MATCH(ROW()-3,$GA$4:$GA$40,0)))</f>
        <v/>
      </c>
      <c r="GC36">
        <f>IF('Final Calculation Sheet'!$F$36="","",IF(TRIM('Final Calculation Sheet'!$G$2)="",'Final Calculation Sheet'!$F$36,IF(TRIM('Final Calculation Sheet'!$G$2)="(nonblank)",IF('Final Calculation Sheet'!$G$36&lt;&gt;"",'Final Calculation Sheet'!$F$36,""),IF(TRIM('Final Calculation Sheet'!$G$2)="(blank)",IF('Final Calculation Sheet'!$G$36="",'Final Calculation Sheet'!$F$36,""),IF(ISNUMBER(SEARCH(TRIM('Final Calculation Sheet'!$G$2),'Final Calculation Sheet'!$G$36)),'Final Calculation Sheet'!$F$36,"")))))</f>
        <v/>
      </c>
      <c r="GD36">
        <f>IF(GC36="","",COUNTIFS(GC$4:GC$40,"&lt;"&amp;GC36,GC$4:GC$40,"&lt;&gt;"&amp;"")+COUNTIF(GC$4:GC36,GC36))</f>
        <v/>
      </c>
      <c r="GE36">
        <f>IF(ROW()-3&gt;COUNTIF(GC$4:GC$40,"&lt;&gt;"&amp;""),"",INDEX(GC$4:GC$40,MATCH(ROW()-3,GD$4:GD$40,0)))</f>
        <v/>
      </c>
      <c r="GF36">
        <f>GF35+IF(AND(GE36&lt;&gt;"",COUNTIF(GE$4:GE36,GE36)=1),1,0)</f>
        <v/>
      </c>
      <c r="GG36">
        <f>IF(ROW()-3&gt;MAX(GF$4:GF$40),"",INDEX(GE$4:GE$40,MATCH(ROW()-3,GF$4:GF$40,0)))</f>
        <v/>
      </c>
      <c r="GH36">
        <f>IF('Final Calculation Sheet'!$F$36="","",IF('Live Search'!$BO$37=1,'Final Calculation Sheet'!$F$36,""))</f>
        <v/>
      </c>
      <c r="GI36">
        <f>IF(GH36="","",COUNTIFS(GH$4:GH$40,"&lt;"&amp;GH36,GH$4:GH$40,"&lt;&gt;"&amp;"")+COUNTIF(GH$4:GH36,GH36))</f>
        <v/>
      </c>
      <c r="GJ36">
        <f>IF(ROW()-3&gt;COUNTIF(GH$4:GH$40,"&lt;&gt;"&amp;""),"",INDEX(GH$4:GH$40,MATCH(ROW()-3,GI$4:GI$40,0)))</f>
        <v/>
      </c>
      <c r="GK36">
        <f>GK35+IF(AND(GJ36&lt;&gt;"",COUNTIF(GJ$4:GJ36,GJ36)=1),1,0)</f>
        <v/>
      </c>
      <c r="GL36">
        <f>IF(ROW()-3&gt;MAX(GK$4:GK$40),"",INDEX(GJ$4:GJ$40,MATCH(ROW()-3,GK$4:GK$40,0)))</f>
        <v/>
      </c>
      <c r="GM36">
        <f>IF('Final Calculation Sheet'!$F$36="","",IF(TRIM('Buyer Groups'!$C$4)="",'Final Calculation Sheet'!$F$36,IF(TRIM('Buyer Groups'!$C$4)="(nonblank)",IF('Final Calculation Sheet'!$G$36&lt;&gt;"",'Final Calculation Sheet'!$F$36,""),IF(TRIM('Buyer Groups'!$C$4)="(blank)",IF('Final Calculation Sheet'!$G$36="",'Final Calculation Sheet'!$F$36,""),IF(ISNUMBER(SEARCH(TRIM('Buyer Groups'!$C$4),'Final Calculation Sheet'!$G$36)),'Final Calculation Sheet'!$F$36,"")))))</f>
        <v/>
      </c>
      <c r="GN36">
        <f>IF(GM36="","",COUNTIFS(GM$4:GM$40,"&lt;"&amp;GM36,GM$4:GM$40,"&lt;&gt;"&amp;"")+COUNTIF(GM$4:GM36,GM36))</f>
        <v/>
      </c>
      <c r="GO36">
        <f>IF(ROW()-3&gt;COUNTIF(GM$4:GM$40,"&lt;&gt;"&amp;""),"",INDEX(GM$4:GM$40,MATCH(ROW()-3,GN$4:GN$40,0)))</f>
        <v/>
      </c>
      <c r="GP36">
        <f>GP35+IF(AND(GO36&lt;&gt;"",COUNTIF(GO$4:GO36,GO36)=1),1,0)</f>
        <v/>
      </c>
      <c r="GQ36">
        <f>IF(ROW()-3&gt;MAX(GP$4:GP$40),"",INDEX(GO$4:GO$40,MATCH(ROW()-3,GP$4:GP$40,0)))</f>
        <v/>
      </c>
      <c r="GR36">
        <f>IF('Final Calculation Sheet'!$B$36="","",IF(TRIM('Final Calculation Sheet'!$G$2)="",'Final Calculation Sheet'!$B$36,IF(TRIM('Final Calculation Sheet'!$G$2)="(nonblank)",IF('Final Calculation Sheet'!$G$36&lt;&gt;"",'Final Calculation Sheet'!$B$36,""),IF(TRIM('Final Calculation Sheet'!$G$2)="(blank)",IF('Final Calculation Sheet'!$G$36="",'Final Calculation Sheet'!$B$36,""),IF(ISNUMBER(SEARCH(TRIM('Final Calculation Sheet'!$G$2),'Final Calculation Sheet'!$G$36)),'Final Calculation Sheet'!$B$36,"")))))</f>
        <v/>
      </c>
      <c r="GS36">
        <f>IF(GR36="","",COUNTIFS(GR$4:GR$40,"&lt;"&amp;GR36,GR$4:GR$40,"&lt;&gt;"&amp;"")+COUNTIF(GR$4:GR36,GR36))</f>
        <v/>
      </c>
      <c r="GT36">
        <f>IF(ROW()-3&gt;COUNTIF(GR$4:GR$40,"&lt;&gt;"&amp;""),"",INDEX(GR$4:GR$40,MATCH(ROW()-3,GS$4:GS$40,0)))</f>
        <v/>
      </c>
      <c r="GU36">
        <f>GU35+IF(AND(GT36&lt;&gt;"",COUNTIF(GT$4:GT36,GT36)=1),1,0)</f>
        <v/>
      </c>
      <c r="GV36">
        <f>IF(ROW()-3&gt;MAX(GU$4:GU$40),"",INDEX(GT$4:GT$40,MATCH(ROW()-3,GU$4:GU$40,0)))</f>
        <v/>
      </c>
      <c r="GW36">
        <f>IF('Final Calculation Sheet'!$B$36="","",IF(TRIM('Buyer Groups'!$C$4)="",'Final Calculation Sheet'!$B$36,IF(TRIM('Buyer Groups'!$C$4)="(nonblank)",IF('Final Calculation Sheet'!$G$36&lt;&gt;"",'Final Calculation Sheet'!$B$36,""),IF(TRIM('Buyer Groups'!$C$4)="(blank)",IF('Final Calculation Sheet'!$G$36="",'Final Calculation Sheet'!$B$36,""),IF(ISNUMBER(SEARCH(TRIM('Buyer Groups'!$C$4),'Final Calculation Sheet'!$G$36)),'Final Calculation Sheet'!$B$36,"")))))</f>
        <v/>
      </c>
      <c r="GX36">
        <f>IF(GW36="","",COUNTIFS(GW$4:GW$40,"&lt;"&amp;GW36,GW$4:GW$40,"&lt;&gt;"&amp;"")+COUNTIF(GW$4:GW36,GW36))</f>
        <v/>
      </c>
      <c r="GY36">
        <f>IF(ROW()-3&gt;COUNTIF(GW$4:GW$40,"&lt;&gt;"&amp;""),"",INDEX(GW$4:GW$40,MATCH(ROW()-3,GX$4:GX$40,0)))</f>
        <v/>
      </c>
      <c r="GZ36">
        <f>GZ35+IF(AND(GY36&lt;&gt;"",COUNTIF(GY$4:GY36,GY36)=1),1,0)</f>
        <v/>
      </c>
      <c r="HA36">
        <f>IF(ROW()-3&gt;MAX(GZ$4:GZ$40),"",INDEX(GY$4:GY$40,MATCH(ROW()-3,GZ$4:GZ$40,0)))</f>
        <v/>
      </c>
    </row>
    <row r="37">
      <c r="A37">
        <f>IF('Final Calculation Sheet'!$F$37="","",'Final Calculation Sheet'!$F$37)</f>
        <v/>
      </c>
      <c r="B37">
        <f>IF(A37="","",COUNTIFS(A$4:A$114,"&lt;"&amp;A37,A$4:A$114,"&lt;&gt;"&amp;"")+COUNTIF(A$4:A37,A37))</f>
        <v/>
      </c>
      <c r="C37">
        <f>IF(ROW()-3&gt;COUNTIF(A$4:A$114,"&lt;&gt;"&amp;""),"",INDEX(A$4:A$114,MATCH(ROW()-3,B$4:B$114,0)))</f>
        <v/>
      </c>
      <c r="D37">
        <f>D36+IF(AND(C37&lt;&gt;"",COUNTIF(C$4:C37,C37)=1),1,0)</f>
        <v/>
      </c>
      <c r="E37">
        <f>IF(ROW()-3&gt;MAX(D$4:D$114),"",INDEX(C$4:C$114,MATCH(ROW()-3,D$4:D$114,0)))</f>
        <v/>
      </c>
      <c r="F37">
        <f>ROW()-3</f>
        <v/>
      </c>
      <c r="G37">
        <f>IF(F37="","",COUNTIFS(F$4:F$40,"&lt;"&amp;F37,F$4:F$40,"&lt;&gt;"&amp;"")+COUNTIF(F$4:F37,F37))</f>
        <v/>
      </c>
      <c r="H37">
        <f>IF(ROW()-3&gt;COUNTIF(F$4:F$40,"&lt;&gt;"&amp;""),"",INDEX(F$4:F$40,MATCH(ROW()-3,G$4:G$40,0)))</f>
        <v/>
      </c>
      <c r="I37">
        <f>I36+IF(AND(H37&lt;&gt;"",COUNTIF(H$4:H37,H37)=1),1,0)</f>
        <v/>
      </c>
      <c r="J37">
        <f>IF(ROW()-3&gt;MAX(I$4:I$40),"",INDEX(H$4:H$40,MATCH(ROW()-3,I$4:I$40,0)))</f>
        <v/>
      </c>
      <c r="K37">
        <f>IF('Final Calculation Sheet'!$F$37="","",'Final Calculation Sheet'!$F$37)</f>
        <v/>
      </c>
      <c r="L37">
        <f>IF(K37="","",COUNTIFS(K$4:K$40,"&lt;"&amp;K37,K$4:K$40,"&lt;&gt;"&amp;"")+COUNTIF(K$4:K37,K37))</f>
        <v/>
      </c>
      <c r="M37">
        <f>IF(ROW()-3&gt;COUNTIF(K$4:K$40,"&lt;&gt;"&amp;""),"",INDEX(K$4:K$40,MATCH(ROW()-3,L$4:L$40,0)))</f>
        <v/>
      </c>
      <c r="N37">
        <f>N36+IF(AND(M37&lt;&gt;"",COUNTIF(M$4:M37,M37)=1),1,0)</f>
        <v/>
      </c>
      <c r="O37">
        <f>IF(ROW()-3&gt;MAX(N$4:N$40),"",INDEX(M$4:M$40,MATCH(ROW()-3,N$4:N$40,0)))</f>
        <v/>
      </c>
      <c r="P37">
        <f>IF('Final Calculation Sheet'!$G$37="","",'Final Calculation Sheet'!$G$37)</f>
        <v/>
      </c>
      <c r="Q37">
        <f>IF(P37="","",COUNTIFS(P$4:P$40,"&lt;"&amp;P37,P$4:P$40,"&lt;&gt;"&amp;"")+COUNTIF(P$4:P37,P37))</f>
        <v/>
      </c>
      <c r="R37">
        <f>IF(ROW()-3&gt;COUNTIF(P$4:P$40,"&lt;&gt;"&amp;""),"",INDEX(P$4:P$40,MATCH(ROW()-3,Q$4:Q$40,0)))</f>
        <v/>
      </c>
      <c r="S37">
        <f>S36+IF(AND(R37&lt;&gt;"",COUNTIF(R$4:R37,R37)=1),1,0)</f>
        <v/>
      </c>
      <c r="T37">
        <f>IF(ROW()-3&gt;MAX(S$4:S$40),"",INDEX(R$4:R$40,MATCH(ROW()-3,S$4:S$40,0)))</f>
        <v/>
      </c>
      <c r="U37">
        <f>IF('Final Calculation Sheet'!$B$37="","",'Final Calculation Sheet'!$B$37)</f>
        <v/>
      </c>
      <c r="V37">
        <f>IF(U37="","",COUNTIFS(U$4:U$40,"&lt;"&amp;U37,U$4:U$40,"&lt;&gt;"&amp;"")+COUNTIF(U$4:U37,U37))</f>
        <v/>
      </c>
      <c r="W37">
        <f>IF(ROW()-3&gt;COUNTIF(U$4:U$40,"&lt;&gt;"&amp;""),"",INDEX(U$4:U$40,MATCH(ROW()-3,V$4:V$40,0)))</f>
        <v/>
      </c>
      <c r="X37">
        <f>X36+IF(AND(W37&lt;&gt;"",COUNTIF(W$4:W37,W37)=1),1,0)</f>
        <v/>
      </c>
      <c r="Y37">
        <f>IF(ROW()-3&gt;MAX(X$4:X$40),"",INDEX(W$4:W$40,MATCH(ROW()-3,X$4:X$40,0)))</f>
        <v/>
      </c>
      <c r="Z37">
        <f>IF('Final Calculation Sheet'!$D$37="","",'Final Calculation Sheet'!$D$37)</f>
        <v/>
      </c>
      <c r="AA37">
        <f>IF(Z37="","",COUNTIFS(Z$4:Z$40,"&lt;"&amp;Z37,Z$4:Z$40,"&lt;&gt;"&amp;"")+COUNTIF(Z$4:Z37,Z37))</f>
        <v/>
      </c>
      <c r="AB37">
        <f>IF(ROW()-3&gt;COUNTIF(Z$4:Z$40,"&lt;&gt;"&amp;""),"",INDEX(Z$4:Z$40,MATCH(ROW()-3,AA$4:AA$40,0)))</f>
        <v/>
      </c>
      <c r="AC37">
        <f>AC36+IF(AND(AB37&lt;&gt;"",COUNTIF(AB$4:AB37,AB37)=1),1,0)</f>
        <v/>
      </c>
      <c r="AD37">
        <f>IF(ROW()-3&gt;MAX(AC$4:AC$40),"",INDEX(AB$4:AB$40,MATCH(ROW()-3,AC$4:AC$40,0)))</f>
        <v/>
      </c>
      <c r="AE37">
        <f>IF('Final Calculation Sheet'!$A$37="","",'Final Calculation Sheet'!$A$37)</f>
        <v/>
      </c>
      <c r="AF37">
        <f>IF(AE37="","",COUNTIFS(AE$4:AE$40,"&lt;"&amp;AE37,AE$4:AE$40,"&lt;&gt;"&amp;"")+COUNTIF(AE$4:AE37,AE37))</f>
        <v/>
      </c>
      <c r="AG37">
        <f>IF(ROW()-3&gt;COUNTIF(AE$4:AE$40,"&lt;&gt;"&amp;""),"",INDEX(AE$4:AE$40,MATCH(ROW()-3,AF$4:AF$40,0)))</f>
        <v/>
      </c>
      <c r="AH37">
        <f>AH36+IF(AND(AG37&lt;&gt;"",COUNTIF(AG$4:AG37,AG37)=1),1,0)</f>
        <v/>
      </c>
      <c r="AI37">
        <f>IF(ROW()-3&gt;MAX(AH$4:AH$40),"",INDEX(AG$4:AG$40,MATCH(ROW()-3,AH$4:AH$40,0)))</f>
        <v/>
      </c>
      <c r="AJ37">
        <f>IF('Final Calculation Sheet'!$E$37="","",'Final Calculation Sheet'!$E$37)</f>
        <v/>
      </c>
      <c r="AK37">
        <f>IF(AJ37="","",COUNTIFS(AJ$4:AJ$40,"&lt;"&amp;AJ37,AJ$4:AJ$40,"&lt;&gt;"&amp;"")+COUNTIF(AJ$4:AJ37,AJ37))</f>
        <v/>
      </c>
      <c r="AL37">
        <f>IF(ROW()-3&gt;COUNTIF(AJ$4:AJ$40,"&lt;&gt;"&amp;""),"",INDEX(AJ$4:AJ$40,MATCH(ROW()-3,AK$4:AK$40,0)))</f>
        <v/>
      </c>
      <c r="AM37">
        <f>AM36+IF(AND(AL37&lt;&gt;"",COUNTIF(AL$4:AL37,AL37)=1),1,0)</f>
        <v/>
      </c>
      <c r="AN37">
        <f>IF(ROW()-3&gt;MAX(AM$4:AM$40),"",INDEX(AL$4:AL$40,MATCH(ROW()-3,AM$4:AM$40,0)))</f>
        <v/>
      </c>
      <c r="AO37" s="55">
        <f>IF('Final Calculation Sheet'!$C$37="","",'Final Calculation Sheet'!$C$37)</f>
        <v/>
      </c>
      <c r="AP37">
        <f>IF(AO37="","",COUNTIFS(AO$4:AO$40,"&lt;"&amp;AO37,AO$4:AO$40,"&lt;&gt;"&amp;"")+COUNTIF(AO$4:AO37,AO37))</f>
        <v/>
      </c>
      <c r="AQ37" s="55">
        <f>IF(ROW()-3&gt;COUNTIF(AO$4:AO$40,"&lt;&gt;"&amp;""),"",INDEX(AO$4:AO$40,MATCH(ROW()-3,AP$4:AP$40,0)))</f>
        <v/>
      </c>
      <c r="AR37">
        <f>AR36+IF(AND(AQ37&lt;&gt;"",COUNTIF(AQ$4:AQ37,AQ37)=1),1,0)</f>
        <v/>
      </c>
      <c r="AS37" s="55">
        <f>IF(ROW()-3&gt;MAX(AR$4:AR$40),"",INDEX(AQ$4:AQ$40,MATCH(ROW()-3,AR$4:AR$40,0)))</f>
        <v/>
      </c>
      <c r="AT37" s="55">
        <f>IF('Final Calculation Sheet'!$H$37="","",'Final Calculation Sheet'!$H$37)</f>
        <v/>
      </c>
      <c r="AU37">
        <f>IF(AT37="","",COUNTIFS(AT$4:AT$40,"&lt;"&amp;AT37,AT$4:AT$40,"&lt;&gt;"&amp;"")+COUNTIF(AT$4:AT37,AT37))</f>
        <v/>
      </c>
      <c r="AV37" s="55">
        <f>IF(ROW()-3&gt;COUNTIF(AT$4:AT$40,"&lt;&gt;"&amp;""),"",INDEX(AT$4:AT$40,MATCH(ROW()-3,AU$4:AU$40,0)))</f>
        <v/>
      </c>
      <c r="AW37">
        <f>AW36+IF(AND(AV37&lt;&gt;"",COUNTIF(AV$4:AV37,AV37)=1),1,0)</f>
        <v/>
      </c>
      <c r="AX37" s="55">
        <f>IF(ROW()-3&gt;MAX(AW$4:AW$40),"",INDEX(AV$4:AV$40,MATCH(ROW()-3,AW$4:AW$40,0)))</f>
        <v/>
      </c>
      <c r="AY37" s="55">
        <f>IF('Final Calculation Sheet'!$I$37="","",'Final Calculation Sheet'!$I$37)</f>
        <v/>
      </c>
      <c r="AZ37">
        <f>IF(AY37="","",COUNTIFS(AY$4:AY$40,"&lt;"&amp;AY37,AY$4:AY$40,"&lt;&gt;"&amp;"")+COUNTIF(AY$4:AY37,AY37))</f>
        <v/>
      </c>
      <c r="BA37" s="55">
        <f>IF(ROW()-3&gt;COUNTIF(AY$4:AY$40,"&lt;&gt;"&amp;""),"",INDEX(AY$4:AY$40,MATCH(ROW()-3,AZ$4:AZ$40,0)))</f>
        <v/>
      </c>
      <c r="BB37">
        <f>BB36+IF(AND(BA37&lt;&gt;"",COUNTIF(BA$4:BA37,BA37)=1),1,0)</f>
        <v/>
      </c>
      <c r="BC37" s="55">
        <f>IF(ROW()-3&gt;MAX(BB$4:BB$40),"",INDEX(BA$4:BA$40,MATCH(ROW()-3,BB$4:BB$40,0)))</f>
        <v/>
      </c>
      <c r="BD37" s="55">
        <f>IF('Final Calculation Sheet'!$J$37="","",'Final Calculation Sheet'!$J$37)</f>
        <v/>
      </c>
      <c r="BE37">
        <f>IF(BD37="","",COUNTIFS(BD$4:BD$40,"&lt;"&amp;BD37,BD$4:BD$40,"&lt;&gt;"&amp;"")+COUNTIF(BD$4:BD37,BD37))</f>
        <v/>
      </c>
      <c r="BF37" s="55">
        <f>IF(ROW()-3&gt;COUNTIF(BD$4:BD$40,"&lt;&gt;"&amp;""),"",INDEX(BD$4:BD$40,MATCH(ROW()-3,BE$4:BE$40,0)))</f>
        <v/>
      </c>
      <c r="BG37">
        <f>BG36+IF(AND(BF37&lt;&gt;"",COUNTIF(BF$4:BF37,BF37)=1),1,0)</f>
        <v/>
      </c>
      <c r="BH37" s="55">
        <f>IF(ROW()-3&gt;MAX(BG$4:BG$40),"",INDEX(BF$4:BF$40,MATCH(ROW()-3,BG$4:BG$40,0)))</f>
        <v/>
      </c>
      <c r="BI37" s="55">
        <f>IF('Final Calculation Sheet'!$K$37="","",'Final Calculation Sheet'!$K$37)</f>
        <v/>
      </c>
      <c r="BJ37">
        <f>IF(BI37="","",COUNTIFS(BI$4:BI$40,"&lt;"&amp;BI37,BI$4:BI$40,"&lt;&gt;"&amp;"")+COUNTIF(BI$4:BI37,BI37))</f>
        <v/>
      </c>
      <c r="BK37" s="55">
        <f>IF(ROW()-3&gt;COUNTIF(BI$4:BI$40,"&lt;&gt;"&amp;""),"",INDEX(BI$4:BI$40,MATCH(ROW()-3,BJ$4:BJ$40,0)))</f>
        <v/>
      </c>
      <c r="BL37">
        <f>BL36+IF(AND(BK37&lt;&gt;"",COUNTIF(BK$4:BK37,BK37)=1),1,0)</f>
        <v/>
      </c>
      <c r="BM37" s="55">
        <f>IF(ROW()-3&gt;MAX(BL$4:BL$40),"",INDEX(BK$4:BK$40,MATCH(ROW()-3,BL$4:BL$40,0)))</f>
        <v/>
      </c>
      <c r="BN37" s="55">
        <f>IF('Final Calculation Sheet'!$L$37="","",'Final Calculation Sheet'!$L$37)</f>
        <v/>
      </c>
      <c r="BO37">
        <f>IF(BN37="","",COUNTIFS(BN$4:BN$40,"&lt;"&amp;BN37,BN$4:BN$40,"&lt;&gt;"&amp;"")+COUNTIF(BN$4:BN37,BN37))</f>
        <v/>
      </c>
      <c r="BP37" s="55">
        <f>IF(ROW()-3&gt;COUNTIF(BN$4:BN$40,"&lt;&gt;"&amp;""),"",INDEX(BN$4:BN$40,MATCH(ROW()-3,BO$4:BO$40,0)))</f>
        <v/>
      </c>
      <c r="BQ37">
        <f>BQ36+IF(AND(BP37&lt;&gt;"",COUNTIF(BP$4:BP37,BP37)=1),1,0)</f>
        <v/>
      </c>
      <c r="BR37" s="55">
        <f>IF(ROW()-3&gt;MAX(BQ$4:BQ$40),"",INDEX(BP$4:BP$40,MATCH(ROW()-3,BQ$4:BQ$40,0)))</f>
        <v/>
      </c>
      <c r="BS37" s="55">
        <f>IF('Final Calculation Sheet'!$M$37="","",'Final Calculation Sheet'!$M$37)</f>
        <v/>
      </c>
      <c r="BT37">
        <f>IF(BS37="","",COUNTIFS(BS$4:BS$40,"&lt;"&amp;BS37,BS$4:BS$40,"&lt;&gt;"&amp;"")+COUNTIF(BS$4:BS37,BS37))</f>
        <v/>
      </c>
      <c r="BU37" s="55">
        <f>IF(ROW()-3&gt;COUNTIF(BS$4:BS$40,"&lt;&gt;"&amp;""),"",INDEX(BS$4:BS$40,MATCH(ROW()-3,BT$4:BT$40,0)))</f>
        <v/>
      </c>
      <c r="BV37">
        <f>BV36+IF(AND(BU37&lt;&gt;"",COUNTIF(BU$4:BU37,BU37)=1),1,0)</f>
        <v/>
      </c>
      <c r="BW37" s="55">
        <f>IF(ROW()-3&gt;MAX(BV$4:BV$40),"",INDEX(BU$4:BU$40,MATCH(ROW()-3,BV$4:BV$40,0)))</f>
        <v/>
      </c>
      <c r="BX37" s="138">
        <f>IF('Final Calculation Sheet'!$N$37="","",'Final Calculation Sheet'!$N$37)</f>
        <v/>
      </c>
      <c r="BY37">
        <f>IF(BX37="","",COUNTIFS(BX$4:BX$40,"&lt;"&amp;BX37,BX$4:BX$40,"&lt;&gt;"&amp;"")+COUNTIF(BX$4:BX37,BX37))</f>
        <v/>
      </c>
      <c r="BZ37" s="138">
        <f>IF(ROW()-3&gt;COUNTIF(BX$4:BX$40,"&lt;&gt;"&amp;""),"",INDEX(BX$4:BX$40,MATCH(ROW()-3,BY$4:BY$40,0)))</f>
        <v/>
      </c>
      <c r="CA37">
        <f>CA36+IF(AND(BZ37&lt;&gt;"",COUNTIF(BZ$4:BZ37,BZ37)=1),1,0)</f>
        <v/>
      </c>
      <c r="CB37" s="138">
        <f>IF(ROW()-3&gt;MAX(CA$4:CA$40),"",INDEX(BZ$4:BZ$40,MATCH(ROW()-3,CA$4:CA$40,0)))</f>
        <v/>
      </c>
      <c r="CC37" s="55">
        <f>IF('Final Calculation Sheet'!$O$37="","",'Final Calculation Sheet'!$O$37)</f>
        <v/>
      </c>
      <c r="CD37">
        <f>IF(CC37="","",COUNTIFS(CC$4:CC$40,"&lt;"&amp;CC37,CC$4:CC$40,"&lt;&gt;"&amp;"")+COUNTIF(CC$4:CC37,CC37))</f>
        <v/>
      </c>
      <c r="CE37" s="55">
        <f>IF(ROW()-3&gt;COUNTIF(CC$4:CC$40,"&lt;&gt;"&amp;""),"",INDEX(CC$4:CC$40,MATCH(ROW()-3,CD$4:CD$40,0)))</f>
        <v/>
      </c>
      <c r="CF37">
        <f>CF36+IF(AND(CE37&lt;&gt;"",COUNTIF(CE$4:CE37,CE37)=1),1,0)</f>
        <v/>
      </c>
      <c r="CG37" s="55">
        <f>IF(ROW()-3&gt;MAX(CF$4:CF$40),"",INDEX(CE$4:CE$40,MATCH(ROW()-3,CF$4:CF$40,0)))</f>
        <v/>
      </c>
      <c r="CH37" s="55">
        <f>IF('Final Calculation Sheet'!$P$37="","",'Final Calculation Sheet'!$P$37)</f>
        <v/>
      </c>
      <c r="CI37">
        <f>IF(CH37="","",COUNTIFS(CH$4:CH$40,"&lt;"&amp;CH37,CH$4:CH$40,"&lt;&gt;"&amp;"")+COUNTIF(CH$4:CH37,CH37))</f>
        <v/>
      </c>
      <c r="CJ37" s="55">
        <f>IF(ROW()-3&gt;COUNTIF(CH$4:CH$40,"&lt;&gt;"&amp;""),"",INDEX(CH$4:CH$40,MATCH(ROW()-3,CI$4:CI$40,0)))</f>
        <v/>
      </c>
      <c r="CK37">
        <f>CK36+IF(AND(CJ37&lt;&gt;"",COUNTIF(CJ$4:CJ37,CJ37)=1),1,0)</f>
        <v/>
      </c>
      <c r="CL37" s="55">
        <f>IF(ROW()-3&gt;MAX(CK$4:CK$40),"",INDEX(CJ$4:CJ$40,MATCH(ROW()-3,CK$4:CK$40,0)))</f>
        <v/>
      </c>
      <c r="CM37" s="139">
        <f>IF('Final Calculation Sheet'!$Q$37="","",'Final Calculation Sheet'!$Q$37)</f>
        <v/>
      </c>
      <c r="CN37">
        <f>IF(CM37="","",COUNTIFS(CM$4:CM$40,"&lt;"&amp;CM37,CM$4:CM$40,"&lt;&gt;"&amp;"")+COUNTIF(CM$4:CM37,CM37))</f>
        <v/>
      </c>
      <c r="CO37" s="139">
        <f>IF(ROW()-3&gt;COUNTIF(CM$4:CM$40,"&lt;&gt;"&amp;""),"",INDEX(CM$4:CM$40,MATCH(ROW()-3,CN$4:CN$40,0)))</f>
        <v/>
      </c>
      <c r="CP37">
        <f>CP36+IF(AND(CO37&lt;&gt;"",COUNTIF(CO$4:CO37,CO37)=1),1,0)</f>
        <v/>
      </c>
      <c r="CQ37">
        <f>IF(ROW()-3&gt;MAX(CP$4:CP$40),"",INDEX(CO$4:CO$40,MATCH(ROW()-3,CP$4:CP$40,0)))</f>
        <v/>
      </c>
      <c r="CR37" s="55">
        <f>IF('Final Calculation Sheet'!$R$37="","",'Final Calculation Sheet'!$R$37)</f>
        <v/>
      </c>
      <c r="CS37">
        <f>IF(CR37="","",COUNTIFS(CR$4:CR$40,"&lt;"&amp;CR37,CR$4:CR$40,"&lt;&gt;"&amp;"")+COUNTIF(CR$4:CR37,CR37))</f>
        <v/>
      </c>
      <c r="CT37" s="55">
        <f>IF(ROW()-3&gt;COUNTIF(CR$4:CR$40,"&lt;&gt;"&amp;""),"",INDEX(CR$4:CR$40,MATCH(ROW()-3,CS$4:CS$40,0)))</f>
        <v/>
      </c>
      <c r="CU37">
        <f>CU36+IF(AND(CT37&lt;&gt;"",COUNTIF(CT$4:CT37,CT37)=1),1,0)</f>
        <v/>
      </c>
      <c r="CV37">
        <f>IF(ROW()-3&gt;MAX(CU$4:CU$40),"",INDEX(CT$4:CT$40,MATCH(ROW()-3,CU$4:CU$40,0)))</f>
        <v/>
      </c>
      <c r="CW37" s="55">
        <f>IF('Final Calculation Sheet'!$S$37="","",'Final Calculation Sheet'!$S$37)</f>
        <v/>
      </c>
      <c r="CX37">
        <f>IF(CW37="","",COUNTIFS(CW$4:CW$40,"&lt;"&amp;CW37,CW$4:CW$40,"&lt;&gt;"&amp;"")+COUNTIF(CW$4:CW37,CW37))</f>
        <v/>
      </c>
      <c r="CY37" s="55">
        <f>IF(ROW()-3&gt;COUNTIF(CW$4:CW$40,"&lt;&gt;"&amp;""),"",INDEX(CW$4:CW$40,MATCH(ROW()-3,CX$4:CX$40,0)))</f>
        <v/>
      </c>
      <c r="CZ37">
        <f>CZ36+IF(AND(CY37&lt;&gt;"",COUNTIF(CY$4:CY37,CY37)=1),1,0)</f>
        <v/>
      </c>
      <c r="DA37" s="55">
        <f>IF(ROW()-3&gt;MAX(CZ$4:CZ$40),"",INDEX(CY$4:CY$40,MATCH(ROW()-3,CZ$4:CZ$40,0)))</f>
        <v/>
      </c>
      <c r="DB37" s="55">
        <f>IF('Final Calculation Sheet'!$T$37="","",'Final Calculation Sheet'!$T$37)</f>
        <v/>
      </c>
      <c r="DC37">
        <f>IF(DB37="","",COUNTIFS(DB$4:DB$40,"&lt;"&amp;DB37,DB$4:DB$40,"&lt;&gt;"&amp;"")+COUNTIF(DB$4:DB37,DB37))</f>
        <v/>
      </c>
      <c r="DD37" s="55">
        <f>IF(ROW()-3&gt;COUNTIF(DB$4:DB$40,"&lt;&gt;"&amp;""),"",INDEX(DB$4:DB$40,MATCH(ROW()-3,DC$4:DC$40,0)))</f>
        <v/>
      </c>
      <c r="DE37">
        <f>DE36+IF(AND(DD37&lt;&gt;"",COUNTIF(DD$4:DD37,DD37)=1),1,0)</f>
        <v/>
      </c>
      <c r="DF37" s="55">
        <f>IF(ROW()-3&gt;MAX(DE$4:DE$40),"",INDEX(DD$4:DD$40,MATCH(ROW()-3,DE$4:DE$40,0)))</f>
        <v/>
      </c>
      <c r="DG37" s="140">
        <f>IF('Final Calculation Sheet'!$U$37="","",'Final Calculation Sheet'!$U$37)</f>
        <v/>
      </c>
      <c r="DH37">
        <f>IF(DG37="","",COUNTIFS(DG$4:DG$40,"&lt;"&amp;DG37,DG$4:DG$40,"&lt;&gt;"&amp;"")+COUNTIF(DG$4:DG37,DG37))</f>
        <v/>
      </c>
      <c r="DI37" s="140">
        <f>IF(ROW()-3&gt;COUNTIF(DG$4:DG$40,"&lt;&gt;"&amp;""),"",INDEX(DG$4:DG$40,MATCH(ROW()-3,DH$4:DH$40,0)))</f>
        <v/>
      </c>
      <c r="DJ37">
        <f>DJ36+IF(AND(DI37&lt;&gt;"",COUNTIF(DI$4:DI37,DI37)=1),1,0)</f>
        <v/>
      </c>
      <c r="DK37" s="140">
        <f>IF(ROW()-3&gt;MAX(DJ$4:DJ$40),"",INDEX(DI$4:DI$40,MATCH(ROW()-3,DJ$4:DJ$40,0)))</f>
        <v/>
      </c>
      <c r="DL37">
        <f>IF('Final Calculation Sheet'!$V$37="","",'Final Calculation Sheet'!$V$37)</f>
        <v/>
      </c>
      <c r="DM37">
        <f>IF(DL37="","",COUNTIFS(DL$4:DL$40,"&lt;"&amp;DL37,DL$4:DL$40,"&lt;&gt;"&amp;"")+COUNTIF(DL$4:DL37,DL37))</f>
        <v/>
      </c>
      <c r="DN37">
        <f>IF(ROW()-3&gt;COUNTIF(DL$4:DL$40,"&lt;&gt;"&amp;""),"",INDEX(DL$4:DL$40,MATCH(ROW()-3,DM$4:DM$40,0)))</f>
        <v/>
      </c>
      <c r="DO37">
        <f>DO36+IF(AND(DN37&lt;&gt;"",COUNTIF(DN$4:DN37,DN37)=1),1,0)</f>
        <v/>
      </c>
      <c r="DP37">
        <f>IF(ROW()-3&gt;MAX(DO$4:DO$40),"",INDEX(DN$4:DN$40,MATCH(ROW()-3,DO$4:DO$40,0)))</f>
        <v/>
      </c>
      <c r="DQ37" s="55">
        <f>IF('Final Calculation Sheet'!$W$37="","",'Final Calculation Sheet'!$W$37)</f>
        <v/>
      </c>
      <c r="DR37">
        <f>IF(DQ37="","",COUNTIFS(DQ$4:DQ$40,"&lt;"&amp;DQ37,DQ$4:DQ$40,"&lt;&gt;"&amp;"")+COUNTIF(DQ$4:DQ37,DQ37))</f>
        <v/>
      </c>
      <c r="DS37" s="55">
        <f>IF(ROW()-3&gt;COUNTIF(DQ$4:DQ$40,"&lt;&gt;"&amp;""),"",INDEX(DQ$4:DQ$40,MATCH(ROW()-3,DR$4:DR$40,0)))</f>
        <v/>
      </c>
      <c r="DT37">
        <f>DT36+IF(AND(DS37&lt;&gt;"",COUNTIF(DS$4:DS37,DS37)=1),1,0)</f>
        <v/>
      </c>
      <c r="DU37" s="55">
        <f>IF(ROW()-3&gt;MAX(DT$4:DT$40),"",INDEX(DS$4:DS$40,MATCH(ROW()-3,DT$4:DT$40,0)))</f>
        <v/>
      </c>
      <c r="DV37" s="55">
        <f>IF('Final Calculation Sheet'!$X$37="","",'Final Calculation Sheet'!$X$37)</f>
        <v/>
      </c>
      <c r="DW37">
        <f>IF(DV37="","",COUNTIFS(DV$4:DV$40,"&lt;"&amp;DV37,DV$4:DV$40,"&lt;&gt;"&amp;"")+COUNTIF(DV$4:DV37,DV37))</f>
        <v/>
      </c>
      <c r="DX37" s="55">
        <f>IF(ROW()-3&gt;COUNTIF(DV$4:DV$40,"&lt;&gt;"&amp;""),"",INDEX(DV$4:DV$40,MATCH(ROW()-3,DW$4:DW$40,0)))</f>
        <v/>
      </c>
      <c r="DY37">
        <f>DY36+IF(AND(DX37&lt;&gt;"",COUNTIF(DX$4:DX37,DX37)=1),1,0)</f>
        <v/>
      </c>
      <c r="DZ37">
        <f>IF(ROW()-3&gt;MAX(DY$4:DY$40),"",INDEX(DX$4:DX$40,MATCH(ROW()-3,DY$4:DY$40,0)))</f>
        <v/>
      </c>
      <c r="EA37">
        <f>IF('Final Calculation Sheet'!$Y$37="","",'Final Calculation Sheet'!$Y$37)</f>
        <v/>
      </c>
      <c r="EB37">
        <f>IF(EA37="","",COUNTIFS(EA$4:EA$40,"&lt;"&amp;EA37,EA$4:EA$40,"&lt;&gt;"&amp;"")+COUNTIF(EA$4:EA37,EA37))</f>
        <v/>
      </c>
      <c r="EC37">
        <f>IF(ROW()-3&gt;COUNTIF(EA$4:EA$40,"&lt;&gt;"&amp;""),"",INDEX(EA$4:EA$40,MATCH(ROW()-3,EB$4:EB$40,0)))</f>
        <v/>
      </c>
      <c r="ED37">
        <f>ED36+IF(AND(EC37&lt;&gt;"",COUNTIF(EC$4:EC37,EC37)=1),1,0)</f>
        <v/>
      </c>
      <c r="EE37">
        <f>IF(ROW()-3&gt;MAX(ED$4:ED$40),"",INDEX(EC$4:EC$40,MATCH(ROW()-3,ED$4:ED$40,0)))</f>
        <v/>
      </c>
      <c r="EF37" s="55">
        <f>IF('Final Calculation Sheet'!$Z$37="","",'Final Calculation Sheet'!$Z$37)</f>
        <v/>
      </c>
      <c r="EG37">
        <f>IF(EF37="","",COUNTIFS(EF$4:EF$40,"&lt;"&amp;EF37,EF$4:EF$40,"&lt;&gt;"&amp;"")+COUNTIF(EF$4:EF37,EF37))</f>
        <v/>
      </c>
      <c r="EH37" s="55">
        <f>IF(ROW()-3&gt;COUNTIF(EF$4:EF$40,"&lt;&gt;"&amp;""),"",INDEX(EF$4:EF$40,MATCH(ROW()-3,EG$4:EG$40,0)))</f>
        <v/>
      </c>
      <c r="EI37">
        <f>EI36+IF(AND(EH37&lt;&gt;"",COUNTIF(EH$4:EH37,EH37)=1),1,0)</f>
        <v/>
      </c>
      <c r="EJ37">
        <f>IF(ROW()-3&gt;MAX(EI$4:EI$40),"",INDEX(EH$4:EH$40,MATCH(ROW()-3,EI$4:EI$40,0)))</f>
        <v/>
      </c>
      <c r="EK37">
        <f>IF('Final Calculation Sheet'!$AA$37="","",'Final Calculation Sheet'!$AA$37)</f>
        <v/>
      </c>
      <c r="EL37">
        <f>IF(EK37="","",COUNTIFS(EK$4:EK$40,"&lt;"&amp;EK37,EK$4:EK$40,"&lt;&gt;"&amp;"")+COUNTIF(EK$4:EK37,EK37))</f>
        <v/>
      </c>
      <c r="EM37">
        <f>IF(ROW()-3&gt;COUNTIF(EK$4:EK$40,"&lt;&gt;"&amp;""),"",INDEX(EK$4:EK$40,MATCH(ROW()-3,EL$4:EL$40,0)))</f>
        <v/>
      </c>
      <c r="EN37">
        <f>EN36+IF(AND(EM37&lt;&gt;"",COUNTIF(EM$4:EM37,EM37)=1),1,0)</f>
        <v/>
      </c>
      <c r="EO37">
        <f>IF(ROW()-3&gt;MAX(EN$4:EN$40),"",INDEX(EM$4:EM$40,MATCH(ROW()-3,EN$4:EN$40,0)))</f>
        <v/>
      </c>
      <c r="EP37">
        <f>IF('Final Calculation Sheet'!$AB$37="","",'Final Calculation Sheet'!$AB$37)</f>
        <v/>
      </c>
      <c r="EQ37">
        <f>IF(EP37="","",COUNTIFS(EP$4:EP$40,"&lt;"&amp;EP37,EP$4:EP$40,"&lt;&gt;"&amp;"")+COUNTIF(EP$4:EP37,EP37))</f>
        <v/>
      </c>
      <c r="ER37">
        <f>IF(ROW()-3&gt;COUNTIF(EP$4:EP$40,"&lt;&gt;"&amp;""),"",INDEX(EP$4:EP$40,MATCH(ROW()-3,EQ$4:EQ$40,0)))</f>
        <v/>
      </c>
      <c r="ES37">
        <f>ES36+IF(AND(ER37&lt;&gt;"",COUNTIF(ER$4:ER37,ER37)=1),1,0)</f>
        <v/>
      </c>
      <c r="ET37">
        <f>IF(ROW()-3&gt;MAX(ES$4:ES$40),"",INDEX(ER$4:ER$40,MATCH(ROW()-3,ES$4:ES$40,0)))</f>
        <v/>
      </c>
      <c r="EU37" s="55">
        <f>IF('Final Calculation Sheet'!$AC$37="","",'Final Calculation Sheet'!$AC$37)</f>
        <v/>
      </c>
      <c r="EV37">
        <f>IF(EU37="","",COUNTIFS(EU$4:EU$40,"&lt;"&amp;EU37,EU$4:EU$40,"&lt;&gt;"&amp;"")+COUNTIF(EU$4:EU37,EU37))</f>
        <v/>
      </c>
      <c r="EW37" s="55">
        <f>IF(ROW()-3&gt;COUNTIF(EU$4:EU$40,"&lt;&gt;"&amp;""),"",INDEX(EU$4:EU$40,MATCH(ROW()-3,EV$4:EV$40,0)))</f>
        <v/>
      </c>
      <c r="EX37">
        <f>EX36+IF(AND(EW37&lt;&gt;"",COUNTIF(EW$4:EW37,EW37)=1),1,0)</f>
        <v/>
      </c>
      <c r="EY37" s="55">
        <f>IF(ROW()-3&gt;MAX(EX$4:EX$40),"",INDEX(EW$4:EW$40,MATCH(ROW()-3,EX$4:EX$40,0)))</f>
        <v/>
      </c>
      <c r="EZ37" s="55">
        <f>IF('Final Calculation Sheet'!$AD$37="","",'Final Calculation Sheet'!$AD$37)</f>
        <v/>
      </c>
      <c r="FA37">
        <f>IF(EZ37="","",COUNTIFS(EZ$4:EZ$40,"&lt;"&amp;EZ37,EZ$4:EZ$40,"&lt;&gt;"&amp;"")+COUNTIF(EZ$4:EZ37,EZ37))</f>
        <v/>
      </c>
      <c r="FB37" s="55">
        <f>IF(ROW()-3&gt;COUNTIF(EZ$4:EZ$40,"&lt;&gt;"&amp;""),"",INDEX(EZ$4:EZ$40,MATCH(ROW()-3,FA$4:FA$40,0)))</f>
        <v/>
      </c>
      <c r="FC37">
        <f>FC36+IF(AND(FB37&lt;&gt;"",COUNTIF(FB$4:FB37,FB37)=1),1,0)</f>
        <v/>
      </c>
      <c r="FD37">
        <f>IF(ROW()-3&gt;MAX(FC$4:FC$40),"",INDEX(FB$4:FB$40,MATCH(ROW()-3,FC$4:FC$40,0)))</f>
        <v/>
      </c>
      <c r="FE37">
        <f>IF('Final Calculation Sheet'!$AF$37="","",'Final Calculation Sheet'!$AF$37)</f>
        <v/>
      </c>
      <c r="FF37">
        <f>IF(FE37="","",COUNTIFS(FE$4:FE$40,"&lt;"&amp;FE37,FE$4:FE$40,"&lt;&gt;"&amp;"")+COUNTIF(FE$4:FE37,FE37))</f>
        <v/>
      </c>
      <c r="FG37">
        <f>IF(ROW()-3&gt;COUNTIF(FE$4:FE$40,"&lt;&gt;"&amp;""),"",INDEX(FE$4:FE$40,MATCH(ROW()-3,FF$4:FF$40,0)))</f>
        <v/>
      </c>
      <c r="FH37">
        <f>FH36+IF(AND(FG37&lt;&gt;"",COUNTIF(FG$4:FG37,FG37)=1),1,0)</f>
        <v/>
      </c>
      <c r="FI37">
        <f>IF(ROW()-3&gt;MAX(FH$4:FH$40),"",INDEX(FG$4:FG$40,MATCH(ROW()-3,FH$4:FH$40,0)))</f>
        <v/>
      </c>
      <c r="FJ37" s="141">
        <f>IF('Final Calculation Sheet'!$AG$37="","",'Final Calculation Sheet'!$AG$37)</f>
        <v/>
      </c>
      <c r="FK37">
        <f>IF(FJ37="","",COUNTIFS(FJ$4:FJ$40,"&lt;"&amp;FJ37,FJ$4:FJ$40,"&lt;&gt;"&amp;"")+COUNTIF(FJ$4:FJ37,FJ37))</f>
        <v/>
      </c>
      <c r="FL37">
        <f>IF(ROW()-3&gt;COUNTIF(FJ$4:FJ$40,"&lt;&gt;"&amp;""),"",INDEX(FJ$4:FJ$40,MATCH(ROW()-3,FK$4:FK$40,0)))</f>
        <v/>
      </c>
      <c r="FM37">
        <f>FM36+IF(AND(FL37&lt;&gt;"",COUNTIF(FL$4:FL37,FL37)=1),1,0)</f>
        <v/>
      </c>
      <c r="FN37">
        <f>IF(ROW()-3&gt;MAX(FM$4:FM$40),"",INDEX(FL$4:FL$40,MATCH(ROW()-3,FM$4:FM$40,0)))</f>
        <v/>
      </c>
      <c r="FO37">
        <f>IF('Final Calculation Sheet'!$AH$37="","",'Final Calculation Sheet'!$AH$37)</f>
        <v/>
      </c>
      <c r="FP37">
        <f>IF(FO37="","",COUNTIFS(FO$4:FO$40,"&lt;"&amp;FO37,FO$4:FO$40,"&lt;&gt;"&amp;"")+COUNTIF(FO$4:FO37,FO37))</f>
        <v/>
      </c>
      <c r="FQ37">
        <f>IF(ROW()-3&gt;COUNTIF(FO$4:FO$40,"&lt;&gt;"&amp;""),"",INDEX(FO$4:FO$40,MATCH(ROW()-3,FP$4:FP$40,0)))</f>
        <v/>
      </c>
      <c r="FR37">
        <f>FR36+IF(AND(FQ37&lt;&gt;"",COUNTIF(FQ$4:FQ37,FQ37)=1),1,0)</f>
        <v/>
      </c>
      <c r="FS37">
        <f>IF(ROW()-3&gt;MAX(FR$4:FR$40),"",INDEX(FQ$4:FQ$40,MATCH(ROW()-3,FR$4:FR$40,0)))</f>
        <v/>
      </c>
      <c r="FU37">
        <f>IF(FT37="","",COUNTIFS(FT$4:FT$40,"&lt;"&amp;FT37,FT$4:FT$40,"&lt;&gt;"&amp;"")+COUNTIF(FT$4:FT37,FT37))</f>
        <v/>
      </c>
      <c r="FV37">
        <f>IF(ROW()-3&gt;COUNTIF(FT$4:FT$40,"&lt;&gt;"&amp;""),"",INDEX(FT$4:FT$40,MATCH(ROW()-3,FU$4:FU$40,0)))</f>
        <v/>
      </c>
      <c r="FW37">
        <f>FW36+IF(AND(FV37&lt;&gt;"",COUNTIF(FV$4:FV37,FV37)=1),1,0)</f>
        <v/>
      </c>
      <c r="FX37">
        <f>IF(ROW()-3&gt;MAX(FW$4:FW$40),"",INDEX(FV$4:FV$40,MATCH(ROW()-3,FW$4:FW$40,0)))</f>
        <v/>
      </c>
      <c r="FY37">
        <f>IF(COUNTIF('Live Search'!BM$36:BO$36,0)+COUNTIF('Live Search'!BQ$36:CU$36,0)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7">
        <f>IF($Y$37="",FALSE,SUMPRODUCT(('Final Calculation Sheet'!$B$4:$B$40=$Y$37)*($FY$6:$FY$42=1))&gt;0)</f>
        <v/>
      </c>
      <c r="GA37">
        <f>$GA$36+--($FZ$37)</f>
        <v/>
      </c>
      <c r="GB37">
        <f>IF(ROW()-3&gt;MAX($GA$4:$GA$40),"",INDEX($Y$4:$Y$40,MATCH(ROW()-3,$GA$4:$GA$40,0)))</f>
        <v/>
      </c>
      <c r="GC37">
        <f>IF('Final Calculation Sheet'!$F$37="","",IF(TRIM('Final Calculation Sheet'!$G$2)="",'Final Calculation Sheet'!$F$37,IF(TRIM('Final Calculation Sheet'!$G$2)="(nonblank)",IF('Final Calculation Sheet'!$G$37&lt;&gt;"",'Final Calculation Sheet'!$F$37,""),IF(TRIM('Final Calculation Sheet'!$G$2)="(blank)",IF('Final Calculation Sheet'!$G$37="",'Final Calculation Sheet'!$F$37,""),IF(ISNUMBER(SEARCH(TRIM('Final Calculation Sheet'!$G$2),'Final Calculation Sheet'!$G$37)),'Final Calculation Sheet'!$F$37,"")))))</f>
        <v/>
      </c>
      <c r="GD37">
        <f>IF(GC37="","",COUNTIFS(GC$4:GC$40,"&lt;"&amp;GC37,GC$4:GC$40,"&lt;&gt;"&amp;"")+COUNTIF(GC$4:GC37,GC37))</f>
        <v/>
      </c>
      <c r="GE37">
        <f>IF(ROW()-3&gt;COUNTIF(GC$4:GC$40,"&lt;&gt;"&amp;""),"",INDEX(GC$4:GC$40,MATCH(ROW()-3,GD$4:GD$40,0)))</f>
        <v/>
      </c>
      <c r="GF37">
        <f>GF36+IF(AND(GE37&lt;&gt;"",COUNTIF(GE$4:GE37,GE37)=1),1,0)</f>
        <v/>
      </c>
      <c r="GG37">
        <f>IF(ROW()-3&gt;MAX(GF$4:GF$40),"",INDEX(GE$4:GE$40,MATCH(ROW()-3,GF$4:GF$40,0)))</f>
        <v/>
      </c>
      <c r="GH37">
        <f>IF('Final Calculation Sheet'!$F$37="","",IF('Live Search'!$BO$38=1,'Final Calculation Sheet'!$F$37,""))</f>
        <v/>
      </c>
      <c r="GI37">
        <f>IF(GH37="","",COUNTIFS(GH$4:GH$40,"&lt;"&amp;GH37,GH$4:GH$40,"&lt;&gt;"&amp;"")+COUNTIF(GH$4:GH37,GH37))</f>
        <v/>
      </c>
      <c r="GJ37">
        <f>IF(ROW()-3&gt;COUNTIF(GH$4:GH$40,"&lt;&gt;"&amp;""),"",INDEX(GH$4:GH$40,MATCH(ROW()-3,GI$4:GI$40,0)))</f>
        <v/>
      </c>
      <c r="GK37">
        <f>GK36+IF(AND(GJ37&lt;&gt;"",COUNTIF(GJ$4:GJ37,GJ37)=1),1,0)</f>
        <v/>
      </c>
      <c r="GL37">
        <f>IF(ROW()-3&gt;MAX(GK$4:GK$40),"",INDEX(GJ$4:GJ$40,MATCH(ROW()-3,GK$4:GK$40,0)))</f>
        <v/>
      </c>
      <c r="GM37">
        <f>IF('Final Calculation Sheet'!$F$37="","",IF(TRIM('Buyer Groups'!$C$4)="",'Final Calculation Sheet'!$F$37,IF(TRIM('Buyer Groups'!$C$4)="(nonblank)",IF('Final Calculation Sheet'!$G$37&lt;&gt;"",'Final Calculation Sheet'!$F$37,""),IF(TRIM('Buyer Groups'!$C$4)="(blank)",IF('Final Calculation Sheet'!$G$37="",'Final Calculation Sheet'!$F$37,""),IF(ISNUMBER(SEARCH(TRIM('Buyer Groups'!$C$4),'Final Calculation Sheet'!$G$37)),'Final Calculation Sheet'!$F$37,"")))))</f>
        <v/>
      </c>
      <c r="GN37">
        <f>IF(GM37="","",COUNTIFS(GM$4:GM$40,"&lt;"&amp;GM37,GM$4:GM$40,"&lt;&gt;"&amp;"")+COUNTIF(GM$4:GM37,GM37))</f>
        <v/>
      </c>
      <c r="GO37">
        <f>IF(ROW()-3&gt;COUNTIF(GM$4:GM$40,"&lt;&gt;"&amp;""),"",INDEX(GM$4:GM$40,MATCH(ROW()-3,GN$4:GN$40,0)))</f>
        <v/>
      </c>
      <c r="GP37">
        <f>GP36+IF(AND(GO37&lt;&gt;"",COUNTIF(GO$4:GO37,GO37)=1),1,0)</f>
        <v/>
      </c>
      <c r="GQ37">
        <f>IF(ROW()-3&gt;MAX(GP$4:GP$40),"",INDEX(GO$4:GO$40,MATCH(ROW()-3,GP$4:GP$40,0)))</f>
        <v/>
      </c>
      <c r="GR37">
        <f>IF('Final Calculation Sheet'!$B$37="","",IF(TRIM('Final Calculation Sheet'!$G$2)="",'Final Calculation Sheet'!$B$37,IF(TRIM('Final Calculation Sheet'!$G$2)="(nonblank)",IF('Final Calculation Sheet'!$G$37&lt;&gt;"",'Final Calculation Sheet'!$B$37,""),IF(TRIM('Final Calculation Sheet'!$G$2)="(blank)",IF('Final Calculation Sheet'!$G$37="",'Final Calculation Sheet'!$B$37,""),IF(ISNUMBER(SEARCH(TRIM('Final Calculation Sheet'!$G$2),'Final Calculation Sheet'!$G$37)),'Final Calculation Sheet'!$B$37,"")))))</f>
        <v/>
      </c>
      <c r="GS37">
        <f>IF(GR37="","",COUNTIFS(GR$4:GR$40,"&lt;"&amp;GR37,GR$4:GR$40,"&lt;&gt;"&amp;"")+COUNTIF(GR$4:GR37,GR37))</f>
        <v/>
      </c>
      <c r="GT37">
        <f>IF(ROW()-3&gt;COUNTIF(GR$4:GR$40,"&lt;&gt;"&amp;""),"",INDEX(GR$4:GR$40,MATCH(ROW()-3,GS$4:GS$40,0)))</f>
        <v/>
      </c>
      <c r="GU37">
        <f>GU36+IF(AND(GT37&lt;&gt;"",COUNTIF(GT$4:GT37,GT37)=1),1,0)</f>
        <v/>
      </c>
      <c r="GV37">
        <f>IF(ROW()-3&gt;MAX(GU$4:GU$40),"",INDEX(GT$4:GT$40,MATCH(ROW()-3,GU$4:GU$40,0)))</f>
        <v/>
      </c>
      <c r="GW37">
        <f>IF('Final Calculation Sheet'!$B$37="","",IF(TRIM('Buyer Groups'!$C$4)="",'Final Calculation Sheet'!$B$37,IF(TRIM('Buyer Groups'!$C$4)="(nonblank)",IF('Final Calculation Sheet'!$G$37&lt;&gt;"",'Final Calculation Sheet'!$B$37,""),IF(TRIM('Buyer Groups'!$C$4)="(blank)",IF('Final Calculation Sheet'!$G$37="",'Final Calculation Sheet'!$B$37,""),IF(ISNUMBER(SEARCH(TRIM('Buyer Groups'!$C$4),'Final Calculation Sheet'!$G$37)),'Final Calculation Sheet'!$B$37,"")))))</f>
        <v/>
      </c>
      <c r="GX37">
        <f>IF(GW37="","",COUNTIFS(GW$4:GW$40,"&lt;"&amp;GW37,GW$4:GW$40,"&lt;&gt;"&amp;"")+COUNTIF(GW$4:GW37,GW37))</f>
        <v/>
      </c>
      <c r="GY37">
        <f>IF(ROW()-3&gt;COUNTIF(GW$4:GW$40,"&lt;&gt;"&amp;""),"",INDEX(GW$4:GW$40,MATCH(ROW()-3,GX$4:GX$40,0)))</f>
        <v/>
      </c>
      <c r="GZ37">
        <f>GZ36+IF(AND(GY37&lt;&gt;"",COUNTIF(GY$4:GY37,GY37)=1),1,0)</f>
        <v/>
      </c>
      <c r="HA37">
        <f>IF(ROW()-3&gt;MAX(GZ$4:GZ$40),"",INDEX(GY$4:GY$40,MATCH(ROW()-3,GZ$4:GZ$40,0)))</f>
        <v/>
      </c>
    </row>
    <row r="38">
      <c r="A38">
        <f>IF('Final Calculation Sheet'!$F$38="","",'Final Calculation Sheet'!$F$38)</f>
        <v/>
      </c>
      <c r="B38">
        <f>IF(A38="","",COUNTIFS(A$4:A$114,"&lt;"&amp;A38,A$4:A$114,"&lt;&gt;"&amp;"")+COUNTIF(A$4:A38,A38))</f>
        <v/>
      </c>
      <c r="C38">
        <f>IF(ROW()-3&gt;COUNTIF(A$4:A$114,"&lt;&gt;"&amp;""),"",INDEX(A$4:A$114,MATCH(ROW()-3,B$4:B$114,0)))</f>
        <v/>
      </c>
      <c r="D38">
        <f>D37+IF(AND(C38&lt;&gt;"",COUNTIF(C$4:C38,C38)=1),1,0)</f>
        <v/>
      </c>
      <c r="E38">
        <f>IF(ROW()-3&gt;MAX(D$4:D$114),"",INDEX(C$4:C$114,MATCH(ROW()-3,D$4:D$114,0)))</f>
        <v/>
      </c>
      <c r="F38">
        <f>ROW()-3</f>
        <v/>
      </c>
      <c r="G38">
        <f>IF(F38="","",COUNTIFS(F$4:F$40,"&lt;"&amp;F38,F$4:F$40,"&lt;&gt;"&amp;"")+COUNTIF(F$4:F38,F38))</f>
        <v/>
      </c>
      <c r="H38">
        <f>IF(ROW()-3&gt;COUNTIF(F$4:F$40,"&lt;&gt;"&amp;""),"",INDEX(F$4:F$40,MATCH(ROW()-3,G$4:G$40,0)))</f>
        <v/>
      </c>
      <c r="I38">
        <f>I37+IF(AND(H38&lt;&gt;"",COUNTIF(H$4:H38,H38)=1),1,0)</f>
        <v/>
      </c>
      <c r="J38">
        <f>IF(ROW()-3&gt;MAX(I$4:I$40),"",INDEX(H$4:H$40,MATCH(ROW()-3,I$4:I$40,0)))</f>
        <v/>
      </c>
      <c r="K38">
        <f>IF('Final Calculation Sheet'!$F$38="","",'Final Calculation Sheet'!$F$38)</f>
        <v/>
      </c>
      <c r="L38">
        <f>IF(K38="","",COUNTIFS(K$4:K$40,"&lt;"&amp;K38,K$4:K$40,"&lt;&gt;"&amp;"")+COUNTIF(K$4:K38,K38))</f>
        <v/>
      </c>
      <c r="M38">
        <f>IF(ROW()-3&gt;COUNTIF(K$4:K$40,"&lt;&gt;"&amp;""),"",INDEX(K$4:K$40,MATCH(ROW()-3,L$4:L$40,0)))</f>
        <v/>
      </c>
      <c r="N38">
        <f>N37+IF(AND(M38&lt;&gt;"",COUNTIF(M$4:M38,M38)=1),1,0)</f>
        <v/>
      </c>
      <c r="O38">
        <f>IF(ROW()-3&gt;MAX(N$4:N$40),"",INDEX(M$4:M$40,MATCH(ROW()-3,N$4:N$40,0)))</f>
        <v/>
      </c>
      <c r="P38">
        <f>IF('Final Calculation Sheet'!$G$38="","",'Final Calculation Sheet'!$G$38)</f>
        <v/>
      </c>
      <c r="Q38">
        <f>IF(P38="","",COUNTIFS(P$4:P$40,"&lt;"&amp;P38,P$4:P$40,"&lt;&gt;"&amp;"")+COUNTIF(P$4:P38,P38))</f>
        <v/>
      </c>
      <c r="R38">
        <f>IF(ROW()-3&gt;COUNTIF(P$4:P$40,"&lt;&gt;"&amp;""),"",INDEX(P$4:P$40,MATCH(ROW()-3,Q$4:Q$40,0)))</f>
        <v/>
      </c>
      <c r="S38">
        <f>S37+IF(AND(R38&lt;&gt;"",COUNTIF(R$4:R38,R38)=1),1,0)</f>
        <v/>
      </c>
      <c r="T38">
        <f>IF(ROW()-3&gt;MAX(S$4:S$40),"",INDEX(R$4:R$40,MATCH(ROW()-3,S$4:S$40,0)))</f>
        <v/>
      </c>
      <c r="U38">
        <f>IF('Final Calculation Sheet'!$B$38="","",'Final Calculation Sheet'!$B$38)</f>
        <v/>
      </c>
      <c r="V38">
        <f>IF(U38="","",COUNTIFS(U$4:U$40,"&lt;"&amp;U38,U$4:U$40,"&lt;&gt;"&amp;"")+COUNTIF(U$4:U38,U38))</f>
        <v/>
      </c>
      <c r="W38">
        <f>IF(ROW()-3&gt;COUNTIF(U$4:U$40,"&lt;&gt;"&amp;""),"",INDEX(U$4:U$40,MATCH(ROW()-3,V$4:V$40,0)))</f>
        <v/>
      </c>
      <c r="X38">
        <f>X37+IF(AND(W38&lt;&gt;"",COUNTIF(W$4:W38,W38)=1),1,0)</f>
        <v/>
      </c>
      <c r="Y38">
        <f>IF(ROW()-3&gt;MAX(X$4:X$40),"",INDEX(W$4:W$40,MATCH(ROW()-3,X$4:X$40,0)))</f>
        <v/>
      </c>
      <c r="Z38">
        <f>IF('Final Calculation Sheet'!$D$38="","",'Final Calculation Sheet'!$D$38)</f>
        <v/>
      </c>
      <c r="AA38">
        <f>IF(Z38="","",COUNTIFS(Z$4:Z$40,"&lt;"&amp;Z38,Z$4:Z$40,"&lt;&gt;"&amp;"")+COUNTIF(Z$4:Z38,Z38))</f>
        <v/>
      </c>
      <c r="AB38">
        <f>IF(ROW()-3&gt;COUNTIF(Z$4:Z$40,"&lt;&gt;"&amp;""),"",INDEX(Z$4:Z$40,MATCH(ROW()-3,AA$4:AA$40,0)))</f>
        <v/>
      </c>
      <c r="AC38">
        <f>AC37+IF(AND(AB38&lt;&gt;"",COUNTIF(AB$4:AB38,AB38)=1),1,0)</f>
        <v/>
      </c>
      <c r="AD38">
        <f>IF(ROW()-3&gt;MAX(AC$4:AC$40),"",INDEX(AB$4:AB$40,MATCH(ROW()-3,AC$4:AC$40,0)))</f>
        <v/>
      </c>
      <c r="AE38">
        <f>IF('Final Calculation Sheet'!$A$38="","",'Final Calculation Sheet'!$A$38)</f>
        <v/>
      </c>
      <c r="AF38">
        <f>IF(AE38="","",COUNTIFS(AE$4:AE$40,"&lt;"&amp;AE38,AE$4:AE$40,"&lt;&gt;"&amp;"")+COUNTIF(AE$4:AE38,AE38))</f>
        <v/>
      </c>
      <c r="AG38">
        <f>IF(ROW()-3&gt;COUNTIF(AE$4:AE$40,"&lt;&gt;"&amp;""),"",INDEX(AE$4:AE$40,MATCH(ROW()-3,AF$4:AF$40,0)))</f>
        <v/>
      </c>
      <c r="AH38">
        <f>AH37+IF(AND(AG38&lt;&gt;"",COUNTIF(AG$4:AG38,AG38)=1),1,0)</f>
        <v/>
      </c>
      <c r="AI38">
        <f>IF(ROW()-3&gt;MAX(AH$4:AH$40),"",INDEX(AG$4:AG$40,MATCH(ROW()-3,AH$4:AH$40,0)))</f>
        <v/>
      </c>
      <c r="AJ38">
        <f>IF('Final Calculation Sheet'!$E$38="","",'Final Calculation Sheet'!$E$38)</f>
        <v/>
      </c>
      <c r="AK38">
        <f>IF(AJ38="","",COUNTIFS(AJ$4:AJ$40,"&lt;"&amp;AJ38,AJ$4:AJ$40,"&lt;&gt;"&amp;"")+COUNTIF(AJ$4:AJ38,AJ38))</f>
        <v/>
      </c>
      <c r="AL38">
        <f>IF(ROW()-3&gt;COUNTIF(AJ$4:AJ$40,"&lt;&gt;"&amp;""),"",INDEX(AJ$4:AJ$40,MATCH(ROW()-3,AK$4:AK$40,0)))</f>
        <v/>
      </c>
      <c r="AM38">
        <f>AM37+IF(AND(AL38&lt;&gt;"",COUNTIF(AL$4:AL38,AL38)=1),1,0)</f>
        <v/>
      </c>
      <c r="AN38">
        <f>IF(ROW()-3&gt;MAX(AM$4:AM$40),"",INDEX(AL$4:AL$40,MATCH(ROW()-3,AM$4:AM$40,0)))</f>
        <v/>
      </c>
      <c r="AO38" s="55">
        <f>IF('Final Calculation Sheet'!$C$38="","",'Final Calculation Sheet'!$C$38)</f>
        <v/>
      </c>
      <c r="AP38">
        <f>IF(AO38="","",COUNTIFS(AO$4:AO$40,"&lt;"&amp;AO38,AO$4:AO$40,"&lt;&gt;"&amp;"")+COUNTIF(AO$4:AO38,AO38))</f>
        <v/>
      </c>
      <c r="AQ38" s="55">
        <f>IF(ROW()-3&gt;COUNTIF(AO$4:AO$40,"&lt;&gt;"&amp;""),"",INDEX(AO$4:AO$40,MATCH(ROW()-3,AP$4:AP$40,0)))</f>
        <v/>
      </c>
      <c r="AR38">
        <f>AR37+IF(AND(AQ38&lt;&gt;"",COUNTIF(AQ$4:AQ38,AQ38)=1),1,0)</f>
        <v/>
      </c>
      <c r="AS38" s="55">
        <f>IF(ROW()-3&gt;MAX(AR$4:AR$40),"",INDEX(AQ$4:AQ$40,MATCH(ROW()-3,AR$4:AR$40,0)))</f>
        <v/>
      </c>
      <c r="AT38" s="55">
        <f>IF('Final Calculation Sheet'!$H$38="","",'Final Calculation Sheet'!$H$38)</f>
        <v/>
      </c>
      <c r="AU38">
        <f>IF(AT38="","",COUNTIFS(AT$4:AT$40,"&lt;"&amp;AT38,AT$4:AT$40,"&lt;&gt;"&amp;"")+COUNTIF(AT$4:AT38,AT38))</f>
        <v/>
      </c>
      <c r="AV38" s="55">
        <f>IF(ROW()-3&gt;COUNTIF(AT$4:AT$40,"&lt;&gt;"&amp;""),"",INDEX(AT$4:AT$40,MATCH(ROW()-3,AU$4:AU$40,0)))</f>
        <v/>
      </c>
      <c r="AW38">
        <f>AW37+IF(AND(AV38&lt;&gt;"",COUNTIF(AV$4:AV38,AV38)=1),1,0)</f>
        <v/>
      </c>
      <c r="AX38" s="55">
        <f>IF(ROW()-3&gt;MAX(AW$4:AW$40),"",INDEX(AV$4:AV$40,MATCH(ROW()-3,AW$4:AW$40,0)))</f>
        <v/>
      </c>
      <c r="AY38" s="55">
        <f>IF('Final Calculation Sheet'!$I$38="","",'Final Calculation Sheet'!$I$38)</f>
        <v/>
      </c>
      <c r="AZ38">
        <f>IF(AY38="","",COUNTIFS(AY$4:AY$40,"&lt;"&amp;AY38,AY$4:AY$40,"&lt;&gt;"&amp;"")+COUNTIF(AY$4:AY38,AY38))</f>
        <v/>
      </c>
      <c r="BA38" s="55">
        <f>IF(ROW()-3&gt;COUNTIF(AY$4:AY$40,"&lt;&gt;"&amp;""),"",INDEX(AY$4:AY$40,MATCH(ROW()-3,AZ$4:AZ$40,0)))</f>
        <v/>
      </c>
      <c r="BB38">
        <f>BB37+IF(AND(BA38&lt;&gt;"",COUNTIF(BA$4:BA38,BA38)=1),1,0)</f>
        <v/>
      </c>
      <c r="BC38" s="55">
        <f>IF(ROW()-3&gt;MAX(BB$4:BB$40),"",INDEX(BA$4:BA$40,MATCH(ROW()-3,BB$4:BB$40,0)))</f>
        <v/>
      </c>
      <c r="BD38" s="55">
        <f>IF('Final Calculation Sheet'!$J$38="","",'Final Calculation Sheet'!$J$38)</f>
        <v/>
      </c>
      <c r="BE38">
        <f>IF(BD38="","",COUNTIFS(BD$4:BD$40,"&lt;"&amp;BD38,BD$4:BD$40,"&lt;&gt;"&amp;"")+COUNTIF(BD$4:BD38,BD38))</f>
        <v/>
      </c>
      <c r="BF38" s="55">
        <f>IF(ROW()-3&gt;COUNTIF(BD$4:BD$40,"&lt;&gt;"&amp;""),"",INDEX(BD$4:BD$40,MATCH(ROW()-3,BE$4:BE$40,0)))</f>
        <v/>
      </c>
      <c r="BG38">
        <f>BG37+IF(AND(BF38&lt;&gt;"",COUNTIF(BF$4:BF38,BF38)=1),1,0)</f>
        <v/>
      </c>
      <c r="BH38" s="55">
        <f>IF(ROW()-3&gt;MAX(BG$4:BG$40),"",INDEX(BF$4:BF$40,MATCH(ROW()-3,BG$4:BG$40,0)))</f>
        <v/>
      </c>
      <c r="BI38" s="55">
        <f>IF('Final Calculation Sheet'!$K$38="","",'Final Calculation Sheet'!$K$38)</f>
        <v/>
      </c>
      <c r="BJ38">
        <f>IF(BI38="","",COUNTIFS(BI$4:BI$40,"&lt;"&amp;BI38,BI$4:BI$40,"&lt;&gt;"&amp;"")+COUNTIF(BI$4:BI38,BI38))</f>
        <v/>
      </c>
      <c r="BK38" s="55">
        <f>IF(ROW()-3&gt;COUNTIF(BI$4:BI$40,"&lt;&gt;"&amp;""),"",INDEX(BI$4:BI$40,MATCH(ROW()-3,BJ$4:BJ$40,0)))</f>
        <v/>
      </c>
      <c r="BL38">
        <f>BL37+IF(AND(BK38&lt;&gt;"",COUNTIF(BK$4:BK38,BK38)=1),1,0)</f>
        <v/>
      </c>
      <c r="BM38" s="55">
        <f>IF(ROW()-3&gt;MAX(BL$4:BL$40),"",INDEX(BK$4:BK$40,MATCH(ROW()-3,BL$4:BL$40,0)))</f>
        <v/>
      </c>
      <c r="BN38" s="55">
        <f>IF('Final Calculation Sheet'!$L$38="","",'Final Calculation Sheet'!$L$38)</f>
        <v/>
      </c>
      <c r="BO38">
        <f>IF(BN38="","",COUNTIFS(BN$4:BN$40,"&lt;"&amp;BN38,BN$4:BN$40,"&lt;&gt;"&amp;"")+COUNTIF(BN$4:BN38,BN38))</f>
        <v/>
      </c>
      <c r="BP38" s="55">
        <f>IF(ROW()-3&gt;COUNTIF(BN$4:BN$40,"&lt;&gt;"&amp;""),"",INDEX(BN$4:BN$40,MATCH(ROW()-3,BO$4:BO$40,0)))</f>
        <v/>
      </c>
      <c r="BQ38">
        <f>BQ37+IF(AND(BP38&lt;&gt;"",COUNTIF(BP$4:BP38,BP38)=1),1,0)</f>
        <v/>
      </c>
      <c r="BR38" s="55">
        <f>IF(ROW()-3&gt;MAX(BQ$4:BQ$40),"",INDEX(BP$4:BP$40,MATCH(ROW()-3,BQ$4:BQ$40,0)))</f>
        <v/>
      </c>
      <c r="BS38" s="55">
        <f>IF('Final Calculation Sheet'!$M$38="","",'Final Calculation Sheet'!$M$38)</f>
        <v/>
      </c>
      <c r="BT38">
        <f>IF(BS38="","",COUNTIFS(BS$4:BS$40,"&lt;"&amp;BS38,BS$4:BS$40,"&lt;&gt;"&amp;"")+COUNTIF(BS$4:BS38,BS38))</f>
        <v/>
      </c>
      <c r="BU38" s="55">
        <f>IF(ROW()-3&gt;COUNTIF(BS$4:BS$40,"&lt;&gt;"&amp;""),"",INDEX(BS$4:BS$40,MATCH(ROW()-3,BT$4:BT$40,0)))</f>
        <v/>
      </c>
      <c r="BV38">
        <f>BV37+IF(AND(BU38&lt;&gt;"",COUNTIF(BU$4:BU38,BU38)=1),1,0)</f>
        <v/>
      </c>
      <c r="BW38" s="55">
        <f>IF(ROW()-3&gt;MAX(BV$4:BV$40),"",INDEX(BU$4:BU$40,MATCH(ROW()-3,BV$4:BV$40,0)))</f>
        <v/>
      </c>
      <c r="BX38" s="138">
        <f>IF('Final Calculation Sheet'!$N$38="","",'Final Calculation Sheet'!$N$38)</f>
        <v/>
      </c>
      <c r="BY38">
        <f>IF(BX38="","",COUNTIFS(BX$4:BX$40,"&lt;"&amp;BX38,BX$4:BX$40,"&lt;&gt;"&amp;"")+COUNTIF(BX$4:BX38,BX38))</f>
        <v/>
      </c>
      <c r="BZ38" s="138">
        <f>IF(ROW()-3&gt;COUNTIF(BX$4:BX$40,"&lt;&gt;"&amp;""),"",INDEX(BX$4:BX$40,MATCH(ROW()-3,BY$4:BY$40,0)))</f>
        <v/>
      </c>
      <c r="CA38">
        <f>CA37+IF(AND(BZ38&lt;&gt;"",COUNTIF(BZ$4:BZ38,BZ38)=1),1,0)</f>
        <v/>
      </c>
      <c r="CB38" s="138">
        <f>IF(ROW()-3&gt;MAX(CA$4:CA$40),"",INDEX(BZ$4:BZ$40,MATCH(ROW()-3,CA$4:CA$40,0)))</f>
        <v/>
      </c>
      <c r="CC38" s="55">
        <f>IF('Final Calculation Sheet'!$O$38="","",'Final Calculation Sheet'!$O$38)</f>
        <v/>
      </c>
      <c r="CD38">
        <f>IF(CC38="","",COUNTIFS(CC$4:CC$40,"&lt;"&amp;CC38,CC$4:CC$40,"&lt;&gt;"&amp;"")+COUNTIF(CC$4:CC38,CC38))</f>
        <v/>
      </c>
      <c r="CE38" s="55">
        <f>IF(ROW()-3&gt;COUNTIF(CC$4:CC$40,"&lt;&gt;"&amp;""),"",INDEX(CC$4:CC$40,MATCH(ROW()-3,CD$4:CD$40,0)))</f>
        <v/>
      </c>
      <c r="CF38">
        <f>CF37+IF(AND(CE38&lt;&gt;"",COUNTIF(CE$4:CE38,CE38)=1),1,0)</f>
        <v/>
      </c>
      <c r="CG38" s="55">
        <f>IF(ROW()-3&gt;MAX(CF$4:CF$40),"",INDEX(CE$4:CE$40,MATCH(ROW()-3,CF$4:CF$40,0)))</f>
        <v/>
      </c>
      <c r="CH38" s="55">
        <f>IF('Final Calculation Sheet'!$P$38="","",'Final Calculation Sheet'!$P$38)</f>
        <v/>
      </c>
      <c r="CI38">
        <f>IF(CH38="","",COUNTIFS(CH$4:CH$40,"&lt;"&amp;CH38,CH$4:CH$40,"&lt;&gt;"&amp;"")+COUNTIF(CH$4:CH38,CH38))</f>
        <v/>
      </c>
      <c r="CJ38" s="55">
        <f>IF(ROW()-3&gt;COUNTIF(CH$4:CH$40,"&lt;&gt;"&amp;""),"",INDEX(CH$4:CH$40,MATCH(ROW()-3,CI$4:CI$40,0)))</f>
        <v/>
      </c>
      <c r="CK38">
        <f>CK37+IF(AND(CJ38&lt;&gt;"",COUNTIF(CJ$4:CJ38,CJ38)=1),1,0)</f>
        <v/>
      </c>
      <c r="CL38" s="55">
        <f>IF(ROW()-3&gt;MAX(CK$4:CK$40),"",INDEX(CJ$4:CJ$40,MATCH(ROW()-3,CK$4:CK$40,0)))</f>
        <v/>
      </c>
      <c r="CM38" s="139">
        <f>IF('Final Calculation Sheet'!$Q$38="","",'Final Calculation Sheet'!$Q$38)</f>
        <v/>
      </c>
      <c r="CN38">
        <f>IF(CM38="","",COUNTIFS(CM$4:CM$40,"&lt;"&amp;CM38,CM$4:CM$40,"&lt;&gt;"&amp;"")+COUNTIF(CM$4:CM38,CM38))</f>
        <v/>
      </c>
      <c r="CO38" s="139">
        <f>IF(ROW()-3&gt;COUNTIF(CM$4:CM$40,"&lt;&gt;"&amp;""),"",INDEX(CM$4:CM$40,MATCH(ROW()-3,CN$4:CN$40,0)))</f>
        <v/>
      </c>
      <c r="CP38">
        <f>CP37+IF(AND(CO38&lt;&gt;"",COUNTIF(CO$4:CO38,CO38)=1),1,0)</f>
        <v/>
      </c>
      <c r="CQ38">
        <f>IF(ROW()-3&gt;MAX(CP$4:CP$40),"",INDEX(CO$4:CO$40,MATCH(ROW()-3,CP$4:CP$40,0)))</f>
        <v/>
      </c>
      <c r="CR38" s="55">
        <f>IF('Final Calculation Sheet'!$R$38="","",'Final Calculation Sheet'!$R$38)</f>
        <v/>
      </c>
      <c r="CS38">
        <f>IF(CR38="","",COUNTIFS(CR$4:CR$40,"&lt;"&amp;CR38,CR$4:CR$40,"&lt;&gt;"&amp;"")+COUNTIF(CR$4:CR38,CR38))</f>
        <v/>
      </c>
      <c r="CT38" s="55">
        <f>IF(ROW()-3&gt;COUNTIF(CR$4:CR$40,"&lt;&gt;"&amp;""),"",INDEX(CR$4:CR$40,MATCH(ROW()-3,CS$4:CS$40,0)))</f>
        <v/>
      </c>
      <c r="CU38">
        <f>CU37+IF(AND(CT38&lt;&gt;"",COUNTIF(CT$4:CT38,CT38)=1),1,0)</f>
        <v/>
      </c>
      <c r="CV38">
        <f>IF(ROW()-3&gt;MAX(CU$4:CU$40),"",INDEX(CT$4:CT$40,MATCH(ROW()-3,CU$4:CU$40,0)))</f>
        <v/>
      </c>
      <c r="CW38" s="55">
        <f>IF('Final Calculation Sheet'!$S$38="","",'Final Calculation Sheet'!$S$38)</f>
        <v/>
      </c>
      <c r="CX38">
        <f>IF(CW38="","",COUNTIFS(CW$4:CW$40,"&lt;"&amp;CW38,CW$4:CW$40,"&lt;&gt;"&amp;"")+COUNTIF(CW$4:CW38,CW38))</f>
        <v/>
      </c>
      <c r="CY38" s="55">
        <f>IF(ROW()-3&gt;COUNTIF(CW$4:CW$40,"&lt;&gt;"&amp;""),"",INDEX(CW$4:CW$40,MATCH(ROW()-3,CX$4:CX$40,0)))</f>
        <v/>
      </c>
      <c r="CZ38">
        <f>CZ37+IF(AND(CY38&lt;&gt;"",COUNTIF(CY$4:CY38,CY38)=1),1,0)</f>
        <v/>
      </c>
      <c r="DA38" s="55">
        <f>IF(ROW()-3&gt;MAX(CZ$4:CZ$40),"",INDEX(CY$4:CY$40,MATCH(ROW()-3,CZ$4:CZ$40,0)))</f>
        <v/>
      </c>
      <c r="DB38" s="55">
        <f>IF('Final Calculation Sheet'!$T$38="","",'Final Calculation Sheet'!$T$38)</f>
        <v/>
      </c>
      <c r="DC38">
        <f>IF(DB38="","",COUNTIFS(DB$4:DB$40,"&lt;"&amp;DB38,DB$4:DB$40,"&lt;&gt;"&amp;"")+COUNTIF(DB$4:DB38,DB38))</f>
        <v/>
      </c>
      <c r="DD38" s="55">
        <f>IF(ROW()-3&gt;COUNTIF(DB$4:DB$40,"&lt;&gt;"&amp;""),"",INDEX(DB$4:DB$40,MATCH(ROW()-3,DC$4:DC$40,0)))</f>
        <v/>
      </c>
      <c r="DE38">
        <f>DE37+IF(AND(DD38&lt;&gt;"",COUNTIF(DD$4:DD38,DD38)=1),1,0)</f>
        <v/>
      </c>
      <c r="DF38" s="55">
        <f>IF(ROW()-3&gt;MAX(DE$4:DE$40),"",INDEX(DD$4:DD$40,MATCH(ROW()-3,DE$4:DE$40,0)))</f>
        <v/>
      </c>
      <c r="DG38" s="140">
        <f>IF('Final Calculation Sheet'!$U$38="","",'Final Calculation Sheet'!$U$38)</f>
        <v/>
      </c>
      <c r="DH38">
        <f>IF(DG38="","",COUNTIFS(DG$4:DG$40,"&lt;"&amp;DG38,DG$4:DG$40,"&lt;&gt;"&amp;"")+COUNTIF(DG$4:DG38,DG38))</f>
        <v/>
      </c>
      <c r="DI38" s="140">
        <f>IF(ROW()-3&gt;COUNTIF(DG$4:DG$40,"&lt;&gt;"&amp;""),"",INDEX(DG$4:DG$40,MATCH(ROW()-3,DH$4:DH$40,0)))</f>
        <v/>
      </c>
      <c r="DJ38">
        <f>DJ37+IF(AND(DI38&lt;&gt;"",COUNTIF(DI$4:DI38,DI38)=1),1,0)</f>
        <v/>
      </c>
      <c r="DK38" s="140">
        <f>IF(ROW()-3&gt;MAX(DJ$4:DJ$40),"",INDEX(DI$4:DI$40,MATCH(ROW()-3,DJ$4:DJ$40,0)))</f>
        <v/>
      </c>
      <c r="DL38">
        <f>IF('Final Calculation Sheet'!$V$38="","",'Final Calculation Sheet'!$V$38)</f>
        <v/>
      </c>
      <c r="DM38">
        <f>IF(DL38="","",COUNTIFS(DL$4:DL$40,"&lt;"&amp;DL38,DL$4:DL$40,"&lt;&gt;"&amp;"")+COUNTIF(DL$4:DL38,DL38))</f>
        <v/>
      </c>
      <c r="DN38">
        <f>IF(ROW()-3&gt;COUNTIF(DL$4:DL$40,"&lt;&gt;"&amp;""),"",INDEX(DL$4:DL$40,MATCH(ROW()-3,DM$4:DM$40,0)))</f>
        <v/>
      </c>
      <c r="DO38">
        <f>DO37+IF(AND(DN38&lt;&gt;"",COUNTIF(DN$4:DN38,DN38)=1),1,0)</f>
        <v/>
      </c>
      <c r="DP38">
        <f>IF(ROW()-3&gt;MAX(DO$4:DO$40),"",INDEX(DN$4:DN$40,MATCH(ROW()-3,DO$4:DO$40,0)))</f>
        <v/>
      </c>
      <c r="DQ38" s="55">
        <f>IF('Final Calculation Sheet'!$W$38="","",'Final Calculation Sheet'!$W$38)</f>
        <v/>
      </c>
      <c r="DR38">
        <f>IF(DQ38="","",COUNTIFS(DQ$4:DQ$40,"&lt;"&amp;DQ38,DQ$4:DQ$40,"&lt;&gt;"&amp;"")+COUNTIF(DQ$4:DQ38,DQ38))</f>
        <v/>
      </c>
      <c r="DS38" s="55">
        <f>IF(ROW()-3&gt;COUNTIF(DQ$4:DQ$40,"&lt;&gt;"&amp;""),"",INDEX(DQ$4:DQ$40,MATCH(ROW()-3,DR$4:DR$40,0)))</f>
        <v/>
      </c>
      <c r="DT38">
        <f>DT37+IF(AND(DS38&lt;&gt;"",COUNTIF(DS$4:DS38,DS38)=1),1,0)</f>
        <v/>
      </c>
      <c r="DU38" s="55">
        <f>IF(ROW()-3&gt;MAX(DT$4:DT$40),"",INDEX(DS$4:DS$40,MATCH(ROW()-3,DT$4:DT$40,0)))</f>
        <v/>
      </c>
      <c r="DV38" s="55">
        <f>IF('Final Calculation Sheet'!$X$38="","",'Final Calculation Sheet'!$X$38)</f>
        <v/>
      </c>
      <c r="DW38">
        <f>IF(DV38="","",COUNTIFS(DV$4:DV$40,"&lt;"&amp;DV38,DV$4:DV$40,"&lt;&gt;"&amp;"")+COUNTIF(DV$4:DV38,DV38))</f>
        <v/>
      </c>
      <c r="DX38">
        <f>IF(ROW()-3&gt;COUNTIF(DV$4:DV$40,"&lt;&gt;"&amp;""),"",INDEX(DV$4:DV$40,MATCH(ROW()-3,DW$4:DW$40,0)))</f>
        <v/>
      </c>
      <c r="DY38">
        <f>DY37+IF(AND(DX38&lt;&gt;"",COUNTIF(DX$4:DX38,DX38)=1),1,0)</f>
        <v/>
      </c>
      <c r="DZ38">
        <f>IF(ROW()-3&gt;MAX(DY$4:DY$40),"",INDEX(DX$4:DX$40,MATCH(ROW()-3,DY$4:DY$40,0)))</f>
        <v/>
      </c>
      <c r="EA38">
        <f>IF('Final Calculation Sheet'!$Y$38="","",'Final Calculation Sheet'!$Y$38)</f>
        <v/>
      </c>
      <c r="EB38">
        <f>IF(EA38="","",COUNTIFS(EA$4:EA$40,"&lt;"&amp;EA38,EA$4:EA$40,"&lt;&gt;"&amp;"")+COUNTIF(EA$4:EA38,EA38))</f>
        <v/>
      </c>
      <c r="EC38">
        <f>IF(ROW()-3&gt;COUNTIF(EA$4:EA$40,"&lt;&gt;"&amp;""),"",INDEX(EA$4:EA$40,MATCH(ROW()-3,EB$4:EB$40,0)))</f>
        <v/>
      </c>
      <c r="ED38">
        <f>ED37+IF(AND(EC38&lt;&gt;"",COUNTIF(EC$4:EC38,EC38)=1),1,0)</f>
        <v/>
      </c>
      <c r="EE38">
        <f>IF(ROW()-3&gt;MAX(ED$4:ED$40),"",INDEX(EC$4:EC$40,MATCH(ROW()-3,ED$4:ED$40,0)))</f>
        <v/>
      </c>
      <c r="EF38" s="55">
        <f>IF('Final Calculation Sheet'!$Z$38="","",'Final Calculation Sheet'!$Z$38)</f>
        <v/>
      </c>
      <c r="EG38">
        <f>IF(EF38="","",COUNTIFS(EF$4:EF$40,"&lt;"&amp;EF38,EF$4:EF$40,"&lt;&gt;"&amp;"")+COUNTIF(EF$4:EF38,EF38))</f>
        <v/>
      </c>
      <c r="EH38" s="55">
        <f>IF(ROW()-3&gt;COUNTIF(EF$4:EF$40,"&lt;&gt;"&amp;""),"",INDEX(EF$4:EF$40,MATCH(ROW()-3,EG$4:EG$40,0)))</f>
        <v/>
      </c>
      <c r="EI38">
        <f>EI37+IF(AND(EH38&lt;&gt;"",COUNTIF(EH$4:EH38,EH38)=1),1,0)</f>
        <v/>
      </c>
      <c r="EJ38">
        <f>IF(ROW()-3&gt;MAX(EI$4:EI$40),"",INDEX(EH$4:EH$40,MATCH(ROW()-3,EI$4:EI$40,0)))</f>
        <v/>
      </c>
      <c r="EK38">
        <f>IF('Final Calculation Sheet'!$AA$38="","",'Final Calculation Sheet'!$AA$38)</f>
        <v/>
      </c>
      <c r="EL38">
        <f>IF(EK38="","",COUNTIFS(EK$4:EK$40,"&lt;"&amp;EK38,EK$4:EK$40,"&lt;&gt;"&amp;"")+COUNTIF(EK$4:EK38,EK38))</f>
        <v/>
      </c>
      <c r="EM38">
        <f>IF(ROW()-3&gt;COUNTIF(EK$4:EK$40,"&lt;&gt;"&amp;""),"",INDEX(EK$4:EK$40,MATCH(ROW()-3,EL$4:EL$40,0)))</f>
        <v/>
      </c>
      <c r="EN38">
        <f>EN37+IF(AND(EM38&lt;&gt;"",COUNTIF(EM$4:EM38,EM38)=1),1,0)</f>
        <v/>
      </c>
      <c r="EO38">
        <f>IF(ROW()-3&gt;MAX(EN$4:EN$40),"",INDEX(EM$4:EM$40,MATCH(ROW()-3,EN$4:EN$40,0)))</f>
        <v/>
      </c>
      <c r="EP38">
        <f>IF('Final Calculation Sheet'!$AB$38="","",'Final Calculation Sheet'!$AB$38)</f>
        <v/>
      </c>
      <c r="EQ38">
        <f>IF(EP38="","",COUNTIFS(EP$4:EP$40,"&lt;"&amp;EP38,EP$4:EP$40,"&lt;&gt;"&amp;"")+COUNTIF(EP$4:EP38,EP38))</f>
        <v/>
      </c>
      <c r="ER38">
        <f>IF(ROW()-3&gt;COUNTIF(EP$4:EP$40,"&lt;&gt;"&amp;""),"",INDEX(EP$4:EP$40,MATCH(ROW()-3,EQ$4:EQ$40,0)))</f>
        <v/>
      </c>
      <c r="ES38">
        <f>ES37+IF(AND(ER38&lt;&gt;"",COUNTIF(ER$4:ER38,ER38)=1),1,0)</f>
        <v/>
      </c>
      <c r="ET38">
        <f>IF(ROW()-3&gt;MAX(ES$4:ES$40),"",INDEX(ER$4:ER$40,MATCH(ROW()-3,ES$4:ES$40,0)))</f>
        <v/>
      </c>
      <c r="EU38" s="55">
        <f>IF('Final Calculation Sheet'!$AC$38="","",'Final Calculation Sheet'!$AC$38)</f>
        <v/>
      </c>
      <c r="EV38">
        <f>IF(EU38="","",COUNTIFS(EU$4:EU$40,"&lt;"&amp;EU38,EU$4:EU$40,"&lt;&gt;"&amp;"")+COUNTIF(EU$4:EU38,EU38))</f>
        <v/>
      </c>
      <c r="EW38" s="55">
        <f>IF(ROW()-3&gt;COUNTIF(EU$4:EU$40,"&lt;&gt;"&amp;""),"",INDEX(EU$4:EU$40,MATCH(ROW()-3,EV$4:EV$40,0)))</f>
        <v/>
      </c>
      <c r="EX38">
        <f>EX37+IF(AND(EW38&lt;&gt;"",COUNTIF(EW$4:EW38,EW38)=1),1,0)</f>
        <v/>
      </c>
      <c r="EY38" s="55">
        <f>IF(ROW()-3&gt;MAX(EX$4:EX$40),"",INDEX(EW$4:EW$40,MATCH(ROW()-3,EX$4:EX$40,0)))</f>
        <v/>
      </c>
      <c r="EZ38" s="55">
        <f>IF('Final Calculation Sheet'!$AD$38="","",'Final Calculation Sheet'!$AD$38)</f>
        <v/>
      </c>
      <c r="FA38">
        <f>IF(EZ38="","",COUNTIFS(EZ$4:EZ$40,"&lt;"&amp;EZ38,EZ$4:EZ$40,"&lt;&gt;"&amp;"")+COUNTIF(EZ$4:EZ38,EZ38))</f>
        <v/>
      </c>
      <c r="FB38" s="55">
        <f>IF(ROW()-3&gt;COUNTIF(EZ$4:EZ$40,"&lt;&gt;"&amp;""),"",INDEX(EZ$4:EZ$40,MATCH(ROW()-3,FA$4:FA$40,0)))</f>
        <v/>
      </c>
      <c r="FC38">
        <f>FC37+IF(AND(FB38&lt;&gt;"",COUNTIF(FB$4:FB38,FB38)=1),1,0)</f>
        <v/>
      </c>
      <c r="FD38">
        <f>IF(ROW()-3&gt;MAX(FC$4:FC$40),"",INDEX(FB$4:FB$40,MATCH(ROW()-3,FC$4:FC$40,0)))</f>
        <v/>
      </c>
      <c r="FE38">
        <f>IF('Final Calculation Sheet'!$AF$38="","",'Final Calculation Sheet'!$AF$38)</f>
        <v/>
      </c>
      <c r="FF38">
        <f>IF(FE38="","",COUNTIFS(FE$4:FE$40,"&lt;"&amp;FE38,FE$4:FE$40,"&lt;&gt;"&amp;"")+COUNTIF(FE$4:FE38,FE38))</f>
        <v/>
      </c>
      <c r="FG38">
        <f>IF(ROW()-3&gt;COUNTIF(FE$4:FE$40,"&lt;&gt;"&amp;""),"",INDEX(FE$4:FE$40,MATCH(ROW()-3,FF$4:FF$40,0)))</f>
        <v/>
      </c>
      <c r="FH38">
        <f>FH37+IF(AND(FG38&lt;&gt;"",COUNTIF(FG$4:FG38,FG38)=1),1,0)</f>
        <v/>
      </c>
      <c r="FI38">
        <f>IF(ROW()-3&gt;MAX(FH$4:FH$40),"",INDEX(FG$4:FG$40,MATCH(ROW()-3,FH$4:FH$40,0)))</f>
        <v/>
      </c>
      <c r="FJ38" s="141">
        <f>IF('Final Calculation Sheet'!$AG$38="","",'Final Calculation Sheet'!$AG$38)</f>
        <v/>
      </c>
      <c r="FK38">
        <f>IF(FJ38="","",COUNTIFS(FJ$4:FJ$40,"&lt;"&amp;FJ38,FJ$4:FJ$40,"&lt;&gt;"&amp;"")+COUNTIF(FJ$4:FJ38,FJ38))</f>
        <v/>
      </c>
      <c r="FL38">
        <f>IF(ROW()-3&gt;COUNTIF(FJ$4:FJ$40,"&lt;&gt;"&amp;""),"",INDEX(FJ$4:FJ$40,MATCH(ROW()-3,FK$4:FK$40,0)))</f>
        <v/>
      </c>
      <c r="FM38">
        <f>FM37+IF(AND(FL38&lt;&gt;"",COUNTIF(FL$4:FL38,FL38)=1),1,0)</f>
        <v/>
      </c>
      <c r="FN38">
        <f>IF(ROW()-3&gt;MAX(FM$4:FM$40),"",INDEX(FL$4:FL$40,MATCH(ROW()-3,FM$4:FM$40,0)))</f>
        <v/>
      </c>
      <c r="FO38">
        <f>IF('Final Calculation Sheet'!$AH$38="","",'Final Calculation Sheet'!$AH$38)</f>
        <v/>
      </c>
      <c r="FP38">
        <f>IF(FO38="","",COUNTIFS(FO$4:FO$40,"&lt;"&amp;FO38,FO$4:FO$40,"&lt;&gt;"&amp;"")+COUNTIF(FO$4:FO38,FO38))</f>
        <v/>
      </c>
      <c r="FQ38">
        <f>IF(ROW()-3&gt;COUNTIF(FO$4:FO$40,"&lt;&gt;"&amp;""),"",INDEX(FO$4:FO$40,MATCH(ROW()-3,FP$4:FP$40,0)))</f>
        <v/>
      </c>
      <c r="FR38">
        <f>FR37+IF(AND(FQ38&lt;&gt;"",COUNTIF(FQ$4:FQ38,FQ38)=1),1,0)</f>
        <v/>
      </c>
      <c r="FS38">
        <f>IF(ROW()-3&gt;MAX(FR$4:FR$40),"",INDEX(FQ$4:FQ$40,MATCH(ROW()-3,FR$4:FR$40,0)))</f>
        <v/>
      </c>
      <c r="FU38">
        <f>IF(FT38="","",COUNTIFS(FT$4:FT$40,"&lt;"&amp;FT38,FT$4:FT$40,"&lt;&gt;"&amp;"")+COUNTIF(FT$4:FT38,FT38))</f>
        <v/>
      </c>
      <c r="FV38">
        <f>IF(ROW()-3&gt;COUNTIF(FT$4:FT$40,"&lt;&gt;"&amp;""),"",INDEX(FT$4:FT$40,MATCH(ROW()-3,FU$4:FU$40,0)))</f>
        <v/>
      </c>
      <c r="FW38">
        <f>FW37+IF(AND(FV38&lt;&gt;"",COUNTIF(FV$4:FV38,FV38)=1),1,0)</f>
        <v/>
      </c>
      <c r="FX38">
        <f>IF(ROW()-3&gt;MAX(FW$4:FW$40),"",INDEX(FV$4:FV$40,MATCH(ROW()-3,FW$4:FW$40,0)))</f>
        <v/>
      </c>
      <c r="FY38">
        <f>IF(COUNTIF('Live Search'!BM$37:BO$37,0)+COUNTIF('Live Search'!BQ$37:CU$37,0)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8">
        <f>IF($Y$38="",FALSE,SUMPRODUCT(('Final Calculation Sheet'!$B$4:$B$40=$Y$38)*($FY$6:$FY$42=1))&gt;0)</f>
        <v/>
      </c>
      <c r="GA38">
        <f>$GA$37+--($FZ$38)</f>
        <v/>
      </c>
      <c r="GB38">
        <f>IF(ROW()-3&gt;MAX($GA$4:$GA$40),"",INDEX($Y$4:$Y$40,MATCH(ROW()-3,$GA$4:$GA$40,0)))</f>
        <v/>
      </c>
      <c r="GC38">
        <f>IF('Final Calculation Sheet'!$F$38="","",IF(TRIM('Final Calculation Sheet'!$G$2)="",'Final Calculation Sheet'!$F$38,IF(TRIM('Final Calculation Sheet'!$G$2)="(nonblank)",IF('Final Calculation Sheet'!$G$38&lt;&gt;"",'Final Calculation Sheet'!$F$38,""),IF(TRIM('Final Calculation Sheet'!$G$2)="(blank)",IF('Final Calculation Sheet'!$G$38="",'Final Calculation Sheet'!$F$38,""),IF(ISNUMBER(SEARCH(TRIM('Final Calculation Sheet'!$G$2),'Final Calculation Sheet'!$G$38)),'Final Calculation Sheet'!$F$38,"")))))</f>
        <v/>
      </c>
      <c r="GD38">
        <f>IF(GC38="","",COUNTIFS(GC$4:GC$40,"&lt;"&amp;GC38,GC$4:GC$40,"&lt;&gt;"&amp;"")+COUNTIF(GC$4:GC38,GC38))</f>
        <v/>
      </c>
      <c r="GE38">
        <f>IF(ROW()-3&gt;COUNTIF(GC$4:GC$40,"&lt;&gt;"&amp;""),"",INDEX(GC$4:GC$40,MATCH(ROW()-3,GD$4:GD$40,0)))</f>
        <v/>
      </c>
      <c r="GF38">
        <f>GF37+IF(AND(GE38&lt;&gt;"",COUNTIF(GE$4:GE38,GE38)=1),1,0)</f>
        <v/>
      </c>
      <c r="GG38">
        <f>IF(ROW()-3&gt;MAX(GF$4:GF$40),"",INDEX(GE$4:GE$40,MATCH(ROW()-3,GF$4:GF$40,0)))</f>
        <v/>
      </c>
      <c r="GH38">
        <f>IF('Final Calculation Sheet'!$F$38="","",IF('Live Search'!$BO$39=1,'Final Calculation Sheet'!$F$38,""))</f>
        <v/>
      </c>
      <c r="GI38">
        <f>IF(GH38="","",COUNTIFS(GH$4:GH$40,"&lt;"&amp;GH38,GH$4:GH$40,"&lt;&gt;"&amp;"")+COUNTIF(GH$4:GH38,GH38))</f>
        <v/>
      </c>
      <c r="GJ38">
        <f>IF(ROW()-3&gt;COUNTIF(GH$4:GH$40,"&lt;&gt;"&amp;""),"",INDEX(GH$4:GH$40,MATCH(ROW()-3,GI$4:GI$40,0)))</f>
        <v/>
      </c>
      <c r="GK38">
        <f>GK37+IF(AND(GJ38&lt;&gt;"",COUNTIF(GJ$4:GJ38,GJ38)=1),1,0)</f>
        <v/>
      </c>
      <c r="GL38">
        <f>IF(ROW()-3&gt;MAX(GK$4:GK$40),"",INDEX(GJ$4:GJ$40,MATCH(ROW()-3,GK$4:GK$40,0)))</f>
        <v/>
      </c>
      <c r="GM38">
        <f>IF('Final Calculation Sheet'!$F$38="","",IF(TRIM('Buyer Groups'!$C$4)="",'Final Calculation Sheet'!$F$38,IF(TRIM('Buyer Groups'!$C$4)="(nonblank)",IF('Final Calculation Sheet'!$G$38&lt;&gt;"",'Final Calculation Sheet'!$F$38,""),IF(TRIM('Buyer Groups'!$C$4)="(blank)",IF('Final Calculation Sheet'!$G$38="",'Final Calculation Sheet'!$F$38,""),IF(ISNUMBER(SEARCH(TRIM('Buyer Groups'!$C$4),'Final Calculation Sheet'!$G$38)),'Final Calculation Sheet'!$F$38,"")))))</f>
        <v/>
      </c>
      <c r="GN38">
        <f>IF(GM38="","",COUNTIFS(GM$4:GM$40,"&lt;"&amp;GM38,GM$4:GM$40,"&lt;&gt;"&amp;"")+COUNTIF(GM$4:GM38,GM38))</f>
        <v/>
      </c>
      <c r="GO38">
        <f>IF(ROW()-3&gt;COUNTIF(GM$4:GM$40,"&lt;&gt;"&amp;""),"",INDEX(GM$4:GM$40,MATCH(ROW()-3,GN$4:GN$40,0)))</f>
        <v/>
      </c>
      <c r="GP38">
        <f>GP37+IF(AND(GO38&lt;&gt;"",COUNTIF(GO$4:GO38,GO38)=1),1,0)</f>
        <v/>
      </c>
      <c r="GQ38">
        <f>IF(ROW()-3&gt;MAX(GP$4:GP$40),"",INDEX(GO$4:GO$40,MATCH(ROW()-3,GP$4:GP$40,0)))</f>
        <v/>
      </c>
      <c r="GR38">
        <f>IF('Final Calculation Sheet'!$B$38="","",IF(TRIM('Final Calculation Sheet'!$G$2)="",'Final Calculation Sheet'!$B$38,IF(TRIM('Final Calculation Sheet'!$G$2)="(nonblank)",IF('Final Calculation Sheet'!$G$38&lt;&gt;"",'Final Calculation Sheet'!$B$38,""),IF(TRIM('Final Calculation Sheet'!$G$2)="(blank)",IF('Final Calculation Sheet'!$G$38="",'Final Calculation Sheet'!$B$38,""),IF(ISNUMBER(SEARCH(TRIM('Final Calculation Sheet'!$G$2),'Final Calculation Sheet'!$G$38)),'Final Calculation Sheet'!$B$38,"")))))</f>
        <v/>
      </c>
      <c r="GS38">
        <f>IF(GR38="","",COUNTIFS(GR$4:GR$40,"&lt;"&amp;GR38,GR$4:GR$40,"&lt;&gt;"&amp;"")+COUNTIF(GR$4:GR38,GR38))</f>
        <v/>
      </c>
      <c r="GT38">
        <f>IF(ROW()-3&gt;COUNTIF(GR$4:GR$40,"&lt;&gt;"&amp;""),"",INDEX(GR$4:GR$40,MATCH(ROW()-3,GS$4:GS$40,0)))</f>
        <v/>
      </c>
      <c r="GU38">
        <f>GU37+IF(AND(GT38&lt;&gt;"",COUNTIF(GT$4:GT38,GT38)=1),1,0)</f>
        <v/>
      </c>
      <c r="GV38">
        <f>IF(ROW()-3&gt;MAX(GU$4:GU$40),"",INDEX(GT$4:GT$40,MATCH(ROW()-3,GU$4:GU$40,0)))</f>
        <v/>
      </c>
      <c r="GW38">
        <f>IF('Final Calculation Sheet'!$B$38="","",IF(TRIM('Buyer Groups'!$C$4)="",'Final Calculation Sheet'!$B$38,IF(TRIM('Buyer Groups'!$C$4)="(nonblank)",IF('Final Calculation Sheet'!$G$38&lt;&gt;"",'Final Calculation Sheet'!$B$38,""),IF(TRIM('Buyer Groups'!$C$4)="(blank)",IF('Final Calculation Sheet'!$G$38="",'Final Calculation Sheet'!$B$38,""),IF(ISNUMBER(SEARCH(TRIM('Buyer Groups'!$C$4),'Final Calculation Sheet'!$G$38)),'Final Calculation Sheet'!$B$38,"")))))</f>
        <v/>
      </c>
      <c r="GX38">
        <f>IF(GW38="","",COUNTIFS(GW$4:GW$40,"&lt;"&amp;GW38,GW$4:GW$40,"&lt;&gt;"&amp;"")+COUNTIF(GW$4:GW38,GW38))</f>
        <v/>
      </c>
      <c r="GY38">
        <f>IF(ROW()-3&gt;COUNTIF(GW$4:GW$40,"&lt;&gt;"&amp;""),"",INDEX(GW$4:GW$40,MATCH(ROW()-3,GX$4:GX$40,0)))</f>
        <v/>
      </c>
      <c r="GZ38">
        <f>GZ37+IF(AND(GY38&lt;&gt;"",COUNTIF(GY$4:GY38,GY38)=1),1,0)</f>
        <v/>
      </c>
      <c r="HA38">
        <f>IF(ROW()-3&gt;MAX(GZ$4:GZ$40),"",INDEX(GY$4:GY$40,MATCH(ROW()-3,GZ$4:GZ$40,0)))</f>
        <v/>
      </c>
    </row>
    <row r="39">
      <c r="A39">
        <f>IF('Final Calculation Sheet'!$F$39="","",'Final Calculation Sheet'!$F$39)</f>
        <v/>
      </c>
      <c r="B39">
        <f>IF(A39="","",COUNTIFS(A$4:A$114,"&lt;"&amp;A39,A$4:A$114,"&lt;&gt;"&amp;"")+COUNTIF(A$4:A39,A39))</f>
        <v/>
      </c>
      <c r="C39">
        <f>IF(ROW()-3&gt;COUNTIF(A$4:A$114,"&lt;&gt;"&amp;""),"",INDEX(A$4:A$114,MATCH(ROW()-3,B$4:B$114,0)))</f>
        <v/>
      </c>
      <c r="D39">
        <f>D38+IF(AND(C39&lt;&gt;"",COUNTIF(C$4:C39,C39)=1),1,0)</f>
        <v/>
      </c>
      <c r="E39">
        <f>IF(ROW()-3&gt;MAX(D$4:D$114),"",INDEX(C$4:C$114,MATCH(ROW()-3,D$4:D$114,0)))</f>
        <v/>
      </c>
      <c r="F39">
        <f>ROW()-3</f>
        <v/>
      </c>
      <c r="G39">
        <f>IF(F39="","",COUNTIFS(F$4:F$40,"&lt;"&amp;F39,F$4:F$40,"&lt;&gt;"&amp;"")+COUNTIF(F$4:F39,F39))</f>
        <v/>
      </c>
      <c r="H39">
        <f>IF(ROW()-3&gt;COUNTIF(F$4:F$40,"&lt;&gt;"&amp;""),"",INDEX(F$4:F$40,MATCH(ROW()-3,G$4:G$40,0)))</f>
        <v/>
      </c>
      <c r="I39">
        <f>I38+IF(AND(H39&lt;&gt;"",COUNTIF(H$4:H39,H39)=1),1,0)</f>
        <v/>
      </c>
      <c r="J39">
        <f>IF(ROW()-3&gt;MAX(I$4:I$40),"",INDEX(H$4:H$40,MATCH(ROW()-3,I$4:I$40,0)))</f>
        <v/>
      </c>
      <c r="K39">
        <f>IF('Final Calculation Sheet'!$F$39="","",'Final Calculation Sheet'!$F$39)</f>
        <v/>
      </c>
      <c r="L39">
        <f>IF(K39="","",COUNTIFS(K$4:K$40,"&lt;"&amp;K39,K$4:K$40,"&lt;&gt;"&amp;"")+COUNTIF(K$4:K39,K39))</f>
        <v/>
      </c>
      <c r="M39">
        <f>IF(ROW()-3&gt;COUNTIF(K$4:K$40,"&lt;&gt;"&amp;""),"",INDEX(K$4:K$40,MATCH(ROW()-3,L$4:L$40,0)))</f>
        <v/>
      </c>
      <c r="N39">
        <f>N38+IF(AND(M39&lt;&gt;"",COUNTIF(M$4:M39,M39)=1),1,0)</f>
        <v/>
      </c>
      <c r="O39">
        <f>IF(ROW()-3&gt;MAX(N$4:N$40),"",INDEX(M$4:M$40,MATCH(ROW()-3,N$4:N$40,0)))</f>
        <v/>
      </c>
      <c r="P39">
        <f>IF('Final Calculation Sheet'!$G$39="","",'Final Calculation Sheet'!$G$39)</f>
        <v/>
      </c>
      <c r="Q39">
        <f>IF(P39="","",COUNTIFS(P$4:P$40,"&lt;"&amp;P39,P$4:P$40,"&lt;&gt;"&amp;"")+COUNTIF(P$4:P39,P39))</f>
        <v/>
      </c>
      <c r="R39">
        <f>IF(ROW()-3&gt;COUNTIF(P$4:P$40,"&lt;&gt;"&amp;""),"",INDEX(P$4:P$40,MATCH(ROW()-3,Q$4:Q$40,0)))</f>
        <v/>
      </c>
      <c r="S39">
        <f>S38+IF(AND(R39&lt;&gt;"",COUNTIF(R$4:R39,R39)=1),1,0)</f>
        <v/>
      </c>
      <c r="T39">
        <f>IF(ROW()-3&gt;MAX(S$4:S$40),"",INDEX(R$4:R$40,MATCH(ROW()-3,S$4:S$40,0)))</f>
        <v/>
      </c>
      <c r="U39">
        <f>IF('Final Calculation Sheet'!$B$39="","",'Final Calculation Sheet'!$B$39)</f>
        <v/>
      </c>
      <c r="V39">
        <f>IF(U39="","",COUNTIFS(U$4:U$40,"&lt;"&amp;U39,U$4:U$40,"&lt;&gt;"&amp;"")+COUNTIF(U$4:U39,U39))</f>
        <v/>
      </c>
      <c r="W39">
        <f>IF(ROW()-3&gt;COUNTIF(U$4:U$40,"&lt;&gt;"&amp;""),"",INDEX(U$4:U$40,MATCH(ROW()-3,V$4:V$40,0)))</f>
        <v/>
      </c>
      <c r="X39">
        <f>X38+IF(AND(W39&lt;&gt;"",COUNTIF(W$4:W39,W39)=1),1,0)</f>
        <v/>
      </c>
      <c r="Y39">
        <f>IF(ROW()-3&gt;MAX(X$4:X$40),"",INDEX(W$4:W$40,MATCH(ROW()-3,X$4:X$40,0)))</f>
        <v/>
      </c>
      <c r="Z39">
        <f>IF('Final Calculation Sheet'!$D$39="","",'Final Calculation Sheet'!$D$39)</f>
        <v/>
      </c>
      <c r="AA39">
        <f>IF(Z39="","",COUNTIFS(Z$4:Z$40,"&lt;"&amp;Z39,Z$4:Z$40,"&lt;&gt;"&amp;"")+COUNTIF(Z$4:Z39,Z39))</f>
        <v/>
      </c>
      <c r="AB39">
        <f>IF(ROW()-3&gt;COUNTIF(Z$4:Z$40,"&lt;&gt;"&amp;""),"",INDEX(Z$4:Z$40,MATCH(ROW()-3,AA$4:AA$40,0)))</f>
        <v/>
      </c>
      <c r="AC39">
        <f>AC38+IF(AND(AB39&lt;&gt;"",COUNTIF(AB$4:AB39,AB39)=1),1,0)</f>
        <v/>
      </c>
      <c r="AD39">
        <f>IF(ROW()-3&gt;MAX(AC$4:AC$40),"",INDEX(AB$4:AB$40,MATCH(ROW()-3,AC$4:AC$40,0)))</f>
        <v/>
      </c>
      <c r="AE39">
        <f>IF('Final Calculation Sheet'!$A$39="","",'Final Calculation Sheet'!$A$39)</f>
        <v/>
      </c>
      <c r="AF39">
        <f>IF(AE39="","",COUNTIFS(AE$4:AE$40,"&lt;"&amp;AE39,AE$4:AE$40,"&lt;&gt;"&amp;"")+COUNTIF(AE$4:AE39,AE39))</f>
        <v/>
      </c>
      <c r="AG39">
        <f>IF(ROW()-3&gt;COUNTIF(AE$4:AE$40,"&lt;&gt;"&amp;""),"",INDEX(AE$4:AE$40,MATCH(ROW()-3,AF$4:AF$40,0)))</f>
        <v/>
      </c>
      <c r="AH39">
        <f>AH38+IF(AND(AG39&lt;&gt;"",COUNTIF(AG$4:AG39,AG39)=1),1,0)</f>
        <v/>
      </c>
      <c r="AI39">
        <f>IF(ROW()-3&gt;MAX(AH$4:AH$40),"",INDEX(AG$4:AG$40,MATCH(ROW()-3,AH$4:AH$40,0)))</f>
        <v/>
      </c>
      <c r="AJ39">
        <f>IF('Final Calculation Sheet'!$E$39="","",'Final Calculation Sheet'!$E$39)</f>
        <v/>
      </c>
      <c r="AK39">
        <f>IF(AJ39="","",COUNTIFS(AJ$4:AJ$40,"&lt;"&amp;AJ39,AJ$4:AJ$40,"&lt;&gt;"&amp;"")+COUNTIF(AJ$4:AJ39,AJ39))</f>
        <v/>
      </c>
      <c r="AL39">
        <f>IF(ROW()-3&gt;COUNTIF(AJ$4:AJ$40,"&lt;&gt;"&amp;""),"",INDEX(AJ$4:AJ$40,MATCH(ROW()-3,AK$4:AK$40,0)))</f>
        <v/>
      </c>
      <c r="AM39">
        <f>AM38+IF(AND(AL39&lt;&gt;"",COUNTIF(AL$4:AL39,AL39)=1),1,0)</f>
        <v/>
      </c>
      <c r="AN39">
        <f>IF(ROW()-3&gt;MAX(AM$4:AM$40),"",INDEX(AL$4:AL$40,MATCH(ROW()-3,AM$4:AM$40,0)))</f>
        <v/>
      </c>
      <c r="AO39" s="55">
        <f>IF('Final Calculation Sheet'!$C$39="","",'Final Calculation Sheet'!$C$39)</f>
        <v/>
      </c>
      <c r="AP39">
        <f>IF(AO39="","",COUNTIFS(AO$4:AO$40,"&lt;"&amp;AO39,AO$4:AO$40,"&lt;&gt;"&amp;"")+COUNTIF(AO$4:AO39,AO39))</f>
        <v/>
      </c>
      <c r="AQ39" s="55">
        <f>IF(ROW()-3&gt;COUNTIF(AO$4:AO$40,"&lt;&gt;"&amp;""),"",INDEX(AO$4:AO$40,MATCH(ROW()-3,AP$4:AP$40,0)))</f>
        <v/>
      </c>
      <c r="AR39">
        <f>AR38+IF(AND(AQ39&lt;&gt;"",COUNTIF(AQ$4:AQ39,AQ39)=1),1,0)</f>
        <v/>
      </c>
      <c r="AS39">
        <f>IF(ROW()-3&gt;MAX(AR$4:AR$40),"",INDEX(AQ$4:AQ$40,MATCH(ROW()-3,AR$4:AR$40,0)))</f>
        <v/>
      </c>
      <c r="AT39" s="55">
        <f>IF('Final Calculation Sheet'!$H$39="","",'Final Calculation Sheet'!$H$39)</f>
        <v/>
      </c>
      <c r="AU39">
        <f>IF(AT39="","",COUNTIFS(AT$4:AT$40,"&lt;"&amp;AT39,AT$4:AT$40,"&lt;&gt;"&amp;"")+COUNTIF(AT$4:AT39,AT39))</f>
        <v/>
      </c>
      <c r="AV39" s="55">
        <f>IF(ROW()-3&gt;COUNTIF(AT$4:AT$40,"&lt;&gt;"&amp;""),"",INDEX(AT$4:AT$40,MATCH(ROW()-3,AU$4:AU$40,0)))</f>
        <v/>
      </c>
      <c r="AW39">
        <f>AW38+IF(AND(AV39&lt;&gt;"",COUNTIF(AV$4:AV39,AV39)=1),1,0)</f>
        <v/>
      </c>
      <c r="AX39" s="55">
        <f>IF(ROW()-3&gt;MAX(AW$4:AW$40),"",INDEX(AV$4:AV$40,MATCH(ROW()-3,AW$4:AW$40,0)))</f>
        <v/>
      </c>
      <c r="AY39" s="55">
        <f>IF('Final Calculation Sheet'!$I$39="","",'Final Calculation Sheet'!$I$39)</f>
        <v/>
      </c>
      <c r="AZ39">
        <f>IF(AY39="","",COUNTIFS(AY$4:AY$40,"&lt;"&amp;AY39,AY$4:AY$40,"&lt;&gt;"&amp;"")+COUNTIF(AY$4:AY39,AY39))</f>
        <v/>
      </c>
      <c r="BA39" s="55">
        <f>IF(ROW()-3&gt;COUNTIF(AY$4:AY$40,"&lt;&gt;"&amp;""),"",INDEX(AY$4:AY$40,MATCH(ROW()-3,AZ$4:AZ$40,0)))</f>
        <v/>
      </c>
      <c r="BB39">
        <f>BB38+IF(AND(BA39&lt;&gt;"",COUNTIF(BA$4:BA39,BA39)=1),1,0)</f>
        <v/>
      </c>
      <c r="BC39" s="55">
        <f>IF(ROW()-3&gt;MAX(BB$4:BB$40),"",INDEX(BA$4:BA$40,MATCH(ROW()-3,BB$4:BB$40,0)))</f>
        <v/>
      </c>
      <c r="BD39" s="55">
        <f>IF('Final Calculation Sheet'!$J$39="","",'Final Calculation Sheet'!$J$39)</f>
        <v/>
      </c>
      <c r="BE39">
        <f>IF(BD39="","",COUNTIFS(BD$4:BD$40,"&lt;"&amp;BD39,BD$4:BD$40,"&lt;&gt;"&amp;"")+COUNTIF(BD$4:BD39,BD39))</f>
        <v/>
      </c>
      <c r="BF39" s="55">
        <f>IF(ROW()-3&gt;COUNTIF(BD$4:BD$40,"&lt;&gt;"&amp;""),"",INDEX(BD$4:BD$40,MATCH(ROW()-3,BE$4:BE$40,0)))</f>
        <v/>
      </c>
      <c r="BG39">
        <f>BG38+IF(AND(BF39&lt;&gt;"",COUNTIF(BF$4:BF39,BF39)=1),1,0)</f>
        <v/>
      </c>
      <c r="BH39" s="55">
        <f>IF(ROW()-3&gt;MAX(BG$4:BG$40),"",INDEX(BF$4:BF$40,MATCH(ROW()-3,BG$4:BG$40,0)))</f>
        <v/>
      </c>
      <c r="BI39" s="55">
        <f>IF('Final Calculation Sheet'!$K$39="","",'Final Calculation Sheet'!$K$39)</f>
        <v/>
      </c>
      <c r="BJ39">
        <f>IF(BI39="","",COUNTIFS(BI$4:BI$40,"&lt;"&amp;BI39,BI$4:BI$40,"&lt;&gt;"&amp;"")+COUNTIF(BI$4:BI39,BI39))</f>
        <v/>
      </c>
      <c r="BK39" s="55">
        <f>IF(ROW()-3&gt;COUNTIF(BI$4:BI$40,"&lt;&gt;"&amp;""),"",INDEX(BI$4:BI$40,MATCH(ROW()-3,BJ$4:BJ$40,0)))</f>
        <v/>
      </c>
      <c r="BL39">
        <f>BL38+IF(AND(BK39&lt;&gt;"",COUNTIF(BK$4:BK39,BK39)=1),1,0)</f>
        <v/>
      </c>
      <c r="BM39" s="55">
        <f>IF(ROW()-3&gt;MAX(BL$4:BL$40),"",INDEX(BK$4:BK$40,MATCH(ROW()-3,BL$4:BL$40,0)))</f>
        <v/>
      </c>
      <c r="BN39" s="55">
        <f>IF('Final Calculation Sheet'!$L$39="","",'Final Calculation Sheet'!$L$39)</f>
        <v/>
      </c>
      <c r="BO39">
        <f>IF(BN39="","",COUNTIFS(BN$4:BN$40,"&lt;"&amp;BN39,BN$4:BN$40,"&lt;&gt;"&amp;"")+COUNTIF(BN$4:BN39,BN39))</f>
        <v/>
      </c>
      <c r="BP39" s="55">
        <f>IF(ROW()-3&gt;COUNTIF(BN$4:BN$40,"&lt;&gt;"&amp;""),"",INDEX(BN$4:BN$40,MATCH(ROW()-3,BO$4:BO$40,0)))</f>
        <v/>
      </c>
      <c r="BQ39">
        <f>BQ38+IF(AND(BP39&lt;&gt;"",COUNTIF(BP$4:BP39,BP39)=1),1,0)</f>
        <v/>
      </c>
      <c r="BR39" s="55">
        <f>IF(ROW()-3&gt;MAX(BQ$4:BQ$40),"",INDEX(BP$4:BP$40,MATCH(ROW()-3,BQ$4:BQ$40,0)))</f>
        <v/>
      </c>
      <c r="BS39" s="55">
        <f>IF('Final Calculation Sheet'!$M$39="","",'Final Calculation Sheet'!$M$39)</f>
        <v/>
      </c>
      <c r="BT39">
        <f>IF(BS39="","",COUNTIFS(BS$4:BS$40,"&lt;"&amp;BS39,BS$4:BS$40,"&lt;&gt;"&amp;"")+COUNTIF(BS$4:BS39,BS39))</f>
        <v/>
      </c>
      <c r="BU39" s="55">
        <f>IF(ROW()-3&gt;COUNTIF(BS$4:BS$40,"&lt;&gt;"&amp;""),"",INDEX(BS$4:BS$40,MATCH(ROW()-3,BT$4:BT$40,0)))</f>
        <v/>
      </c>
      <c r="BV39">
        <f>BV38+IF(AND(BU39&lt;&gt;"",COUNTIF(BU$4:BU39,BU39)=1),1,0)</f>
        <v/>
      </c>
      <c r="BW39" s="55">
        <f>IF(ROW()-3&gt;MAX(BV$4:BV$40),"",INDEX(BU$4:BU$40,MATCH(ROW()-3,BV$4:BV$40,0)))</f>
        <v/>
      </c>
      <c r="BX39" s="138">
        <f>IF('Final Calculation Sheet'!$N$39="","",'Final Calculation Sheet'!$N$39)</f>
        <v/>
      </c>
      <c r="BY39">
        <f>IF(BX39="","",COUNTIFS(BX$4:BX$40,"&lt;"&amp;BX39,BX$4:BX$40,"&lt;&gt;"&amp;"")+COUNTIF(BX$4:BX39,BX39))</f>
        <v/>
      </c>
      <c r="BZ39" s="138">
        <f>IF(ROW()-3&gt;COUNTIF(BX$4:BX$40,"&lt;&gt;"&amp;""),"",INDEX(BX$4:BX$40,MATCH(ROW()-3,BY$4:BY$40,0)))</f>
        <v/>
      </c>
      <c r="CA39">
        <f>CA38+IF(AND(BZ39&lt;&gt;"",COUNTIF(BZ$4:BZ39,BZ39)=1),1,0)</f>
        <v/>
      </c>
      <c r="CB39" s="138">
        <f>IF(ROW()-3&gt;MAX(CA$4:CA$40),"",INDEX(BZ$4:BZ$40,MATCH(ROW()-3,CA$4:CA$40,0)))</f>
        <v/>
      </c>
      <c r="CC39" s="55">
        <f>IF('Final Calculation Sheet'!$O$39="","",'Final Calculation Sheet'!$O$39)</f>
        <v/>
      </c>
      <c r="CD39">
        <f>IF(CC39="","",COUNTIFS(CC$4:CC$40,"&lt;"&amp;CC39,CC$4:CC$40,"&lt;&gt;"&amp;"")+COUNTIF(CC$4:CC39,CC39))</f>
        <v/>
      </c>
      <c r="CE39" s="55">
        <f>IF(ROW()-3&gt;COUNTIF(CC$4:CC$40,"&lt;&gt;"&amp;""),"",INDEX(CC$4:CC$40,MATCH(ROW()-3,CD$4:CD$40,0)))</f>
        <v/>
      </c>
      <c r="CF39">
        <f>CF38+IF(AND(CE39&lt;&gt;"",COUNTIF(CE$4:CE39,CE39)=1),1,0)</f>
        <v/>
      </c>
      <c r="CG39" s="55">
        <f>IF(ROW()-3&gt;MAX(CF$4:CF$40),"",INDEX(CE$4:CE$40,MATCH(ROW()-3,CF$4:CF$40,0)))</f>
        <v/>
      </c>
      <c r="CH39" s="55">
        <f>IF('Final Calculation Sheet'!$P$39="","",'Final Calculation Sheet'!$P$39)</f>
        <v/>
      </c>
      <c r="CI39">
        <f>IF(CH39="","",COUNTIFS(CH$4:CH$40,"&lt;"&amp;CH39,CH$4:CH$40,"&lt;&gt;"&amp;"")+COUNTIF(CH$4:CH39,CH39))</f>
        <v/>
      </c>
      <c r="CJ39" s="55">
        <f>IF(ROW()-3&gt;COUNTIF(CH$4:CH$40,"&lt;&gt;"&amp;""),"",INDEX(CH$4:CH$40,MATCH(ROW()-3,CI$4:CI$40,0)))</f>
        <v/>
      </c>
      <c r="CK39">
        <f>CK38+IF(AND(CJ39&lt;&gt;"",COUNTIF(CJ$4:CJ39,CJ39)=1),1,0)</f>
        <v/>
      </c>
      <c r="CL39" s="55">
        <f>IF(ROW()-3&gt;MAX(CK$4:CK$40),"",INDEX(CJ$4:CJ$40,MATCH(ROW()-3,CK$4:CK$40,0)))</f>
        <v/>
      </c>
      <c r="CM39" s="139">
        <f>IF('Final Calculation Sheet'!$Q$39="","",'Final Calculation Sheet'!$Q$39)</f>
        <v/>
      </c>
      <c r="CN39">
        <f>IF(CM39="","",COUNTIFS(CM$4:CM$40,"&lt;"&amp;CM39,CM$4:CM$40,"&lt;&gt;"&amp;"")+COUNTIF(CM$4:CM39,CM39))</f>
        <v/>
      </c>
      <c r="CO39" s="139">
        <f>IF(ROW()-3&gt;COUNTIF(CM$4:CM$40,"&lt;&gt;"&amp;""),"",INDEX(CM$4:CM$40,MATCH(ROW()-3,CN$4:CN$40,0)))</f>
        <v/>
      </c>
      <c r="CP39">
        <f>CP38+IF(AND(CO39&lt;&gt;"",COUNTIF(CO$4:CO39,CO39)=1),1,0)</f>
        <v/>
      </c>
      <c r="CQ39">
        <f>IF(ROW()-3&gt;MAX(CP$4:CP$40),"",INDEX(CO$4:CO$40,MATCH(ROW()-3,CP$4:CP$40,0)))</f>
        <v/>
      </c>
      <c r="CR39" s="55">
        <f>IF('Final Calculation Sheet'!$R$39="","",'Final Calculation Sheet'!$R$39)</f>
        <v/>
      </c>
      <c r="CS39">
        <f>IF(CR39="","",COUNTIFS(CR$4:CR$40,"&lt;"&amp;CR39,CR$4:CR$40,"&lt;&gt;"&amp;"")+COUNTIF(CR$4:CR39,CR39))</f>
        <v/>
      </c>
      <c r="CT39" s="55">
        <f>IF(ROW()-3&gt;COUNTIF(CR$4:CR$40,"&lt;&gt;"&amp;""),"",INDEX(CR$4:CR$40,MATCH(ROW()-3,CS$4:CS$40,0)))</f>
        <v/>
      </c>
      <c r="CU39">
        <f>CU38+IF(AND(CT39&lt;&gt;"",COUNTIF(CT$4:CT39,CT39)=1),1,0)</f>
        <v/>
      </c>
      <c r="CV39">
        <f>IF(ROW()-3&gt;MAX(CU$4:CU$40),"",INDEX(CT$4:CT$40,MATCH(ROW()-3,CU$4:CU$40,0)))</f>
        <v/>
      </c>
      <c r="CW39" s="55">
        <f>IF('Final Calculation Sheet'!$S$39="","",'Final Calculation Sheet'!$S$39)</f>
        <v/>
      </c>
      <c r="CX39">
        <f>IF(CW39="","",COUNTIFS(CW$4:CW$40,"&lt;"&amp;CW39,CW$4:CW$40,"&lt;&gt;"&amp;"")+COUNTIF(CW$4:CW39,CW39))</f>
        <v/>
      </c>
      <c r="CY39" s="55">
        <f>IF(ROW()-3&gt;COUNTIF(CW$4:CW$40,"&lt;&gt;"&amp;""),"",INDEX(CW$4:CW$40,MATCH(ROW()-3,CX$4:CX$40,0)))</f>
        <v/>
      </c>
      <c r="CZ39">
        <f>CZ38+IF(AND(CY39&lt;&gt;"",COUNTIF(CY$4:CY39,CY39)=1),1,0)</f>
        <v/>
      </c>
      <c r="DA39" s="55">
        <f>IF(ROW()-3&gt;MAX(CZ$4:CZ$40),"",INDEX(CY$4:CY$40,MATCH(ROW()-3,CZ$4:CZ$40,0)))</f>
        <v/>
      </c>
      <c r="DB39" s="55">
        <f>IF('Final Calculation Sheet'!$T$39="","",'Final Calculation Sheet'!$T$39)</f>
        <v/>
      </c>
      <c r="DC39">
        <f>IF(DB39="","",COUNTIFS(DB$4:DB$40,"&lt;"&amp;DB39,DB$4:DB$40,"&lt;&gt;"&amp;"")+COUNTIF(DB$4:DB39,DB39))</f>
        <v/>
      </c>
      <c r="DD39" s="55">
        <f>IF(ROW()-3&gt;COUNTIF(DB$4:DB$40,"&lt;&gt;"&amp;""),"",INDEX(DB$4:DB$40,MATCH(ROW()-3,DC$4:DC$40,0)))</f>
        <v/>
      </c>
      <c r="DE39">
        <f>DE38+IF(AND(DD39&lt;&gt;"",COUNTIF(DD$4:DD39,DD39)=1),1,0)</f>
        <v/>
      </c>
      <c r="DF39" s="55">
        <f>IF(ROW()-3&gt;MAX(DE$4:DE$40),"",INDEX(DD$4:DD$40,MATCH(ROW()-3,DE$4:DE$40,0)))</f>
        <v/>
      </c>
      <c r="DG39" s="140">
        <f>IF('Final Calculation Sheet'!$U$39="","",'Final Calculation Sheet'!$U$39)</f>
        <v/>
      </c>
      <c r="DH39">
        <f>IF(DG39="","",COUNTIFS(DG$4:DG$40,"&lt;"&amp;DG39,DG$4:DG$40,"&lt;&gt;"&amp;"")+COUNTIF(DG$4:DG39,DG39))</f>
        <v/>
      </c>
      <c r="DI39" s="140">
        <f>IF(ROW()-3&gt;COUNTIF(DG$4:DG$40,"&lt;&gt;"&amp;""),"",INDEX(DG$4:DG$40,MATCH(ROW()-3,DH$4:DH$40,0)))</f>
        <v/>
      </c>
      <c r="DJ39">
        <f>DJ38+IF(AND(DI39&lt;&gt;"",COUNTIF(DI$4:DI39,DI39)=1),1,0)</f>
        <v/>
      </c>
      <c r="DK39" s="140">
        <f>IF(ROW()-3&gt;MAX(DJ$4:DJ$40),"",INDEX(DI$4:DI$40,MATCH(ROW()-3,DJ$4:DJ$40,0)))</f>
        <v/>
      </c>
      <c r="DL39">
        <f>IF('Final Calculation Sheet'!$V$39="","",'Final Calculation Sheet'!$V$39)</f>
        <v/>
      </c>
      <c r="DM39">
        <f>IF(DL39="","",COUNTIFS(DL$4:DL$40,"&lt;"&amp;DL39,DL$4:DL$40,"&lt;&gt;"&amp;"")+COUNTIF(DL$4:DL39,DL39))</f>
        <v/>
      </c>
      <c r="DN39">
        <f>IF(ROW()-3&gt;COUNTIF(DL$4:DL$40,"&lt;&gt;"&amp;""),"",INDEX(DL$4:DL$40,MATCH(ROW()-3,DM$4:DM$40,0)))</f>
        <v/>
      </c>
      <c r="DO39">
        <f>DO38+IF(AND(DN39&lt;&gt;"",COUNTIF(DN$4:DN39,DN39)=1),1,0)</f>
        <v/>
      </c>
      <c r="DP39">
        <f>IF(ROW()-3&gt;MAX(DO$4:DO$40),"",INDEX(DN$4:DN$40,MATCH(ROW()-3,DO$4:DO$40,0)))</f>
        <v/>
      </c>
      <c r="DQ39" s="55">
        <f>IF('Final Calculation Sheet'!$W$39="","",'Final Calculation Sheet'!$W$39)</f>
        <v/>
      </c>
      <c r="DR39">
        <f>IF(DQ39="","",COUNTIFS(DQ$4:DQ$40,"&lt;"&amp;DQ39,DQ$4:DQ$40,"&lt;&gt;"&amp;"")+COUNTIF(DQ$4:DQ39,DQ39))</f>
        <v/>
      </c>
      <c r="DS39" s="55">
        <f>IF(ROW()-3&gt;COUNTIF(DQ$4:DQ$40,"&lt;&gt;"&amp;""),"",INDEX(DQ$4:DQ$40,MATCH(ROW()-3,DR$4:DR$40,0)))</f>
        <v/>
      </c>
      <c r="DT39">
        <f>DT38+IF(AND(DS39&lt;&gt;"",COUNTIF(DS$4:DS39,DS39)=1),1,0)</f>
        <v/>
      </c>
      <c r="DU39" s="55">
        <f>IF(ROW()-3&gt;MAX(DT$4:DT$40),"",INDEX(DS$4:DS$40,MATCH(ROW()-3,DT$4:DT$40,0)))</f>
        <v/>
      </c>
      <c r="DV39" s="55">
        <f>IF('Final Calculation Sheet'!$X$39="","",'Final Calculation Sheet'!$X$39)</f>
        <v/>
      </c>
      <c r="DW39">
        <f>IF(DV39="","",COUNTIFS(DV$4:DV$40,"&lt;"&amp;DV39,DV$4:DV$40,"&lt;&gt;"&amp;"")+COUNTIF(DV$4:DV39,DV39))</f>
        <v/>
      </c>
      <c r="DX39">
        <f>IF(ROW()-3&gt;COUNTIF(DV$4:DV$40,"&lt;&gt;"&amp;""),"",INDEX(DV$4:DV$40,MATCH(ROW()-3,DW$4:DW$40,0)))</f>
        <v/>
      </c>
      <c r="DY39">
        <f>DY38+IF(AND(DX39&lt;&gt;"",COUNTIF(DX$4:DX39,DX39)=1),1,0)</f>
        <v/>
      </c>
      <c r="DZ39">
        <f>IF(ROW()-3&gt;MAX(DY$4:DY$40),"",INDEX(DX$4:DX$40,MATCH(ROW()-3,DY$4:DY$40,0)))</f>
        <v/>
      </c>
      <c r="EA39">
        <f>IF('Final Calculation Sheet'!$Y$39="","",'Final Calculation Sheet'!$Y$39)</f>
        <v/>
      </c>
      <c r="EB39">
        <f>IF(EA39="","",COUNTIFS(EA$4:EA$40,"&lt;"&amp;EA39,EA$4:EA$40,"&lt;&gt;"&amp;"")+COUNTIF(EA$4:EA39,EA39))</f>
        <v/>
      </c>
      <c r="EC39">
        <f>IF(ROW()-3&gt;COUNTIF(EA$4:EA$40,"&lt;&gt;"&amp;""),"",INDEX(EA$4:EA$40,MATCH(ROW()-3,EB$4:EB$40,0)))</f>
        <v/>
      </c>
      <c r="ED39">
        <f>ED38+IF(AND(EC39&lt;&gt;"",COUNTIF(EC$4:EC39,EC39)=1),1,0)</f>
        <v/>
      </c>
      <c r="EE39">
        <f>IF(ROW()-3&gt;MAX(ED$4:ED$40),"",INDEX(EC$4:EC$40,MATCH(ROW()-3,ED$4:ED$40,0)))</f>
        <v/>
      </c>
      <c r="EF39" s="55">
        <f>IF('Final Calculation Sheet'!$Z$39="","",'Final Calculation Sheet'!$Z$39)</f>
        <v/>
      </c>
      <c r="EG39">
        <f>IF(EF39="","",COUNTIFS(EF$4:EF$40,"&lt;"&amp;EF39,EF$4:EF$40,"&lt;&gt;"&amp;"")+COUNTIF(EF$4:EF39,EF39))</f>
        <v/>
      </c>
      <c r="EH39" s="55">
        <f>IF(ROW()-3&gt;COUNTIF(EF$4:EF$40,"&lt;&gt;"&amp;""),"",INDEX(EF$4:EF$40,MATCH(ROW()-3,EG$4:EG$40,0)))</f>
        <v/>
      </c>
      <c r="EI39">
        <f>EI38+IF(AND(EH39&lt;&gt;"",COUNTIF(EH$4:EH39,EH39)=1),1,0)</f>
        <v/>
      </c>
      <c r="EJ39">
        <f>IF(ROW()-3&gt;MAX(EI$4:EI$40),"",INDEX(EH$4:EH$40,MATCH(ROW()-3,EI$4:EI$40,0)))</f>
        <v/>
      </c>
      <c r="EK39" s="55">
        <f>IF('Final Calculation Sheet'!$AA$39="","",'Final Calculation Sheet'!$AA$39)</f>
        <v/>
      </c>
      <c r="EL39">
        <f>IF(EK39="","",COUNTIFS(EK$4:EK$40,"&lt;"&amp;EK39,EK$4:EK$40,"&lt;&gt;"&amp;"")+COUNTIF(EK$4:EK39,EK39))</f>
        <v/>
      </c>
      <c r="EM39">
        <f>IF(ROW()-3&gt;COUNTIF(EK$4:EK$40,"&lt;&gt;"&amp;""),"",INDEX(EK$4:EK$40,MATCH(ROW()-3,EL$4:EL$40,0)))</f>
        <v/>
      </c>
      <c r="EN39">
        <f>EN38+IF(AND(EM39&lt;&gt;"",COUNTIF(EM$4:EM39,EM39)=1),1,0)</f>
        <v/>
      </c>
      <c r="EO39">
        <f>IF(ROW()-3&gt;MAX(EN$4:EN$40),"",INDEX(EM$4:EM$40,MATCH(ROW()-3,EN$4:EN$40,0)))</f>
        <v/>
      </c>
      <c r="EP39">
        <f>IF('Final Calculation Sheet'!$AB$39="","",'Final Calculation Sheet'!$AB$39)</f>
        <v/>
      </c>
      <c r="EQ39">
        <f>IF(EP39="","",COUNTIFS(EP$4:EP$40,"&lt;"&amp;EP39,EP$4:EP$40,"&lt;&gt;"&amp;"")+COUNTIF(EP$4:EP39,EP39))</f>
        <v/>
      </c>
      <c r="ER39">
        <f>IF(ROW()-3&gt;COUNTIF(EP$4:EP$40,"&lt;&gt;"&amp;""),"",INDEX(EP$4:EP$40,MATCH(ROW()-3,EQ$4:EQ$40,0)))</f>
        <v/>
      </c>
      <c r="ES39">
        <f>ES38+IF(AND(ER39&lt;&gt;"",COUNTIF(ER$4:ER39,ER39)=1),1,0)</f>
        <v/>
      </c>
      <c r="ET39">
        <f>IF(ROW()-3&gt;MAX(ES$4:ES$40),"",INDEX(ER$4:ER$40,MATCH(ROW()-3,ES$4:ES$40,0)))</f>
        <v/>
      </c>
      <c r="EU39" s="55">
        <f>IF('Final Calculation Sheet'!$AC$39="","",'Final Calculation Sheet'!$AC$39)</f>
        <v/>
      </c>
      <c r="EV39">
        <f>IF(EU39="","",COUNTIFS(EU$4:EU$40,"&lt;"&amp;EU39,EU$4:EU$40,"&lt;&gt;"&amp;"")+COUNTIF(EU$4:EU39,EU39))</f>
        <v/>
      </c>
      <c r="EW39" s="55">
        <f>IF(ROW()-3&gt;COUNTIF(EU$4:EU$40,"&lt;&gt;"&amp;""),"",INDEX(EU$4:EU$40,MATCH(ROW()-3,EV$4:EV$40,0)))</f>
        <v/>
      </c>
      <c r="EX39">
        <f>EX38+IF(AND(EW39&lt;&gt;"",COUNTIF(EW$4:EW39,EW39)=1),1,0)</f>
        <v/>
      </c>
      <c r="EY39" s="55">
        <f>IF(ROW()-3&gt;MAX(EX$4:EX$40),"",INDEX(EW$4:EW$40,MATCH(ROW()-3,EX$4:EX$40,0)))</f>
        <v/>
      </c>
      <c r="EZ39" s="55">
        <f>IF('Final Calculation Sheet'!$AD$39="","",'Final Calculation Sheet'!$AD$39)</f>
        <v/>
      </c>
      <c r="FA39">
        <f>IF(EZ39="","",COUNTIFS(EZ$4:EZ$40,"&lt;"&amp;EZ39,EZ$4:EZ$40,"&lt;&gt;"&amp;"")+COUNTIF(EZ$4:EZ39,EZ39))</f>
        <v/>
      </c>
      <c r="FB39" s="55">
        <f>IF(ROW()-3&gt;COUNTIF(EZ$4:EZ$40,"&lt;&gt;"&amp;""),"",INDEX(EZ$4:EZ$40,MATCH(ROW()-3,FA$4:FA$40,0)))</f>
        <v/>
      </c>
      <c r="FC39">
        <f>FC38+IF(AND(FB39&lt;&gt;"",COUNTIF(FB$4:FB39,FB39)=1),1,0)</f>
        <v/>
      </c>
      <c r="FD39">
        <f>IF(ROW()-3&gt;MAX(FC$4:FC$40),"",INDEX(FB$4:FB$40,MATCH(ROW()-3,FC$4:FC$40,0)))</f>
        <v/>
      </c>
      <c r="FE39">
        <f>IF('Final Calculation Sheet'!$AF$39="","",'Final Calculation Sheet'!$AF$39)</f>
        <v/>
      </c>
      <c r="FF39">
        <f>IF(FE39="","",COUNTIFS(FE$4:FE$40,"&lt;"&amp;FE39,FE$4:FE$40,"&lt;&gt;"&amp;"")+COUNTIF(FE$4:FE39,FE39))</f>
        <v/>
      </c>
      <c r="FG39">
        <f>IF(ROW()-3&gt;COUNTIF(FE$4:FE$40,"&lt;&gt;"&amp;""),"",INDEX(FE$4:FE$40,MATCH(ROW()-3,FF$4:FF$40,0)))</f>
        <v/>
      </c>
      <c r="FH39">
        <f>FH38+IF(AND(FG39&lt;&gt;"",COUNTIF(FG$4:FG39,FG39)=1),1,0)</f>
        <v/>
      </c>
      <c r="FI39">
        <f>IF(ROW()-3&gt;MAX(FH$4:FH$40),"",INDEX(FG$4:FG$40,MATCH(ROW()-3,FH$4:FH$40,0)))</f>
        <v/>
      </c>
      <c r="FJ39">
        <f>IF('Final Calculation Sheet'!$AG$39="","",'Final Calculation Sheet'!$AG$39)</f>
        <v/>
      </c>
      <c r="FK39">
        <f>IF(FJ39="","",COUNTIFS(FJ$4:FJ$40,"&lt;"&amp;FJ39,FJ$4:FJ$40,"&lt;&gt;"&amp;"")+COUNTIF(FJ$4:FJ39,FJ39))</f>
        <v/>
      </c>
      <c r="FL39">
        <f>IF(ROW()-3&gt;COUNTIF(FJ$4:FJ$40,"&lt;&gt;"&amp;""),"",INDEX(FJ$4:FJ$40,MATCH(ROW()-3,FK$4:FK$40,0)))</f>
        <v/>
      </c>
      <c r="FM39">
        <f>FM38+IF(AND(FL39&lt;&gt;"",COUNTIF(FL$4:FL39,FL39)=1),1,0)</f>
        <v/>
      </c>
      <c r="FN39">
        <f>IF(ROW()-3&gt;MAX(FM$4:FM$40),"",INDEX(FL$4:FL$40,MATCH(ROW()-3,FM$4:FM$40,0)))</f>
        <v/>
      </c>
      <c r="FO39">
        <f>IF('Final Calculation Sheet'!$AH$39="","",'Final Calculation Sheet'!$AH$39)</f>
        <v/>
      </c>
      <c r="FP39">
        <f>IF(FO39="","",COUNTIFS(FO$4:FO$40,"&lt;"&amp;FO39,FO$4:FO$40,"&lt;&gt;"&amp;"")+COUNTIF(FO$4:FO39,FO39))</f>
        <v/>
      </c>
      <c r="FQ39">
        <f>IF(ROW()-3&gt;COUNTIF(FO$4:FO$40,"&lt;&gt;"&amp;""),"",INDEX(FO$4:FO$40,MATCH(ROW()-3,FP$4:FP$40,0)))</f>
        <v/>
      </c>
      <c r="FR39">
        <f>FR38+IF(AND(FQ39&lt;&gt;"",COUNTIF(FQ$4:FQ39,FQ39)=1),1,0)</f>
        <v/>
      </c>
      <c r="FS39">
        <f>IF(ROW()-3&gt;MAX(FR$4:FR$40),"",INDEX(FQ$4:FQ$40,MATCH(ROW()-3,FR$4:FR$40,0)))</f>
        <v/>
      </c>
      <c r="FU39">
        <f>IF(FT39="","",COUNTIFS(FT$4:FT$40,"&lt;"&amp;FT39,FT$4:FT$40,"&lt;&gt;"&amp;"")+COUNTIF(FT$4:FT39,FT39))</f>
        <v/>
      </c>
      <c r="FV39">
        <f>IF(ROW()-3&gt;COUNTIF(FT$4:FT$40,"&lt;&gt;"&amp;""),"",INDEX(FT$4:FT$40,MATCH(ROW()-3,FU$4:FU$40,0)))</f>
        <v/>
      </c>
      <c r="FW39">
        <f>FW38+IF(AND(FV39&lt;&gt;"",COUNTIF(FV$4:FV39,FV39)=1),1,0)</f>
        <v/>
      </c>
      <c r="FX39">
        <f>IF(ROW()-3&gt;MAX(FW$4:FW$40),"",INDEX(FV$4:FV$40,MATCH(ROW()-3,FW$4:FW$40,0)))</f>
        <v/>
      </c>
      <c r="FY39">
        <f>IF(COUNTIF('Live Search'!BM$38:BO$38,0)+COUNTIF('Live Search'!BQ$38:CU$38,0)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39">
        <f>IF($Y$39="",FALSE,SUMPRODUCT(('Final Calculation Sheet'!$B$4:$B$40=$Y$39)*($FY$6:$FY$42=1))&gt;0)</f>
        <v/>
      </c>
      <c r="GA39">
        <f>$GA$38+--($FZ$39)</f>
        <v/>
      </c>
      <c r="GB39">
        <f>IF(ROW()-3&gt;MAX($GA$4:$GA$40),"",INDEX($Y$4:$Y$40,MATCH(ROW()-3,$GA$4:$GA$40,0)))</f>
        <v/>
      </c>
      <c r="GC39">
        <f>IF('Final Calculation Sheet'!$F$39="","",IF(TRIM('Final Calculation Sheet'!$G$2)="",'Final Calculation Sheet'!$F$39,IF(TRIM('Final Calculation Sheet'!$G$2)="(nonblank)",IF('Final Calculation Sheet'!$G$39&lt;&gt;"",'Final Calculation Sheet'!$F$39,""),IF(TRIM('Final Calculation Sheet'!$G$2)="(blank)",IF('Final Calculation Sheet'!$G$39="",'Final Calculation Sheet'!$F$39,""),IF(ISNUMBER(SEARCH(TRIM('Final Calculation Sheet'!$G$2),'Final Calculation Sheet'!$G$39)),'Final Calculation Sheet'!$F$39,"")))))</f>
        <v/>
      </c>
      <c r="GD39">
        <f>IF(GC39="","",COUNTIFS(GC$4:GC$40,"&lt;"&amp;GC39,GC$4:GC$40,"&lt;&gt;"&amp;"")+COUNTIF(GC$4:GC39,GC39))</f>
        <v/>
      </c>
      <c r="GE39">
        <f>IF(ROW()-3&gt;COUNTIF(GC$4:GC$40,"&lt;&gt;"&amp;""),"",INDEX(GC$4:GC$40,MATCH(ROW()-3,GD$4:GD$40,0)))</f>
        <v/>
      </c>
      <c r="GF39">
        <f>GF38+IF(AND(GE39&lt;&gt;"",COUNTIF(GE$4:GE39,GE39)=1),1,0)</f>
        <v/>
      </c>
      <c r="GG39">
        <f>IF(ROW()-3&gt;MAX(GF$4:GF$40),"",INDEX(GE$4:GE$40,MATCH(ROW()-3,GF$4:GF$40,0)))</f>
        <v/>
      </c>
      <c r="GH39">
        <f>IF('Final Calculation Sheet'!$F$39="","",IF('Live Search'!$BO$40=1,'Final Calculation Sheet'!$F$39,""))</f>
        <v/>
      </c>
      <c r="GI39">
        <f>IF(GH39="","",COUNTIFS(GH$4:GH$40,"&lt;"&amp;GH39,GH$4:GH$40,"&lt;&gt;"&amp;"")+COUNTIF(GH$4:GH39,GH39))</f>
        <v/>
      </c>
      <c r="GJ39">
        <f>IF(ROW()-3&gt;COUNTIF(GH$4:GH$40,"&lt;&gt;"&amp;""),"",INDEX(GH$4:GH$40,MATCH(ROW()-3,GI$4:GI$40,0)))</f>
        <v/>
      </c>
      <c r="GK39">
        <f>GK38+IF(AND(GJ39&lt;&gt;"",COUNTIF(GJ$4:GJ39,GJ39)=1),1,0)</f>
        <v/>
      </c>
      <c r="GL39">
        <f>IF(ROW()-3&gt;MAX(GK$4:GK$40),"",INDEX(GJ$4:GJ$40,MATCH(ROW()-3,GK$4:GK$40,0)))</f>
        <v/>
      </c>
      <c r="GM39">
        <f>IF('Final Calculation Sheet'!$F$39="","",IF(TRIM('Buyer Groups'!$C$4)="",'Final Calculation Sheet'!$F$39,IF(TRIM('Buyer Groups'!$C$4)="(nonblank)",IF('Final Calculation Sheet'!$G$39&lt;&gt;"",'Final Calculation Sheet'!$F$39,""),IF(TRIM('Buyer Groups'!$C$4)="(blank)",IF('Final Calculation Sheet'!$G$39="",'Final Calculation Sheet'!$F$39,""),IF(ISNUMBER(SEARCH(TRIM('Buyer Groups'!$C$4),'Final Calculation Sheet'!$G$39)),'Final Calculation Sheet'!$F$39,"")))))</f>
        <v/>
      </c>
      <c r="GN39">
        <f>IF(GM39="","",COUNTIFS(GM$4:GM$40,"&lt;"&amp;GM39,GM$4:GM$40,"&lt;&gt;"&amp;"")+COUNTIF(GM$4:GM39,GM39))</f>
        <v/>
      </c>
      <c r="GO39">
        <f>IF(ROW()-3&gt;COUNTIF(GM$4:GM$40,"&lt;&gt;"&amp;""),"",INDEX(GM$4:GM$40,MATCH(ROW()-3,GN$4:GN$40,0)))</f>
        <v/>
      </c>
      <c r="GP39">
        <f>GP38+IF(AND(GO39&lt;&gt;"",COUNTIF(GO$4:GO39,GO39)=1),1,0)</f>
        <v/>
      </c>
      <c r="GQ39">
        <f>IF(ROW()-3&gt;MAX(GP$4:GP$40),"",INDEX(GO$4:GO$40,MATCH(ROW()-3,GP$4:GP$40,0)))</f>
        <v/>
      </c>
      <c r="GR39">
        <f>IF('Final Calculation Sheet'!$B$39="","",IF(TRIM('Final Calculation Sheet'!$G$2)="",'Final Calculation Sheet'!$B$39,IF(TRIM('Final Calculation Sheet'!$G$2)="(nonblank)",IF('Final Calculation Sheet'!$G$39&lt;&gt;"",'Final Calculation Sheet'!$B$39,""),IF(TRIM('Final Calculation Sheet'!$G$2)="(blank)",IF('Final Calculation Sheet'!$G$39="",'Final Calculation Sheet'!$B$39,""),IF(ISNUMBER(SEARCH(TRIM('Final Calculation Sheet'!$G$2),'Final Calculation Sheet'!$G$39)),'Final Calculation Sheet'!$B$39,"")))))</f>
        <v/>
      </c>
      <c r="GS39">
        <f>IF(GR39="","",COUNTIFS(GR$4:GR$40,"&lt;"&amp;GR39,GR$4:GR$40,"&lt;&gt;"&amp;"")+COUNTIF(GR$4:GR39,GR39))</f>
        <v/>
      </c>
      <c r="GT39">
        <f>IF(ROW()-3&gt;COUNTIF(GR$4:GR$40,"&lt;&gt;"&amp;""),"",INDEX(GR$4:GR$40,MATCH(ROW()-3,GS$4:GS$40,0)))</f>
        <v/>
      </c>
      <c r="GU39">
        <f>GU38+IF(AND(GT39&lt;&gt;"",COUNTIF(GT$4:GT39,GT39)=1),1,0)</f>
        <v/>
      </c>
      <c r="GV39">
        <f>IF(ROW()-3&gt;MAX(GU$4:GU$40),"",INDEX(GT$4:GT$40,MATCH(ROW()-3,GU$4:GU$40,0)))</f>
        <v/>
      </c>
      <c r="GW39">
        <f>IF('Final Calculation Sheet'!$B$39="","",IF(TRIM('Buyer Groups'!$C$4)="",'Final Calculation Sheet'!$B$39,IF(TRIM('Buyer Groups'!$C$4)="(nonblank)",IF('Final Calculation Sheet'!$G$39&lt;&gt;"",'Final Calculation Sheet'!$B$39,""),IF(TRIM('Buyer Groups'!$C$4)="(blank)",IF('Final Calculation Sheet'!$G$39="",'Final Calculation Sheet'!$B$39,""),IF(ISNUMBER(SEARCH(TRIM('Buyer Groups'!$C$4),'Final Calculation Sheet'!$G$39)),'Final Calculation Sheet'!$B$39,"")))))</f>
        <v/>
      </c>
      <c r="GX39">
        <f>IF(GW39="","",COUNTIFS(GW$4:GW$40,"&lt;"&amp;GW39,GW$4:GW$40,"&lt;&gt;"&amp;"")+COUNTIF(GW$4:GW39,GW39))</f>
        <v/>
      </c>
      <c r="GY39">
        <f>IF(ROW()-3&gt;COUNTIF(GW$4:GW$40,"&lt;&gt;"&amp;""),"",INDEX(GW$4:GW$40,MATCH(ROW()-3,GX$4:GX$40,0)))</f>
        <v/>
      </c>
      <c r="GZ39">
        <f>GZ38+IF(AND(GY39&lt;&gt;"",COUNTIF(GY$4:GY39,GY39)=1),1,0)</f>
        <v/>
      </c>
      <c r="HA39">
        <f>IF(ROW()-3&gt;MAX(GZ$4:GZ$40),"",INDEX(GY$4:GY$40,MATCH(ROW()-3,GZ$4:GZ$40,0)))</f>
        <v/>
      </c>
    </row>
    <row r="40">
      <c r="A40">
        <f>IF('Final Calculation Sheet'!$F$40="","",'Final Calculation Sheet'!$F$40)</f>
        <v/>
      </c>
      <c r="B40">
        <f>IF(A40="","",COUNTIFS(A$4:A$114,"&lt;"&amp;A40,A$4:A$114,"&lt;&gt;"&amp;"")+COUNTIF(A$4:A40,A40))</f>
        <v/>
      </c>
      <c r="C40">
        <f>IF(ROW()-3&gt;COUNTIF(A$4:A$114,"&lt;&gt;"&amp;""),"",INDEX(A$4:A$114,MATCH(ROW()-3,B$4:B$114,0)))</f>
        <v/>
      </c>
      <c r="D40">
        <f>D39+IF(AND(C40&lt;&gt;"",COUNTIF(C$4:C40,C40)=1),1,0)</f>
        <v/>
      </c>
      <c r="E40">
        <f>IF(ROW()-3&gt;MAX(D$4:D$114),"",INDEX(C$4:C$114,MATCH(ROW()-3,D$4:D$114,0)))</f>
        <v/>
      </c>
      <c r="F40">
        <f>ROW()-3</f>
        <v/>
      </c>
      <c r="G40">
        <f>IF(F40="","",COUNTIFS(F$4:F$40,"&lt;"&amp;F40,F$4:F$40,"&lt;&gt;"&amp;"")+COUNTIF(F$4:F40,F40))</f>
        <v/>
      </c>
      <c r="H40">
        <f>IF(ROW()-3&gt;COUNTIF(F$4:F$40,"&lt;&gt;"&amp;""),"",INDEX(F$4:F$40,MATCH(ROW()-3,G$4:G$40,0)))</f>
        <v/>
      </c>
      <c r="I40">
        <f>I39+IF(AND(H40&lt;&gt;"",COUNTIF(H$4:H40,H40)=1),1,0)</f>
        <v/>
      </c>
      <c r="J40">
        <f>IF(ROW()-3&gt;MAX(I$4:I$40),"",INDEX(H$4:H$40,MATCH(ROW()-3,I$4:I$40,0)))</f>
        <v/>
      </c>
      <c r="K40">
        <f>IF('Final Calculation Sheet'!$F$40="","",'Final Calculation Sheet'!$F$40)</f>
        <v/>
      </c>
      <c r="L40">
        <f>IF(K40="","",COUNTIFS(K$4:K$40,"&lt;"&amp;K40,K$4:K$40,"&lt;&gt;"&amp;"")+COUNTIF(K$4:K40,K40))</f>
        <v/>
      </c>
      <c r="M40">
        <f>IF(ROW()-3&gt;COUNTIF(K$4:K$40,"&lt;&gt;"&amp;""),"",INDEX(K$4:K$40,MATCH(ROW()-3,L$4:L$40,0)))</f>
        <v/>
      </c>
      <c r="N40">
        <f>N39+IF(AND(M40&lt;&gt;"",COUNTIF(M$4:M40,M40)=1),1,0)</f>
        <v/>
      </c>
      <c r="O40">
        <f>IF(ROW()-3&gt;MAX(N$4:N$40),"",INDEX(M$4:M$40,MATCH(ROW()-3,N$4:N$40,0)))</f>
        <v/>
      </c>
      <c r="P40">
        <f>IF('Final Calculation Sheet'!$G$40="","",'Final Calculation Sheet'!$G$40)</f>
        <v/>
      </c>
      <c r="Q40">
        <f>IF(P40="","",COUNTIFS(P$4:P$40,"&lt;"&amp;P40,P$4:P$40,"&lt;&gt;"&amp;"")+COUNTIF(P$4:P40,P40))</f>
        <v/>
      </c>
      <c r="R40">
        <f>IF(ROW()-3&gt;COUNTIF(P$4:P$40,"&lt;&gt;"&amp;""),"",INDEX(P$4:P$40,MATCH(ROW()-3,Q$4:Q$40,0)))</f>
        <v/>
      </c>
      <c r="S40">
        <f>S39+IF(AND(R40&lt;&gt;"",COUNTIF(R$4:R40,R40)=1),1,0)</f>
        <v/>
      </c>
      <c r="T40">
        <f>IF(ROW()-3&gt;MAX(S$4:S$40),"",INDEX(R$4:R$40,MATCH(ROW()-3,S$4:S$40,0)))</f>
        <v/>
      </c>
      <c r="U40">
        <f>IF('Final Calculation Sheet'!$B$40="","",'Final Calculation Sheet'!$B$40)</f>
        <v/>
      </c>
      <c r="V40">
        <f>IF(U40="","",COUNTIFS(U$4:U$40,"&lt;"&amp;U40,U$4:U$40,"&lt;&gt;"&amp;"")+COUNTIF(U$4:U40,U40))</f>
        <v/>
      </c>
      <c r="W40">
        <f>IF(ROW()-3&gt;COUNTIF(U$4:U$40,"&lt;&gt;"&amp;""),"",INDEX(U$4:U$40,MATCH(ROW()-3,V$4:V$40,0)))</f>
        <v/>
      </c>
      <c r="X40">
        <f>X39+IF(AND(W40&lt;&gt;"",COUNTIF(W$4:W40,W40)=1),1,0)</f>
        <v/>
      </c>
      <c r="Y40">
        <f>IF(ROW()-3&gt;MAX(X$4:X$40),"",INDEX(W$4:W$40,MATCH(ROW()-3,X$4:X$40,0)))</f>
        <v/>
      </c>
      <c r="Z40">
        <f>IF('Final Calculation Sheet'!$D$40="","",'Final Calculation Sheet'!$D$40)</f>
        <v/>
      </c>
      <c r="AA40">
        <f>IF(Z40="","",COUNTIFS(Z$4:Z$40,"&lt;"&amp;Z40,Z$4:Z$40,"&lt;&gt;"&amp;"")+COUNTIF(Z$4:Z40,Z40))</f>
        <v/>
      </c>
      <c r="AB40">
        <f>IF(ROW()-3&gt;COUNTIF(Z$4:Z$40,"&lt;&gt;"&amp;""),"",INDEX(Z$4:Z$40,MATCH(ROW()-3,AA$4:AA$40,0)))</f>
        <v/>
      </c>
      <c r="AC40">
        <f>AC39+IF(AND(AB40&lt;&gt;"",COUNTIF(AB$4:AB40,AB40)=1),1,0)</f>
        <v/>
      </c>
      <c r="AD40">
        <f>IF(ROW()-3&gt;MAX(AC$4:AC$40),"",INDEX(AB$4:AB$40,MATCH(ROW()-3,AC$4:AC$40,0)))</f>
        <v/>
      </c>
      <c r="AE40">
        <f>IF('Final Calculation Sheet'!$A$40="","",'Final Calculation Sheet'!$A$40)</f>
        <v/>
      </c>
      <c r="AF40">
        <f>IF(AE40="","",COUNTIFS(AE$4:AE$40,"&lt;"&amp;AE40,AE$4:AE$40,"&lt;&gt;"&amp;"")+COUNTIF(AE$4:AE40,AE40))</f>
        <v/>
      </c>
      <c r="AG40">
        <f>IF(ROW()-3&gt;COUNTIF(AE$4:AE$40,"&lt;&gt;"&amp;""),"",INDEX(AE$4:AE$40,MATCH(ROW()-3,AF$4:AF$40,0)))</f>
        <v/>
      </c>
      <c r="AH40">
        <f>AH39+IF(AND(AG40&lt;&gt;"",COUNTIF(AG$4:AG40,AG40)=1),1,0)</f>
        <v/>
      </c>
      <c r="AI40">
        <f>IF(ROW()-3&gt;MAX(AH$4:AH$40),"",INDEX(AG$4:AG$40,MATCH(ROW()-3,AH$4:AH$40,0)))</f>
        <v/>
      </c>
      <c r="AJ40">
        <f>IF('Final Calculation Sheet'!$E$40="","",'Final Calculation Sheet'!$E$40)</f>
        <v/>
      </c>
      <c r="AK40">
        <f>IF(AJ40="","",COUNTIFS(AJ$4:AJ$40,"&lt;"&amp;AJ40,AJ$4:AJ$40,"&lt;&gt;"&amp;"")+COUNTIF(AJ$4:AJ40,AJ40))</f>
        <v/>
      </c>
      <c r="AL40">
        <f>IF(ROW()-3&gt;COUNTIF(AJ$4:AJ$40,"&lt;&gt;"&amp;""),"",INDEX(AJ$4:AJ$40,MATCH(ROW()-3,AK$4:AK$40,0)))</f>
        <v/>
      </c>
      <c r="AM40">
        <f>AM39+IF(AND(AL40&lt;&gt;"",COUNTIF(AL$4:AL40,AL40)=1),1,0)</f>
        <v/>
      </c>
      <c r="AN40">
        <f>IF(ROW()-3&gt;MAX(AM$4:AM$40),"",INDEX(AL$4:AL$40,MATCH(ROW()-3,AM$4:AM$40,0)))</f>
        <v/>
      </c>
      <c r="AO40" s="55">
        <f>IF('Final Calculation Sheet'!$C$40="","",'Final Calculation Sheet'!$C$40)</f>
        <v/>
      </c>
      <c r="AP40">
        <f>IF(AO40="","",COUNTIFS(AO$4:AO$40,"&lt;"&amp;AO40,AO$4:AO$40,"&lt;&gt;"&amp;"")+COUNTIF(AO$4:AO40,AO40))</f>
        <v/>
      </c>
      <c r="AQ40" s="55">
        <f>IF(ROW()-3&gt;COUNTIF(AO$4:AO$40,"&lt;&gt;"&amp;""),"",INDEX(AO$4:AO$40,MATCH(ROW()-3,AP$4:AP$40,0)))</f>
        <v/>
      </c>
      <c r="AR40">
        <f>AR39+IF(AND(AQ40&lt;&gt;"",COUNTIF(AQ$4:AQ40,AQ40)=1),1,0)</f>
        <v/>
      </c>
      <c r="AS40">
        <f>IF(ROW()-3&gt;MAX(AR$4:AR$40),"",INDEX(AQ$4:AQ$40,MATCH(ROW()-3,AR$4:AR$40,0)))</f>
        <v/>
      </c>
      <c r="AT40" s="55">
        <f>IF('Final Calculation Sheet'!$H$40="","",'Final Calculation Sheet'!$H$40)</f>
        <v/>
      </c>
      <c r="AU40">
        <f>IF(AT40="","",COUNTIFS(AT$4:AT$40,"&lt;"&amp;AT40,AT$4:AT$40,"&lt;&gt;"&amp;"")+COUNTIF(AT$4:AT40,AT40))</f>
        <v/>
      </c>
      <c r="AV40" s="55">
        <f>IF(ROW()-3&gt;COUNTIF(AT$4:AT$40,"&lt;&gt;"&amp;""),"",INDEX(AT$4:AT$40,MATCH(ROW()-3,AU$4:AU$40,0)))</f>
        <v/>
      </c>
      <c r="AW40">
        <f>AW39+IF(AND(AV40&lt;&gt;"",COUNTIF(AV$4:AV40,AV40)=1),1,0)</f>
        <v/>
      </c>
      <c r="AX40" s="55">
        <f>IF(ROW()-3&gt;MAX(AW$4:AW$40),"",INDEX(AV$4:AV$40,MATCH(ROW()-3,AW$4:AW$40,0)))</f>
        <v/>
      </c>
      <c r="AY40" s="55">
        <f>IF('Final Calculation Sheet'!$I$40="","",'Final Calculation Sheet'!$I$40)</f>
        <v/>
      </c>
      <c r="AZ40">
        <f>IF(AY40="","",COUNTIFS(AY$4:AY$40,"&lt;"&amp;AY40,AY$4:AY$40,"&lt;&gt;"&amp;"")+COUNTIF(AY$4:AY40,AY40))</f>
        <v/>
      </c>
      <c r="BA40" s="55">
        <f>IF(ROW()-3&gt;COUNTIF(AY$4:AY$40,"&lt;&gt;"&amp;""),"",INDEX(AY$4:AY$40,MATCH(ROW()-3,AZ$4:AZ$40,0)))</f>
        <v/>
      </c>
      <c r="BB40">
        <f>BB39+IF(AND(BA40&lt;&gt;"",COUNTIF(BA$4:BA40,BA40)=1),1,0)</f>
        <v/>
      </c>
      <c r="BC40" s="55">
        <f>IF(ROW()-3&gt;MAX(BB$4:BB$40),"",INDEX(BA$4:BA$40,MATCH(ROW()-3,BB$4:BB$40,0)))</f>
        <v/>
      </c>
      <c r="BD40" s="55">
        <f>IF('Final Calculation Sheet'!$J$40="","",'Final Calculation Sheet'!$J$40)</f>
        <v/>
      </c>
      <c r="BE40">
        <f>IF(BD40="","",COUNTIFS(BD$4:BD$40,"&lt;"&amp;BD40,BD$4:BD$40,"&lt;&gt;"&amp;"")+COUNTIF(BD$4:BD40,BD40))</f>
        <v/>
      </c>
      <c r="BF40" s="55">
        <f>IF(ROW()-3&gt;COUNTIF(BD$4:BD$40,"&lt;&gt;"&amp;""),"",INDEX(BD$4:BD$40,MATCH(ROW()-3,BE$4:BE$40,0)))</f>
        <v/>
      </c>
      <c r="BG40">
        <f>BG39+IF(AND(BF40&lt;&gt;"",COUNTIF(BF$4:BF40,BF40)=1),1,0)</f>
        <v/>
      </c>
      <c r="BH40" s="55">
        <f>IF(ROW()-3&gt;MAX(BG$4:BG$40),"",INDEX(BF$4:BF$40,MATCH(ROW()-3,BG$4:BG$40,0)))</f>
        <v/>
      </c>
      <c r="BI40" s="55">
        <f>IF('Final Calculation Sheet'!$K$40="","",'Final Calculation Sheet'!$K$40)</f>
        <v/>
      </c>
      <c r="BJ40">
        <f>IF(BI40="","",COUNTIFS(BI$4:BI$40,"&lt;"&amp;BI40,BI$4:BI$40,"&lt;&gt;"&amp;"")+COUNTIF(BI$4:BI40,BI40))</f>
        <v/>
      </c>
      <c r="BK40" s="55">
        <f>IF(ROW()-3&gt;COUNTIF(BI$4:BI$40,"&lt;&gt;"&amp;""),"",INDEX(BI$4:BI$40,MATCH(ROW()-3,BJ$4:BJ$40,0)))</f>
        <v/>
      </c>
      <c r="BL40">
        <f>BL39+IF(AND(BK40&lt;&gt;"",COUNTIF(BK$4:BK40,BK40)=1),1,0)</f>
        <v/>
      </c>
      <c r="BM40">
        <f>IF(ROW()-3&gt;MAX(BL$4:BL$40),"",INDEX(BK$4:BK$40,MATCH(ROW()-3,BL$4:BL$40,0)))</f>
        <v/>
      </c>
      <c r="BN40" s="55">
        <f>IF('Final Calculation Sheet'!$L$40="","",'Final Calculation Sheet'!$L$40)</f>
        <v/>
      </c>
      <c r="BO40">
        <f>IF(BN40="","",COUNTIFS(BN$4:BN$40,"&lt;"&amp;BN40,BN$4:BN$40,"&lt;&gt;"&amp;"")+COUNTIF(BN$4:BN40,BN40))</f>
        <v/>
      </c>
      <c r="BP40" s="55">
        <f>IF(ROW()-3&gt;COUNTIF(BN$4:BN$40,"&lt;&gt;"&amp;""),"",INDEX(BN$4:BN$40,MATCH(ROW()-3,BO$4:BO$40,0)))</f>
        <v/>
      </c>
      <c r="BQ40">
        <f>BQ39+IF(AND(BP40&lt;&gt;"",COUNTIF(BP$4:BP40,BP40)=1),1,0)</f>
        <v/>
      </c>
      <c r="BR40" s="55">
        <f>IF(ROW()-3&gt;MAX(BQ$4:BQ$40),"",INDEX(BP$4:BP$40,MATCH(ROW()-3,BQ$4:BQ$40,0)))</f>
        <v/>
      </c>
      <c r="BS40" s="55">
        <f>IF('Final Calculation Sheet'!$M$40="","",'Final Calculation Sheet'!$M$40)</f>
        <v/>
      </c>
      <c r="BT40">
        <f>IF(BS40="","",COUNTIFS(BS$4:BS$40,"&lt;"&amp;BS40,BS$4:BS$40,"&lt;&gt;"&amp;"")+COUNTIF(BS$4:BS40,BS40))</f>
        <v/>
      </c>
      <c r="BU40" s="55">
        <f>IF(ROW()-3&gt;COUNTIF(BS$4:BS$40,"&lt;&gt;"&amp;""),"",INDEX(BS$4:BS$40,MATCH(ROW()-3,BT$4:BT$40,0)))</f>
        <v/>
      </c>
      <c r="BV40">
        <f>BV39+IF(AND(BU40&lt;&gt;"",COUNTIF(BU$4:BU40,BU40)=1),1,0)</f>
        <v/>
      </c>
      <c r="BW40" s="55">
        <f>IF(ROW()-3&gt;MAX(BV$4:BV$40),"",INDEX(BU$4:BU$40,MATCH(ROW()-3,BV$4:BV$40,0)))</f>
        <v/>
      </c>
      <c r="BX40" s="138">
        <f>IF('Final Calculation Sheet'!$N$40="","",'Final Calculation Sheet'!$N$40)</f>
        <v/>
      </c>
      <c r="BY40">
        <f>IF(BX40="","",COUNTIFS(BX$4:BX$40,"&lt;"&amp;BX40,BX$4:BX$40,"&lt;&gt;"&amp;"")+COUNTIF(BX$4:BX40,BX40))</f>
        <v/>
      </c>
      <c r="BZ40" s="138">
        <f>IF(ROW()-3&gt;COUNTIF(BX$4:BX$40,"&lt;&gt;"&amp;""),"",INDEX(BX$4:BX$40,MATCH(ROW()-3,BY$4:BY$40,0)))</f>
        <v/>
      </c>
      <c r="CA40">
        <f>CA39+IF(AND(BZ40&lt;&gt;"",COUNTIF(BZ$4:BZ40,BZ40)=1),1,0)</f>
        <v/>
      </c>
      <c r="CB40" s="138">
        <f>IF(ROW()-3&gt;MAX(CA$4:CA$40),"",INDEX(BZ$4:BZ$40,MATCH(ROW()-3,CA$4:CA$40,0)))</f>
        <v/>
      </c>
      <c r="CC40" s="55">
        <f>IF('Final Calculation Sheet'!$O$40="","",'Final Calculation Sheet'!$O$40)</f>
        <v/>
      </c>
      <c r="CD40">
        <f>IF(CC40="","",COUNTIFS(CC$4:CC$40,"&lt;"&amp;CC40,CC$4:CC$40,"&lt;&gt;"&amp;"")+COUNTIF(CC$4:CC40,CC40))</f>
        <v/>
      </c>
      <c r="CE40" s="55">
        <f>IF(ROW()-3&gt;COUNTIF(CC$4:CC$40,"&lt;&gt;"&amp;""),"",INDEX(CC$4:CC$40,MATCH(ROW()-3,CD$4:CD$40,0)))</f>
        <v/>
      </c>
      <c r="CF40">
        <f>CF39+IF(AND(CE40&lt;&gt;"",COUNTIF(CE$4:CE40,CE40)=1),1,0)</f>
        <v/>
      </c>
      <c r="CG40" s="55">
        <f>IF(ROW()-3&gt;MAX(CF$4:CF$40),"",INDEX(CE$4:CE$40,MATCH(ROW()-3,CF$4:CF$40,0)))</f>
        <v/>
      </c>
      <c r="CH40" s="55">
        <f>IF('Final Calculation Sheet'!$P$40="","",'Final Calculation Sheet'!$P$40)</f>
        <v/>
      </c>
      <c r="CI40">
        <f>IF(CH40="","",COUNTIFS(CH$4:CH$40,"&lt;"&amp;CH40,CH$4:CH$40,"&lt;&gt;"&amp;"")+COUNTIF(CH$4:CH40,CH40))</f>
        <v/>
      </c>
      <c r="CJ40" s="55">
        <f>IF(ROW()-3&gt;COUNTIF(CH$4:CH$40,"&lt;&gt;"&amp;""),"",INDEX(CH$4:CH$40,MATCH(ROW()-3,CI$4:CI$40,0)))</f>
        <v/>
      </c>
      <c r="CK40">
        <f>CK39+IF(AND(CJ40&lt;&gt;"",COUNTIF(CJ$4:CJ40,CJ40)=1),1,0)</f>
        <v/>
      </c>
      <c r="CL40">
        <f>IF(ROW()-3&gt;MAX(CK$4:CK$40),"",INDEX(CJ$4:CJ$40,MATCH(ROW()-3,CK$4:CK$40,0)))</f>
        <v/>
      </c>
      <c r="CM40" s="139">
        <f>IF('Final Calculation Sheet'!$Q$40="","",'Final Calculation Sheet'!$Q$40)</f>
        <v/>
      </c>
      <c r="CN40">
        <f>IF(CM40="","",COUNTIFS(CM$4:CM$40,"&lt;"&amp;CM40,CM$4:CM$40,"&lt;&gt;"&amp;"")+COUNTIF(CM$4:CM40,CM40))</f>
        <v/>
      </c>
      <c r="CO40" s="139">
        <f>IF(ROW()-3&gt;COUNTIF(CM$4:CM$40,"&lt;&gt;"&amp;""),"",INDEX(CM$4:CM$40,MATCH(ROW()-3,CN$4:CN$40,0)))</f>
        <v/>
      </c>
      <c r="CP40">
        <f>CP39+IF(AND(CO40&lt;&gt;"",COUNTIF(CO$4:CO40,CO40)=1),1,0)</f>
        <v/>
      </c>
      <c r="CQ40">
        <f>IF(ROW()-3&gt;MAX(CP$4:CP$40),"",INDEX(CO$4:CO$40,MATCH(ROW()-3,CP$4:CP$40,0)))</f>
        <v/>
      </c>
      <c r="CR40" s="55">
        <f>IF('Final Calculation Sheet'!$R$40="","",'Final Calculation Sheet'!$R$40)</f>
        <v/>
      </c>
      <c r="CS40">
        <f>IF(CR40="","",COUNTIFS(CR$4:CR$40,"&lt;"&amp;CR40,CR$4:CR$40,"&lt;&gt;"&amp;"")+COUNTIF(CR$4:CR40,CR40))</f>
        <v/>
      </c>
      <c r="CT40" s="55">
        <f>IF(ROW()-3&gt;COUNTIF(CR$4:CR$40,"&lt;&gt;"&amp;""),"",INDEX(CR$4:CR$40,MATCH(ROW()-3,CS$4:CS$40,0)))</f>
        <v/>
      </c>
      <c r="CU40">
        <f>CU39+IF(AND(CT40&lt;&gt;"",COUNTIF(CT$4:CT40,CT40)=1),1,0)</f>
        <v/>
      </c>
      <c r="CV40">
        <f>IF(ROW()-3&gt;MAX(CU$4:CU$40),"",INDEX(CT$4:CT$40,MATCH(ROW()-3,CU$4:CU$40,0)))</f>
        <v/>
      </c>
      <c r="CW40" s="55">
        <f>IF('Final Calculation Sheet'!$S$40="","",'Final Calculation Sheet'!$S$40)</f>
        <v/>
      </c>
      <c r="CX40">
        <f>IF(CW40="","",COUNTIFS(CW$4:CW$40,"&lt;"&amp;CW40,CW$4:CW$40,"&lt;&gt;"&amp;"")+COUNTIF(CW$4:CW40,CW40))</f>
        <v/>
      </c>
      <c r="CY40" s="55">
        <f>IF(ROW()-3&gt;COUNTIF(CW$4:CW$40,"&lt;&gt;"&amp;""),"",INDEX(CW$4:CW$40,MATCH(ROW()-3,CX$4:CX$40,0)))</f>
        <v/>
      </c>
      <c r="CZ40">
        <f>CZ39+IF(AND(CY40&lt;&gt;"",COUNTIF(CY$4:CY40,CY40)=1),1,0)</f>
        <v/>
      </c>
      <c r="DA40" s="55">
        <f>IF(ROW()-3&gt;MAX(CZ$4:CZ$40),"",INDEX(CY$4:CY$40,MATCH(ROW()-3,CZ$4:CZ$40,0)))</f>
        <v/>
      </c>
      <c r="DB40" s="55">
        <f>IF('Final Calculation Sheet'!$T$40="","",'Final Calculation Sheet'!$T$40)</f>
        <v/>
      </c>
      <c r="DC40">
        <f>IF(DB40="","",COUNTIFS(DB$4:DB$40,"&lt;"&amp;DB40,DB$4:DB$40,"&lt;&gt;"&amp;"")+COUNTIF(DB$4:DB40,DB40))</f>
        <v/>
      </c>
      <c r="DD40" s="55">
        <f>IF(ROW()-3&gt;COUNTIF(DB$4:DB$40,"&lt;&gt;"&amp;""),"",INDEX(DB$4:DB$40,MATCH(ROW()-3,DC$4:DC$40,0)))</f>
        <v/>
      </c>
      <c r="DE40">
        <f>DE39+IF(AND(DD40&lt;&gt;"",COUNTIF(DD$4:DD40,DD40)=1),1,0)</f>
        <v/>
      </c>
      <c r="DF40" s="55">
        <f>IF(ROW()-3&gt;MAX(DE$4:DE$40),"",INDEX(DD$4:DD$40,MATCH(ROW()-3,DE$4:DE$40,0)))</f>
        <v/>
      </c>
      <c r="DG40" s="140">
        <f>IF('Final Calculation Sheet'!$U$40="","",'Final Calculation Sheet'!$U$40)</f>
        <v/>
      </c>
      <c r="DH40">
        <f>IF(DG40="","",COUNTIFS(DG$4:DG$40,"&lt;"&amp;DG40,DG$4:DG$40,"&lt;&gt;"&amp;"")+COUNTIF(DG$4:DG40,DG40))</f>
        <v/>
      </c>
      <c r="DI40" s="140">
        <f>IF(ROW()-3&gt;COUNTIF(DG$4:DG$40,"&lt;&gt;"&amp;""),"",INDEX(DG$4:DG$40,MATCH(ROW()-3,DH$4:DH$40,0)))</f>
        <v/>
      </c>
      <c r="DJ40">
        <f>DJ39+IF(AND(DI40&lt;&gt;"",COUNTIF(DI$4:DI40,DI40)=1),1,0)</f>
        <v/>
      </c>
      <c r="DK40" s="140">
        <f>IF(ROW()-3&gt;MAX(DJ$4:DJ$40),"",INDEX(DI$4:DI$40,MATCH(ROW()-3,DJ$4:DJ$40,0)))</f>
        <v/>
      </c>
      <c r="DL40">
        <f>IF('Final Calculation Sheet'!$V$40="","",'Final Calculation Sheet'!$V$40)</f>
        <v/>
      </c>
      <c r="DM40">
        <f>IF(DL40="","",COUNTIFS(DL$4:DL$40,"&lt;"&amp;DL40,DL$4:DL$40,"&lt;&gt;"&amp;"")+COUNTIF(DL$4:DL40,DL40))</f>
        <v/>
      </c>
      <c r="DN40">
        <f>IF(ROW()-3&gt;COUNTIF(DL$4:DL$40,"&lt;&gt;"&amp;""),"",INDEX(DL$4:DL$40,MATCH(ROW()-3,DM$4:DM$40,0)))</f>
        <v/>
      </c>
      <c r="DO40">
        <f>DO39+IF(AND(DN40&lt;&gt;"",COUNTIF(DN$4:DN40,DN40)=1),1,0)</f>
        <v/>
      </c>
      <c r="DP40">
        <f>IF(ROW()-3&gt;MAX(DO$4:DO$40),"",INDEX(DN$4:DN$40,MATCH(ROW()-3,DO$4:DO$40,0)))</f>
        <v/>
      </c>
      <c r="DQ40" s="55">
        <f>IF('Final Calculation Sheet'!$W$40="","",'Final Calculation Sheet'!$W$40)</f>
        <v/>
      </c>
      <c r="DR40">
        <f>IF(DQ40="","",COUNTIFS(DQ$4:DQ$40,"&lt;"&amp;DQ40,DQ$4:DQ$40,"&lt;&gt;"&amp;"")+COUNTIF(DQ$4:DQ40,DQ40))</f>
        <v/>
      </c>
      <c r="DS40" s="55">
        <f>IF(ROW()-3&gt;COUNTIF(DQ$4:DQ$40,"&lt;&gt;"&amp;""),"",INDEX(DQ$4:DQ$40,MATCH(ROW()-3,DR$4:DR$40,0)))</f>
        <v/>
      </c>
      <c r="DT40">
        <f>DT39+IF(AND(DS40&lt;&gt;"",COUNTIF(DS$4:DS40,DS40)=1),1,0)</f>
        <v/>
      </c>
      <c r="DU40" s="55">
        <f>IF(ROW()-3&gt;MAX(DT$4:DT$40),"",INDEX(DS$4:DS$40,MATCH(ROW()-3,DT$4:DT$40,0)))</f>
        <v/>
      </c>
      <c r="DV40" s="55">
        <f>IF('Final Calculation Sheet'!$X$40="","",'Final Calculation Sheet'!$X$40)</f>
        <v/>
      </c>
      <c r="DW40">
        <f>IF(DV40="","",COUNTIFS(DV$4:DV$40,"&lt;"&amp;DV40,DV$4:DV$40,"&lt;&gt;"&amp;"")+COUNTIF(DV$4:DV40,DV40))</f>
        <v/>
      </c>
      <c r="DX40">
        <f>IF(ROW()-3&gt;COUNTIF(DV$4:DV$40,"&lt;&gt;"&amp;""),"",INDEX(DV$4:DV$40,MATCH(ROW()-3,DW$4:DW$40,0)))</f>
        <v/>
      </c>
      <c r="DY40">
        <f>DY39+IF(AND(DX40&lt;&gt;"",COUNTIF(DX$4:DX40,DX40)=1),1,0)</f>
        <v/>
      </c>
      <c r="DZ40">
        <f>IF(ROW()-3&gt;MAX(DY$4:DY$40),"",INDEX(DX$4:DX$40,MATCH(ROW()-3,DY$4:DY$40,0)))</f>
        <v/>
      </c>
      <c r="EA40">
        <f>IF('Final Calculation Sheet'!$Y$40="","",'Final Calculation Sheet'!$Y$40)</f>
        <v/>
      </c>
      <c r="EB40">
        <f>IF(EA40="","",COUNTIFS(EA$4:EA$40,"&lt;"&amp;EA40,EA$4:EA$40,"&lt;&gt;"&amp;"")+COUNTIF(EA$4:EA40,EA40))</f>
        <v/>
      </c>
      <c r="EC40">
        <f>IF(ROW()-3&gt;COUNTIF(EA$4:EA$40,"&lt;&gt;"&amp;""),"",INDEX(EA$4:EA$40,MATCH(ROW()-3,EB$4:EB$40,0)))</f>
        <v/>
      </c>
      <c r="ED40">
        <f>ED39+IF(AND(EC40&lt;&gt;"",COUNTIF(EC$4:EC40,EC40)=1),1,0)</f>
        <v/>
      </c>
      <c r="EE40">
        <f>IF(ROW()-3&gt;MAX(ED$4:ED$40),"",INDEX(EC$4:EC$40,MATCH(ROW()-3,ED$4:ED$40,0)))</f>
        <v/>
      </c>
      <c r="EF40" s="55">
        <f>IF('Final Calculation Sheet'!$Z$40="","",'Final Calculation Sheet'!$Z$40)</f>
        <v/>
      </c>
      <c r="EG40">
        <f>IF(EF40="","",COUNTIFS(EF$4:EF$40,"&lt;"&amp;EF40,EF$4:EF$40,"&lt;&gt;"&amp;"")+COUNTIF(EF$4:EF40,EF40))</f>
        <v/>
      </c>
      <c r="EH40" s="55">
        <f>IF(ROW()-3&gt;COUNTIF(EF$4:EF$40,"&lt;&gt;"&amp;""),"",INDEX(EF$4:EF$40,MATCH(ROW()-3,EG$4:EG$40,0)))</f>
        <v/>
      </c>
      <c r="EI40">
        <f>EI39+IF(AND(EH40&lt;&gt;"",COUNTIF(EH$4:EH40,EH40)=1),1,0)</f>
        <v/>
      </c>
      <c r="EJ40">
        <f>IF(ROW()-3&gt;MAX(EI$4:EI$40),"",INDEX(EH$4:EH$40,MATCH(ROW()-3,EI$4:EI$40,0)))</f>
        <v/>
      </c>
      <c r="EK40" s="55">
        <f>IF('Final Calculation Sheet'!$AA$40="","",'Final Calculation Sheet'!$AA$40)</f>
        <v/>
      </c>
      <c r="EL40">
        <f>IF(EK40="","",COUNTIFS(EK$4:EK$40,"&lt;"&amp;EK40,EK$4:EK$40,"&lt;&gt;"&amp;"")+COUNTIF(EK$4:EK40,EK40))</f>
        <v/>
      </c>
      <c r="EM40">
        <f>IF(ROW()-3&gt;COUNTIF(EK$4:EK$40,"&lt;&gt;"&amp;""),"",INDEX(EK$4:EK$40,MATCH(ROW()-3,EL$4:EL$40,0)))</f>
        <v/>
      </c>
      <c r="EN40">
        <f>EN39+IF(AND(EM40&lt;&gt;"",COUNTIF(EM$4:EM40,EM40)=1),1,0)</f>
        <v/>
      </c>
      <c r="EO40">
        <f>IF(ROW()-3&gt;MAX(EN$4:EN$40),"",INDEX(EM$4:EM$40,MATCH(ROW()-3,EN$4:EN$40,0)))</f>
        <v/>
      </c>
      <c r="EP40">
        <f>IF('Final Calculation Sheet'!$AB$40="","",'Final Calculation Sheet'!$AB$40)</f>
        <v/>
      </c>
      <c r="EQ40">
        <f>IF(EP40="","",COUNTIFS(EP$4:EP$40,"&lt;"&amp;EP40,EP$4:EP$40,"&lt;&gt;"&amp;"")+COUNTIF(EP$4:EP40,EP40))</f>
        <v/>
      </c>
      <c r="ER40">
        <f>IF(ROW()-3&gt;COUNTIF(EP$4:EP$40,"&lt;&gt;"&amp;""),"",INDEX(EP$4:EP$40,MATCH(ROW()-3,EQ$4:EQ$40,0)))</f>
        <v/>
      </c>
      <c r="ES40">
        <f>ES39+IF(AND(ER40&lt;&gt;"",COUNTIF(ER$4:ER40,ER40)=1),1,0)</f>
        <v/>
      </c>
      <c r="ET40">
        <f>IF(ROW()-3&gt;MAX(ES$4:ES$40),"",INDEX(ER$4:ER$40,MATCH(ROW()-3,ES$4:ES$40,0)))</f>
        <v/>
      </c>
      <c r="EU40" s="55">
        <f>IF('Final Calculation Sheet'!$AC$40="","",'Final Calculation Sheet'!$AC$40)</f>
        <v/>
      </c>
      <c r="EV40">
        <f>IF(EU40="","",COUNTIFS(EU$4:EU$40,"&lt;"&amp;EU40,EU$4:EU$40,"&lt;&gt;"&amp;"")+COUNTIF(EU$4:EU40,EU40))</f>
        <v/>
      </c>
      <c r="EW40" s="55">
        <f>IF(ROW()-3&gt;COUNTIF(EU$4:EU$40,"&lt;&gt;"&amp;""),"",INDEX(EU$4:EU$40,MATCH(ROW()-3,EV$4:EV$40,0)))</f>
        <v/>
      </c>
      <c r="EX40">
        <f>EX39+IF(AND(EW40&lt;&gt;"",COUNTIF(EW$4:EW40,EW40)=1),1,0)</f>
        <v/>
      </c>
      <c r="EY40" s="55">
        <f>IF(ROW()-3&gt;MAX(EX$4:EX$40),"",INDEX(EW$4:EW$40,MATCH(ROW()-3,EX$4:EX$40,0)))</f>
        <v/>
      </c>
      <c r="EZ40" s="55">
        <f>IF('Final Calculation Sheet'!$AD$40="","",'Final Calculation Sheet'!$AD$40)</f>
        <v/>
      </c>
      <c r="FA40">
        <f>IF(EZ40="","",COUNTIFS(EZ$4:EZ$40,"&lt;"&amp;EZ40,EZ$4:EZ$40,"&lt;&gt;"&amp;"")+COUNTIF(EZ$4:EZ40,EZ40))</f>
        <v/>
      </c>
      <c r="FB40" s="55">
        <f>IF(ROW()-3&gt;COUNTIF(EZ$4:EZ$40,"&lt;&gt;"&amp;""),"",INDEX(EZ$4:EZ$40,MATCH(ROW()-3,FA$4:FA$40,0)))</f>
        <v/>
      </c>
      <c r="FC40">
        <f>FC39+IF(AND(FB40&lt;&gt;"",COUNTIF(FB$4:FB40,FB40)=1),1,0)</f>
        <v/>
      </c>
      <c r="FD40">
        <f>IF(ROW()-3&gt;MAX(FC$4:FC$40),"",INDEX(FB$4:FB$40,MATCH(ROW()-3,FC$4:FC$40,0)))</f>
        <v/>
      </c>
      <c r="FE40">
        <f>IF('Final Calculation Sheet'!$AF$40="","",'Final Calculation Sheet'!$AF$40)</f>
        <v/>
      </c>
      <c r="FF40">
        <f>IF(FE40="","",COUNTIFS(FE$4:FE$40,"&lt;"&amp;FE40,FE$4:FE$40,"&lt;&gt;"&amp;"")+COUNTIF(FE$4:FE40,FE40))</f>
        <v/>
      </c>
      <c r="FG40">
        <f>IF(ROW()-3&gt;COUNTIF(FE$4:FE$40,"&lt;&gt;"&amp;""),"",INDEX(FE$4:FE$40,MATCH(ROW()-3,FF$4:FF$40,0)))</f>
        <v/>
      </c>
      <c r="FH40">
        <f>FH39+IF(AND(FG40&lt;&gt;"",COUNTIF(FG$4:FG40,FG40)=1),1,0)</f>
        <v/>
      </c>
      <c r="FI40">
        <f>IF(ROW()-3&gt;MAX(FH$4:FH$40),"",INDEX(FG$4:FG$40,MATCH(ROW()-3,FH$4:FH$40,0)))</f>
        <v/>
      </c>
      <c r="FJ40">
        <f>IF('Final Calculation Sheet'!$AG$40="","",'Final Calculation Sheet'!$AG$40)</f>
        <v/>
      </c>
      <c r="FK40">
        <f>IF(FJ40="","",COUNTIFS(FJ$4:FJ$40,"&lt;"&amp;FJ40,FJ$4:FJ$40,"&lt;&gt;"&amp;"")+COUNTIF(FJ$4:FJ40,FJ40))</f>
        <v/>
      </c>
      <c r="FL40">
        <f>IF(ROW()-3&gt;COUNTIF(FJ$4:FJ$40,"&lt;&gt;"&amp;""),"",INDEX(FJ$4:FJ$40,MATCH(ROW()-3,FK$4:FK$40,0)))</f>
        <v/>
      </c>
      <c r="FM40">
        <f>FM39+IF(AND(FL40&lt;&gt;"",COUNTIF(FL$4:FL40,FL40)=1),1,0)</f>
        <v/>
      </c>
      <c r="FN40">
        <f>IF(ROW()-3&gt;MAX(FM$4:FM$40),"",INDEX(FL$4:FL$40,MATCH(ROW()-3,FM$4:FM$40,0)))</f>
        <v/>
      </c>
      <c r="FO40">
        <f>IF('Final Calculation Sheet'!$AH$40="","",'Final Calculation Sheet'!$AH$40)</f>
        <v/>
      </c>
      <c r="FP40">
        <f>IF(FO40="","",COUNTIFS(FO$4:FO$40,"&lt;"&amp;FO40,FO$4:FO$40,"&lt;&gt;"&amp;"")+COUNTIF(FO$4:FO40,FO40))</f>
        <v/>
      </c>
      <c r="FQ40">
        <f>IF(ROW()-3&gt;COUNTIF(FO$4:FO$40,"&lt;&gt;"&amp;""),"",INDEX(FO$4:FO$40,MATCH(ROW()-3,FP$4:FP$40,0)))</f>
        <v/>
      </c>
      <c r="FR40">
        <f>FR39+IF(AND(FQ40&lt;&gt;"",COUNTIF(FQ$4:FQ40,FQ40)=1),1,0)</f>
        <v/>
      </c>
      <c r="FS40">
        <f>IF(ROW()-3&gt;MAX(FR$4:FR$40),"",INDEX(FQ$4:FQ$40,MATCH(ROW()-3,FR$4:FR$40,0)))</f>
        <v/>
      </c>
      <c r="FU40">
        <f>IF(FT40="","",COUNTIFS(FT$4:FT$40,"&lt;"&amp;FT40,FT$4:FT$40,"&lt;&gt;"&amp;"")+COUNTIF(FT$4:FT40,FT40))</f>
        <v/>
      </c>
      <c r="FV40">
        <f>IF(ROW()-3&gt;COUNTIF(FT$4:FT$40,"&lt;&gt;"&amp;""),"",INDEX(FT$4:FT$40,MATCH(ROW()-3,FU$4:FU$40,0)))</f>
        <v/>
      </c>
      <c r="FW40">
        <f>FW39+IF(AND(FV40&lt;&gt;"",COUNTIF(FV$4:FV40,FV40)=1),1,0)</f>
        <v/>
      </c>
      <c r="FX40">
        <f>IF(ROW()-3&gt;MAX(FW$4:FW$40),"",INDEX(FV$4:FV$40,MATCH(ROW()-3,FW$4:FW$40,0)))</f>
        <v/>
      </c>
      <c r="FY40">
        <f>IF(COUNTIF('Live Search'!BM$39:BO$39,0)+COUNTIF('Live Search'!BQ$39:CU$39,0)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FZ40">
        <f>IF($Y$40="",FALSE,SUMPRODUCT(('Final Calculation Sheet'!$B$4:$B$40=$Y$40)*($FY$6:$FY$42=1))&gt;0)</f>
        <v/>
      </c>
      <c r="GA40">
        <f>$GA$39+--($FZ$40)</f>
        <v/>
      </c>
      <c r="GB40">
        <f>IF(ROW()-3&gt;MAX($GA$4:$GA$40),"",INDEX($Y$4:$Y$40,MATCH(ROW()-3,$GA$4:$GA$40,0)))</f>
        <v/>
      </c>
      <c r="GC40">
        <f>IF('Final Calculation Sheet'!$F$40="","",IF(TRIM('Final Calculation Sheet'!$G$2)="",'Final Calculation Sheet'!$F$40,IF(TRIM('Final Calculation Sheet'!$G$2)="(nonblank)",IF('Final Calculation Sheet'!$G$40&lt;&gt;"",'Final Calculation Sheet'!$F$40,""),IF(TRIM('Final Calculation Sheet'!$G$2)="(blank)",IF('Final Calculation Sheet'!$G$40="",'Final Calculation Sheet'!$F$40,""),IF(ISNUMBER(SEARCH(TRIM('Final Calculation Sheet'!$G$2),'Final Calculation Sheet'!$G$40)),'Final Calculation Sheet'!$F$40,"")))))</f>
        <v/>
      </c>
      <c r="GD40">
        <f>IF(GC40="","",COUNTIFS(GC$4:GC$40,"&lt;"&amp;GC40,GC$4:GC$40,"&lt;&gt;"&amp;"")+COUNTIF(GC$4:GC40,GC40))</f>
        <v/>
      </c>
      <c r="GE40">
        <f>IF(ROW()-3&gt;COUNTIF(GC$4:GC$40,"&lt;&gt;"&amp;""),"",INDEX(GC$4:GC$40,MATCH(ROW()-3,GD$4:GD$40,0)))</f>
        <v/>
      </c>
      <c r="GF40">
        <f>GF39+IF(AND(GE40&lt;&gt;"",COUNTIF(GE$4:GE40,GE40)=1),1,0)</f>
        <v/>
      </c>
      <c r="GG40">
        <f>IF(ROW()-3&gt;MAX(GF$4:GF$40),"",INDEX(GE$4:GE$40,MATCH(ROW()-3,GF$4:GF$40,0)))</f>
        <v/>
      </c>
      <c r="GH40">
        <f>IF('Final Calculation Sheet'!$F$40="","",IF('Live Search'!$BO$41=1,'Final Calculation Sheet'!$F$40,""))</f>
        <v/>
      </c>
      <c r="GI40">
        <f>IF(GH40="","",COUNTIFS(GH$4:GH$40,"&lt;"&amp;GH40,GH$4:GH$40,"&lt;&gt;"&amp;"")+COUNTIF(GH$4:GH40,GH40))</f>
        <v/>
      </c>
      <c r="GJ40">
        <f>IF(ROW()-3&gt;COUNTIF(GH$4:GH$40,"&lt;&gt;"&amp;""),"",INDEX(GH$4:GH$40,MATCH(ROW()-3,GI$4:GI$40,0)))</f>
        <v/>
      </c>
      <c r="GK40">
        <f>GK39+IF(AND(GJ40&lt;&gt;"",COUNTIF(GJ$4:GJ40,GJ40)=1),1,0)</f>
        <v/>
      </c>
      <c r="GL40">
        <f>IF(ROW()-3&gt;MAX(GK$4:GK$40),"",INDEX(GJ$4:GJ$40,MATCH(ROW()-3,GK$4:GK$40,0)))</f>
        <v/>
      </c>
      <c r="GM40">
        <f>IF('Final Calculation Sheet'!$F$40="","",IF(TRIM('Buyer Groups'!$C$4)="",'Final Calculation Sheet'!$F$40,IF(TRIM('Buyer Groups'!$C$4)="(nonblank)",IF('Final Calculation Sheet'!$G$40&lt;&gt;"",'Final Calculation Sheet'!$F$40,""),IF(TRIM('Buyer Groups'!$C$4)="(blank)",IF('Final Calculation Sheet'!$G$40="",'Final Calculation Sheet'!$F$40,""),IF(ISNUMBER(SEARCH(TRIM('Buyer Groups'!$C$4),'Final Calculation Sheet'!$G$40)),'Final Calculation Sheet'!$F$40,"")))))</f>
        <v/>
      </c>
      <c r="GN40">
        <f>IF(GM40="","",COUNTIFS(GM$4:GM$40,"&lt;"&amp;GM40,GM$4:GM$40,"&lt;&gt;"&amp;"")+COUNTIF(GM$4:GM40,GM40))</f>
        <v/>
      </c>
      <c r="GO40">
        <f>IF(ROW()-3&gt;COUNTIF(GM$4:GM$40,"&lt;&gt;"&amp;""),"",INDEX(GM$4:GM$40,MATCH(ROW()-3,GN$4:GN$40,0)))</f>
        <v/>
      </c>
      <c r="GP40">
        <f>GP39+IF(AND(GO40&lt;&gt;"",COUNTIF(GO$4:GO40,GO40)=1),1,0)</f>
        <v/>
      </c>
      <c r="GQ40">
        <f>IF(ROW()-3&gt;MAX(GP$4:GP$40),"",INDEX(GO$4:GO$40,MATCH(ROW()-3,GP$4:GP$40,0)))</f>
        <v/>
      </c>
      <c r="GR40">
        <f>IF('Final Calculation Sheet'!$B$40="","",IF(TRIM('Final Calculation Sheet'!$G$2)="",'Final Calculation Sheet'!$B$40,IF(TRIM('Final Calculation Sheet'!$G$2)="(nonblank)",IF('Final Calculation Sheet'!$G$40&lt;&gt;"",'Final Calculation Sheet'!$B$40,""),IF(TRIM('Final Calculation Sheet'!$G$2)="(blank)",IF('Final Calculation Sheet'!$G$40="",'Final Calculation Sheet'!$B$40,""),IF(ISNUMBER(SEARCH(TRIM('Final Calculation Sheet'!$G$2),'Final Calculation Sheet'!$G$40)),'Final Calculation Sheet'!$B$40,"")))))</f>
        <v/>
      </c>
      <c r="GS40">
        <f>IF(GR40="","",COUNTIFS(GR$4:GR$40,"&lt;"&amp;GR40,GR$4:GR$40,"&lt;&gt;"&amp;"")+COUNTIF(GR$4:GR40,GR40))</f>
        <v/>
      </c>
      <c r="GT40">
        <f>IF(ROW()-3&gt;COUNTIF(GR$4:GR$40,"&lt;&gt;"&amp;""),"",INDEX(GR$4:GR$40,MATCH(ROW()-3,GS$4:GS$40,0)))</f>
        <v/>
      </c>
      <c r="GU40">
        <f>GU39+IF(AND(GT40&lt;&gt;"",COUNTIF(GT$4:GT40,GT40)=1),1,0)</f>
        <v/>
      </c>
      <c r="GV40">
        <f>IF(ROW()-3&gt;MAX(GU$4:GU$40),"",INDEX(GT$4:GT$40,MATCH(ROW()-3,GU$4:GU$40,0)))</f>
        <v/>
      </c>
      <c r="GW40">
        <f>IF('Final Calculation Sheet'!$B$40="","",IF(TRIM('Buyer Groups'!$C$4)="",'Final Calculation Sheet'!$B$40,IF(TRIM('Buyer Groups'!$C$4)="(nonblank)",IF('Final Calculation Sheet'!$G$40&lt;&gt;"",'Final Calculation Sheet'!$B$40,""),IF(TRIM('Buyer Groups'!$C$4)="(blank)",IF('Final Calculation Sheet'!$G$40="",'Final Calculation Sheet'!$B$40,""),IF(ISNUMBER(SEARCH(TRIM('Buyer Groups'!$C$4),'Final Calculation Sheet'!$G$40)),'Final Calculation Sheet'!$B$40,"")))))</f>
        <v/>
      </c>
      <c r="GX40">
        <f>IF(GW40="","",COUNTIFS(GW$4:GW$40,"&lt;"&amp;GW40,GW$4:GW$40,"&lt;&gt;"&amp;"")+COUNTIF(GW$4:GW40,GW40))</f>
        <v/>
      </c>
      <c r="GY40">
        <f>IF(ROW()-3&gt;COUNTIF(GW$4:GW$40,"&lt;&gt;"&amp;""),"",INDEX(GW$4:GW$40,MATCH(ROW()-3,GX$4:GX$40,0)))</f>
        <v/>
      </c>
      <c r="GZ40">
        <f>GZ39+IF(AND(GY40&lt;&gt;"",COUNTIF(GY$4:GY40,GY40)=1),1,0)</f>
        <v/>
      </c>
      <c r="HA40">
        <f>IF(ROW()-3&gt;MAX(GZ$4:GZ$40),"",INDEX(GY$4:GY$40,MATCH(ROW()-3,GZ$4:GZ$40,0)))</f>
        <v/>
      </c>
    </row>
    <row r="41">
      <c r="A41">
        <f>IF(INDEX('Final Calculation Sheet'!$G$4:$G$40,ROW()-40)="","",INDEX('Final Calculation Sheet'!$G$4:$G$40,ROW()-40))</f>
        <v/>
      </c>
      <c r="B41">
        <f>IF(A41="","",COUNTIFS(A$4:A$114,"&lt;"&amp;A41,A$4:A$114,"&lt;&gt;"&amp;"")+COUNTIF(A$4:A41,A41))</f>
        <v/>
      </c>
      <c r="C41">
        <f>IF(ROW()-3&gt;COUNTIF(A$4:A$114,"&lt;&gt;"&amp;""),"",INDEX(A$4:A$114,MATCH(ROW()-3,B$4:B$114,0)))</f>
        <v/>
      </c>
      <c r="D41">
        <f>D40+IF(AND(C41&lt;&gt;"",COUNTIF(C$4:C41,C41)=1),1,0)</f>
        <v/>
      </c>
      <c r="E41">
        <f>IF(ROW()-3&gt;MAX(D$4:D$114),"",INDEX(C$4:C$114,MATCH(ROW()-3,D$4:D$114,0)))</f>
        <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c r="FY41">
        <f>IF(COUNTIF('Live Search'!BM$40:BO$40,0)+COUNTIF('Live Search'!BQ$40:CU$40,0)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1">
        <f>IF(ROW()-3&gt;MAX($GA$4:$GA$40),"",INDEX($Y$4:$Y$40,MATCH(ROW()-3,$GA$4:$GA$40,0)))</f>
        <v/>
      </c>
      <c r="GG41" t="inlineStr">
        <is>
          <t>(blank)</t>
        </is>
      </c>
      <c r="GL41" t="inlineStr">
        <is>
          <t>(blank)</t>
        </is>
      </c>
      <c r="GQ41" t="inlineStr">
        <is>
          <t>(blank)</t>
        </is>
      </c>
      <c r="GV41" t="inlineStr">
        <is>
          <t>(blank)</t>
        </is>
      </c>
      <c r="HA41" t="inlineStr">
        <is>
          <t>(blank)</t>
        </is>
      </c>
    </row>
    <row r="42">
      <c r="A42">
        <f>IF(INDEX('Final Calculation Sheet'!$G$4:$G$40,ROW()-40)="","",INDEX('Final Calculation Sheet'!$G$4:$G$40,ROW()-40))</f>
        <v/>
      </c>
      <c r="B42">
        <f>IF(A42="","",COUNTIFS(A$4:A$114,"&lt;"&amp;A42,A$4:A$114,"&lt;&gt;"&amp;"")+COUNTIF(A$4:A42,A42))</f>
        <v/>
      </c>
      <c r="C42">
        <f>IF(ROW()-3&gt;COUNTIF(A$4:A$114,"&lt;&gt;"&amp;""),"",INDEX(A$4:A$114,MATCH(ROW()-3,B$4:B$114,0)))</f>
        <v/>
      </c>
      <c r="D42">
        <f>D41+IF(AND(C42&lt;&gt;"",COUNTIF(C$4:C42,C42)=1),1,0)</f>
        <v/>
      </c>
      <c r="E42">
        <f>IF(ROW()-3&gt;MAX(D$4:D$114),"",INDEX(C$4:C$114,MATCH(ROW()-3,D$4:D$114,0)))</f>
        <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c r="FY42">
        <f>IF(COUNTIF('Live Search'!BM$41:BO$41,0)+COUNTIF('Live Search'!BQ$41:CU$41,0)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
      </c>
      <c r="GB42">
        <f>IF(ROW()-3&gt;MAX($GA$4:$GA$40),"",INDEX($Y$4:$Y$40,MATCH(ROW()-3,$GA$4:$GA$40,0)))</f>
        <v/>
      </c>
      <c r="GG42" t="inlineStr">
        <is>
          <t>(nonblank)</t>
        </is>
      </c>
      <c r="GL42" t="inlineStr">
        <is>
          <t>(nonblank)</t>
        </is>
      </c>
      <c r="GQ42" t="inlineStr">
        <is>
          <t>(nonblank)</t>
        </is>
      </c>
      <c r="GV42" t="inlineStr">
        <is>
          <t>(nonblank)</t>
        </is>
      </c>
      <c r="HA42" t="inlineStr">
        <is>
          <t>(nonblank)</t>
        </is>
      </c>
    </row>
    <row r="43">
      <c r="A43">
        <f>IF(INDEX('Final Calculation Sheet'!$G$4:$G$40,ROW()-40)="","",INDEX('Final Calculation Sheet'!$G$4:$G$40,ROW()-40))</f>
        <v/>
      </c>
      <c r="B43">
        <f>IF(A43="","",COUNTIFS(A$4:A$114,"&lt;"&amp;A43,A$4:A$114,"&lt;&gt;"&amp;"")+COUNTIF(A$4:A43,A43))</f>
        <v/>
      </c>
      <c r="C43">
        <f>IF(ROW()-3&gt;COUNTIF(A$4:A$114,"&lt;&gt;"&amp;""),"",INDEX(A$4:A$114,MATCH(ROW()-3,B$4:B$114,0)))</f>
        <v/>
      </c>
      <c r="D43">
        <f>D42+IF(AND(C43&lt;&gt;"",COUNTIF(C$4:C43,C43)=1),1,0)</f>
        <v/>
      </c>
      <c r="E43">
        <f>IF(ROW()-3&gt;MAX(D$4:D$114),"",INDEX(C$4:C$114,MATCH(ROW()-3,D$4:D$114,0)))</f>
        <v/>
      </c>
    </row>
    <row r="44">
      <c r="A44">
        <f>IF(INDEX('Final Calculation Sheet'!$G$4:$G$40,ROW()-40)="","",INDEX('Final Calculation Sheet'!$G$4:$G$40,ROW()-40))</f>
        <v/>
      </c>
      <c r="B44">
        <f>IF(A44="","",COUNTIFS(A$4:A$114,"&lt;"&amp;A44,A$4:A$114,"&lt;&gt;"&amp;"")+COUNTIF(A$4:A44,A44))</f>
        <v/>
      </c>
      <c r="C44">
        <f>IF(ROW()-3&gt;COUNTIF(A$4:A$114,"&lt;&gt;"&amp;""),"",INDEX(A$4:A$114,MATCH(ROW()-3,B$4:B$114,0)))</f>
        <v/>
      </c>
      <c r="D44">
        <f>D43+IF(AND(C44&lt;&gt;"",COUNTIF(C$4:C44,C44)=1),1,0)</f>
        <v/>
      </c>
      <c r="E44">
        <f>IF(ROW()-3&gt;MAX(D$4:D$114),"",INDEX(C$4:C$114,MATCH(ROW()-3,D$4:D$114,0)))</f>
        <v/>
      </c>
    </row>
    <row r="45">
      <c r="A45">
        <f>IF(INDEX('Final Calculation Sheet'!$G$4:$G$40,ROW()-40)="","",INDEX('Final Calculation Sheet'!$G$4:$G$40,ROW()-40))</f>
        <v/>
      </c>
      <c r="B45">
        <f>IF(A45="","",COUNTIFS(A$4:A$114,"&lt;"&amp;A45,A$4:A$114,"&lt;&gt;"&amp;"")+COUNTIF(A$4:A45,A45))</f>
        <v/>
      </c>
      <c r="C45">
        <f>IF(ROW()-3&gt;COUNTIF(A$4:A$114,"&lt;&gt;"&amp;""),"",INDEX(A$4:A$114,MATCH(ROW()-3,B$4:B$114,0)))</f>
        <v/>
      </c>
      <c r="D45">
        <f>D44+IF(AND(C45&lt;&gt;"",COUNTIF(C$4:C45,C45)=1),1,0)</f>
        <v/>
      </c>
      <c r="E45">
        <f>IF(ROW()-3&gt;MAX(D$4:D$114),"",INDEX(C$4:C$114,MATCH(ROW()-3,D$4:D$114,0)))</f>
        <v/>
      </c>
    </row>
    <row r="46">
      <c r="A46">
        <f>IF(INDEX('Final Calculation Sheet'!$G$4:$G$40,ROW()-40)="","",INDEX('Final Calculation Sheet'!$G$4:$G$40,ROW()-40))</f>
        <v/>
      </c>
      <c r="B46">
        <f>IF(A46="","",COUNTIFS(A$4:A$114,"&lt;"&amp;A46,A$4:A$114,"&lt;&gt;"&amp;"")+COUNTIF(A$4:A46,A46))</f>
        <v/>
      </c>
      <c r="C46">
        <f>IF(ROW()-3&gt;COUNTIF(A$4:A$114,"&lt;&gt;"&amp;""),"",INDEX(A$4:A$114,MATCH(ROW()-3,B$4:B$114,0)))</f>
        <v/>
      </c>
      <c r="D46">
        <f>D45+IF(AND(C46&lt;&gt;"",COUNTIF(C$4:C46,C46)=1),1,0)</f>
        <v/>
      </c>
      <c r="E46">
        <f>IF(ROW()-3&gt;MAX(D$4:D$114),"",INDEX(C$4:C$114,MATCH(ROW()-3,D$4:D$114,0)))</f>
        <v/>
      </c>
    </row>
    <row r="47">
      <c r="A47">
        <f>IF(INDEX('Final Calculation Sheet'!$G$4:$G$40,ROW()-40)="","",INDEX('Final Calculation Sheet'!$G$4:$G$40,ROW()-40))</f>
        <v/>
      </c>
      <c r="B47">
        <f>IF(A47="","",COUNTIFS(A$4:A$114,"&lt;"&amp;A47,A$4:A$114,"&lt;&gt;"&amp;"")+COUNTIF(A$4:A47,A47))</f>
        <v/>
      </c>
      <c r="C47">
        <f>IF(ROW()-3&gt;COUNTIF(A$4:A$114,"&lt;&gt;"&amp;""),"",INDEX(A$4:A$114,MATCH(ROW()-3,B$4:B$114,0)))</f>
        <v/>
      </c>
      <c r="D47">
        <f>D46+IF(AND(C47&lt;&gt;"",COUNTIF(C$4:C47,C47)=1),1,0)</f>
        <v/>
      </c>
      <c r="E47">
        <f>IF(ROW()-3&gt;MAX(D$4:D$114),"",INDEX(C$4:C$114,MATCH(ROW()-3,D$4:D$114,0)))</f>
        <v/>
      </c>
    </row>
    <row r="48">
      <c r="A48">
        <f>IF(INDEX('Final Calculation Sheet'!$G$4:$G$40,ROW()-40)="","",INDEX('Final Calculation Sheet'!$G$4:$G$40,ROW()-40))</f>
        <v/>
      </c>
      <c r="B48">
        <f>IF(A48="","",COUNTIFS(A$4:A$114,"&lt;"&amp;A48,A$4:A$114,"&lt;&gt;"&amp;"")+COUNTIF(A$4:A48,A48))</f>
        <v/>
      </c>
      <c r="C48">
        <f>IF(ROW()-3&gt;COUNTIF(A$4:A$114,"&lt;&gt;"&amp;""),"",INDEX(A$4:A$114,MATCH(ROW()-3,B$4:B$114,0)))</f>
        <v/>
      </c>
      <c r="D48">
        <f>D47+IF(AND(C48&lt;&gt;"",COUNTIF(C$4:C48,C48)=1),1,0)</f>
        <v/>
      </c>
      <c r="E48">
        <f>IF(ROW()-3&gt;MAX(D$4:D$114),"",INDEX(C$4:C$114,MATCH(ROW()-3,D$4:D$114,0)))</f>
        <v/>
      </c>
    </row>
    <row r="49">
      <c r="A49">
        <f>IF(INDEX('Final Calculation Sheet'!$G$4:$G$40,ROW()-40)="","",INDEX('Final Calculation Sheet'!$G$4:$G$40,ROW()-40))</f>
        <v/>
      </c>
      <c r="B49">
        <f>IF(A49="","",COUNTIFS(A$4:A$114,"&lt;"&amp;A49,A$4:A$114,"&lt;&gt;"&amp;"")+COUNTIF(A$4:A49,A49))</f>
        <v/>
      </c>
      <c r="C49">
        <f>IF(ROW()-3&gt;COUNTIF(A$4:A$114,"&lt;&gt;"&amp;""),"",INDEX(A$4:A$114,MATCH(ROW()-3,B$4:B$114,0)))</f>
        <v/>
      </c>
      <c r="D49">
        <f>D48+IF(AND(C49&lt;&gt;"",COUNTIF(C$4:C49,C49)=1),1,0)</f>
        <v/>
      </c>
      <c r="E49">
        <f>IF(ROW()-3&gt;MAX(D$4:D$114),"",INDEX(C$4:C$114,MATCH(ROW()-3,D$4:D$114,0)))</f>
        <v/>
      </c>
    </row>
    <row r="50">
      <c r="A50">
        <f>IF(INDEX('Final Calculation Sheet'!$G$4:$G$40,ROW()-40)="","",INDEX('Final Calculation Sheet'!$G$4:$G$40,ROW()-40))</f>
        <v/>
      </c>
      <c r="B50">
        <f>IF(A50="","",COUNTIFS(A$4:A$114,"&lt;"&amp;A50,A$4:A$114,"&lt;&gt;"&amp;"")+COUNTIF(A$4:A50,A50))</f>
        <v/>
      </c>
      <c r="C50">
        <f>IF(ROW()-3&gt;COUNTIF(A$4:A$114,"&lt;&gt;"&amp;""),"",INDEX(A$4:A$114,MATCH(ROW()-3,B$4:B$114,0)))</f>
        <v/>
      </c>
      <c r="D50">
        <f>D49+IF(AND(C50&lt;&gt;"",COUNTIF(C$4:C50,C50)=1),1,0)</f>
        <v/>
      </c>
      <c r="E50">
        <f>IF(ROW()-3&gt;MAX(D$4:D$114),"",INDEX(C$4:C$114,MATCH(ROW()-3,D$4:D$114,0)))</f>
        <v/>
      </c>
    </row>
    <row r="51">
      <c r="A51">
        <f>IF(INDEX('Final Calculation Sheet'!$G$4:$G$40,ROW()-40)="","",INDEX('Final Calculation Sheet'!$G$4:$G$40,ROW()-40))</f>
        <v/>
      </c>
      <c r="B51">
        <f>IF(A51="","",COUNTIFS(A$4:A$114,"&lt;"&amp;A51,A$4:A$114,"&lt;&gt;"&amp;"")+COUNTIF(A$4:A51,A51))</f>
        <v/>
      </c>
      <c r="C51">
        <f>IF(ROW()-3&gt;COUNTIF(A$4:A$114,"&lt;&gt;"&amp;""),"",INDEX(A$4:A$114,MATCH(ROW()-3,B$4:B$114,0)))</f>
        <v/>
      </c>
      <c r="D51">
        <f>D50+IF(AND(C51&lt;&gt;"",COUNTIF(C$4:C51,C51)=1),1,0)</f>
        <v/>
      </c>
      <c r="E51">
        <f>IF(ROW()-3&gt;MAX(D$4:D$114),"",INDEX(C$4:C$114,MATCH(ROW()-3,D$4:D$114,0)))</f>
        <v/>
      </c>
    </row>
    <row r="52">
      <c r="A52">
        <f>IF(INDEX('Final Calculation Sheet'!$G$4:$G$40,ROW()-40)="","",INDEX('Final Calculation Sheet'!$G$4:$G$40,ROW()-40))</f>
        <v/>
      </c>
      <c r="B52">
        <f>IF(A52="","",COUNTIFS(A$4:A$114,"&lt;"&amp;A52,A$4:A$114,"&lt;&gt;"&amp;"")+COUNTIF(A$4:A52,A52))</f>
        <v/>
      </c>
      <c r="C52">
        <f>IF(ROW()-3&gt;COUNTIF(A$4:A$114,"&lt;&gt;"&amp;""),"",INDEX(A$4:A$114,MATCH(ROW()-3,B$4:B$114,0)))</f>
        <v/>
      </c>
      <c r="D52">
        <f>D51+IF(AND(C52&lt;&gt;"",COUNTIF(C$4:C52,C52)=1),1,0)</f>
        <v/>
      </c>
      <c r="E52">
        <f>IF(ROW()-3&gt;MAX(D$4:D$114),"",INDEX(C$4:C$114,MATCH(ROW()-3,D$4:D$114,0)))</f>
        <v/>
      </c>
    </row>
    <row r="53">
      <c r="A53">
        <f>IF(INDEX('Final Calculation Sheet'!$G$4:$G$40,ROW()-40)="","",INDEX('Final Calculation Sheet'!$G$4:$G$40,ROW()-40))</f>
        <v/>
      </c>
      <c r="B53">
        <f>IF(A53="","",COUNTIFS(A$4:A$114,"&lt;"&amp;A53,A$4:A$114,"&lt;&gt;"&amp;"")+COUNTIF(A$4:A53,A53))</f>
        <v/>
      </c>
      <c r="C53">
        <f>IF(ROW()-3&gt;COUNTIF(A$4:A$114,"&lt;&gt;"&amp;""),"",INDEX(A$4:A$114,MATCH(ROW()-3,B$4:B$114,0)))</f>
        <v/>
      </c>
      <c r="D53">
        <f>D52+IF(AND(C53&lt;&gt;"",COUNTIF(C$4:C53,C53)=1),1,0)</f>
        <v/>
      </c>
      <c r="E53">
        <f>IF(ROW()-3&gt;MAX(D$4:D$114),"",INDEX(C$4:C$114,MATCH(ROW()-3,D$4:D$114,0)))</f>
        <v/>
      </c>
    </row>
    <row r="54">
      <c r="A54">
        <f>IF(INDEX('Final Calculation Sheet'!$G$4:$G$40,ROW()-40)="","",INDEX('Final Calculation Sheet'!$G$4:$G$40,ROW()-40))</f>
        <v/>
      </c>
      <c r="B54">
        <f>IF(A54="","",COUNTIFS(A$4:A$114,"&lt;"&amp;A54,A$4:A$114,"&lt;&gt;"&amp;"")+COUNTIF(A$4:A54,A54))</f>
        <v/>
      </c>
      <c r="C54">
        <f>IF(ROW()-3&gt;COUNTIF(A$4:A$114,"&lt;&gt;"&amp;""),"",INDEX(A$4:A$114,MATCH(ROW()-3,B$4:B$114,0)))</f>
        <v/>
      </c>
      <c r="D54">
        <f>D53+IF(AND(C54&lt;&gt;"",COUNTIF(C$4:C54,C54)=1),1,0)</f>
        <v/>
      </c>
      <c r="E54">
        <f>IF(ROW()-3&gt;MAX(D$4:D$114),"",INDEX(C$4:C$114,MATCH(ROW()-3,D$4:D$114,0)))</f>
        <v/>
      </c>
    </row>
    <row r="55">
      <c r="A55">
        <f>IF(INDEX('Final Calculation Sheet'!$G$4:$G$40,ROW()-40)="","",INDEX('Final Calculation Sheet'!$G$4:$G$40,ROW()-40))</f>
        <v/>
      </c>
      <c r="B55">
        <f>IF(A55="","",COUNTIFS(A$4:A$114,"&lt;"&amp;A55,A$4:A$114,"&lt;&gt;"&amp;"")+COUNTIF(A$4:A55,A55))</f>
        <v/>
      </c>
      <c r="C55">
        <f>IF(ROW()-3&gt;COUNTIF(A$4:A$114,"&lt;&gt;"&amp;""),"",INDEX(A$4:A$114,MATCH(ROW()-3,B$4:B$114,0)))</f>
        <v/>
      </c>
      <c r="D55">
        <f>D54+IF(AND(C55&lt;&gt;"",COUNTIF(C$4:C55,C55)=1),1,0)</f>
        <v/>
      </c>
      <c r="E55">
        <f>IF(ROW()-3&gt;MAX(D$4:D$114),"",INDEX(C$4:C$114,MATCH(ROW()-3,D$4:D$114,0)))</f>
        <v/>
      </c>
    </row>
    <row r="56">
      <c r="A56">
        <f>IF(INDEX('Final Calculation Sheet'!$G$4:$G$40,ROW()-40)="","",INDEX('Final Calculation Sheet'!$G$4:$G$40,ROW()-40))</f>
        <v/>
      </c>
      <c r="B56">
        <f>IF(A56="","",COUNTIFS(A$4:A$114,"&lt;"&amp;A56,A$4:A$114,"&lt;&gt;"&amp;"")+COUNTIF(A$4:A56,A56))</f>
        <v/>
      </c>
      <c r="C56">
        <f>IF(ROW()-3&gt;COUNTIF(A$4:A$114,"&lt;&gt;"&amp;""),"",INDEX(A$4:A$114,MATCH(ROW()-3,B$4:B$114,0)))</f>
        <v/>
      </c>
      <c r="D56">
        <f>D55+IF(AND(C56&lt;&gt;"",COUNTIF(C$4:C56,C56)=1),1,0)</f>
        <v/>
      </c>
      <c r="E56">
        <f>IF(ROW()-3&gt;MAX(D$4:D$114),"",INDEX(C$4:C$114,MATCH(ROW()-3,D$4:D$114,0)))</f>
        <v/>
      </c>
    </row>
    <row r="57">
      <c r="A57">
        <f>IF(INDEX('Final Calculation Sheet'!$G$4:$G$40,ROW()-40)="","",INDEX('Final Calculation Sheet'!$G$4:$G$40,ROW()-40))</f>
        <v/>
      </c>
      <c r="B57">
        <f>IF(A57="","",COUNTIFS(A$4:A$114,"&lt;"&amp;A57,A$4:A$114,"&lt;&gt;"&amp;"")+COUNTIF(A$4:A57,A57))</f>
        <v/>
      </c>
      <c r="C57">
        <f>IF(ROW()-3&gt;COUNTIF(A$4:A$114,"&lt;&gt;"&amp;""),"",INDEX(A$4:A$114,MATCH(ROW()-3,B$4:B$114,0)))</f>
        <v/>
      </c>
      <c r="D57">
        <f>D56+IF(AND(C57&lt;&gt;"",COUNTIF(C$4:C57,C57)=1),1,0)</f>
        <v/>
      </c>
      <c r="E57">
        <f>IF(ROW()-3&gt;MAX(D$4:D$114),"",INDEX(C$4:C$114,MATCH(ROW()-3,D$4:D$114,0)))</f>
        <v/>
      </c>
    </row>
    <row r="58">
      <c r="A58">
        <f>IF(INDEX('Final Calculation Sheet'!$G$4:$G$40,ROW()-40)="","",INDEX('Final Calculation Sheet'!$G$4:$G$40,ROW()-40))</f>
        <v/>
      </c>
      <c r="B58">
        <f>IF(A58="","",COUNTIFS(A$4:A$114,"&lt;"&amp;A58,A$4:A$114,"&lt;&gt;"&amp;"")+COUNTIF(A$4:A58,A58))</f>
        <v/>
      </c>
      <c r="C58">
        <f>IF(ROW()-3&gt;COUNTIF(A$4:A$114,"&lt;&gt;"&amp;""),"",INDEX(A$4:A$114,MATCH(ROW()-3,B$4:B$114,0)))</f>
        <v/>
      </c>
      <c r="D58">
        <f>D57+IF(AND(C58&lt;&gt;"",COUNTIF(C$4:C58,C58)=1),1,0)</f>
        <v/>
      </c>
      <c r="E58">
        <f>IF(ROW()-3&gt;MAX(D$4:D$114),"",INDEX(C$4:C$114,MATCH(ROW()-3,D$4:D$114,0)))</f>
        <v/>
      </c>
    </row>
    <row r="59">
      <c r="A59">
        <f>IF(INDEX('Final Calculation Sheet'!$G$4:$G$40,ROW()-40)="","",INDEX('Final Calculation Sheet'!$G$4:$G$40,ROW()-40))</f>
        <v/>
      </c>
      <c r="B59">
        <f>IF(A59="","",COUNTIFS(A$4:A$114,"&lt;"&amp;A59,A$4:A$114,"&lt;&gt;"&amp;"")+COUNTIF(A$4:A59,A59))</f>
        <v/>
      </c>
      <c r="C59">
        <f>IF(ROW()-3&gt;COUNTIF(A$4:A$114,"&lt;&gt;"&amp;""),"",INDEX(A$4:A$114,MATCH(ROW()-3,B$4:B$114,0)))</f>
        <v/>
      </c>
      <c r="D59">
        <f>D58+IF(AND(C59&lt;&gt;"",COUNTIF(C$4:C59,C59)=1),1,0)</f>
        <v/>
      </c>
      <c r="E59">
        <f>IF(ROW()-3&gt;MAX(D$4:D$114),"",INDEX(C$4:C$114,MATCH(ROW()-3,D$4:D$114,0)))</f>
        <v/>
      </c>
    </row>
    <row r="60">
      <c r="A60">
        <f>IF(INDEX('Final Calculation Sheet'!$G$4:$G$40,ROW()-40)="","",INDEX('Final Calculation Sheet'!$G$4:$G$40,ROW()-40))</f>
        <v/>
      </c>
      <c r="B60">
        <f>IF(A60="","",COUNTIFS(A$4:A$114,"&lt;"&amp;A60,A$4:A$114,"&lt;&gt;"&amp;"")+COUNTIF(A$4:A60,A60))</f>
        <v/>
      </c>
      <c r="C60">
        <f>IF(ROW()-3&gt;COUNTIF(A$4:A$114,"&lt;&gt;"&amp;""),"",INDEX(A$4:A$114,MATCH(ROW()-3,B$4:B$114,0)))</f>
        <v/>
      </c>
      <c r="D60">
        <f>D59+IF(AND(C60&lt;&gt;"",COUNTIF(C$4:C60,C60)=1),1,0)</f>
        <v/>
      </c>
      <c r="E60">
        <f>IF(ROW()-3&gt;MAX(D$4:D$114),"",INDEX(C$4:C$114,MATCH(ROW()-3,D$4:D$114,0)))</f>
        <v/>
      </c>
    </row>
    <row r="61">
      <c r="A61">
        <f>IF(INDEX('Final Calculation Sheet'!$G$4:$G$40,ROW()-40)="","",INDEX('Final Calculation Sheet'!$G$4:$G$40,ROW()-40))</f>
        <v/>
      </c>
      <c r="B61">
        <f>IF(A61="","",COUNTIFS(A$4:A$114,"&lt;"&amp;A61,A$4:A$114,"&lt;&gt;"&amp;"")+COUNTIF(A$4:A61,A61))</f>
        <v/>
      </c>
      <c r="C61">
        <f>IF(ROW()-3&gt;COUNTIF(A$4:A$114,"&lt;&gt;"&amp;""),"",INDEX(A$4:A$114,MATCH(ROW()-3,B$4:B$114,0)))</f>
        <v/>
      </c>
      <c r="D61">
        <f>D60+IF(AND(C61&lt;&gt;"",COUNTIF(C$4:C61,C61)=1),1,0)</f>
        <v/>
      </c>
      <c r="E61">
        <f>IF(ROW()-3&gt;MAX(D$4:D$114),"",INDEX(C$4:C$114,MATCH(ROW()-3,D$4:D$114,0)))</f>
        <v/>
      </c>
    </row>
    <row r="62">
      <c r="A62">
        <f>IF(INDEX('Final Calculation Sheet'!$G$4:$G$40,ROW()-40)="","",INDEX('Final Calculation Sheet'!$G$4:$G$40,ROW()-40))</f>
        <v/>
      </c>
      <c r="B62">
        <f>IF(A62="","",COUNTIFS(A$4:A$114,"&lt;"&amp;A62,A$4:A$114,"&lt;&gt;"&amp;"")+COUNTIF(A$4:A62,A62))</f>
        <v/>
      </c>
      <c r="C62">
        <f>IF(ROW()-3&gt;COUNTIF(A$4:A$114,"&lt;&gt;"&amp;""),"",INDEX(A$4:A$114,MATCH(ROW()-3,B$4:B$114,0)))</f>
        <v/>
      </c>
      <c r="D62">
        <f>D61+IF(AND(C62&lt;&gt;"",COUNTIF(C$4:C62,C62)=1),1,0)</f>
        <v/>
      </c>
      <c r="E62">
        <f>IF(ROW()-3&gt;MAX(D$4:D$114),"",INDEX(C$4:C$114,MATCH(ROW()-3,D$4:D$114,0)))</f>
        <v/>
      </c>
    </row>
    <row r="63">
      <c r="A63">
        <f>IF(INDEX('Final Calculation Sheet'!$G$4:$G$40,ROW()-40)="","",INDEX('Final Calculation Sheet'!$G$4:$G$40,ROW()-40))</f>
        <v/>
      </c>
      <c r="B63">
        <f>IF(A63="","",COUNTIFS(A$4:A$114,"&lt;"&amp;A63,A$4:A$114,"&lt;&gt;"&amp;"")+COUNTIF(A$4:A63,A63))</f>
        <v/>
      </c>
      <c r="C63">
        <f>IF(ROW()-3&gt;COUNTIF(A$4:A$114,"&lt;&gt;"&amp;""),"",INDEX(A$4:A$114,MATCH(ROW()-3,B$4:B$114,0)))</f>
        <v/>
      </c>
      <c r="D63">
        <f>D62+IF(AND(C63&lt;&gt;"",COUNTIF(C$4:C63,C63)=1),1,0)</f>
        <v/>
      </c>
      <c r="E63">
        <f>IF(ROW()-3&gt;MAX(D$4:D$114),"",INDEX(C$4:C$114,MATCH(ROW()-3,D$4:D$114,0)))</f>
        <v/>
      </c>
    </row>
    <row r="64">
      <c r="A64">
        <f>IF(INDEX('Final Calculation Sheet'!$G$4:$G$40,ROW()-40)="","",INDEX('Final Calculation Sheet'!$G$4:$G$40,ROW()-40))</f>
        <v/>
      </c>
      <c r="B64">
        <f>IF(A64="","",COUNTIFS(A$4:A$114,"&lt;"&amp;A64,A$4:A$114,"&lt;&gt;"&amp;"")+COUNTIF(A$4:A64,A64))</f>
        <v/>
      </c>
      <c r="C64">
        <f>IF(ROW()-3&gt;COUNTIF(A$4:A$114,"&lt;&gt;"&amp;""),"",INDEX(A$4:A$114,MATCH(ROW()-3,B$4:B$114,0)))</f>
        <v/>
      </c>
      <c r="D64">
        <f>D63+IF(AND(C64&lt;&gt;"",COUNTIF(C$4:C64,C64)=1),1,0)</f>
        <v/>
      </c>
      <c r="E64">
        <f>IF(ROW()-3&gt;MAX(D$4:D$114),"",INDEX(C$4:C$114,MATCH(ROW()-3,D$4:D$114,0)))</f>
        <v/>
      </c>
    </row>
    <row r="65">
      <c r="A65">
        <f>IF(INDEX('Final Calculation Sheet'!$G$4:$G$40,ROW()-40)="","",INDEX('Final Calculation Sheet'!$G$4:$G$40,ROW()-40))</f>
        <v/>
      </c>
      <c r="B65">
        <f>IF(A65="","",COUNTIFS(A$4:A$114,"&lt;"&amp;A65,A$4:A$114,"&lt;&gt;"&amp;"")+COUNTIF(A$4:A65,A65))</f>
        <v/>
      </c>
      <c r="C65">
        <f>IF(ROW()-3&gt;COUNTIF(A$4:A$114,"&lt;&gt;"&amp;""),"",INDEX(A$4:A$114,MATCH(ROW()-3,B$4:B$114,0)))</f>
        <v/>
      </c>
      <c r="D65">
        <f>D64+IF(AND(C65&lt;&gt;"",COUNTIF(C$4:C65,C65)=1),1,0)</f>
        <v/>
      </c>
      <c r="E65">
        <f>IF(ROW()-3&gt;MAX(D$4:D$114),"",INDEX(C$4:C$114,MATCH(ROW()-3,D$4:D$114,0)))</f>
        <v/>
      </c>
    </row>
    <row r="66">
      <c r="A66">
        <f>IF(INDEX('Final Calculation Sheet'!$G$4:$G$40,ROW()-40)="","",INDEX('Final Calculation Sheet'!$G$4:$G$40,ROW()-40))</f>
        <v/>
      </c>
      <c r="B66">
        <f>IF(A66="","",COUNTIFS(A$4:A$114,"&lt;"&amp;A66,A$4:A$114,"&lt;&gt;"&amp;"")+COUNTIF(A$4:A66,A66))</f>
        <v/>
      </c>
      <c r="C66">
        <f>IF(ROW()-3&gt;COUNTIF(A$4:A$114,"&lt;&gt;"&amp;""),"",INDEX(A$4:A$114,MATCH(ROW()-3,B$4:B$114,0)))</f>
        <v/>
      </c>
      <c r="D66">
        <f>D65+IF(AND(C66&lt;&gt;"",COUNTIF(C$4:C66,C66)=1),1,0)</f>
        <v/>
      </c>
      <c r="E66">
        <f>IF(ROW()-3&gt;MAX(D$4:D$114),"",INDEX(C$4:C$114,MATCH(ROW()-3,D$4:D$114,0)))</f>
        <v/>
      </c>
    </row>
    <row r="67">
      <c r="A67">
        <f>IF(INDEX('Final Calculation Sheet'!$G$4:$G$40,ROW()-40)="","",INDEX('Final Calculation Sheet'!$G$4:$G$40,ROW()-40))</f>
        <v/>
      </c>
      <c r="B67">
        <f>IF(A67="","",COUNTIFS(A$4:A$114,"&lt;"&amp;A67,A$4:A$114,"&lt;&gt;"&amp;"")+COUNTIF(A$4:A67,A67))</f>
        <v/>
      </c>
      <c r="C67">
        <f>IF(ROW()-3&gt;COUNTIF(A$4:A$114,"&lt;&gt;"&amp;""),"",INDEX(A$4:A$114,MATCH(ROW()-3,B$4:B$114,0)))</f>
        <v/>
      </c>
      <c r="D67">
        <f>D66+IF(AND(C67&lt;&gt;"",COUNTIF(C$4:C67,C67)=1),1,0)</f>
        <v/>
      </c>
      <c r="E67">
        <f>IF(ROW()-3&gt;MAX(D$4:D$114),"",INDEX(C$4:C$114,MATCH(ROW()-3,D$4:D$114,0)))</f>
        <v/>
      </c>
    </row>
    <row r="68">
      <c r="A68">
        <f>IF(INDEX('Final Calculation Sheet'!$G$4:$G$40,ROW()-40)="","",INDEX('Final Calculation Sheet'!$G$4:$G$40,ROW()-40))</f>
        <v/>
      </c>
      <c r="B68">
        <f>IF(A68="","",COUNTIFS(A$4:A$114,"&lt;"&amp;A68,A$4:A$114,"&lt;&gt;"&amp;"")+COUNTIF(A$4:A68,A68))</f>
        <v/>
      </c>
      <c r="C68">
        <f>IF(ROW()-3&gt;COUNTIF(A$4:A$114,"&lt;&gt;"&amp;""),"",INDEX(A$4:A$114,MATCH(ROW()-3,B$4:B$114,0)))</f>
        <v/>
      </c>
      <c r="D68">
        <f>D67+IF(AND(C68&lt;&gt;"",COUNTIF(C$4:C68,C68)=1),1,0)</f>
        <v/>
      </c>
      <c r="E68">
        <f>IF(ROW()-3&gt;MAX(D$4:D$114),"",INDEX(C$4:C$114,MATCH(ROW()-3,D$4:D$114,0)))</f>
        <v/>
      </c>
    </row>
    <row r="69">
      <c r="A69">
        <f>IF(INDEX('Final Calculation Sheet'!$G$4:$G$40,ROW()-40)="","",INDEX('Final Calculation Sheet'!$G$4:$G$40,ROW()-40))</f>
        <v/>
      </c>
      <c r="B69">
        <f>IF(A69="","",COUNTIFS(A$4:A$114,"&lt;"&amp;A69,A$4:A$114,"&lt;&gt;"&amp;"")+COUNTIF(A$4:A69,A69))</f>
        <v/>
      </c>
      <c r="C69">
        <f>IF(ROW()-3&gt;COUNTIF(A$4:A$114,"&lt;&gt;"&amp;""),"",INDEX(A$4:A$114,MATCH(ROW()-3,B$4:B$114,0)))</f>
        <v/>
      </c>
      <c r="D69">
        <f>D68+IF(AND(C69&lt;&gt;"",COUNTIF(C$4:C69,C69)=1),1,0)</f>
        <v/>
      </c>
      <c r="E69">
        <f>IF(ROW()-3&gt;MAX(D$4:D$114),"",INDEX(C$4:C$114,MATCH(ROW()-3,D$4:D$114,0)))</f>
        <v/>
      </c>
    </row>
    <row r="70">
      <c r="A70">
        <f>IF(INDEX('Final Calculation Sheet'!$G$4:$G$40,ROW()-40)="","",INDEX('Final Calculation Sheet'!$G$4:$G$40,ROW()-40))</f>
        <v/>
      </c>
      <c r="B70">
        <f>IF(A70="","",COUNTIFS(A$4:A$114,"&lt;"&amp;A70,A$4:A$114,"&lt;&gt;"&amp;"")+COUNTIF(A$4:A70,A70))</f>
        <v/>
      </c>
      <c r="C70">
        <f>IF(ROW()-3&gt;COUNTIF(A$4:A$114,"&lt;&gt;"&amp;""),"",INDEX(A$4:A$114,MATCH(ROW()-3,B$4:B$114,0)))</f>
        <v/>
      </c>
      <c r="D70">
        <f>D69+IF(AND(C70&lt;&gt;"",COUNTIF(C$4:C70,C70)=1),1,0)</f>
        <v/>
      </c>
      <c r="E70">
        <f>IF(ROW()-3&gt;MAX(D$4:D$114),"",INDEX(C$4:C$114,MATCH(ROW()-3,D$4:D$114,0)))</f>
        <v/>
      </c>
    </row>
    <row r="71">
      <c r="A71">
        <f>IF(INDEX('Final Calculation Sheet'!$G$4:$G$40,ROW()-40)="","",INDEX('Final Calculation Sheet'!$G$4:$G$40,ROW()-40))</f>
        <v/>
      </c>
      <c r="B71">
        <f>IF(A71="","",COUNTIFS(A$4:A$114,"&lt;"&amp;A71,A$4:A$114,"&lt;&gt;"&amp;"")+COUNTIF(A$4:A71,A71))</f>
        <v/>
      </c>
      <c r="C71">
        <f>IF(ROW()-3&gt;COUNTIF(A$4:A$114,"&lt;&gt;"&amp;""),"",INDEX(A$4:A$114,MATCH(ROW()-3,B$4:B$114,0)))</f>
        <v/>
      </c>
      <c r="D71">
        <f>D70+IF(AND(C71&lt;&gt;"",COUNTIF(C$4:C71,C71)=1),1,0)</f>
        <v/>
      </c>
      <c r="E71">
        <f>IF(ROW()-3&gt;MAX(D$4:D$114),"",INDEX(C$4:C$114,MATCH(ROW()-3,D$4:D$114,0)))</f>
        <v/>
      </c>
    </row>
    <row r="72">
      <c r="A72">
        <f>IF(INDEX('Final Calculation Sheet'!$G$4:$G$40,ROW()-40)="","",INDEX('Final Calculation Sheet'!$G$4:$G$40,ROW()-40))</f>
        <v/>
      </c>
      <c r="B72">
        <f>IF(A72="","",COUNTIFS(A$4:A$114,"&lt;"&amp;A72,A$4:A$114,"&lt;&gt;"&amp;"")+COUNTIF(A$4:A72,A72))</f>
        <v/>
      </c>
      <c r="C72">
        <f>IF(ROW()-3&gt;COUNTIF(A$4:A$114,"&lt;&gt;"&amp;""),"",INDEX(A$4:A$114,MATCH(ROW()-3,B$4:B$114,0)))</f>
        <v/>
      </c>
      <c r="D72">
        <f>D71+IF(AND(C72&lt;&gt;"",COUNTIF(C$4:C72,C72)=1),1,0)</f>
        <v/>
      </c>
      <c r="E72">
        <f>IF(ROW()-3&gt;MAX(D$4:D$114),"",INDEX(C$4:C$114,MATCH(ROW()-3,D$4:D$114,0)))</f>
        <v/>
      </c>
    </row>
    <row r="73">
      <c r="A73">
        <f>IF(INDEX('Final Calculation Sheet'!$G$4:$G$40,ROW()-40)="","",INDEX('Final Calculation Sheet'!$G$4:$G$40,ROW()-40))</f>
        <v/>
      </c>
      <c r="B73">
        <f>IF(A73="","",COUNTIFS(A$4:A$114,"&lt;"&amp;A73,A$4:A$114,"&lt;&gt;"&amp;"")+COUNTIF(A$4:A73,A73))</f>
        <v/>
      </c>
      <c r="C73">
        <f>IF(ROW()-3&gt;COUNTIF(A$4:A$114,"&lt;&gt;"&amp;""),"",INDEX(A$4:A$114,MATCH(ROW()-3,B$4:B$114,0)))</f>
        <v/>
      </c>
      <c r="D73">
        <f>D72+IF(AND(C73&lt;&gt;"",COUNTIF(C$4:C73,C73)=1),1,0)</f>
        <v/>
      </c>
      <c r="E73">
        <f>IF(ROW()-3&gt;MAX(D$4:D$114),"",INDEX(C$4:C$114,MATCH(ROW()-3,D$4:D$114,0)))</f>
        <v/>
      </c>
    </row>
    <row r="74">
      <c r="A74">
        <f>IF(INDEX('Final Calculation Sheet'!$G$4:$G$40,ROW()-40)="","",INDEX('Final Calculation Sheet'!$G$4:$G$40,ROW()-40))</f>
        <v/>
      </c>
      <c r="B74">
        <f>IF(A74="","",COUNTIFS(A$4:A$114,"&lt;"&amp;A74,A$4:A$114,"&lt;&gt;"&amp;"")+COUNTIF(A$4:A74,A74))</f>
        <v/>
      </c>
      <c r="C74">
        <f>IF(ROW()-3&gt;COUNTIF(A$4:A$114,"&lt;&gt;"&amp;""),"",INDEX(A$4:A$114,MATCH(ROW()-3,B$4:B$114,0)))</f>
        <v/>
      </c>
      <c r="D74">
        <f>D73+IF(AND(C74&lt;&gt;"",COUNTIF(C$4:C74,C74)=1),1,0)</f>
        <v/>
      </c>
      <c r="E74">
        <f>IF(ROW()-3&gt;MAX(D$4:D$114),"",INDEX(C$4:C$114,MATCH(ROW()-3,D$4:D$114,0)))</f>
        <v/>
      </c>
    </row>
    <row r="75">
      <c r="A75">
        <f>IF(INDEX('Final Calculation Sheet'!$G$4:$G$40,ROW()-40)="","",INDEX('Final Calculation Sheet'!$G$4:$G$40,ROW()-40))</f>
        <v/>
      </c>
      <c r="B75">
        <f>IF(A75="","",COUNTIFS(A$4:A$114,"&lt;"&amp;A75,A$4:A$114,"&lt;&gt;"&amp;"")+COUNTIF(A$4:A75,A75))</f>
        <v/>
      </c>
      <c r="C75">
        <f>IF(ROW()-3&gt;COUNTIF(A$4:A$114,"&lt;&gt;"&amp;""),"",INDEX(A$4:A$114,MATCH(ROW()-3,B$4:B$114,0)))</f>
        <v/>
      </c>
      <c r="D75">
        <f>D74+IF(AND(C75&lt;&gt;"",COUNTIF(C$4:C75,C75)=1),1,0)</f>
        <v/>
      </c>
      <c r="E75">
        <f>IF(ROW()-3&gt;MAX(D$4:D$114),"",INDEX(C$4:C$114,MATCH(ROW()-3,D$4:D$114,0)))</f>
        <v/>
      </c>
    </row>
    <row r="76">
      <c r="A76">
        <f>IF(INDEX('Final Calculation Sheet'!$G$4:$G$40,ROW()-40)="","",INDEX('Final Calculation Sheet'!$G$4:$G$40,ROW()-40))</f>
        <v/>
      </c>
      <c r="B76">
        <f>IF(A76="","",COUNTIFS(A$4:A$114,"&lt;"&amp;A76,A$4:A$114,"&lt;&gt;"&amp;"")+COUNTIF(A$4:A76,A76))</f>
        <v/>
      </c>
      <c r="C76">
        <f>IF(ROW()-3&gt;COUNTIF(A$4:A$114,"&lt;&gt;"&amp;""),"",INDEX(A$4:A$114,MATCH(ROW()-3,B$4:B$114,0)))</f>
        <v/>
      </c>
      <c r="D76">
        <f>D75+IF(AND(C76&lt;&gt;"",COUNTIF(C$4:C76,C76)=1),1,0)</f>
        <v/>
      </c>
      <c r="E76">
        <f>IF(ROW()-3&gt;MAX(D$4:D$114),"",INDEX(C$4:C$114,MATCH(ROW()-3,D$4:D$114,0)))</f>
        <v/>
      </c>
    </row>
    <row r="77">
      <c r="A77">
        <f>IF(INDEX('Final Calculation Sheet'!$G$4:$G$40,ROW()-40)="","",INDEX('Final Calculation Sheet'!$G$4:$G$40,ROW()-40))</f>
        <v/>
      </c>
      <c r="B77">
        <f>IF(A77="","",COUNTIFS(A$4:A$114,"&lt;"&amp;A77,A$4:A$114,"&lt;&gt;"&amp;"")+COUNTIF(A$4:A77,A77))</f>
        <v/>
      </c>
      <c r="C77">
        <f>IF(ROW()-3&gt;COUNTIF(A$4:A$114,"&lt;&gt;"&amp;""),"",INDEX(A$4:A$114,MATCH(ROW()-3,B$4:B$114,0)))</f>
        <v/>
      </c>
      <c r="D77">
        <f>D76+IF(AND(C77&lt;&gt;"",COUNTIF(C$4:C77,C77)=1),1,0)</f>
        <v/>
      </c>
      <c r="E77">
        <f>IF(ROW()-3&gt;MAX(D$4:D$114),"",INDEX(C$4:C$114,MATCH(ROW()-3,D$4:D$114,0)))</f>
        <v/>
      </c>
    </row>
    <row r="78">
      <c r="A78">
        <f>IF(INDEX('Final Calculation Sheet'!$B$4:$B$40,ROW()-77)="","",INDEX('Final Calculation Sheet'!$B$4:$B$40,ROW()-77))</f>
        <v/>
      </c>
      <c r="B78">
        <f>IF(A78="","",COUNTIFS(A$4:A$114,"&lt;"&amp;A78,A$4:A$114,"&lt;&gt;"&amp;"")+COUNTIF(A$4:A78,A78))</f>
        <v/>
      </c>
      <c r="C78">
        <f>IF(ROW()-3&gt;COUNTIF(A$4:A$114,"&lt;&gt;"&amp;""),"",INDEX(A$4:A$114,MATCH(ROW()-3,B$4:B$114,0)))</f>
        <v/>
      </c>
      <c r="D78">
        <f>D77+IF(AND(C78&lt;&gt;"",COUNTIF(C$4:C78,C78)=1),1,0)</f>
        <v/>
      </c>
      <c r="E78">
        <f>IF(ROW()-3&gt;MAX(D$4:D$114),"",INDEX(C$4:C$114,MATCH(ROW()-3,D$4:D$114,0)))</f>
        <v/>
      </c>
    </row>
    <row r="79">
      <c r="A79">
        <f>IF(INDEX('Final Calculation Sheet'!$B$4:$B$40,ROW()-77)="","",INDEX('Final Calculation Sheet'!$B$4:$B$40,ROW()-77))</f>
        <v/>
      </c>
      <c r="B79">
        <f>IF(A79="","",COUNTIFS(A$4:A$114,"&lt;"&amp;A79,A$4:A$114,"&lt;&gt;"&amp;"")+COUNTIF(A$4:A79,A79))</f>
        <v/>
      </c>
      <c r="C79">
        <f>IF(ROW()-3&gt;COUNTIF(A$4:A$114,"&lt;&gt;"&amp;""),"",INDEX(A$4:A$114,MATCH(ROW()-3,B$4:B$114,0)))</f>
        <v/>
      </c>
      <c r="D79">
        <f>D78+IF(AND(C79&lt;&gt;"",COUNTIF(C$4:C79,C79)=1),1,0)</f>
        <v/>
      </c>
      <c r="E79">
        <f>IF(ROW()-3&gt;MAX(D$4:D$114),"",INDEX(C$4:C$114,MATCH(ROW()-3,D$4:D$114,0)))</f>
        <v/>
      </c>
    </row>
    <row r="80">
      <c r="A80">
        <f>IF(INDEX('Final Calculation Sheet'!$B$4:$B$40,ROW()-77)="","",INDEX('Final Calculation Sheet'!$B$4:$B$40,ROW()-77))</f>
        <v/>
      </c>
      <c r="B80">
        <f>IF(A80="","",COUNTIFS(A$4:A$114,"&lt;"&amp;A80,A$4:A$114,"&lt;&gt;"&amp;"")+COUNTIF(A$4:A80,A80))</f>
        <v/>
      </c>
      <c r="C80">
        <f>IF(ROW()-3&gt;COUNTIF(A$4:A$114,"&lt;&gt;"&amp;""),"",INDEX(A$4:A$114,MATCH(ROW()-3,B$4:B$114,0)))</f>
        <v/>
      </c>
      <c r="D80">
        <f>D79+IF(AND(C80&lt;&gt;"",COUNTIF(C$4:C80,C80)=1),1,0)</f>
        <v/>
      </c>
      <c r="E80">
        <f>IF(ROW()-3&gt;MAX(D$4:D$114),"",INDEX(C$4:C$114,MATCH(ROW()-3,D$4:D$114,0)))</f>
        <v/>
      </c>
    </row>
    <row r="81">
      <c r="A81">
        <f>IF(INDEX('Final Calculation Sheet'!$B$4:$B$40,ROW()-77)="","",INDEX('Final Calculation Sheet'!$B$4:$B$40,ROW()-77))</f>
        <v/>
      </c>
      <c r="B81">
        <f>IF(A81="","",COUNTIFS(A$4:A$114,"&lt;"&amp;A81,A$4:A$114,"&lt;&gt;"&amp;"")+COUNTIF(A$4:A81,A81))</f>
        <v/>
      </c>
      <c r="C81">
        <f>IF(ROW()-3&gt;COUNTIF(A$4:A$114,"&lt;&gt;"&amp;""),"",INDEX(A$4:A$114,MATCH(ROW()-3,B$4:B$114,0)))</f>
        <v/>
      </c>
      <c r="D81">
        <f>D80+IF(AND(C81&lt;&gt;"",COUNTIF(C$4:C81,C81)=1),1,0)</f>
        <v/>
      </c>
      <c r="E81">
        <f>IF(ROW()-3&gt;MAX(D$4:D$114),"",INDEX(C$4:C$114,MATCH(ROW()-3,D$4:D$114,0)))</f>
        <v/>
      </c>
    </row>
    <row r="82">
      <c r="A82">
        <f>IF(INDEX('Final Calculation Sheet'!$B$4:$B$40,ROW()-77)="","",INDEX('Final Calculation Sheet'!$B$4:$B$40,ROW()-77))</f>
        <v/>
      </c>
      <c r="B82">
        <f>IF(A82="","",COUNTIFS(A$4:A$114,"&lt;"&amp;A82,A$4:A$114,"&lt;&gt;"&amp;"")+COUNTIF(A$4:A82,A82))</f>
        <v/>
      </c>
      <c r="C82">
        <f>IF(ROW()-3&gt;COUNTIF(A$4:A$114,"&lt;&gt;"&amp;""),"",INDEX(A$4:A$114,MATCH(ROW()-3,B$4:B$114,0)))</f>
        <v/>
      </c>
      <c r="D82">
        <f>D81+IF(AND(C82&lt;&gt;"",COUNTIF(C$4:C82,C82)=1),1,0)</f>
        <v/>
      </c>
      <c r="E82">
        <f>IF(ROW()-3&gt;MAX(D$4:D$114),"",INDEX(C$4:C$114,MATCH(ROW()-3,D$4:D$114,0)))</f>
        <v/>
      </c>
    </row>
    <row r="83">
      <c r="A83">
        <f>IF(INDEX('Final Calculation Sheet'!$B$4:$B$40,ROW()-77)="","",INDEX('Final Calculation Sheet'!$B$4:$B$40,ROW()-77))</f>
        <v/>
      </c>
      <c r="B83">
        <f>IF(A83="","",COUNTIFS(A$4:A$114,"&lt;"&amp;A83,A$4:A$114,"&lt;&gt;"&amp;"")+COUNTIF(A$4:A83,A83))</f>
        <v/>
      </c>
      <c r="C83">
        <f>IF(ROW()-3&gt;COUNTIF(A$4:A$114,"&lt;&gt;"&amp;""),"",INDEX(A$4:A$114,MATCH(ROW()-3,B$4:B$114,0)))</f>
        <v/>
      </c>
      <c r="D83">
        <f>D82+IF(AND(C83&lt;&gt;"",COUNTIF(C$4:C83,C83)=1),1,0)</f>
        <v/>
      </c>
      <c r="E83">
        <f>IF(ROW()-3&gt;MAX(D$4:D$114),"",INDEX(C$4:C$114,MATCH(ROW()-3,D$4:D$114,0)))</f>
        <v/>
      </c>
    </row>
    <row r="84">
      <c r="A84">
        <f>IF(INDEX('Final Calculation Sheet'!$B$4:$B$40,ROW()-77)="","",INDEX('Final Calculation Sheet'!$B$4:$B$40,ROW()-77))</f>
        <v/>
      </c>
      <c r="B84">
        <f>IF(A84="","",COUNTIFS(A$4:A$114,"&lt;"&amp;A84,A$4:A$114,"&lt;&gt;"&amp;"")+COUNTIF(A$4:A84,A84))</f>
        <v/>
      </c>
      <c r="C84">
        <f>IF(ROW()-3&gt;COUNTIF(A$4:A$114,"&lt;&gt;"&amp;""),"",INDEX(A$4:A$114,MATCH(ROW()-3,B$4:B$114,0)))</f>
        <v/>
      </c>
      <c r="D84">
        <f>D83+IF(AND(C84&lt;&gt;"",COUNTIF(C$4:C84,C84)=1),1,0)</f>
        <v/>
      </c>
      <c r="E84">
        <f>IF(ROW()-3&gt;MAX(D$4:D$114),"",INDEX(C$4:C$114,MATCH(ROW()-3,D$4:D$114,0)))</f>
        <v/>
      </c>
    </row>
    <row r="85">
      <c r="A85">
        <f>IF(INDEX('Final Calculation Sheet'!$B$4:$B$40,ROW()-77)="","",INDEX('Final Calculation Sheet'!$B$4:$B$40,ROW()-77))</f>
        <v/>
      </c>
      <c r="B85">
        <f>IF(A85="","",COUNTIFS(A$4:A$114,"&lt;"&amp;A85,A$4:A$114,"&lt;&gt;"&amp;"")+COUNTIF(A$4:A85,A85))</f>
        <v/>
      </c>
      <c r="C85">
        <f>IF(ROW()-3&gt;COUNTIF(A$4:A$114,"&lt;&gt;"&amp;""),"",INDEX(A$4:A$114,MATCH(ROW()-3,B$4:B$114,0)))</f>
        <v/>
      </c>
      <c r="D85">
        <f>D84+IF(AND(C85&lt;&gt;"",COUNTIF(C$4:C85,C85)=1),1,0)</f>
        <v/>
      </c>
      <c r="E85">
        <f>IF(ROW()-3&gt;MAX(D$4:D$114),"",INDEX(C$4:C$114,MATCH(ROW()-3,D$4:D$114,0)))</f>
        <v/>
      </c>
    </row>
    <row r="86">
      <c r="A86">
        <f>IF(INDEX('Final Calculation Sheet'!$B$4:$B$40,ROW()-77)="","",INDEX('Final Calculation Sheet'!$B$4:$B$40,ROW()-77))</f>
        <v/>
      </c>
      <c r="B86">
        <f>IF(A86="","",COUNTIFS(A$4:A$114,"&lt;"&amp;A86,A$4:A$114,"&lt;&gt;"&amp;"")+COUNTIF(A$4:A86,A86))</f>
        <v/>
      </c>
      <c r="C86">
        <f>IF(ROW()-3&gt;COUNTIF(A$4:A$114,"&lt;&gt;"&amp;""),"",INDEX(A$4:A$114,MATCH(ROW()-3,B$4:B$114,0)))</f>
        <v/>
      </c>
      <c r="D86">
        <f>D85+IF(AND(C86&lt;&gt;"",COUNTIF(C$4:C86,C86)=1),1,0)</f>
        <v/>
      </c>
      <c r="E86">
        <f>IF(ROW()-3&gt;MAX(D$4:D$114),"",INDEX(C$4:C$114,MATCH(ROW()-3,D$4:D$114,0)))</f>
        <v/>
      </c>
    </row>
    <row r="87">
      <c r="A87">
        <f>IF(INDEX('Final Calculation Sheet'!$B$4:$B$40,ROW()-77)="","",INDEX('Final Calculation Sheet'!$B$4:$B$40,ROW()-77))</f>
        <v/>
      </c>
      <c r="B87">
        <f>IF(A87="","",COUNTIFS(A$4:A$114,"&lt;"&amp;A87,A$4:A$114,"&lt;&gt;"&amp;"")+COUNTIF(A$4:A87,A87))</f>
        <v/>
      </c>
      <c r="C87">
        <f>IF(ROW()-3&gt;COUNTIF(A$4:A$114,"&lt;&gt;"&amp;""),"",INDEX(A$4:A$114,MATCH(ROW()-3,B$4:B$114,0)))</f>
        <v/>
      </c>
      <c r="D87">
        <f>D86+IF(AND(C87&lt;&gt;"",COUNTIF(C$4:C87,C87)=1),1,0)</f>
        <v/>
      </c>
      <c r="E87">
        <f>IF(ROW()-3&gt;MAX(D$4:D$114),"",INDEX(C$4:C$114,MATCH(ROW()-3,D$4:D$114,0)))</f>
        <v/>
      </c>
    </row>
    <row r="88">
      <c r="A88">
        <f>IF(INDEX('Final Calculation Sheet'!$B$4:$B$40,ROW()-77)="","",INDEX('Final Calculation Sheet'!$B$4:$B$40,ROW()-77))</f>
        <v/>
      </c>
      <c r="B88">
        <f>IF(A88="","",COUNTIFS(A$4:A$114,"&lt;"&amp;A88,A$4:A$114,"&lt;&gt;"&amp;"")+COUNTIF(A$4:A88,A88))</f>
        <v/>
      </c>
      <c r="C88">
        <f>IF(ROW()-3&gt;COUNTIF(A$4:A$114,"&lt;&gt;"&amp;""),"",INDEX(A$4:A$114,MATCH(ROW()-3,B$4:B$114,0)))</f>
        <v/>
      </c>
      <c r="D88">
        <f>D87+IF(AND(C88&lt;&gt;"",COUNTIF(C$4:C88,C88)=1),1,0)</f>
        <v/>
      </c>
      <c r="E88">
        <f>IF(ROW()-3&gt;MAX(D$4:D$114),"",INDEX(C$4:C$114,MATCH(ROW()-3,D$4:D$114,0)))</f>
        <v/>
      </c>
    </row>
    <row r="89">
      <c r="A89">
        <f>IF(INDEX('Final Calculation Sheet'!$B$4:$B$40,ROW()-77)="","",INDEX('Final Calculation Sheet'!$B$4:$B$40,ROW()-77))</f>
        <v/>
      </c>
      <c r="B89">
        <f>IF(A89="","",COUNTIFS(A$4:A$114,"&lt;"&amp;A89,A$4:A$114,"&lt;&gt;"&amp;"")+COUNTIF(A$4:A89,A89))</f>
        <v/>
      </c>
      <c r="C89">
        <f>IF(ROW()-3&gt;COUNTIF(A$4:A$114,"&lt;&gt;"&amp;""),"",INDEX(A$4:A$114,MATCH(ROW()-3,B$4:B$114,0)))</f>
        <v/>
      </c>
      <c r="D89">
        <f>D88+IF(AND(C89&lt;&gt;"",COUNTIF(C$4:C89,C89)=1),1,0)</f>
        <v/>
      </c>
      <c r="E89">
        <f>IF(ROW()-3&gt;MAX(D$4:D$114),"",INDEX(C$4:C$114,MATCH(ROW()-3,D$4:D$114,0)))</f>
        <v/>
      </c>
    </row>
    <row r="90">
      <c r="A90">
        <f>IF(INDEX('Final Calculation Sheet'!$B$4:$B$40,ROW()-77)="","",INDEX('Final Calculation Sheet'!$B$4:$B$40,ROW()-77))</f>
        <v/>
      </c>
      <c r="B90">
        <f>IF(A90="","",COUNTIFS(A$4:A$114,"&lt;"&amp;A90,A$4:A$114,"&lt;&gt;"&amp;"")+COUNTIF(A$4:A90,A90))</f>
        <v/>
      </c>
      <c r="C90">
        <f>IF(ROW()-3&gt;COUNTIF(A$4:A$114,"&lt;&gt;"&amp;""),"",INDEX(A$4:A$114,MATCH(ROW()-3,B$4:B$114,0)))</f>
        <v/>
      </c>
      <c r="D90">
        <f>D89+IF(AND(C90&lt;&gt;"",COUNTIF(C$4:C90,C90)=1),1,0)</f>
        <v/>
      </c>
      <c r="E90">
        <f>IF(ROW()-3&gt;MAX(D$4:D$114),"",INDEX(C$4:C$114,MATCH(ROW()-3,D$4:D$114,0)))</f>
        <v/>
      </c>
    </row>
    <row r="91">
      <c r="A91">
        <f>IF(INDEX('Final Calculation Sheet'!$B$4:$B$40,ROW()-77)="","",INDEX('Final Calculation Sheet'!$B$4:$B$40,ROW()-77))</f>
        <v/>
      </c>
      <c r="B91">
        <f>IF(A91="","",COUNTIFS(A$4:A$114,"&lt;"&amp;A91,A$4:A$114,"&lt;&gt;"&amp;"")+COUNTIF(A$4:A91,A91))</f>
        <v/>
      </c>
      <c r="C91">
        <f>IF(ROW()-3&gt;COUNTIF(A$4:A$114,"&lt;&gt;"&amp;""),"",INDEX(A$4:A$114,MATCH(ROW()-3,B$4:B$114,0)))</f>
        <v/>
      </c>
      <c r="D91">
        <f>D90+IF(AND(C91&lt;&gt;"",COUNTIF(C$4:C91,C91)=1),1,0)</f>
        <v/>
      </c>
      <c r="E91">
        <f>IF(ROW()-3&gt;MAX(D$4:D$114),"",INDEX(C$4:C$114,MATCH(ROW()-3,D$4:D$114,0)))</f>
        <v/>
      </c>
    </row>
    <row r="92">
      <c r="A92">
        <f>IF(INDEX('Final Calculation Sheet'!$B$4:$B$40,ROW()-77)="","",INDEX('Final Calculation Sheet'!$B$4:$B$40,ROW()-77))</f>
        <v/>
      </c>
      <c r="B92">
        <f>IF(A92="","",COUNTIFS(A$4:A$114,"&lt;"&amp;A92,A$4:A$114,"&lt;&gt;"&amp;"")+COUNTIF(A$4:A92,A92))</f>
        <v/>
      </c>
      <c r="C92">
        <f>IF(ROW()-3&gt;COUNTIF(A$4:A$114,"&lt;&gt;"&amp;""),"",INDEX(A$4:A$114,MATCH(ROW()-3,B$4:B$114,0)))</f>
        <v/>
      </c>
      <c r="D92">
        <f>D91+IF(AND(C92&lt;&gt;"",COUNTIF(C$4:C92,C92)=1),1,0)</f>
        <v/>
      </c>
      <c r="E92">
        <f>IF(ROW()-3&gt;MAX(D$4:D$114),"",INDEX(C$4:C$114,MATCH(ROW()-3,D$4:D$114,0)))</f>
        <v/>
      </c>
    </row>
    <row r="93">
      <c r="A93">
        <f>IF(INDEX('Final Calculation Sheet'!$B$4:$B$40,ROW()-77)="","",INDEX('Final Calculation Sheet'!$B$4:$B$40,ROW()-77))</f>
        <v/>
      </c>
      <c r="B93">
        <f>IF(A93="","",COUNTIFS(A$4:A$114,"&lt;"&amp;A93,A$4:A$114,"&lt;&gt;"&amp;"")+COUNTIF(A$4:A93,A93))</f>
        <v/>
      </c>
      <c r="C93">
        <f>IF(ROW()-3&gt;COUNTIF(A$4:A$114,"&lt;&gt;"&amp;""),"",INDEX(A$4:A$114,MATCH(ROW()-3,B$4:B$114,0)))</f>
        <v/>
      </c>
      <c r="D93">
        <f>D92+IF(AND(C93&lt;&gt;"",COUNTIF(C$4:C93,C93)=1),1,0)</f>
        <v/>
      </c>
      <c r="E93">
        <f>IF(ROW()-3&gt;MAX(D$4:D$114),"",INDEX(C$4:C$114,MATCH(ROW()-3,D$4:D$114,0)))</f>
        <v/>
      </c>
    </row>
    <row r="94">
      <c r="A94">
        <f>IF(INDEX('Final Calculation Sheet'!$B$4:$B$40,ROW()-77)="","",INDEX('Final Calculation Sheet'!$B$4:$B$40,ROW()-77))</f>
        <v/>
      </c>
      <c r="B94">
        <f>IF(A94="","",COUNTIFS(A$4:A$114,"&lt;"&amp;A94,A$4:A$114,"&lt;&gt;"&amp;"")+COUNTIF(A$4:A94,A94))</f>
        <v/>
      </c>
      <c r="C94">
        <f>IF(ROW()-3&gt;COUNTIF(A$4:A$114,"&lt;&gt;"&amp;""),"",INDEX(A$4:A$114,MATCH(ROW()-3,B$4:B$114,0)))</f>
        <v/>
      </c>
      <c r="D94">
        <f>D93+IF(AND(C94&lt;&gt;"",COUNTIF(C$4:C94,C94)=1),1,0)</f>
        <v/>
      </c>
      <c r="E94">
        <f>IF(ROW()-3&gt;MAX(D$4:D$114),"",INDEX(C$4:C$114,MATCH(ROW()-3,D$4:D$114,0)))</f>
        <v/>
      </c>
    </row>
    <row r="95">
      <c r="A95">
        <f>IF(INDEX('Final Calculation Sheet'!$B$4:$B$40,ROW()-77)="","",INDEX('Final Calculation Sheet'!$B$4:$B$40,ROW()-77))</f>
        <v/>
      </c>
      <c r="B95">
        <f>IF(A95="","",COUNTIFS(A$4:A$114,"&lt;"&amp;A95,A$4:A$114,"&lt;&gt;"&amp;"")+COUNTIF(A$4:A95,A95))</f>
        <v/>
      </c>
      <c r="C95">
        <f>IF(ROW()-3&gt;COUNTIF(A$4:A$114,"&lt;&gt;"&amp;""),"",INDEX(A$4:A$114,MATCH(ROW()-3,B$4:B$114,0)))</f>
        <v/>
      </c>
      <c r="D95">
        <f>D94+IF(AND(C95&lt;&gt;"",COUNTIF(C$4:C95,C95)=1),1,0)</f>
        <v/>
      </c>
      <c r="E95">
        <f>IF(ROW()-3&gt;MAX(D$4:D$114),"",INDEX(C$4:C$114,MATCH(ROW()-3,D$4:D$114,0)))</f>
        <v/>
      </c>
    </row>
    <row r="96">
      <c r="A96">
        <f>IF(INDEX('Final Calculation Sheet'!$B$4:$B$40,ROW()-77)="","",INDEX('Final Calculation Sheet'!$B$4:$B$40,ROW()-77))</f>
        <v/>
      </c>
      <c r="B96">
        <f>IF(A96="","",COUNTIFS(A$4:A$114,"&lt;"&amp;A96,A$4:A$114,"&lt;&gt;"&amp;"")+COUNTIF(A$4:A96,A96))</f>
        <v/>
      </c>
      <c r="C96">
        <f>IF(ROW()-3&gt;COUNTIF(A$4:A$114,"&lt;&gt;"&amp;""),"",INDEX(A$4:A$114,MATCH(ROW()-3,B$4:B$114,0)))</f>
        <v/>
      </c>
      <c r="D96">
        <f>D95+IF(AND(C96&lt;&gt;"",COUNTIF(C$4:C96,C96)=1),1,0)</f>
        <v/>
      </c>
      <c r="E96">
        <f>IF(ROW()-3&gt;MAX(D$4:D$114),"",INDEX(C$4:C$114,MATCH(ROW()-3,D$4:D$114,0)))</f>
        <v/>
      </c>
    </row>
    <row r="97">
      <c r="A97">
        <f>IF(INDEX('Final Calculation Sheet'!$B$4:$B$40,ROW()-77)="","",INDEX('Final Calculation Sheet'!$B$4:$B$40,ROW()-77))</f>
        <v/>
      </c>
      <c r="B97">
        <f>IF(A97="","",COUNTIFS(A$4:A$114,"&lt;"&amp;A97,A$4:A$114,"&lt;&gt;"&amp;"")+COUNTIF(A$4:A97,A97))</f>
        <v/>
      </c>
      <c r="C97">
        <f>IF(ROW()-3&gt;COUNTIF(A$4:A$114,"&lt;&gt;"&amp;""),"",INDEX(A$4:A$114,MATCH(ROW()-3,B$4:B$114,0)))</f>
        <v/>
      </c>
      <c r="D97">
        <f>D96+IF(AND(C97&lt;&gt;"",COUNTIF(C$4:C97,C97)=1),1,0)</f>
        <v/>
      </c>
      <c r="E97">
        <f>IF(ROW()-3&gt;MAX(D$4:D$114),"",INDEX(C$4:C$114,MATCH(ROW()-3,D$4:D$114,0)))</f>
        <v/>
      </c>
    </row>
    <row r="98">
      <c r="A98">
        <f>IF(INDEX('Final Calculation Sheet'!$B$4:$B$40,ROW()-77)="","",INDEX('Final Calculation Sheet'!$B$4:$B$40,ROW()-77))</f>
        <v/>
      </c>
      <c r="B98">
        <f>IF(A98="","",COUNTIFS(A$4:A$114,"&lt;"&amp;A98,A$4:A$114,"&lt;&gt;"&amp;"")+COUNTIF(A$4:A98,A98))</f>
        <v/>
      </c>
      <c r="C98">
        <f>IF(ROW()-3&gt;COUNTIF(A$4:A$114,"&lt;&gt;"&amp;""),"",INDEX(A$4:A$114,MATCH(ROW()-3,B$4:B$114,0)))</f>
        <v/>
      </c>
      <c r="D98">
        <f>D97+IF(AND(C98&lt;&gt;"",COUNTIF(C$4:C98,C98)=1),1,0)</f>
        <v/>
      </c>
      <c r="E98">
        <f>IF(ROW()-3&gt;MAX(D$4:D$114),"",INDEX(C$4:C$114,MATCH(ROW()-3,D$4:D$114,0)))</f>
        <v/>
      </c>
    </row>
    <row r="99">
      <c r="A99">
        <f>IF(INDEX('Final Calculation Sheet'!$B$4:$B$40,ROW()-77)="","",INDEX('Final Calculation Sheet'!$B$4:$B$40,ROW()-77))</f>
        <v/>
      </c>
      <c r="B99">
        <f>IF(A99="","",COUNTIFS(A$4:A$114,"&lt;"&amp;A99,A$4:A$114,"&lt;&gt;"&amp;"")+COUNTIF(A$4:A99,A99))</f>
        <v/>
      </c>
      <c r="C99">
        <f>IF(ROW()-3&gt;COUNTIF(A$4:A$114,"&lt;&gt;"&amp;""),"",INDEX(A$4:A$114,MATCH(ROW()-3,B$4:B$114,0)))</f>
        <v/>
      </c>
      <c r="D99">
        <f>D98+IF(AND(C99&lt;&gt;"",COUNTIF(C$4:C99,C99)=1),1,0)</f>
        <v/>
      </c>
      <c r="E99">
        <f>IF(ROW()-3&gt;MAX(D$4:D$114),"",INDEX(C$4:C$114,MATCH(ROW()-3,D$4:D$114,0)))</f>
        <v/>
      </c>
    </row>
    <row r="100">
      <c r="A100">
        <f>IF(INDEX('Final Calculation Sheet'!$B$4:$B$40,ROW()-77)="","",INDEX('Final Calculation Sheet'!$B$4:$B$40,ROW()-77))</f>
        <v/>
      </c>
      <c r="B100">
        <f>IF(A100="","",COUNTIFS(A$4:A$114,"&lt;"&amp;A100,A$4:A$114,"&lt;&gt;"&amp;"")+COUNTIF(A$4:A100,A100))</f>
        <v/>
      </c>
      <c r="C100">
        <f>IF(ROW()-3&gt;COUNTIF(A$4:A$114,"&lt;&gt;"&amp;""),"",INDEX(A$4:A$114,MATCH(ROW()-3,B$4:B$114,0)))</f>
        <v/>
      </c>
      <c r="D100">
        <f>D99+IF(AND(C100&lt;&gt;"",COUNTIF(C$4:C100,C100)=1),1,0)</f>
        <v/>
      </c>
      <c r="E100">
        <f>IF(ROW()-3&gt;MAX(D$4:D$114),"",INDEX(C$4:C$114,MATCH(ROW()-3,D$4:D$114,0)))</f>
        <v/>
      </c>
    </row>
    <row r="101">
      <c r="A101">
        <f>IF(INDEX('Final Calculation Sheet'!$B$4:$B$40,ROW()-77)="","",INDEX('Final Calculation Sheet'!$B$4:$B$40,ROW()-77))</f>
        <v/>
      </c>
      <c r="B101">
        <f>IF(A101="","",COUNTIFS(A$4:A$114,"&lt;"&amp;A101,A$4:A$114,"&lt;&gt;"&amp;"")+COUNTIF(A$4:A101,A101))</f>
        <v/>
      </c>
      <c r="C101">
        <f>IF(ROW()-3&gt;COUNTIF(A$4:A$114,"&lt;&gt;"&amp;""),"",INDEX(A$4:A$114,MATCH(ROW()-3,B$4:B$114,0)))</f>
        <v/>
      </c>
      <c r="D101">
        <f>D100+IF(AND(C101&lt;&gt;"",COUNTIF(C$4:C101,C101)=1),1,0)</f>
        <v/>
      </c>
      <c r="E101">
        <f>IF(ROW()-3&gt;MAX(D$4:D$114),"",INDEX(C$4:C$114,MATCH(ROW()-3,D$4:D$114,0)))</f>
        <v/>
      </c>
    </row>
    <row r="102">
      <c r="A102">
        <f>IF(INDEX('Final Calculation Sheet'!$B$4:$B$40,ROW()-77)="","",INDEX('Final Calculation Sheet'!$B$4:$B$40,ROW()-77))</f>
        <v/>
      </c>
      <c r="B102">
        <f>IF(A102="","",COUNTIFS(A$4:A$114,"&lt;"&amp;A102,A$4:A$114,"&lt;&gt;"&amp;"")+COUNTIF(A$4:A102,A102))</f>
        <v/>
      </c>
      <c r="C102">
        <f>IF(ROW()-3&gt;COUNTIF(A$4:A$114,"&lt;&gt;"&amp;""),"",INDEX(A$4:A$114,MATCH(ROW()-3,B$4:B$114,0)))</f>
        <v/>
      </c>
      <c r="D102">
        <f>D101+IF(AND(C102&lt;&gt;"",COUNTIF(C$4:C102,C102)=1),1,0)</f>
        <v/>
      </c>
      <c r="E102">
        <f>IF(ROW()-3&gt;MAX(D$4:D$114),"",INDEX(C$4:C$114,MATCH(ROW()-3,D$4:D$114,0)))</f>
        <v/>
      </c>
    </row>
    <row r="103">
      <c r="A103">
        <f>IF(INDEX('Final Calculation Sheet'!$B$4:$B$40,ROW()-77)="","",INDEX('Final Calculation Sheet'!$B$4:$B$40,ROW()-77))</f>
        <v/>
      </c>
      <c r="B103">
        <f>IF(A103="","",COUNTIFS(A$4:A$114,"&lt;"&amp;A103,A$4:A$114,"&lt;&gt;"&amp;"")+COUNTIF(A$4:A103,A103))</f>
        <v/>
      </c>
      <c r="C103">
        <f>IF(ROW()-3&gt;COUNTIF(A$4:A$114,"&lt;&gt;"&amp;""),"",INDEX(A$4:A$114,MATCH(ROW()-3,B$4:B$114,0)))</f>
        <v/>
      </c>
      <c r="D103">
        <f>D102+IF(AND(C103&lt;&gt;"",COUNTIF(C$4:C103,C103)=1),1,0)</f>
        <v/>
      </c>
      <c r="E103">
        <f>IF(ROW()-3&gt;MAX(D$4:D$114),"",INDEX(C$4:C$114,MATCH(ROW()-3,D$4:D$114,0)))</f>
        <v/>
      </c>
    </row>
    <row r="104">
      <c r="A104">
        <f>IF(INDEX('Final Calculation Sheet'!$B$4:$B$40,ROW()-77)="","",INDEX('Final Calculation Sheet'!$B$4:$B$40,ROW()-77))</f>
        <v/>
      </c>
      <c r="B104">
        <f>IF(A104="","",COUNTIFS(A$4:A$114,"&lt;"&amp;A104,A$4:A$114,"&lt;&gt;"&amp;"")+COUNTIF(A$4:A104,A104))</f>
        <v/>
      </c>
      <c r="C104">
        <f>IF(ROW()-3&gt;COUNTIF(A$4:A$114,"&lt;&gt;"&amp;""),"",INDEX(A$4:A$114,MATCH(ROW()-3,B$4:B$114,0)))</f>
        <v/>
      </c>
      <c r="D104">
        <f>D103+IF(AND(C104&lt;&gt;"",COUNTIF(C$4:C104,C104)=1),1,0)</f>
        <v/>
      </c>
      <c r="E104">
        <f>IF(ROW()-3&gt;MAX(D$4:D$114),"",INDEX(C$4:C$114,MATCH(ROW()-3,D$4:D$114,0)))</f>
        <v/>
      </c>
    </row>
    <row r="105">
      <c r="A105">
        <f>IF(INDEX('Final Calculation Sheet'!$B$4:$B$40,ROW()-77)="","",INDEX('Final Calculation Sheet'!$B$4:$B$40,ROW()-77))</f>
        <v/>
      </c>
      <c r="B105">
        <f>IF(A105="","",COUNTIFS(A$4:A$114,"&lt;"&amp;A105,A$4:A$114,"&lt;&gt;"&amp;"")+COUNTIF(A$4:A105,A105))</f>
        <v/>
      </c>
      <c r="C105">
        <f>IF(ROW()-3&gt;COUNTIF(A$4:A$114,"&lt;&gt;"&amp;""),"",INDEX(A$4:A$114,MATCH(ROW()-3,B$4:B$114,0)))</f>
        <v/>
      </c>
      <c r="D105">
        <f>D104+IF(AND(C105&lt;&gt;"",COUNTIF(C$4:C105,C105)=1),1,0)</f>
        <v/>
      </c>
      <c r="E105">
        <f>IF(ROW()-3&gt;MAX(D$4:D$114),"",INDEX(C$4:C$114,MATCH(ROW()-3,D$4:D$114,0)))</f>
        <v/>
      </c>
    </row>
    <row r="106">
      <c r="A106">
        <f>IF(INDEX('Final Calculation Sheet'!$B$4:$B$40,ROW()-77)="","",INDEX('Final Calculation Sheet'!$B$4:$B$40,ROW()-77))</f>
        <v/>
      </c>
      <c r="B106">
        <f>IF(A106="","",COUNTIFS(A$4:A$114,"&lt;"&amp;A106,A$4:A$114,"&lt;&gt;"&amp;"")+COUNTIF(A$4:A106,A106))</f>
        <v/>
      </c>
      <c r="C106">
        <f>IF(ROW()-3&gt;COUNTIF(A$4:A$114,"&lt;&gt;"&amp;""),"",INDEX(A$4:A$114,MATCH(ROW()-3,B$4:B$114,0)))</f>
        <v/>
      </c>
      <c r="D106">
        <f>D105+IF(AND(C106&lt;&gt;"",COUNTIF(C$4:C106,C106)=1),1,0)</f>
        <v/>
      </c>
      <c r="E106">
        <f>IF(ROW()-3&gt;MAX(D$4:D$114),"",INDEX(C$4:C$114,MATCH(ROW()-3,D$4:D$114,0)))</f>
        <v/>
      </c>
    </row>
    <row r="107">
      <c r="A107">
        <f>IF(INDEX('Final Calculation Sheet'!$B$4:$B$40,ROW()-77)="","",INDEX('Final Calculation Sheet'!$B$4:$B$40,ROW()-77))</f>
        <v/>
      </c>
      <c r="B107">
        <f>IF(A107="","",COUNTIFS(A$4:A$114,"&lt;"&amp;A107,A$4:A$114,"&lt;&gt;"&amp;"")+COUNTIF(A$4:A107,A107))</f>
        <v/>
      </c>
      <c r="C107">
        <f>IF(ROW()-3&gt;COUNTIF(A$4:A$114,"&lt;&gt;"&amp;""),"",INDEX(A$4:A$114,MATCH(ROW()-3,B$4:B$114,0)))</f>
        <v/>
      </c>
      <c r="D107">
        <f>D106+IF(AND(C107&lt;&gt;"",COUNTIF(C$4:C107,C107)=1),1,0)</f>
        <v/>
      </c>
      <c r="E107">
        <f>IF(ROW()-3&gt;MAX(D$4:D$114),"",INDEX(C$4:C$114,MATCH(ROW()-3,D$4:D$114,0)))</f>
        <v/>
      </c>
    </row>
    <row r="108">
      <c r="A108">
        <f>IF(INDEX('Final Calculation Sheet'!$B$4:$B$40,ROW()-77)="","",INDEX('Final Calculation Sheet'!$B$4:$B$40,ROW()-77))</f>
        <v/>
      </c>
      <c r="B108">
        <f>IF(A108="","",COUNTIFS(A$4:A$114,"&lt;"&amp;A108,A$4:A$114,"&lt;&gt;"&amp;"")+COUNTIF(A$4:A108,A108))</f>
        <v/>
      </c>
      <c r="C108">
        <f>IF(ROW()-3&gt;COUNTIF(A$4:A$114,"&lt;&gt;"&amp;""),"",INDEX(A$4:A$114,MATCH(ROW()-3,B$4:B$114,0)))</f>
        <v/>
      </c>
      <c r="D108">
        <f>D107+IF(AND(C108&lt;&gt;"",COUNTIF(C$4:C108,C108)=1),1,0)</f>
        <v/>
      </c>
      <c r="E108">
        <f>IF(ROW()-3&gt;MAX(D$4:D$114),"",INDEX(C$4:C$114,MATCH(ROW()-3,D$4:D$114,0)))</f>
        <v/>
      </c>
    </row>
    <row r="109">
      <c r="A109">
        <f>IF(INDEX('Final Calculation Sheet'!$B$4:$B$40,ROW()-77)="","",INDEX('Final Calculation Sheet'!$B$4:$B$40,ROW()-77))</f>
        <v/>
      </c>
      <c r="B109">
        <f>IF(A109="","",COUNTIFS(A$4:A$114,"&lt;"&amp;A109,A$4:A$114,"&lt;&gt;"&amp;"")+COUNTIF(A$4:A109,A109))</f>
        <v/>
      </c>
      <c r="C109">
        <f>IF(ROW()-3&gt;COUNTIF(A$4:A$114,"&lt;&gt;"&amp;""),"",INDEX(A$4:A$114,MATCH(ROW()-3,B$4:B$114,0)))</f>
        <v/>
      </c>
      <c r="D109">
        <f>D108+IF(AND(C109&lt;&gt;"",COUNTIF(C$4:C109,C109)=1),1,0)</f>
        <v/>
      </c>
      <c r="E109">
        <f>IF(ROW()-3&gt;MAX(D$4:D$114),"",INDEX(C$4:C$114,MATCH(ROW()-3,D$4:D$114,0)))</f>
        <v/>
      </c>
    </row>
    <row r="110">
      <c r="A110">
        <f>IF(INDEX('Final Calculation Sheet'!$B$4:$B$40,ROW()-77)="","",INDEX('Final Calculation Sheet'!$B$4:$B$40,ROW()-77))</f>
        <v/>
      </c>
      <c r="B110">
        <f>IF(A110="","",COUNTIFS(A$4:A$114,"&lt;"&amp;A110,A$4:A$114,"&lt;&gt;"&amp;"")+COUNTIF(A$4:A110,A110))</f>
        <v/>
      </c>
      <c r="C110">
        <f>IF(ROW()-3&gt;COUNTIF(A$4:A$114,"&lt;&gt;"&amp;""),"",INDEX(A$4:A$114,MATCH(ROW()-3,B$4:B$114,0)))</f>
        <v/>
      </c>
      <c r="D110">
        <f>D109+IF(AND(C110&lt;&gt;"",COUNTIF(C$4:C110,C110)=1),1,0)</f>
        <v/>
      </c>
      <c r="E110">
        <f>IF(ROW()-3&gt;MAX(D$4:D$114),"",INDEX(C$4:C$114,MATCH(ROW()-3,D$4:D$114,0)))</f>
        <v/>
      </c>
    </row>
    <row r="111">
      <c r="A111">
        <f>IF(INDEX('Final Calculation Sheet'!$B$4:$B$40,ROW()-77)="","",INDEX('Final Calculation Sheet'!$B$4:$B$40,ROW()-77))</f>
        <v/>
      </c>
      <c r="B111">
        <f>IF(A111="","",COUNTIFS(A$4:A$114,"&lt;"&amp;A111,A$4:A$114,"&lt;&gt;"&amp;"")+COUNTIF(A$4:A111,A111))</f>
        <v/>
      </c>
      <c r="C111">
        <f>IF(ROW()-3&gt;COUNTIF(A$4:A$114,"&lt;&gt;"&amp;""),"",INDEX(A$4:A$114,MATCH(ROW()-3,B$4:B$114,0)))</f>
        <v/>
      </c>
      <c r="D111">
        <f>D110+IF(AND(C111&lt;&gt;"",COUNTIF(C$4:C111,C111)=1),1,0)</f>
        <v/>
      </c>
      <c r="E111">
        <f>IF(ROW()-3&gt;MAX(D$4:D$114),"",INDEX(C$4:C$114,MATCH(ROW()-3,D$4:D$114,0)))</f>
        <v/>
      </c>
    </row>
    <row r="112">
      <c r="A112">
        <f>IF(INDEX('Final Calculation Sheet'!$B$4:$B$40,ROW()-77)="","",INDEX('Final Calculation Sheet'!$B$4:$B$40,ROW()-77))</f>
        <v/>
      </c>
      <c r="B112">
        <f>IF(A112="","",COUNTIFS(A$4:A$114,"&lt;"&amp;A112,A$4:A$114,"&lt;&gt;"&amp;"")+COUNTIF(A$4:A112,A112))</f>
        <v/>
      </c>
      <c r="C112">
        <f>IF(ROW()-3&gt;COUNTIF(A$4:A$114,"&lt;&gt;"&amp;""),"",INDEX(A$4:A$114,MATCH(ROW()-3,B$4:B$114,0)))</f>
        <v/>
      </c>
      <c r="D112">
        <f>D111+IF(AND(C112&lt;&gt;"",COUNTIF(C$4:C112,C112)=1),1,0)</f>
        <v/>
      </c>
      <c r="E112">
        <f>IF(ROW()-3&gt;MAX(D$4:D$114),"",INDEX(C$4:C$114,MATCH(ROW()-3,D$4:D$114,0)))</f>
        <v/>
      </c>
    </row>
    <row r="113">
      <c r="A113">
        <f>IF(INDEX('Final Calculation Sheet'!$B$4:$B$40,ROW()-77)="","",INDEX('Final Calculation Sheet'!$B$4:$B$40,ROW()-77))</f>
        <v/>
      </c>
      <c r="B113">
        <f>IF(A113="","",COUNTIFS(A$4:A$114,"&lt;"&amp;A113,A$4:A$114,"&lt;&gt;"&amp;"")+COUNTIF(A$4:A113,A113))</f>
        <v/>
      </c>
      <c r="C113">
        <f>IF(ROW()-3&gt;COUNTIF(A$4:A$114,"&lt;&gt;"&amp;""),"",INDEX(A$4:A$114,MATCH(ROW()-3,B$4:B$114,0)))</f>
        <v/>
      </c>
      <c r="D113">
        <f>D112+IF(AND(C113&lt;&gt;"",COUNTIF(C$4:C113,C113)=1),1,0)</f>
        <v/>
      </c>
      <c r="E113">
        <f>IF(ROW()-3&gt;MAX(D$4:D$114),"",INDEX(C$4:C$114,MATCH(ROW()-3,D$4:D$114,0)))</f>
        <v/>
      </c>
    </row>
    <row r="114">
      <c r="A114">
        <f>IF(INDEX('Final Calculation Sheet'!$B$4:$B$40,ROW()-77)="","",INDEX('Final Calculation Sheet'!$B$4:$B$40,ROW()-77))</f>
        <v/>
      </c>
      <c r="B114">
        <f>IF(A114="","",COUNTIFS(A$4:A$114,"&lt;"&amp;A114,A$4:A$114,"&lt;&gt;"&amp;"")+COUNTIF(A$4:A114,A114))</f>
        <v/>
      </c>
      <c r="C114">
        <f>IF(ROW()-3&gt;COUNTIF(A$4:A$114,"&lt;&gt;"&amp;""),"",INDEX(A$4:A$114,MATCH(ROW()-3,B$4:B$114,0)))</f>
        <v/>
      </c>
      <c r="D114">
        <f>D113+IF(AND(C114&lt;&gt;"",COUNTIF(C$4:C114,C114)=1),1,0)</f>
        <v/>
      </c>
      <c r="E114">
        <f>IF(ROW()-3&gt;MAX(D$4:D$114),"",INDEX(C$4:C$114,MATCH(ROW()-3,D$4:D$114,0)))</f>
        <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f>IF($BJ5&gt;0,INDEX($BA$5:$BA$41,MATCH(5,$BB$5:$BB$41,0)),IF(OR($BI5=1,$BL5=1,$BH5&gt;0),"∑",""))</f>
        <v/>
      </c>
      <c r="B2">
        <f>IF($BJ5&gt;0,IF(INDEX('Final Calculation Sheet'!$F$4:$F$40,$BJ5-3)="","",INDEX('Final Calculation Sheet'!$F$4:$F$40,$BJ5-3)),"")</f>
        <v/>
      </c>
      <c r="C2">
        <f>IF($BJ5&gt;0,IF(INDEX('Final Calculation Sheet'!$G$4:$G$40,$BJ5-3)="","",INDEX('Final Calculation Sheet'!$G$4:$G$40,$BJ5-3)),IF(OR($BI5=1,$BL5=1,$BH5&gt;0),IF($BI5=1,37,IF($BL5=1,37-INDEX($BD$4:$BD$13,10),INDEX($BD$4:$BD$13,$BH5)))&amp;" lot(s)",""))</f>
        <v/>
      </c>
      <c r="D2">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f>IF($BJ5&gt;0,IF(INDEX('Final Calculation Sheet'!$D$4:$D$40,$BJ5-3)="","",INDEX('Final Calculation Sheet'!$D$4:$D$40,$BJ5-3)),IF(OR($BI5=1,$BL5=1,$BH5&gt;0),"–",""))</f>
        <v/>
      </c>
      <c r="F2">
        <f>IF($BJ5&gt;0,IF(INDEX('Final Calculation Sheet'!$A$4:$A$40,$BJ5-3)="","",INDEX('Final Calculation Sheet'!$A$4:$A$40,$BJ5-3)),IF(OR($BI5=1,$BL5=1,$BH5&gt;0),IF($BI5=1,SUM('Final Calculation Sheet'!$A$4:$A$40),IF($BL5=1,SUM('Final Calculation Sheet'!$A$4:$A$40)-SUMIFS('Final Calculation Sheet'!$A$4:$A$40,$AZ$5:$AZ$41,10),SUMIFS('Final Calculation Sheet'!$A$4:$A$40,$AZ$5:$AZ$41,$BH5))),""))</f>
        <v/>
      </c>
      <c r="G2">
        <f>IF($BJ5&gt;0,IF(INDEX('Final Calculation Sheet'!$E$4:$E$40,$BJ5-3)="","",INDEX('Final Calculation Sheet'!$E$4:$E$40,$BJ5-3)),IF(OR($BI5=1,$BL5=1,$BH5&gt;0),"–",""))</f>
        <v/>
      </c>
      <c r="H2">
        <f>IF($BJ5&gt;0,IF(INDEX('Final Calculation Sheet'!$C$4:$C$40,$BJ5-3)="","",INDEX('Final Calculation Sheet'!$C$4:$C$40,$BJ5-3)),IF(OR($BI5=1,$BL5=1,$BH5&gt;0),"–",""))</f>
        <v/>
      </c>
      <c r="I2">
        <f>IF($BJ5&gt;0,IF(INDEX('Final Calculation Sheet'!$H$4:$H$40,$BJ5-3)="","",INDEX('Final Calculation Sheet'!$H$4:$H$40,$BJ5-3)),IF(OR($BI5=1,$BL5=1,$BH5&gt;0),IF($BI5=1,SUM('Final Calculation Sheet'!$H$4:$H$40),IF($BL5=1,SUM('Final Calculation Sheet'!$H$4:$H$40)-SUMIFS('Final Calculation Sheet'!$H$4:$H$40,$AZ$5:$AZ$41,10),SUMIFS('Final Calculation Sheet'!$H$4:$H$40,$AZ$5:$AZ$41,$BH5))),""))</f>
        <v/>
      </c>
      <c r="J2">
        <f>IF($BJ5&gt;0,IF(INDEX('Final Calculation Sheet'!$I$4:$I$40,$BJ5-3)="","",INDEX('Final Calculation Sheet'!$I$4:$I$40,$BJ5-3)),IF(OR($BI5=1,$BL5=1,$BH5&gt;0),IF($BI5=1,SUM('Final Calculation Sheet'!$I$4:$I$40),IF($BL5=1,SUM('Final Calculation Sheet'!$I$4:$I$40)-SUMIFS('Final Calculation Sheet'!$I$4:$I$40,$AZ$5:$AZ$41,10),SUMIFS('Final Calculation Sheet'!$I$4:$I$40,$AZ$5:$AZ$41,$BH5))),""))</f>
        <v/>
      </c>
      <c r="K2">
        <f>IF($BJ5&gt;0,IF(INDEX('Final Calculation Sheet'!$J$4:$J$40,$BJ5-3)="","",INDEX('Final Calculation Sheet'!$J$4:$J$40,$BJ5-3)),IF(OR($BI5=1,$BL5=1,$BH5&gt;0),IF($BI5=1,SUM('Final Calculation Sheet'!$J$4:$J$40),IF($BL5=1,SUM('Final Calculation Sheet'!$J$4:$J$40)-SUMIFS('Final Calculation Sheet'!$J$4:$J$40,$AZ$5:$AZ$41,10),SUMIFS('Final Calculation Sheet'!$J$4:$J$40,$AZ$5:$AZ$41,$BH5))),""))</f>
        <v/>
      </c>
      <c r="L2">
        <f>IF($BJ5&gt;0,IF(INDEX('Final Calculation Sheet'!$K$4:$K$40,$BJ5-3)="","",INDEX('Final Calculation Sheet'!$K$4:$K$40,$BJ5-3)),IF(OR($BI5=1,$BL5=1,$BH5&gt;0),IF($BI5=1,SUM('Final Calculation Sheet'!$K$4:$K$40),IF($BL5=1,SUM('Final Calculation Sheet'!$K$4:$K$40)-SUMIFS('Final Calculation Sheet'!$K$4:$K$40,$AZ$5:$AZ$41,10),SUMIFS('Final Calculation Sheet'!$K$4:$K$40,$AZ$5:$AZ$41,$BH5))),""))</f>
        <v/>
      </c>
      <c r="M2">
        <f>IF($BJ5&gt;0,IF(INDEX('Final Calculation Sheet'!$L$4:$L$40,$BJ5-3)="","",INDEX('Final Calculation Sheet'!$L$4:$L$40,$BJ5-3)),IF(OR($BI5=1,$BL5=1,$BH5&gt;0),IF($BI5=1,SUM('Final Calculation Sheet'!$L$4:$L$40),IF($BL5=1,SUM('Final Calculation Sheet'!$L$4:$L$40)-SUMIFS('Final Calculation Sheet'!$L$4:$L$40,$AZ$5:$AZ$41,10),SUMIFS('Final Calculation Sheet'!$L$4:$L$40,$AZ$5:$AZ$41,$BH5))),""))</f>
        <v/>
      </c>
      <c r="N2">
        <f>IF($BJ5&gt;0,IF(INDEX('Final Calculation Sheet'!$M$4:$M$40,$BJ5-3)="","",INDEX('Final Calculation Sheet'!$M$4:$M$40,$BJ5-3)),IF(OR($BI5=1,$BL5=1,$BH5&gt;0),IF($BI5=1,SUM('Final Calculation Sheet'!$M$4:$M$40),IF($BL5=1,SUM('Final Calculation Sheet'!$M$4:$M$40)-SUMIFS('Final Calculation Sheet'!$M$4:$M$40,$AZ$5:$AZ$41,10),SUMIFS('Final Calculation Sheet'!$M$4:$M$40,$AZ$5:$AZ$41,$BH5))),""))</f>
        <v/>
      </c>
      <c r="O2">
        <f>IF($BJ5&gt;0,IF(INDEX('Final Calculation Sheet'!$N$4:$N$40,$BJ5-3)="","",INDEX('Final Calculation Sheet'!$N$4:$N$40,$BJ5-3)),IF(OR($BI5=1,$BL5=1,$BH5&gt;0),IF($BI5=1,SUM('Final Calculation Sheet'!$N$4:$N$40),IF($BL5=1,SUM('Final Calculation Sheet'!$N$4:$N$40)-SUMIFS('Final Calculation Sheet'!$N$4:$N$40,$AZ$5:$AZ$41,10),SUMIFS('Final Calculation Sheet'!$N$4:$N$40,$AZ$5:$AZ$41,$BH5))),""))</f>
        <v/>
      </c>
      <c r="P2">
        <f>IF($BJ5&gt;0,IF(INDEX('Final Calculation Sheet'!$O$4:$O$40,$BJ5-3)="","",INDEX('Final Calculation Sheet'!$O$4:$O$40,$BJ5-3)),IF(OR($BI5=1,$BL5=1,$BH5&gt;0),IF($BI5=1,SUM('Final Calculation Sheet'!$O$4:$O$40),IF($BL5=1,SUM('Final Calculation Sheet'!$O$4:$O$40)-SUMIFS('Final Calculation Sheet'!$O$4:$O$40,$AZ$5:$AZ$41,10),SUMIFS('Final Calculation Sheet'!$O$4:$O$40,$AZ$5:$AZ$41,$BH5))),""))</f>
        <v/>
      </c>
      <c r="Q2">
        <f>IF($BJ5&gt;0,IF(INDEX('Final Calculation Sheet'!$P$4:$P$40,$BJ5-3)="","",INDEX('Final Calculation Sheet'!$P$4:$P$40,$BJ5-3)),IF(OR($BI5=1,$BL5=1,$BH5&gt;0),IF($BI5=1,SUM('Final Calculation Sheet'!$P$4:$P$40),IF($BL5=1,SUM('Final Calculation Sheet'!$P$4:$P$40)-SUMIFS('Final Calculation Sheet'!$P$4:$P$40,$AZ$5:$AZ$41,10),SUMIFS('Final Calculation Sheet'!$P$4:$P$40,$AZ$5:$AZ$41,$BH5))),""))</f>
        <v/>
      </c>
      <c r="R2">
        <f>IF($BJ5&gt;0,IF(INDEX('Final Calculation Sheet'!$Q$4:$Q$40,$BJ5-3)="","",INDEX('Final Calculation Sheet'!$Q$4:$Q$40,$BJ5-3)),IF(OR($BI5=1,$BL5=1,$BH5&gt;0),"–",""))</f>
        <v/>
      </c>
      <c r="S2">
        <f>IF($BJ5&gt;0,IF(INDEX('Final Calculation Sheet'!$R$4:$R$40,$BJ5-3)="","",INDEX('Final Calculation Sheet'!$R$4:$R$40,$BJ5-3)),IF(OR($BI5=1,$BL5=1,$BH5&gt;0),IF($BI5=1,SUM('Final Calculation Sheet'!$R$4:$R$40),IF($BL5=1,SUM('Final Calculation Sheet'!$R$4:$R$40)-SUMIFS('Final Calculation Sheet'!$R$4:$R$40,$AZ$5:$AZ$41,10),SUMIFS('Final Calculation Sheet'!$R$4:$R$40,$AZ$5:$AZ$41,$BH5))),""))</f>
        <v/>
      </c>
      <c r="T2">
        <f>IF($BJ5&gt;0,IF(INDEX('Final Calculation Sheet'!$S$4:$S$40,$BJ5-3)="","",INDEX('Final Calculation Sheet'!$S$4:$S$40,$BJ5-3)),IF(OR($BI5=1,$BL5=1,$BH5&gt;0),IF($BI5=1,SUM('Final Calculation Sheet'!$S$4:$S$40),IF($BL5=1,SUM('Final Calculation Sheet'!$S$4:$S$40)-SUMIFS('Final Calculation Sheet'!$S$4:$S$40,$AZ$5:$AZ$41,10),SUMIFS('Final Calculation Sheet'!$S$4:$S$40,$AZ$5:$AZ$41,$BH5))),""))</f>
        <v/>
      </c>
      <c r="U2">
        <f>IF($BJ5&gt;0,IF(INDEX('Final Calculation Sheet'!$T$4:$T$40,$BJ5-3)="","",INDEX('Final Calculation Sheet'!$T$4:$T$40,$BJ5-3)),IF(OR($BI5=1,$BL5=1,$BH5&gt;0),IF($BI5=1,SUM('Final Calculation Sheet'!$T$4:$T$40),IF($BL5=1,SUM('Final Calculation Sheet'!$T$4:$T$40)-SUMIFS('Final Calculation Sheet'!$T$4:$T$40,$AZ$5:$AZ$41,10),SUMIFS('Final Calculation Sheet'!$T$4:$T$40,$AZ$5:$AZ$41,$BH5))),""))</f>
        <v/>
      </c>
      <c r="V2">
        <f>IF($BJ5&gt;0,IF(INDEX('Final Calculation Sheet'!$U$4:$U$40,$BJ5-3)="","",INDEX('Final Calculation Sheet'!$U$4:$U$40,$BJ5-3)),IF(OR($BI5=1,$BL5=1,$BH5&gt;0),IF($BI5=1,SUM('Final Calculation Sheet'!$U$4:$U$40),IF($BL5=1,SUM('Final Calculation Sheet'!$U$4:$U$40)-SUMIFS('Final Calculation Sheet'!$U$4:$U$40,$AZ$5:$AZ$41,10),SUMIFS('Final Calculation Sheet'!$U$4:$U$40,$AZ$5:$AZ$41,$BH5))),""))</f>
        <v/>
      </c>
      <c r="W2">
        <f>IF($BJ5&gt;0,IF(INDEX('Final Calculation Sheet'!$V$4:$V$40,$BJ5-3)="","",INDEX('Final Calculation Sheet'!$V$4:$V$40,$BJ5-3)),IF(OR($BI5=1,$BL5=1,$BH5&gt;0),"–",""))</f>
        <v/>
      </c>
      <c r="X2">
        <f>IF($BJ5&gt;0,IF(INDEX('Final Calculation Sheet'!$W$4:$W$40,$BJ5-3)="","",INDEX('Final Calculation Sheet'!$W$4:$W$40,$BJ5-3)),IF(OR($BI5=1,$BL5=1,$BH5&gt;0),IF($BI5=1,SUM('Final Calculation Sheet'!$W$4:$W$40),IF($BL5=1,SUM('Final Calculation Sheet'!$W$4:$W$40)-SUMIFS('Final Calculation Sheet'!$W$4:$W$40,$AZ$5:$AZ$41,10),SUMIFS('Final Calculation Sheet'!$W$4:$W$40,$AZ$5:$AZ$41,$BH5))),""))</f>
        <v/>
      </c>
      <c r="Y2">
        <f>IF($BJ5&gt;0,IF(INDEX('Final Calculation Sheet'!$X$4:$X$40,$BJ5-3)="","",INDEX('Final Calculation Sheet'!$X$4:$X$40,$BJ5-3)),IF(OR($BI5=1,$BL5=1,$BH5&gt;0),IF($BI5=1,SUM('Final Calculation Sheet'!$X$4:$X$40),IF($BL5=1,SUM('Final Calculation Sheet'!$X$4:$X$40)-SUMIFS('Final Calculation Sheet'!$X$4:$X$40,$AZ$5:$AZ$41,10),SUMIFS('Final Calculation Sheet'!$X$4:$X$40,$AZ$5:$AZ$41,$BH5))),""))</f>
        <v/>
      </c>
      <c r="Z2">
        <f>IF($BJ5&gt;0,IF(INDEX('Final Calculation Sheet'!$Y$4:$Y$40,$BJ5-3)="","",INDEX('Final Calculation Sheet'!$Y$4:$Y$40,$BJ5-3)),IF(OR($BI5=1,$BL5=1,$BH5&gt;0),"–",""))</f>
        <v/>
      </c>
      <c r="AA2">
        <f>IF($BJ5&gt;0,IF(INDEX('Final Calculation Sheet'!$Z$4:$Z$40,$BJ5-3)="","",INDEX('Final Calculation Sheet'!$Z$4:$Z$40,$BJ5-3)),IF(OR($BI5=1,$BL5=1,$BH5&gt;0),IF($BI5=1,SUM('Final Calculation Sheet'!$Z$4:$Z$40),IF($BL5=1,SUM('Final Calculation Sheet'!$Z$4:$Z$40)-SUMIFS('Final Calculation Sheet'!$Z$4:$Z$40,$AZ$5:$AZ$41,10),SUMIFS('Final Calculation Sheet'!$Z$4:$Z$40,$AZ$5:$AZ$41,$BH5))),""))</f>
        <v/>
      </c>
      <c r="AB2">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f>IF($BJ5&gt;0,IF(INDEX('Final Calculation Sheet'!$AB$4:$AB$40,$BJ5-3)="","",INDEX('Final Calculation Sheet'!$AB$4:$AB$40,$BJ5-3)),IF(OR($BI5=1,$BL5=1,$BH5&gt;0),"–",""))</f>
        <v/>
      </c>
      <c r="AD2">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f>IF($BJ5&gt;0,IF(INDEX('Final Calculation Sheet'!$AF$4:$AF$40,$BJ5-3)="","",INDEX('Final Calculation Sheet'!$AF$4:$AF$40,$BJ5-3)),IF(OR($BI5=1,$BL5=1,$BH5&gt;0),"–",""))</f>
        <v/>
      </c>
      <c r="AG2">
        <f>IF($BJ5&gt;0,IF(INDEX('Final Calculation Sheet'!$AG$4:$AG$40,$BJ5-3)="","",INDEX('Final Calculation Sheet'!$AG$4:$AG$40,$BJ5-3)),IF(OR($BI5=1,$BL5=1,$BH5&gt;0),"–",""))</f>
        <v/>
      </c>
      <c r="AH2">
        <f>IF($BJ5&gt;0,IF(INDEX('Final Calculation Sheet'!$AH$4:$AH$40,$BJ5-3)="","",INDEX('Final Calculation Sheet'!$AH$4:$AH$40,$BJ5-3)),IF(OR($BI5=1,$BL5=1,$BH5&gt;0),"–",""))</f>
        <v/>
      </c>
      <c r="AI2">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f>IF($BJ6&gt;0,INDEX($BA$5:$BA$41,MATCH(6,$BB$5:$BB$41,0)),IF(OR($BI6=1,$BL6=1,$BH6&gt;0),"∑",""))</f>
        <v/>
      </c>
      <c r="B3">
        <f>IF($BJ6&gt;0,IF(INDEX('Final Calculation Sheet'!$F$4:$F$40,$BJ6-3)="","",INDEX('Final Calculation Sheet'!$F$4:$F$40,$BJ6-3)),"")</f>
        <v/>
      </c>
      <c r="C3">
        <f>IF($BJ6&gt;0,IF(INDEX('Final Calculation Sheet'!$G$4:$G$40,$BJ6-3)="","",INDEX('Final Calculation Sheet'!$G$4:$G$40,$BJ6-3)),IF(OR($BI6=1,$BL6=1,$BH6&gt;0),IF($BI6=1,37,IF($BL6=1,37-INDEX($BD$4:$BD$13,10),INDEX($BD$4:$BD$13,$BH6)))&amp;" lot(s)",""))</f>
        <v/>
      </c>
      <c r="D3">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f>IF($BJ6&gt;0,IF(INDEX('Final Calculation Sheet'!$D$4:$D$40,$BJ6-3)="","",INDEX('Final Calculation Sheet'!$D$4:$D$40,$BJ6-3)),IF(OR($BI6=1,$BL6=1,$BH6&gt;0),"–",""))</f>
        <v/>
      </c>
      <c r="F3">
        <f>IF($BJ6&gt;0,IF(INDEX('Final Calculation Sheet'!$A$4:$A$40,$BJ6-3)="","",INDEX('Final Calculation Sheet'!$A$4:$A$40,$BJ6-3)),IF(OR($BI6=1,$BL6=1,$BH6&gt;0),IF($BI6=1,SUM('Final Calculation Sheet'!$A$4:$A$40),IF($BL6=1,SUM('Final Calculation Sheet'!$A$4:$A$40)-SUMIFS('Final Calculation Sheet'!$A$4:$A$40,$AZ$5:$AZ$41,10),SUMIFS('Final Calculation Sheet'!$A$4:$A$40,$AZ$5:$AZ$41,$BH6))),""))</f>
        <v/>
      </c>
      <c r="G3">
        <f>IF($BJ6&gt;0,IF(INDEX('Final Calculation Sheet'!$E$4:$E$40,$BJ6-3)="","",INDEX('Final Calculation Sheet'!$E$4:$E$40,$BJ6-3)),IF(OR($BI6=1,$BL6=1,$BH6&gt;0),"–",""))</f>
        <v/>
      </c>
      <c r="H3">
        <f>IF($BJ6&gt;0,IF(INDEX('Final Calculation Sheet'!$C$4:$C$40,$BJ6-3)="","",INDEX('Final Calculation Sheet'!$C$4:$C$40,$BJ6-3)),IF(OR($BI6=1,$BL6=1,$BH6&gt;0),"–",""))</f>
        <v/>
      </c>
      <c r="I3">
        <f>IF($BJ6&gt;0,IF(INDEX('Final Calculation Sheet'!$H$4:$H$40,$BJ6-3)="","",INDEX('Final Calculation Sheet'!$H$4:$H$40,$BJ6-3)),IF(OR($BI6=1,$BL6=1,$BH6&gt;0),IF($BI6=1,SUM('Final Calculation Sheet'!$H$4:$H$40),IF($BL6=1,SUM('Final Calculation Sheet'!$H$4:$H$40)-SUMIFS('Final Calculation Sheet'!$H$4:$H$40,$AZ$5:$AZ$41,10),SUMIFS('Final Calculation Sheet'!$H$4:$H$40,$AZ$5:$AZ$41,$BH6))),""))</f>
        <v/>
      </c>
      <c r="J3">
        <f>IF($BJ6&gt;0,IF(INDEX('Final Calculation Sheet'!$I$4:$I$40,$BJ6-3)="","",INDEX('Final Calculation Sheet'!$I$4:$I$40,$BJ6-3)),IF(OR($BI6=1,$BL6=1,$BH6&gt;0),IF($BI6=1,SUM('Final Calculation Sheet'!$I$4:$I$40),IF($BL6=1,SUM('Final Calculation Sheet'!$I$4:$I$40)-SUMIFS('Final Calculation Sheet'!$I$4:$I$40,$AZ$5:$AZ$41,10),SUMIFS('Final Calculation Sheet'!$I$4:$I$40,$AZ$5:$AZ$41,$BH6))),""))</f>
        <v/>
      </c>
      <c r="K3">
        <f>IF($BJ6&gt;0,IF(INDEX('Final Calculation Sheet'!$J$4:$J$40,$BJ6-3)="","",INDEX('Final Calculation Sheet'!$J$4:$J$40,$BJ6-3)),IF(OR($BI6=1,$BL6=1,$BH6&gt;0),IF($BI6=1,SUM('Final Calculation Sheet'!$J$4:$J$40),IF($BL6=1,SUM('Final Calculation Sheet'!$J$4:$J$40)-SUMIFS('Final Calculation Sheet'!$J$4:$J$40,$AZ$5:$AZ$41,10),SUMIFS('Final Calculation Sheet'!$J$4:$J$40,$AZ$5:$AZ$41,$BH6))),""))</f>
        <v/>
      </c>
      <c r="L3">
        <f>IF($BJ6&gt;0,IF(INDEX('Final Calculation Sheet'!$K$4:$K$40,$BJ6-3)="","",INDEX('Final Calculation Sheet'!$K$4:$K$40,$BJ6-3)),IF(OR($BI6=1,$BL6=1,$BH6&gt;0),IF($BI6=1,SUM('Final Calculation Sheet'!$K$4:$K$40),IF($BL6=1,SUM('Final Calculation Sheet'!$K$4:$K$40)-SUMIFS('Final Calculation Sheet'!$K$4:$K$40,$AZ$5:$AZ$41,10),SUMIFS('Final Calculation Sheet'!$K$4:$K$40,$AZ$5:$AZ$41,$BH6))),""))</f>
        <v/>
      </c>
      <c r="M3">
        <f>IF($BJ6&gt;0,IF(INDEX('Final Calculation Sheet'!$L$4:$L$40,$BJ6-3)="","",INDEX('Final Calculation Sheet'!$L$4:$L$40,$BJ6-3)),IF(OR($BI6=1,$BL6=1,$BH6&gt;0),IF($BI6=1,SUM('Final Calculation Sheet'!$L$4:$L$40),IF($BL6=1,SUM('Final Calculation Sheet'!$L$4:$L$40)-SUMIFS('Final Calculation Sheet'!$L$4:$L$40,$AZ$5:$AZ$41,10),SUMIFS('Final Calculation Sheet'!$L$4:$L$40,$AZ$5:$AZ$41,$BH6))),""))</f>
        <v/>
      </c>
      <c r="N3">
        <f>IF($BJ6&gt;0,IF(INDEX('Final Calculation Sheet'!$M$4:$M$40,$BJ6-3)="","",INDEX('Final Calculation Sheet'!$M$4:$M$40,$BJ6-3)),IF(OR($BI6=1,$BL6=1,$BH6&gt;0),IF($BI6=1,SUM('Final Calculation Sheet'!$M$4:$M$40),IF($BL6=1,SUM('Final Calculation Sheet'!$M$4:$M$40)-SUMIFS('Final Calculation Sheet'!$M$4:$M$40,$AZ$5:$AZ$41,10),SUMIFS('Final Calculation Sheet'!$M$4:$M$40,$AZ$5:$AZ$41,$BH6))),""))</f>
        <v/>
      </c>
      <c r="O3">
        <f>IF($BJ6&gt;0,IF(INDEX('Final Calculation Sheet'!$N$4:$N$40,$BJ6-3)="","",INDEX('Final Calculation Sheet'!$N$4:$N$40,$BJ6-3)),IF(OR($BI6=1,$BL6=1,$BH6&gt;0),IF($BI6=1,SUM('Final Calculation Sheet'!$N$4:$N$40),IF($BL6=1,SUM('Final Calculation Sheet'!$N$4:$N$40)-SUMIFS('Final Calculation Sheet'!$N$4:$N$40,$AZ$5:$AZ$41,10),SUMIFS('Final Calculation Sheet'!$N$4:$N$40,$AZ$5:$AZ$41,$BH6))),""))</f>
        <v/>
      </c>
      <c r="P3">
        <f>IF($BJ6&gt;0,IF(INDEX('Final Calculation Sheet'!$O$4:$O$40,$BJ6-3)="","",INDEX('Final Calculation Sheet'!$O$4:$O$40,$BJ6-3)),IF(OR($BI6=1,$BL6=1,$BH6&gt;0),IF($BI6=1,SUM('Final Calculation Sheet'!$O$4:$O$40),IF($BL6=1,SUM('Final Calculation Sheet'!$O$4:$O$40)-SUMIFS('Final Calculation Sheet'!$O$4:$O$40,$AZ$5:$AZ$41,10),SUMIFS('Final Calculation Sheet'!$O$4:$O$40,$AZ$5:$AZ$41,$BH6))),""))</f>
        <v/>
      </c>
      <c r="Q3">
        <f>IF($BJ6&gt;0,IF(INDEX('Final Calculation Sheet'!$P$4:$P$40,$BJ6-3)="","",INDEX('Final Calculation Sheet'!$P$4:$P$40,$BJ6-3)),IF(OR($BI6=1,$BL6=1,$BH6&gt;0),IF($BI6=1,SUM('Final Calculation Sheet'!$P$4:$P$40),IF($BL6=1,SUM('Final Calculation Sheet'!$P$4:$P$40)-SUMIFS('Final Calculation Sheet'!$P$4:$P$40,$AZ$5:$AZ$41,10),SUMIFS('Final Calculation Sheet'!$P$4:$P$40,$AZ$5:$AZ$41,$BH6))),""))</f>
        <v/>
      </c>
      <c r="R3">
        <f>IF($BJ6&gt;0,IF(INDEX('Final Calculation Sheet'!$Q$4:$Q$40,$BJ6-3)="","",INDEX('Final Calculation Sheet'!$Q$4:$Q$40,$BJ6-3)),IF(OR($BI6=1,$BL6=1,$BH6&gt;0),"–",""))</f>
        <v/>
      </c>
      <c r="S3">
        <f>IF($BJ6&gt;0,IF(INDEX('Final Calculation Sheet'!$R$4:$R$40,$BJ6-3)="","",INDEX('Final Calculation Sheet'!$R$4:$R$40,$BJ6-3)),IF(OR($BI6=1,$BL6=1,$BH6&gt;0),IF($BI6=1,SUM('Final Calculation Sheet'!$R$4:$R$40),IF($BL6=1,SUM('Final Calculation Sheet'!$R$4:$R$40)-SUMIFS('Final Calculation Sheet'!$R$4:$R$40,$AZ$5:$AZ$41,10),SUMIFS('Final Calculation Sheet'!$R$4:$R$40,$AZ$5:$AZ$41,$BH6))),""))</f>
        <v/>
      </c>
      <c r="T3">
        <f>IF($BJ6&gt;0,IF(INDEX('Final Calculation Sheet'!$S$4:$S$40,$BJ6-3)="","",INDEX('Final Calculation Sheet'!$S$4:$S$40,$BJ6-3)),IF(OR($BI6=1,$BL6=1,$BH6&gt;0),IF($BI6=1,SUM('Final Calculation Sheet'!$S$4:$S$40),IF($BL6=1,SUM('Final Calculation Sheet'!$S$4:$S$40)-SUMIFS('Final Calculation Sheet'!$S$4:$S$40,$AZ$5:$AZ$41,10),SUMIFS('Final Calculation Sheet'!$S$4:$S$40,$AZ$5:$AZ$41,$BH6))),""))</f>
        <v/>
      </c>
      <c r="U3">
        <f>IF($BJ6&gt;0,IF(INDEX('Final Calculation Sheet'!$T$4:$T$40,$BJ6-3)="","",INDEX('Final Calculation Sheet'!$T$4:$T$40,$BJ6-3)),IF(OR($BI6=1,$BL6=1,$BH6&gt;0),IF($BI6=1,SUM('Final Calculation Sheet'!$T$4:$T$40),IF($BL6=1,SUM('Final Calculation Sheet'!$T$4:$T$40)-SUMIFS('Final Calculation Sheet'!$T$4:$T$40,$AZ$5:$AZ$41,10),SUMIFS('Final Calculation Sheet'!$T$4:$T$40,$AZ$5:$AZ$41,$BH6))),""))</f>
        <v/>
      </c>
      <c r="V3">
        <f>IF($BJ6&gt;0,IF(INDEX('Final Calculation Sheet'!$U$4:$U$40,$BJ6-3)="","",INDEX('Final Calculation Sheet'!$U$4:$U$40,$BJ6-3)),IF(OR($BI6=1,$BL6=1,$BH6&gt;0),IF($BI6=1,SUM('Final Calculation Sheet'!$U$4:$U$40),IF($BL6=1,SUM('Final Calculation Sheet'!$U$4:$U$40)-SUMIFS('Final Calculation Sheet'!$U$4:$U$40,$AZ$5:$AZ$41,10),SUMIFS('Final Calculation Sheet'!$U$4:$U$40,$AZ$5:$AZ$41,$BH6))),""))</f>
        <v/>
      </c>
      <c r="W3">
        <f>IF($BJ6&gt;0,IF(INDEX('Final Calculation Sheet'!$V$4:$V$40,$BJ6-3)="","",INDEX('Final Calculation Sheet'!$V$4:$V$40,$BJ6-3)),IF(OR($BI6=1,$BL6=1,$BH6&gt;0),"–",""))</f>
        <v/>
      </c>
      <c r="X3">
        <f>IF($BJ6&gt;0,IF(INDEX('Final Calculation Sheet'!$W$4:$W$40,$BJ6-3)="","",INDEX('Final Calculation Sheet'!$W$4:$W$40,$BJ6-3)),IF(OR($BI6=1,$BL6=1,$BH6&gt;0),IF($BI6=1,SUM('Final Calculation Sheet'!$W$4:$W$40),IF($BL6=1,SUM('Final Calculation Sheet'!$W$4:$W$40)-SUMIFS('Final Calculation Sheet'!$W$4:$W$40,$AZ$5:$AZ$41,10),SUMIFS('Final Calculation Sheet'!$W$4:$W$40,$AZ$5:$AZ$41,$BH6))),""))</f>
        <v/>
      </c>
      <c r="Y3">
        <f>IF($BJ6&gt;0,IF(INDEX('Final Calculation Sheet'!$X$4:$X$40,$BJ6-3)="","",INDEX('Final Calculation Sheet'!$X$4:$X$40,$BJ6-3)),IF(OR($BI6=1,$BL6=1,$BH6&gt;0),IF($BI6=1,SUM('Final Calculation Sheet'!$X$4:$X$40),IF($BL6=1,SUM('Final Calculation Sheet'!$X$4:$X$40)-SUMIFS('Final Calculation Sheet'!$X$4:$X$40,$AZ$5:$AZ$41,10),SUMIFS('Final Calculation Sheet'!$X$4:$X$40,$AZ$5:$AZ$41,$BH6))),""))</f>
        <v/>
      </c>
      <c r="Z3">
        <f>IF($BJ6&gt;0,IF(INDEX('Final Calculation Sheet'!$Y$4:$Y$40,$BJ6-3)="","",INDEX('Final Calculation Sheet'!$Y$4:$Y$40,$BJ6-3)),IF(OR($BI6=1,$BL6=1,$BH6&gt;0),"–",""))</f>
        <v/>
      </c>
      <c r="AA3">
        <f>IF($BJ6&gt;0,IF(INDEX('Final Calculation Sheet'!$Z$4:$Z$40,$BJ6-3)="","",INDEX('Final Calculation Sheet'!$Z$4:$Z$40,$BJ6-3)),IF(OR($BI6=1,$BL6=1,$BH6&gt;0),IF($BI6=1,SUM('Final Calculation Sheet'!$Z$4:$Z$40),IF($BL6=1,SUM('Final Calculation Sheet'!$Z$4:$Z$40)-SUMIFS('Final Calculation Sheet'!$Z$4:$Z$40,$AZ$5:$AZ$41,10),SUMIFS('Final Calculation Sheet'!$Z$4:$Z$40,$AZ$5:$AZ$41,$BH6))),""))</f>
        <v/>
      </c>
      <c r="AB3">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f>IF($BJ6&gt;0,IF(INDEX('Final Calculation Sheet'!$AB$4:$AB$40,$BJ6-3)="","",INDEX('Final Calculation Sheet'!$AB$4:$AB$40,$BJ6-3)),IF(OR($BI6=1,$BL6=1,$BH6&gt;0),"–",""))</f>
        <v/>
      </c>
      <c r="AD3">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f>IF($BJ6&gt;0,IF(INDEX('Final Calculation Sheet'!$AF$4:$AF$40,$BJ6-3)="","",INDEX('Final Calculation Sheet'!$AF$4:$AF$40,$BJ6-3)),IF(OR($BI6=1,$BL6=1,$BH6&gt;0),"–",""))</f>
        <v/>
      </c>
      <c r="AG3">
        <f>IF($BJ6&gt;0,IF(INDEX('Final Calculation Sheet'!$AG$4:$AG$40,$BJ6-3)="","",INDEX('Final Calculation Sheet'!$AG$4:$AG$40,$BJ6-3)),IF(OR($BI6=1,$BL6=1,$BH6&gt;0),"–",""))</f>
        <v/>
      </c>
      <c r="AH3">
        <f>IF($BJ6&gt;0,IF(INDEX('Final Calculation Sheet'!$AH$4:$AH$40,$BJ6-3)="","",INDEX('Final Calculation Sheet'!$AH$4:$AH$40,$BJ6-3)),IF(OR($BI6=1,$BL6=1,$BH6&gt;0),"–",""))</f>
        <v/>
      </c>
      <c r="AI3">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f>IF($BJ7&gt;0,INDEX($BA$5:$BA$41,MATCH(7,$BB$5:$BB$41,0)),IF(OR($BI7=1,$BL7=1,$BH7&gt;0),"∑",""))</f>
        <v/>
      </c>
      <c r="B4">
        <f>IF($BJ7&gt;0,IF(INDEX('Final Calculation Sheet'!$F$4:$F$40,$BJ7-3)="","",INDEX('Final Calculation Sheet'!$F$4:$F$40,$BJ7-3)),"")</f>
        <v/>
      </c>
      <c r="C4">
        <f>IF($BJ7&gt;0,IF(INDEX('Final Calculation Sheet'!$G$4:$G$40,$BJ7-3)="","",INDEX('Final Calculation Sheet'!$G$4:$G$40,$BJ7-3)),IF(OR($BI7=1,$BL7=1,$BH7&gt;0),IF($BI7=1,37,IF($BL7=1,37-INDEX($BD$4:$BD$13,10),INDEX($BD$4:$BD$13,$BH7)))&amp;" lot(s)",""))</f>
        <v/>
      </c>
      <c r="D4">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f>IF($BJ7&gt;0,IF(INDEX('Final Calculation Sheet'!$D$4:$D$40,$BJ7-3)="","",INDEX('Final Calculation Sheet'!$D$4:$D$40,$BJ7-3)),IF(OR($BI7=1,$BL7=1,$BH7&gt;0),"–",""))</f>
        <v/>
      </c>
      <c r="F4">
        <f>IF($BJ7&gt;0,IF(INDEX('Final Calculation Sheet'!$A$4:$A$40,$BJ7-3)="","",INDEX('Final Calculation Sheet'!$A$4:$A$40,$BJ7-3)),IF(OR($BI7=1,$BL7=1,$BH7&gt;0),IF($BI7=1,SUM('Final Calculation Sheet'!$A$4:$A$40),IF($BL7=1,SUM('Final Calculation Sheet'!$A$4:$A$40)-SUMIFS('Final Calculation Sheet'!$A$4:$A$40,$AZ$5:$AZ$41,10),SUMIFS('Final Calculation Sheet'!$A$4:$A$40,$AZ$5:$AZ$41,$BH7))),""))</f>
        <v/>
      </c>
      <c r="G4">
        <f>IF($BJ7&gt;0,IF(INDEX('Final Calculation Sheet'!$E$4:$E$40,$BJ7-3)="","",INDEX('Final Calculation Sheet'!$E$4:$E$40,$BJ7-3)),IF(OR($BI7=1,$BL7=1,$BH7&gt;0),"–",""))</f>
        <v/>
      </c>
      <c r="H4">
        <f>IF($BJ7&gt;0,IF(INDEX('Final Calculation Sheet'!$C$4:$C$40,$BJ7-3)="","",INDEX('Final Calculation Sheet'!$C$4:$C$40,$BJ7-3)),IF(OR($BI7=1,$BL7=1,$BH7&gt;0),"–",""))</f>
        <v/>
      </c>
      <c r="I4">
        <f>IF($BJ7&gt;0,IF(INDEX('Final Calculation Sheet'!$H$4:$H$40,$BJ7-3)="","",INDEX('Final Calculation Sheet'!$H$4:$H$40,$BJ7-3)),IF(OR($BI7=1,$BL7=1,$BH7&gt;0),IF($BI7=1,SUM('Final Calculation Sheet'!$H$4:$H$40),IF($BL7=1,SUM('Final Calculation Sheet'!$H$4:$H$40)-SUMIFS('Final Calculation Sheet'!$H$4:$H$40,$AZ$5:$AZ$41,10),SUMIFS('Final Calculation Sheet'!$H$4:$H$40,$AZ$5:$AZ$41,$BH7))),""))</f>
        <v/>
      </c>
      <c r="J4">
        <f>IF($BJ7&gt;0,IF(INDEX('Final Calculation Sheet'!$I$4:$I$40,$BJ7-3)="","",INDEX('Final Calculation Sheet'!$I$4:$I$40,$BJ7-3)),IF(OR($BI7=1,$BL7=1,$BH7&gt;0),IF($BI7=1,SUM('Final Calculation Sheet'!$I$4:$I$40),IF($BL7=1,SUM('Final Calculation Sheet'!$I$4:$I$40)-SUMIFS('Final Calculation Sheet'!$I$4:$I$40,$AZ$5:$AZ$41,10),SUMIFS('Final Calculation Sheet'!$I$4:$I$40,$AZ$5:$AZ$41,$BH7))),""))</f>
        <v/>
      </c>
      <c r="K4">
        <f>IF($BJ7&gt;0,IF(INDEX('Final Calculation Sheet'!$J$4:$J$40,$BJ7-3)="","",INDEX('Final Calculation Sheet'!$J$4:$J$40,$BJ7-3)),IF(OR($BI7=1,$BL7=1,$BH7&gt;0),IF($BI7=1,SUM('Final Calculation Sheet'!$J$4:$J$40),IF($BL7=1,SUM('Final Calculation Sheet'!$J$4:$J$40)-SUMIFS('Final Calculation Sheet'!$J$4:$J$40,$AZ$5:$AZ$41,10),SUMIFS('Final Calculation Sheet'!$J$4:$J$40,$AZ$5:$AZ$41,$BH7))),""))</f>
        <v/>
      </c>
      <c r="L4">
        <f>IF($BJ7&gt;0,IF(INDEX('Final Calculation Sheet'!$K$4:$K$40,$BJ7-3)="","",INDEX('Final Calculation Sheet'!$K$4:$K$40,$BJ7-3)),IF(OR($BI7=1,$BL7=1,$BH7&gt;0),IF($BI7=1,SUM('Final Calculation Sheet'!$K$4:$K$40),IF($BL7=1,SUM('Final Calculation Sheet'!$K$4:$K$40)-SUMIFS('Final Calculation Sheet'!$K$4:$K$40,$AZ$5:$AZ$41,10),SUMIFS('Final Calculation Sheet'!$K$4:$K$40,$AZ$5:$AZ$41,$BH7))),""))</f>
        <v/>
      </c>
      <c r="M4">
        <f>IF($BJ7&gt;0,IF(INDEX('Final Calculation Sheet'!$L$4:$L$40,$BJ7-3)="","",INDEX('Final Calculation Sheet'!$L$4:$L$40,$BJ7-3)),IF(OR($BI7=1,$BL7=1,$BH7&gt;0),IF($BI7=1,SUM('Final Calculation Sheet'!$L$4:$L$40),IF($BL7=1,SUM('Final Calculation Sheet'!$L$4:$L$40)-SUMIFS('Final Calculation Sheet'!$L$4:$L$40,$AZ$5:$AZ$41,10),SUMIFS('Final Calculation Sheet'!$L$4:$L$40,$AZ$5:$AZ$41,$BH7))),""))</f>
        <v/>
      </c>
      <c r="N4">
        <f>IF($BJ7&gt;0,IF(INDEX('Final Calculation Sheet'!$M$4:$M$40,$BJ7-3)="","",INDEX('Final Calculation Sheet'!$M$4:$M$40,$BJ7-3)),IF(OR($BI7=1,$BL7=1,$BH7&gt;0),IF($BI7=1,SUM('Final Calculation Sheet'!$M$4:$M$40),IF($BL7=1,SUM('Final Calculation Sheet'!$M$4:$M$40)-SUMIFS('Final Calculation Sheet'!$M$4:$M$40,$AZ$5:$AZ$41,10),SUMIFS('Final Calculation Sheet'!$M$4:$M$40,$AZ$5:$AZ$41,$BH7))),""))</f>
        <v/>
      </c>
      <c r="O4">
        <f>IF($BJ7&gt;0,IF(INDEX('Final Calculation Sheet'!$N$4:$N$40,$BJ7-3)="","",INDEX('Final Calculation Sheet'!$N$4:$N$40,$BJ7-3)),IF(OR($BI7=1,$BL7=1,$BH7&gt;0),IF($BI7=1,SUM('Final Calculation Sheet'!$N$4:$N$40),IF($BL7=1,SUM('Final Calculation Sheet'!$N$4:$N$40)-SUMIFS('Final Calculation Sheet'!$N$4:$N$40,$AZ$5:$AZ$41,10),SUMIFS('Final Calculation Sheet'!$N$4:$N$40,$AZ$5:$AZ$41,$BH7))),""))</f>
        <v/>
      </c>
      <c r="P4">
        <f>IF($BJ7&gt;0,IF(INDEX('Final Calculation Sheet'!$O$4:$O$40,$BJ7-3)="","",INDEX('Final Calculation Sheet'!$O$4:$O$40,$BJ7-3)),IF(OR($BI7=1,$BL7=1,$BH7&gt;0),IF($BI7=1,SUM('Final Calculation Sheet'!$O$4:$O$40),IF($BL7=1,SUM('Final Calculation Sheet'!$O$4:$O$40)-SUMIFS('Final Calculation Sheet'!$O$4:$O$40,$AZ$5:$AZ$41,10),SUMIFS('Final Calculation Sheet'!$O$4:$O$40,$AZ$5:$AZ$41,$BH7))),""))</f>
        <v/>
      </c>
      <c r="Q4">
        <f>IF($BJ7&gt;0,IF(INDEX('Final Calculation Sheet'!$P$4:$P$40,$BJ7-3)="","",INDEX('Final Calculation Sheet'!$P$4:$P$40,$BJ7-3)),IF(OR($BI7=1,$BL7=1,$BH7&gt;0),IF($BI7=1,SUM('Final Calculation Sheet'!$P$4:$P$40),IF($BL7=1,SUM('Final Calculation Sheet'!$P$4:$P$40)-SUMIFS('Final Calculation Sheet'!$P$4:$P$40,$AZ$5:$AZ$41,10),SUMIFS('Final Calculation Sheet'!$P$4:$P$40,$AZ$5:$AZ$41,$BH7))),""))</f>
        <v/>
      </c>
      <c r="R4">
        <f>IF($BJ7&gt;0,IF(INDEX('Final Calculation Sheet'!$Q$4:$Q$40,$BJ7-3)="","",INDEX('Final Calculation Sheet'!$Q$4:$Q$40,$BJ7-3)),IF(OR($BI7=1,$BL7=1,$BH7&gt;0),"–",""))</f>
        <v/>
      </c>
      <c r="S4">
        <f>IF($BJ7&gt;0,IF(INDEX('Final Calculation Sheet'!$R$4:$R$40,$BJ7-3)="","",INDEX('Final Calculation Sheet'!$R$4:$R$40,$BJ7-3)),IF(OR($BI7=1,$BL7=1,$BH7&gt;0),IF($BI7=1,SUM('Final Calculation Sheet'!$R$4:$R$40),IF($BL7=1,SUM('Final Calculation Sheet'!$R$4:$R$40)-SUMIFS('Final Calculation Sheet'!$R$4:$R$40,$AZ$5:$AZ$41,10),SUMIFS('Final Calculation Sheet'!$R$4:$R$40,$AZ$5:$AZ$41,$BH7))),""))</f>
        <v/>
      </c>
      <c r="T4">
        <f>IF($BJ7&gt;0,IF(INDEX('Final Calculation Sheet'!$S$4:$S$40,$BJ7-3)="","",INDEX('Final Calculation Sheet'!$S$4:$S$40,$BJ7-3)),IF(OR($BI7=1,$BL7=1,$BH7&gt;0),IF($BI7=1,SUM('Final Calculation Sheet'!$S$4:$S$40),IF($BL7=1,SUM('Final Calculation Sheet'!$S$4:$S$40)-SUMIFS('Final Calculation Sheet'!$S$4:$S$40,$AZ$5:$AZ$41,10),SUMIFS('Final Calculation Sheet'!$S$4:$S$40,$AZ$5:$AZ$41,$BH7))),""))</f>
        <v/>
      </c>
      <c r="U4">
        <f>IF($BJ7&gt;0,IF(INDEX('Final Calculation Sheet'!$T$4:$T$40,$BJ7-3)="","",INDEX('Final Calculation Sheet'!$T$4:$T$40,$BJ7-3)),IF(OR($BI7=1,$BL7=1,$BH7&gt;0),IF($BI7=1,SUM('Final Calculation Sheet'!$T$4:$T$40),IF($BL7=1,SUM('Final Calculation Sheet'!$T$4:$T$40)-SUMIFS('Final Calculation Sheet'!$T$4:$T$40,$AZ$5:$AZ$41,10),SUMIFS('Final Calculation Sheet'!$T$4:$T$40,$AZ$5:$AZ$41,$BH7))),""))</f>
        <v/>
      </c>
      <c r="V4">
        <f>IF($BJ7&gt;0,IF(INDEX('Final Calculation Sheet'!$U$4:$U$40,$BJ7-3)="","",INDEX('Final Calculation Sheet'!$U$4:$U$40,$BJ7-3)),IF(OR($BI7=1,$BL7=1,$BH7&gt;0),IF($BI7=1,SUM('Final Calculation Sheet'!$U$4:$U$40),IF($BL7=1,SUM('Final Calculation Sheet'!$U$4:$U$40)-SUMIFS('Final Calculation Sheet'!$U$4:$U$40,$AZ$5:$AZ$41,10),SUMIFS('Final Calculation Sheet'!$U$4:$U$40,$AZ$5:$AZ$41,$BH7))),""))</f>
        <v/>
      </c>
      <c r="W4">
        <f>IF($BJ7&gt;0,IF(INDEX('Final Calculation Sheet'!$V$4:$V$40,$BJ7-3)="","",INDEX('Final Calculation Sheet'!$V$4:$V$40,$BJ7-3)),IF(OR($BI7=1,$BL7=1,$BH7&gt;0),"–",""))</f>
        <v/>
      </c>
      <c r="X4">
        <f>IF($BJ7&gt;0,IF(INDEX('Final Calculation Sheet'!$W$4:$W$40,$BJ7-3)="","",INDEX('Final Calculation Sheet'!$W$4:$W$40,$BJ7-3)),IF(OR($BI7=1,$BL7=1,$BH7&gt;0),IF($BI7=1,SUM('Final Calculation Sheet'!$W$4:$W$40),IF($BL7=1,SUM('Final Calculation Sheet'!$W$4:$W$40)-SUMIFS('Final Calculation Sheet'!$W$4:$W$40,$AZ$5:$AZ$41,10),SUMIFS('Final Calculation Sheet'!$W$4:$W$40,$AZ$5:$AZ$41,$BH7))),""))</f>
        <v/>
      </c>
      <c r="Y4">
        <f>IF($BJ7&gt;0,IF(INDEX('Final Calculation Sheet'!$X$4:$X$40,$BJ7-3)="","",INDEX('Final Calculation Sheet'!$X$4:$X$40,$BJ7-3)),IF(OR($BI7=1,$BL7=1,$BH7&gt;0),IF($BI7=1,SUM('Final Calculation Sheet'!$X$4:$X$40),IF($BL7=1,SUM('Final Calculation Sheet'!$X$4:$X$40)-SUMIFS('Final Calculation Sheet'!$X$4:$X$40,$AZ$5:$AZ$41,10),SUMIFS('Final Calculation Sheet'!$X$4:$X$40,$AZ$5:$AZ$41,$BH7))),""))</f>
        <v/>
      </c>
      <c r="Z4">
        <f>IF($BJ7&gt;0,IF(INDEX('Final Calculation Sheet'!$Y$4:$Y$40,$BJ7-3)="","",INDEX('Final Calculation Sheet'!$Y$4:$Y$40,$BJ7-3)),IF(OR($BI7=1,$BL7=1,$BH7&gt;0),"–",""))</f>
        <v/>
      </c>
      <c r="AA4">
        <f>IF($BJ7&gt;0,IF(INDEX('Final Calculation Sheet'!$Z$4:$Z$40,$BJ7-3)="","",INDEX('Final Calculation Sheet'!$Z$4:$Z$40,$BJ7-3)),IF(OR($BI7=1,$BL7=1,$BH7&gt;0),IF($BI7=1,SUM('Final Calculation Sheet'!$Z$4:$Z$40),IF($BL7=1,SUM('Final Calculation Sheet'!$Z$4:$Z$40)-SUMIFS('Final Calculation Sheet'!$Z$4:$Z$40,$AZ$5:$AZ$41,10),SUMIFS('Final Calculation Sheet'!$Z$4:$Z$40,$AZ$5:$AZ$41,$BH7))),""))</f>
        <v/>
      </c>
      <c r="AB4">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f>IF($BJ7&gt;0,IF(INDEX('Final Calculation Sheet'!$AB$4:$AB$40,$BJ7-3)="","",INDEX('Final Calculation Sheet'!$AB$4:$AB$40,$BJ7-3)),IF(OR($BI7=1,$BL7=1,$BH7&gt;0),"–",""))</f>
        <v/>
      </c>
      <c r="AD4">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f>IF($BJ7&gt;0,IF(INDEX('Final Calculation Sheet'!$AF$4:$AF$40,$BJ7-3)="","",INDEX('Final Calculation Sheet'!$AF$4:$AF$40,$BJ7-3)),IF(OR($BI7=1,$BL7=1,$BH7&gt;0),"–",""))</f>
        <v/>
      </c>
      <c r="AG4">
        <f>IF($BJ7&gt;0,IF(INDEX('Final Calculation Sheet'!$AG$4:$AG$40,$BJ7-3)="","",INDEX('Final Calculation Sheet'!$AG$4:$AG$40,$BJ7-3)),IF(OR($BI7=1,$BL7=1,$BH7&gt;0),"–",""))</f>
        <v/>
      </c>
      <c r="AH4">
        <f>IF($BJ7&gt;0,IF(INDEX('Final Calculation Sheet'!$AH$4:$AH$40,$BJ7-3)="","",INDEX('Final Calculation Sheet'!$AH$4:$AH$40,$BJ7-3)),IF(OR($BI7=1,$BL7=1,$BH7&gt;0),"–",""))</f>
        <v/>
      </c>
      <c r="AI4">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f>IF($BJ8&gt;0,INDEX($BA$5:$BA$41,MATCH(8,$BB$5:$BB$41,0)),IF(OR($BI8=1,$BL8=1,$BH8&gt;0),"∑",""))</f>
        <v/>
      </c>
      <c r="B5">
        <f>IF($BJ8&gt;0,IF(INDEX('Final Calculation Sheet'!$F$4:$F$40,$BJ8-3)="","",INDEX('Final Calculation Sheet'!$F$4:$F$40,$BJ8-3)),"")</f>
        <v/>
      </c>
      <c r="C5">
        <f>IF($BJ8&gt;0,IF(INDEX('Final Calculation Sheet'!$G$4:$G$40,$BJ8-3)="","",INDEX('Final Calculation Sheet'!$G$4:$G$40,$BJ8-3)),IF(OR($BI8=1,$BL8=1,$BH8&gt;0),IF($BI8=1,37,IF($BL8=1,37-INDEX($BD$4:$BD$13,10),INDEX($BD$4:$BD$13,$BH8)))&amp;" lot(s)",""))</f>
        <v/>
      </c>
      <c r="D5">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f>IF($BJ8&gt;0,IF(INDEX('Final Calculation Sheet'!$D$4:$D$40,$BJ8-3)="","",INDEX('Final Calculation Sheet'!$D$4:$D$40,$BJ8-3)),IF(OR($BI8=1,$BL8=1,$BH8&gt;0),"–",""))</f>
        <v/>
      </c>
      <c r="F5">
        <f>IF($BJ8&gt;0,IF(INDEX('Final Calculation Sheet'!$A$4:$A$40,$BJ8-3)="","",INDEX('Final Calculation Sheet'!$A$4:$A$40,$BJ8-3)),IF(OR($BI8=1,$BL8=1,$BH8&gt;0),IF($BI8=1,SUM('Final Calculation Sheet'!$A$4:$A$40),IF($BL8=1,SUM('Final Calculation Sheet'!$A$4:$A$40)-SUMIFS('Final Calculation Sheet'!$A$4:$A$40,$AZ$5:$AZ$41,10),SUMIFS('Final Calculation Sheet'!$A$4:$A$40,$AZ$5:$AZ$41,$BH8))),""))</f>
        <v/>
      </c>
      <c r="G5">
        <f>IF($BJ8&gt;0,IF(INDEX('Final Calculation Sheet'!$E$4:$E$40,$BJ8-3)="","",INDEX('Final Calculation Sheet'!$E$4:$E$40,$BJ8-3)),IF(OR($BI8=1,$BL8=1,$BH8&gt;0),"–",""))</f>
        <v/>
      </c>
      <c r="H5">
        <f>IF($BJ8&gt;0,IF(INDEX('Final Calculation Sheet'!$C$4:$C$40,$BJ8-3)="","",INDEX('Final Calculation Sheet'!$C$4:$C$40,$BJ8-3)),IF(OR($BI8=1,$BL8=1,$BH8&gt;0),"–",""))</f>
        <v/>
      </c>
      <c r="I5">
        <f>IF($BJ8&gt;0,IF(INDEX('Final Calculation Sheet'!$H$4:$H$40,$BJ8-3)="","",INDEX('Final Calculation Sheet'!$H$4:$H$40,$BJ8-3)),IF(OR($BI8=1,$BL8=1,$BH8&gt;0),IF($BI8=1,SUM('Final Calculation Sheet'!$H$4:$H$40),IF($BL8=1,SUM('Final Calculation Sheet'!$H$4:$H$40)-SUMIFS('Final Calculation Sheet'!$H$4:$H$40,$AZ$5:$AZ$41,10),SUMIFS('Final Calculation Sheet'!$H$4:$H$40,$AZ$5:$AZ$41,$BH8))),""))</f>
        <v/>
      </c>
      <c r="J5">
        <f>IF($BJ8&gt;0,IF(INDEX('Final Calculation Sheet'!$I$4:$I$40,$BJ8-3)="","",INDEX('Final Calculation Sheet'!$I$4:$I$40,$BJ8-3)),IF(OR($BI8=1,$BL8=1,$BH8&gt;0),IF($BI8=1,SUM('Final Calculation Sheet'!$I$4:$I$40),IF($BL8=1,SUM('Final Calculation Sheet'!$I$4:$I$40)-SUMIFS('Final Calculation Sheet'!$I$4:$I$40,$AZ$5:$AZ$41,10),SUMIFS('Final Calculation Sheet'!$I$4:$I$40,$AZ$5:$AZ$41,$BH8))),""))</f>
        <v/>
      </c>
      <c r="K5">
        <f>IF($BJ8&gt;0,IF(INDEX('Final Calculation Sheet'!$J$4:$J$40,$BJ8-3)="","",INDEX('Final Calculation Sheet'!$J$4:$J$40,$BJ8-3)),IF(OR($BI8=1,$BL8=1,$BH8&gt;0),IF($BI8=1,SUM('Final Calculation Sheet'!$J$4:$J$40),IF($BL8=1,SUM('Final Calculation Sheet'!$J$4:$J$40)-SUMIFS('Final Calculation Sheet'!$J$4:$J$40,$AZ$5:$AZ$41,10),SUMIFS('Final Calculation Sheet'!$J$4:$J$40,$AZ$5:$AZ$41,$BH8))),""))</f>
        <v/>
      </c>
      <c r="L5">
        <f>IF($BJ8&gt;0,IF(INDEX('Final Calculation Sheet'!$K$4:$K$40,$BJ8-3)="","",INDEX('Final Calculation Sheet'!$K$4:$K$40,$BJ8-3)),IF(OR($BI8=1,$BL8=1,$BH8&gt;0),IF($BI8=1,SUM('Final Calculation Sheet'!$K$4:$K$40),IF($BL8=1,SUM('Final Calculation Sheet'!$K$4:$K$40)-SUMIFS('Final Calculation Sheet'!$K$4:$K$40,$AZ$5:$AZ$41,10),SUMIFS('Final Calculation Sheet'!$K$4:$K$40,$AZ$5:$AZ$41,$BH8))),""))</f>
        <v/>
      </c>
      <c r="M5">
        <f>IF($BJ8&gt;0,IF(INDEX('Final Calculation Sheet'!$L$4:$L$40,$BJ8-3)="","",INDEX('Final Calculation Sheet'!$L$4:$L$40,$BJ8-3)),IF(OR($BI8=1,$BL8=1,$BH8&gt;0),IF($BI8=1,SUM('Final Calculation Sheet'!$L$4:$L$40),IF($BL8=1,SUM('Final Calculation Sheet'!$L$4:$L$40)-SUMIFS('Final Calculation Sheet'!$L$4:$L$40,$AZ$5:$AZ$41,10),SUMIFS('Final Calculation Sheet'!$L$4:$L$40,$AZ$5:$AZ$41,$BH8))),""))</f>
        <v/>
      </c>
      <c r="N5">
        <f>IF($BJ8&gt;0,IF(INDEX('Final Calculation Sheet'!$M$4:$M$40,$BJ8-3)="","",INDEX('Final Calculation Sheet'!$M$4:$M$40,$BJ8-3)),IF(OR($BI8=1,$BL8=1,$BH8&gt;0),IF($BI8=1,SUM('Final Calculation Sheet'!$M$4:$M$40),IF($BL8=1,SUM('Final Calculation Sheet'!$M$4:$M$40)-SUMIFS('Final Calculation Sheet'!$M$4:$M$40,$AZ$5:$AZ$41,10),SUMIFS('Final Calculation Sheet'!$M$4:$M$40,$AZ$5:$AZ$41,$BH8))),""))</f>
        <v/>
      </c>
      <c r="O5">
        <f>IF($BJ8&gt;0,IF(INDEX('Final Calculation Sheet'!$N$4:$N$40,$BJ8-3)="","",INDEX('Final Calculation Sheet'!$N$4:$N$40,$BJ8-3)),IF(OR($BI8=1,$BL8=1,$BH8&gt;0),IF($BI8=1,SUM('Final Calculation Sheet'!$N$4:$N$40),IF($BL8=1,SUM('Final Calculation Sheet'!$N$4:$N$40)-SUMIFS('Final Calculation Sheet'!$N$4:$N$40,$AZ$5:$AZ$41,10),SUMIFS('Final Calculation Sheet'!$N$4:$N$40,$AZ$5:$AZ$41,$BH8))),""))</f>
        <v/>
      </c>
      <c r="P5">
        <f>IF($BJ8&gt;0,IF(INDEX('Final Calculation Sheet'!$O$4:$O$40,$BJ8-3)="","",INDEX('Final Calculation Sheet'!$O$4:$O$40,$BJ8-3)),IF(OR($BI8=1,$BL8=1,$BH8&gt;0),IF($BI8=1,SUM('Final Calculation Sheet'!$O$4:$O$40),IF($BL8=1,SUM('Final Calculation Sheet'!$O$4:$O$40)-SUMIFS('Final Calculation Sheet'!$O$4:$O$40,$AZ$5:$AZ$41,10),SUMIFS('Final Calculation Sheet'!$O$4:$O$40,$AZ$5:$AZ$41,$BH8))),""))</f>
        <v/>
      </c>
      <c r="Q5">
        <f>IF($BJ8&gt;0,IF(INDEX('Final Calculation Sheet'!$P$4:$P$40,$BJ8-3)="","",INDEX('Final Calculation Sheet'!$P$4:$P$40,$BJ8-3)),IF(OR($BI8=1,$BL8=1,$BH8&gt;0),IF($BI8=1,SUM('Final Calculation Sheet'!$P$4:$P$40),IF($BL8=1,SUM('Final Calculation Sheet'!$P$4:$P$40)-SUMIFS('Final Calculation Sheet'!$P$4:$P$40,$AZ$5:$AZ$41,10),SUMIFS('Final Calculation Sheet'!$P$4:$P$40,$AZ$5:$AZ$41,$BH8))),""))</f>
        <v/>
      </c>
      <c r="R5">
        <f>IF($BJ8&gt;0,IF(INDEX('Final Calculation Sheet'!$Q$4:$Q$40,$BJ8-3)="","",INDEX('Final Calculation Sheet'!$Q$4:$Q$40,$BJ8-3)),IF(OR($BI8=1,$BL8=1,$BH8&gt;0),"–",""))</f>
        <v/>
      </c>
      <c r="S5">
        <f>IF($BJ8&gt;0,IF(INDEX('Final Calculation Sheet'!$R$4:$R$40,$BJ8-3)="","",INDEX('Final Calculation Sheet'!$R$4:$R$40,$BJ8-3)),IF(OR($BI8=1,$BL8=1,$BH8&gt;0),IF($BI8=1,SUM('Final Calculation Sheet'!$R$4:$R$40),IF($BL8=1,SUM('Final Calculation Sheet'!$R$4:$R$40)-SUMIFS('Final Calculation Sheet'!$R$4:$R$40,$AZ$5:$AZ$41,10),SUMIFS('Final Calculation Sheet'!$R$4:$R$40,$AZ$5:$AZ$41,$BH8))),""))</f>
        <v/>
      </c>
      <c r="T5">
        <f>IF($BJ8&gt;0,IF(INDEX('Final Calculation Sheet'!$S$4:$S$40,$BJ8-3)="","",INDEX('Final Calculation Sheet'!$S$4:$S$40,$BJ8-3)),IF(OR($BI8=1,$BL8=1,$BH8&gt;0),IF($BI8=1,SUM('Final Calculation Sheet'!$S$4:$S$40),IF($BL8=1,SUM('Final Calculation Sheet'!$S$4:$S$40)-SUMIFS('Final Calculation Sheet'!$S$4:$S$40,$AZ$5:$AZ$41,10),SUMIFS('Final Calculation Sheet'!$S$4:$S$40,$AZ$5:$AZ$41,$BH8))),""))</f>
        <v/>
      </c>
      <c r="U5">
        <f>IF($BJ8&gt;0,IF(INDEX('Final Calculation Sheet'!$T$4:$T$40,$BJ8-3)="","",INDEX('Final Calculation Sheet'!$T$4:$T$40,$BJ8-3)),IF(OR($BI8=1,$BL8=1,$BH8&gt;0),IF($BI8=1,SUM('Final Calculation Sheet'!$T$4:$T$40),IF($BL8=1,SUM('Final Calculation Sheet'!$T$4:$T$40)-SUMIFS('Final Calculation Sheet'!$T$4:$T$40,$AZ$5:$AZ$41,10),SUMIFS('Final Calculation Sheet'!$T$4:$T$40,$AZ$5:$AZ$41,$BH8))),""))</f>
        <v/>
      </c>
      <c r="V5">
        <f>IF($BJ8&gt;0,IF(INDEX('Final Calculation Sheet'!$U$4:$U$40,$BJ8-3)="","",INDEX('Final Calculation Sheet'!$U$4:$U$40,$BJ8-3)),IF(OR($BI8=1,$BL8=1,$BH8&gt;0),IF($BI8=1,SUM('Final Calculation Sheet'!$U$4:$U$40),IF($BL8=1,SUM('Final Calculation Sheet'!$U$4:$U$40)-SUMIFS('Final Calculation Sheet'!$U$4:$U$40,$AZ$5:$AZ$41,10),SUMIFS('Final Calculation Sheet'!$U$4:$U$40,$AZ$5:$AZ$41,$BH8))),""))</f>
        <v/>
      </c>
      <c r="W5">
        <f>IF($BJ8&gt;0,IF(INDEX('Final Calculation Sheet'!$V$4:$V$40,$BJ8-3)="","",INDEX('Final Calculation Sheet'!$V$4:$V$40,$BJ8-3)),IF(OR($BI8=1,$BL8=1,$BH8&gt;0),"–",""))</f>
        <v/>
      </c>
      <c r="X5">
        <f>IF($BJ8&gt;0,IF(INDEX('Final Calculation Sheet'!$W$4:$W$40,$BJ8-3)="","",INDEX('Final Calculation Sheet'!$W$4:$W$40,$BJ8-3)),IF(OR($BI8=1,$BL8=1,$BH8&gt;0),IF($BI8=1,SUM('Final Calculation Sheet'!$W$4:$W$40),IF($BL8=1,SUM('Final Calculation Sheet'!$W$4:$W$40)-SUMIFS('Final Calculation Sheet'!$W$4:$W$40,$AZ$5:$AZ$41,10),SUMIFS('Final Calculation Sheet'!$W$4:$W$40,$AZ$5:$AZ$41,$BH8))),""))</f>
        <v/>
      </c>
      <c r="Y5">
        <f>IF($BJ8&gt;0,IF(INDEX('Final Calculation Sheet'!$X$4:$X$40,$BJ8-3)="","",INDEX('Final Calculation Sheet'!$X$4:$X$40,$BJ8-3)),IF(OR($BI8=1,$BL8=1,$BH8&gt;0),IF($BI8=1,SUM('Final Calculation Sheet'!$X$4:$X$40),IF($BL8=1,SUM('Final Calculation Sheet'!$X$4:$X$40)-SUMIFS('Final Calculation Sheet'!$X$4:$X$40,$AZ$5:$AZ$41,10),SUMIFS('Final Calculation Sheet'!$X$4:$X$40,$AZ$5:$AZ$41,$BH8))),""))</f>
        <v/>
      </c>
      <c r="Z5">
        <f>IF($BJ8&gt;0,IF(INDEX('Final Calculation Sheet'!$Y$4:$Y$40,$BJ8-3)="","",INDEX('Final Calculation Sheet'!$Y$4:$Y$40,$BJ8-3)),IF(OR($BI8=1,$BL8=1,$BH8&gt;0),"–",""))</f>
        <v/>
      </c>
      <c r="AA5">
        <f>IF($BJ8&gt;0,IF(INDEX('Final Calculation Sheet'!$Z$4:$Z$40,$BJ8-3)="","",INDEX('Final Calculation Sheet'!$Z$4:$Z$40,$BJ8-3)),IF(OR($BI8=1,$BL8=1,$BH8&gt;0),IF($BI8=1,SUM('Final Calculation Sheet'!$Z$4:$Z$40),IF($BL8=1,SUM('Final Calculation Sheet'!$Z$4:$Z$40)-SUMIFS('Final Calculation Sheet'!$Z$4:$Z$40,$AZ$5:$AZ$41,10),SUMIFS('Final Calculation Sheet'!$Z$4:$Z$40,$AZ$5:$AZ$41,$BH8))),""))</f>
        <v/>
      </c>
      <c r="AB5">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f>IF($BJ8&gt;0,IF(INDEX('Final Calculation Sheet'!$AB$4:$AB$40,$BJ8-3)="","",INDEX('Final Calculation Sheet'!$AB$4:$AB$40,$BJ8-3)),IF(OR($BI8=1,$BL8=1,$BH8&gt;0),"–",""))</f>
        <v/>
      </c>
      <c r="AD5">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f>IF($BJ8&gt;0,IF(INDEX('Final Calculation Sheet'!$AF$4:$AF$40,$BJ8-3)="","",INDEX('Final Calculation Sheet'!$AF$4:$AF$40,$BJ8-3)),IF(OR($BI8=1,$BL8=1,$BH8&gt;0),"–",""))</f>
        <v/>
      </c>
      <c r="AG5">
        <f>IF($BJ8&gt;0,IF(INDEX('Final Calculation Sheet'!$AG$4:$AG$40,$BJ8-3)="","",INDEX('Final Calculation Sheet'!$AG$4:$AG$40,$BJ8-3)),IF(OR($BI8=1,$BL8=1,$BH8&gt;0),"–",""))</f>
        <v/>
      </c>
      <c r="AH5">
        <f>IF($BJ8&gt;0,IF(INDEX('Final Calculation Sheet'!$AH$4:$AH$40,$BJ8-3)="","",INDEX('Final Calculation Sheet'!$AH$4:$AH$40,$BJ8-3)),IF(OR($BI8=1,$BL8=1,$BH8&gt;0),"–",""))</f>
        <v/>
      </c>
      <c r="AI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f>IF($BJ9&gt;0,INDEX($BA$5:$BA$41,MATCH(9,$BB$5:$BB$41,0)),IF(OR($BI9=1,$BL9=1,$BH9&gt;0),"∑",""))</f>
        <v/>
      </c>
      <c r="B6">
        <f>IF($BJ9&gt;0,IF(INDEX('Final Calculation Sheet'!$F$4:$F$40,$BJ9-3)="","",INDEX('Final Calculation Sheet'!$F$4:$F$40,$BJ9-3)),"")</f>
        <v/>
      </c>
      <c r="C6">
        <f>IF($BJ9&gt;0,IF(INDEX('Final Calculation Sheet'!$G$4:$G$40,$BJ9-3)="","",INDEX('Final Calculation Sheet'!$G$4:$G$40,$BJ9-3)),IF(OR($BI9=1,$BL9=1,$BH9&gt;0),IF($BI9=1,37,IF($BL9=1,37-INDEX($BD$4:$BD$13,10),INDEX($BD$4:$BD$13,$BH9)))&amp;" lot(s)",""))</f>
        <v/>
      </c>
      <c r="D6">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f>IF($BJ9&gt;0,IF(INDEX('Final Calculation Sheet'!$D$4:$D$40,$BJ9-3)="","",INDEX('Final Calculation Sheet'!$D$4:$D$40,$BJ9-3)),IF(OR($BI9=1,$BL9=1,$BH9&gt;0),"–",""))</f>
        <v/>
      </c>
      <c r="F6">
        <f>IF($BJ9&gt;0,IF(INDEX('Final Calculation Sheet'!$A$4:$A$40,$BJ9-3)="","",INDEX('Final Calculation Sheet'!$A$4:$A$40,$BJ9-3)),IF(OR($BI9=1,$BL9=1,$BH9&gt;0),IF($BI9=1,SUM('Final Calculation Sheet'!$A$4:$A$40),IF($BL9=1,SUM('Final Calculation Sheet'!$A$4:$A$40)-SUMIFS('Final Calculation Sheet'!$A$4:$A$40,$AZ$5:$AZ$41,10),SUMIFS('Final Calculation Sheet'!$A$4:$A$40,$AZ$5:$AZ$41,$BH9))),""))</f>
        <v/>
      </c>
      <c r="G6">
        <f>IF($BJ9&gt;0,IF(INDEX('Final Calculation Sheet'!$E$4:$E$40,$BJ9-3)="","",INDEX('Final Calculation Sheet'!$E$4:$E$40,$BJ9-3)),IF(OR($BI9=1,$BL9=1,$BH9&gt;0),"–",""))</f>
        <v/>
      </c>
      <c r="H6">
        <f>IF($BJ9&gt;0,IF(INDEX('Final Calculation Sheet'!$C$4:$C$40,$BJ9-3)="","",INDEX('Final Calculation Sheet'!$C$4:$C$40,$BJ9-3)),IF(OR($BI9=1,$BL9=1,$BH9&gt;0),"–",""))</f>
        <v/>
      </c>
      <c r="I6">
        <f>IF($BJ9&gt;0,IF(INDEX('Final Calculation Sheet'!$H$4:$H$40,$BJ9-3)="","",INDEX('Final Calculation Sheet'!$H$4:$H$40,$BJ9-3)),IF(OR($BI9=1,$BL9=1,$BH9&gt;0),IF($BI9=1,SUM('Final Calculation Sheet'!$H$4:$H$40),IF($BL9=1,SUM('Final Calculation Sheet'!$H$4:$H$40)-SUMIFS('Final Calculation Sheet'!$H$4:$H$40,$AZ$5:$AZ$41,10),SUMIFS('Final Calculation Sheet'!$H$4:$H$40,$AZ$5:$AZ$41,$BH9))),""))</f>
        <v/>
      </c>
      <c r="J6">
        <f>IF($BJ9&gt;0,IF(INDEX('Final Calculation Sheet'!$I$4:$I$40,$BJ9-3)="","",INDEX('Final Calculation Sheet'!$I$4:$I$40,$BJ9-3)),IF(OR($BI9=1,$BL9=1,$BH9&gt;0),IF($BI9=1,SUM('Final Calculation Sheet'!$I$4:$I$40),IF($BL9=1,SUM('Final Calculation Sheet'!$I$4:$I$40)-SUMIFS('Final Calculation Sheet'!$I$4:$I$40,$AZ$5:$AZ$41,10),SUMIFS('Final Calculation Sheet'!$I$4:$I$40,$AZ$5:$AZ$41,$BH9))),""))</f>
        <v/>
      </c>
      <c r="K6">
        <f>IF($BJ9&gt;0,IF(INDEX('Final Calculation Sheet'!$J$4:$J$40,$BJ9-3)="","",INDEX('Final Calculation Sheet'!$J$4:$J$40,$BJ9-3)),IF(OR($BI9=1,$BL9=1,$BH9&gt;0),IF($BI9=1,SUM('Final Calculation Sheet'!$J$4:$J$40),IF($BL9=1,SUM('Final Calculation Sheet'!$J$4:$J$40)-SUMIFS('Final Calculation Sheet'!$J$4:$J$40,$AZ$5:$AZ$41,10),SUMIFS('Final Calculation Sheet'!$J$4:$J$40,$AZ$5:$AZ$41,$BH9))),""))</f>
        <v/>
      </c>
      <c r="L6">
        <f>IF($BJ9&gt;0,IF(INDEX('Final Calculation Sheet'!$K$4:$K$40,$BJ9-3)="","",INDEX('Final Calculation Sheet'!$K$4:$K$40,$BJ9-3)),IF(OR($BI9=1,$BL9=1,$BH9&gt;0),IF($BI9=1,SUM('Final Calculation Sheet'!$K$4:$K$40),IF($BL9=1,SUM('Final Calculation Sheet'!$K$4:$K$40)-SUMIFS('Final Calculation Sheet'!$K$4:$K$40,$AZ$5:$AZ$41,10),SUMIFS('Final Calculation Sheet'!$K$4:$K$40,$AZ$5:$AZ$41,$BH9))),""))</f>
        <v/>
      </c>
      <c r="M6">
        <f>IF($BJ9&gt;0,IF(INDEX('Final Calculation Sheet'!$L$4:$L$40,$BJ9-3)="","",INDEX('Final Calculation Sheet'!$L$4:$L$40,$BJ9-3)),IF(OR($BI9=1,$BL9=1,$BH9&gt;0),IF($BI9=1,SUM('Final Calculation Sheet'!$L$4:$L$40),IF($BL9=1,SUM('Final Calculation Sheet'!$L$4:$L$40)-SUMIFS('Final Calculation Sheet'!$L$4:$L$40,$AZ$5:$AZ$41,10),SUMIFS('Final Calculation Sheet'!$L$4:$L$40,$AZ$5:$AZ$41,$BH9))),""))</f>
        <v/>
      </c>
      <c r="N6">
        <f>IF($BJ9&gt;0,IF(INDEX('Final Calculation Sheet'!$M$4:$M$40,$BJ9-3)="","",INDEX('Final Calculation Sheet'!$M$4:$M$40,$BJ9-3)),IF(OR($BI9=1,$BL9=1,$BH9&gt;0),IF($BI9=1,SUM('Final Calculation Sheet'!$M$4:$M$40),IF($BL9=1,SUM('Final Calculation Sheet'!$M$4:$M$40)-SUMIFS('Final Calculation Sheet'!$M$4:$M$40,$AZ$5:$AZ$41,10),SUMIFS('Final Calculation Sheet'!$M$4:$M$40,$AZ$5:$AZ$41,$BH9))),""))</f>
        <v/>
      </c>
      <c r="O6">
        <f>IF($BJ9&gt;0,IF(INDEX('Final Calculation Sheet'!$N$4:$N$40,$BJ9-3)="","",INDEX('Final Calculation Sheet'!$N$4:$N$40,$BJ9-3)),IF(OR($BI9=1,$BL9=1,$BH9&gt;0),IF($BI9=1,SUM('Final Calculation Sheet'!$N$4:$N$40),IF($BL9=1,SUM('Final Calculation Sheet'!$N$4:$N$40)-SUMIFS('Final Calculation Sheet'!$N$4:$N$40,$AZ$5:$AZ$41,10),SUMIFS('Final Calculation Sheet'!$N$4:$N$40,$AZ$5:$AZ$41,$BH9))),""))</f>
        <v/>
      </c>
      <c r="P6">
        <f>IF($BJ9&gt;0,IF(INDEX('Final Calculation Sheet'!$O$4:$O$40,$BJ9-3)="","",INDEX('Final Calculation Sheet'!$O$4:$O$40,$BJ9-3)),IF(OR($BI9=1,$BL9=1,$BH9&gt;0),IF($BI9=1,SUM('Final Calculation Sheet'!$O$4:$O$40),IF($BL9=1,SUM('Final Calculation Sheet'!$O$4:$O$40)-SUMIFS('Final Calculation Sheet'!$O$4:$O$40,$AZ$5:$AZ$41,10),SUMIFS('Final Calculation Sheet'!$O$4:$O$40,$AZ$5:$AZ$41,$BH9))),""))</f>
        <v/>
      </c>
      <c r="Q6">
        <f>IF($BJ9&gt;0,IF(INDEX('Final Calculation Sheet'!$P$4:$P$40,$BJ9-3)="","",INDEX('Final Calculation Sheet'!$P$4:$P$40,$BJ9-3)),IF(OR($BI9=1,$BL9=1,$BH9&gt;0),IF($BI9=1,SUM('Final Calculation Sheet'!$P$4:$P$40),IF($BL9=1,SUM('Final Calculation Sheet'!$P$4:$P$40)-SUMIFS('Final Calculation Sheet'!$P$4:$P$40,$AZ$5:$AZ$41,10),SUMIFS('Final Calculation Sheet'!$P$4:$P$40,$AZ$5:$AZ$41,$BH9))),""))</f>
        <v/>
      </c>
      <c r="R6">
        <f>IF($BJ9&gt;0,IF(INDEX('Final Calculation Sheet'!$Q$4:$Q$40,$BJ9-3)="","",INDEX('Final Calculation Sheet'!$Q$4:$Q$40,$BJ9-3)),IF(OR($BI9=1,$BL9=1,$BH9&gt;0),"–",""))</f>
        <v/>
      </c>
      <c r="S6">
        <f>IF($BJ9&gt;0,IF(INDEX('Final Calculation Sheet'!$R$4:$R$40,$BJ9-3)="","",INDEX('Final Calculation Sheet'!$R$4:$R$40,$BJ9-3)),IF(OR($BI9=1,$BL9=1,$BH9&gt;0),IF($BI9=1,SUM('Final Calculation Sheet'!$R$4:$R$40),IF($BL9=1,SUM('Final Calculation Sheet'!$R$4:$R$40)-SUMIFS('Final Calculation Sheet'!$R$4:$R$40,$AZ$5:$AZ$41,10),SUMIFS('Final Calculation Sheet'!$R$4:$R$40,$AZ$5:$AZ$41,$BH9))),""))</f>
        <v/>
      </c>
      <c r="T6">
        <f>IF($BJ9&gt;0,IF(INDEX('Final Calculation Sheet'!$S$4:$S$40,$BJ9-3)="","",INDEX('Final Calculation Sheet'!$S$4:$S$40,$BJ9-3)),IF(OR($BI9=1,$BL9=1,$BH9&gt;0),IF($BI9=1,SUM('Final Calculation Sheet'!$S$4:$S$40),IF($BL9=1,SUM('Final Calculation Sheet'!$S$4:$S$40)-SUMIFS('Final Calculation Sheet'!$S$4:$S$40,$AZ$5:$AZ$41,10),SUMIFS('Final Calculation Sheet'!$S$4:$S$40,$AZ$5:$AZ$41,$BH9))),""))</f>
        <v/>
      </c>
      <c r="U6">
        <f>IF($BJ9&gt;0,IF(INDEX('Final Calculation Sheet'!$T$4:$T$40,$BJ9-3)="","",INDEX('Final Calculation Sheet'!$T$4:$T$40,$BJ9-3)),IF(OR($BI9=1,$BL9=1,$BH9&gt;0),IF($BI9=1,SUM('Final Calculation Sheet'!$T$4:$T$40),IF($BL9=1,SUM('Final Calculation Sheet'!$T$4:$T$40)-SUMIFS('Final Calculation Sheet'!$T$4:$T$40,$AZ$5:$AZ$41,10),SUMIFS('Final Calculation Sheet'!$T$4:$T$40,$AZ$5:$AZ$41,$BH9))),""))</f>
        <v/>
      </c>
      <c r="V6">
        <f>IF($BJ9&gt;0,IF(INDEX('Final Calculation Sheet'!$U$4:$U$40,$BJ9-3)="","",INDEX('Final Calculation Sheet'!$U$4:$U$40,$BJ9-3)),IF(OR($BI9=1,$BL9=1,$BH9&gt;0),IF($BI9=1,SUM('Final Calculation Sheet'!$U$4:$U$40),IF($BL9=1,SUM('Final Calculation Sheet'!$U$4:$U$40)-SUMIFS('Final Calculation Sheet'!$U$4:$U$40,$AZ$5:$AZ$41,10),SUMIFS('Final Calculation Sheet'!$U$4:$U$40,$AZ$5:$AZ$41,$BH9))),""))</f>
        <v/>
      </c>
      <c r="W6">
        <f>IF($BJ9&gt;0,IF(INDEX('Final Calculation Sheet'!$V$4:$V$40,$BJ9-3)="","",INDEX('Final Calculation Sheet'!$V$4:$V$40,$BJ9-3)),IF(OR($BI9=1,$BL9=1,$BH9&gt;0),"–",""))</f>
        <v/>
      </c>
      <c r="X6">
        <f>IF($BJ9&gt;0,IF(INDEX('Final Calculation Sheet'!$W$4:$W$40,$BJ9-3)="","",INDEX('Final Calculation Sheet'!$W$4:$W$40,$BJ9-3)),IF(OR($BI9=1,$BL9=1,$BH9&gt;0),IF($BI9=1,SUM('Final Calculation Sheet'!$W$4:$W$40),IF($BL9=1,SUM('Final Calculation Sheet'!$W$4:$W$40)-SUMIFS('Final Calculation Sheet'!$W$4:$W$40,$AZ$5:$AZ$41,10),SUMIFS('Final Calculation Sheet'!$W$4:$W$40,$AZ$5:$AZ$41,$BH9))),""))</f>
        <v/>
      </c>
      <c r="Y6">
        <f>IF($BJ9&gt;0,IF(INDEX('Final Calculation Sheet'!$X$4:$X$40,$BJ9-3)="","",INDEX('Final Calculation Sheet'!$X$4:$X$40,$BJ9-3)),IF(OR($BI9=1,$BL9=1,$BH9&gt;0),IF($BI9=1,SUM('Final Calculation Sheet'!$X$4:$X$40),IF($BL9=1,SUM('Final Calculation Sheet'!$X$4:$X$40)-SUMIFS('Final Calculation Sheet'!$X$4:$X$40,$AZ$5:$AZ$41,10),SUMIFS('Final Calculation Sheet'!$X$4:$X$40,$AZ$5:$AZ$41,$BH9))),""))</f>
        <v/>
      </c>
      <c r="Z6">
        <f>IF($BJ9&gt;0,IF(INDEX('Final Calculation Sheet'!$Y$4:$Y$40,$BJ9-3)="","",INDEX('Final Calculation Sheet'!$Y$4:$Y$40,$BJ9-3)),IF(OR($BI9=1,$BL9=1,$BH9&gt;0),"–",""))</f>
        <v/>
      </c>
      <c r="AA6">
        <f>IF($BJ9&gt;0,IF(INDEX('Final Calculation Sheet'!$Z$4:$Z$40,$BJ9-3)="","",INDEX('Final Calculation Sheet'!$Z$4:$Z$40,$BJ9-3)),IF(OR($BI9=1,$BL9=1,$BH9&gt;0),IF($BI9=1,SUM('Final Calculation Sheet'!$Z$4:$Z$40),IF($BL9=1,SUM('Final Calculation Sheet'!$Z$4:$Z$40)-SUMIFS('Final Calculation Sheet'!$Z$4:$Z$40,$AZ$5:$AZ$41,10),SUMIFS('Final Calculation Sheet'!$Z$4:$Z$40,$AZ$5:$AZ$41,$BH9))),""))</f>
        <v/>
      </c>
      <c r="AB6">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f>IF($BJ9&gt;0,IF(INDEX('Final Calculation Sheet'!$AB$4:$AB$40,$BJ9-3)="","",INDEX('Final Calculation Sheet'!$AB$4:$AB$40,$BJ9-3)),IF(OR($BI9=1,$BL9=1,$BH9&gt;0),"–",""))</f>
        <v/>
      </c>
      <c r="AD6">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f>IF($BJ9&gt;0,IF(INDEX('Final Calculation Sheet'!$AF$4:$AF$40,$BJ9-3)="","",INDEX('Final Calculation Sheet'!$AF$4:$AF$40,$BJ9-3)),IF(OR($BI9=1,$BL9=1,$BH9&gt;0),"–",""))</f>
        <v/>
      </c>
      <c r="AG6">
        <f>IF($BJ9&gt;0,IF(INDEX('Final Calculation Sheet'!$AG$4:$AG$40,$BJ9-3)="","",INDEX('Final Calculation Sheet'!$AG$4:$AG$40,$BJ9-3)),IF(OR($BI9=1,$BL9=1,$BH9&gt;0),"–",""))</f>
        <v/>
      </c>
      <c r="AH6">
        <f>IF($BJ9&gt;0,IF(INDEX('Final Calculation Sheet'!$AH$4:$AH$40,$BJ9-3)="","",INDEX('Final Calculation Sheet'!$AH$4:$AH$40,$BJ9-3)),IF(OR($BI9=1,$BL9=1,$BH9&gt;0),"–",""))</f>
        <v/>
      </c>
      <c r="AI6">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f>IF($BJ10&gt;0,INDEX($BA$5:$BA$41,MATCH(10,$BB$5:$BB$41,0)),IF(OR($BI10=1,$BL10=1,$BH10&gt;0),"∑",""))</f>
        <v/>
      </c>
      <c r="B7">
        <f>IF($BJ10&gt;0,IF(INDEX('Final Calculation Sheet'!$F$4:$F$40,$BJ10-3)="","",INDEX('Final Calculation Sheet'!$F$4:$F$40,$BJ10-3)),"")</f>
        <v/>
      </c>
      <c r="C7">
        <f>IF($BJ10&gt;0,IF(INDEX('Final Calculation Sheet'!$G$4:$G$40,$BJ10-3)="","",INDEX('Final Calculation Sheet'!$G$4:$G$40,$BJ10-3)),IF(OR($BI10=1,$BL10=1,$BH10&gt;0),IF($BI10=1,37,IF($BL10=1,37-INDEX($BD$4:$BD$13,10),INDEX($BD$4:$BD$13,$BH10)))&amp;" lot(s)",""))</f>
        <v/>
      </c>
      <c r="D7">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f>IF($BJ10&gt;0,IF(INDEX('Final Calculation Sheet'!$D$4:$D$40,$BJ10-3)="","",INDEX('Final Calculation Sheet'!$D$4:$D$40,$BJ10-3)),IF(OR($BI10=1,$BL10=1,$BH10&gt;0),"–",""))</f>
        <v/>
      </c>
      <c r="F7">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f>IF($BJ10&gt;0,IF(INDEX('Final Calculation Sheet'!$E$4:$E$40,$BJ10-3)="","",INDEX('Final Calculation Sheet'!$E$4:$E$40,$BJ10-3)),IF(OR($BI10=1,$BL10=1,$BH10&gt;0),"–",""))</f>
        <v/>
      </c>
      <c r="H7">
        <f>IF($BJ10&gt;0,IF(INDEX('Final Calculation Sheet'!$C$4:$C$40,$BJ10-3)="","",INDEX('Final Calculation Sheet'!$C$4:$C$40,$BJ10-3)),IF(OR($BI10=1,$BL10=1,$BH10&gt;0),"–",""))</f>
        <v/>
      </c>
      <c r="I7">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f>IF($BJ10&gt;0,IF(INDEX('Final Calculation Sheet'!$Q$4:$Q$40,$BJ10-3)="","",INDEX('Final Calculation Sheet'!$Q$4:$Q$40,$BJ10-3)),IF(OR($BI10=1,$BL10=1,$BH10&gt;0),"–",""))</f>
        <v/>
      </c>
      <c r="S7">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f>IF($BJ10&gt;0,IF(INDEX('Final Calculation Sheet'!$V$4:$V$40,$BJ10-3)="","",INDEX('Final Calculation Sheet'!$V$4:$V$40,$BJ10-3)),IF(OR($BI10=1,$BL10=1,$BH10&gt;0),"–",""))</f>
        <v/>
      </c>
      <c r="X7">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f>IF($BJ10&gt;0,IF(INDEX('Final Calculation Sheet'!$Y$4:$Y$40,$BJ10-3)="","",INDEX('Final Calculation Sheet'!$Y$4:$Y$40,$BJ10-3)),IF(OR($BI10=1,$BL10=1,$BH10&gt;0),"–",""))</f>
        <v/>
      </c>
      <c r="AA7">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f>IF($BJ10&gt;0,IF(INDEX('Final Calculation Sheet'!$AB$4:$AB$40,$BJ10-3)="","",INDEX('Final Calculation Sheet'!$AB$4:$AB$40,$BJ10-3)),IF(OR($BI10=1,$BL10=1,$BH10&gt;0),"–",""))</f>
        <v/>
      </c>
      <c r="AD7">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f>IF($BJ10&gt;0,IF(INDEX('Final Calculation Sheet'!$AF$4:$AF$40,$BJ10-3)="","",INDEX('Final Calculation Sheet'!$AF$4:$AF$40,$BJ10-3)),IF(OR($BI10=1,$BL10=1,$BH10&gt;0),"–",""))</f>
        <v/>
      </c>
      <c r="AG7">
        <f>IF($BJ10&gt;0,IF(INDEX('Final Calculation Sheet'!$AG$4:$AG$40,$BJ10-3)="","",INDEX('Final Calculation Sheet'!$AG$4:$AG$40,$BJ10-3)),IF(OR($BI10=1,$BL10=1,$BH10&gt;0),"–",""))</f>
        <v/>
      </c>
      <c r="AH7">
        <f>IF($BJ10&gt;0,IF(INDEX('Final Calculation Sheet'!$AH$4:$AH$40,$BJ10-3)="","",INDEX('Final Calculation Sheet'!$AH$4:$AH$40,$BJ10-3)),IF(OR($BI10=1,$BL10=1,$BH10&gt;0),"–",""))</f>
        <v/>
      </c>
      <c r="AI7">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f>IF($BJ11&gt;0,INDEX($BA$5:$BA$41,MATCH(11,$BB$5:$BB$41,0)),IF(OR($BI11=1,$BL11=1,$BH11&gt;0),"∑",""))</f>
        <v/>
      </c>
      <c r="B8">
        <f>IF($BJ11&gt;0,IF(INDEX('Final Calculation Sheet'!$F$4:$F$40,$BJ11-3)="","",INDEX('Final Calculation Sheet'!$F$4:$F$40,$BJ11-3)),"")</f>
        <v/>
      </c>
      <c r="C8">
        <f>IF($BJ11&gt;0,IF(INDEX('Final Calculation Sheet'!$G$4:$G$40,$BJ11-3)="","",INDEX('Final Calculation Sheet'!$G$4:$G$40,$BJ11-3)),IF(OR($BI11=1,$BL11=1,$BH11&gt;0),IF($BI11=1,37,IF($BL11=1,37-INDEX($BD$4:$BD$13,10),INDEX($BD$4:$BD$13,$BH11)))&amp;" lot(s)",""))</f>
        <v/>
      </c>
      <c r="D8">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f>IF($BJ11&gt;0,IF(INDEX('Final Calculation Sheet'!$D$4:$D$40,$BJ11-3)="","",INDEX('Final Calculation Sheet'!$D$4:$D$40,$BJ11-3)),IF(OR($BI11=1,$BL11=1,$BH11&gt;0),"–",""))</f>
        <v/>
      </c>
      <c r="F8">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f>IF($BJ11&gt;0,IF(INDEX('Final Calculation Sheet'!$E$4:$E$40,$BJ11-3)="","",INDEX('Final Calculation Sheet'!$E$4:$E$40,$BJ11-3)),IF(OR($BI11=1,$BL11=1,$BH11&gt;0),"–",""))</f>
        <v/>
      </c>
      <c r="H8">
        <f>IF($BJ11&gt;0,IF(INDEX('Final Calculation Sheet'!$C$4:$C$40,$BJ11-3)="","",INDEX('Final Calculation Sheet'!$C$4:$C$40,$BJ11-3)),IF(OR($BI11=1,$BL11=1,$BH11&gt;0),"–",""))</f>
        <v/>
      </c>
      <c r="I8">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f>IF($BJ11&gt;0,IF(INDEX('Final Calculation Sheet'!$Q$4:$Q$40,$BJ11-3)="","",INDEX('Final Calculation Sheet'!$Q$4:$Q$40,$BJ11-3)),IF(OR($BI11=1,$BL11=1,$BH11&gt;0),"–",""))</f>
        <v/>
      </c>
      <c r="S8">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f>IF($BJ11&gt;0,IF(INDEX('Final Calculation Sheet'!$V$4:$V$40,$BJ11-3)="","",INDEX('Final Calculation Sheet'!$V$4:$V$40,$BJ11-3)),IF(OR($BI11=1,$BL11=1,$BH11&gt;0),"–",""))</f>
        <v/>
      </c>
      <c r="X8">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f>IF($BJ11&gt;0,IF(INDEX('Final Calculation Sheet'!$Y$4:$Y$40,$BJ11-3)="","",INDEX('Final Calculation Sheet'!$Y$4:$Y$40,$BJ11-3)),IF(OR($BI11=1,$BL11=1,$BH11&gt;0),"–",""))</f>
        <v/>
      </c>
      <c r="AA8">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f>IF($BJ11&gt;0,IF(INDEX('Final Calculation Sheet'!$AB$4:$AB$40,$BJ11-3)="","",INDEX('Final Calculation Sheet'!$AB$4:$AB$40,$BJ11-3)),IF(OR($BI11=1,$BL11=1,$BH11&gt;0),"–",""))</f>
        <v/>
      </c>
      <c r="AD8">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f>IF($BJ11&gt;0,IF(INDEX('Final Calculation Sheet'!$AF$4:$AF$40,$BJ11-3)="","",INDEX('Final Calculation Sheet'!$AF$4:$AF$40,$BJ11-3)),IF(OR($BI11=1,$BL11=1,$BH11&gt;0),"–",""))</f>
        <v/>
      </c>
      <c r="AG8">
        <f>IF($BJ11&gt;0,IF(INDEX('Final Calculation Sheet'!$AG$4:$AG$40,$BJ11-3)="","",INDEX('Final Calculation Sheet'!$AG$4:$AG$40,$BJ11-3)),IF(OR($BI11=1,$BL11=1,$BH11&gt;0),"–",""))</f>
        <v/>
      </c>
      <c r="AH8">
        <f>IF($BJ11&gt;0,IF(INDEX('Final Calculation Sheet'!$AH$4:$AH$40,$BJ11-3)="","",INDEX('Final Calculation Sheet'!$AH$4:$AH$40,$BJ11-3)),IF(OR($BI11=1,$BL11=1,$BH11&gt;0),"–",""))</f>
        <v/>
      </c>
      <c r="AI8">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f>IF($BJ12&gt;0,INDEX($BA$5:$BA$41,MATCH(12,$BB$5:$BB$41,0)),IF(OR($BI12=1,$BL12=1,$BH12&gt;0),"∑",""))</f>
        <v/>
      </c>
      <c r="B9">
        <f>IF($BJ12&gt;0,IF(INDEX('Final Calculation Sheet'!$F$4:$F$40,$BJ12-3)="","",INDEX('Final Calculation Sheet'!$F$4:$F$40,$BJ12-3)),"")</f>
        <v/>
      </c>
      <c r="C9">
        <f>IF($BJ12&gt;0,IF(INDEX('Final Calculation Sheet'!$G$4:$G$40,$BJ12-3)="","",INDEX('Final Calculation Sheet'!$G$4:$G$40,$BJ12-3)),IF(OR($BI12=1,$BL12=1,$BH12&gt;0),IF($BI12=1,37,IF($BL12=1,37-INDEX($BD$4:$BD$13,10),INDEX($BD$4:$BD$13,$BH12)))&amp;" lot(s)",""))</f>
        <v/>
      </c>
      <c r="D9">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f>IF($BJ12&gt;0,IF(INDEX('Final Calculation Sheet'!$D$4:$D$40,$BJ12-3)="","",INDEX('Final Calculation Sheet'!$D$4:$D$40,$BJ12-3)),IF(OR($BI12=1,$BL12=1,$BH12&gt;0),"–",""))</f>
        <v/>
      </c>
      <c r="F9">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f>IF($BJ12&gt;0,IF(INDEX('Final Calculation Sheet'!$E$4:$E$40,$BJ12-3)="","",INDEX('Final Calculation Sheet'!$E$4:$E$40,$BJ12-3)),IF(OR($BI12=1,$BL12=1,$BH12&gt;0),"–",""))</f>
        <v/>
      </c>
      <c r="H9">
        <f>IF($BJ12&gt;0,IF(INDEX('Final Calculation Sheet'!$C$4:$C$40,$BJ12-3)="","",INDEX('Final Calculation Sheet'!$C$4:$C$40,$BJ12-3)),IF(OR($BI12=1,$BL12=1,$BH12&gt;0),"–",""))</f>
        <v/>
      </c>
      <c r="I9">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f>IF($BJ12&gt;0,IF(INDEX('Final Calculation Sheet'!$Q$4:$Q$40,$BJ12-3)="","",INDEX('Final Calculation Sheet'!$Q$4:$Q$40,$BJ12-3)),IF(OR($BI12=1,$BL12=1,$BH12&gt;0),"–",""))</f>
        <v/>
      </c>
      <c r="S9">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f>IF($BJ12&gt;0,IF(INDEX('Final Calculation Sheet'!$V$4:$V$40,$BJ12-3)="","",INDEX('Final Calculation Sheet'!$V$4:$V$40,$BJ12-3)),IF(OR($BI12=1,$BL12=1,$BH12&gt;0),"–",""))</f>
        <v/>
      </c>
      <c r="X9">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f>IF($BJ12&gt;0,IF(INDEX('Final Calculation Sheet'!$Y$4:$Y$40,$BJ12-3)="","",INDEX('Final Calculation Sheet'!$Y$4:$Y$40,$BJ12-3)),IF(OR($BI12=1,$BL12=1,$BH12&gt;0),"–",""))</f>
        <v/>
      </c>
      <c r="AA9">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f>IF($BJ12&gt;0,IF(INDEX('Final Calculation Sheet'!$AB$4:$AB$40,$BJ12-3)="","",INDEX('Final Calculation Sheet'!$AB$4:$AB$40,$BJ12-3)),IF(OR($BI12=1,$BL12=1,$BH12&gt;0),"–",""))</f>
        <v/>
      </c>
      <c r="AD9">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f>IF($BJ12&gt;0,IF(INDEX('Final Calculation Sheet'!$AF$4:$AF$40,$BJ12-3)="","",INDEX('Final Calculation Sheet'!$AF$4:$AF$40,$BJ12-3)),IF(OR($BI12=1,$BL12=1,$BH12&gt;0),"–",""))</f>
        <v/>
      </c>
      <c r="AG9">
        <f>IF($BJ12&gt;0,IF(INDEX('Final Calculation Sheet'!$AG$4:$AG$40,$BJ12-3)="","",INDEX('Final Calculation Sheet'!$AG$4:$AG$40,$BJ12-3)),IF(OR($BI12=1,$BL12=1,$BH12&gt;0),"–",""))</f>
        <v/>
      </c>
      <c r="AH9">
        <f>IF($BJ12&gt;0,IF(INDEX('Final Calculation Sheet'!$AH$4:$AH$40,$BJ12-3)="","",INDEX('Final Calculation Sheet'!$AH$4:$AH$40,$BJ12-3)),IF(OR($BI12=1,$BL12=1,$BH12&gt;0),"–",""))</f>
        <v/>
      </c>
      <c r="AI9">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f>IF($BJ13&gt;0,INDEX($BA$5:$BA$41,MATCH(13,$BB$5:$BB$41,0)),IF(OR($BI13=1,$BL13=1,$BH13&gt;0),"∑",""))</f>
        <v/>
      </c>
      <c r="B10">
        <f>IF($BJ13&gt;0,IF(INDEX('Final Calculation Sheet'!$F$4:$F$40,$BJ13-3)="","",INDEX('Final Calculation Sheet'!$F$4:$F$40,$BJ13-3)),"")</f>
        <v/>
      </c>
      <c r="C10">
        <f>IF($BJ13&gt;0,IF(INDEX('Final Calculation Sheet'!$G$4:$G$40,$BJ13-3)="","",INDEX('Final Calculation Sheet'!$G$4:$G$40,$BJ13-3)),IF(OR($BI13=1,$BL13=1,$BH13&gt;0),IF($BI13=1,37,IF($BL13=1,37-INDEX($BD$4:$BD$13,10),INDEX($BD$4:$BD$13,$BH13)))&amp;" lot(s)",""))</f>
        <v/>
      </c>
      <c r="D10">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f>IF($BJ13&gt;0,IF(INDEX('Final Calculation Sheet'!$D$4:$D$40,$BJ13-3)="","",INDEX('Final Calculation Sheet'!$D$4:$D$40,$BJ13-3)),IF(OR($BI13=1,$BL13=1,$BH13&gt;0),"–",""))</f>
        <v/>
      </c>
      <c r="F10">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f>IF($BJ13&gt;0,IF(INDEX('Final Calculation Sheet'!$E$4:$E$40,$BJ13-3)="","",INDEX('Final Calculation Sheet'!$E$4:$E$40,$BJ13-3)),IF(OR($BI13=1,$BL13=1,$BH13&gt;0),"–",""))</f>
        <v/>
      </c>
      <c r="H10">
        <f>IF($BJ13&gt;0,IF(INDEX('Final Calculation Sheet'!$C$4:$C$40,$BJ13-3)="","",INDEX('Final Calculation Sheet'!$C$4:$C$40,$BJ13-3)),IF(OR($BI13=1,$BL13=1,$BH13&gt;0),"–",""))</f>
        <v/>
      </c>
      <c r="I10">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f>IF($BJ13&gt;0,IF(INDEX('Final Calculation Sheet'!$Q$4:$Q$40,$BJ13-3)="","",INDEX('Final Calculation Sheet'!$Q$4:$Q$40,$BJ13-3)),IF(OR($BI13=1,$BL13=1,$BH13&gt;0),"–",""))</f>
        <v/>
      </c>
      <c r="S10">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f>IF($BJ13&gt;0,IF(INDEX('Final Calculation Sheet'!$V$4:$V$40,$BJ13-3)="","",INDEX('Final Calculation Sheet'!$V$4:$V$40,$BJ13-3)),IF(OR($BI13=1,$BL13=1,$BH13&gt;0),"–",""))</f>
        <v/>
      </c>
      <c r="X10">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f>IF($BJ13&gt;0,IF(INDEX('Final Calculation Sheet'!$Y$4:$Y$40,$BJ13-3)="","",INDEX('Final Calculation Sheet'!$Y$4:$Y$40,$BJ13-3)),IF(OR($BI13=1,$BL13=1,$BH13&gt;0),"–",""))</f>
        <v/>
      </c>
      <c r="AA10">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f>IF($BJ13&gt;0,IF(INDEX('Final Calculation Sheet'!$AB$4:$AB$40,$BJ13-3)="","",INDEX('Final Calculation Sheet'!$AB$4:$AB$40,$BJ13-3)),IF(OR($BI13=1,$BL13=1,$BH13&gt;0),"–",""))</f>
        <v/>
      </c>
      <c r="AD1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f>IF($BJ13&gt;0,IF(INDEX('Final Calculation Sheet'!$AF$4:$AF$40,$BJ13-3)="","",INDEX('Final Calculation Sheet'!$AF$4:$AF$40,$BJ13-3)),IF(OR($BI13=1,$BL13=1,$BH13&gt;0),"–",""))</f>
        <v/>
      </c>
      <c r="AG10">
        <f>IF($BJ13&gt;0,IF(INDEX('Final Calculation Sheet'!$AG$4:$AG$40,$BJ13-3)="","",INDEX('Final Calculation Sheet'!$AG$4:$AG$40,$BJ13-3)),IF(OR($BI13=1,$BL13=1,$BH13&gt;0),"–",""))</f>
        <v/>
      </c>
      <c r="AH10">
        <f>IF($BJ13&gt;0,IF(INDEX('Final Calculation Sheet'!$AH$4:$AH$40,$BJ13-3)="","",INDEX('Final Calculation Sheet'!$AH$4:$AH$40,$BJ13-3)),IF(OR($BI13=1,$BL13=1,$BH13&gt;0),"–",""))</f>
        <v/>
      </c>
      <c r="AI10">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f>IF($BJ14&gt;0,INDEX($BA$5:$BA$41,MATCH(14,$BB$5:$BB$41,0)),IF(OR($BI14=1,$BL14=1,$BH14&gt;0),"∑",""))</f>
        <v/>
      </c>
      <c r="B11">
        <f>IF($BJ14&gt;0,IF(INDEX('Final Calculation Sheet'!$F$4:$F$40,$BJ14-3)="","",INDEX('Final Calculation Sheet'!$F$4:$F$40,$BJ14-3)),"")</f>
        <v/>
      </c>
      <c r="C11">
        <f>IF($BJ14&gt;0,IF(INDEX('Final Calculation Sheet'!$G$4:$G$40,$BJ14-3)="","",INDEX('Final Calculation Sheet'!$G$4:$G$40,$BJ14-3)),IF(OR($BI14=1,$BL14=1,$BH14&gt;0),IF($BI14=1,37,IF($BL14=1,37-INDEX($BD$4:$BD$13,10),INDEX($BD$4:$BD$13,$BH14)))&amp;" lot(s)",""))</f>
        <v/>
      </c>
      <c r="D11">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f>IF($BJ14&gt;0,IF(INDEX('Final Calculation Sheet'!$D$4:$D$40,$BJ14-3)="","",INDEX('Final Calculation Sheet'!$D$4:$D$40,$BJ14-3)),IF(OR($BI14=1,$BL14=1,$BH14&gt;0),"–",""))</f>
        <v/>
      </c>
      <c r="F11">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f>IF($BJ14&gt;0,IF(INDEX('Final Calculation Sheet'!$E$4:$E$40,$BJ14-3)="","",INDEX('Final Calculation Sheet'!$E$4:$E$40,$BJ14-3)),IF(OR($BI14=1,$BL14=1,$BH14&gt;0),"–",""))</f>
        <v/>
      </c>
      <c r="H11">
        <f>IF($BJ14&gt;0,IF(INDEX('Final Calculation Sheet'!$C$4:$C$40,$BJ14-3)="","",INDEX('Final Calculation Sheet'!$C$4:$C$40,$BJ14-3)),IF(OR($BI14=1,$BL14=1,$BH14&gt;0),"–",""))</f>
        <v/>
      </c>
      <c r="I11">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f>IF($BJ14&gt;0,IF(INDEX('Final Calculation Sheet'!$Q$4:$Q$40,$BJ14-3)="","",INDEX('Final Calculation Sheet'!$Q$4:$Q$40,$BJ14-3)),IF(OR($BI14=1,$BL14=1,$BH14&gt;0),"–",""))</f>
        <v/>
      </c>
      <c r="S11">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f>IF($BJ14&gt;0,IF(INDEX('Final Calculation Sheet'!$V$4:$V$40,$BJ14-3)="","",INDEX('Final Calculation Sheet'!$V$4:$V$40,$BJ14-3)),IF(OR($BI14=1,$BL14=1,$BH14&gt;0),"–",""))</f>
        <v/>
      </c>
      <c r="X11">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f>IF($BJ14&gt;0,IF(INDEX('Final Calculation Sheet'!$Y$4:$Y$40,$BJ14-3)="","",INDEX('Final Calculation Sheet'!$Y$4:$Y$40,$BJ14-3)),IF(OR($BI14=1,$BL14=1,$BH14&gt;0),"–",""))</f>
        <v/>
      </c>
      <c r="AA11">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f>IF($BJ14&gt;0,IF(INDEX('Final Calculation Sheet'!$AB$4:$AB$40,$BJ14-3)="","",INDEX('Final Calculation Sheet'!$AB$4:$AB$40,$BJ14-3)),IF(OR($BI14=1,$BL14=1,$BH14&gt;0),"–",""))</f>
        <v/>
      </c>
      <c r="AD11">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f>IF($BJ14&gt;0,IF(INDEX('Final Calculation Sheet'!$AF$4:$AF$40,$BJ14-3)="","",INDEX('Final Calculation Sheet'!$AF$4:$AF$40,$BJ14-3)),IF(OR($BI14=1,$BL14=1,$BH14&gt;0),"–",""))</f>
        <v/>
      </c>
      <c r="AG11">
        <f>IF($BJ14&gt;0,IF(INDEX('Final Calculation Sheet'!$AG$4:$AG$40,$BJ14-3)="","",INDEX('Final Calculation Sheet'!$AG$4:$AG$40,$BJ14-3)),IF(OR($BI14=1,$BL14=1,$BH14&gt;0),"–",""))</f>
        <v/>
      </c>
      <c r="AH11">
        <f>IF($BJ14&gt;0,IF(INDEX('Final Calculation Sheet'!$AH$4:$AH$40,$BJ14-3)="","",INDEX('Final Calculation Sheet'!$AH$4:$AH$40,$BJ14-3)),IF(OR($BI14=1,$BL14=1,$BH14&gt;0),"–",""))</f>
        <v/>
      </c>
      <c r="AI11">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f>IF($BJ15&gt;0,INDEX($BA$5:$BA$41,MATCH(15,$BB$5:$BB$41,0)),IF(OR($BI15=1,$BL15=1,$BH15&gt;0),"∑",""))</f>
        <v/>
      </c>
      <c r="B12">
        <f>IF($BJ15&gt;0,IF(INDEX('Final Calculation Sheet'!$F$4:$F$40,$BJ15-3)="","",INDEX('Final Calculation Sheet'!$F$4:$F$40,$BJ15-3)),"")</f>
        <v/>
      </c>
      <c r="C12">
        <f>IF($BJ15&gt;0,IF(INDEX('Final Calculation Sheet'!$G$4:$G$40,$BJ15-3)="","",INDEX('Final Calculation Sheet'!$G$4:$G$40,$BJ15-3)),IF(OR($BI15=1,$BL15=1,$BH15&gt;0),IF($BI15=1,37,IF($BL15=1,37-INDEX($BD$4:$BD$13,10),INDEX($BD$4:$BD$13,$BH15)))&amp;" lot(s)",""))</f>
        <v/>
      </c>
      <c r="D12">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f>IF($BJ15&gt;0,IF(INDEX('Final Calculation Sheet'!$D$4:$D$40,$BJ15-3)="","",INDEX('Final Calculation Sheet'!$D$4:$D$40,$BJ15-3)),IF(OR($BI15=1,$BL15=1,$BH15&gt;0),"–",""))</f>
        <v/>
      </c>
      <c r="F12">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f>IF($BJ15&gt;0,IF(INDEX('Final Calculation Sheet'!$E$4:$E$40,$BJ15-3)="","",INDEX('Final Calculation Sheet'!$E$4:$E$40,$BJ15-3)),IF(OR($BI15=1,$BL15=1,$BH15&gt;0),"–",""))</f>
        <v/>
      </c>
      <c r="H12">
        <f>IF($BJ15&gt;0,IF(INDEX('Final Calculation Sheet'!$C$4:$C$40,$BJ15-3)="","",INDEX('Final Calculation Sheet'!$C$4:$C$40,$BJ15-3)),IF(OR($BI15=1,$BL15=1,$BH15&gt;0),"–",""))</f>
        <v/>
      </c>
      <c r="I12">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f>IF($BJ15&gt;0,IF(INDEX('Final Calculation Sheet'!$Q$4:$Q$40,$BJ15-3)="","",INDEX('Final Calculation Sheet'!$Q$4:$Q$40,$BJ15-3)),IF(OR($BI15=1,$BL15=1,$BH15&gt;0),"–",""))</f>
        <v/>
      </c>
      <c r="S12">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f>IF($BJ15&gt;0,IF(INDEX('Final Calculation Sheet'!$V$4:$V$40,$BJ15-3)="","",INDEX('Final Calculation Sheet'!$V$4:$V$40,$BJ15-3)),IF(OR($BI15=1,$BL15=1,$BH15&gt;0),"–",""))</f>
        <v/>
      </c>
      <c r="X12">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f>IF($BJ15&gt;0,IF(INDEX('Final Calculation Sheet'!$Y$4:$Y$40,$BJ15-3)="","",INDEX('Final Calculation Sheet'!$Y$4:$Y$40,$BJ15-3)),IF(OR($BI15=1,$BL15=1,$BH15&gt;0),"–",""))</f>
        <v/>
      </c>
      <c r="AA12">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f>IF($BJ15&gt;0,IF(INDEX('Final Calculation Sheet'!$AB$4:$AB$40,$BJ15-3)="","",INDEX('Final Calculation Sheet'!$AB$4:$AB$40,$BJ15-3)),IF(OR($BI15=1,$BL15=1,$BH15&gt;0),"–",""))</f>
        <v/>
      </c>
      <c r="AD12">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f>IF($BJ15&gt;0,IF(INDEX('Final Calculation Sheet'!$AF$4:$AF$40,$BJ15-3)="","",INDEX('Final Calculation Sheet'!$AF$4:$AF$40,$BJ15-3)),IF(OR($BI15=1,$BL15=1,$BH15&gt;0),"–",""))</f>
        <v/>
      </c>
      <c r="AG12">
        <f>IF($BJ15&gt;0,IF(INDEX('Final Calculation Sheet'!$AG$4:$AG$40,$BJ15-3)="","",INDEX('Final Calculation Sheet'!$AG$4:$AG$40,$BJ15-3)),IF(OR($BI15=1,$BL15=1,$BH15&gt;0),"–",""))</f>
        <v/>
      </c>
      <c r="AH12">
        <f>IF($BJ15&gt;0,IF(INDEX('Final Calculation Sheet'!$AH$4:$AH$40,$BJ15-3)="","",INDEX('Final Calculation Sheet'!$AH$4:$AH$40,$BJ15-3)),IF(OR($BI15=1,$BL15=1,$BH15&gt;0),"–",""))</f>
        <v/>
      </c>
      <c r="AI12">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f>IF($BJ16&gt;0,INDEX($BA$5:$BA$41,MATCH(16,$BB$5:$BB$41,0)),IF(OR($BI16=1,$BL16=1,$BH16&gt;0),"∑",""))</f>
        <v/>
      </c>
      <c r="B13">
        <f>IF($BJ16&gt;0,IF(INDEX('Final Calculation Sheet'!$F$4:$F$40,$BJ16-3)="","",INDEX('Final Calculation Sheet'!$F$4:$F$40,$BJ16-3)),"")</f>
        <v/>
      </c>
      <c r="C13">
        <f>IF($BJ16&gt;0,IF(INDEX('Final Calculation Sheet'!$G$4:$G$40,$BJ16-3)="","",INDEX('Final Calculation Sheet'!$G$4:$G$40,$BJ16-3)),IF(OR($BI16=1,$BL16=1,$BH16&gt;0),IF($BI16=1,37,IF($BL16=1,37-INDEX($BD$4:$BD$13,10),INDEX($BD$4:$BD$13,$BH16)))&amp;" lot(s)",""))</f>
        <v/>
      </c>
      <c r="D13">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f>IF($BJ16&gt;0,IF(INDEX('Final Calculation Sheet'!$D$4:$D$40,$BJ16-3)="","",INDEX('Final Calculation Sheet'!$D$4:$D$40,$BJ16-3)),IF(OR($BI16=1,$BL16=1,$BH16&gt;0),"–",""))</f>
        <v/>
      </c>
      <c r="F13">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f>IF($BJ16&gt;0,IF(INDEX('Final Calculation Sheet'!$E$4:$E$40,$BJ16-3)="","",INDEX('Final Calculation Sheet'!$E$4:$E$40,$BJ16-3)),IF(OR($BI16=1,$BL16=1,$BH16&gt;0),"–",""))</f>
        <v/>
      </c>
      <c r="H13">
        <f>IF($BJ16&gt;0,IF(INDEX('Final Calculation Sheet'!$C$4:$C$40,$BJ16-3)="","",INDEX('Final Calculation Sheet'!$C$4:$C$40,$BJ16-3)),IF(OR($BI16=1,$BL16=1,$BH16&gt;0),"–",""))</f>
        <v/>
      </c>
      <c r="I13">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f>IF($BJ16&gt;0,IF(INDEX('Final Calculation Sheet'!$Q$4:$Q$40,$BJ16-3)="","",INDEX('Final Calculation Sheet'!$Q$4:$Q$40,$BJ16-3)),IF(OR($BI16=1,$BL16=1,$BH16&gt;0),"–",""))</f>
        <v/>
      </c>
      <c r="S13">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f>IF($BJ16&gt;0,IF(INDEX('Final Calculation Sheet'!$V$4:$V$40,$BJ16-3)="","",INDEX('Final Calculation Sheet'!$V$4:$V$40,$BJ16-3)),IF(OR($BI16=1,$BL16=1,$BH16&gt;0),"–",""))</f>
        <v/>
      </c>
      <c r="X13">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f>IF($BJ16&gt;0,IF(INDEX('Final Calculation Sheet'!$Y$4:$Y$40,$BJ16-3)="","",INDEX('Final Calculation Sheet'!$Y$4:$Y$40,$BJ16-3)),IF(OR($BI16=1,$BL16=1,$BH16&gt;0),"–",""))</f>
        <v/>
      </c>
      <c r="AA13">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f>IF($BJ16&gt;0,IF(INDEX('Final Calculation Sheet'!$AB$4:$AB$40,$BJ16-3)="","",INDEX('Final Calculation Sheet'!$AB$4:$AB$40,$BJ16-3)),IF(OR($BI16=1,$BL16=1,$BH16&gt;0),"–",""))</f>
        <v/>
      </c>
      <c r="AD13">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f>IF($BJ16&gt;0,IF(INDEX('Final Calculation Sheet'!$AF$4:$AF$40,$BJ16-3)="","",INDEX('Final Calculation Sheet'!$AF$4:$AF$40,$BJ16-3)),IF(OR($BI16=1,$BL16=1,$BH16&gt;0),"–",""))</f>
        <v/>
      </c>
      <c r="AG13">
        <f>IF($BJ16&gt;0,IF(INDEX('Final Calculation Sheet'!$AG$4:$AG$40,$BJ16-3)="","",INDEX('Final Calculation Sheet'!$AG$4:$AG$40,$BJ16-3)),IF(OR($BI16=1,$BL16=1,$BH16&gt;0),"–",""))</f>
        <v/>
      </c>
      <c r="AH13">
        <f>IF($BJ16&gt;0,IF(INDEX('Final Calculation Sheet'!$AH$4:$AH$40,$BJ16-3)="","",INDEX('Final Calculation Sheet'!$AH$4:$AH$40,$BJ16-3)),IF(OR($BI16=1,$BL16=1,$BH16&gt;0),"–",""))</f>
        <v/>
      </c>
      <c r="AI13">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f>IF($BJ17&gt;0,INDEX($BA$5:$BA$41,MATCH(17,$BB$5:$BB$41,0)),IF(OR($BI17=1,$BL17=1,$BH17&gt;0),"∑",""))</f>
        <v/>
      </c>
      <c r="B14">
        <f>IF($BJ17&gt;0,IF(INDEX('Final Calculation Sheet'!$F$4:$F$40,$BJ17-3)="","",INDEX('Final Calculation Sheet'!$F$4:$F$40,$BJ17-3)),"")</f>
        <v/>
      </c>
      <c r="C14">
        <f>IF($BJ17&gt;0,IF(INDEX('Final Calculation Sheet'!$G$4:$G$40,$BJ17-3)="","",INDEX('Final Calculation Sheet'!$G$4:$G$40,$BJ17-3)),IF(OR($BI17=1,$BL17=1,$BH17&gt;0),IF($BI17=1,37,IF($BL17=1,37-INDEX($BD$4:$BD$13,10),INDEX($BD$4:$BD$13,$BH17)))&amp;" lot(s)",""))</f>
        <v/>
      </c>
      <c r="D14">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f>IF($BJ17&gt;0,IF(INDEX('Final Calculation Sheet'!$D$4:$D$40,$BJ17-3)="","",INDEX('Final Calculation Sheet'!$D$4:$D$40,$BJ17-3)),IF(OR($BI17=1,$BL17=1,$BH17&gt;0),"–",""))</f>
        <v/>
      </c>
      <c r="F14">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f>IF($BJ17&gt;0,IF(INDEX('Final Calculation Sheet'!$E$4:$E$40,$BJ17-3)="","",INDEX('Final Calculation Sheet'!$E$4:$E$40,$BJ17-3)),IF(OR($BI17=1,$BL17=1,$BH17&gt;0),"–",""))</f>
        <v/>
      </c>
      <c r="H14">
        <f>IF($BJ17&gt;0,IF(INDEX('Final Calculation Sheet'!$C$4:$C$40,$BJ17-3)="","",INDEX('Final Calculation Sheet'!$C$4:$C$40,$BJ17-3)),IF(OR($BI17=1,$BL17=1,$BH17&gt;0),"–",""))</f>
        <v/>
      </c>
      <c r="I14">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f>IF($BJ17&gt;0,IF(INDEX('Final Calculation Sheet'!$Q$4:$Q$40,$BJ17-3)="","",INDEX('Final Calculation Sheet'!$Q$4:$Q$40,$BJ17-3)),IF(OR($BI17=1,$BL17=1,$BH17&gt;0),"–",""))</f>
        <v/>
      </c>
      <c r="S14">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f>IF($BJ17&gt;0,IF(INDEX('Final Calculation Sheet'!$V$4:$V$40,$BJ17-3)="","",INDEX('Final Calculation Sheet'!$V$4:$V$40,$BJ17-3)),IF(OR($BI17=1,$BL17=1,$BH17&gt;0),"–",""))</f>
        <v/>
      </c>
      <c r="X14">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f>IF($BJ17&gt;0,IF(INDEX('Final Calculation Sheet'!$Y$4:$Y$40,$BJ17-3)="","",INDEX('Final Calculation Sheet'!$Y$4:$Y$40,$BJ17-3)),IF(OR($BI17=1,$BL17=1,$BH17&gt;0),"–",""))</f>
        <v/>
      </c>
      <c r="AA14">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f>IF($BJ17&gt;0,IF(INDEX('Final Calculation Sheet'!$AB$4:$AB$40,$BJ17-3)="","",INDEX('Final Calculation Sheet'!$AB$4:$AB$40,$BJ17-3)),IF(OR($BI17=1,$BL17=1,$BH17&gt;0),"–",""))</f>
        <v/>
      </c>
      <c r="AD14">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f>IF($BJ17&gt;0,IF(INDEX('Final Calculation Sheet'!$AF$4:$AF$40,$BJ17-3)="","",INDEX('Final Calculation Sheet'!$AF$4:$AF$40,$BJ17-3)),IF(OR($BI17=1,$BL17=1,$BH17&gt;0),"–",""))</f>
        <v/>
      </c>
      <c r="AG14">
        <f>IF($BJ17&gt;0,IF(INDEX('Final Calculation Sheet'!$AG$4:$AG$40,$BJ17-3)="","",INDEX('Final Calculation Sheet'!$AG$4:$AG$40,$BJ17-3)),IF(OR($BI17=1,$BL17=1,$BH17&gt;0),"–",""))</f>
        <v/>
      </c>
      <c r="AH14">
        <f>IF($BJ17&gt;0,IF(INDEX('Final Calculation Sheet'!$AH$4:$AH$40,$BJ17-3)="","",INDEX('Final Calculation Sheet'!$AH$4:$AH$40,$BJ17-3)),IF(OR($BI17=1,$BL17=1,$BH17&gt;0),"–",""))</f>
        <v/>
      </c>
      <c r="AI14">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f>IF($BJ18&gt;0,INDEX($BA$5:$BA$41,MATCH(18,$BB$5:$BB$41,0)),IF(OR($BI18=1,$BL18=1,$BH18&gt;0),"∑",""))</f>
        <v/>
      </c>
      <c r="B15">
        <f>IF($BJ18&gt;0,IF(INDEX('Final Calculation Sheet'!$F$4:$F$40,$BJ18-3)="","",INDEX('Final Calculation Sheet'!$F$4:$F$40,$BJ18-3)),"")</f>
        <v/>
      </c>
      <c r="C15">
        <f>IF($BJ18&gt;0,IF(INDEX('Final Calculation Sheet'!$G$4:$G$40,$BJ18-3)="","",INDEX('Final Calculation Sheet'!$G$4:$G$40,$BJ18-3)),IF(OR($BI18=1,$BL18=1,$BH18&gt;0),IF($BI18=1,37,IF($BL18=1,37-INDEX($BD$4:$BD$13,10),INDEX($BD$4:$BD$13,$BH18)))&amp;" lot(s)",""))</f>
        <v/>
      </c>
      <c r="D15">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f>IF($BJ18&gt;0,IF(INDEX('Final Calculation Sheet'!$D$4:$D$40,$BJ18-3)="","",INDEX('Final Calculation Sheet'!$D$4:$D$40,$BJ18-3)),IF(OR($BI18=1,$BL18=1,$BH18&gt;0),"–",""))</f>
        <v/>
      </c>
      <c r="F15">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f>IF($BJ18&gt;0,IF(INDEX('Final Calculation Sheet'!$E$4:$E$40,$BJ18-3)="","",INDEX('Final Calculation Sheet'!$E$4:$E$40,$BJ18-3)),IF(OR($BI18=1,$BL18=1,$BH18&gt;0),"–",""))</f>
        <v/>
      </c>
      <c r="H15">
        <f>IF($BJ18&gt;0,IF(INDEX('Final Calculation Sheet'!$C$4:$C$40,$BJ18-3)="","",INDEX('Final Calculation Sheet'!$C$4:$C$40,$BJ18-3)),IF(OR($BI18=1,$BL18=1,$BH18&gt;0),"–",""))</f>
        <v/>
      </c>
      <c r="I15">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f>IF($BJ18&gt;0,IF(INDEX('Final Calculation Sheet'!$Q$4:$Q$40,$BJ18-3)="","",INDEX('Final Calculation Sheet'!$Q$4:$Q$40,$BJ18-3)),IF(OR($BI18=1,$BL18=1,$BH18&gt;0),"–",""))</f>
        <v/>
      </c>
      <c r="S15">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f>IF($BJ18&gt;0,IF(INDEX('Final Calculation Sheet'!$V$4:$V$40,$BJ18-3)="","",INDEX('Final Calculation Sheet'!$V$4:$V$40,$BJ18-3)),IF(OR($BI18=1,$BL18=1,$BH18&gt;0),"–",""))</f>
        <v/>
      </c>
      <c r="X15">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f>IF($BJ18&gt;0,IF(INDEX('Final Calculation Sheet'!$Y$4:$Y$40,$BJ18-3)="","",INDEX('Final Calculation Sheet'!$Y$4:$Y$40,$BJ18-3)),IF(OR($BI18=1,$BL18=1,$BH18&gt;0),"–",""))</f>
        <v/>
      </c>
      <c r="AA15">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f>IF($BJ18&gt;0,IF(INDEX('Final Calculation Sheet'!$AB$4:$AB$40,$BJ18-3)="","",INDEX('Final Calculation Sheet'!$AB$4:$AB$40,$BJ18-3)),IF(OR($BI18=1,$BL18=1,$BH18&gt;0),"–",""))</f>
        <v/>
      </c>
      <c r="AD15">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f>IF($BJ18&gt;0,IF(INDEX('Final Calculation Sheet'!$AF$4:$AF$40,$BJ18-3)="","",INDEX('Final Calculation Sheet'!$AF$4:$AF$40,$BJ18-3)),IF(OR($BI18=1,$BL18=1,$BH18&gt;0),"–",""))</f>
        <v/>
      </c>
      <c r="AG15">
        <f>IF($BJ18&gt;0,IF(INDEX('Final Calculation Sheet'!$AG$4:$AG$40,$BJ18-3)="","",INDEX('Final Calculation Sheet'!$AG$4:$AG$40,$BJ18-3)),IF(OR($BI18=1,$BL18=1,$BH18&gt;0),"–",""))</f>
        <v/>
      </c>
      <c r="AH15">
        <f>IF($BJ18&gt;0,IF(INDEX('Final Calculation Sheet'!$AH$4:$AH$40,$BJ18-3)="","",INDEX('Final Calculation Sheet'!$AH$4:$AH$40,$BJ18-3)),IF(OR($BI18=1,$BL18=1,$BH18&gt;0),"–",""))</f>
        <v/>
      </c>
      <c r="AI1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f>IF($BJ19&gt;0,INDEX($BA$5:$BA$41,MATCH(19,$BB$5:$BB$41,0)),IF(OR($BI19=1,$BL19=1,$BH19&gt;0),"∑",""))</f>
        <v/>
      </c>
      <c r="B16">
        <f>IF($BJ19&gt;0,IF(INDEX('Final Calculation Sheet'!$F$4:$F$40,$BJ19-3)="","",INDEX('Final Calculation Sheet'!$F$4:$F$40,$BJ19-3)),"")</f>
        <v/>
      </c>
      <c r="C16">
        <f>IF($BJ19&gt;0,IF(INDEX('Final Calculation Sheet'!$G$4:$G$40,$BJ19-3)="","",INDEX('Final Calculation Sheet'!$G$4:$G$40,$BJ19-3)),IF(OR($BI19=1,$BL19=1,$BH19&gt;0),IF($BI19=1,37,IF($BL19=1,37-INDEX($BD$4:$BD$13,10),INDEX($BD$4:$BD$13,$BH19)))&amp;" lot(s)",""))</f>
        <v/>
      </c>
      <c r="D16">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f>IF($BJ19&gt;0,IF(INDEX('Final Calculation Sheet'!$D$4:$D$40,$BJ19-3)="","",INDEX('Final Calculation Sheet'!$D$4:$D$40,$BJ19-3)),IF(OR($BI19=1,$BL19=1,$BH19&gt;0),"–",""))</f>
        <v/>
      </c>
      <c r="F16">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f>IF($BJ19&gt;0,IF(INDEX('Final Calculation Sheet'!$E$4:$E$40,$BJ19-3)="","",INDEX('Final Calculation Sheet'!$E$4:$E$40,$BJ19-3)),IF(OR($BI19=1,$BL19=1,$BH19&gt;0),"–",""))</f>
        <v/>
      </c>
      <c r="H16">
        <f>IF($BJ19&gt;0,IF(INDEX('Final Calculation Sheet'!$C$4:$C$40,$BJ19-3)="","",INDEX('Final Calculation Sheet'!$C$4:$C$40,$BJ19-3)),IF(OR($BI19=1,$BL19=1,$BH19&gt;0),"–",""))</f>
        <v/>
      </c>
      <c r="I16">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f>IF($BJ19&gt;0,IF(INDEX('Final Calculation Sheet'!$Q$4:$Q$40,$BJ19-3)="","",INDEX('Final Calculation Sheet'!$Q$4:$Q$40,$BJ19-3)),IF(OR($BI19=1,$BL19=1,$BH19&gt;0),"–",""))</f>
        <v/>
      </c>
      <c r="S16">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f>IF($BJ19&gt;0,IF(INDEX('Final Calculation Sheet'!$V$4:$V$40,$BJ19-3)="","",INDEX('Final Calculation Sheet'!$V$4:$V$40,$BJ19-3)),IF(OR($BI19=1,$BL19=1,$BH19&gt;0),"–",""))</f>
        <v/>
      </c>
      <c r="X16">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f>IF($BJ19&gt;0,IF(INDEX('Final Calculation Sheet'!$Y$4:$Y$40,$BJ19-3)="","",INDEX('Final Calculation Sheet'!$Y$4:$Y$40,$BJ19-3)),IF(OR($BI19=1,$BL19=1,$BH19&gt;0),"–",""))</f>
        <v/>
      </c>
      <c r="AA16">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f>IF($BJ19&gt;0,IF(INDEX('Final Calculation Sheet'!$AB$4:$AB$40,$BJ19-3)="","",INDEX('Final Calculation Sheet'!$AB$4:$AB$40,$BJ19-3)),IF(OR($BI19=1,$BL19=1,$BH19&gt;0),"–",""))</f>
        <v/>
      </c>
      <c r="AD16">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f>IF($BJ19&gt;0,IF(INDEX('Final Calculation Sheet'!$AF$4:$AF$40,$BJ19-3)="","",INDEX('Final Calculation Sheet'!$AF$4:$AF$40,$BJ19-3)),IF(OR($BI19=1,$BL19=1,$BH19&gt;0),"–",""))</f>
        <v/>
      </c>
      <c r="AG16">
        <f>IF($BJ19&gt;0,IF(INDEX('Final Calculation Sheet'!$AG$4:$AG$40,$BJ19-3)="","",INDEX('Final Calculation Sheet'!$AG$4:$AG$40,$BJ19-3)),IF(OR($BI19=1,$BL19=1,$BH19&gt;0),"–",""))</f>
        <v/>
      </c>
      <c r="AH16">
        <f>IF($BJ19&gt;0,IF(INDEX('Final Calculation Sheet'!$AH$4:$AH$40,$BJ19-3)="","",INDEX('Final Calculation Sheet'!$AH$4:$AH$40,$BJ19-3)),IF(OR($BI19=1,$BL19=1,$BH19&gt;0),"–",""))</f>
        <v/>
      </c>
      <c r="AI16">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f>IF($BJ20&gt;0,INDEX($BA$5:$BA$41,MATCH(20,$BB$5:$BB$41,0)),IF(OR($BI20=1,$BL20=1,$BH20&gt;0),"∑",""))</f>
        <v/>
      </c>
      <c r="B17">
        <f>IF($BJ20&gt;0,IF(INDEX('Final Calculation Sheet'!$F$4:$F$40,$BJ20-3)="","",INDEX('Final Calculation Sheet'!$F$4:$F$40,$BJ20-3)),"")</f>
        <v/>
      </c>
      <c r="C17">
        <f>IF($BJ20&gt;0,IF(INDEX('Final Calculation Sheet'!$G$4:$G$40,$BJ20-3)="","",INDEX('Final Calculation Sheet'!$G$4:$G$40,$BJ20-3)),IF(OR($BI20=1,$BL20=1,$BH20&gt;0),IF($BI20=1,37,IF($BL20=1,37-INDEX($BD$4:$BD$13,10),INDEX($BD$4:$BD$13,$BH20)))&amp;" lot(s)",""))</f>
        <v/>
      </c>
      <c r="D17">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f>IF($BJ20&gt;0,IF(INDEX('Final Calculation Sheet'!$D$4:$D$40,$BJ20-3)="","",INDEX('Final Calculation Sheet'!$D$4:$D$40,$BJ20-3)),IF(OR($BI20=1,$BL20=1,$BH20&gt;0),"–",""))</f>
        <v/>
      </c>
      <c r="F17">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f>IF($BJ20&gt;0,IF(INDEX('Final Calculation Sheet'!$E$4:$E$40,$BJ20-3)="","",INDEX('Final Calculation Sheet'!$E$4:$E$40,$BJ20-3)),IF(OR($BI20=1,$BL20=1,$BH20&gt;0),"–",""))</f>
        <v/>
      </c>
      <c r="H17">
        <f>IF($BJ20&gt;0,IF(INDEX('Final Calculation Sheet'!$C$4:$C$40,$BJ20-3)="","",INDEX('Final Calculation Sheet'!$C$4:$C$40,$BJ20-3)),IF(OR($BI20=1,$BL20=1,$BH20&gt;0),"–",""))</f>
        <v/>
      </c>
      <c r="I17">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f>IF($BJ20&gt;0,IF(INDEX('Final Calculation Sheet'!$Q$4:$Q$40,$BJ20-3)="","",INDEX('Final Calculation Sheet'!$Q$4:$Q$40,$BJ20-3)),IF(OR($BI20=1,$BL20=1,$BH20&gt;0),"–",""))</f>
        <v/>
      </c>
      <c r="S17">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f>IF($BJ20&gt;0,IF(INDEX('Final Calculation Sheet'!$V$4:$V$40,$BJ20-3)="","",INDEX('Final Calculation Sheet'!$V$4:$V$40,$BJ20-3)),IF(OR($BI20=1,$BL20=1,$BH20&gt;0),"–",""))</f>
        <v/>
      </c>
      <c r="X17">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f>IF($BJ20&gt;0,IF(INDEX('Final Calculation Sheet'!$Y$4:$Y$40,$BJ20-3)="","",INDEX('Final Calculation Sheet'!$Y$4:$Y$40,$BJ20-3)),IF(OR($BI20=1,$BL20=1,$BH20&gt;0),"–",""))</f>
        <v/>
      </c>
      <c r="AA17">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f>IF($BJ20&gt;0,IF(INDEX('Final Calculation Sheet'!$AB$4:$AB$40,$BJ20-3)="","",INDEX('Final Calculation Sheet'!$AB$4:$AB$40,$BJ20-3)),IF(OR($BI20=1,$BL20=1,$BH20&gt;0),"–",""))</f>
        <v/>
      </c>
      <c r="AD17">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f>IF($BJ20&gt;0,IF(INDEX('Final Calculation Sheet'!$AF$4:$AF$40,$BJ20-3)="","",INDEX('Final Calculation Sheet'!$AF$4:$AF$40,$BJ20-3)),IF(OR($BI20=1,$BL20=1,$BH20&gt;0),"–",""))</f>
        <v/>
      </c>
      <c r="AG17">
        <f>IF($BJ20&gt;0,IF(INDEX('Final Calculation Sheet'!$AG$4:$AG$40,$BJ20-3)="","",INDEX('Final Calculation Sheet'!$AG$4:$AG$40,$BJ20-3)),IF(OR($BI20=1,$BL20=1,$BH20&gt;0),"–",""))</f>
        <v/>
      </c>
      <c r="AH17">
        <f>IF($BJ20&gt;0,IF(INDEX('Final Calculation Sheet'!$AH$4:$AH$40,$BJ20-3)="","",INDEX('Final Calculation Sheet'!$AH$4:$AH$40,$BJ20-3)),IF(OR($BI20=1,$BL20=1,$BH20&gt;0),"–",""))</f>
        <v/>
      </c>
      <c r="AI17">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f>IF($BJ21&gt;0,INDEX($BA$5:$BA$41,MATCH(21,$BB$5:$BB$41,0)),IF(OR($BI21=1,$BL21=1,$BH21&gt;0),"∑",""))</f>
        <v/>
      </c>
      <c r="B18">
        <f>IF($BJ21&gt;0,IF(INDEX('Final Calculation Sheet'!$F$4:$F$40,$BJ21-3)="","",INDEX('Final Calculation Sheet'!$F$4:$F$40,$BJ21-3)),"")</f>
        <v/>
      </c>
      <c r="C18">
        <f>IF($BJ21&gt;0,IF(INDEX('Final Calculation Sheet'!$G$4:$G$40,$BJ21-3)="","",INDEX('Final Calculation Sheet'!$G$4:$G$40,$BJ21-3)),IF(OR($BI21=1,$BL21=1,$BH21&gt;0),IF($BI21=1,37,IF($BL21=1,37-INDEX($BD$4:$BD$13,10),INDEX($BD$4:$BD$13,$BH21)))&amp;" lot(s)",""))</f>
        <v/>
      </c>
      <c r="D18">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f>IF($BJ21&gt;0,IF(INDEX('Final Calculation Sheet'!$D$4:$D$40,$BJ21-3)="","",INDEX('Final Calculation Sheet'!$D$4:$D$40,$BJ21-3)),IF(OR($BI21=1,$BL21=1,$BH21&gt;0),"–",""))</f>
        <v/>
      </c>
      <c r="F18">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f>IF($BJ21&gt;0,IF(INDEX('Final Calculation Sheet'!$E$4:$E$40,$BJ21-3)="","",INDEX('Final Calculation Sheet'!$E$4:$E$40,$BJ21-3)),IF(OR($BI21=1,$BL21=1,$BH21&gt;0),"–",""))</f>
        <v/>
      </c>
      <c r="H18">
        <f>IF($BJ21&gt;0,IF(INDEX('Final Calculation Sheet'!$C$4:$C$40,$BJ21-3)="","",INDEX('Final Calculation Sheet'!$C$4:$C$40,$BJ21-3)),IF(OR($BI21=1,$BL21=1,$BH21&gt;0),"–",""))</f>
        <v/>
      </c>
      <c r="I18">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f>IF($BJ21&gt;0,IF(INDEX('Final Calculation Sheet'!$Q$4:$Q$40,$BJ21-3)="","",INDEX('Final Calculation Sheet'!$Q$4:$Q$40,$BJ21-3)),IF(OR($BI21=1,$BL21=1,$BH21&gt;0),"–",""))</f>
        <v/>
      </c>
      <c r="S18">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f>IF($BJ21&gt;0,IF(INDEX('Final Calculation Sheet'!$V$4:$V$40,$BJ21-3)="","",INDEX('Final Calculation Sheet'!$V$4:$V$40,$BJ21-3)),IF(OR($BI21=1,$BL21=1,$BH21&gt;0),"–",""))</f>
        <v/>
      </c>
      <c r="X18">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f>IF($BJ21&gt;0,IF(INDEX('Final Calculation Sheet'!$Y$4:$Y$40,$BJ21-3)="","",INDEX('Final Calculation Sheet'!$Y$4:$Y$40,$BJ21-3)),IF(OR($BI21=1,$BL21=1,$BH21&gt;0),"–",""))</f>
        <v/>
      </c>
      <c r="AA18">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f>IF($BJ21&gt;0,IF(INDEX('Final Calculation Sheet'!$AB$4:$AB$40,$BJ21-3)="","",INDEX('Final Calculation Sheet'!$AB$4:$AB$40,$BJ21-3)),IF(OR($BI21=1,$BL21=1,$BH21&gt;0),"–",""))</f>
        <v/>
      </c>
      <c r="AD18">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f>IF($BJ21&gt;0,IF(INDEX('Final Calculation Sheet'!$AF$4:$AF$40,$BJ21-3)="","",INDEX('Final Calculation Sheet'!$AF$4:$AF$40,$BJ21-3)),IF(OR($BI21=1,$BL21=1,$BH21&gt;0),"–",""))</f>
        <v/>
      </c>
      <c r="AG18">
        <f>IF($BJ21&gt;0,IF(INDEX('Final Calculation Sheet'!$AG$4:$AG$40,$BJ21-3)="","",INDEX('Final Calculation Sheet'!$AG$4:$AG$40,$BJ21-3)),IF(OR($BI21=1,$BL21=1,$BH21&gt;0),"–",""))</f>
        <v/>
      </c>
      <c r="AH18">
        <f>IF($BJ21&gt;0,IF(INDEX('Final Calculation Sheet'!$AH$4:$AH$40,$BJ21-3)="","",INDEX('Final Calculation Sheet'!$AH$4:$AH$40,$BJ21-3)),IF(OR($BI21=1,$BL21=1,$BH21&gt;0),"–",""))</f>
        <v/>
      </c>
      <c r="AI18">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f>IF($BJ22&gt;0,INDEX($BA$5:$BA$41,MATCH(22,$BB$5:$BB$41,0)),IF(OR($BI22=1,$BL22=1,$BH22&gt;0),"∑",""))</f>
        <v/>
      </c>
      <c r="B19">
        <f>IF($BJ22&gt;0,IF(INDEX('Final Calculation Sheet'!$F$4:$F$40,$BJ22-3)="","",INDEX('Final Calculation Sheet'!$F$4:$F$40,$BJ22-3)),"")</f>
        <v/>
      </c>
      <c r="C19">
        <f>IF($BJ22&gt;0,IF(INDEX('Final Calculation Sheet'!$G$4:$G$40,$BJ22-3)="","",INDEX('Final Calculation Sheet'!$G$4:$G$40,$BJ22-3)),IF(OR($BI22=1,$BL22=1,$BH22&gt;0),IF($BI22=1,37,IF($BL22=1,37-INDEX($BD$4:$BD$13,10),INDEX($BD$4:$BD$13,$BH22)))&amp;" lot(s)",""))</f>
        <v/>
      </c>
      <c r="D19">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f>IF($BJ22&gt;0,IF(INDEX('Final Calculation Sheet'!$D$4:$D$40,$BJ22-3)="","",INDEX('Final Calculation Sheet'!$D$4:$D$40,$BJ22-3)),IF(OR($BI22=1,$BL22=1,$BH22&gt;0),"–",""))</f>
        <v/>
      </c>
      <c r="F19">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f>IF($BJ22&gt;0,IF(INDEX('Final Calculation Sheet'!$E$4:$E$40,$BJ22-3)="","",INDEX('Final Calculation Sheet'!$E$4:$E$40,$BJ22-3)),IF(OR($BI22=1,$BL22=1,$BH22&gt;0),"–",""))</f>
        <v/>
      </c>
      <c r="H19">
        <f>IF($BJ22&gt;0,IF(INDEX('Final Calculation Sheet'!$C$4:$C$40,$BJ22-3)="","",INDEX('Final Calculation Sheet'!$C$4:$C$40,$BJ22-3)),IF(OR($BI22=1,$BL22=1,$BH22&gt;0),"–",""))</f>
        <v/>
      </c>
      <c r="I19">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f>IF($BJ22&gt;0,IF(INDEX('Final Calculation Sheet'!$Q$4:$Q$40,$BJ22-3)="","",INDEX('Final Calculation Sheet'!$Q$4:$Q$40,$BJ22-3)),IF(OR($BI22=1,$BL22=1,$BH22&gt;0),"–",""))</f>
        <v/>
      </c>
      <c r="S19">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f>IF($BJ22&gt;0,IF(INDEX('Final Calculation Sheet'!$V$4:$V$40,$BJ22-3)="","",INDEX('Final Calculation Sheet'!$V$4:$V$40,$BJ22-3)),IF(OR($BI22=1,$BL22=1,$BH22&gt;0),"–",""))</f>
        <v/>
      </c>
      <c r="X19">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f>IF($BJ22&gt;0,IF(INDEX('Final Calculation Sheet'!$Y$4:$Y$40,$BJ22-3)="","",INDEX('Final Calculation Sheet'!$Y$4:$Y$40,$BJ22-3)),IF(OR($BI22=1,$BL22=1,$BH22&gt;0),"–",""))</f>
        <v/>
      </c>
      <c r="AA19">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f>IF($BJ22&gt;0,IF(INDEX('Final Calculation Sheet'!$AB$4:$AB$40,$BJ22-3)="","",INDEX('Final Calculation Sheet'!$AB$4:$AB$40,$BJ22-3)),IF(OR($BI22=1,$BL22=1,$BH22&gt;0),"–",""))</f>
        <v/>
      </c>
      <c r="AD19">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f>IF($BJ22&gt;0,IF(INDEX('Final Calculation Sheet'!$AF$4:$AF$40,$BJ22-3)="","",INDEX('Final Calculation Sheet'!$AF$4:$AF$40,$BJ22-3)),IF(OR($BI22=1,$BL22=1,$BH22&gt;0),"–",""))</f>
        <v/>
      </c>
      <c r="AG19">
        <f>IF($BJ22&gt;0,IF(INDEX('Final Calculation Sheet'!$AG$4:$AG$40,$BJ22-3)="","",INDEX('Final Calculation Sheet'!$AG$4:$AG$40,$BJ22-3)),IF(OR($BI22=1,$BL22=1,$BH22&gt;0),"–",""))</f>
        <v/>
      </c>
      <c r="AH19">
        <f>IF($BJ22&gt;0,IF(INDEX('Final Calculation Sheet'!$AH$4:$AH$40,$BJ22-3)="","",INDEX('Final Calculation Sheet'!$AH$4:$AH$40,$BJ22-3)),IF(OR($BI22=1,$BL22=1,$BH22&gt;0),"–",""))</f>
        <v/>
      </c>
      <c r="AI19">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f>IF($BJ23&gt;0,INDEX($BA$5:$BA$41,MATCH(23,$BB$5:$BB$41,0)),IF(OR($BI23=1,$BL23=1,$BH23&gt;0),"∑",""))</f>
        <v/>
      </c>
      <c r="B20">
        <f>IF($BJ23&gt;0,IF(INDEX('Final Calculation Sheet'!$F$4:$F$40,$BJ23-3)="","",INDEX('Final Calculation Sheet'!$F$4:$F$40,$BJ23-3)),"")</f>
        <v/>
      </c>
      <c r="C20">
        <f>IF($BJ23&gt;0,IF(INDEX('Final Calculation Sheet'!$G$4:$G$40,$BJ23-3)="","",INDEX('Final Calculation Sheet'!$G$4:$G$40,$BJ23-3)),IF(OR($BI23=1,$BL23=1,$BH23&gt;0),IF($BI23=1,37,IF($BL23=1,37-INDEX($BD$4:$BD$13,10),INDEX($BD$4:$BD$13,$BH23)))&amp;" lot(s)",""))</f>
        <v/>
      </c>
      <c r="D20">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f>IF($BJ23&gt;0,IF(INDEX('Final Calculation Sheet'!$D$4:$D$40,$BJ23-3)="","",INDEX('Final Calculation Sheet'!$D$4:$D$40,$BJ23-3)),IF(OR($BI23=1,$BL23=1,$BH23&gt;0),"–",""))</f>
        <v/>
      </c>
      <c r="F20">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f>IF($BJ23&gt;0,IF(INDEX('Final Calculation Sheet'!$E$4:$E$40,$BJ23-3)="","",INDEX('Final Calculation Sheet'!$E$4:$E$40,$BJ23-3)),IF(OR($BI23=1,$BL23=1,$BH23&gt;0),"–",""))</f>
        <v/>
      </c>
      <c r="H20">
        <f>IF($BJ23&gt;0,IF(INDEX('Final Calculation Sheet'!$C$4:$C$40,$BJ23-3)="","",INDEX('Final Calculation Sheet'!$C$4:$C$40,$BJ23-3)),IF(OR($BI23=1,$BL23=1,$BH23&gt;0),"–",""))</f>
        <v/>
      </c>
      <c r="I20">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f>IF($BJ23&gt;0,IF(INDEX('Final Calculation Sheet'!$Q$4:$Q$40,$BJ23-3)="","",INDEX('Final Calculation Sheet'!$Q$4:$Q$40,$BJ23-3)),IF(OR($BI23=1,$BL23=1,$BH23&gt;0),"–",""))</f>
        <v/>
      </c>
      <c r="S20">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f>IF($BJ23&gt;0,IF(INDEX('Final Calculation Sheet'!$V$4:$V$40,$BJ23-3)="","",INDEX('Final Calculation Sheet'!$V$4:$V$40,$BJ23-3)),IF(OR($BI23=1,$BL23=1,$BH23&gt;0),"–",""))</f>
        <v/>
      </c>
      <c r="X20">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f>IF($BJ23&gt;0,IF(INDEX('Final Calculation Sheet'!$Y$4:$Y$40,$BJ23-3)="","",INDEX('Final Calculation Sheet'!$Y$4:$Y$40,$BJ23-3)),IF(OR($BI23=1,$BL23=1,$BH23&gt;0),"–",""))</f>
        <v/>
      </c>
      <c r="AA20">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f>IF($BJ23&gt;0,IF(INDEX('Final Calculation Sheet'!$AB$4:$AB$40,$BJ23-3)="","",INDEX('Final Calculation Sheet'!$AB$4:$AB$40,$BJ23-3)),IF(OR($BI23=1,$BL23=1,$BH23&gt;0),"–",""))</f>
        <v/>
      </c>
      <c r="AD2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f>IF($BJ23&gt;0,IF(INDEX('Final Calculation Sheet'!$AF$4:$AF$40,$BJ23-3)="","",INDEX('Final Calculation Sheet'!$AF$4:$AF$40,$BJ23-3)),IF(OR($BI23=1,$BL23=1,$BH23&gt;0),"–",""))</f>
        <v/>
      </c>
      <c r="AG20">
        <f>IF($BJ23&gt;0,IF(INDEX('Final Calculation Sheet'!$AG$4:$AG$40,$BJ23-3)="","",INDEX('Final Calculation Sheet'!$AG$4:$AG$40,$BJ23-3)),IF(OR($BI23=1,$BL23=1,$BH23&gt;0),"–",""))</f>
        <v/>
      </c>
      <c r="AH20">
        <f>IF($BJ23&gt;0,IF(INDEX('Final Calculation Sheet'!$AH$4:$AH$40,$BJ23-3)="","",INDEX('Final Calculation Sheet'!$AH$4:$AH$40,$BJ23-3)),IF(OR($BI23=1,$BL23=1,$BH23&gt;0),"–",""))</f>
        <v/>
      </c>
      <c r="AI20">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f>IF($BJ24&gt;0,INDEX($BA$5:$BA$41,MATCH(24,$BB$5:$BB$41,0)),IF(OR($BI24=1,$BL24=1,$BH24&gt;0),"∑",""))</f>
        <v/>
      </c>
      <c r="B21">
        <f>IF($BJ24&gt;0,IF(INDEX('Final Calculation Sheet'!$F$4:$F$40,$BJ24-3)="","",INDEX('Final Calculation Sheet'!$F$4:$F$40,$BJ24-3)),"")</f>
        <v/>
      </c>
      <c r="C21">
        <f>IF($BJ24&gt;0,IF(INDEX('Final Calculation Sheet'!$G$4:$G$40,$BJ24-3)="","",INDEX('Final Calculation Sheet'!$G$4:$G$40,$BJ24-3)),IF(OR($BI24=1,$BL24=1,$BH24&gt;0),IF($BI24=1,37,IF($BL24=1,37-INDEX($BD$4:$BD$13,10),INDEX($BD$4:$BD$13,$BH24)))&amp;" lot(s)",""))</f>
        <v/>
      </c>
      <c r="D21">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f>IF($BJ24&gt;0,IF(INDEX('Final Calculation Sheet'!$D$4:$D$40,$BJ24-3)="","",INDEX('Final Calculation Sheet'!$D$4:$D$40,$BJ24-3)),IF(OR($BI24=1,$BL24=1,$BH24&gt;0),"–",""))</f>
        <v/>
      </c>
      <c r="F21">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f>IF($BJ24&gt;0,IF(INDEX('Final Calculation Sheet'!$E$4:$E$40,$BJ24-3)="","",INDEX('Final Calculation Sheet'!$E$4:$E$40,$BJ24-3)),IF(OR($BI24=1,$BL24=1,$BH24&gt;0),"–",""))</f>
        <v/>
      </c>
      <c r="H21">
        <f>IF($BJ24&gt;0,IF(INDEX('Final Calculation Sheet'!$C$4:$C$40,$BJ24-3)="","",INDEX('Final Calculation Sheet'!$C$4:$C$40,$BJ24-3)),IF(OR($BI24=1,$BL24=1,$BH24&gt;0),"–",""))</f>
        <v/>
      </c>
      <c r="I21">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f>IF($BJ24&gt;0,IF(INDEX('Final Calculation Sheet'!$Q$4:$Q$40,$BJ24-3)="","",INDEX('Final Calculation Sheet'!$Q$4:$Q$40,$BJ24-3)),IF(OR($BI24=1,$BL24=1,$BH24&gt;0),"–",""))</f>
        <v/>
      </c>
      <c r="S21">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f>IF($BJ24&gt;0,IF(INDEX('Final Calculation Sheet'!$V$4:$V$40,$BJ24-3)="","",INDEX('Final Calculation Sheet'!$V$4:$V$40,$BJ24-3)),IF(OR($BI24=1,$BL24=1,$BH24&gt;0),"–",""))</f>
        <v/>
      </c>
      <c r="X21">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f>IF($BJ24&gt;0,IF(INDEX('Final Calculation Sheet'!$Y$4:$Y$40,$BJ24-3)="","",INDEX('Final Calculation Sheet'!$Y$4:$Y$40,$BJ24-3)),IF(OR($BI24=1,$BL24=1,$BH24&gt;0),"–",""))</f>
        <v/>
      </c>
      <c r="AA21">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f>IF($BJ24&gt;0,IF(INDEX('Final Calculation Sheet'!$AB$4:$AB$40,$BJ24-3)="","",INDEX('Final Calculation Sheet'!$AB$4:$AB$40,$BJ24-3)),IF(OR($BI24=1,$BL24=1,$BH24&gt;0),"–",""))</f>
        <v/>
      </c>
      <c r="AD21">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f>IF($BJ24&gt;0,IF(INDEX('Final Calculation Sheet'!$AF$4:$AF$40,$BJ24-3)="","",INDEX('Final Calculation Sheet'!$AF$4:$AF$40,$BJ24-3)),IF(OR($BI24=1,$BL24=1,$BH24&gt;0),"–",""))</f>
        <v/>
      </c>
      <c r="AG21">
        <f>IF($BJ24&gt;0,IF(INDEX('Final Calculation Sheet'!$AG$4:$AG$40,$BJ24-3)="","",INDEX('Final Calculation Sheet'!$AG$4:$AG$40,$BJ24-3)),IF(OR($BI24=1,$BL24=1,$BH24&gt;0),"–",""))</f>
        <v/>
      </c>
      <c r="AH21">
        <f>IF($BJ24&gt;0,IF(INDEX('Final Calculation Sheet'!$AH$4:$AH$40,$BJ24-3)="","",INDEX('Final Calculation Sheet'!$AH$4:$AH$40,$BJ24-3)),IF(OR($BI24=1,$BL24=1,$BH24&gt;0),"–",""))</f>
        <v/>
      </c>
      <c r="AI21">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f>IF($BJ25&gt;0,INDEX($BA$5:$BA$41,MATCH(25,$BB$5:$BB$41,0)),IF(OR($BI25=1,$BL25=1,$BH25&gt;0),"∑",""))</f>
        <v/>
      </c>
      <c r="B22">
        <f>IF($BJ25&gt;0,IF(INDEX('Final Calculation Sheet'!$F$4:$F$40,$BJ25-3)="","",INDEX('Final Calculation Sheet'!$F$4:$F$40,$BJ25-3)),"")</f>
        <v/>
      </c>
      <c r="C22">
        <f>IF($BJ25&gt;0,IF(INDEX('Final Calculation Sheet'!$G$4:$G$40,$BJ25-3)="","",INDEX('Final Calculation Sheet'!$G$4:$G$40,$BJ25-3)),IF(OR($BI25=1,$BL25=1,$BH25&gt;0),IF($BI25=1,37,IF($BL25=1,37-INDEX($BD$4:$BD$13,10),INDEX($BD$4:$BD$13,$BH25)))&amp;" lot(s)",""))</f>
        <v/>
      </c>
      <c r="D22">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f>IF($BJ25&gt;0,IF(INDEX('Final Calculation Sheet'!$D$4:$D$40,$BJ25-3)="","",INDEX('Final Calculation Sheet'!$D$4:$D$40,$BJ25-3)),IF(OR($BI25=1,$BL25=1,$BH25&gt;0),"–",""))</f>
        <v/>
      </c>
      <c r="F22">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f>IF($BJ25&gt;0,IF(INDEX('Final Calculation Sheet'!$E$4:$E$40,$BJ25-3)="","",INDEX('Final Calculation Sheet'!$E$4:$E$40,$BJ25-3)),IF(OR($BI25=1,$BL25=1,$BH25&gt;0),"–",""))</f>
        <v/>
      </c>
      <c r="H22">
        <f>IF($BJ25&gt;0,IF(INDEX('Final Calculation Sheet'!$C$4:$C$40,$BJ25-3)="","",INDEX('Final Calculation Sheet'!$C$4:$C$40,$BJ25-3)),IF(OR($BI25=1,$BL25=1,$BH25&gt;0),"–",""))</f>
        <v/>
      </c>
      <c r="I22">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f>IF($BJ25&gt;0,IF(INDEX('Final Calculation Sheet'!$Q$4:$Q$40,$BJ25-3)="","",INDEX('Final Calculation Sheet'!$Q$4:$Q$40,$BJ25-3)),IF(OR($BI25=1,$BL25=1,$BH25&gt;0),"–",""))</f>
        <v/>
      </c>
      <c r="S22">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f>IF($BJ25&gt;0,IF(INDEX('Final Calculation Sheet'!$V$4:$V$40,$BJ25-3)="","",INDEX('Final Calculation Sheet'!$V$4:$V$40,$BJ25-3)),IF(OR($BI25=1,$BL25=1,$BH25&gt;0),"–",""))</f>
        <v/>
      </c>
      <c r="X22">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f>IF($BJ25&gt;0,IF(INDEX('Final Calculation Sheet'!$Y$4:$Y$40,$BJ25-3)="","",INDEX('Final Calculation Sheet'!$Y$4:$Y$40,$BJ25-3)),IF(OR($BI25=1,$BL25=1,$BH25&gt;0),"–",""))</f>
        <v/>
      </c>
      <c r="AA22">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f>IF($BJ25&gt;0,IF(INDEX('Final Calculation Sheet'!$AB$4:$AB$40,$BJ25-3)="","",INDEX('Final Calculation Sheet'!$AB$4:$AB$40,$BJ25-3)),IF(OR($BI25=1,$BL25=1,$BH25&gt;0),"–",""))</f>
        <v/>
      </c>
      <c r="AD22">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f>IF($BJ25&gt;0,IF(INDEX('Final Calculation Sheet'!$AF$4:$AF$40,$BJ25-3)="","",INDEX('Final Calculation Sheet'!$AF$4:$AF$40,$BJ25-3)),IF(OR($BI25=1,$BL25=1,$BH25&gt;0),"–",""))</f>
        <v/>
      </c>
      <c r="AG22">
        <f>IF($BJ25&gt;0,IF(INDEX('Final Calculation Sheet'!$AG$4:$AG$40,$BJ25-3)="","",INDEX('Final Calculation Sheet'!$AG$4:$AG$40,$BJ25-3)),IF(OR($BI25=1,$BL25=1,$BH25&gt;0),"–",""))</f>
        <v/>
      </c>
      <c r="AH22">
        <f>IF($BJ25&gt;0,IF(INDEX('Final Calculation Sheet'!$AH$4:$AH$40,$BJ25-3)="","",INDEX('Final Calculation Sheet'!$AH$4:$AH$40,$BJ25-3)),IF(OR($BI25=1,$BL25=1,$BH25&gt;0),"–",""))</f>
        <v/>
      </c>
      <c r="AI22">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f>IF($BJ26&gt;0,INDEX($BA$5:$BA$41,MATCH(26,$BB$5:$BB$41,0)),IF(OR($BI26=1,$BL26=1,$BH26&gt;0),"∑",""))</f>
        <v/>
      </c>
      <c r="B23">
        <f>IF($BJ26&gt;0,IF(INDEX('Final Calculation Sheet'!$F$4:$F$40,$BJ26-3)="","",INDEX('Final Calculation Sheet'!$F$4:$F$40,$BJ26-3)),"")</f>
        <v/>
      </c>
      <c r="C23">
        <f>IF($BJ26&gt;0,IF(INDEX('Final Calculation Sheet'!$G$4:$G$40,$BJ26-3)="","",INDEX('Final Calculation Sheet'!$G$4:$G$40,$BJ26-3)),IF(OR($BI26=1,$BL26=1,$BH26&gt;0),IF($BI26=1,37,IF($BL26=1,37-INDEX($BD$4:$BD$13,10),INDEX($BD$4:$BD$13,$BH26)))&amp;" lot(s)",""))</f>
        <v/>
      </c>
      <c r="D23">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f>IF($BJ26&gt;0,IF(INDEX('Final Calculation Sheet'!$D$4:$D$40,$BJ26-3)="","",INDEX('Final Calculation Sheet'!$D$4:$D$40,$BJ26-3)),IF(OR($BI26=1,$BL26=1,$BH26&gt;0),"–",""))</f>
        <v/>
      </c>
      <c r="F23">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f>IF($BJ26&gt;0,IF(INDEX('Final Calculation Sheet'!$E$4:$E$40,$BJ26-3)="","",INDEX('Final Calculation Sheet'!$E$4:$E$40,$BJ26-3)),IF(OR($BI26=1,$BL26=1,$BH26&gt;0),"–",""))</f>
        <v/>
      </c>
      <c r="H23">
        <f>IF($BJ26&gt;0,IF(INDEX('Final Calculation Sheet'!$C$4:$C$40,$BJ26-3)="","",INDEX('Final Calculation Sheet'!$C$4:$C$40,$BJ26-3)),IF(OR($BI26=1,$BL26=1,$BH26&gt;0),"–",""))</f>
        <v/>
      </c>
      <c r="I23">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f>IF($BJ26&gt;0,IF(INDEX('Final Calculation Sheet'!$Q$4:$Q$40,$BJ26-3)="","",INDEX('Final Calculation Sheet'!$Q$4:$Q$40,$BJ26-3)),IF(OR($BI26=1,$BL26=1,$BH26&gt;0),"–",""))</f>
        <v/>
      </c>
      <c r="S23">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f>IF($BJ26&gt;0,IF(INDEX('Final Calculation Sheet'!$V$4:$V$40,$BJ26-3)="","",INDEX('Final Calculation Sheet'!$V$4:$V$40,$BJ26-3)),IF(OR($BI26=1,$BL26=1,$BH26&gt;0),"–",""))</f>
        <v/>
      </c>
      <c r="X23">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f>IF($BJ26&gt;0,IF(INDEX('Final Calculation Sheet'!$Y$4:$Y$40,$BJ26-3)="","",INDEX('Final Calculation Sheet'!$Y$4:$Y$40,$BJ26-3)),IF(OR($BI26=1,$BL26=1,$BH26&gt;0),"–",""))</f>
        <v/>
      </c>
      <c r="AA23">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f>IF($BJ26&gt;0,IF(INDEX('Final Calculation Sheet'!$AB$4:$AB$40,$BJ26-3)="","",INDEX('Final Calculation Sheet'!$AB$4:$AB$40,$BJ26-3)),IF(OR($BI26=1,$BL26=1,$BH26&gt;0),"–",""))</f>
        <v/>
      </c>
      <c r="AD23">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f>IF($BJ26&gt;0,IF(INDEX('Final Calculation Sheet'!$AF$4:$AF$40,$BJ26-3)="","",INDEX('Final Calculation Sheet'!$AF$4:$AF$40,$BJ26-3)),IF(OR($BI26=1,$BL26=1,$BH26&gt;0),"–",""))</f>
        <v/>
      </c>
      <c r="AG23">
        <f>IF($BJ26&gt;0,IF(INDEX('Final Calculation Sheet'!$AG$4:$AG$40,$BJ26-3)="","",INDEX('Final Calculation Sheet'!$AG$4:$AG$40,$BJ26-3)),IF(OR($BI26=1,$BL26=1,$BH26&gt;0),"–",""))</f>
        <v/>
      </c>
      <c r="AH23">
        <f>IF($BJ26&gt;0,IF(INDEX('Final Calculation Sheet'!$AH$4:$AH$40,$BJ26-3)="","",INDEX('Final Calculation Sheet'!$AH$4:$AH$40,$BJ26-3)),IF(OR($BI26=1,$BL26=1,$BH26&gt;0),"–",""))</f>
        <v/>
      </c>
      <c r="AI23">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f>IF($BJ27&gt;0,INDEX($BA$5:$BA$41,MATCH(27,$BB$5:$BB$41,0)),IF(OR($BI27=1,$BL27=1,$BH27&gt;0),"∑",""))</f>
        <v/>
      </c>
      <c r="B24">
        <f>IF($BJ27&gt;0,IF(INDEX('Final Calculation Sheet'!$F$4:$F$40,$BJ27-3)="","",INDEX('Final Calculation Sheet'!$F$4:$F$40,$BJ27-3)),"")</f>
        <v/>
      </c>
      <c r="C24">
        <f>IF($BJ27&gt;0,IF(INDEX('Final Calculation Sheet'!$G$4:$G$40,$BJ27-3)="","",INDEX('Final Calculation Sheet'!$G$4:$G$40,$BJ27-3)),IF(OR($BI27=1,$BL27=1,$BH27&gt;0),IF($BI27=1,37,IF($BL27=1,37-INDEX($BD$4:$BD$13,10),INDEX($BD$4:$BD$13,$BH27)))&amp;" lot(s)",""))</f>
        <v/>
      </c>
      <c r="D24">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f>IF($BJ27&gt;0,IF(INDEX('Final Calculation Sheet'!$D$4:$D$40,$BJ27-3)="","",INDEX('Final Calculation Sheet'!$D$4:$D$40,$BJ27-3)),IF(OR($BI27=1,$BL27=1,$BH27&gt;0),"–",""))</f>
        <v/>
      </c>
      <c r="F24">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f>IF($BJ27&gt;0,IF(INDEX('Final Calculation Sheet'!$E$4:$E$40,$BJ27-3)="","",INDEX('Final Calculation Sheet'!$E$4:$E$40,$BJ27-3)),IF(OR($BI27=1,$BL27=1,$BH27&gt;0),"–",""))</f>
        <v/>
      </c>
      <c r="H24">
        <f>IF($BJ27&gt;0,IF(INDEX('Final Calculation Sheet'!$C$4:$C$40,$BJ27-3)="","",INDEX('Final Calculation Sheet'!$C$4:$C$40,$BJ27-3)),IF(OR($BI27=1,$BL27=1,$BH27&gt;0),"–",""))</f>
        <v/>
      </c>
      <c r="I24">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f>IF($BJ27&gt;0,IF(INDEX('Final Calculation Sheet'!$Q$4:$Q$40,$BJ27-3)="","",INDEX('Final Calculation Sheet'!$Q$4:$Q$40,$BJ27-3)),IF(OR($BI27=1,$BL27=1,$BH27&gt;0),"–",""))</f>
        <v/>
      </c>
      <c r="S24">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f>IF($BJ27&gt;0,IF(INDEX('Final Calculation Sheet'!$V$4:$V$40,$BJ27-3)="","",INDEX('Final Calculation Sheet'!$V$4:$V$40,$BJ27-3)),IF(OR($BI27=1,$BL27=1,$BH27&gt;0),"–",""))</f>
        <v/>
      </c>
      <c r="X24">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f>IF($BJ27&gt;0,IF(INDEX('Final Calculation Sheet'!$Y$4:$Y$40,$BJ27-3)="","",INDEX('Final Calculation Sheet'!$Y$4:$Y$40,$BJ27-3)),IF(OR($BI27=1,$BL27=1,$BH27&gt;0),"–",""))</f>
        <v/>
      </c>
      <c r="AA24">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f>IF($BJ27&gt;0,IF(INDEX('Final Calculation Sheet'!$AB$4:$AB$40,$BJ27-3)="","",INDEX('Final Calculation Sheet'!$AB$4:$AB$40,$BJ27-3)),IF(OR($BI27=1,$BL27=1,$BH27&gt;0),"–",""))</f>
        <v/>
      </c>
      <c r="AD24">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f>IF($BJ27&gt;0,IF(INDEX('Final Calculation Sheet'!$AF$4:$AF$40,$BJ27-3)="","",INDEX('Final Calculation Sheet'!$AF$4:$AF$40,$BJ27-3)),IF(OR($BI27=1,$BL27=1,$BH27&gt;0),"–",""))</f>
        <v/>
      </c>
      <c r="AG24">
        <f>IF($BJ27&gt;0,IF(INDEX('Final Calculation Sheet'!$AG$4:$AG$40,$BJ27-3)="","",INDEX('Final Calculation Sheet'!$AG$4:$AG$40,$BJ27-3)),IF(OR($BI27=1,$BL27=1,$BH27&gt;0),"–",""))</f>
        <v/>
      </c>
      <c r="AH24">
        <f>IF($BJ27&gt;0,IF(INDEX('Final Calculation Sheet'!$AH$4:$AH$40,$BJ27-3)="","",INDEX('Final Calculation Sheet'!$AH$4:$AH$40,$BJ27-3)),IF(OR($BI27=1,$BL27=1,$BH27&gt;0),"–",""))</f>
        <v/>
      </c>
      <c r="AI24">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f>IF($BJ28&gt;0,INDEX($BA$5:$BA$41,MATCH(28,$BB$5:$BB$41,0)),IF(OR($BI28=1,$BL28=1,$BH28&gt;0),"∑",""))</f>
        <v/>
      </c>
      <c r="B25">
        <f>IF($BJ28&gt;0,IF(INDEX('Final Calculation Sheet'!$F$4:$F$40,$BJ28-3)="","",INDEX('Final Calculation Sheet'!$F$4:$F$40,$BJ28-3)),"")</f>
        <v/>
      </c>
      <c r="C25">
        <f>IF($BJ28&gt;0,IF(INDEX('Final Calculation Sheet'!$G$4:$G$40,$BJ28-3)="","",INDEX('Final Calculation Sheet'!$G$4:$G$40,$BJ28-3)),IF(OR($BI28=1,$BL28=1,$BH28&gt;0),IF($BI28=1,37,IF($BL28=1,37-INDEX($BD$4:$BD$13,10),INDEX($BD$4:$BD$13,$BH28)))&amp;" lot(s)",""))</f>
        <v/>
      </c>
      <c r="D25">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f>IF($BJ28&gt;0,IF(INDEX('Final Calculation Sheet'!$D$4:$D$40,$BJ28-3)="","",INDEX('Final Calculation Sheet'!$D$4:$D$40,$BJ28-3)),IF(OR($BI28=1,$BL28=1,$BH28&gt;0),"–",""))</f>
        <v/>
      </c>
      <c r="F25">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f>IF($BJ28&gt;0,IF(INDEX('Final Calculation Sheet'!$E$4:$E$40,$BJ28-3)="","",INDEX('Final Calculation Sheet'!$E$4:$E$40,$BJ28-3)),IF(OR($BI28=1,$BL28=1,$BH28&gt;0),"–",""))</f>
        <v/>
      </c>
      <c r="H25">
        <f>IF($BJ28&gt;0,IF(INDEX('Final Calculation Sheet'!$C$4:$C$40,$BJ28-3)="","",INDEX('Final Calculation Sheet'!$C$4:$C$40,$BJ28-3)),IF(OR($BI28=1,$BL28=1,$BH28&gt;0),"–",""))</f>
        <v/>
      </c>
      <c r="I25">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f>IF($BJ28&gt;0,IF(INDEX('Final Calculation Sheet'!$Q$4:$Q$40,$BJ28-3)="","",INDEX('Final Calculation Sheet'!$Q$4:$Q$40,$BJ28-3)),IF(OR($BI28=1,$BL28=1,$BH28&gt;0),"–",""))</f>
        <v/>
      </c>
      <c r="S25">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f>IF($BJ28&gt;0,IF(INDEX('Final Calculation Sheet'!$V$4:$V$40,$BJ28-3)="","",INDEX('Final Calculation Sheet'!$V$4:$V$40,$BJ28-3)),IF(OR($BI28=1,$BL28=1,$BH28&gt;0),"–",""))</f>
        <v/>
      </c>
      <c r="X25">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f>IF($BJ28&gt;0,IF(INDEX('Final Calculation Sheet'!$Y$4:$Y$40,$BJ28-3)="","",INDEX('Final Calculation Sheet'!$Y$4:$Y$40,$BJ28-3)),IF(OR($BI28=1,$BL28=1,$BH28&gt;0),"–",""))</f>
        <v/>
      </c>
      <c r="AA25">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f>IF($BJ28&gt;0,IF(INDEX('Final Calculation Sheet'!$AB$4:$AB$40,$BJ28-3)="","",INDEX('Final Calculation Sheet'!$AB$4:$AB$40,$BJ28-3)),IF(OR($BI28=1,$BL28=1,$BH28&gt;0),"–",""))</f>
        <v/>
      </c>
      <c r="AD25">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f>IF($BJ28&gt;0,IF(INDEX('Final Calculation Sheet'!$AF$4:$AF$40,$BJ28-3)="","",INDEX('Final Calculation Sheet'!$AF$4:$AF$40,$BJ28-3)),IF(OR($BI28=1,$BL28=1,$BH28&gt;0),"–",""))</f>
        <v/>
      </c>
      <c r="AG25">
        <f>IF($BJ28&gt;0,IF(INDEX('Final Calculation Sheet'!$AG$4:$AG$40,$BJ28-3)="","",INDEX('Final Calculation Sheet'!$AG$4:$AG$40,$BJ28-3)),IF(OR($BI28=1,$BL28=1,$BH28&gt;0),"–",""))</f>
        <v/>
      </c>
      <c r="AH25">
        <f>IF($BJ28&gt;0,IF(INDEX('Final Calculation Sheet'!$AH$4:$AH$40,$BJ28-3)="","",INDEX('Final Calculation Sheet'!$AH$4:$AH$40,$BJ28-3)),IF(OR($BI28=1,$BL28=1,$BH28&gt;0),"–",""))</f>
        <v/>
      </c>
      <c r="AI2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f>IF($BJ29&gt;0,INDEX($BA$5:$BA$41,MATCH(29,$BB$5:$BB$41,0)),IF(OR($BI29=1,$BL29=1,$BH29&gt;0),"∑",""))</f>
        <v/>
      </c>
      <c r="B26">
        <f>IF($BJ29&gt;0,IF(INDEX('Final Calculation Sheet'!$F$4:$F$40,$BJ29-3)="","",INDEX('Final Calculation Sheet'!$F$4:$F$40,$BJ29-3)),"")</f>
        <v/>
      </c>
      <c r="C26">
        <f>IF($BJ29&gt;0,IF(INDEX('Final Calculation Sheet'!$G$4:$G$40,$BJ29-3)="","",INDEX('Final Calculation Sheet'!$G$4:$G$40,$BJ29-3)),IF(OR($BI29=1,$BL29=1,$BH29&gt;0),IF($BI29=1,37,IF($BL29=1,37-INDEX($BD$4:$BD$13,10),INDEX($BD$4:$BD$13,$BH29)))&amp;" lot(s)",""))</f>
        <v/>
      </c>
      <c r="D26">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f>IF($BJ29&gt;0,IF(INDEX('Final Calculation Sheet'!$D$4:$D$40,$BJ29-3)="","",INDEX('Final Calculation Sheet'!$D$4:$D$40,$BJ29-3)),IF(OR($BI29=1,$BL29=1,$BH29&gt;0),"–",""))</f>
        <v/>
      </c>
      <c r="F26">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f>IF($BJ29&gt;0,IF(INDEX('Final Calculation Sheet'!$E$4:$E$40,$BJ29-3)="","",INDEX('Final Calculation Sheet'!$E$4:$E$40,$BJ29-3)),IF(OR($BI29=1,$BL29=1,$BH29&gt;0),"–",""))</f>
        <v/>
      </c>
      <c r="H26">
        <f>IF($BJ29&gt;0,IF(INDEX('Final Calculation Sheet'!$C$4:$C$40,$BJ29-3)="","",INDEX('Final Calculation Sheet'!$C$4:$C$40,$BJ29-3)),IF(OR($BI29=1,$BL29=1,$BH29&gt;0),"–",""))</f>
        <v/>
      </c>
      <c r="I26">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f>IF($BJ29&gt;0,IF(INDEX('Final Calculation Sheet'!$Q$4:$Q$40,$BJ29-3)="","",INDEX('Final Calculation Sheet'!$Q$4:$Q$40,$BJ29-3)),IF(OR($BI29=1,$BL29=1,$BH29&gt;0),"–",""))</f>
        <v/>
      </c>
      <c r="S26">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f>IF($BJ29&gt;0,IF(INDEX('Final Calculation Sheet'!$V$4:$V$40,$BJ29-3)="","",INDEX('Final Calculation Sheet'!$V$4:$V$40,$BJ29-3)),IF(OR($BI29=1,$BL29=1,$BH29&gt;0),"–",""))</f>
        <v/>
      </c>
      <c r="X26">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f>IF($BJ29&gt;0,IF(INDEX('Final Calculation Sheet'!$Y$4:$Y$40,$BJ29-3)="","",INDEX('Final Calculation Sheet'!$Y$4:$Y$40,$BJ29-3)),IF(OR($BI29=1,$BL29=1,$BH29&gt;0),"–",""))</f>
        <v/>
      </c>
      <c r="AA26">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f>IF($BJ29&gt;0,IF(INDEX('Final Calculation Sheet'!$AB$4:$AB$40,$BJ29-3)="","",INDEX('Final Calculation Sheet'!$AB$4:$AB$40,$BJ29-3)),IF(OR($BI29=1,$BL29=1,$BH29&gt;0),"–",""))</f>
        <v/>
      </c>
      <c r="AD26">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f>IF($BJ29&gt;0,IF(INDEX('Final Calculation Sheet'!$AF$4:$AF$40,$BJ29-3)="","",INDEX('Final Calculation Sheet'!$AF$4:$AF$40,$BJ29-3)),IF(OR($BI29=1,$BL29=1,$BH29&gt;0),"–",""))</f>
        <v/>
      </c>
      <c r="AG26">
        <f>IF($BJ29&gt;0,IF(INDEX('Final Calculation Sheet'!$AG$4:$AG$40,$BJ29-3)="","",INDEX('Final Calculation Sheet'!$AG$4:$AG$40,$BJ29-3)),IF(OR($BI29=1,$BL29=1,$BH29&gt;0),"–",""))</f>
        <v/>
      </c>
      <c r="AH26">
        <f>IF($BJ29&gt;0,IF(INDEX('Final Calculation Sheet'!$AH$4:$AH$40,$BJ29-3)="","",INDEX('Final Calculation Sheet'!$AH$4:$AH$40,$BJ29-3)),IF(OR($BI29=1,$BL29=1,$BH29&gt;0),"–",""))</f>
        <v/>
      </c>
      <c r="AI26">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f>IF($BJ30&gt;0,INDEX($BA$5:$BA$41,MATCH(30,$BB$5:$BB$41,0)),IF(OR($BI30=1,$BL30=1,$BH30&gt;0),"∑",""))</f>
        <v/>
      </c>
      <c r="B27">
        <f>IF($BJ30&gt;0,IF(INDEX('Final Calculation Sheet'!$F$4:$F$40,$BJ30-3)="","",INDEX('Final Calculation Sheet'!$F$4:$F$40,$BJ30-3)),"")</f>
        <v/>
      </c>
      <c r="C27">
        <f>IF($BJ30&gt;0,IF(INDEX('Final Calculation Sheet'!$G$4:$G$40,$BJ30-3)="","",INDEX('Final Calculation Sheet'!$G$4:$G$40,$BJ30-3)),IF(OR($BI30=1,$BL30=1,$BH30&gt;0),IF($BI30=1,37,IF($BL30=1,37-INDEX($BD$4:$BD$13,10),INDEX($BD$4:$BD$13,$BH30)))&amp;" lot(s)",""))</f>
        <v/>
      </c>
      <c r="D27">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f>IF($BJ30&gt;0,IF(INDEX('Final Calculation Sheet'!$D$4:$D$40,$BJ30-3)="","",INDEX('Final Calculation Sheet'!$D$4:$D$40,$BJ30-3)),IF(OR($BI30=1,$BL30=1,$BH30&gt;0),"–",""))</f>
        <v/>
      </c>
      <c r="F27">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f>IF($BJ30&gt;0,IF(INDEX('Final Calculation Sheet'!$E$4:$E$40,$BJ30-3)="","",INDEX('Final Calculation Sheet'!$E$4:$E$40,$BJ30-3)),IF(OR($BI30=1,$BL30=1,$BH30&gt;0),"–",""))</f>
        <v/>
      </c>
      <c r="H27">
        <f>IF($BJ30&gt;0,IF(INDEX('Final Calculation Sheet'!$C$4:$C$40,$BJ30-3)="","",INDEX('Final Calculation Sheet'!$C$4:$C$40,$BJ30-3)),IF(OR($BI30=1,$BL30=1,$BH30&gt;0),"–",""))</f>
        <v/>
      </c>
      <c r="I27">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f>IF($BJ30&gt;0,IF(INDEX('Final Calculation Sheet'!$Q$4:$Q$40,$BJ30-3)="","",INDEX('Final Calculation Sheet'!$Q$4:$Q$40,$BJ30-3)),IF(OR($BI30=1,$BL30=1,$BH30&gt;0),"–",""))</f>
        <v/>
      </c>
      <c r="S27">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f>IF($BJ30&gt;0,IF(INDEX('Final Calculation Sheet'!$V$4:$V$40,$BJ30-3)="","",INDEX('Final Calculation Sheet'!$V$4:$V$40,$BJ30-3)),IF(OR($BI30=1,$BL30=1,$BH30&gt;0),"–",""))</f>
        <v/>
      </c>
      <c r="X27">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f>IF($BJ30&gt;0,IF(INDEX('Final Calculation Sheet'!$Y$4:$Y$40,$BJ30-3)="","",INDEX('Final Calculation Sheet'!$Y$4:$Y$40,$BJ30-3)),IF(OR($BI30=1,$BL30=1,$BH30&gt;0),"–",""))</f>
        <v/>
      </c>
      <c r="AA27">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f>IF($BJ30&gt;0,IF(INDEX('Final Calculation Sheet'!$AB$4:$AB$40,$BJ30-3)="","",INDEX('Final Calculation Sheet'!$AB$4:$AB$40,$BJ30-3)),IF(OR($BI30=1,$BL30=1,$BH30&gt;0),"–",""))</f>
        <v/>
      </c>
      <c r="AD27">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f>IF($BJ30&gt;0,IF(INDEX('Final Calculation Sheet'!$AF$4:$AF$40,$BJ30-3)="","",INDEX('Final Calculation Sheet'!$AF$4:$AF$40,$BJ30-3)),IF(OR($BI30=1,$BL30=1,$BH30&gt;0),"–",""))</f>
        <v/>
      </c>
      <c r="AG27">
        <f>IF($BJ30&gt;0,IF(INDEX('Final Calculation Sheet'!$AG$4:$AG$40,$BJ30-3)="","",INDEX('Final Calculation Sheet'!$AG$4:$AG$40,$BJ30-3)),IF(OR($BI30=1,$BL30=1,$BH30&gt;0),"–",""))</f>
        <v/>
      </c>
      <c r="AH27">
        <f>IF($BJ30&gt;0,IF(INDEX('Final Calculation Sheet'!$AH$4:$AH$40,$BJ30-3)="","",INDEX('Final Calculation Sheet'!$AH$4:$AH$40,$BJ30-3)),IF(OR($BI30=1,$BL30=1,$BH30&gt;0),"–",""))</f>
        <v/>
      </c>
      <c r="AI27">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f>IF($BJ31&gt;0,INDEX($BA$5:$BA$41,MATCH(31,$BB$5:$BB$41,0)),IF(OR($BI31=1,$BL31=1,$BH31&gt;0),"∑",""))</f>
        <v/>
      </c>
      <c r="B28">
        <f>IF($BJ31&gt;0,IF(INDEX('Final Calculation Sheet'!$F$4:$F$40,$BJ31-3)="","",INDEX('Final Calculation Sheet'!$F$4:$F$40,$BJ31-3)),"")</f>
        <v/>
      </c>
      <c r="C28">
        <f>IF($BJ31&gt;0,IF(INDEX('Final Calculation Sheet'!$G$4:$G$40,$BJ31-3)="","",INDEX('Final Calculation Sheet'!$G$4:$G$40,$BJ31-3)),IF(OR($BI31=1,$BL31=1,$BH31&gt;0),IF($BI31=1,37,IF($BL31=1,37-INDEX($BD$4:$BD$13,10),INDEX($BD$4:$BD$13,$BH31)))&amp;" lot(s)",""))</f>
        <v/>
      </c>
      <c r="D28">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f>IF($BJ31&gt;0,IF(INDEX('Final Calculation Sheet'!$D$4:$D$40,$BJ31-3)="","",INDEX('Final Calculation Sheet'!$D$4:$D$40,$BJ31-3)),IF(OR($BI31=1,$BL31=1,$BH31&gt;0),"–",""))</f>
        <v/>
      </c>
      <c r="F28">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f>IF($BJ31&gt;0,IF(INDEX('Final Calculation Sheet'!$E$4:$E$40,$BJ31-3)="","",INDEX('Final Calculation Sheet'!$E$4:$E$40,$BJ31-3)),IF(OR($BI31=1,$BL31=1,$BH31&gt;0),"–",""))</f>
        <v/>
      </c>
      <c r="H28">
        <f>IF($BJ31&gt;0,IF(INDEX('Final Calculation Sheet'!$C$4:$C$40,$BJ31-3)="","",INDEX('Final Calculation Sheet'!$C$4:$C$40,$BJ31-3)),IF(OR($BI31=1,$BL31=1,$BH31&gt;0),"–",""))</f>
        <v/>
      </c>
      <c r="I28">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f>IF($BJ31&gt;0,IF(INDEX('Final Calculation Sheet'!$Q$4:$Q$40,$BJ31-3)="","",INDEX('Final Calculation Sheet'!$Q$4:$Q$40,$BJ31-3)),IF(OR($BI31=1,$BL31=1,$BH31&gt;0),"–",""))</f>
        <v/>
      </c>
      <c r="S28">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f>IF($BJ31&gt;0,IF(INDEX('Final Calculation Sheet'!$V$4:$V$40,$BJ31-3)="","",INDEX('Final Calculation Sheet'!$V$4:$V$40,$BJ31-3)),IF(OR($BI31=1,$BL31=1,$BH31&gt;0),"–",""))</f>
        <v/>
      </c>
      <c r="X28">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f>IF($BJ31&gt;0,IF(INDEX('Final Calculation Sheet'!$Y$4:$Y$40,$BJ31-3)="","",INDEX('Final Calculation Sheet'!$Y$4:$Y$40,$BJ31-3)),IF(OR($BI31=1,$BL31=1,$BH31&gt;0),"–",""))</f>
        <v/>
      </c>
      <c r="AA28">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f>IF($BJ31&gt;0,IF(INDEX('Final Calculation Sheet'!$AB$4:$AB$40,$BJ31-3)="","",INDEX('Final Calculation Sheet'!$AB$4:$AB$40,$BJ31-3)),IF(OR($BI31=1,$BL31=1,$BH31&gt;0),"–",""))</f>
        <v/>
      </c>
      <c r="AD28">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f>IF($BJ31&gt;0,IF(INDEX('Final Calculation Sheet'!$AF$4:$AF$40,$BJ31-3)="","",INDEX('Final Calculation Sheet'!$AF$4:$AF$40,$BJ31-3)),IF(OR($BI31=1,$BL31=1,$BH31&gt;0),"–",""))</f>
        <v/>
      </c>
      <c r="AG28">
        <f>IF($BJ31&gt;0,IF(INDEX('Final Calculation Sheet'!$AG$4:$AG$40,$BJ31-3)="","",INDEX('Final Calculation Sheet'!$AG$4:$AG$40,$BJ31-3)),IF(OR($BI31=1,$BL31=1,$BH31&gt;0),"–",""))</f>
        <v/>
      </c>
      <c r="AH28">
        <f>IF($BJ31&gt;0,IF(INDEX('Final Calculation Sheet'!$AH$4:$AH$40,$BJ31-3)="","",INDEX('Final Calculation Sheet'!$AH$4:$AH$40,$BJ31-3)),IF(OR($BI31=1,$BL31=1,$BH31&gt;0),"–",""))</f>
        <v/>
      </c>
      <c r="AI28">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f>IF($BJ32&gt;0,INDEX($BA$5:$BA$41,MATCH(32,$BB$5:$BB$41,0)),IF(OR($BI32=1,$BL32=1,$BH32&gt;0),"∑",""))</f>
        <v/>
      </c>
      <c r="B29">
        <f>IF($BJ32&gt;0,IF(INDEX('Final Calculation Sheet'!$F$4:$F$40,$BJ32-3)="","",INDEX('Final Calculation Sheet'!$F$4:$F$40,$BJ32-3)),"")</f>
        <v/>
      </c>
      <c r="C29">
        <f>IF($BJ32&gt;0,IF(INDEX('Final Calculation Sheet'!$G$4:$G$40,$BJ32-3)="","",INDEX('Final Calculation Sheet'!$G$4:$G$40,$BJ32-3)),IF(OR($BI32=1,$BL32=1,$BH32&gt;0),IF($BI32=1,37,IF($BL32=1,37-INDEX($BD$4:$BD$13,10),INDEX($BD$4:$BD$13,$BH32)))&amp;" lot(s)",""))</f>
        <v/>
      </c>
      <c r="D29">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f>IF($BJ32&gt;0,IF(INDEX('Final Calculation Sheet'!$D$4:$D$40,$BJ32-3)="","",INDEX('Final Calculation Sheet'!$D$4:$D$40,$BJ32-3)),IF(OR($BI32=1,$BL32=1,$BH32&gt;0),"–",""))</f>
        <v/>
      </c>
      <c r="F29">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f>IF($BJ32&gt;0,IF(INDEX('Final Calculation Sheet'!$E$4:$E$40,$BJ32-3)="","",INDEX('Final Calculation Sheet'!$E$4:$E$40,$BJ32-3)),IF(OR($BI32=1,$BL32=1,$BH32&gt;0),"–",""))</f>
        <v/>
      </c>
      <c r="H29">
        <f>IF($BJ32&gt;0,IF(INDEX('Final Calculation Sheet'!$C$4:$C$40,$BJ32-3)="","",INDEX('Final Calculation Sheet'!$C$4:$C$40,$BJ32-3)),IF(OR($BI32=1,$BL32=1,$BH32&gt;0),"–",""))</f>
        <v/>
      </c>
      <c r="I29">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f>IF($BJ32&gt;0,IF(INDEX('Final Calculation Sheet'!$Q$4:$Q$40,$BJ32-3)="","",INDEX('Final Calculation Sheet'!$Q$4:$Q$40,$BJ32-3)),IF(OR($BI32=1,$BL32=1,$BH32&gt;0),"–",""))</f>
        <v/>
      </c>
      <c r="S29">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f>IF($BJ32&gt;0,IF(INDEX('Final Calculation Sheet'!$V$4:$V$40,$BJ32-3)="","",INDEX('Final Calculation Sheet'!$V$4:$V$40,$BJ32-3)),IF(OR($BI32=1,$BL32=1,$BH32&gt;0),"–",""))</f>
        <v/>
      </c>
      <c r="X29">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f>IF($BJ32&gt;0,IF(INDEX('Final Calculation Sheet'!$Y$4:$Y$40,$BJ32-3)="","",INDEX('Final Calculation Sheet'!$Y$4:$Y$40,$BJ32-3)),IF(OR($BI32=1,$BL32=1,$BH32&gt;0),"–",""))</f>
        <v/>
      </c>
      <c r="AA29">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f>IF($BJ32&gt;0,IF(INDEX('Final Calculation Sheet'!$AB$4:$AB$40,$BJ32-3)="","",INDEX('Final Calculation Sheet'!$AB$4:$AB$40,$BJ32-3)),IF(OR($BI32=1,$BL32=1,$BH32&gt;0),"–",""))</f>
        <v/>
      </c>
      <c r="AD29">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f>IF($BJ32&gt;0,IF(INDEX('Final Calculation Sheet'!$AF$4:$AF$40,$BJ32-3)="","",INDEX('Final Calculation Sheet'!$AF$4:$AF$40,$BJ32-3)),IF(OR($BI32=1,$BL32=1,$BH32&gt;0),"–",""))</f>
        <v/>
      </c>
      <c r="AG29">
        <f>IF($BJ32&gt;0,IF(INDEX('Final Calculation Sheet'!$AG$4:$AG$40,$BJ32-3)="","",INDEX('Final Calculation Sheet'!$AG$4:$AG$40,$BJ32-3)),IF(OR($BI32=1,$BL32=1,$BH32&gt;0),"–",""))</f>
        <v/>
      </c>
      <c r="AH29">
        <f>IF($BJ32&gt;0,IF(INDEX('Final Calculation Sheet'!$AH$4:$AH$40,$BJ32-3)="","",INDEX('Final Calculation Sheet'!$AH$4:$AH$40,$BJ32-3)),IF(OR($BI32=1,$BL32=1,$BH32&gt;0),"–",""))</f>
        <v/>
      </c>
      <c r="AI29">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f>IF($BJ33&gt;0,INDEX($BA$5:$BA$41,MATCH(33,$BB$5:$BB$41,0)),IF(OR($BI33=1,$BL33=1,$BH33&gt;0),"∑",""))</f>
        <v/>
      </c>
      <c r="B30">
        <f>IF($BJ33&gt;0,IF(INDEX('Final Calculation Sheet'!$F$4:$F$40,$BJ33-3)="","",INDEX('Final Calculation Sheet'!$F$4:$F$40,$BJ33-3)),"")</f>
        <v/>
      </c>
      <c r="C30">
        <f>IF($BJ33&gt;0,IF(INDEX('Final Calculation Sheet'!$G$4:$G$40,$BJ33-3)="","",INDEX('Final Calculation Sheet'!$G$4:$G$40,$BJ33-3)),IF(OR($BI33=1,$BL33=1,$BH33&gt;0),IF($BI33=1,37,IF($BL33=1,37-INDEX($BD$4:$BD$13,10),INDEX($BD$4:$BD$13,$BH33)))&amp;" lot(s)",""))</f>
        <v/>
      </c>
      <c r="D30">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f>IF($BJ33&gt;0,IF(INDEX('Final Calculation Sheet'!$D$4:$D$40,$BJ33-3)="","",INDEX('Final Calculation Sheet'!$D$4:$D$40,$BJ33-3)),IF(OR($BI33=1,$BL33=1,$BH33&gt;0),"–",""))</f>
        <v/>
      </c>
      <c r="F30">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f>IF($BJ33&gt;0,IF(INDEX('Final Calculation Sheet'!$E$4:$E$40,$BJ33-3)="","",INDEX('Final Calculation Sheet'!$E$4:$E$40,$BJ33-3)),IF(OR($BI33=1,$BL33=1,$BH33&gt;0),"–",""))</f>
        <v/>
      </c>
      <c r="H30">
        <f>IF($BJ33&gt;0,IF(INDEX('Final Calculation Sheet'!$C$4:$C$40,$BJ33-3)="","",INDEX('Final Calculation Sheet'!$C$4:$C$40,$BJ33-3)),IF(OR($BI33=1,$BL33=1,$BH33&gt;0),"–",""))</f>
        <v/>
      </c>
      <c r="I30">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f>IF($BJ33&gt;0,IF(INDEX('Final Calculation Sheet'!$Q$4:$Q$40,$BJ33-3)="","",INDEX('Final Calculation Sheet'!$Q$4:$Q$40,$BJ33-3)),IF(OR($BI33=1,$BL33=1,$BH33&gt;0),"–",""))</f>
        <v/>
      </c>
      <c r="S30">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f>IF($BJ33&gt;0,IF(INDEX('Final Calculation Sheet'!$V$4:$V$40,$BJ33-3)="","",INDEX('Final Calculation Sheet'!$V$4:$V$40,$BJ33-3)),IF(OR($BI33=1,$BL33=1,$BH33&gt;0),"–",""))</f>
        <v/>
      </c>
      <c r="X30">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f>IF($BJ33&gt;0,IF(INDEX('Final Calculation Sheet'!$Y$4:$Y$40,$BJ33-3)="","",INDEX('Final Calculation Sheet'!$Y$4:$Y$40,$BJ33-3)),IF(OR($BI33=1,$BL33=1,$BH33&gt;0),"–",""))</f>
        <v/>
      </c>
      <c r="AA30">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f>IF($BJ33&gt;0,IF(INDEX('Final Calculation Sheet'!$AB$4:$AB$40,$BJ33-3)="","",INDEX('Final Calculation Sheet'!$AB$4:$AB$40,$BJ33-3)),IF(OR($BI33=1,$BL33=1,$BH33&gt;0),"–",""))</f>
        <v/>
      </c>
      <c r="AD3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f>IF($BJ33&gt;0,IF(INDEX('Final Calculation Sheet'!$AF$4:$AF$40,$BJ33-3)="","",INDEX('Final Calculation Sheet'!$AF$4:$AF$40,$BJ33-3)),IF(OR($BI33=1,$BL33=1,$BH33&gt;0),"–",""))</f>
        <v/>
      </c>
      <c r="AG30">
        <f>IF($BJ33&gt;0,IF(INDEX('Final Calculation Sheet'!$AG$4:$AG$40,$BJ33-3)="","",INDEX('Final Calculation Sheet'!$AG$4:$AG$40,$BJ33-3)),IF(OR($BI33=1,$BL33=1,$BH33&gt;0),"–",""))</f>
        <v/>
      </c>
      <c r="AH30">
        <f>IF($BJ33&gt;0,IF(INDEX('Final Calculation Sheet'!$AH$4:$AH$40,$BJ33-3)="","",INDEX('Final Calculation Sheet'!$AH$4:$AH$40,$BJ33-3)),IF(OR($BI33=1,$BL33=1,$BH33&gt;0),"–",""))</f>
        <v/>
      </c>
      <c r="AI30">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f>IF($BJ34&gt;0,INDEX($BA$5:$BA$41,MATCH(34,$BB$5:$BB$41,0)),IF(OR($BI34=1,$BL34=1,$BH34&gt;0),"∑",""))</f>
        <v/>
      </c>
      <c r="B31">
        <f>IF($BJ34&gt;0,IF(INDEX('Final Calculation Sheet'!$F$4:$F$40,$BJ34-3)="","",INDEX('Final Calculation Sheet'!$F$4:$F$40,$BJ34-3)),"")</f>
        <v/>
      </c>
      <c r="C31">
        <f>IF($BJ34&gt;0,IF(INDEX('Final Calculation Sheet'!$G$4:$G$40,$BJ34-3)="","",INDEX('Final Calculation Sheet'!$G$4:$G$40,$BJ34-3)),IF(OR($BI34=1,$BL34=1,$BH34&gt;0),IF($BI34=1,37,IF($BL34=1,37-INDEX($BD$4:$BD$13,10),INDEX($BD$4:$BD$13,$BH34)))&amp;" lot(s)",""))</f>
        <v/>
      </c>
      <c r="D31">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f>IF($BJ34&gt;0,IF(INDEX('Final Calculation Sheet'!$D$4:$D$40,$BJ34-3)="","",INDEX('Final Calculation Sheet'!$D$4:$D$40,$BJ34-3)),IF(OR($BI34=1,$BL34=1,$BH34&gt;0),"–",""))</f>
        <v/>
      </c>
      <c r="F31">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f>IF($BJ34&gt;0,IF(INDEX('Final Calculation Sheet'!$E$4:$E$40,$BJ34-3)="","",INDEX('Final Calculation Sheet'!$E$4:$E$40,$BJ34-3)),IF(OR($BI34=1,$BL34=1,$BH34&gt;0),"–",""))</f>
        <v/>
      </c>
      <c r="H31">
        <f>IF($BJ34&gt;0,IF(INDEX('Final Calculation Sheet'!$C$4:$C$40,$BJ34-3)="","",INDEX('Final Calculation Sheet'!$C$4:$C$40,$BJ34-3)),IF(OR($BI34=1,$BL34=1,$BH34&gt;0),"–",""))</f>
        <v/>
      </c>
      <c r="I31">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f>IF($BJ34&gt;0,IF(INDEX('Final Calculation Sheet'!$Q$4:$Q$40,$BJ34-3)="","",INDEX('Final Calculation Sheet'!$Q$4:$Q$40,$BJ34-3)),IF(OR($BI34=1,$BL34=1,$BH34&gt;0),"–",""))</f>
        <v/>
      </c>
      <c r="S31">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f>IF($BJ34&gt;0,IF(INDEX('Final Calculation Sheet'!$V$4:$V$40,$BJ34-3)="","",INDEX('Final Calculation Sheet'!$V$4:$V$40,$BJ34-3)),IF(OR($BI34=1,$BL34=1,$BH34&gt;0),"–",""))</f>
        <v/>
      </c>
      <c r="X31">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f>IF($BJ34&gt;0,IF(INDEX('Final Calculation Sheet'!$Y$4:$Y$40,$BJ34-3)="","",INDEX('Final Calculation Sheet'!$Y$4:$Y$40,$BJ34-3)),IF(OR($BI34=1,$BL34=1,$BH34&gt;0),"–",""))</f>
        <v/>
      </c>
      <c r="AA31">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f>IF($BJ34&gt;0,IF(INDEX('Final Calculation Sheet'!$AB$4:$AB$40,$BJ34-3)="","",INDEX('Final Calculation Sheet'!$AB$4:$AB$40,$BJ34-3)),IF(OR($BI34=1,$BL34=1,$BH34&gt;0),"–",""))</f>
        <v/>
      </c>
      <c r="AD31">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f>IF($BJ34&gt;0,IF(INDEX('Final Calculation Sheet'!$AF$4:$AF$40,$BJ34-3)="","",INDEX('Final Calculation Sheet'!$AF$4:$AF$40,$BJ34-3)),IF(OR($BI34=1,$BL34=1,$BH34&gt;0),"–",""))</f>
        <v/>
      </c>
      <c r="AG31">
        <f>IF($BJ34&gt;0,IF(INDEX('Final Calculation Sheet'!$AG$4:$AG$40,$BJ34-3)="","",INDEX('Final Calculation Sheet'!$AG$4:$AG$40,$BJ34-3)),IF(OR($BI34=1,$BL34=1,$BH34&gt;0),"–",""))</f>
        <v/>
      </c>
      <c r="AH31">
        <f>IF($BJ34&gt;0,IF(INDEX('Final Calculation Sheet'!$AH$4:$AH$40,$BJ34-3)="","",INDEX('Final Calculation Sheet'!$AH$4:$AH$40,$BJ34-3)),IF(OR($BI34=1,$BL34=1,$BH34&gt;0),"–",""))</f>
        <v/>
      </c>
      <c r="AI31">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f>IF($BJ35&gt;0,INDEX($BA$5:$BA$41,MATCH(35,$BB$5:$BB$41,0)),IF(OR($BI35=1,$BL35=1,$BH35&gt;0),"∑",""))</f>
        <v/>
      </c>
      <c r="B32">
        <f>IF($BJ35&gt;0,IF(INDEX('Final Calculation Sheet'!$F$4:$F$40,$BJ35-3)="","",INDEX('Final Calculation Sheet'!$F$4:$F$40,$BJ35-3)),"")</f>
        <v/>
      </c>
      <c r="C32">
        <f>IF($BJ35&gt;0,IF(INDEX('Final Calculation Sheet'!$G$4:$G$40,$BJ35-3)="","",INDEX('Final Calculation Sheet'!$G$4:$G$40,$BJ35-3)),IF(OR($BI35=1,$BL35=1,$BH35&gt;0),IF($BI35=1,37,IF($BL35=1,37-INDEX($BD$4:$BD$13,10),INDEX($BD$4:$BD$13,$BH35)))&amp;" lot(s)",""))</f>
        <v/>
      </c>
      <c r="D32">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f>IF($BJ35&gt;0,IF(INDEX('Final Calculation Sheet'!$D$4:$D$40,$BJ35-3)="","",INDEX('Final Calculation Sheet'!$D$4:$D$40,$BJ35-3)),IF(OR($BI35=1,$BL35=1,$BH35&gt;0),"–",""))</f>
        <v/>
      </c>
      <c r="F32">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f>IF($BJ35&gt;0,IF(INDEX('Final Calculation Sheet'!$E$4:$E$40,$BJ35-3)="","",INDEX('Final Calculation Sheet'!$E$4:$E$40,$BJ35-3)),IF(OR($BI35=1,$BL35=1,$BH35&gt;0),"–",""))</f>
        <v/>
      </c>
      <c r="H32">
        <f>IF($BJ35&gt;0,IF(INDEX('Final Calculation Sheet'!$C$4:$C$40,$BJ35-3)="","",INDEX('Final Calculation Sheet'!$C$4:$C$40,$BJ35-3)),IF(OR($BI35=1,$BL35=1,$BH35&gt;0),"–",""))</f>
        <v/>
      </c>
      <c r="I32">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f>IF($BJ35&gt;0,IF(INDEX('Final Calculation Sheet'!$Q$4:$Q$40,$BJ35-3)="","",INDEX('Final Calculation Sheet'!$Q$4:$Q$40,$BJ35-3)),IF(OR($BI35=1,$BL35=1,$BH35&gt;0),"–",""))</f>
        <v/>
      </c>
      <c r="S32">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f>IF($BJ35&gt;0,IF(INDEX('Final Calculation Sheet'!$V$4:$V$40,$BJ35-3)="","",INDEX('Final Calculation Sheet'!$V$4:$V$40,$BJ35-3)),IF(OR($BI35=1,$BL35=1,$BH35&gt;0),"–",""))</f>
        <v/>
      </c>
      <c r="X32">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f>IF($BJ35&gt;0,IF(INDEX('Final Calculation Sheet'!$Y$4:$Y$40,$BJ35-3)="","",INDEX('Final Calculation Sheet'!$Y$4:$Y$40,$BJ35-3)),IF(OR($BI35=1,$BL35=1,$BH35&gt;0),"–",""))</f>
        <v/>
      </c>
      <c r="AA32">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f>IF($BJ35&gt;0,IF(INDEX('Final Calculation Sheet'!$AB$4:$AB$40,$BJ35-3)="","",INDEX('Final Calculation Sheet'!$AB$4:$AB$40,$BJ35-3)),IF(OR($BI35=1,$BL35=1,$BH35&gt;0),"–",""))</f>
        <v/>
      </c>
      <c r="AD32">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f>IF($BJ35&gt;0,IF(INDEX('Final Calculation Sheet'!$AF$4:$AF$40,$BJ35-3)="","",INDEX('Final Calculation Sheet'!$AF$4:$AF$40,$BJ35-3)),IF(OR($BI35=1,$BL35=1,$BH35&gt;0),"–",""))</f>
        <v/>
      </c>
      <c r="AG32">
        <f>IF($BJ35&gt;0,IF(INDEX('Final Calculation Sheet'!$AG$4:$AG$40,$BJ35-3)="","",INDEX('Final Calculation Sheet'!$AG$4:$AG$40,$BJ35-3)),IF(OR($BI35=1,$BL35=1,$BH35&gt;0),"–",""))</f>
        <v/>
      </c>
      <c r="AH32">
        <f>IF($BJ35&gt;0,IF(INDEX('Final Calculation Sheet'!$AH$4:$AH$40,$BJ35-3)="","",INDEX('Final Calculation Sheet'!$AH$4:$AH$40,$BJ35-3)),IF(OR($BI35=1,$BL35=1,$BH35&gt;0),"–",""))</f>
        <v/>
      </c>
      <c r="AI32">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f>IF($BJ36&gt;0,INDEX($BA$5:$BA$41,MATCH(36,$BB$5:$BB$41,0)),IF(OR($BI36=1,$BL36=1,$BH36&gt;0),"∑",""))</f>
        <v/>
      </c>
      <c r="B33">
        <f>IF($BJ36&gt;0,IF(INDEX('Final Calculation Sheet'!$F$4:$F$40,$BJ36-3)="","",INDEX('Final Calculation Sheet'!$F$4:$F$40,$BJ36-3)),"")</f>
        <v/>
      </c>
      <c r="C33">
        <f>IF($BJ36&gt;0,IF(INDEX('Final Calculation Sheet'!$G$4:$G$40,$BJ36-3)="","",INDEX('Final Calculation Sheet'!$G$4:$G$40,$BJ36-3)),IF(OR($BI36=1,$BL36=1,$BH36&gt;0),IF($BI36=1,37,IF($BL36=1,37-INDEX($BD$4:$BD$13,10),INDEX($BD$4:$BD$13,$BH36)))&amp;" lot(s)",""))</f>
        <v/>
      </c>
      <c r="D33">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f>IF($BJ36&gt;0,IF(INDEX('Final Calculation Sheet'!$D$4:$D$40,$BJ36-3)="","",INDEX('Final Calculation Sheet'!$D$4:$D$40,$BJ36-3)),IF(OR($BI36=1,$BL36=1,$BH36&gt;0),"–",""))</f>
        <v/>
      </c>
      <c r="F33">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f>IF($BJ36&gt;0,IF(INDEX('Final Calculation Sheet'!$E$4:$E$40,$BJ36-3)="","",INDEX('Final Calculation Sheet'!$E$4:$E$40,$BJ36-3)),IF(OR($BI36=1,$BL36=1,$BH36&gt;0),"–",""))</f>
        <v/>
      </c>
      <c r="H33">
        <f>IF($BJ36&gt;0,IF(INDEX('Final Calculation Sheet'!$C$4:$C$40,$BJ36-3)="","",INDEX('Final Calculation Sheet'!$C$4:$C$40,$BJ36-3)),IF(OR($BI36=1,$BL36=1,$BH36&gt;0),"–",""))</f>
        <v/>
      </c>
      <c r="I33">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f>IF($BJ36&gt;0,IF(INDEX('Final Calculation Sheet'!$Q$4:$Q$40,$BJ36-3)="","",INDEX('Final Calculation Sheet'!$Q$4:$Q$40,$BJ36-3)),IF(OR($BI36=1,$BL36=1,$BH36&gt;0),"–",""))</f>
        <v/>
      </c>
      <c r="S33">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f>IF($BJ36&gt;0,IF(INDEX('Final Calculation Sheet'!$V$4:$V$40,$BJ36-3)="","",INDEX('Final Calculation Sheet'!$V$4:$V$40,$BJ36-3)),IF(OR($BI36=1,$BL36=1,$BH36&gt;0),"–",""))</f>
        <v/>
      </c>
      <c r="X33">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f>IF($BJ36&gt;0,IF(INDEX('Final Calculation Sheet'!$Y$4:$Y$40,$BJ36-3)="","",INDEX('Final Calculation Sheet'!$Y$4:$Y$40,$BJ36-3)),IF(OR($BI36=1,$BL36=1,$BH36&gt;0),"–",""))</f>
        <v/>
      </c>
      <c r="AA33">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f>IF($BJ36&gt;0,IF(INDEX('Final Calculation Sheet'!$AB$4:$AB$40,$BJ36-3)="","",INDEX('Final Calculation Sheet'!$AB$4:$AB$40,$BJ36-3)),IF(OR($BI36=1,$BL36=1,$BH36&gt;0),"–",""))</f>
        <v/>
      </c>
      <c r="AD33">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f>IF($BJ36&gt;0,IF(INDEX('Final Calculation Sheet'!$AF$4:$AF$40,$BJ36-3)="","",INDEX('Final Calculation Sheet'!$AF$4:$AF$40,$BJ36-3)),IF(OR($BI36=1,$BL36=1,$BH36&gt;0),"–",""))</f>
        <v/>
      </c>
      <c r="AG33">
        <f>IF($BJ36&gt;0,IF(INDEX('Final Calculation Sheet'!$AG$4:$AG$40,$BJ36-3)="","",INDEX('Final Calculation Sheet'!$AG$4:$AG$40,$BJ36-3)),IF(OR($BI36=1,$BL36=1,$BH36&gt;0),"–",""))</f>
        <v/>
      </c>
      <c r="AH33">
        <f>IF($BJ36&gt;0,IF(INDEX('Final Calculation Sheet'!$AH$4:$AH$40,$BJ36-3)="","",INDEX('Final Calculation Sheet'!$AH$4:$AH$40,$BJ36-3)),IF(OR($BI36=1,$BL36=1,$BH36&gt;0),"–",""))</f>
        <v/>
      </c>
      <c r="AI33">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f>IF($BJ37&gt;0,INDEX($BA$5:$BA$41,MATCH(37,$BB$5:$BB$41,0)),IF(OR($BI37=1,$BL37=1,$BH37&gt;0),"∑",""))</f>
        <v/>
      </c>
      <c r="B34">
        <f>IF($BJ37&gt;0,IF(INDEX('Final Calculation Sheet'!$F$4:$F$40,$BJ37-3)="","",INDEX('Final Calculation Sheet'!$F$4:$F$40,$BJ37-3)),"")</f>
        <v/>
      </c>
      <c r="C34">
        <f>IF($BJ37&gt;0,IF(INDEX('Final Calculation Sheet'!$G$4:$G$40,$BJ37-3)="","",INDEX('Final Calculation Sheet'!$G$4:$G$40,$BJ37-3)),IF(OR($BI37=1,$BL37=1,$BH37&gt;0),IF($BI37=1,37,IF($BL37=1,37-INDEX($BD$4:$BD$13,10),INDEX($BD$4:$BD$13,$BH37)))&amp;" lot(s)",""))</f>
        <v/>
      </c>
      <c r="D34">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f>IF($BJ37&gt;0,IF(INDEX('Final Calculation Sheet'!$D$4:$D$40,$BJ37-3)="","",INDEX('Final Calculation Sheet'!$D$4:$D$40,$BJ37-3)),IF(OR($BI37=1,$BL37=1,$BH37&gt;0),"–",""))</f>
        <v/>
      </c>
      <c r="F34">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f>IF($BJ37&gt;0,IF(INDEX('Final Calculation Sheet'!$E$4:$E$40,$BJ37-3)="","",INDEX('Final Calculation Sheet'!$E$4:$E$40,$BJ37-3)),IF(OR($BI37=1,$BL37=1,$BH37&gt;0),"–",""))</f>
        <v/>
      </c>
      <c r="H34">
        <f>IF($BJ37&gt;0,IF(INDEX('Final Calculation Sheet'!$C$4:$C$40,$BJ37-3)="","",INDEX('Final Calculation Sheet'!$C$4:$C$40,$BJ37-3)),IF(OR($BI37=1,$BL37=1,$BH37&gt;0),"–",""))</f>
        <v/>
      </c>
      <c r="I34">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f>IF($BJ37&gt;0,IF(INDEX('Final Calculation Sheet'!$Q$4:$Q$40,$BJ37-3)="","",INDEX('Final Calculation Sheet'!$Q$4:$Q$40,$BJ37-3)),IF(OR($BI37=1,$BL37=1,$BH37&gt;0),"–",""))</f>
        <v/>
      </c>
      <c r="S34">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f>IF($BJ37&gt;0,IF(INDEX('Final Calculation Sheet'!$V$4:$V$40,$BJ37-3)="","",INDEX('Final Calculation Sheet'!$V$4:$V$40,$BJ37-3)),IF(OR($BI37=1,$BL37=1,$BH37&gt;0),"–",""))</f>
        <v/>
      </c>
      <c r="X34">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f>IF($BJ37&gt;0,IF(INDEX('Final Calculation Sheet'!$Y$4:$Y$40,$BJ37-3)="","",INDEX('Final Calculation Sheet'!$Y$4:$Y$40,$BJ37-3)),IF(OR($BI37=1,$BL37=1,$BH37&gt;0),"–",""))</f>
        <v/>
      </c>
      <c r="AA34">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f>IF($BJ37&gt;0,IF(INDEX('Final Calculation Sheet'!$AB$4:$AB$40,$BJ37-3)="","",INDEX('Final Calculation Sheet'!$AB$4:$AB$40,$BJ37-3)),IF(OR($BI37=1,$BL37=1,$BH37&gt;0),"–",""))</f>
        <v/>
      </c>
      <c r="AD34">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f>IF($BJ37&gt;0,IF(INDEX('Final Calculation Sheet'!$AF$4:$AF$40,$BJ37-3)="","",INDEX('Final Calculation Sheet'!$AF$4:$AF$40,$BJ37-3)),IF(OR($BI37=1,$BL37=1,$BH37&gt;0),"–",""))</f>
        <v/>
      </c>
      <c r="AG34">
        <f>IF($BJ37&gt;0,IF(INDEX('Final Calculation Sheet'!$AG$4:$AG$40,$BJ37-3)="","",INDEX('Final Calculation Sheet'!$AG$4:$AG$40,$BJ37-3)),IF(OR($BI37=1,$BL37=1,$BH37&gt;0),"–",""))</f>
        <v/>
      </c>
      <c r="AH34">
        <f>IF($BJ37&gt;0,IF(INDEX('Final Calculation Sheet'!$AH$4:$AH$40,$BJ37-3)="","",INDEX('Final Calculation Sheet'!$AH$4:$AH$40,$BJ37-3)),IF(OR($BI37=1,$BL37=1,$BH37&gt;0),"–",""))</f>
        <v/>
      </c>
      <c r="AI34">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f>IF($BJ38&gt;0,INDEX($BA$5:$BA$41,MATCH(38,$BB$5:$BB$41,0)),IF(OR($BI38=1,$BL38=1,$BH38&gt;0),"∑",""))</f>
        <v/>
      </c>
      <c r="B35">
        <f>IF($BJ38&gt;0,IF(INDEX('Final Calculation Sheet'!$F$4:$F$40,$BJ38-3)="","",INDEX('Final Calculation Sheet'!$F$4:$F$40,$BJ38-3)),"")</f>
        <v/>
      </c>
      <c r="C35">
        <f>IF($BJ38&gt;0,IF(INDEX('Final Calculation Sheet'!$G$4:$G$40,$BJ38-3)="","",INDEX('Final Calculation Sheet'!$G$4:$G$40,$BJ38-3)),IF(OR($BI38=1,$BL38=1,$BH38&gt;0),IF($BI38=1,37,IF($BL38=1,37-INDEX($BD$4:$BD$13,10),INDEX($BD$4:$BD$13,$BH38)))&amp;" lot(s)",""))</f>
        <v/>
      </c>
      <c r="D35">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f>IF($BJ38&gt;0,IF(INDEX('Final Calculation Sheet'!$D$4:$D$40,$BJ38-3)="","",INDEX('Final Calculation Sheet'!$D$4:$D$40,$BJ38-3)),IF(OR($BI38=1,$BL38=1,$BH38&gt;0),"–",""))</f>
        <v/>
      </c>
      <c r="F35">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f>IF($BJ38&gt;0,IF(INDEX('Final Calculation Sheet'!$E$4:$E$40,$BJ38-3)="","",INDEX('Final Calculation Sheet'!$E$4:$E$40,$BJ38-3)),IF(OR($BI38=1,$BL38=1,$BH38&gt;0),"–",""))</f>
        <v/>
      </c>
      <c r="H35">
        <f>IF($BJ38&gt;0,IF(INDEX('Final Calculation Sheet'!$C$4:$C$40,$BJ38-3)="","",INDEX('Final Calculation Sheet'!$C$4:$C$40,$BJ38-3)),IF(OR($BI38=1,$BL38=1,$BH38&gt;0),"–",""))</f>
        <v/>
      </c>
      <c r="I35">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f>IF($BJ38&gt;0,IF(INDEX('Final Calculation Sheet'!$Q$4:$Q$40,$BJ38-3)="","",INDEX('Final Calculation Sheet'!$Q$4:$Q$40,$BJ38-3)),IF(OR($BI38=1,$BL38=1,$BH38&gt;0),"–",""))</f>
        <v/>
      </c>
      <c r="S35">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f>IF($BJ38&gt;0,IF(INDEX('Final Calculation Sheet'!$V$4:$V$40,$BJ38-3)="","",INDEX('Final Calculation Sheet'!$V$4:$V$40,$BJ38-3)),IF(OR($BI38=1,$BL38=1,$BH38&gt;0),"–",""))</f>
        <v/>
      </c>
      <c r="X35">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f>IF($BJ38&gt;0,IF(INDEX('Final Calculation Sheet'!$Y$4:$Y$40,$BJ38-3)="","",INDEX('Final Calculation Sheet'!$Y$4:$Y$40,$BJ38-3)),IF(OR($BI38=1,$BL38=1,$BH38&gt;0),"–",""))</f>
        <v/>
      </c>
      <c r="AA35">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f>IF($BJ38&gt;0,IF(INDEX('Final Calculation Sheet'!$AB$4:$AB$40,$BJ38-3)="","",INDEX('Final Calculation Sheet'!$AB$4:$AB$40,$BJ38-3)),IF(OR($BI38=1,$BL38=1,$BH38&gt;0),"–",""))</f>
        <v/>
      </c>
      <c r="AD35">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f>IF($BJ38&gt;0,IF(INDEX('Final Calculation Sheet'!$AF$4:$AF$40,$BJ38-3)="","",INDEX('Final Calculation Sheet'!$AF$4:$AF$40,$BJ38-3)),IF(OR($BI38=1,$BL38=1,$BH38&gt;0),"–",""))</f>
        <v/>
      </c>
      <c r="AG35">
        <f>IF($BJ38&gt;0,IF(INDEX('Final Calculation Sheet'!$AG$4:$AG$40,$BJ38-3)="","",INDEX('Final Calculation Sheet'!$AG$4:$AG$40,$BJ38-3)),IF(OR($BI38=1,$BL38=1,$BH38&gt;0),"–",""))</f>
        <v/>
      </c>
      <c r="AH35">
        <f>IF($BJ38&gt;0,IF(INDEX('Final Calculation Sheet'!$AH$4:$AH$40,$BJ38-3)="","",INDEX('Final Calculation Sheet'!$AH$4:$AH$40,$BJ38-3)),IF(OR($BI38=1,$BL38=1,$BH38&gt;0),"–",""))</f>
        <v/>
      </c>
      <c r="AI3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f>IF($BJ39&gt;0,INDEX($BA$5:$BA$41,MATCH(39,$BB$5:$BB$41,0)),IF(OR($BI39=1,$BL39=1,$BH39&gt;0),"∑",""))</f>
        <v/>
      </c>
      <c r="B36">
        <f>IF($BJ39&gt;0,IF(INDEX('Final Calculation Sheet'!$F$4:$F$40,$BJ39-3)="","",INDEX('Final Calculation Sheet'!$F$4:$F$40,$BJ39-3)),"")</f>
        <v/>
      </c>
      <c r="C36">
        <f>IF($BJ39&gt;0,IF(INDEX('Final Calculation Sheet'!$G$4:$G$40,$BJ39-3)="","",INDEX('Final Calculation Sheet'!$G$4:$G$40,$BJ39-3)),IF(OR($BI39=1,$BL39=1,$BH39&gt;0),IF($BI39=1,37,IF($BL39=1,37-INDEX($BD$4:$BD$13,10),INDEX($BD$4:$BD$13,$BH39)))&amp;" lot(s)",""))</f>
        <v/>
      </c>
      <c r="D36">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f>IF($BJ39&gt;0,IF(INDEX('Final Calculation Sheet'!$D$4:$D$40,$BJ39-3)="","",INDEX('Final Calculation Sheet'!$D$4:$D$40,$BJ39-3)),IF(OR($BI39=1,$BL39=1,$BH39&gt;0),"–",""))</f>
        <v/>
      </c>
      <c r="F36">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f>IF($BJ39&gt;0,IF(INDEX('Final Calculation Sheet'!$E$4:$E$40,$BJ39-3)="","",INDEX('Final Calculation Sheet'!$E$4:$E$40,$BJ39-3)),IF(OR($BI39=1,$BL39=1,$BH39&gt;0),"–",""))</f>
        <v/>
      </c>
      <c r="H36">
        <f>IF($BJ39&gt;0,IF(INDEX('Final Calculation Sheet'!$C$4:$C$40,$BJ39-3)="","",INDEX('Final Calculation Sheet'!$C$4:$C$40,$BJ39-3)),IF(OR($BI39=1,$BL39=1,$BH39&gt;0),"–",""))</f>
        <v/>
      </c>
      <c r="I36">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f>IF($BJ39&gt;0,IF(INDEX('Final Calculation Sheet'!$Q$4:$Q$40,$BJ39-3)="","",INDEX('Final Calculation Sheet'!$Q$4:$Q$40,$BJ39-3)),IF(OR($BI39=1,$BL39=1,$BH39&gt;0),"–",""))</f>
        <v/>
      </c>
      <c r="S36">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f>IF($BJ39&gt;0,IF(INDEX('Final Calculation Sheet'!$V$4:$V$40,$BJ39-3)="","",INDEX('Final Calculation Sheet'!$V$4:$V$40,$BJ39-3)),IF(OR($BI39=1,$BL39=1,$BH39&gt;0),"–",""))</f>
        <v/>
      </c>
      <c r="X36">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f>IF($BJ39&gt;0,IF(INDEX('Final Calculation Sheet'!$Y$4:$Y$40,$BJ39-3)="","",INDEX('Final Calculation Sheet'!$Y$4:$Y$40,$BJ39-3)),IF(OR($BI39=1,$BL39=1,$BH39&gt;0),"–",""))</f>
        <v/>
      </c>
      <c r="AA36">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f>IF($BJ39&gt;0,IF(INDEX('Final Calculation Sheet'!$AB$4:$AB$40,$BJ39-3)="","",INDEX('Final Calculation Sheet'!$AB$4:$AB$40,$BJ39-3)),IF(OR($BI39=1,$BL39=1,$BH39&gt;0),"–",""))</f>
        <v/>
      </c>
      <c r="AD36">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f>IF($BJ39&gt;0,IF(INDEX('Final Calculation Sheet'!$AF$4:$AF$40,$BJ39-3)="","",INDEX('Final Calculation Sheet'!$AF$4:$AF$40,$BJ39-3)),IF(OR($BI39=1,$BL39=1,$BH39&gt;0),"–",""))</f>
        <v/>
      </c>
      <c r="AG36">
        <f>IF($BJ39&gt;0,IF(INDEX('Final Calculation Sheet'!$AG$4:$AG$40,$BJ39-3)="","",INDEX('Final Calculation Sheet'!$AG$4:$AG$40,$BJ39-3)),IF(OR($BI39=1,$BL39=1,$BH39&gt;0),"–",""))</f>
        <v/>
      </c>
      <c r="AH36">
        <f>IF($BJ39&gt;0,IF(INDEX('Final Calculation Sheet'!$AH$4:$AH$40,$BJ39-3)="","",INDEX('Final Calculation Sheet'!$AH$4:$AH$40,$BJ39-3)),IF(OR($BI39=1,$BL39=1,$BH39&gt;0),"–",""))</f>
        <v/>
      </c>
      <c r="AI36">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f>IF($BJ40&gt;0,INDEX($BA$5:$BA$41,MATCH(40,$BB$5:$BB$41,0)),IF(OR($BI40=1,$BL40=1,$BH40&gt;0),"∑",""))</f>
        <v/>
      </c>
      <c r="B37">
        <f>IF($BJ40&gt;0,IF(INDEX('Final Calculation Sheet'!$F$4:$F$40,$BJ40-3)="","",INDEX('Final Calculation Sheet'!$F$4:$F$40,$BJ40-3)),"")</f>
        <v/>
      </c>
      <c r="C37">
        <f>IF($BJ40&gt;0,IF(INDEX('Final Calculation Sheet'!$G$4:$G$40,$BJ40-3)="","",INDEX('Final Calculation Sheet'!$G$4:$G$40,$BJ40-3)),IF(OR($BI40=1,$BL40=1,$BH40&gt;0),IF($BI40=1,37,IF($BL40=1,37-INDEX($BD$4:$BD$13,10),INDEX($BD$4:$BD$13,$BH40)))&amp;" lot(s)",""))</f>
        <v/>
      </c>
      <c r="D37">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f>IF($BJ40&gt;0,IF(INDEX('Final Calculation Sheet'!$D$4:$D$40,$BJ40-3)="","",INDEX('Final Calculation Sheet'!$D$4:$D$40,$BJ40-3)),IF(OR($BI40=1,$BL40=1,$BH40&gt;0),"–",""))</f>
        <v/>
      </c>
      <c r="F37">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f>IF($BJ40&gt;0,IF(INDEX('Final Calculation Sheet'!$E$4:$E$40,$BJ40-3)="","",INDEX('Final Calculation Sheet'!$E$4:$E$40,$BJ40-3)),IF(OR($BI40=1,$BL40=1,$BH40&gt;0),"–",""))</f>
        <v/>
      </c>
      <c r="H37">
        <f>IF($BJ40&gt;0,IF(INDEX('Final Calculation Sheet'!$C$4:$C$40,$BJ40-3)="","",INDEX('Final Calculation Sheet'!$C$4:$C$40,$BJ40-3)),IF(OR($BI40=1,$BL40=1,$BH40&gt;0),"–",""))</f>
        <v/>
      </c>
      <c r="I37">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f>IF($BJ40&gt;0,IF(INDEX('Final Calculation Sheet'!$Q$4:$Q$40,$BJ40-3)="","",INDEX('Final Calculation Sheet'!$Q$4:$Q$40,$BJ40-3)),IF(OR($BI40=1,$BL40=1,$BH40&gt;0),"–",""))</f>
        <v/>
      </c>
      <c r="S37">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f>IF($BJ40&gt;0,IF(INDEX('Final Calculation Sheet'!$V$4:$V$40,$BJ40-3)="","",INDEX('Final Calculation Sheet'!$V$4:$V$40,$BJ40-3)),IF(OR($BI40=1,$BL40=1,$BH40&gt;0),"–",""))</f>
        <v/>
      </c>
      <c r="X37">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f>IF($BJ40&gt;0,IF(INDEX('Final Calculation Sheet'!$Y$4:$Y$40,$BJ40-3)="","",INDEX('Final Calculation Sheet'!$Y$4:$Y$40,$BJ40-3)),IF(OR($BI40=1,$BL40=1,$BH40&gt;0),"–",""))</f>
        <v/>
      </c>
      <c r="AA37">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f>IF($BJ40&gt;0,IF(INDEX('Final Calculation Sheet'!$AB$4:$AB$40,$BJ40-3)="","",INDEX('Final Calculation Sheet'!$AB$4:$AB$40,$BJ40-3)),IF(OR($BI40=1,$BL40=1,$BH40&gt;0),"–",""))</f>
        <v/>
      </c>
      <c r="AD37">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f>IF($BJ40&gt;0,IF(INDEX('Final Calculation Sheet'!$AF$4:$AF$40,$BJ40-3)="","",INDEX('Final Calculation Sheet'!$AF$4:$AF$40,$BJ40-3)),IF(OR($BI40=1,$BL40=1,$BH40&gt;0),"–",""))</f>
        <v/>
      </c>
      <c r="AG37">
        <f>IF($BJ40&gt;0,IF(INDEX('Final Calculation Sheet'!$AG$4:$AG$40,$BJ40-3)="","",INDEX('Final Calculation Sheet'!$AG$4:$AG$40,$BJ40-3)),IF(OR($BI40=1,$BL40=1,$BH40&gt;0),"–",""))</f>
        <v/>
      </c>
      <c r="AH37">
        <f>IF($BJ40&gt;0,IF(INDEX('Final Calculation Sheet'!$AH$4:$AH$40,$BJ40-3)="","",INDEX('Final Calculation Sheet'!$AH$4:$AH$40,$BJ40-3)),IF(OR($BI40=1,$BL40=1,$BH40&gt;0),"–",""))</f>
        <v/>
      </c>
      <c r="AI37">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f>IF($BJ41&gt;0,INDEX($BA$5:$BA$41,MATCH(41,$BB$5:$BB$41,0)),IF(OR($BI41=1,$BL41=1,$BH41&gt;0),"∑",""))</f>
        <v/>
      </c>
      <c r="B38">
        <f>IF($BJ41&gt;0,IF(INDEX('Final Calculation Sheet'!$F$4:$F$40,$BJ41-3)="","",INDEX('Final Calculation Sheet'!$F$4:$F$40,$BJ41-3)),"")</f>
        <v/>
      </c>
      <c r="C38">
        <f>IF($BJ41&gt;0,IF(INDEX('Final Calculation Sheet'!$G$4:$G$40,$BJ41-3)="","",INDEX('Final Calculation Sheet'!$G$4:$G$40,$BJ41-3)),IF(OR($BI41=1,$BL41=1,$BH41&gt;0),IF($BI41=1,37,IF($BL41=1,37-INDEX($BD$4:$BD$13,10),INDEX($BD$4:$BD$13,$BH41)))&amp;" lot(s)",""))</f>
        <v/>
      </c>
      <c r="D38">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f>IF($BJ41&gt;0,IF(INDEX('Final Calculation Sheet'!$D$4:$D$40,$BJ41-3)="","",INDEX('Final Calculation Sheet'!$D$4:$D$40,$BJ41-3)),IF(OR($BI41=1,$BL41=1,$BH41&gt;0),"–",""))</f>
        <v/>
      </c>
      <c r="F38">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f>IF($BJ41&gt;0,IF(INDEX('Final Calculation Sheet'!$E$4:$E$40,$BJ41-3)="","",INDEX('Final Calculation Sheet'!$E$4:$E$40,$BJ41-3)),IF(OR($BI41=1,$BL41=1,$BH41&gt;0),"–",""))</f>
        <v/>
      </c>
      <c r="H38">
        <f>IF($BJ41&gt;0,IF(INDEX('Final Calculation Sheet'!$C$4:$C$40,$BJ41-3)="","",INDEX('Final Calculation Sheet'!$C$4:$C$40,$BJ41-3)),IF(OR($BI41=1,$BL41=1,$BH41&gt;0),"–",""))</f>
        <v/>
      </c>
      <c r="I38">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f>IF($BJ41&gt;0,IF(INDEX('Final Calculation Sheet'!$Q$4:$Q$40,$BJ41-3)="","",INDEX('Final Calculation Sheet'!$Q$4:$Q$40,$BJ41-3)),IF(OR($BI41=1,$BL41=1,$BH41&gt;0),"–",""))</f>
        <v/>
      </c>
      <c r="S38">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f>IF($BJ41&gt;0,IF(INDEX('Final Calculation Sheet'!$V$4:$V$40,$BJ41-3)="","",INDEX('Final Calculation Sheet'!$V$4:$V$40,$BJ41-3)),IF(OR($BI41=1,$BL41=1,$BH41&gt;0),"–",""))</f>
        <v/>
      </c>
      <c r="X38">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f>IF($BJ41&gt;0,IF(INDEX('Final Calculation Sheet'!$Y$4:$Y$40,$BJ41-3)="","",INDEX('Final Calculation Sheet'!$Y$4:$Y$40,$BJ41-3)),IF(OR($BI41=1,$BL41=1,$BH41&gt;0),"–",""))</f>
        <v/>
      </c>
      <c r="AA38">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f>IF($BJ41&gt;0,IF(INDEX('Final Calculation Sheet'!$AB$4:$AB$40,$BJ41-3)="","",INDEX('Final Calculation Sheet'!$AB$4:$AB$40,$BJ41-3)),IF(OR($BI41=1,$BL41=1,$BH41&gt;0),"–",""))</f>
        <v/>
      </c>
      <c r="AD38">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f>IF($BJ41&gt;0,IF(INDEX('Final Calculation Sheet'!$AF$4:$AF$40,$BJ41-3)="","",INDEX('Final Calculation Sheet'!$AF$4:$AF$40,$BJ41-3)),IF(OR($BI41=1,$BL41=1,$BH41&gt;0),"–",""))</f>
        <v/>
      </c>
      <c r="AG38">
        <f>IF($BJ41&gt;0,IF(INDEX('Final Calculation Sheet'!$AG$4:$AG$40,$BJ41-3)="","",INDEX('Final Calculation Sheet'!$AG$4:$AG$40,$BJ41-3)),IF(OR($BI41=1,$BL41=1,$BH41&gt;0),"–",""))</f>
        <v/>
      </c>
      <c r="AH38">
        <f>IF($BJ41&gt;0,IF(INDEX('Final Calculation Sheet'!$AH$4:$AH$40,$BJ41-3)="","",INDEX('Final Calculation Sheet'!$AH$4:$AH$40,$BJ41-3)),IF(OR($BI41=1,$BL41=1,$BH41&gt;0),"–",""))</f>
        <v/>
      </c>
      <c r="AI38">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2026-09-11T04:21:19Z</dcterms:modified>
  <cp:lastModifiedBy>S.M.C</cp:lastModifiedBy>
  <cp:revision>0</cp:revision>
</cp:coreProperties>
</file>