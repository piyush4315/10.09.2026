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Lists!$GB$4:INDEX(Lists!$GB$4:$GB$42,MAX(Lists!$GA$4:$GA$40)+2)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SUG_D_FULL">Lists!$Y$4:INDEX(Lists!$Y$4:$Y$42,MAX(Lists!$X$4:$X$40)+2)</definedName>
    <definedName name="SUG_B_DEP_FINAL">Lists!$GG$4:INDEX(Lists!$GG$4:$GG$42,MAX(Lists!$GF$4:$GF$40)+2)</definedName>
    <definedName name="SUG_B_DEP_LIVE">Lists!$GL$4:INDEX(Lists!$GL$4:$GL$42,MAX(Lists!$GK$4:$GK$40)+2)</definedName>
    <definedName name="SUGN_B_DEP">Lists!$GQ$4:INDEX(Lists!$GQ$4:$GQ$42,MAX(Lists!$GP$4:$GP$40)+2)</definedName>
    <definedName name="SUG_D_DEP_FINAL">Lists!$GV$4:INDEX(Lists!$GV$4:$GV$42,MAX(Lists!$GU$4:$GU$40)+2)</definedName>
    <definedName name="SUGN_D_DEP">Lists!$HA$4:INDEX(Lists!$HA$4:$HA$42,MAX(Lists!$GZ$4:$GZ$40)+2)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7">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xf numFmtId="0" fontId="10" fillId="0" borderId="0" applyAlignment="1" pivotButton="0" quotePrefix="0" xfId="0">
      <alignment vertical="center"/>
    </xf>
    <xf numFmtId="0" fontId="12" fillId="6" borderId="19" applyAlignment="1" pivotButton="0" quotePrefix="0" xfId="0">
      <alignment vertical="center"/>
    </xf>
  </cellXfs>
  <cellStyles count="1">
    <cellStyle name="Normal" xfId="0" builtinId="0"/>
  </cellStyles>
  <dxfs count="54">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
      <fill>
        <patternFill patternType="solid">
          <fgColor rgb="FFFFD966"/>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J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hidden="1" width="13" customWidth="1" style="137" min="36" max="36"/>
  </cols>
  <sheetData>
    <row r="1" ht="15.75" customHeight="1" s="137">
      <c r="A1" s="165">
        <f>COUNTIF($AJ$4:$AJ$40,TRUE)&amp;" of 37"</f>
        <v/>
      </c>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166" t="n"/>
      <c r="B2" s="166" t="n"/>
      <c r="C2" s="166" t="n"/>
      <c r="D2" s="166" t="n"/>
      <c r="E2" s="166" t="n"/>
      <c r="F2" s="166" t="n"/>
      <c r="G2" s="166" t="n"/>
      <c r="H2" s="166" t="n"/>
      <c r="I2" s="166" t="n"/>
      <c r="J2" s="166" t="n"/>
      <c r="K2" s="166" t="n"/>
      <c r="L2" s="166" t="n"/>
      <c r="M2" s="166" t="n"/>
      <c r="N2" s="166" t="n"/>
      <c r="O2" s="166" t="n"/>
      <c r="P2" s="166" t="n"/>
      <c r="Q2" s="166" t="n"/>
      <c r="R2" s="166" t="n"/>
      <c r="S2" s="166" t="n"/>
      <c r="T2" s="166" t="n"/>
      <c r="U2" s="166" t="n"/>
      <c r="V2" s="166" t="n"/>
      <c r="W2" s="166" t="n"/>
      <c r="X2" s="166" t="n"/>
      <c r="Y2" s="166" t="n"/>
      <c r="Z2" s="166" t="n"/>
      <c r="AA2" s="166" t="n"/>
      <c r="AB2" s="166" t="n"/>
      <c r="AC2" s="166" t="n"/>
      <c r="AD2" s="166" t="n"/>
      <c r="AE2" s="166" t="n"/>
      <c r="AF2" s="166" t="n"/>
      <c r="AG2" s="166" t="n"/>
      <c r="AH2" s="166"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J4">
        <f>AND(IF($A$2="",TRUE,ISNUMBER(SEARCH($A$2,$A4))),IF($B$2="",TRUE,ISNUMBER(SEARCH($B$2,$B4))),IF($C$2="",TRUE,ISNUMBER(SEARCH($C$2,$C4))),IF($D$2="",TRUE,ISNUMBER(SEARCH($D$2,$D4))),IF($E$2="",TRUE,ISNUMBER(SEARCH($E$2,$E4))),IF($F$2="",TRUE,ISNUMBER(SEARCH($F$2,$F4))),IF($G$2="",TRUE,ISNUMBER(SEARCH($G$2,$G4))),IF($H$2="",TRUE,ISNUMBER(SEARCH($H$2,$H4))),IF($I$2="",TRUE,ISNUMBER(SEARCH($I$2,$I4))),IF($J$2="",TRUE,ISNUMBER(SEARCH($J$2,$J4))),IF($K$2="",TRUE,ISNUMBER(SEARCH($K$2,$K4))),IF($L$2="",TRUE,ISNUMBER(SEARCH($L$2,$L4))),IF($M$2="",TRUE,ISNUMBER(SEARCH($M$2,$M4))),IF($N$2="",TRUE,ISNUMBER(SEARCH($N$2,$N4))),IF($O$2="",TRUE,ISNUMBER(SEARCH($O$2,$O4))),IF($P$2="",TRUE,ISNUMBER(SEARCH($P$2,$P4))),IF($Q$2="",TRUE,ISNUMBER(SEARCH($Q$2,$Q4))),IF($R$2="",TRUE,ISNUMBER(SEARCH($R$2,$R4))),IF($S$2="",TRUE,ISNUMBER(SEARCH($S$2,$S4))),IF($T$2="",TRUE,ISNUMBER(SEARCH($T$2,$T4))),IF($U$2="",TRUE,ISNUMBER(SEARCH($U$2,$U4))),IF($V$2="",TRUE,ISNUMBER(SEARCH($V$2,$V4))),IF($W$2="",TRUE,ISNUMBER(SEARCH($W$2,$W4))),IF($X$2="",TRUE,ISNUMBER(SEARCH($X$2,$X4))),IF($Y$2="",TRUE,ISNUMBER(SEARCH($Y$2,$Y4))),IF($Z$2="",TRUE,ISNUMBER(SEARCH($Z$2,$Z4))),IF($AA$2="",TRUE,ISNUMBER(SEARCH($AA$2,$AA4))),IF($AB$2="",TRUE,ISNUMBER(SEARCH($AB$2,$AB4))),IF($AC$2="",TRUE,ISNUMBER(SEARCH($AC$2,$AC4))),IF($AD$2="",TRUE,ISNUMBER(SEARCH($AD$2,$AD4))),IF($AE$2="",TRUE,ISNUMBER(SEARCH($AE$2,$AE4))),IF($AF$2="",TRUE,ISNUMBER(SEARCH($AF$2,$AF4))),IF($AG$2="",TRUE,ISNUMBER(SEARCH($AG$2,$AG4))),IF($AH$2="",TRUE,ISNUMBER(SEARCH($AH$2,$AH4))))</f>
        <v/>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J5">
        <f>AND(IF($A$2="",TRUE,ISNUMBER(SEARCH($A$2,$A5))),IF($B$2="",TRUE,ISNUMBER(SEARCH($B$2,$B5))),IF($C$2="",TRUE,ISNUMBER(SEARCH($C$2,$C5))),IF($D$2="",TRUE,ISNUMBER(SEARCH($D$2,$D5))),IF($E$2="",TRUE,ISNUMBER(SEARCH($E$2,$E5))),IF($F$2="",TRUE,ISNUMBER(SEARCH($F$2,$F5))),IF($G$2="",TRUE,ISNUMBER(SEARCH($G$2,$G5))),IF($H$2="",TRUE,ISNUMBER(SEARCH($H$2,$H5))),IF($I$2="",TRUE,ISNUMBER(SEARCH($I$2,$I5))),IF($J$2="",TRUE,ISNUMBER(SEARCH($J$2,$J5))),IF($K$2="",TRUE,ISNUMBER(SEARCH($K$2,$K5))),IF($L$2="",TRUE,ISNUMBER(SEARCH($L$2,$L5))),IF($M$2="",TRUE,ISNUMBER(SEARCH($M$2,$M5))),IF($N$2="",TRUE,ISNUMBER(SEARCH($N$2,$N5))),IF($O$2="",TRUE,ISNUMBER(SEARCH($O$2,$O5))),IF($P$2="",TRUE,ISNUMBER(SEARCH($P$2,$P5))),IF($Q$2="",TRUE,ISNUMBER(SEARCH($Q$2,$Q5))),IF($R$2="",TRUE,ISNUMBER(SEARCH($R$2,$R5))),IF($S$2="",TRUE,ISNUMBER(SEARCH($S$2,$S5))),IF($T$2="",TRUE,ISNUMBER(SEARCH($T$2,$T5))),IF($U$2="",TRUE,ISNUMBER(SEARCH($U$2,$U5))),IF($V$2="",TRUE,ISNUMBER(SEARCH($V$2,$V5))),IF($W$2="",TRUE,ISNUMBER(SEARCH($W$2,$W5))),IF($X$2="",TRUE,ISNUMBER(SEARCH($X$2,$X5))),IF($Y$2="",TRUE,ISNUMBER(SEARCH($Y$2,$Y5))),IF($Z$2="",TRUE,ISNUMBER(SEARCH($Z$2,$Z5))),IF($AA$2="",TRUE,ISNUMBER(SEARCH($AA$2,$AA5))),IF($AB$2="",TRUE,ISNUMBER(SEARCH($AB$2,$AB5))),IF($AC$2="",TRUE,ISNUMBER(SEARCH($AC$2,$AC5))),IF($AD$2="",TRUE,ISNUMBER(SEARCH($AD$2,$AD5))),IF($AE$2="",TRUE,ISNUMBER(SEARCH($AE$2,$AE5))),IF($AF$2="",TRUE,ISNUMBER(SEARCH($AF$2,$AF5))),IF($AG$2="",TRUE,ISNUMBER(SEARCH($AG$2,$AG5))),IF($AH$2="",TRUE,ISNUMBER(SEARCH($AH$2,$AH5))))</f>
        <v/>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J6">
        <f>AND(IF($A$2="",TRUE,ISNUMBER(SEARCH($A$2,$A6))),IF($B$2="",TRUE,ISNUMBER(SEARCH($B$2,$B6))),IF($C$2="",TRUE,ISNUMBER(SEARCH($C$2,$C6))),IF($D$2="",TRUE,ISNUMBER(SEARCH($D$2,$D6))),IF($E$2="",TRUE,ISNUMBER(SEARCH($E$2,$E6))),IF($F$2="",TRUE,ISNUMBER(SEARCH($F$2,$F6))),IF($G$2="",TRUE,ISNUMBER(SEARCH($G$2,$G6))),IF($H$2="",TRUE,ISNUMBER(SEARCH($H$2,$H6))),IF($I$2="",TRUE,ISNUMBER(SEARCH($I$2,$I6))),IF($J$2="",TRUE,ISNUMBER(SEARCH($J$2,$J6))),IF($K$2="",TRUE,ISNUMBER(SEARCH($K$2,$K6))),IF($L$2="",TRUE,ISNUMBER(SEARCH($L$2,$L6))),IF($M$2="",TRUE,ISNUMBER(SEARCH($M$2,$M6))),IF($N$2="",TRUE,ISNUMBER(SEARCH($N$2,$N6))),IF($O$2="",TRUE,ISNUMBER(SEARCH($O$2,$O6))),IF($P$2="",TRUE,ISNUMBER(SEARCH($P$2,$P6))),IF($Q$2="",TRUE,ISNUMBER(SEARCH($Q$2,$Q6))),IF($R$2="",TRUE,ISNUMBER(SEARCH($R$2,$R6))),IF($S$2="",TRUE,ISNUMBER(SEARCH($S$2,$S6))),IF($T$2="",TRUE,ISNUMBER(SEARCH($T$2,$T6))),IF($U$2="",TRUE,ISNUMBER(SEARCH($U$2,$U6))),IF($V$2="",TRUE,ISNUMBER(SEARCH($V$2,$V6))),IF($W$2="",TRUE,ISNUMBER(SEARCH($W$2,$W6))),IF($X$2="",TRUE,ISNUMBER(SEARCH($X$2,$X6))),IF($Y$2="",TRUE,ISNUMBER(SEARCH($Y$2,$Y6))),IF($Z$2="",TRUE,ISNUMBER(SEARCH($Z$2,$Z6))),IF($AA$2="",TRUE,ISNUMBER(SEARCH($AA$2,$AA6))),IF($AB$2="",TRUE,ISNUMBER(SEARCH($AB$2,$AB6))),IF($AC$2="",TRUE,ISNUMBER(SEARCH($AC$2,$AC6))),IF($AD$2="",TRUE,ISNUMBER(SEARCH($AD$2,$AD6))),IF($AE$2="",TRUE,ISNUMBER(SEARCH($AE$2,$AE6))),IF($AF$2="",TRUE,ISNUMBER(SEARCH($AF$2,$AF6))),IF($AG$2="",TRUE,ISNUMBER(SEARCH($AG$2,$AG6))),IF($AH$2="",TRUE,ISNUMBER(SEARCH($AH$2,$AH6))))</f>
        <v/>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J7">
        <f>AND(IF($A$2="",TRUE,ISNUMBER(SEARCH($A$2,$A7))),IF($B$2="",TRUE,ISNUMBER(SEARCH($B$2,$B7))),IF($C$2="",TRUE,ISNUMBER(SEARCH($C$2,$C7))),IF($D$2="",TRUE,ISNUMBER(SEARCH($D$2,$D7))),IF($E$2="",TRUE,ISNUMBER(SEARCH($E$2,$E7))),IF($F$2="",TRUE,ISNUMBER(SEARCH($F$2,$F7))),IF($G$2="",TRUE,ISNUMBER(SEARCH($G$2,$G7))),IF($H$2="",TRUE,ISNUMBER(SEARCH($H$2,$H7))),IF($I$2="",TRUE,ISNUMBER(SEARCH($I$2,$I7))),IF($J$2="",TRUE,ISNUMBER(SEARCH($J$2,$J7))),IF($K$2="",TRUE,ISNUMBER(SEARCH($K$2,$K7))),IF($L$2="",TRUE,ISNUMBER(SEARCH($L$2,$L7))),IF($M$2="",TRUE,ISNUMBER(SEARCH($M$2,$M7))),IF($N$2="",TRUE,ISNUMBER(SEARCH($N$2,$N7))),IF($O$2="",TRUE,ISNUMBER(SEARCH($O$2,$O7))),IF($P$2="",TRUE,ISNUMBER(SEARCH($P$2,$P7))),IF($Q$2="",TRUE,ISNUMBER(SEARCH($Q$2,$Q7))),IF($R$2="",TRUE,ISNUMBER(SEARCH($R$2,$R7))),IF($S$2="",TRUE,ISNUMBER(SEARCH($S$2,$S7))),IF($T$2="",TRUE,ISNUMBER(SEARCH($T$2,$T7))),IF($U$2="",TRUE,ISNUMBER(SEARCH($U$2,$U7))),IF($V$2="",TRUE,ISNUMBER(SEARCH($V$2,$V7))),IF($W$2="",TRUE,ISNUMBER(SEARCH($W$2,$W7))),IF($X$2="",TRUE,ISNUMBER(SEARCH($X$2,$X7))),IF($Y$2="",TRUE,ISNUMBER(SEARCH($Y$2,$Y7))),IF($Z$2="",TRUE,ISNUMBER(SEARCH($Z$2,$Z7))),IF($AA$2="",TRUE,ISNUMBER(SEARCH($AA$2,$AA7))),IF($AB$2="",TRUE,ISNUMBER(SEARCH($AB$2,$AB7))),IF($AC$2="",TRUE,ISNUMBER(SEARCH($AC$2,$AC7))),IF($AD$2="",TRUE,ISNUMBER(SEARCH($AD$2,$AD7))),IF($AE$2="",TRUE,ISNUMBER(SEARCH($AE$2,$AE7))),IF($AF$2="",TRUE,ISNUMBER(SEARCH($AF$2,$AF7))),IF($AG$2="",TRUE,ISNUMBER(SEARCH($AG$2,$AG7))),IF($AH$2="",TRUE,ISNUMBER(SEARCH($AH$2,$AH7))))</f>
        <v/>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J8">
        <f>AND(IF($A$2="",TRUE,ISNUMBER(SEARCH($A$2,$A8))),IF($B$2="",TRUE,ISNUMBER(SEARCH($B$2,$B8))),IF($C$2="",TRUE,ISNUMBER(SEARCH($C$2,$C8))),IF($D$2="",TRUE,ISNUMBER(SEARCH($D$2,$D8))),IF($E$2="",TRUE,ISNUMBER(SEARCH($E$2,$E8))),IF($F$2="",TRUE,ISNUMBER(SEARCH($F$2,$F8))),IF($G$2="",TRUE,ISNUMBER(SEARCH($G$2,$G8))),IF($H$2="",TRUE,ISNUMBER(SEARCH($H$2,$H8))),IF($I$2="",TRUE,ISNUMBER(SEARCH($I$2,$I8))),IF($J$2="",TRUE,ISNUMBER(SEARCH($J$2,$J8))),IF($K$2="",TRUE,ISNUMBER(SEARCH($K$2,$K8))),IF($L$2="",TRUE,ISNUMBER(SEARCH($L$2,$L8))),IF($M$2="",TRUE,ISNUMBER(SEARCH($M$2,$M8))),IF($N$2="",TRUE,ISNUMBER(SEARCH($N$2,$N8))),IF($O$2="",TRUE,ISNUMBER(SEARCH($O$2,$O8))),IF($P$2="",TRUE,ISNUMBER(SEARCH($P$2,$P8))),IF($Q$2="",TRUE,ISNUMBER(SEARCH($Q$2,$Q8))),IF($R$2="",TRUE,ISNUMBER(SEARCH($R$2,$R8))),IF($S$2="",TRUE,ISNUMBER(SEARCH($S$2,$S8))),IF($T$2="",TRUE,ISNUMBER(SEARCH($T$2,$T8))),IF($U$2="",TRUE,ISNUMBER(SEARCH($U$2,$U8))),IF($V$2="",TRUE,ISNUMBER(SEARCH($V$2,$V8))),IF($W$2="",TRUE,ISNUMBER(SEARCH($W$2,$W8))),IF($X$2="",TRUE,ISNUMBER(SEARCH($X$2,$X8))),IF($Y$2="",TRUE,ISNUMBER(SEARCH($Y$2,$Y8))),IF($Z$2="",TRUE,ISNUMBER(SEARCH($Z$2,$Z8))),IF($AA$2="",TRUE,ISNUMBER(SEARCH($AA$2,$AA8))),IF($AB$2="",TRUE,ISNUMBER(SEARCH($AB$2,$AB8))),IF($AC$2="",TRUE,ISNUMBER(SEARCH($AC$2,$AC8))),IF($AD$2="",TRUE,ISNUMBER(SEARCH($AD$2,$AD8))),IF($AE$2="",TRUE,ISNUMBER(SEARCH($AE$2,$AE8))),IF($AF$2="",TRUE,ISNUMBER(SEARCH($AF$2,$AF8))),IF($AG$2="",TRUE,ISNUMBER(SEARCH($AG$2,$AG8))),IF($AH$2="",TRUE,ISNUMBER(SEARCH($AH$2,$AH8))))</f>
        <v/>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J9">
        <f>AND(IF($A$2="",TRUE,ISNUMBER(SEARCH($A$2,$A9))),IF($B$2="",TRUE,ISNUMBER(SEARCH($B$2,$B9))),IF($C$2="",TRUE,ISNUMBER(SEARCH($C$2,$C9))),IF($D$2="",TRUE,ISNUMBER(SEARCH($D$2,$D9))),IF($E$2="",TRUE,ISNUMBER(SEARCH($E$2,$E9))),IF($F$2="",TRUE,ISNUMBER(SEARCH($F$2,$F9))),IF($G$2="",TRUE,ISNUMBER(SEARCH($G$2,$G9))),IF($H$2="",TRUE,ISNUMBER(SEARCH($H$2,$H9))),IF($I$2="",TRUE,ISNUMBER(SEARCH($I$2,$I9))),IF($J$2="",TRUE,ISNUMBER(SEARCH($J$2,$J9))),IF($K$2="",TRUE,ISNUMBER(SEARCH($K$2,$K9))),IF($L$2="",TRUE,ISNUMBER(SEARCH($L$2,$L9))),IF($M$2="",TRUE,ISNUMBER(SEARCH($M$2,$M9))),IF($N$2="",TRUE,ISNUMBER(SEARCH($N$2,$N9))),IF($O$2="",TRUE,ISNUMBER(SEARCH($O$2,$O9))),IF($P$2="",TRUE,ISNUMBER(SEARCH($P$2,$P9))),IF($Q$2="",TRUE,ISNUMBER(SEARCH($Q$2,$Q9))),IF($R$2="",TRUE,ISNUMBER(SEARCH($R$2,$R9))),IF($S$2="",TRUE,ISNUMBER(SEARCH($S$2,$S9))),IF($T$2="",TRUE,ISNUMBER(SEARCH($T$2,$T9))),IF($U$2="",TRUE,ISNUMBER(SEARCH($U$2,$U9))),IF($V$2="",TRUE,ISNUMBER(SEARCH($V$2,$V9))),IF($W$2="",TRUE,ISNUMBER(SEARCH($W$2,$W9))),IF($X$2="",TRUE,ISNUMBER(SEARCH($X$2,$X9))),IF($Y$2="",TRUE,ISNUMBER(SEARCH($Y$2,$Y9))),IF($Z$2="",TRUE,ISNUMBER(SEARCH($Z$2,$Z9))),IF($AA$2="",TRUE,ISNUMBER(SEARCH($AA$2,$AA9))),IF($AB$2="",TRUE,ISNUMBER(SEARCH($AB$2,$AB9))),IF($AC$2="",TRUE,ISNUMBER(SEARCH($AC$2,$AC9))),IF($AD$2="",TRUE,ISNUMBER(SEARCH($AD$2,$AD9))),IF($AE$2="",TRUE,ISNUMBER(SEARCH($AE$2,$AE9))),IF($AF$2="",TRUE,ISNUMBER(SEARCH($AF$2,$AF9))),IF($AG$2="",TRUE,ISNUMBER(SEARCH($AG$2,$AG9))),IF($AH$2="",TRUE,ISNUMBER(SEARCH($AH$2,$AH9))))</f>
        <v/>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J10">
        <f>AND(IF($A$2="",TRUE,ISNUMBER(SEARCH($A$2,$A10))),IF($B$2="",TRUE,ISNUMBER(SEARCH($B$2,$B10))),IF($C$2="",TRUE,ISNUMBER(SEARCH($C$2,$C10))),IF($D$2="",TRUE,ISNUMBER(SEARCH($D$2,$D10))),IF($E$2="",TRUE,ISNUMBER(SEARCH($E$2,$E10))),IF($F$2="",TRUE,ISNUMBER(SEARCH($F$2,$F10))),IF($G$2="",TRUE,ISNUMBER(SEARCH($G$2,$G10))),IF($H$2="",TRUE,ISNUMBER(SEARCH($H$2,$H10))),IF($I$2="",TRUE,ISNUMBER(SEARCH($I$2,$I10))),IF($J$2="",TRUE,ISNUMBER(SEARCH($J$2,$J10))),IF($K$2="",TRUE,ISNUMBER(SEARCH($K$2,$K10))),IF($L$2="",TRUE,ISNUMBER(SEARCH($L$2,$L10))),IF($M$2="",TRUE,ISNUMBER(SEARCH($M$2,$M10))),IF($N$2="",TRUE,ISNUMBER(SEARCH($N$2,$N10))),IF($O$2="",TRUE,ISNUMBER(SEARCH($O$2,$O10))),IF($P$2="",TRUE,ISNUMBER(SEARCH($P$2,$P10))),IF($Q$2="",TRUE,ISNUMBER(SEARCH($Q$2,$Q10))),IF($R$2="",TRUE,ISNUMBER(SEARCH($R$2,$R10))),IF($S$2="",TRUE,ISNUMBER(SEARCH($S$2,$S10))),IF($T$2="",TRUE,ISNUMBER(SEARCH($T$2,$T10))),IF($U$2="",TRUE,ISNUMBER(SEARCH($U$2,$U10))),IF($V$2="",TRUE,ISNUMBER(SEARCH($V$2,$V10))),IF($W$2="",TRUE,ISNUMBER(SEARCH($W$2,$W10))),IF($X$2="",TRUE,ISNUMBER(SEARCH($X$2,$X10))),IF($Y$2="",TRUE,ISNUMBER(SEARCH($Y$2,$Y10))),IF($Z$2="",TRUE,ISNUMBER(SEARCH($Z$2,$Z10))),IF($AA$2="",TRUE,ISNUMBER(SEARCH($AA$2,$AA10))),IF($AB$2="",TRUE,ISNUMBER(SEARCH($AB$2,$AB10))),IF($AC$2="",TRUE,ISNUMBER(SEARCH($AC$2,$AC10))),IF($AD$2="",TRUE,ISNUMBER(SEARCH($AD$2,$AD10))),IF($AE$2="",TRUE,ISNUMBER(SEARCH($AE$2,$AE10))),IF($AF$2="",TRUE,ISNUMBER(SEARCH($AF$2,$AF10))),IF($AG$2="",TRUE,ISNUMBER(SEARCH($AG$2,$AG10))),IF($AH$2="",TRUE,ISNUMBER(SEARCH($AH$2,$AH10))))</f>
        <v/>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J11">
        <f>AND(IF($A$2="",TRUE,ISNUMBER(SEARCH($A$2,$A11))),IF($B$2="",TRUE,ISNUMBER(SEARCH($B$2,$B11))),IF($C$2="",TRUE,ISNUMBER(SEARCH($C$2,$C11))),IF($D$2="",TRUE,ISNUMBER(SEARCH($D$2,$D11))),IF($E$2="",TRUE,ISNUMBER(SEARCH($E$2,$E11))),IF($F$2="",TRUE,ISNUMBER(SEARCH($F$2,$F11))),IF($G$2="",TRUE,ISNUMBER(SEARCH($G$2,$G11))),IF($H$2="",TRUE,ISNUMBER(SEARCH($H$2,$H11))),IF($I$2="",TRUE,ISNUMBER(SEARCH($I$2,$I11))),IF($J$2="",TRUE,ISNUMBER(SEARCH($J$2,$J11))),IF($K$2="",TRUE,ISNUMBER(SEARCH($K$2,$K11))),IF($L$2="",TRUE,ISNUMBER(SEARCH($L$2,$L11))),IF($M$2="",TRUE,ISNUMBER(SEARCH($M$2,$M11))),IF($N$2="",TRUE,ISNUMBER(SEARCH($N$2,$N11))),IF($O$2="",TRUE,ISNUMBER(SEARCH($O$2,$O11))),IF($P$2="",TRUE,ISNUMBER(SEARCH($P$2,$P11))),IF($Q$2="",TRUE,ISNUMBER(SEARCH($Q$2,$Q11))),IF($R$2="",TRUE,ISNUMBER(SEARCH($R$2,$R11))),IF($S$2="",TRUE,ISNUMBER(SEARCH($S$2,$S11))),IF($T$2="",TRUE,ISNUMBER(SEARCH($T$2,$T11))),IF($U$2="",TRUE,ISNUMBER(SEARCH($U$2,$U11))),IF($V$2="",TRUE,ISNUMBER(SEARCH($V$2,$V11))),IF($W$2="",TRUE,ISNUMBER(SEARCH($W$2,$W11))),IF($X$2="",TRUE,ISNUMBER(SEARCH($X$2,$X11))),IF($Y$2="",TRUE,ISNUMBER(SEARCH($Y$2,$Y11))),IF($Z$2="",TRUE,ISNUMBER(SEARCH($Z$2,$Z11))),IF($AA$2="",TRUE,ISNUMBER(SEARCH($AA$2,$AA11))),IF($AB$2="",TRUE,ISNUMBER(SEARCH($AB$2,$AB11))),IF($AC$2="",TRUE,ISNUMBER(SEARCH($AC$2,$AC11))),IF($AD$2="",TRUE,ISNUMBER(SEARCH($AD$2,$AD11))),IF($AE$2="",TRUE,ISNUMBER(SEARCH($AE$2,$AE11))),IF($AF$2="",TRUE,ISNUMBER(SEARCH($AF$2,$AF11))),IF($AG$2="",TRUE,ISNUMBER(SEARCH($AG$2,$AG11))),IF($AH$2="",TRUE,ISNUMBER(SEARCH($AH$2,$AH11))))</f>
        <v/>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J12">
        <f>AND(IF($A$2="",TRUE,ISNUMBER(SEARCH($A$2,$A12))),IF($B$2="",TRUE,ISNUMBER(SEARCH($B$2,$B12))),IF($C$2="",TRUE,ISNUMBER(SEARCH($C$2,$C12))),IF($D$2="",TRUE,ISNUMBER(SEARCH($D$2,$D12))),IF($E$2="",TRUE,ISNUMBER(SEARCH($E$2,$E12))),IF($F$2="",TRUE,ISNUMBER(SEARCH($F$2,$F12))),IF($G$2="",TRUE,ISNUMBER(SEARCH($G$2,$G12))),IF($H$2="",TRUE,ISNUMBER(SEARCH($H$2,$H12))),IF($I$2="",TRUE,ISNUMBER(SEARCH($I$2,$I12))),IF($J$2="",TRUE,ISNUMBER(SEARCH($J$2,$J12))),IF($K$2="",TRUE,ISNUMBER(SEARCH($K$2,$K12))),IF($L$2="",TRUE,ISNUMBER(SEARCH($L$2,$L12))),IF($M$2="",TRUE,ISNUMBER(SEARCH($M$2,$M12))),IF($N$2="",TRUE,ISNUMBER(SEARCH($N$2,$N12))),IF($O$2="",TRUE,ISNUMBER(SEARCH($O$2,$O12))),IF($P$2="",TRUE,ISNUMBER(SEARCH($P$2,$P12))),IF($Q$2="",TRUE,ISNUMBER(SEARCH($Q$2,$Q12))),IF($R$2="",TRUE,ISNUMBER(SEARCH($R$2,$R12))),IF($S$2="",TRUE,ISNUMBER(SEARCH($S$2,$S12))),IF($T$2="",TRUE,ISNUMBER(SEARCH($T$2,$T12))),IF($U$2="",TRUE,ISNUMBER(SEARCH($U$2,$U12))),IF($V$2="",TRUE,ISNUMBER(SEARCH($V$2,$V12))),IF($W$2="",TRUE,ISNUMBER(SEARCH($W$2,$W12))),IF($X$2="",TRUE,ISNUMBER(SEARCH($X$2,$X12))),IF($Y$2="",TRUE,ISNUMBER(SEARCH($Y$2,$Y12))),IF($Z$2="",TRUE,ISNUMBER(SEARCH($Z$2,$Z12))),IF($AA$2="",TRUE,ISNUMBER(SEARCH($AA$2,$AA12))),IF($AB$2="",TRUE,ISNUMBER(SEARCH($AB$2,$AB12))),IF($AC$2="",TRUE,ISNUMBER(SEARCH($AC$2,$AC12))),IF($AD$2="",TRUE,ISNUMBER(SEARCH($AD$2,$AD12))),IF($AE$2="",TRUE,ISNUMBER(SEARCH($AE$2,$AE12))),IF($AF$2="",TRUE,ISNUMBER(SEARCH($AF$2,$AF12))),IF($AG$2="",TRUE,ISNUMBER(SEARCH($AG$2,$AG12))),IF($AH$2="",TRUE,ISNUMBER(SEARCH($AH$2,$AH12))))</f>
        <v/>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J13">
        <f>AND(IF($A$2="",TRUE,ISNUMBER(SEARCH($A$2,$A13))),IF($B$2="",TRUE,ISNUMBER(SEARCH($B$2,$B13))),IF($C$2="",TRUE,ISNUMBER(SEARCH($C$2,$C13))),IF($D$2="",TRUE,ISNUMBER(SEARCH($D$2,$D13))),IF($E$2="",TRUE,ISNUMBER(SEARCH($E$2,$E13))),IF($F$2="",TRUE,ISNUMBER(SEARCH($F$2,$F13))),IF($G$2="",TRUE,ISNUMBER(SEARCH($G$2,$G13))),IF($H$2="",TRUE,ISNUMBER(SEARCH($H$2,$H13))),IF($I$2="",TRUE,ISNUMBER(SEARCH($I$2,$I13))),IF($J$2="",TRUE,ISNUMBER(SEARCH($J$2,$J13))),IF($K$2="",TRUE,ISNUMBER(SEARCH($K$2,$K13))),IF($L$2="",TRUE,ISNUMBER(SEARCH($L$2,$L13))),IF($M$2="",TRUE,ISNUMBER(SEARCH($M$2,$M13))),IF($N$2="",TRUE,ISNUMBER(SEARCH($N$2,$N13))),IF($O$2="",TRUE,ISNUMBER(SEARCH($O$2,$O13))),IF($P$2="",TRUE,ISNUMBER(SEARCH($P$2,$P13))),IF($Q$2="",TRUE,ISNUMBER(SEARCH($Q$2,$Q13))),IF($R$2="",TRUE,ISNUMBER(SEARCH($R$2,$R13))),IF($S$2="",TRUE,ISNUMBER(SEARCH($S$2,$S13))),IF($T$2="",TRUE,ISNUMBER(SEARCH($T$2,$T13))),IF($U$2="",TRUE,ISNUMBER(SEARCH($U$2,$U13))),IF($V$2="",TRUE,ISNUMBER(SEARCH($V$2,$V13))),IF($W$2="",TRUE,ISNUMBER(SEARCH($W$2,$W13))),IF($X$2="",TRUE,ISNUMBER(SEARCH($X$2,$X13))),IF($Y$2="",TRUE,ISNUMBER(SEARCH($Y$2,$Y13))),IF($Z$2="",TRUE,ISNUMBER(SEARCH($Z$2,$Z13))),IF($AA$2="",TRUE,ISNUMBER(SEARCH($AA$2,$AA13))),IF($AB$2="",TRUE,ISNUMBER(SEARCH($AB$2,$AB13))),IF($AC$2="",TRUE,ISNUMBER(SEARCH($AC$2,$AC13))),IF($AD$2="",TRUE,ISNUMBER(SEARCH($AD$2,$AD13))),IF($AE$2="",TRUE,ISNUMBER(SEARCH($AE$2,$AE13))),IF($AF$2="",TRUE,ISNUMBER(SEARCH($AF$2,$AF13))),IF($AG$2="",TRUE,ISNUMBER(SEARCH($AG$2,$AG13))),IF($AH$2="",TRUE,ISNUMBER(SEARCH($AH$2,$AH13))))</f>
        <v/>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J14">
        <f>AND(IF($A$2="",TRUE,ISNUMBER(SEARCH($A$2,$A14))),IF($B$2="",TRUE,ISNUMBER(SEARCH($B$2,$B14))),IF($C$2="",TRUE,ISNUMBER(SEARCH($C$2,$C14))),IF($D$2="",TRUE,ISNUMBER(SEARCH($D$2,$D14))),IF($E$2="",TRUE,ISNUMBER(SEARCH($E$2,$E14))),IF($F$2="",TRUE,ISNUMBER(SEARCH($F$2,$F14))),IF($G$2="",TRUE,ISNUMBER(SEARCH($G$2,$G14))),IF($H$2="",TRUE,ISNUMBER(SEARCH($H$2,$H14))),IF($I$2="",TRUE,ISNUMBER(SEARCH($I$2,$I14))),IF($J$2="",TRUE,ISNUMBER(SEARCH($J$2,$J14))),IF($K$2="",TRUE,ISNUMBER(SEARCH($K$2,$K14))),IF($L$2="",TRUE,ISNUMBER(SEARCH($L$2,$L14))),IF($M$2="",TRUE,ISNUMBER(SEARCH($M$2,$M14))),IF($N$2="",TRUE,ISNUMBER(SEARCH($N$2,$N14))),IF($O$2="",TRUE,ISNUMBER(SEARCH($O$2,$O14))),IF($P$2="",TRUE,ISNUMBER(SEARCH($P$2,$P14))),IF($Q$2="",TRUE,ISNUMBER(SEARCH($Q$2,$Q14))),IF($R$2="",TRUE,ISNUMBER(SEARCH($R$2,$R14))),IF($S$2="",TRUE,ISNUMBER(SEARCH($S$2,$S14))),IF($T$2="",TRUE,ISNUMBER(SEARCH($T$2,$T14))),IF($U$2="",TRUE,ISNUMBER(SEARCH($U$2,$U14))),IF($V$2="",TRUE,ISNUMBER(SEARCH($V$2,$V14))),IF($W$2="",TRUE,ISNUMBER(SEARCH($W$2,$W14))),IF($X$2="",TRUE,ISNUMBER(SEARCH($X$2,$X14))),IF($Y$2="",TRUE,ISNUMBER(SEARCH($Y$2,$Y14))),IF($Z$2="",TRUE,ISNUMBER(SEARCH($Z$2,$Z14))),IF($AA$2="",TRUE,ISNUMBER(SEARCH($AA$2,$AA14))),IF($AB$2="",TRUE,ISNUMBER(SEARCH($AB$2,$AB14))),IF($AC$2="",TRUE,ISNUMBER(SEARCH($AC$2,$AC14))),IF($AD$2="",TRUE,ISNUMBER(SEARCH($AD$2,$AD14))),IF($AE$2="",TRUE,ISNUMBER(SEARCH($AE$2,$AE14))),IF($AF$2="",TRUE,ISNUMBER(SEARCH($AF$2,$AF14))),IF($AG$2="",TRUE,ISNUMBER(SEARCH($AG$2,$AG14))),IF($AH$2="",TRUE,ISNUMBER(SEARCH($AH$2,$AH14))))</f>
        <v/>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J15">
        <f>AND(IF($A$2="",TRUE,ISNUMBER(SEARCH($A$2,$A15))),IF($B$2="",TRUE,ISNUMBER(SEARCH($B$2,$B15))),IF($C$2="",TRUE,ISNUMBER(SEARCH($C$2,$C15))),IF($D$2="",TRUE,ISNUMBER(SEARCH($D$2,$D15))),IF($E$2="",TRUE,ISNUMBER(SEARCH($E$2,$E15))),IF($F$2="",TRUE,ISNUMBER(SEARCH($F$2,$F15))),IF($G$2="",TRUE,ISNUMBER(SEARCH($G$2,$G15))),IF($H$2="",TRUE,ISNUMBER(SEARCH($H$2,$H15))),IF($I$2="",TRUE,ISNUMBER(SEARCH($I$2,$I15))),IF($J$2="",TRUE,ISNUMBER(SEARCH($J$2,$J15))),IF($K$2="",TRUE,ISNUMBER(SEARCH($K$2,$K15))),IF($L$2="",TRUE,ISNUMBER(SEARCH($L$2,$L15))),IF($M$2="",TRUE,ISNUMBER(SEARCH($M$2,$M15))),IF($N$2="",TRUE,ISNUMBER(SEARCH($N$2,$N15))),IF($O$2="",TRUE,ISNUMBER(SEARCH($O$2,$O15))),IF($P$2="",TRUE,ISNUMBER(SEARCH($P$2,$P15))),IF($Q$2="",TRUE,ISNUMBER(SEARCH($Q$2,$Q15))),IF($R$2="",TRUE,ISNUMBER(SEARCH($R$2,$R15))),IF($S$2="",TRUE,ISNUMBER(SEARCH($S$2,$S15))),IF($T$2="",TRUE,ISNUMBER(SEARCH($T$2,$T15))),IF($U$2="",TRUE,ISNUMBER(SEARCH($U$2,$U15))),IF($V$2="",TRUE,ISNUMBER(SEARCH($V$2,$V15))),IF($W$2="",TRUE,ISNUMBER(SEARCH($W$2,$W15))),IF($X$2="",TRUE,ISNUMBER(SEARCH($X$2,$X15))),IF($Y$2="",TRUE,ISNUMBER(SEARCH($Y$2,$Y15))),IF($Z$2="",TRUE,ISNUMBER(SEARCH($Z$2,$Z15))),IF($AA$2="",TRUE,ISNUMBER(SEARCH($AA$2,$AA15))),IF($AB$2="",TRUE,ISNUMBER(SEARCH($AB$2,$AB15))),IF($AC$2="",TRUE,ISNUMBER(SEARCH($AC$2,$AC15))),IF($AD$2="",TRUE,ISNUMBER(SEARCH($AD$2,$AD15))),IF($AE$2="",TRUE,ISNUMBER(SEARCH($AE$2,$AE15))),IF($AF$2="",TRUE,ISNUMBER(SEARCH($AF$2,$AF15))),IF($AG$2="",TRUE,ISNUMBER(SEARCH($AG$2,$AG15))),IF($AH$2="",TRUE,ISNUMBER(SEARCH($AH$2,$AH15))))</f>
        <v/>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J16">
        <f>AND(IF($A$2="",TRUE,ISNUMBER(SEARCH($A$2,$A16))),IF($B$2="",TRUE,ISNUMBER(SEARCH($B$2,$B16))),IF($C$2="",TRUE,ISNUMBER(SEARCH($C$2,$C16))),IF($D$2="",TRUE,ISNUMBER(SEARCH($D$2,$D16))),IF($E$2="",TRUE,ISNUMBER(SEARCH($E$2,$E16))),IF($F$2="",TRUE,ISNUMBER(SEARCH($F$2,$F16))),IF($G$2="",TRUE,ISNUMBER(SEARCH($G$2,$G16))),IF($H$2="",TRUE,ISNUMBER(SEARCH($H$2,$H16))),IF($I$2="",TRUE,ISNUMBER(SEARCH($I$2,$I16))),IF($J$2="",TRUE,ISNUMBER(SEARCH($J$2,$J16))),IF($K$2="",TRUE,ISNUMBER(SEARCH($K$2,$K16))),IF($L$2="",TRUE,ISNUMBER(SEARCH($L$2,$L16))),IF($M$2="",TRUE,ISNUMBER(SEARCH($M$2,$M16))),IF($N$2="",TRUE,ISNUMBER(SEARCH($N$2,$N16))),IF($O$2="",TRUE,ISNUMBER(SEARCH($O$2,$O16))),IF($P$2="",TRUE,ISNUMBER(SEARCH($P$2,$P16))),IF($Q$2="",TRUE,ISNUMBER(SEARCH($Q$2,$Q16))),IF($R$2="",TRUE,ISNUMBER(SEARCH($R$2,$R16))),IF($S$2="",TRUE,ISNUMBER(SEARCH($S$2,$S16))),IF($T$2="",TRUE,ISNUMBER(SEARCH($T$2,$T16))),IF($U$2="",TRUE,ISNUMBER(SEARCH($U$2,$U16))),IF($V$2="",TRUE,ISNUMBER(SEARCH($V$2,$V16))),IF($W$2="",TRUE,ISNUMBER(SEARCH($W$2,$W16))),IF($X$2="",TRUE,ISNUMBER(SEARCH($X$2,$X16))),IF($Y$2="",TRUE,ISNUMBER(SEARCH($Y$2,$Y16))),IF($Z$2="",TRUE,ISNUMBER(SEARCH($Z$2,$Z16))),IF($AA$2="",TRUE,ISNUMBER(SEARCH($AA$2,$AA16))),IF($AB$2="",TRUE,ISNUMBER(SEARCH($AB$2,$AB16))),IF($AC$2="",TRUE,ISNUMBER(SEARCH($AC$2,$AC16))),IF($AD$2="",TRUE,ISNUMBER(SEARCH($AD$2,$AD16))),IF($AE$2="",TRUE,ISNUMBER(SEARCH($AE$2,$AE16))),IF($AF$2="",TRUE,ISNUMBER(SEARCH($AF$2,$AF16))),IF($AG$2="",TRUE,ISNUMBER(SEARCH($AG$2,$AG16))),IF($AH$2="",TRUE,ISNUMBER(SEARCH($AH$2,$AH16))))</f>
        <v/>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J17">
        <f>AND(IF($A$2="",TRUE,ISNUMBER(SEARCH($A$2,$A17))),IF($B$2="",TRUE,ISNUMBER(SEARCH($B$2,$B17))),IF($C$2="",TRUE,ISNUMBER(SEARCH($C$2,$C17))),IF($D$2="",TRUE,ISNUMBER(SEARCH($D$2,$D17))),IF($E$2="",TRUE,ISNUMBER(SEARCH($E$2,$E17))),IF($F$2="",TRUE,ISNUMBER(SEARCH($F$2,$F17))),IF($G$2="",TRUE,ISNUMBER(SEARCH($G$2,$G17))),IF($H$2="",TRUE,ISNUMBER(SEARCH($H$2,$H17))),IF($I$2="",TRUE,ISNUMBER(SEARCH($I$2,$I17))),IF($J$2="",TRUE,ISNUMBER(SEARCH($J$2,$J17))),IF($K$2="",TRUE,ISNUMBER(SEARCH($K$2,$K17))),IF($L$2="",TRUE,ISNUMBER(SEARCH($L$2,$L17))),IF($M$2="",TRUE,ISNUMBER(SEARCH($M$2,$M17))),IF($N$2="",TRUE,ISNUMBER(SEARCH($N$2,$N17))),IF($O$2="",TRUE,ISNUMBER(SEARCH($O$2,$O17))),IF($P$2="",TRUE,ISNUMBER(SEARCH($P$2,$P17))),IF($Q$2="",TRUE,ISNUMBER(SEARCH($Q$2,$Q17))),IF($R$2="",TRUE,ISNUMBER(SEARCH($R$2,$R17))),IF($S$2="",TRUE,ISNUMBER(SEARCH($S$2,$S17))),IF($T$2="",TRUE,ISNUMBER(SEARCH($T$2,$T17))),IF($U$2="",TRUE,ISNUMBER(SEARCH($U$2,$U17))),IF($V$2="",TRUE,ISNUMBER(SEARCH($V$2,$V17))),IF($W$2="",TRUE,ISNUMBER(SEARCH($W$2,$W17))),IF($X$2="",TRUE,ISNUMBER(SEARCH($X$2,$X17))),IF($Y$2="",TRUE,ISNUMBER(SEARCH($Y$2,$Y17))),IF($Z$2="",TRUE,ISNUMBER(SEARCH($Z$2,$Z17))),IF($AA$2="",TRUE,ISNUMBER(SEARCH($AA$2,$AA17))),IF($AB$2="",TRUE,ISNUMBER(SEARCH($AB$2,$AB17))),IF($AC$2="",TRUE,ISNUMBER(SEARCH($AC$2,$AC17))),IF($AD$2="",TRUE,ISNUMBER(SEARCH($AD$2,$AD17))),IF($AE$2="",TRUE,ISNUMBER(SEARCH($AE$2,$AE17))),IF($AF$2="",TRUE,ISNUMBER(SEARCH($AF$2,$AF17))),IF($AG$2="",TRUE,ISNUMBER(SEARCH($AG$2,$AG17))),IF($AH$2="",TRUE,ISNUMBER(SEARCH($AH$2,$AH17))))</f>
        <v/>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J18">
        <f>AND(IF($A$2="",TRUE,ISNUMBER(SEARCH($A$2,$A18))),IF($B$2="",TRUE,ISNUMBER(SEARCH($B$2,$B18))),IF($C$2="",TRUE,ISNUMBER(SEARCH($C$2,$C18))),IF($D$2="",TRUE,ISNUMBER(SEARCH($D$2,$D18))),IF($E$2="",TRUE,ISNUMBER(SEARCH($E$2,$E18))),IF($F$2="",TRUE,ISNUMBER(SEARCH($F$2,$F18))),IF($G$2="",TRUE,ISNUMBER(SEARCH($G$2,$G18))),IF($H$2="",TRUE,ISNUMBER(SEARCH($H$2,$H18))),IF($I$2="",TRUE,ISNUMBER(SEARCH($I$2,$I18))),IF($J$2="",TRUE,ISNUMBER(SEARCH($J$2,$J18))),IF($K$2="",TRUE,ISNUMBER(SEARCH($K$2,$K18))),IF($L$2="",TRUE,ISNUMBER(SEARCH($L$2,$L18))),IF($M$2="",TRUE,ISNUMBER(SEARCH($M$2,$M18))),IF($N$2="",TRUE,ISNUMBER(SEARCH($N$2,$N18))),IF($O$2="",TRUE,ISNUMBER(SEARCH($O$2,$O18))),IF($P$2="",TRUE,ISNUMBER(SEARCH($P$2,$P18))),IF($Q$2="",TRUE,ISNUMBER(SEARCH($Q$2,$Q18))),IF($R$2="",TRUE,ISNUMBER(SEARCH($R$2,$R18))),IF($S$2="",TRUE,ISNUMBER(SEARCH($S$2,$S18))),IF($T$2="",TRUE,ISNUMBER(SEARCH($T$2,$T18))),IF($U$2="",TRUE,ISNUMBER(SEARCH($U$2,$U18))),IF($V$2="",TRUE,ISNUMBER(SEARCH($V$2,$V18))),IF($W$2="",TRUE,ISNUMBER(SEARCH($W$2,$W18))),IF($X$2="",TRUE,ISNUMBER(SEARCH($X$2,$X18))),IF($Y$2="",TRUE,ISNUMBER(SEARCH($Y$2,$Y18))),IF($Z$2="",TRUE,ISNUMBER(SEARCH($Z$2,$Z18))),IF($AA$2="",TRUE,ISNUMBER(SEARCH($AA$2,$AA18))),IF($AB$2="",TRUE,ISNUMBER(SEARCH($AB$2,$AB18))),IF($AC$2="",TRUE,ISNUMBER(SEARCH($AC$2,$AC18))),IF($AD$2="",TRUE,ISNUMBER(SEARCH($AD$2,$AD18))),IF($AE$2="",TRUE,ISNUMBER(SEARCH($AE$2,$AE18))),IF($AF$2="",TRUE,ISNUMBER(SEARCH($AF$2,$AF18))),IF($AG$2="",TRUE,ISNUMBER(SEARCH($AG$2,$AG18))),IF($AH$2="",TRUE,ISNUMBER(SEARCH($AH$2,$AH18))))</f>
        <v/>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J19">
        <f>AND(IF($A$2="",TRUE,ISNUMBER(SEARCH($A$2,$A19))),IF($B$2="",TRUE,ISNUMBER(SEARCH($B$2,$B19))),IF($C$2="",TRUE,ISNUMBER(SEARCH($C$2,$C19))),IF($D$2="",TRUE,ISNUMBER(SEARCH($D$2,$D19))),IF($E$2="",TRUE,ISNUMBER(SEARCH($E$2,$E19))),IF($F$2="",TRUE,ISNUMBER(SEARCH($F$2,$F19))),IF($G$2="",TRUE,ISNUMBER(SEARCH($G$2,$G19))),IF($H$2="",TRUE,ISNUMBER(SEARCH($H$2,$H19))),IF($I$2="",TRUE,ISNUMBER(SEARCH($I$2,$I19))),IF($J$2="",TRUE,ISNUMBER(SEARCH($J$2,$J19))),IF($K$2="",TRUE,ISNUMBER(SEARCH($K$2,$K19))),IF($L$2="",TRUE,ISNUMBER(SEARCH($L$2,$L19))),IF($M$2="",TRUE,ISNUMBER(SEARCH($M$2,$M19))),IF($N$2="",TRUE,ISNUMBER(SEARCH($N$2,$N19))),IF($O$2="",TRUE,ISNUMBER(SEARCH($O$2,$O19))),IF($P$2="",TRUE,ISNUMBER(SEARCH($P$2,$P19))),IF($Q$2="",TRUE,ISNUMBER(SEARCH($Q$2,$Q19))),IF($R$2="",TRUE,ISNUMBER(SEARCH($R$2,$R19))),IF($S$2="",TRUE,ISNUMBER(SEARCH($S$2,$S19))),IF($T$2="",TRUE,ISNUMBER(SEARCH($T$2,$T19))),IF($U$2="",TRUE,ISNUMBER(SEARCH($U$2,$U19))),IF($V$2="",TRUE,ISNUMBER(SEARCH($V$2,$V19))),IF($W$2="",TRUE,ISNUMBER(SEARCH($W$2,$W19))),IF($X$2="",TRUE,ISNUMBER(SEARCH($X$2,$X19))),IF($Y$2="",TRUE,ISNUMBER(SEARCH($Y$2,$Y19))),IF($Z$2="",TRUE,ISNUMBER(SEARCH($Z$2,$Z19))),IF($AA$2="",TRUE,ISNUMBER(SEARCH($AA$2,$AA19))),IF($AB$2="",TRUE,ISNUMBER(SEARCH($AB$2,$AB19))),IF($AC$2="",TRUE,ISNUMBER(SEARCH($AC$2,$AC19))),IF($AD$2="",TRUE,ISNUMBER(SEARCH($AD$2,$AD19))),IF($AE$2="",TRUE,ISNUMBER(SEARCH($AE$2,$AE19))),IF($AF$2="",TRUE,ISNUMBER(SEARCH($AF$2,$AF19))),IF($AG$2="",TRUE,ISNUMBER(SEARCH($AG$2,$AG19))),IF($AH$2="",TRUE,ISNUMBER(SEARCH($AH$2,$AH19))))</f>
        <v/>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J20">
        <f>AND(IF($A$2="",TRUE,ISNUMBER(SEARCH($A$2,$A20))),IF($B$2="",TRUE,ISNUMBER(SEARCH($B$2,$B20))),IF($C$2="",TRUE,ISNUMBER(SEARCH($C$2,$C20))),IF($D$2="",TRUE,ISNUMBER(SEARCH($D$2,$D20))),IF($E$2="",TRUE,ISNUMBER(SEARCH($E$2,$E20))),IF($F$2="",TRUE,ISNUMBER(SEARCH($F$2,$F20))),IF($G$2="",TRUE,ISNUMBER(SEARCH($G$2,$G20))),IF($H$2="",TRUE,ISNUMBER(SEARCH($H$2,$H20))),IF($I$2="",TRUE,ISNUMBER(SEARCH($I$2,$I20))),IF($J$2="",TRUE,ISNUMBER(SEARCH($J$2,$J20))),IF($K$2="",TRUE,ISNUMBER(SEARCH($K$2,$K20))),IF($L$2="",TRUE,ISNUMBER(SEARCH($L$2,$L20))),IF($M$2="",TRUE,ISNUMBER(SEARCH($M$2,$M20))),IF($N$2="",TRUE,ISNUMBER(SEARCH($N$2,$N20))),IF($O$2="",TRUE,ISNUMBER(SEARCH($O$2,$O20))),IF($P$2="",TRUE,ISNUMBER(SEARCH($P$2,$P20))),IF($Q$2="",TRUE,ISNUMBER(SEARCH($Q$2,$Q20))),IF($R$2="",TRUE,ISNUMBER(SEARCH($R$2,$R20))),IF($S$2="",TRUE,ISNUMBER(SEARCH($S$2,$S20))),IF($T$2="",TRUE,ISNUMBER(SEARCH($T$2,$T20))),IF($U$2="",TRUE,ISNUMBER(SEARCH($U$2,$U20))),IF($V$2="",TRUE,ISNUMBER(SEARCH($V$2,$V20))),IF($W$2="",TRUE,ISNUMBER(SEARCH($W$2,$W20))),IF($X$2="",TRUE,ISNUMBER(SEARCH($X$2,$X20))),IF($Y$2="",TRUE,ISNUMBER(SEARCH($Y$2,$Y20))),IF($Z$2="",TRUE,ISNUMBER(SEARCH($Z$2,$Z20))),IF($AA$2="",TRUE,ISNUMBER(SEARCH($AA$2,$AA20))),IF($AB$2="",TRUE,ISNUMBER(SEARCH($AB$2,$AB20))),IF($AC$2="",TRUE,ISNUMBER(SEARCH($AC$2,$AC20))),IF($AD$2="",TRUE,ISNUMBER(SEARCH($AD$2,$AD20))),IF($AE$2="",TRUE,ISNUMBER(SEARCH($AE$2,$AE20))),IF($AF$2="",TRUE,ISNUMBER(SEARCH($AF$2,$AF20))),IF($AG$2="",TRUE,ISNUMBER(SEARCH($AG$2,$AG20))),IF($AH$2="",TRUE,ISNUMBER(SEARCH($AH$2,$AH20))))</f>
        <v/>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J21">
        <f>AND(IF($A$2="",TRUE,ISNUMBER(SEARCH($A$2,$A21))),IF($B$2="",TRUE,ISNUMBER(SEARCH($B$2,$B21))),IF($C$2="",TRUE,ISNUMBER(SEARCH($C$2,$C21))),IF($D$2="",TRUE,ISNUMBER(SEARCH($D$2,$D21))),IF($E$2="",TRUE,ISNUMBER(SEARCH($E$2,$E21))),IF($F$2="",TRUE,ISNUMBER(SEARCH($F$2,$F21))),IF($G$2="",TRUE,ISNUMBER(SEARCH($G$2,$G21))),IF($H$2="",TRUE,ISNUMBER(SEARCH($H$2,$H21))),IF($I$2="",TRUE,ISNUMBER(SEARCH($I$2,$I21))),IF($J$2="",TRUE,ISNUMBER(SEARCH($J$2,$J21))),IF($K$2="",TRUE,ISNUMBER(SEARCH($K$2,$K21))),IF($L$2="",TRUE,ISNUMBER(SEARCH($L$2,$L21))),IF($M$2="",TRUE,ISNUMBER(SEARCH($M$2,$M21))),IF($N$2="",TRUE,ISNUMBER(SEARCH($N$2,$N21))),IF($O$2="",TRUE,ISNUMBER(SEARCH($O$2,$O21))),IF($P$2="",TRUE,ISNUMBER(SEARCH($P$2,$P21))),IF($Q$2="",TRUE,ISNUMBER(SEARCH($Q$2,$Q21))),IF($R$2="",TRUE,ISNUMBER(SEARCH($R$2,$R21))),IF($S$2="",TRUE,ISNUMBER(SEARCH($S$2,$S21))),IF($T$2="",TRUE,ISNUMBER(SEARCH($T$2,$T21))),IF($U$2="",TRUE,ISNUMBER(SEARCH($U$2,$U21))),IF($V$2="",TRUE,ISNUMBER(SEARCH($V$2,$V21))),IF($W$2="",TRUE,ISNUMBER(SEARCH($W$2,$W21))),IF($X$2="",TRUE,ISNUMBER(SEARCH($X$2,$X21))),IF($Y$2="",TRUE,ISNUMBER(SEARCH($Y$2,$Y21))),IF($Z$2="",TRUE,ISNUMBER(SEARCH($Z$2,$Z21))),IF($AA$2="",TRUE,ISNUMBER(SEARCH($AA$2,$AA21))),IF($AB$2="",TRUE,ISNUMBER(SEARCH($AB$2,$AB21))),IF($AC$2="",TRUE,ISNUMBER(SEARCH($AC$2,$AC21))),IF($AD$2="",TRUE,ISNUMBER(SEARCH($AD$2,$AD21))),IF($AE$2="",TRUE,ISNUMBER(SEARCH($AE$2,$AE21))),IF($AF$2="",TRUE,ISNUMBER(SEARCH($AF$2,$AF21))),IF($AG$2="",TRUE,ISNUMBER(SEARCH($AG$2,$AG21))),IF($AH$2="",TRUE,ISNUMBER(SEARCH($AH$2,$AH21))))</f>
        <v/>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J22">
        <f>AND(IF($A$2="",TRUE,ISNUMBER(SEARCH($A$2,$A22))),IF($B$2="",TRUE,ISNUMBER(SEARCH($B$2,$B22))),IF($C$2="",TRUE,ISNUMBER(SEARCH($C$2,$C22))),IF($D$2="",TRUE,ISNUMBER(SEARCH($D$2,$D22))),IF($E$2="",TRUE,ISNUMBER(SEARCH($E$2,$E22))),IF($F$2="",TRUE,ISNUMBER(SEARCH($F$2,$F22))),IF($G$2="",TRUE,ISNUMBER(SEARCH($G$2,$G22))),IF($H$2="",TRUE,ISNUMBER(SEARCH($H$2,$H22))),IF($I$2="",TRUE,ISNUMBER(SEARCH($I$2,$I22))),IF($J$2="",TRUE,ISNUMBER(SEARCH($J$2,$J22))),IF($K$2="",TRUE,ISNUMBER(SEARCH($K$2,$K22))),IF($L$2="",TRUE,ISNUMBER(SEARCH($L$2,$L22))),IF($M$2="",TRUE,ISNUMBER(SEARCH($M$2,$M22))),IF($N$2="",TRUE,ISNUMBER(SEARCH($N$2,$N22))),IF($O$2="",TRUE,ISNUMBER(SEARCH($O$2,$O22))),IF($P$2="",TRUE,ISNUMBER(SEARCH($P$2,$P22))),IF($Q$2="",TRUE,ISNUMBER(SEARCH($Q$2,$Q22))),IF($R$2="",TRUE,ISNUMBER(SEARCH($R$2,$R22))),IF($S$2="",TRUE,ISNUMBER(SEARCH($S$2,$S22))),IF($T$2="",TRUE,ISNUMBER(SEARCH($T$2,$T22))),IF($U$2="",TRUE,ISNUMBER(SEARCH($U$2,$U22))),IF($V$2="",TRUE,ISNUMBER(SEARCH($V$2,$V22))),IF($W$2="",TRUE,ISNUMBER(SEARCH($W$2,$W22))),IF($X$2="",TRUE,ISNUMBER(SEARCH($X$2,$X22))),IF($Y$2="",TRUE,ISNUMBER(SEARCH($Y$2,$Y22))),IF($Z$2="",TRUE,ISNUMBER(SEARCH($Z$2,$Z22))),IF($AA$2="",TRUE,ISNUMBER(SEARCH($AA$2,$AA22))),IF($AB$2="",TRUE,ISNUMBER(SEARCH($AB$2,$AB22))),IF($AC$2="",TRUE,ISNUMBER(SEARCH($AC$2,$AC22))),IF($AD$2="",TRUE,ISNUMBER(SEARCH($AD$2,$AD22))),IF($AE$2="",TRUE,ISNUMBER(SEARCH($AE$2,$AE22))),IF($AF$2="",TRUE,ISNUMBER(SEARCH($AF$2,$AF22))),IF($AG$2="",TRUE,ISNUMBER(SEARCH($AG$2,$AG22))),IF($AH$2="",TRUE,ISNUMBER(SEARCH($AH$2,$AH22))))</f>
        <v/>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J23">
        <f>AND(IF($A$2="",TRUE,ISNUMBER(SEARCH($A$2,$A23))),IF($B$2="",TRUE,ISNUMBER(SEARCH($B$2,$B23))),IF($C$2="",TRUE,ISNUMBER(SEARCH($C$2,$C23))),IF($D$2="",TRUE,ISNUMBER(SEARCH($D$2,$D23))),IF($E$2="",TRUE,ISNUMBER(SEARCH($E$2,$E23))),IF($F$2="",TRUE,ISNUMBER(SEARCH($F$2,$F23))),IF($G$2="",TRUE,ISNUMBER(SEARCH($G$2,$G23))),IF($H$2="",TRUE,ISNUMBER(SEARCH($H$2,$H23))),IF($I$2="",TRUE,ISNUMBER(SEARCH($I$2,$I23))),IF($J$2="",TRUE,ISNUMBER(SEARCH($J$2,$J23))),IF($K$2="",TRUE,ISNUMBER(SEARCH($K$2,$K23))),IF($L$2="",TRUE,ISNUMBER(SEARCH($L$2,$L23))),IF($M$2="",TRUE,ISNUMBER(SEARCH($M$2,$M23))),IF($N$2="",TRUE,ISNUMBER(SEARCH($N$2,$N23))),IF($O$2="",TRUE,ISNUMBER(SEARCH($O$2,$O23))),IF($P$2="",TRUE,ISNUMBER(SEARCH($P$2,$P23))),IF($Q$2="",TRUE,ISNUMBER(SEARCH($Q$2,$Q23))),IF($R$2="",TRUE,ISNUMBER(SEARCH($R$2,$R23))),IF($S$2="",TRUE,ISNUMBER(SEARCH($S$2,$S23))),IF($T$2="",TRUE,ISNUMBER(SEARCH($T$2,$T23))),IF($U$2="",TRUE,ISNUMBER(SEARCH($U$2,$U23))),IF($V$2="",TRUE,ISNUMBER(SEARCH($V$2,$V23))),IF($W$2="",TRUE,ISNUMBER(SEARCH($W$2,$W23))),IF($X$2="",TRUE,ISNUMBER(SEARCH($X$2,$X23))),IF($Y$2="",TRUE,ISNUMBER(SEARCH($Y$2,$Y23))),IF($Z$2="",TRUE,ISNUMBER(SEARCH($Z$2,$Z23))),IF($AA$2="",TRUE,ISNUMBER(SEARCH($AA$2,$AA23))),IF($AB$2="",TRUE,ISNUMBER(SEARCH($AB$2,$AB23))),IF($AC$2="",TRUE,ISNUMBER(SEARCH($AC$2,$AC23))),IF($AD$2="",TRUE,ISNUMBER(SEARCH($AD$2,$AD23))),IF($AE$2="",TRUE,ISNUMBER(SEARCH($AE$2,$AE23))),IF($AF$2="",TRUE,ISNUMBER(SEARCH($AF$2,$AF23))),IF($AG$2="",TRUE,ISNUMBER(SEARCH($AG$2,$AG23))),IF($AH$2="",TRUE,ISNUMBER(SEARCH($AH$2,$AH23))))</f>
        <v/>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J24">
        <f>AND(IF($A$2="",TRUE,ISNUMBER(SEARCH($A$2,$A24))),IF($B$2="",TRUE,ISNUMBER(SEARCH($B$2,$B24))),IF($C$2="",TRUE,ISNUMBER(SEARCH($C$2,$C24))),IF($D$2="",TRUE,ISNUMBER(SEARCH($D$2,$D24))),IF($E$2="",TRUE,ISNUMBER(SEARCH($E$2,$E24))),IF($F$2="",TRUE,ISNUMBER(SEARCH($F$2,$F24))),IF($G$2="",TRUE,ISNUMBER(SEARCH($G$2,$G24))),IF($H$2="",TRUE,ISNUMBER(SEARCH($H$2,$H24))),IF($I$2="",TRUE,ISNUMBER(SEARCH($I$2,$I24))),IF($J$2="",TRUE,ISNUMBER(SEARCH($J$2,$J24))),IF($K$2="",TRUE,ISNUMBER(SEARCH($K$2,$K24))),IF($L$2="",TRUE,ISNUMBER(SEARCH($L$2,$L24))),IF($M$2="",TRUE,ISNUMBER(SEARCH($M$2,$M24))),IF($N$2="",TRUE,ISNUMBER(SEARCH($N$2,$N24))),IF($O$2="",TRUE,ISNUMBER(SEARCH($O$2,$O24))),IF($P$2="",TRUE,ISNUMBER(SEARCH($P$2,$P24))),IF($Q$2="",TRUE,ISNUMBER(SEARCH($Q$2,$Q24))),IF($R$2="",TRUE,ISNUMBER(SEARCH($R$2,$R24))),IF($S$2="",TRUE,ISNUMBER(SEARCH($S$2,$S24))),IF($T$2="",TRUE,ISNUMBER(SEARCH($T$2,$T24))),IF($U$2="",TRUE,ISNUMBER(SEARCH($U$2,$U24))),IF($V$2="",TRUE,ISNUMBER(SEARCH($V$2,$V24))),IF($W$2="",TRUE,ISNUMBER(SEARCH($W$2,$W24))),IF($X$2="",TRUE,ISNUMBER(SEARCH($X$2,$X24))),IF($Y$2="",TRUE,ISNUMBER(SEARCH($Y$2,$Y24))),IF($Z$2="",TRUE,ISNUMBER(SEARCH($Z$2,$Z24))),IF($AA$2="",TRUE,ISNUMBER(SEARCH($AA$2,$AA24))),IF($AB$2="",TRUE,ISNUMBER(SEARCH($AB$2,$AB24))),IF($AC$2="",TRUE,ISNUMBER(SEARCH($AC$2,$AC24))),IF($AD$2="",TRUE,ISNUMBER(SEARCH($AD$2,$AD24))),IF($AE$2="",TRUE,ISNUMBER(SEARCH($AE$2,$AE24))),IF($AF$2="",TRUE,ISNUMBER(SEARCH($AF$2,$AF24))),IF($AG$2="",TRUE,ISNUMBER(SEARCH($AG$2,$AG24))),IF($AH$2="",TRUE,ISNUMBER(SEARCH($AH$2,$AH24))))</f>
        <v/>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J25">
        <f>AND(IF($A$2="",TRUE,ISNUMBER(SEARCH($A$2,$A25))),IF($B$2="",TRUE,ISNUMBER(SEARCH($B$2,$B25))),IF($C$2="",TRUE,ISNUMBER(SEARCH($C$2,$C25))),IF($D$2="",TRUE,ISNUMBER(SEARCH($D$2,$D25))),IF($E$2="",TRUE,ISNUMBER(SEARCH($E$2,$E25))),IF($F$2="",TRUE,ISNUMBER(SEARCH($F$2,$F25))),IF($G$2="",TRUE,ISNUMBER(SEARCH($G$2,$G25))),IF($H$2="",TRUE,ISNUMBER(SEARCH($H$2,$H25))),IF($I$2="",TRUE,ISNUMBER(SEARCH($I$2,$I25))),IF($J$2="",TRUE,ISNUMBER(SEARCH($J$2,$J25))),IF($K$2="",TRUE,ISNUMBER(SEARCH($K$2,$K25))),IF($L$2="",TRUE,ISNUMBER(SEARCH($L$2,$L25))),IF($M$2="",TRUE,ISNUMBER(SEARCH($M$2,$M25))),IF($N$2="",TRUE,ISNUMBER(SEARCH($N$2,$N25))),IF($O$2="",TRUE,ISNUMBER(SEARCH($O$2,$O25))),IF($P$2="",TRUE,ISNUMBER(SEARCH($P$2,$P25))),IF($Q$2="",TRUE,ISNUMBER(SEARCH($Q$2,$Q25))),IF($R$2="",TRUE,ISNUMBER(SEARCH($R$2,$R25))),IF($S$2="",TRUE,ISNUMBER(SEARCH($S$2,$S25))),IF($T$2="",TRUE,ISNUMBER(SEARCH($T$2,$T25))),IF($U$2="",TRUE,ISNUMBER(SEARCH($U$2,$U25))),IF($V$2="",TRUE,ISNUMBER(SEARCH($V$2,$V25))),IF($W$2="",TRUE,ISNUMBER(SEARCH($W$2,$W25))),IF($X$2="",TRUE,ISNUMBER(SEARCH($X$2,$X25))),IF($Y$2="",TRUE,ISNUMBER(SEARCH($Y$2,$Y25))),IF($Z$2="",TRUE,ISNUMBER(SEARCH($Z$2,$Z25))),IF($AA$2="",TRUE,ISNUMBER(SEARCH($AA$2,$AA25))),IF($AB$2="",TRUE,ISNUMBER(SEARCH($AB$2,$AB25))),IF($AC$2="",TRUE,ISNUMBER(SEARCH($AC$2,$AC25))),IF($AD$2="",TRUE,ISNUMBER(SEARCH($AD$2,$AD25))),IF($AE$2="",TRUE,ISNUMBER(SEARCH($AE$2,$AE25))),IF($AF$2="",TRUE,ISNUMBER(SEARCH($AF$2,$AF25))),IF($AG$2="",TRUE,ISNUMBER(SEARCH($AG$2,$AG25))),IF($AH$2="",TRUE,ISNUMBER(SEARCH($AH$2,$AH25))))</f>
        <v/>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J26">
        <f>AND(IF($A$2="",TRUE,ISNUMBER(SEARCH($A$2,$A26))),IF($B$2="",TRUE,ISNUMBER(SEARCH($B$2,$B26))),IF($C$2="",TRUE,ISNUMBER(SEARCH($C$2,$C26))),IF($D$2="",TRUE,ISNUMBER(SEARCH($D$2,$D26))),IF($E$2="",TRUE,ISNUMBER(SEARCH($E$2,$E26))),IF($F$2="",TRUE,ISNUMBER(SEARCH($F$2,$F26))),IF($G$2="",TRUE,ISNUMBER(SEARCH($G$2,$G26))),IF($H$2="",TRUE,ISNUMBER(SEARCH($H$2,$H26))),IF($I$2="",TRUE,ISNUMBER(SEARCH($I$2,$I26))),IF($J$2="",TRUE,ISNUMBER(SEARCH($J$2,$J26))),IF($K$2="",TRUE,ISNUMBER(SEARCH($K$2,$K26))),IF($L$2="",TRUE,ISNUMBER(SEARCH($L$2,$L26))),IF($M$2="",TRUE,ISNUMBER(SEARCH($M$2,$M26))),IF($N$2="",TRUE,ISNUMBER(SEARCH($N$2,$N26))),IF($O$2="",TRUE,ISNUMBER(SEARCH($O$2,$O26))),IF($P$2="",TRUE,ISNUMBER(SEARCH($P$2,$P26))),IF($Q$2="",TRUE,ISNUMBER(SEARCH($Q$2,$Q26))),IF($R$2="",TRUE,ISNUMBER(SEARCH($R$2,$R26))),IF($S$2="",TRUE,ISNUMBER(SEARCH($S$2,$S26))),IF($T$2="",TRUE,ISNUMBER(SEARCH($T$2,$T26))),IF($U$2="",TRUE,ISNUMBER(SEARCH($U$2,$U26))),IF($V$2="",TRUE,ISNUMBER(SEARCH($V$2,$V26))),IF($W$2="",TRUE,ISNUMBER(SEARCH($W$2,$W26))),IF($X$2="",TRUE,ISNUMBER(SEARCH($X$2,$X26))),IF($Y$2="",TRUE,ISNUMBER(SEARCH($Y$2,$Y26))),IF($Z$2="",TRUE,ISNUMBER(SEARCH($Z$2,$Z26))),IF($AA$2="",TRUE,ISNUMBER(SEARCH($AA$2,$AA26))),IF($AB$2="",TRUE,ISNUMBER(SEARCH($AB$2,$AB26))),IF($AC$2="",TRUE,ISNUMBER(SEARCH($AC$2,$AC26))),IF($AD$2="",TRUE,ISNUMBER(SEARCH($AD$2,$AD26))),IF($AE$2="",TRUE,ISNUMBER(SEARCH($AE$2,$AE26))),IF($AF$2="",TRUE,ISNUMBER(SEARCH($AF$2,$AF26))),IF($AG$2="",TRUE,ISNUMBER(SEARCH($AG$2,$AG26))),IF($AH$2="",TRUE,ISNUMBER(SEARCH($AH$2,$AH26))))</f>
        <v/>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153" t="n"/>
      <c r="AB27" s="153" t="n"/>
      <c r="AC27" s="157">
        <f>U27+X27+AA27</f>
        <v/>
      </c>
      <c r="AD27" s="157">
        <f>S27-AC27</f>
        <v/>
      </c>
      <c r="AE27" s="153">
        <f>IF(AD27="","",IF(AD27&lt;=5,"SETTLED","OUTSTANDING"))</f>
        <v/>
      </c>
      <c r="AF27" s="153" t="n"/>
      <c r="AG27" s="158" t="n"/>
      <c r="AH27" s="159" t="n"/>
      <c r="AJ27">
        <f>AND(IF($A$2="",TRUE,ISNUMBER(SEARCH($A$2,$A27))),IF($B$2="",TRUE,ISNUMBER(SEARCH($B$2,$B27))),IF($C$2="",TRUE,ISNUMBER(SEARCH($C$2,$C27))),IF($D$2="",TRUE,ISNUMBER(SEARCH($D$2,$D27))),IF($E$2="",TRUE,ISNUMBER(SEARCH($E$2,$E27))),IF($F$2="",TRUE,ISNUMBER(SEARCH($F$2,$F27))),IF($G$2="",TRUE,ISNUMBER(SEARCH($G$2,$G27))),IF($H$2="",TRUE,ISNUMBER(SEARCH($H$2,$H27))),IF($I$2="",TRUE,ISNUMBER(SEARCH($I$2,$I27))),IF($J$2="",TRUE,ISNUMBER(SEARCH($J$2,$J27))),IF($K$2="",TRUE,ISNUMBER(SEARCH($K$2,$K27))),IF($L$2="",TRUE,ISNUMBER(SEARCH($L$2,$L27))),IF($M$2="",TRUE,ISNUMBER(SEARCH($M$2,$M27))),IF($N$2="",TRUE,ISNUMBER(SEARCH($N$2,$N27))),IF($O$2="",TRUE,ISNUMBER(SEARCH($O$2,$O27))),IF($P$2="",TRUE,ISNUMBER(SEARCH($P$2,$P27))),IF($Q$2="",TRUE,ISNUMBER(SEARCH($Q$2,$Q27))),IF($R$2="",TRUE,ISNUMBER(SEARCH($R$2,$R27))),IF($S$2="",TRUE,ISNUMBER(SEARCH($S$2,$S27))),IF($T$2="",TRUE,ISNUMBER(SEARCH($T$2,$T27))),IF($U$2="",TRUE,ISNUMBER(SEARCH($U$2,$U27))),IF($V$2="",TRUE,ISNUMBER(SEARCH($V$2,$V27))),IF($W$2="",TRUE,ISNUMBER(SEARCH($W$2,$W27))),IF($X$2="",TRUE,ISNUMBER(SEARCH($X$2,$X27))),IF($Y$2="",TRUE,ISNUMBER(SEARCH($Y$2,$Y27))),IF($Z$2="",TRUE,ISNUMBER(SEARCH($Z$2,$Z27))),IF($AA$2="",TRUE,ISNUMBER(SEARCH($AA$2,$AA27))),IF($AB$2="",TRUE,ISNUMBER(SEARCH($AB$2,$AB27))),IF($AC$2="",TRUE,ISNUMBER(SEARCH($AC$2,$AC27))),IF($AD$2="",TRUE,ISNUMBER(SEARCH($AD$2,$AD27))),IF($AE$2="",TRUE,ISNUMBER(SEARCH($AE$2,$AE27))),IF($AF$2="",TRUE,ISNUMBER(SEARCH($AF$2,$AF27))),IF($AG$2="",TRUE,ISNUMBER(SEARCH($AG$2,$AG27))),IF($AH$2="",TRUE,ISNUMBER(SEARCH($AH$2,$AH27))))</f>
        <v/>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J28">
        <f>AND(IF($A$2="",TRUE,ISNUMBER(SEARCH($A$2,$A28))),IF($B$2="",TRUE,ISNUMBER(SEARCH($B$2,$B28))),IF($C$2="",TRUE,ISNUMBER(SEARCH($C$2,$C28))),IF($D$2="",TRUE,ISNUMBER(SEARCH($D$2,$D28))),IF($E$2="",TRUE,ISNUMBER(SEARCH($E$2,$E28))),IF($F$2="",TRUE,ISNUMBER(SEARCH($F$2,$F28))),IF($G$2="",TRUE,ISNUMBER(SEARCH($G$2,$G28))),IF($H$2="",TRUE,ISNUMBER(SEARCH($H$2,$H28))),IF($I$2="",TRUE,ISNUMBER(SEARCH($I$2,$I28))),IF($J$2="",TRUE,ISNUMBER(SEARCH($J$2,$J28))),IF($K$2="",TRUE,ISNUMBER(SEARCH($K$2,$K28))),IF($L$2="",TRUE,ISNUMBER(SEARCH($L$2,$L28))),IF($M$2="",TRUE,ISNUMBER(SEARCH($M$2,$M28))),IF($N$2="",TRUE,ISNUMBER(SEARCH($N$2,$N28))),IF($O$2="",TRUE,ISNUMBER(SEARCH($O$2,$O28))),IF($P$2="",TRUE,ISNUMBER(SEARCH($P$2,$P28))),IF($Q$2="",TRUE,ISNUMBER(SEARCH($Q$2,$Q28))),IF($R$2="",TRUE,ISNUMBER(SEARCH($R$2,$R28))),IF($S$2="",TRUE,ISNUMBER(SEARCH($S$2,$S28))),IF($T$2="",TRUE,ISNUMBER(SEARCH($T$2,$T28))),IF($U$2="",TRUE,ISNUMBER(SEARCH($U$2,$U28))),IF($V$2="",TRUE,ISNUMBER(SEARCH($V$2,$V28))),IF($W$2="",TRUE,ISNUMBER(SEARCH($W$2,$W28))),IF($X$2="",TRUE,ISNUMBER(SEARCH($X$2,$X28))),IF($Y$2="",TRUE,ISNUMBER(SEARCH($Y$2,$Y28))),IF($Z$2="",TRUE,ISNUMBER(SEARCH($Z$2,$Z28))),IF($AA$2="",TRUE,ISNUMBER(SEARCH($AA$2,$AA28))),IF($AB$2="",TRUE,ISNUMBER(SEARCH($AB$2,$AB28))),IF($AC$2="",TRUE,ISNUMBER(SEARCH($AC$2,$AC28))),IF($AD$2="",TRUE,ISNUMBER(SEARCH($AD$2,$AD28))),IF($AE$2="",TRUE,ISNUMBER(SEARCH($AE$2,$AE28))),IF($AF$2="",TRUE,ISNUMBER(SEARCH($AF$2,$AF28))),IF($AG$2="",TRUE,ISNUMBER(SEARCH($AG$2,$AG28))),IF($AH$2="",TRUE,ISNUMBER(SEARCH($AH$2,$AH28))))</f>
        <v/>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153" t="n"/>
      <c r="AB29" s="153" t="n"/>
      <c r="AC29" s="157">
        <f>U29+X29+AA29</f>
        <v/>
      </c>
      <c r="AD29" s="157">
        <f>S29-AC29</f>
        <v/>
      </c>
      <c r="AE29" s="153">
        <f>IF(AD29="","",IF(AD29&lt;=5,"SETTLED","OUTSTANDING"))</f>
        <v/>
      </c>
      <c r="AF29" s="153" t="n"/>
      <c r="AG29" s="158" t="n"/>
      <c r="AH29" s="159" t="n"/>
      <c r="AJ29">
        <f>AND(IF($A$2="",TRUE,ISNUMBER(SEARCH($A$2,$A29))),IF($B$2="",TRUE,ISNUMBER(SEARCH($B$2,$B29))),IF($C$2="",TRUE,ISNUMBER(SEARCH($C$2,$C29))),IF($D$2="",TRUE,ISNUMBER(SEARCH($D$2,$D29))),IF($E$2="",TRUE,ISNUMBER(SEARCH($E$2,$E29))),IF($F$2="",TRUE,ISNUMBER(SEARCH($F$2,$F29))),IF($G$2="",TRUE,ISNUMBER(SEARCH($G$2,$G29))),IF($H$2="",TRUE,ISNUMBER(SEARCH($H$2,$H29))),IF($I$2="",TRUE,ISNUMBER(SEARCH($I$2,$I29))),IF($J$2="",TRUE,ISNUMBER(SEARCH($J$2,$J29))),IF($K$2="",TRUE,ISNUMBER(SEARCH($K$2,$K29))),IF($L$2="",TRUE,ISNUMBER(SEARCH($L$2,$L29))),IF($M$2="",TRUE,ISNUMBER(SEARCH($M$2,$M29))),IF($N$2="",TRUE,ISNUMBER(SEARCH($N$2,$N29))),IF($O$2="",TRUE,ISNUMBER(SEARCH($O$2,$O29))),IF($P$2="",TRUE,ISNUMBER(SEARCH($P$2,$P29))),IF($Q$2="",TRUE,ISNUMBER(SEARCH($Q$2,$Q29))),IF($R$2="",TRUE,ISNUMBER(SEARCH($R$2,$R29))),IF($S$2="",TRUE,ISNUMBER(SEARCH($S$2,$S29))),IF($T$2="",TRUE,ISNUMBER(SEARCH($T$2,$T29))),IF($U$2="",TRUE,ISNUMBER(SEARCH($U$2,$U29))),IF($V$2="",TRUE,ISNUMBER(SEARCH($V$2,$V29))),IF($W$2="",TRUE,ISNUMBER(SEARCH($W$2,$W29))),IF($X$2="",TRUE,ISNUMBER(SEARCH($X$2,$X29))),IF($Y$2="",TRUE,ISNUMBER(SEARCH($Y$2,$Y29))),IF($Z$2="",TRUE,ISNUMBER(SEARCH($Z$2,$Z29))),IF($AA$2="",TRUE,ISNUMBER(SEARCH($AA$2,$AA29))),IF($AB$2="",TRUE,ISNUMBER(SEARCH($AB$2,$AB29))),IF($AC$2="",TRUE,ISNUMBER(SEARCH($AC$2,$AC29))),IF($AD$2="",TRUE,ISNUMBER(SEARCH($AD$2,$AD29))),IF($AE$2="",TRUE,ISNUMBER(SEARCH($AE$2,$AE29))),IF($AF$2="",TRUE,ISNUMBER(SEARCH($AF$2,$AF29))),IF($AG$2="",TRUE,ISNUMBER(SEARCH($AG$2,$AG29))),IF($AH$2="",TRUE,ISNUMBER(SEARCH($AH$2,$AH29))))</f>
        <v/>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J30">
        <f>AND(IF($A$2="",TRUE,ISNUMBER(SEARCH($A$2,$A30))),IF($B$2="",TRUE,ISNUMBER(SEARCH($B$2,$B30))),IF($C$2="",TRUE,ISNUMBER(SEARCH($C$2,$C30))),IF($D$2="",TRUE,ISNUMBER(SEARCH($D$2,$D30))),IF($E$2="",TRUE,ISNUMBER(SEARCH($E$2,$E30))),IF($F$2="",TRUE,ISNUMBER(SEARCH($F$2,$F30))),IF($G$2="",TRUE,ISNUMBER(SEARCH($G$2,$G30))),IF($H$2="",TRUE,ISNUMBER(SEARCH($H$2,$H30))),IF($I$2="",TRUE,ISNUMBER(SEARCH($I$2,$I30))),IF($J$2="",TRUE,ISNUMBER(SEARCH($J$2,$J30))),IF($K$2="",TRUE,ISNUMBER(SEARCH($K$2,$K30))),IF($L$2="",TRUE,ISNUMBER(SEARCH($L$2,$L30))),IF($M$2="",TRUE,ISNUMBER(SEARCH($M$2,$M30))),IF($N$2="",TRUE,ISNUMBER(SEARCH($N$2,$N30))),IF($O$2="",TRUE,ISNUMBER(SEARCH($O$2,$O30))),IF($P$2="",TRUE,ISNUMBER(SEARCH($P$2,$P30))),IF($Q$2="",TRUE,ISNUMBER(SEARCH($Q$2,$Q30))),IF($R$2="",TRUE,ISNUMBER(SEARCH($R$2,$R30))),IF($S$2="",TRUE,ISNUMBER(SEARCH($S$2,$S30))),IF($T$2="",TRUE,ISNUMBER(SEARCH($T$2,$T30))),IF($U$2="",TRUE,ISNUMBER(SEARCH($U$2,$U30))),IF($V$2="",TRUE,ISNUMBER(SEARCH($V$2,$V30))),IF($W$2="",TRUE,ISNUMBER(SEARCH($W$2,$W30))),IF($X$2="",TRUE,ISNUMBER(SEARCH($X$2,$X30))),IF($Y$2="",TRUE,ISNUMBER(SEARCH($Y$2,$Y30))),IF($Z$2="",TRUE,ISNUMBER(SEARCH($Z$2,$Z30))),IF($AA$2="",TRUE,ISNUMBER(SEARCH($AA$2,$AA30))),IF($AB$2="",TRUE,ISNUMBER(SEARCH($AB$2,$AB30))),IF($AC$2="",TRUE,ISNUMBER(SEARCH($AC$2,$AC30))),IF($AD$2="",TRUE,ISNUMBER(SEARCH($AD$2,$AD30))),IF($AE$2="",TRUE,ISNUMBER(SEARCH($AE$2,$AE30))),IF($AF$2="",TRUE,ISNUMBER(SEARCH($AF$2,$AF30))),IF($AG$2="",TRUE,ISNUMBER(SEARCH($AG$2,$AG30))),IF($AH$2="",TRUE,ISNUMBER(SEARCH($AH$2,$AH30))))</f>
        <v/>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J31">
        <f>AND(IF($A$2="",TRUE,ISNUMBER(SEARCH($A$2,$A31))),IF($B$2="",TRUE,ISNUMBER(SEARCH($B$2,$B31))),IF($C$2="",TRUE,ISNUMBER(SEARCH($C$2,$C31))),IF($D$2="",TRUE,ISNUMBER(SEARCH($D$2,$D31))),IF($E$2="",TRUE,ISNUMBER(SEARCH($E$2,$E31))),IF($F$2="",TRUE,ISNUMBER(SEARCH($F$2,$F31))),IF($G$2="",TRUE,ISNUMBER(SEARCH($G$2,$G31))),IF($H$2="",TRUE,ISNUMBER(SEARCH($H$2,$H31))),IF($I$2="",TRUE,ISNUMBER(SEARCH($I$2,$I31))),IF($J$2="",TRUE,ISNUMBER(SEARCH($J$2,$J31))),IF($K$2="",TRUE,ISNUMBER(SEARCH($K$2,$K31))),IF($L$2="",TRUE,ISNUMBER(SEARCH($L$2,$L31))),IF($M$2="",TRUE,ISNUMBER(SEARCH($M$2,$M31))),IF($N$2="",TRUE,ISNUMBER(SEARCH($N$2,$N31))),IF($O$2="",TRUE,ISNUMBER(SEARCH($O$2,$O31))),IF($P$2="",TRUE,ISNUMBER(SEARCH($P$2,$P31))),IF($Q$2="",TRUE,ISNUMBER(SEARCH($Q$2,$Q31))),IF($R$2="",TRUE,ISNUMBER(SEARCH($R$2,$R31))),IF($S$2="",TRUE,ISNUMBER(SEARCH($S$2,$S31))),IF($T$2="",TRUE,ISNUMBER(SEARCH($T$2,$T31))),IF($U$2="",TRUE,ISNUMBER(SEARCH($U$2,$U31))),IF($V$2="",TRUE,ISNUMBER(SEARCH($V$2,$V31))),IF($W$2="",TRUE,ISNUMBER(SEARCH($W$2,$W31))),IF($X$2="",TRUE,ISNUMBER(SEARCH($X$2,$X31))),IF($Y$2="",TRUE,ISNUMBER(SEARCH($Y$2,$Y31))),IF($Z$2="",TRUE,ISNUMBER(SEARCH($Z$2,$Z31))),IF($AA$2="",TRUE,ISNUMBER(SEARCH($AA$2,$AA31))),IF($AB$2="",TRUE,ISNUMBER(SEARCH($AB$2,$AB31))),IF($AC$2="",TRUE,ISNUMBER(SEARCH($AC$2,$AC31))),IF($AD$2="",TRUE,ISNUMBER(SEARCH($AD$2,$AD31))),IF($AE$2="",TRUE,ISNUMBER(SEARCH($AE$2,$AE31))),IF($AF$2="",TRUE,ISNUMBER(SEARCH($AF$2,$AF31))),IF($AG$2="",TRUE,ISNUMBER(SEARCH($AG$2,$AG31))),IF($AH$2="",TRUE,ISNUMBER(SEARCH($AH$2,$AH31))))</f>
        <v/>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J32">
        <f>AND(IF($A$2="",TRUE,ISNUMBER(SEARCH($A$2,$A32))),IF($B$2="",TRUE,ISNUMBER(SEARCH($B$2,$B32))),IF($C$2="",TRUE,ISNUMBER(SEARCH($C$2,$C32))),IF($D$2="",TRUE,ISNUMBER(SEARCH($D$2,$D32))),IF($E$2="",TRUE,ISNUMBER(SEARCH($E$2,$E32))),IF($F$2="",TRUE,ISNUMBER(SEARCH($F$2,$F32))),IF($G$2="",TRUE,ISNUMBER(SEARCH($G$2,$G32))),IF($H$2="",TRUE,ISNUMBER(SEARCH($H$2,$H32))),IF($I$2="",TRUE,ISNUMBER(SEARCH($I$2,$I32))),IF($J$2="",TRUE,ISNUMBER(SEARCH($J$2,$J32))),IF($K$2="",TRUE,ISNUMBER(SEARCH($K$2,$K32))),IF($L$2="",TRUE,ISNUMBER(SEARCH($L$2,$L32))),IF($M$2="",TRUE,ISNUMBER(SEARCH($M$2,$M32))),IF($N$2="",TRUE,ISNUMBER(SEARCH($N$2,$N32))),IF($O$2="",TRUE,ISNUMBER(SEARCH($O$2,$O32))),IF($P$2="",TRUE,ISNUMBER(SEARCH($P$2,$P32))),IF($Q$2="",TRUE,ISNUMBER(SEARCH($Q$2,$Q32))),IF($R$2="",TRUE,ISNUMBER(SEARCH($R$2,$R32))),IF($S$2="",TRUE,ISNUMBER(SEARCH($S$2,$S32))),IF($T$2="",TRUE,ISNUMBER(SEARCH($T$2,$T32))),IF($U$2="",TRUE,ISNUMBER(SEARCH($U$2,$U32))),IF($V$2="",TRUE,ISNUMBER(SEARCH($V$2,$V32))),IF($W$2="",TRUE,ISNUMBER(SEARCH($W$2,$W32))),IF($X$2="",TRUE,ISNUMBER(SEARCH($X$2,$X32))),IF($Y$2="",TRUE,ISNUMBER(SEARCH($Y$2,$Y32))),IF($Z$2="",TRUE,ISNUMBER(SEARCH($Z$2,$Z32))),IF($AA$2="",TRUE,ISNUMBER(SEARCH($AA$2,$AA32))),IF($AB$2="",TRUE,ISNUMBER(SEARCH($AB$2,$AB32))),IF($AC$2="",TRUE,ISNUMBER(SEARCH($AC$2,$AC32))),IF($AD$2="",TRUE,ISNUMBER(SEARCH($AD$2,$AD32))),IF($AE$2="",TRUE,ISNUMBER(SEARCH($AE$2,$AE32))),IF($AF$2="",TRUE,ISNUMBER(SEARCH($AF$2,$AF32))),IF($AG$2="",TRUE,ISNUMBER(SEARCH($AG$2,$AG32))),IF($AH$2="",TRUE,ISNUMBER(SEARCH($AH$2,$AH32))))</f>
        <v/>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J33">
        <f>AND(IF($A$2="",TRUE,ISNUMBER(SEARCH($A$2,$A33))),IF($B$2="",TRUE,ISNUMBER(SEARCH($B$2,$B33))),IF($C$2="",TRUE,ISNUMBER(SEARCH($C$2,$C33))),IF($D$2="",TRUE,ISNUMBER(SEARCH($D$2,$D33))),IF($E$2="",TRUE,ISNUMBER(SEARCH($E$2,$E33))),IF($F$2="",TRUE,ISNUMBER(SEARCH($F$2,$F33))),IF($G$2="",TRUE,ISNUMBER(SEARCH($G$2,$G33))),IF($H$2="",TRUE,ISNUMBER(SEARCH($H$2,$H33))),IF($I$2="",TRUE,ISNUMBER(SEARCH($I$2,$I33))),IF($J$2="",TRUE,ISNUMBER(SEARCH($J$2,$J33))),IF($K$2="",TRUE,ISNUMBER(SEARCH($K$2,$K33))),IF($L$2="",TRUE,ISNUMBER(SEARCH($L$2,$L33))),IF($M$2="",TRUE,ISNUMBER(SEARCH($M$2,$M33))),IF($N$2="",TRUE,ISNUMBER(SEARCH($N$2,$N33))),IF($O$2="",TRUE,ISNUMBER(SEARCH($O$2,$O33))),IF($P$2="",TRUE,ISNUMBER(SEARCH($P$2,$P33))),IF($Q$2="",TRUE,ISNUMBER(SEARCH($Q$2,$Q33))),IF($R$2="",TRUE,ISNUMBER(SEARCH($R$2,$R33))),IF($S$2="",TRUE,ISNUMBER(SEARCH($S$2,$S33))),IF($T$2="",TRUE,ISNUMBER(SEARCH($T$2,$T33))),IF($U$2="",TRUE,ISNUMBER(SEARCH($U$2,$U33))),IF($V$2="",TRUE,ISNUMBER(SEARCH($V$2,$V33))),IF($W$2="",TRUE,ISNUMBER(SEARCH($W$2,$W33))),IF($X$2="",TRUE,ISNUMBER(SEARCH($X$2,$X33))),IF($Y$2="",TRUE,ISNUMBER(SEARCH($Y$2,$Y33))),IF($Z$2="",TRUE,ISNUMBER(SEARCH($Z$2,$Z33))),IF($AA$2="",TRUE,ISNUMBER(SEARCH($AA$2,$AA33))),IF($AB$2="",TRUE,ISNUMBER(SEARCH($AB$2,$AB33))),IF($AC$2="",TRUE,ISNUMBER(SEARCH($AC$2,$AC33))),IF($AD$2="",TRUE,ISNUMBER(SEARCH($AD$2,$AD33))),IF($AE$2="",TRUE,ISNUMBER(SEARCH($AE$2,$AE33))),IF($AF$2="",TRUE,ISNUMBER(SEARCH($AF$2,$AF33))),IF($AG$2="",TRUE,ISNUMBER(SEARCH($AG$2,$AG33))),IF($AH$2="",TRUE,ISNUMBER(SEARCH($AH$2,$AH33))))</f>
        <v/>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J34">
        <f>AND(IF($A$2="",TRUE,ISNUMBER(SEARCH($A$2,$A34))),IF($B$2="",TRUE,ISNUMBER(SEARCH($B$2,$B34))),IF($C$2="",TRUE,ISNUMBER(SEARCH($C$2,$C34))),IF($D$2="",TRUE,ISNUMBER(SEARCH($D$2,$D34))),IF($E$2="",TRUE,ISNUMBER(SEARCH($E$2,$E34))),IF($F$2="",TRUE,ISNUMBER(SEARCH($F$2,$F34))),IF($G$2="",TRUE,ISNUMBER(SEARCH($G$2,$G34))),IF($H$2="",TRUE,ISNUMBER(SEARCH($H$2,$H34))),IF($I$2="",TRUE,ISNUMBER(SEARCH($I$2,$I34))),IF($J$2="",TRUE,ISNUMBER(SEARCH($J$2,$J34))),IF($K$2="",TRUE,ISNUMBER(SEARCH($K$2,$K34))),IF($L$2="",TRUE,ISNUMBER(SEARCH($L$2,$L34))),IF($M$2="",TRUE,ISNUMBER(SEARCH($M$2,$M34))),IF($N$2="",TRUE,ISNUMBER(SEARCH($N$2,$N34))),IF($O$2="",TRUE,ISNUMBER(SEARCH($O$2,$O34))),IF($P$2="",TRUE,ISNUMBER(SEARCH($P$2,$P34))),IF($Q$2="",TRUE,ISNUMBER(SEARCH($Q$2,$Q34))),IF($R$2="",TRUE,ISNUMBER(SEARCH($R$2,$R34))),IF($S$2="",TRUE,ISNUMBER(SEARCH($S$2,$S34))),IF($T$2="",TRUE,ISNUMBER(SEARCH($T$2,$T34))),IF($U$2="",TRUE,ISNUMBER(SEARCH($U$2,$U34))),IF($V$2="",TRUE,ISNUMBER(SEARCH($V$2,$V34))),IF($W$2="",TRUE,ISNUMBER(SEARCH($W$2,$W34))),IF($X$2="",TRUE,ISNUMBER(SEARCH($X$2,$X34))),IF($Y$2="",TRUE,ISNUMBER(SEARCH($Y$2,$Y34))),IF($Z$2="",TRUE,ISNUMBER(SEARCH($Z$2,$Z34))),IF($AA$2="",TRUE,ISNUMBER(SEARCH($AA$2,$AA34))),IF($AB$2="",TRUE,ISNUMBER(SEARCH($AB$2,$AB34))),IF($AC$2="",TRUE,ISNUMBER(SEARCH($AC$2,$AC34))),IF($AD$2="",TRUE,ISNUMBER(SEARCH($AD$2,$AD34))),IF($AE$2="",TRUE,ISNUMBER(SEARCH($AE$2,$AE34))),IF($AF$2="",TRUE,ISNUMBER(SEARCH($AF$2,$AF34))),IF($AG$2="",TRUE,ISNUMBER(SEARCH($AG$2,$AG34))),IF($AH$2="",TRUE,ISNUMBER(SEARCH($AH$2,$AH34))))</f>
        <v/>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J35">
        <f>AND(IF($A$2="",TRUE,ISNUMBER(SEARCH($A$2,$A35))),IF($B$2="",TRUE,ISNUMBER(SEARCH($B$2,$B35))),IF($C$2="",TRUE,ISNUMBER(SEARCH($C$2,$C35))),IF($D$2="",TRUE,ISNUMBER(SEARCH($D$2,$D35))),IF($E$2="",TRUE,ISNUMBER(SEARCH($E$2,$E35))),IF($F$2="",TRUE,ISNUMBER(SEARCH($F$2,$F35))),IF($G$2="",TRUE,ISNUMBER(SEARCH($G$2,$G35))),IF($H$2="",TRUE,ISNUMBER(SEARCH($H$2,$H35))),IF($I$2="",TRUE,ISNUMBER(SEARCH($I$2,$I35))),IF($J$2="",TRUE,ISNUMBER(SEARCH($J$2,$J35))),IF($K$2="",TRUE,ISNUMBER(SEARCH($K$2,$K35))),IF($L$2="",TRUE,ISNUMBER(SEARCH($L$2,$L35))),IF($M$2="",TRUE,ISNUMBER(SEARCH($M$2,$M35))),IF($N$2="",TRUE,ISNUMBER(SEARCH($N$2,$N35))),IF($O$2="",TRUE,ISNUMBER(SEARCH($O$2,$O35))),IF($P$2="",TRUE,ISNUMBER(SEARCH($P$2,$P35))),IF($Q$2="",TRUE,ISNUMBER(SEARCH($Q$2,$Q35))),IF($R$2="",TRUE,ISNUMBER(SEARCH($R$2,$R35))),IF($S$2="",TRUE,ISNUMBER(SEARCH($S$2,$S35))),IF($T$2="",TRUE,ISNUMBER(SEARCH($T$2,$T35))),IF($U$2="",TRUE,ISNUMBER(SEARCH($U$2,$U35))),IF($V$2="",TRUE,ISNUMBER(SEARCH($V$2,$V35))),IF($W$2="",TRUE,ISNUMBER(SEARCH($W$2,$W35))),IF($X$2="",TRUE,ISNUMBER(SEARCH($X$2,$X35))),IF($Y$2="",TRUE,ISNUMBER(SEARCH($Y$2,$Y35))),IF($Z$2="",TRUE,ISNUMBER(SEARCH($Z$2,$Z35))),IF($AA$2="",TRUE,ISNUMBER(SEARCH($AA$2,$AA35))),IF($AB$2="",TRUE,ISNUMBER(SEARCH($AB$2,$AB35))),IF($AC$2="",TRUE,ISNUMBER(SEARCH($AC$2,$AC35))),IF($AD$2="",TRUE,ISNUMBER(SEARCH($AD$2,$AD35))),IF($AE$2="",TRUE,ISNUMBER(SEARCH($AE$2,$AE35))),IF($AF$2="",TRUE,ISNUMBER(SEARCH($AF$2,$AF35))),IF($AG$2="",TRUE,ISNUMBER(SEARCH($AG$2,$AG35))),IF($AH$2="",TRUE,ISNUMBER(SEARCH($AH$2,$AH35))))</f>
        <v/>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
      </c>
      <c r="AD36" s="19">
        <f>S36-AC36</f>
        <v/>
      </c>
      <c r="AE36" s="20">
        <f>IF(AD36="","",IF(AD36&lt;=5,"SETTLED","OUTSTANDING"))</f>
        <v/>
      </c>
      <c r="AF36" s="20" t="n"/>
      <c r="AG36" s="21" t="n"/>
      <c r="AH36" s="22" t="n"/>
      <c r="AJ36">
        <f>AND(IF($A$2="",TRUE,ISNUMBER(SEARCH($A$2,$A36))),IF($B$2="",TRUE,ISNUMBER(SEARCH($B$2,$B36))),IF($C$2="",TRUE,ISNUMBER(SEARCH($C$2,$C36))),IF($D$2="",TRUE,ISNUMBER(SEARCH($D$2,$D36))),IF($E$2="",TRUE,ISNUMBER(SEARCH($E$2,$E36))),IF($F$2="",TRUE,ISNUMBER(SEARCH($F$2,$F36))),IF($G$2="",TRUE,ISNUMBER(SEARCH($G$2,$G36))),IF($H$2="",TRUE,ISNUMBER(SEARCH($H$2,$H36))),IF($I$2="",TRUE,ISNUMBER(SEARCH($I$2,$I36))),IF($J$2="",TRUE,ISNUMBER(SEARCH($J$2,$J36))),IF($K$2="",TRUE,ISNUMBER(SEARCH($K$2,$K36))),IF($L$2="",TRUE,ISNUMBER(SEARCH($L$2,$L36))),IF($M$2="",TRUE,ISNUMBER(SEARCH($M$2,$M36))),IF($N$2="",TRUE,ISNUMBER(SEARCH($N$2,$N36))),IF($O$2="",TRUE,ISNUMBER(SEARCH($O$2,$O36))),IF($P$2="",TRUE,ISNUMBER(SEARCH($P$2,$P36))),IF($Q$2="",TRUE,ISNUMBER(SEARCH($Q$2,$Q36))),IF($R$2="",TRUE,ISNUMBER(SEARCH($R$2,$R36))),IF($S$2="",TRUE,ISNUMBER(SEARCH($S$2,$S36))),IF($T$2="",TRUE,ISNUMBER(SEARCH($T$2,$T36))),IF($U$2="",TRUE,ISNUMBER(SEARCH($U$2,$U36))),IF($V$2="",TRUE,ISNUMBER(SEARCH($V$2,$V36))),IF($W$2="",TRUE,ISNUMBER(SEARCH($W$2,$W36))),IF($X$2="",TRUE,ISNUMBER(SEARCH($X$2,$X36))),IF($Y$2="",TRUE,ISNUMBER(SEARCH($Y$2,$Y36))),IF($Z$2="",TRUE,ISNUMBER(SEARCH($Z$2,$Z36))),IF($AA$2="",TRUE,ISNUMBER(SEARCH($AA$2,$AA36))),IF($AB$2="",TRUE,ISNUMBER(SEARCH($AB$2,$AB36))),IF($AC$2="",TRUE,ISNUMBER(SEARCH($AC$2,$AC36))),IF($AD$2="",TRUE,ISNUMBER(SEARCH($AD$2,$AD36))),IF($AE$2="",TRUE,ISNUMBER(SEARCH($AE$2,$AE36))),IF($AF$2="",TRUE,ISNUMBER(SEARCH($AF$2,$AF36))),IF($AG$2="",TRUE,ISNUMBER(SEARCH($AG$2,$AG36))),IF($AH$2="",TRUE,ISNUMBER(SEARCH($AH$2,$AH36))))</f>
        <v/>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J37">
        <f>AND(IF($A$2="",TRUE,ISNUMBER(SEARCH($A$2,$A37))),IF($B$2="",TRUE,ISNUMBER(SEARCH($B$2,$B37))),IF($C$2="",TRUE,ISNUMBER(SEARCH($C$2,$C37))),IF($D$2="",TRUE,ISNUMBER(SEARCH($D$2,$D37))),IF($E$2="",TRUE,ISNUMBER(SEARCH($E$2,$E37))),IF($F$2="",TRUE,ISNUMBER(SEARCH($F$2,$F37))),IF($G$2="",TRUE,ISNUMBER(SEARCH($G$2,$G37))),IF($H$2="",TRUE,ISNUMBER(SEARCH($H$2,$H37))),IF($I$2="",TRUE,ISNUMBER(SEARCH($I$2,$I37))),IF($J$2="",TRUE,ISNUMBER(SEARCH($J$2,$J37))),IF($K$2="",TRUE,ISNUMBER(SEARCH($K$2,$K37))),IF($L$2="",TRUE,ISNUMBER(SEARCH($L$2,$L37))),IF($M$2="",TRUE,ISNUMBER(SEARCH($M$2,$M37))),IF($N$2="",TRUE,ISNUMBER(SEARCH($N$2,$N37))),IF($O$2="",TRUE,ISNUMBER(SEARCH($O$2,$O37))),IF($P$2="",TRUE,ISNUMBER(SEARCH($P$2,$P37))),IF($Q$2="",TRUE,ISNUMBER(SEARCH($Q$2,$Q37))),IF($R$2="",TRUE,ISNUMBER(SEARCH($R$2,$R37))),IF($S$2="",TRUE,ISNUMBER(SEARCH($S$2,$S37))),IF($T$2="",TRUE,ISNUMBER(SEARCH($T$2,$T37))),IF($U$2="",TRUE,ISNUMBER(SEARCH($U$2,$U37))),IF($V$2="",TRUE,ISNUMBER(SEARCH($V$2,$V37))),IF($W$2="",TRUE,ISNUMBER(SEARCH($W$2,$W37))),IF($X$2="",TRUE,ISNUMBER(SEARCH($X$2,$X37))),IF($Y$2="",TRUE,ISNUMBER(SEARCH($Y$2,$Y37))),IF($Z$2="",TRUE,ISNUMBER(SEARCH($Z$2,$Z37))),IF($AA$2="",TRUE,ISNUMBER(SEARCH($AA$2,$AA37))),IF($AB$2="",TRUE,ISNUMBER(SEARCH($AB$2,$AB37))),IF($AC$2="",TRUE,ISNUMBER(SEARCH($AC$2,$AC37))),IF($AD$2="",TRUE,ISNUMBER(SEARCH($AD$2,$AD37))),IF($AE$2="",TRUE,ISNUMBER(SEARCH($AE$2,$AE37))),IF($AF$2="",TRUE,ISNUMBER(SEARCH($AF$2,$AF37))),IF($AG$2="",TRUE,ISNUMBER(SEARCH($AG$2,$AG37))),IF($AH$2="",TRUE,ISNUMBER(SEARCH($AH$2,$AH37))))</f>
        <v/>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J38">
        <f>AND(IF($A$2="",TRUE,ISNUMBER(SEARCH($A$2,$A38))),IF($B$2="",TRUE,ISNUMBER(SEARCH($B$2,$B38))),IF($C$2="",TRUE,ISNUMBER(SEARCH($C$2,$C38))),IF($D$2="",TRUE,ISNUMBER(SEARCH($D$2,$D38))),IF($E$2="",TRUE,ISNUMBER(SEARCH($E$2,$E38))),IF($F$2="",TRUE,ISNUMBER(SEARCH($F$2,$F38))),IF($G$2="",TRUE,ISNUMBER(SEARCH($G$2,$G38))),IF($H$2="",TRUE,ISNUMBER(SEARCH($H$2,$H38))),IF($I$2="",TRUE,ISNUMBER(SEARCH($I$2,$I38))),IF($J$2="",TRUE,ISNUMBER(SEARCH($J$2,$J38))),IF($K$2="",TRUE,ISNUMBER(SEARCH($K$2,$K38))),IF($L$2="",TRUE,ISNUMBER(SEARCH($L$2,$L38))),IF($M$2="",TRUE,ISNUMBER(SEARCH($M$2,$M38))),IF($N$2="",TRUE,ISNUMBER(SEARCH($N$2,$N38))),IF($O$2="",TRUE,ISNUMBER(SEARCH($O$2,$O38))),IF($P$2="",TRUE,ISNUMBER(SEARCH($P$2,$P38))),IF($Q$2="",TRUE,ISNUMBER(SEARCH($Q$2,$Q38))),IF($R$2="",TRUE,ISNUMBER(SEARCH($R$2,$R38))),IF($S$2="",TRUE,ISNUMBER(SEARCH($S$2,$S38))),IF($T$2="",TRUE,ISNUMBER(SEARCH($T$2,$T38))),IF($U$2="",TRUE,ISNUMBER(SEARCH($U$2,$U38))),IF($V$2="",TRUE,ISNUMBER(SEARCH($V$2,$V38))),IF($W$2="",TRUE,ISNUMBER(SEARCH($W$2,$W38))),IF($X$2="",TRUE,ISNUMBER(SEARCH($X$2,$X38))),IF($Y$2="",TRUE,ISNUMBER(SEARCH($Y$2,$Y38))),IF($Z$2="",TRUE,ISNUMBER(SEARCH($Z$2,$Z38))),IF($AA$2="",TRUE,ISNUMBER(SEARCH($AA$2,$AA38))),IF($AB$2="",TRUE,ISNUMBER(SEARCH($AB$2,$AB38))),IF($AC$2="",TRUE,ISNUMBER(SEARCH($AC$2,$AC38))),IF($AD$2="",TRUE,ISNUMBER(SEARCH($AD$2,$AD38))),IF($AE$2="",TRUE,ISNUMBER(SEARCH($AE$2,$AE38))),IF($AF$2="",TRUE,ISNUMBER(SEARCH($AF$2,$AF38))),IF($AG$2="",TRUE,ISNUMBER(SEARCH($AG$2,$AG38))),IF($AH$2="",TRUE,ISNUMBER(SEARCH($AH$2,$AH38))))</f>
        <v/>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J39">
        <f>AND(IF($A$2="",TRUE,ISNUMBER(SEARCH($A$2,$A39))),IF($B$2="",TRUE,ISNUMBER(SEARCH($B$2,$B39))),IF($C$2="",TRUE,ISNUMBER(SEARCH($C$2,$C39))),IF($D$2="",TRUE,ISNUMBER(SEARCH($D$2,$D39))),IF($E$2="",TRUE,ISNUMBER(SEARCH($E$2,$E39))),IF($F$2="",TRUE,ISNUMBER(SEARCH($F$2,$F39))),IF($G$2="",TRUE,ISNUMBER(SEARCH($G$2,$G39))),IF($H$2="",TRUE,ISNUMBER(SEARCH($H$2,$H39))),IF($I$2="",TRUE,ISNUMBER(SEARCH($I$2,$I39))),IF($J$2="",TRUE,ISNUMBER(SEARCH($J$2,$J39))),IF($K$2="",TRUE,ISNUMBER(SEARCH($K$2,$K39))),IF($L$2="",TRUE,ISNUMBER(SEARCH($L$2,$L39))),IF($M$2="",TRUE,ISNUMBER(SEARCH($M$2,$M39))),IF($N$2="",TRUE,ISNUMBER(SEARCH($N$2,$N39))),IF($O$2="",TRUE,ISNUMBER(SEARCH($O$2,$O39))),IF($P$2="",TRUE,ISNUMBER(SEARCH($P$2,$P39))),IF($Q$2="",TRUE,ISNUMBER(SEARCH($Q$2,$Q39))),IF($R$2="",TRUE,ISNUMBER(SEARCH($R$2,$R39))),IF($S$2="",TRUE,ISNUMBER(SEARCH($S$2,$S39))),IF($T$2="",TRUE,ISNUMBER(SEARCH($T$2,$T39))),IF($U$2="",TRUE,ISNUMBER(SEARCH($U$2,$U39))),IF($V$2="",TRUE,ISNUMBER(SEARCH($V$2,$V39))),IF($W$2="",TRUE,ISNUMBER(SEARCH($W$2,$W39))),IF($X$2="",TRUE,ISNUMBER(SEARCH($X$2,$X39))),IF($Y$2="",TRUE,ISNUMBER(SEARCH($Y$2,$Y39))),IF($Z$2="",TRUE,ISNUMBER(SEARCH($Z$2,$Z39))),IF($AA$2="",TRUE,ISNUMBER(SEARCH($AA$2,$AA39))),IF($AB$2="",TRUE,ISNUMBER(SEARCH($AB$2,$AB39))),IF($AC$2="",TRUE,ISNUMBER(SEARCH($AC$2,$AC39))),IF($AD$2="",TRUE,ISNUMBER(SEARCH($AD$2,$AD39))),IF($AE$2="",TRUE,ISNUMBER(SEARCH($AE$2,$AE39))),IF($AF$2="",TRUE,ISNUMBER(SEARCH($AF$2,$AF39))),IF($AG$2="",TRUE,ISNUMBER(SEARCH($AG$2,$AG39))),IF($AH$2="",TRUE,ISNUMBER(SEARCH($AH$2,$AH39))))</f>
        <v/>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J40">
        <f>AND(IF($A$2="",TRUE,ISNUMBER(SEARCH($A$2,$A40))),IF($B$2="",TRUE,ISNUMBER(SEARCH($B$2,$B40))),IF($C$2="",TRUE,ISNUMBER(SEARCH($C$2,$C40))),IF($D$2="",TRUE,ISNUMBER(SEARCH($D$2,$D40))),IF($E$2="",TRUE,ISNUMBER(SEARCH($E$2,$E40))),IF($F$2="",TRUE,ISNUMBER(SEARCH($F$2,$F40))),IF($G$2="",TRUE,ISNUMBER(SEARCH($G$2,$G40))),IF($H$2="",TRUE,ISNUMBER(SEARCH($H$2,$H40))),IF($I$2="",TRUE,ISNUMBER(SEARCH($I$2,$I40))),IF($J$2="",TRUE,ISNUMBER(SEARCH($J$2,$J40))),IF($K$2="",TRUE,ISNUMBER(SEARCH($K$2,$K40))),IF($L$2="",TRUE,ISNUMBER(SEARCH($L$2,$L40))),IF($M$2="",TRUE,ISNUMBER(SEARCH($M$2,$M40))),IF($N$2="",TRUE,ISNUMBER(SEARCH($N$2,$N40))),IF($O$2="",TRUE,ISNUMBER(SEARCH($O$2,$O40))),IF($P$2="",TRUE,ISNUMBER(SEARCH($P$2,$P40))),IF($Q$2="",TRUE,ISNUMBER(SEARCH($Q$2,$Q40))),IF($R$2="",TRUE,ISNUMBER(SEARCH($R$2,$R40))),IF($S$2="",TRUE,ISNUMBER(SEARCH($S$2,$S40))),IF($T$2="",TRUE,ISNUMBER(SEARCH($T$2,$T40))),IF($U$2="",TRUE,ISNUMBER(SEARCH($U$2,$U40))),IF($V$2="",TRUE,ISNUMBER(SEARCH($V$2,$V40))),IF($W$2="",TRUE,ISNUMBER(SEARCH($W$2,$W40))),IF($X$2="",TRUE,ISNUMBER(SEARCH($X$2,$X40))),IF($Y$2="",TRUE,ISNUMBER(SEARCH($Y$2,$Y40))),IF($Z$2="",TRUE,ISNUMBER(SEARCH($Z$2,$Z40))),IF($AA$2="",TRUE,ISNUMBER(SEARCH($AA$2,$AA40))),IF($AB$2="",TRUE,ISNUMBER(SEARCH($AB$2,$AB40))),IF($AC$2="",TRUE,ISNUMBER(SEARCH($AC$2,$AC40))),IF($AD$2="",TRUE,ISNUMBER(SEARCH($AD$2,$AD40))),IF($AE$2="",TRUE,ISNUMBER(SEARCH($AE$2,$AE40))),IF($AF$2="",TRUE,ISNUMBER(SEARCH($AF$2,$AF40))),IF($AG$2="",TRUE,ISNUMBER(SEARCH($AG$2,$AG40))),IF($AH$2="",TRUE,ISNUMBER(SEARCH($AH$2,$AH40))))</f>
        <v/>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conditionalFormatting sqref="A4:AH40">
    <cfRule type="expression" priority="4" dxfId="53">
      <formula>$AJ4=1</formula>
    </cfRule>
  </conditionalFormatting>
  <dataValidations count="34">
    <dataValidation sqref="A2" showDropDown="0" showInputMessage="0" showErrorMessage="0" allowBlank="0" type="list">
      <formula1>=SUG_F</formula1>
    </dataValidation>
    <dataValidation sqref="B2" showDropDown="0" showInputMessage="0" showErrorMessage="0" allowBlank="0" type="list">
      <formula1>=SUG_D_DEP_FINAL</formula1>
    </dataValidation>
    <dataValidation sqref="C2" showDropDown="0" showInputMessage="0" showErrorMessage="0" allowBlank="0" type="list">
      <formula1>=SUG_H</formula1>
    </dataValidation>
    <dataValidation sqref="D2" showDropDown="0" showInputMessage="0" showErrorMessage="0" allowBlank="0" type="list">
      <formula1>=SUG_E</formula1>
    </dataValidation>
    <dataValidation sqref="E2" showDropDown="0" showInputMessage="0" showErrorMessage="0" allowBlank="0" type="list">
      <formula1>=SUG_G</formula1>
    </dataValidation>
    <dataValidation sqref="F2" showDropDown="0" showInputMessage="0" showErrorMessage="0" allowBlank="0" type="list">
      <formula1>=SUG_B_DEP_FINAL</formula1>
    </dataValidation>
    <dataValidation sqref="G2" showDropDown="0" showInputMessage="0" showErrorMessage="0" allowBlank="0" type="list">
      <formula1>=SUG_C</formula1>
    </dataValidation>
    <dataValidation sqref="H2" showDropDown="0" showInputMessage="0" showErrorMessage="0" allowBlank="0" type="list">
      <formula1>=SUG_I</formula1>
    </dataValidation>
    <dataValidation sqref="I2" showDropDown="0" showInputMessage="0" showErrorMessage="0" allowBlank="0" type="list">
      <formula1>=SUG_J</formula1>
    </dataValidation>
    <dataValidation sqref="J2" showDropDown="0" showInputMessage="0" showErrorMessage="0" allowBlank="0" type="list">
      <formula1>=SUG_K</formula1>
    </dataValidation>
    <dataValidation sqref="K2" showDropDown="0" showInputMessage="0" showErrorMessage="0" allowBlank="0" type="list">
      <formula1>=SUG_L</formula1>
    </dataValidation>
    <dataValidation sqref="L2" showDropDown="0" showInputMessage="0" showErrorMessage="0" allowBlank="0" type="list">
      <formula1>=SUG_M</formula1>
    </dataValidation>
    <dataValidation sqref="M2" showDropDown="0" showInputMessage="0" showErrorMessage="0" allowBlank="0" type="list">
      <formula1>=SUG_N</formula1>
    </dataValidation>
    <dataValidation sqref="N2" showDropDown="0" showInputMessage="0" showErrorMessage="0" allowBlank="0" type="list">
      <formula1>=SUG_O</formula1>
    </dataValidation>
    <dataValidation sqref="O2" showDropDown="0" showInputMessage="0" showErrorMessage="0" allowBlank="0" type="list">
      <formula1>=SUG_P</formula1>
    </dataValidation>
    <dataValidation sqref="P2" showDropDown="0" showInputMessage="0" showErrorMessage="0" allowBlank="0" type="list">
      <formula1>=SUG_Q</formula1>
    </dataValidation>
    <dataValidation sqref="Q2" showDropDown="0" showInputMessage="0" showErrorMessage="0" allowBlank="0" type="list">
      <formula1>=SUG_R</formula1>
    </dataValidation>
    <dataValidation sqref="R2" showDropDown="0" showInputMessage="0" showErrorMessage="0" allowBlank="0" type="list">
      <formula1>=SUG_S</formula1>
    </dataValidation>
    <dataValidation sqref="S2" showDropDown="0" showInputMessage="0" showErrorMessage="0" allowBlank="0" type="list">
      <formula1>=SUG_T</formula1>
    </dataValidation>
    <dataValidation sqref="T2" showDropDown="0" showInputMessage="0" showErrorMessage="0" allowBlank="0" type="list">
      <formula1>=SUG_U</formula1>
    </dataValidation>
    <dataValidation sqref="U2" showDropDown="0" showInputMessage="0" showErrorMessage="0" allowBlank="0" type="list">
      <formula1>=SUG_V</formula1>
    </dataValidation>
    <dataValidation sqref="V2" showDropDown="0" showInputMessage="0" showErrorMessage="0" allowBlank="0" type="list">
      <formula1>=SUG_W</formula1>
    </dataValidation>
    <dataValidation sqref="W2" showDropDown="0" showInputMessage="0" showErrorMessage="0" allowBlank="0" type="list">
      <formula1>=SUG_X</formula1>
    </dataValidation>
    <dataValidation sqref="X2" showDropDown="0" showInputMessage="0" showErrorMessage="0" allowBlank="0" type="list">
      <formula1>=SUG_Y</formula1>
    </dataValidation>
    <dataValidation sqref="Y2" showDropDown="0" showInputMessage="0" showErrorMessage="0" allowBlank="0" type="list">
      <formula1>=SUG_Z</formula1>
    </dataValidation>
    <dataValidation sqref="Z2" showDropDown="0" showInputMessage="0" showErrorMessage="0" allowBlank="0" type="list">
      <formula1>=SUG_AA</formula1>
    </dataValidation>
    <dataValidation sqref="AA2" showDropDown="0" showInputMessage="0" showErrorMessage="0" allowBlank="0" type="list">
      <formula1>=SUG_AB</formula1>
    </dataValidation>
    <dataValidation sqref="AB2" showDropDown="0" showInputMessage="0" showErrorMessage="0" allowBlank="0" type="list">
      <formula1>=SUG_AC</formula1>
    </dataValidation>
    <dataValidation sqref="AC2" showDropDown="0" showInputMessage="0" showErrorMessage="0" allowBlank="0" type="list">
      <formula1>=SUG_AD</formula1>
    </dataValidation>
    <dataValidation sqref="AD2" showDropDown="0" showInputMessage="0" showErrorMessage="0" allowBlank="0" type="list">
      <formula1>=SUG_AE</formula1>
    </dataValidation>
    <dataValidation sqref="AE2" showDropDown="0" showInputMessage="0" showErrorMessage="0" allowBlank="0" type="list">
      <formula1>=SUG_AI</formula1>
    </dataValidation>
    <dataValidation sqref="AF2" showDropDown="0" showInputMessage="0" showErrorMessage="0" allowBlank="0" type="list">
      <formula1>=SUG_AF</formula1>
    </dataValidation>
    <dataValidation sqref="AG2" showDropDown="0" showInputMessage="0" showErrorMessage="0" allowBlank="0" type="list">
      <formula1>=SUG_AG</formula1>
    </dataValidation>
    <dataValidation sqref="AH2" showDropDown="0" showInputMessage="0" showErrorMessage="0" allowBlank="0" type="list">
      <formula1>=SUG_AH</formula1>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PILOT — the Lot Name dropdown (D4) now narrows to lots matching your other search cells and the search box; all other dropdowns still list everything.</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SUG_B_DEP_LIVE</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t>
        </is>
      </c>
    </row>
    <row r="3" ht="21.75" customHeight="1" s="137">
      <c r="A3" s="59" t="inlineStr">
        <is>
          <t>BUYERS  ▸</t>
        </is>
      </c>
      <c r="B3" s="62">
        <f>SUMPRODUCT(1/COUNTIF('Final Calculation Sheet'!$G$4:$G$40,'Final Calculation Sheet'!$G$4:$G$40))</f>
        <v/>
      </c>
      <c r="C3" s="59" t="inlineStr">
        <is>
          <t>LOTS  ▸</t>
        </is>
      </c>
      <c r="D3" s="62">
        <f>COUNTA('Final Calculation Sheet'!$G$4:$G$40)</f>
        <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outlineLevel="1" ht="15" customHeight="1" s="137">
      <c r="A6" s="67" t="n">
        <v>1</v>
      </c>
      <c r="B6" s="76">
        <f>IF('Final Calculation Sheet'!$F$4="","",'Final Calculation Sheet'!$F$4)</f>
        <v/>
      </c>
      <c r="C6" s="76">
        <f>IF('Final Calculation Sheet'!$G$4="","",'Final Calculation Sheet'!$G$4)</f>
        <v/>
      </c>
      <c r="D6" s="80">
        <f>IF('Final Calculation Sheet'!$B$4="","",'Final Calculation Sheet'!$B$4)</f>
        <v/>
      </c>
      <c r="E6" s="80">
        <f>IF('Final Calculation Sheet'!$D$4="","",'Final Calculation Sheet'!$D$4)</f>
        <v/>
      </c>
      <c r="F6" s="80">
        <f>IF('Final Calculation Sheet'!$A$4="","",'Final Calculation Sheet'!$A$4)</f>
        <v/>
      </c>
      <c r="G6" s="80">
        <f>IF('Final Calculation Sheet'!$E$4="","",'Final Calculation Sheet'!$E$4)</f>
        <v/>
      </c>
      <c r="H6" s="70">
        <f>IF('Final Calculation Sheet'!$C$4="","",'Final Calculation Sheet'!$C$4)</f>
        <v/>
      </c>
      <c r="I6" s="70">
        <f>IF('Final Calculation Sheet'!$H$4="","",'Final Calculation Sheet'!$H$4)</f>
        <v/>
      </c>
      <c r="J6" s="70">
        <f>IF('Final Calculation Sheet'!$I$4="","",'Final Calculation Sheet'!$I$4)</f>
        <v/>
      </c>
      <c r="K6" s="70">
        <f>IF('Final Calculation Sheet'!$J$4="","",'Final Calculation Sheet'!$J$4)</f>
        <v/>
      </c>
      <c r="L6" s="70">
        <f>IF('Final Calculation Sheet'!$K$4="","",'Final Calculation Sheet'!$K$4)</f>
        <v/>
      </c>
      <c r="M6" s="70">
        <f>IF('Final Calculation Sheet'!$L$4="","",'Final Calculation Sheet'!$L$4)</f>
        <v/>
      </c>
      <c r="N6" s="70">
        <f>IF('Final Calculation Sheet'!$M$4="","",'Final Calculation Sheet'!$M$4)</f>
        <v/>
      </c>
      <c r="O6" s="71">
        <f>IF('Final Calculation Sheet'!$N$4="","",'Final Calculation Sheet'!$N$4)</f>
        <v/>
      </c>
      <c r="P6" s="70">
        <f>IF('Final Calculation Sheet'!$O$4="","",'Final Calculation Sheet'!$O$4)</f>
        <v/>
      </c>
      <c r="Q6" s="70">
        <f>IF('Final Calculation Sheet'!$P$4="","",'Final Calculation Sheet'!$P$4)</f>
        <v/>
      </c>
      <c r="R6" s="72">
        <f>IF('Final Calculation Sheet'!$Q$4="","",'Final Calculation Sheet'!$Q$4)</f>
        <v/>
      </c>
      <c r="S6" s="70">
        <f>IF('Final Calculation Sheet'!$R$4="","",'Final Calculation Sheet'!$R$4)</f>
        <v/>
      </c>
      <c r="T6" s="70">
        <f>IF('Final Calculation Sheet'!$S$4="","",'Final Calculation Sheet'!$S$4)</f>
        <v/>
      </c>
      <c r="U6" s="70">
        <f>IF('Final Calculation Sheet'!$T$4="","",'Final Calculation Sheet'!$T$4)</f>
        <v/>
      </c>
      <c r="V6" s="73">
        <f>IF('Final Calculation Sheet'!$U$4="","",'Final Calculation Sheet'!$U$4)</f>
        <v/>
      </c>
      <c r="W6" s="70">
        <f>IF('Final Calculation Sheet'!$V$4="","",'Final Calculation Sheet'!$V$4)</f>
        <v/>
      </c>
      <c r="X6" s="70">
        <f>IF('Final Calculation Sheet'!$W$4="","",'Final Calculation Sheet'!$W$4)</f>
        <v/>
      </c>
      <c r="Y6" s="70">
        <f>IF('Final Calculation Sheet'!$X$4="","",'Final Calculation Sheet'!$X$4)</f>
        <v/>
      </c>
      <c r="Z6" s="70">
        <f>IF('Final Calculation Sheet'!$Y$4="","",'Final Calculation Sheet'!$Y$4)</f>
        <v/>
      </c>
      <c r="AA6" s="70">
        <f>IF('Final Calculation Sheet'!$Z$4="","",'Final Calculation Sheet'!$Z$4)</f>
        <v/>
      </c>
      <c r="AB6" s="70">
        <f>IF('Final Calculation Sheet'!$AA$4="","",'Final Calculation Sheet'!$AA$4)</f>
        <v/>
      </c>
      <c r="AC6" s="70">
        <f>IF('Final Calculation Sheet'!$AB$4="","",'Final Calculation Sheet'!$AB$4)</f>
        <v/>
      </c>
      <c r="AD6" s="70">
        <f>IF('Final Calculation Sheet'!$AC$4="","",'Final Calculation Sheet'!$AC$4)</f>
        <v/>
      </c>
      <c r="AE6" s="70">
        <f>IF('Final Calculation Sheet'!$AD$4="","",'Final Calculation Sheet'!$AD$4)</f>
        <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row>
    <row r="7" ht="15" customHeight="1" s="137">
      <c r="A7" s="81" t="inlineStr">
        <is>
          <t>∑</t>
        </is>
      </c>
      <c r="B7" s="83" t="n"/>
      <c r="C7" s="83">
        <f>ROWS($C$6:$C$6)&amp;" lot(s)"</f>
        <v/>
      </c>
      <c r="D7" s="83" t="inlineStr">
        <is>
          <t>SUBTOTAL — AL HAMD TRADE CORPORATION</t>
        </is>
      </c>
      <c r="E7" s="83" t="inlineStr">
        <is>
          <t>–</t>
        </is>
      </c>
      <c r="F7" s="83">
        <f>SUM(F6:F6)</f>
        <v/>
      </c>
      <c r="G7" s="83" t="inlineStr">
        <is>
          <t>–</t>
        </is>
      </c>
      <c r="H7" s="84" t="inlineStr">
        <is>
          <t>–</t>
        </is>
      </c>
      <c r="I7" s="84">
        <f>SUM(I6:I6)</f>
        <v/>
      </c>
      <c r="J7" s="84">
        <f>SUM(J6:J6)</f>
        <v/>
      </c>
      <c r="K7" s="84">
        <f>SUM(K6:K6)</f>
        <v/>
      </c>
      <c r="L7" s="84">
        <f>SUM(L6:L6)</f>
        <v/>
      </c>
      <c r="M7" s="84">
        <f>SUM(M6:M6)</f>
        <v/>
      </c>
      <c r="N7" s="84">
        <f>SUM(N6:N6)</f>
        <v/>
      </c>
      <c r="O7" s="85">
        <f>SUM(O6:O6)</f>
        <v/>
      </c>
      <c r="P7" s="84">
        <f>SUM(P6:P6)</f>
        <v/>
      </c>
      <c r="Q7" s="84">
        <f>SUM(Q6:Q6)</f>
        <v/>
      </c>
      <c r="R7" s="86" t="inlineStr">
        <is>
          <t>–</t>
        </is>
      </c>
      <c r="S7" s="84">
        <f>SUM(S6:S6)</f>
        <v/>
      </c>
      <c r="T7" s="84">
        <f>SUM(T6:T6)</f>
        <v/>
      </c>
      <c r="U7" s="84">
        <f>SUM(U6:U6)</f>
        <v/>
      </c>
      <c r="V7" s="87">
        <f>SUM(V6:V6)</f>
        <v/>
      </c>
      <c r="W7" s="84" t="inlineStr">
        <is>
          <t>–</t>
        </is>
      </c>
      <c r="X7" s="84">
        <f>SUM(X6:X6)</f>
        <v/>
      </c>
      <c r="Y7" s="84">
        <f>SUM(Y6:Y6)</f>
        <v/>
      </c>
      <c r="Z7" s="84" t="inlineStr">
        <is>
          <t>–</t>
        </is>
      </c>
      <c r="AA7" s="84">
        <f>SUM(AA6:AA6)</f>
        <v/>
      </c>
      <c r="AB7" s="84">
        <f>SUM(AB6:AB6)</f>
        <v/>
      </c>
      <c r="AC7" s="84" t="inlineStr">
        <is>
          <t>–</t>
        </is>
      </c>
      <c r="AD7" s="84">
        <f>SUM(AD6:AD6)</f>
        <v/>
      </c>
      <c r="AE7" s="84">
        <f>SUM(AE6:AE6)</f>
        <v/>
      </c>
      <c r="AF7" s="89">
        <f>IF(AE7&lt;=5,"SETTLED","OUTSTANDING")</f>
        <v/>
      </c>
      <c r="AG7" s="84" t="inlineStr">
        <is>
          <t>–</t>
        </is>
      </c>
      <c r="AH7" s="88" t="inlineStr">
        <is>
          <t>–</t>
        </is>
      </c>
      <c r="AI7" s="84" t="inlineStr">
        <is>
          <t>–</t>
        </is>
      </c>
      <c r="AJ7">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
      </c>
      <c r="AK7">
        <f>IF(AJ7=1,COUNTIF(AJ$6:AJ7,1),"")</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row>
    <row r="8" outlineLevel="1" ht="15" customHeight="1" s="137">
      <c r="A8" s="67" t="n">
        <v>1</v>
      </c>
      <c r="B8" s="76">
        <f>IF('Final Calculation Sheet'!$F$6="","",'Final Calculation Sheet'!$F$6)</f>
        <v/>
      </c>
      <c r="C8" s="76">
        <f>IF('Final Calculation Sheet'!$G$6="","",'Final Calculation Sheet'!$G$6)</f>
        <v/>
      </c>
      <c r="D8" s="80">
        <f>IF('Final Calculation Sheet'!$B$6="","",'Final Calculation Sheet'!$B$6)</f>
        <v/>
      </c>
      <c r="E8" s="80">
        <f>IF('Final Calculation Sheet'!$D$6="","",'Final Calculation Sheet'!$D$6)</f>
        <v/>
      </c>
      <c r="F8" s="80">
        <f>IF('Final Calculation Sheet'!$A$6="","",'Final Calculation Sheet'!$A$6)</f>
        <v/>
      </c>
      <c r="G8" s="80">
        <f>IF('Final Calculation Sheet'!$E$6="","",'Final Calculation Sheet'!$E$6)</f>
        <v/>
      </c>
      <c r="H8" s="70">
        <f>IF('Final Calculation Sheet'!$C$6="","",'Final Calculation Sheet'!$C$6)</f>
        <v/>
      </c>
      <c r="I8" s="70">
        <f>IF('Final Calculation Sheet'!$H$6="","",'Final Calculation Sheet'!$H$6)</f>
        <v/>
      </c>
      <c r="J8" s="70">
        <f>IF('Final Calculation Sheet'!$I$6="","",'Final Calculation Sheet'!$I$6)</f>
        <v/>
      </c>
      <c r="K8" s="70">
        <f>IF('Final Calculation Sheet'!$J$6="","",'Final Calculation Sheet'!$J$6)</f>
        <v/>
      </c>
      <c r="L8" s="70">
        <f>IF('Final Calculation Sheet'!$K$6="","",'Final Calculation Sheet'!$K$6)</f>
        <v/>
      </c>
      <c r="M8" s="70">
        <f>IF('Final Calculation Sheet'!$L$6="","",'Final Calculation Sheet'!$L$6)</f>
        <v/>
      </c>
      <c r="N8" s="70">
        <f>IF('Final Calculation Sheet'!$M$6="","",'Final Calculation Sheet'!$M$6)</f>
        <v/>
      </c>
      <c r="O8" s="71">
        <f>IF('Final Calculation Sheet'!$N$6="","",'Final Calculation Sheet'!$N$6)</f>
        <v/>
      </c>
      <c r="P8" s="70">
        <f>IF('Final Calculation Sheet'!$O$6="","",'Final Calculation Sheet'!$O$6)</f>
        <v/>
      </c>
      <c r="Q8" s="70">
        <f>IF('Final Calculation Sheet'!$P$6="","",'Final Calculation Sheet'!$P$6)</f>
        <v/>
      </c>
      <c r="R8" s="72">
        <f>IF('Final Calculation Sheet'!$Q$6="","",'Final Calculation Sheet'!$Q$6)</f>
        <v/>
      </c>
      <c r="S8" s="70">
        <f>IF('Final Calculation Sheet'!$R$6="","",'Final Calculation Sheet'!$R$6)</f>
        <v/>
      </c>
      <c r="T8" s="70">
        <f>IF('Final Calculation Sheet'!$S$6="","",'Final Calculation Sheet'!$S$6)</f>
        <v/>
      </c>
      <c r="U8" s="70">
        <f>IF('Final Calculation Sheet'!$T$6="","",'Final Calculation Sheet'!$T$6)</f>
        <v/>
      </c>
      <c r="V8" s="73">
        <f>IF('Final Calculation Sheet'!$U$6="","",'Final Calculation Sheet'!$U$6)</f>
        <v/>
      </c>
      <c r="W8" s="70">
        <f>IF('Final Calculation Sheet'!$V$6="","",'Final Calculation Sheet'!$V$6)</f>
        <v/>
      </c>
      <c r="X8" s="70">
        <f>IF('Final Calculation Sheet'!$W$6="","",'Final Calculation Sheet'!$W$6)</f>
        <v/>
      </c>
      <c r="Y8" s="70">
        <f>IF('Final Calculation Sheet'!$X$6="","",'Final Calculation Sheet'!$X$6)</f>
        <v/>
      </c>
      <c r="Z8" s="70">
        <f>IF('Final Calculation Sheet'!$Y$6="","",'Final Calculation Sheet'!$Y$6)</f>
        <v/>
      </c>
      <c r="AA8" s="70">
        <f>IF('Final Calculation Sheet'!$Z$6="","",'Final Calculation Sheet'!$Z$6)</f>
        <v/>
      </c>
      <c r="AB8" s="70">
        <f>IF('Final Calculation Sheet'!$AA$6="","",'Final Calculation Sheet'!$AA$6)</f>
        <v/>
      </c>
      <c r="AC8" s="70">
        <f>IF('Final Calculation Sheet'!$AB$6="","",'Final Calculation Sheet'!$AB$6)</f>
        <v/>
      </c>
      <c r="AD8" s="70">
        <f>IF('Final Calculation Sheet'!$AC$6="","",'Final Calculation Sheet'!$AC$6)</f>
        <v/>
      </c>
      <c r="AE8" s="70">
        <f>IF('Final Calculation Sheet'!$AD$6="","",'Final Calculation Sheet'!$AD$6)</f>
        <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
      </c>
      <c r="AK8">
        <f>IF(AJ8=1,COUNTIF(AJ$6:AJ8,1),"")</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row>
    <row r="9" outlineLevel="1" ht="15" customHeight="1" s="137">
      <c r="A9" s="90" t="n">
        <v>2</v>
      </c>
      <c r="B9" s="92">
        <f>IF('Final Calculation Sheet'!$F$7="","",'Final Calculation Sheet'!$F$7)</f>
        <v/>
      </c>
      <c r="C9" s="92">
        <f>IF('Final Calculation Sheet'!$G$7="","",'Final Calculation Sheet'!$G$7)</f>
        <v/>
      </c>
      <c r="D9" s="94">
        <f>IF('Final Calculation Sheet'!$B$7="","",'Final Calculation Sheet'!$B$7)</f>
        <v/>
      </c>
      <c r="E9" s="94">
        <f>IF('Final Calculation Sheet'!$D$7="","",'Final Calculation Sheet'!$D$7)</f>
        <v/>
      </c>
      <c r="F9" s="94">
        <f>IF('Final Calculation Sheet'!$A$7="","",'Final Calculation Sheet'!$A$7)</f>
        <v/>
      </c>
      <c r="G9" s="94">
        <f>IF('Final Calculation Sheet'!$E$7="","",'Final Calculation Sheet'!$E$7)</f>
        <v/>
      </c>
      <c r="H9" s="95">
        <f>IF('Final Calculation Sheet'!$C$7="","",'Final Calculation Sheet'!$C$7)</f>
        <v/>
      </c>
      <c r="I9" s="95">
        <f>IF('Final Calculation Sheet'!$H$7="","",'Final Calculation Sheet'!$H$7)</f>
        <v/>
      </c>
      <c r="J9" s="95">
        <f>IF('Final Calculation Sheet'!$I$7="","",'Final Calculation Sheet'!$I$7)</f>
        <v/>
      </c>
      <c r="K9" s="95">
        <f>IF('Final Calculation Sheet'!$J$7="","",'Final Calculation Sheet'!$J$7)</f>
        <v/>
      </c>
      <c r="L9" s="95">
        <f>IF('Final Calculation Sheet'!$K$7="","",'Final Calculation Sheet'!$K$7)</f>
        <v/>
      </c>
      <c r="M9" s="95">
        <f>IF('Final Calculation Sheet'!$L$7="","",'Final Calculation Sheet'!$L$7)</f>
        <v/>
      </c>
      <c r="N9" s="95">
        <f>IF('Final Calculation Sheet'!$M$7="","",'Final Calculation Sheet'!$M$7)</f>
        <v/>
      </c>
      <c r="O9" s="96">
        <f>IF('Final Calculation Sheet'!$N$7="","",'Final Calculation Sheet'!$N$7)</f>
        <v/>
      </c>
      <c r="P9" s="95">
        <f>IF('Final Calculation Sheet'!$O$7="","",'Final Calculation Sheet'!$O$7)</f>
        <v/>
      </c>
      <c r="Q9" s="95">
        <f>IF('Final Calculation Sheet'!$P$7="","",'Final Calculation Sheet'!$P$7)</f>
        <v/>
      </c>
      <c r="R9" s="97">
        <f>IF('Final Calculation Sheet'!$Q$7="","",'Final Calculation Sheet'!$Q$7)</f>
        <v/>
      </c>
      <c r="S9" s="95">
        <f>IF('Final Calculation Sheet'!$R$7="","",'Final Calculation Sheet'!$R$7)</f>
        <v/>
      </c>
      <c r="T9" s="95">
        <f>IF('Final Calculation Sheet'!$S$7="","",'Final Calculation Sheet'!$S$7)</f>
        <v/>
      </c>
      <c r="U9" s="95">
        <f>IF('Final Calculation Sheet'!$T$7="","",'Final Calculation Sheet'!$T$7)</f>
        <v/>
      </c>
      <c r="V9" s="98">
        <f>IF('Final Calculation Sheet'!$U$7="","",'Final Calculation Sheet'!$U$7)</f>
        <v/>
      </c>
      <c r="W9" s="95">
        <f>IF('Final Calculation Sheet'!$V$7="","",'Final Calculation Sheet'!$V$7)</f>
        <v/>
      </c>
      <c r="X9" s="95">
        <f>IF('Final Calculation Sheet'!$W$7="","",'Final Calculation Sheet'!$W$7)</f>
        <v/>
      </c>
      <c r="Y9" s="95">
        <f>IF('Final Calculation Sheet'!$X$7="","",'Final Calculation Sheet'!$X$7)</f>
        <v/>
      </c>
      <c r="Z9" s="95">
        <f>IF('Final Calculation Sheet'!$Y$7="","",'Final Calculation Sheet'!$Y$7)</f>
        <v/>
      </c>
      <c r="AA9" s="95">
        <f>IF('Final Calculation Sheet'!$Z$7="","",'Final Calculation Sheet'!$Z$7)</f>
        <v/>
      </c>
      <c r="AB9" s="95">
        <f>IF('Final Calculation Sheet'!$AA$7="","",'Final Calculation Sheet'!$AA$7)</f>
        <v/>
      </c>
      <c r="AC9" s="95">
        <f>IF('Final Calculation Sheet'!$AB$7="","",'Final Calculation Sheet'!$AB$7)</f>
        <v/>
      </c>
      <c r="AD9" s="95">
        <f>IF('Final Calculation Sheet'!$AC$7="","",'Final Calculation Sheet'!$AC$7)</f>
        <v/>
      </c>
      <c r="AE9" s="95">
        <f>IF('Final Calculation Sheet'!$AD$7="","",'Final Calculation Sheet'!$AD$7)</f>
        <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
      </c>
      <c r="AK9">
        <f>IF(AJ9=1,COUNTIF(AJ$6:AJ9,1),"")</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row>
    <row r="10" ht="15" customHeight="1" s="137">
      <c r="A10" s="81" t="inlineStr">
        <is>
          <t>∑</t>
        </is>
      </c>
      <c r="B10" s="83" t="n"/>
      <c r="C10" s="83">
        <f>ROWS($C$8:$C$9)&amp;" lot(s)"</f>
        <v/>
      </c>
      <c r="D10" s="83" t="inlineStr">
        <is>
          <t>SUBTOTAL — F R KHANS ENTERPRISES</t>
        </is>
      </c>
      <c r="E10" s="83" t="inlineStr">
        <is>
          <t>–</t>
        </is>
      </c>
      <c r="F10" s="83">
        <f>SUM(F8:F9)</f>
        <v/>
      </c>
      <c r="G10" s="83" t="inlineStr">
        <is>
          <t>–</t>
        </is>
      </c>
      <c r="H10" s="84" t="inlineStr">
        <is>
          <t>–</t>
        </is>
      </c>
      <c r="I10" s="84">
        <f>SUM(I8:I9)</f>
        <v/>
      </c>
      <c r="J10" s="84">
        <f>SUM(J8:J9)</f>
        <v/>
      </c>
      <c r="K10" s="84">
        <f>SUM(K8:K9)</f>
        <v/>
      </c>
      <c r="L10" s="84">
        <f>SUM(L8:L9)</f>
        <v/>
      </c>
      <c r="M10" s="84">
        <f>SUM(M8:M9)</f>
        <v/>
      </c>
      <c r="N10" s="84">
        <f>SUM(N8:N9)</f>
        <v/>
      </c>
      <c r="O10" s="85">
        <f>SUM(O8:O9)</f>
        <v/>
      </c>
      <c r="P10" s="84">
        <f>SUM(P8:P9)</f>
        <v/>
      </c>
      <c r="Q10" s="84">
        <f>SUM(Q8:Q9)</f>
        <v/>
      </c>
      <c r="R10" s="86" t="inlineStr">
        <is>
          <t>–</t>
        </is>
      </c>
      <c r="S10" s="84">
        <f>SUM(S8:S9)</f>
        <v/>
      </c>
      <c r="T10" s="84">
        <f>SUM(T8:T9)</f>
        <v/>
      </c>
      <c r="U10" s="84">
        <f>SUM(U8:U9)</f>
        <v/>
      </c>
      <c r="V10" s="87">
        <f>SUM(V8:V9)</f>
        <v/>
      </c>
      <c r="W10" s="84" t="inlineStr">
        <is>
          <t>–</t>
        </is>
      </c>
      <c r="X10" s="84">
        <f>SUM(X8:X9)</f>
        <v/>
      </c>
      <c r="Y10" s="84">
        <f>SUM(Y8:Y9)</f>
        <v/>
      </c>
      <c r="Z10" s="84" t="inlineStr">
        <is>
          <t>–</t>
        </is>
      </c>
      <c r="AA10" s="84">
        <f>SUM(AA8:AA9)</f>
        <v/>
      </c>
      <c r="AB10" s="84">
        <f>SUM(AB8:AB9)</f>
        <v/>
      </c>
      <c r="AC10" s="84" t="inlineStr">
        <is>
          <t>–</t>
        </is>
      </c>
      <c r="AD10" s="84">
        <f>SUM(AD8:AD9)</f>
        <v/>
      </c>
      <c r="AE10" s="84">
        <f>SUM(AE8:AE9)</f>
        <v/>
      </c>
      <c r="AF10" s="89">
        <f>IF(AE10&lt;=5,"SETTLED","OUTSTANDING")</f>
        <v/>
      </c>
      <c r="AG10" s="84" t="inlineStr">
        <is>
          <t>–</t>
        </is>
      </c>
      <c r="AH10" s="88" t="inlineStr">
        <is>
          <t>–</t>
        </is>
      </c>
      <c r="AI10" s="84" t="inlineStr">
        <is>
          <t>–</t>
        </is>
      </c>
      <c r="AJ10">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
      </c>
      <c r="AK10">
        <f>IF(AJ10=1,COUNTIF(AJ$6:AJ10,1),"")</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row>
    <row r="11" outlineLevel="1" ht="15" customHeight="1" s="137">
      <c r="A11" s="67" t="n">
        <v>1</v>
      </c>
      <c r="B11" s="76">
        <f>IF('Final Calculation Sheet'!$F$15="","",'Final Calculation Sheet'!$F$15)</f>
        <v/>
      </c>
      <c r="C11" s="76">
        <f>IF('Final Calculation Sheet'!$G$15="","",'Final Calculation Sheet'!$G$15)</f>
        <v/>
      </c>
      <c r="D11" s="80">
        <f>IF('Final Calculation Sheet'!$B$15="","",'Final Calculation Sheet'!$B$15)</f>
        <v/>
      </c>
      <c r="E11" s="80">
        <f>IF('Final Calculation Sheet'!$D$15="","",'Final Calculation Sheet'!$D$15)</f>
        <v/>
      </c>
      <c r="F11" s="80">
        <f>IF('Final Calculation Sheet'!$A$15="","",'Final Calculation Sheet'!$A$15)</f>
        <v/>
      </c>
      <c r="G11" s="80">
        <f>IF('Final Calculation Sheet'!$E$15="","",'Final Calculation Sheet'!$E$15)</f>
        <v/>
      </c>
      <c r="H11" s="70">
        <f>IF('Final Calculation Sheet'!$C$15="","",'Final Calculation Sheet'!$C$15)</f>
        <v/>
      </c>
      <c r="I11" s="70">
        <f>IF('Final Calculation Sheet'!$H$15="","",'Final Calculation Sheet'!$H$15)</f>
        <v/>
      </c>
      <c r="J11" s="70">
        <f>IF('Final Calculation Sheet'!$I$15="","",'Final Calculation Sheet'!$I$15)</f>
        <v/>
      </c>
      <c r="K11" s="70">
        <f>IF('Final Calculation Sheet'!$J$15="","",'Final Calculation Sheet'!$J$15)</f>
        <v/>
      </c>
      <c r="L11" s="70">
        <f>IF('Final Calculation Sheet'!$K$15="","",'Final Calculation Sheet'!$K$15)</f>
        <v/>
      </c>
      <c r="M11" s="70">
        <f>IF('Final Calculation Sheet'!$L$15="","",'Final Calculation Sheet'!$L$15)</f>
        <v/>
      </c>
      <c r="N11" s="70">
        <f>IF('Final Calculation Sheet'!$M$15="","",'Final Calculation Sheet'!$M$15)</f>
        <v/>
      </c>
      <c r="O11" s="71">
        <f>IF('Final Calculation Sheet'!$N$15="","",'Final Calculation Sheet'!$N$15)</f>
        <v/>
      </c>
      <c r="P11" s="70">
        <f>IF('Final Calculation Sheet'!$O$15="","",'Final Calculation Sheet'!$O$15)</f>
        <v/>
      </c>
      <c r="Q11" s="70">
        <f>IF('Final Calculation Sheet'!$P$15="","",'Final Calculation Sheet'!$P$15)</f>
        <v/>
      </c>
      <c r="R11" s="72">
        <f>IF('Final Calculation Sheet'!$Q$15="","",'Final Calculation Sheet'!$Q$15)</f>
        <v/>
      </c>
      <c r="S11" s="70">
        <f>IF('Final Calculation Sheet'!$R$15="","",'Final Calculation Sheet'!$R$15)</f>
        <v/>
      </c>
      <c r="T11" s="70">
        <f>IF('Final Calculation Sheet'!$S$15="","",'Final Calculation Sheet'!$S$15)</f>
        <v/>
      </c>
      <c r="U11" s="70">
        <f>IF('Final Calculation Sheet'!$T$15="","",'Final Calculation Sheet'!$T$15)</f>
        <v/>
      </c>
      <c r="V11" s="73">
        <f>IF('Final Calculation Sheet'!$U$15="","",'Final Calculation Sheet'!$U$15)</f>
        <v/>
      </c>
      <c r="W11" s="70">
        <f>IF('Final Calculation Sheet'!$V$15="","",'Final Calculation Sheet'!$V$15)</f>
        <v/>
      </c>
      <c r="X11" s="70">
        <f>IF('Final Calculation Sheet'!$W$15="","",'Final Calculation Sheet'!$W$15)</f>
        <v/>
      </c>
      <c r="Y11" s="70">
        <f>IF('Final Calculation Sheet'!$X$15="","",'Final Calculation Sheet'!$X$15)</f>
        <v/>
      </c>
      <c r="Z11" s="70">
        <f>IF('Final Calculation Sheet'!$Y$15="","",'Final Calculation Sheet'!$Y$15)</f>
        <v/>
      </c>
      <c r="AA11" s="70">
        <f>IF('Final Calculation Sheet'!$Z$15="","",'Final Calculation Sheet'!$Z$15)</f>
        <v/>
      </c>
      <c r="AB11" s="70">
        <f>IF('Final Calculation Sheet'!$AA$15="","",'Final Calculation Sheet'!$AA$15)</f>
        <v/>
      </c>
      <c r="AC11" s="70">
        <f>IF('Final Calculation Sheet'!$AB$15="","",'Final Calculation Sheet'!$AB$15)</f>
        <v/>
      </c>
      <c r="AD11" s="70">
        <f>IF('Final Calculation Sheet'!$AC$15="","",'Final Calculation Sheet'!$AC$15)</f>
        <v/>
      </c>
      <c r="AE11" s="70">
        <f>IF('Final Calculation Sheet'!$AD$15="","",'Final Calculation Sheet'!$AD$15)</f>
        <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
      </c>
      <c r="AK11">
        <f>IF(AJ11=1,COUNTIF(AJ$6:AJ11,1),"")</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row>
    <row r="12" ht="15" customHeight="1" s="137">
      <c r="A12" s="81" t="inlineStr">
        <is>
          <t>∑</t>
        </is>
      </c>
      <c r="B12" s="83" t="n"/>
      <c r="C12" s="83">
        <f>ROWS($C$11:$C$11)&amp;" lot(s)"</f>
        <v/>
      </c>
      <c r="D12" s="83" t="inlineStr">
        <is>
          <t>SUBTOTAL — HIND TRADERS</t>
        </is>
      </c>
      <c r="E12" s="83" t="inlineStr">
        <is>
          <t>–</t>
        </is>
      </c>
      <c r="F12" s="83">
        <f>SUM(F11:F11)</f>
        <v/>
      </c>
      <c r="G12" s="83" t="inlineStr">
        <is>
          <t>–</t>
        </is>
      </c>
      <c r="H12" s="84" t="inlineStr">
        <is>
          <t>–</t>
        </is>
      </c>
      <c r="I12" s="84">
        <f>SUM(I11:I11)</f>
        <v/>
      </c>
      <c r="J12" s="84">
        <f>SUM(J11:J11)</f>
        <v/>
      </c>
      <c r="K12" s="84">
        <f>SUM(K11:K11)</f>
        <v/>
      </c>
      <c r="L12" s="84">
        <f>SUM(L11:L11)</f>
        <v/>
      </c>
      <c r="M12" s="84">
        <f>SUM(M11:M11)</f>
        <v/>
      </c>
      <c r="N12" s="84">
        <f>SUM(N11:N11)</f>
        <v/>
      </c>
      <c r="O12" s="85">
        <f>SUM(O11:O11)</f>
        <v/>
      </c>
      <c r="P12" s="84">
        <f>SUM(P11:P11)</f>
        <v/>
      </c>
      <c r="Q12" s="84">
        <f>SUM(Q11:Q11)</f>
        <v/>
      </c>
      <c r="R12" s="86" t="inlineStr">
        <is>
          <t>–</t>
        </is>
      </c>
      <c r="S12" s="84">
        <f>SUM(S11:S11)</f>
        <v/>
      </c>
      <c r="T12" s="84">
        <f>SUM(T11:T11)</f>
        <v/>
      </c>
      <c r="U12" s="84">
        <f>SUM(U11:U11)</f>
        <v/>
      </c>
      <c r="V12" s="87">
        <f>SUM(V11:V11)</f>
        <v/>
      </c>
      <c r="W12" s="84" t="inlineStr">
        <is>
          <t>–</t>
        </is>
      </c>
      <c r="X12" s="84">
        <f>SUM(X11:X11)</f>
        <v/>
      </c>
      <c r="Y12" s="84">
        <f>SUM(Y11:Y11)</f>
        <v/>
      </c>
      <c r="Z12" s="84" t="inlineStr">
        <is>
          <t>–</t>
        </is>
      </c>
      <c r="AA12" s="84">
        <f>SUM(AA11:AA11)</f>
        <v/>
      </c>
      <c r="AB12" s="84">
        <f>SUM(AB11:AB11)</f>
        <v/>
      </c>
      <c r="AC12" s="84" t="inlineStr">
        <is>
          <t>–</t>
        </is>
      </c>
      <c r="AD12" s="84">
        <f>SUM(AD11:AD11)</f>
        <v/>
      </c>
      <c r="AE12" s="84">
        <f>SUM(AE11:AE11)</f>
        <v/>
      </c>
      <c r="AF12" s="89">
        <f>IF(AE12&lt;=5,"SETTLED","OUTSTANDING")</f>
        <v/>
      </c>
      <c r="AG12" s="84" t="inlineStr">
        <is>
          <t>–</t>
        </is>
      </c>
      <c r="AH12" s="88" t="inlineStr">
        <is>
          <t>–</t>
        </is>
      </c>
      <c r="AI12" s="84" t="inlineStr">
        <is>
          <t>–</t>
        </is>
      </c>
      <c r="AJ12">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
      </c>
      <c r="AK12">
        <f>IF(AJ12=1,COUNTIF(AJ$6:AJ12,1),"")</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row>
    <row r="13" outlineLevel="1" ht="15" customHeight="1" s="137">
      <c r="A13" s="67" t="n">
        <v>1</v>
      </c>
      <c r="B13" s="76">
        <f>IF('Final Calculation Sheet'!$F$38="","",'Final Calculation Sheet'!$F$38)</f>
        <v/>
      </c>
      <c r="C13" s="76">
        <f>IF('Final Calculation Sheet'!$G$38="","",'Final Calculation Sheet'!$G$38)</f>
        <v/>
      </c>
      <c r="D13" s="80">
        <f>IF('Final Calculation Sheet'!$B$38="","",'Final Calculation Sheet'!$B$38)</f>
        <v/>
      </c>
      <c r="E13" s="80">
        <f>IF('Final Calculation Sheet'!$D$38="","",'Final Calculation Sheet'!$D$38)</f>
        <v/>
      </c>
      <c r="F13" s="80">
        <f>IF('Final Calculation Sheet'!$A$38="","",'Final Calculation Sheet'!$A$38)</f>
        <v/>
      </c>
      <c r="G13" s="80">
        <f>IF('Final Calculation Sheet'!$E$38="","",'Final Calculation Sheet'!$E$38)</f>
        <v/>
      </c>
      <c r="H13" s="70">
        <f>IF('Final Calculation Sheet'!$C$38="","",'Final Calculation Sheet'!$C$38)</f>
        <v/>
      </c>
      <c r="I13" s="70">
        <f>IF('Final Calculation Sheet'!$H$38="","",'Final Calculation Sheet'!$H$38)</f>
        <v/>
      </c>
      <c r="J13" s="70">
        <f>IF('Final Calculation Sheet'!$I$38="","",'Final Calculation Sheet'!$I$38)</f>
        <v/>
      </c>
      <c r="K13" s="70">
        <f>IF('Final Calculation Sheet'!$J$38="","",'Final Calculation Sheet'!$J$38)</f>
        <v/>
      </c>
      <c r="L13" s="70">
        <f>IF('Final Calculation Sheet'!$K$38="","",'Final Calculation Sheet'!$K$38)</f>
        <v/>
      </c>
      <c r="M13" s="70">
        <f>IF('Final Calculation Sheet'!$L$38="","",'Final Calculation Sheet'!$L$38)</f>
        <v/>
      </c>
      <c r="N13" s="70">
        <f>IF('Final Calculation Sheet'!$M$38="","",'Final Calculation Sheet'!$M$38)</f>
        <v/>
      </c>
      <c r="O13" s="71">
        <f>IF('Final Calculation Sheet'!$N$38="","",'Final Calculation Sheet'!$N$38)</f>
        <v/>
      </c>
      <c r="P13" s="70">
        <f>IF('Final Calculation Sheet'!$O$38="","",'Final Calculation Sheet'!$O$38)</f>
        <v/>
      </c>
      <c r="Q13" s="70">
        <f>IF('Final Calculation Sheet'!$P$38="","",'Final Calculation Sheet'!$P$38)</f>
        <v/>
      </c>
      <c r="R13" s="72">
        <f>IF('Final Calculation Sheet'!$Q$38="","",'Final Calculation Sheet'!$Q$38)</f>
        <v/>
      </c>
      <c r="S13" s="70">
        <f>IF('Final Calculation Sheet'!$R$38="","",'Final Calculation Sheet'!$R$38)</f>
        <v/>
      </c>
      <c r="T13" s="70">
        <f>IF('Final Calculation Sheet'!$S$38="","",'Final Calculation Sheet'!$S$38)</f>
        <v/>
      </c>
      <c r="U13" s="70">
        <f>IF('Final Calculation Sheet'!$T$38="","",'Final Calculation Sheet'!$T$38)</f>
        <v/>
      </c>
      <c r="V13" s="73">
        <f>IF('Final Calculation Sheet'!$U$38="","",'Final Calculation Sheet'!$U$38)</f>
        <v/>
      </c>
      <c r="W13" s="70">
        <f>IF('Final Calculation Sheet'!$V$38="","",'Final Calculation Sheet'!$V$38)</f>
        <v/>
      </c>
      <c r="X13" s="70">
        <f>IF('Final Calculation Sheet'!$W$38="","",'Final Calculation Sheet'!$W$38)</f>
        <v/>
      </c>
      <c r="Y13" s="70">
        <f>IF('Final Calculation Sheet'!$X$38="","",'Final Calculation Sheet'!$X$38)</f>
        <v/>
      </c>
      <c r="Z13" s="70">
        <f>IF('Final Calculation Sheet'!$Y$38="","",'Final Calculation Sheet'!$Y$38)</f>
        <v/>
      </c>
      <c r="AA13" s="70">
        <f>IF('Final Calculation Sheet'!$Z$38="","",'Final Calculation Sheet'!$Z$38)</f>
        <v/>
      </c>
      <c r="AB13" s="70">
        <f>IF('Final Calculation Sheet'!$AA$38="","",'Final Calculation Sheet'!$AA$38)</f>
        <v/>
      </c>
      <c r="AC13" s="70">
        <f>IF('Final Calculation Sheet'!$AB$38="","",'Final Calculation Sheet'!$AB$38)</f>
        <v/>
      </c>
      <c r="AD13" s="70">
        <f>IF('Final Calculation Sheet'!$AC$38="","",'Final Calculation Sheet'!$AC$38)</f>
        <v/>
      </c>
      <c r="AE13" s="70">
        <f>IF('Final Calculation Sheet'!$AD$38="","",'Final Calculation Sheet'!$AD$38)</f>
        <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
      </c>
      <c r="AK13">
        <f>IF(AJ13=1,COUNTIF(AJ$6:AJ13,1),"")</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row>
    <row r="14" ht="15" customHeight="1" s="137">
      <c r="A14" s="81" t="inlineStr">
        <is>
          <t>∑</t>
        </is>
      </c>
      <c r="B14" s="83" t="n"/>
      <c r="C14" s="83">
        <f>ROWS($C$13:$C$13)&amp;" lot(s)"</f>
        <v/>
      </c>
      <c r="D14" s="83" t="inlineStr">
        <is>
          <t>SUBTOTAL — KASHYAP TRADING CO</t>
        </is>
      </c>
      <c r="E14" s="83" t="inlineStr">
        <is>
          <t>–</t>
        </is>
      </c>
      <c r="F14" s="83">
        <f>SUM(F13:F13)</f>
        <v/>
      </c>
      <c r="G14" s="83" t="inlineStr">
        <is>
          <t>–</t>
        </is>
      </c>
      <c r="H14" s="84" t="inlineStr">
        <is>
          <t>–</t>
        </is>
      </c>
      <c r="I14" s="84">
        <f>SUM(I13:I13)</f>
        <v/>
      </c>
      <c r="J14" s="84">
        <f>SUM(J13:J13)</f>
        <v/>
      </c>
      <c r="K14" s="84">
        <f>SUM(K13:K13)</f>
        <v/>
      </c>
      <c r="L14" s="84">
        <f>SUM(L13:L13)</f>
        <v/>
      </c>
      <c r="M14" s="84">
        <f>SUM(M13:M13)</f>
        <v/>
      </c>
      <c r="N14" s="84">
        <f>SUM(N13:N13)</f>
        <v/>
      </c>
      <c r="O14" s="85">
        <f>SUM(O13:O13)</f>
        <v/>
      </c>
      <c r="P14" s="84">
        <f>SUM(P13:P13)</f>
        <v/>
      </c>
      <c r="Q14" s="84">
        <f>SUM(Q13:Q13)</f>
        <v/>
      </c>
      <c r="R14" s="86" t="inlineStr">
        <is>
          <t>–</t>
        </is>
      </c>
      <c r="S14" s="84">
        <f>SUM(S13:S13)</f>
        <v/>
      </c>
      <c r="T14" s="84">
        <f>SUM(T13:T13)</f>
        <v/>
      </c>
      <c r="U14" s="84">
        <f>SUM(U13:U13)</f>
        <v/>
      </c>
      <c r="V14" s="87">
        <f>SUM(V13:V13)</f>
        <v/>
      </c>
      <c r="W14" s="84" t="inlineStr">
        <is>
          <t>–</t>
        </is>
      </c>
      <c r="X14" s="84">
        <f>SUM(X13:X13)</f>
        <v/>
      </c>
      <c r="Y14" s="84">
        <f>SUM(Y13:Y13)</f>
        <v/>
      </c>
      <c r="Z14" s="84" t="inlineStr">
        <is>
          <t>–</t>
        </is>
      </c>
      <c r="AA14" s="84">
        <f>SUM(AA13:AA13)</f>
        <v/>
      </c>
      <c r="AB14" s="84">
        <f>SUM(AB13:AB13)</f>
        <v/>
      </c>
      <c r="AC14" s="84" t="inlineStr">
        <is>
          <t>–</t>
        </is>
      </c>
      <c r="AD14" s="84">
        <f>SUM(AD13:AD13)</f>
        <v/>
      </c>
      <c r="AE14" s="84">
        <f>SUM(AE13:AE13)</f>
        <v/>
      </c>
      <c r="AF14" s="89">
        <f>IF(AE14&lt;=5,"SETTLED","OUTSTANDING")</f>
        <v/>
      </c>
      <c r="AG14" s="84" t="inlineStr">
        <is>
          <t>–</t>
        </is>
      </c>
      <c r="AH14" s="88" t="inlineStr">
        <is>
          <t>–</t>
        </is>
      </c>
      <c r="AI14" s="84" t="inlineStr">
        <is>
          <t>–</t>
        </is>
      </c>
      <c r="AJ14">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
      </c>
      <c r="AK14">
        <f>IF(AJ14=1,COUNTIF(AJ$6:AJ14,1),"")</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row>
    <row r="15" outlineLevel="1" ht="15" customHeight="1" s="137">
      <c r="A15" s="67" t="n">
        <v>1</v>
      </c>
      <c r="B15" s="76">
        <f>IF('Final Calculation Sheet'!$F$27="","",'Final Calculation Sheet'!$F$27)</f>
        <v/>
      </c>
      <c r="C15" s="76">
        <f>IF('Final Calculation Sheet'!$G$27="","",'Final Calculation Sheet'!$G$27)</f>
        <v/>
      </c>
      <c r="D15" s="80">
        <f>IF('Final Calculation Sheet'!$B$27="","",'Final Calculation Sheet'!$B$27)</f>
        <v/>
      </c>
      <c r="E15" s="80">
        <f>IF('Final Calculation Sheet'!$D$27="","",'Final Calculation Sheet'!$D$27)</f>
        <v/>
      </c>
      <c r="F15" s="80">
        <f>IF('Final Calculation Sheet'!$A$27="","",'Final Calculation Sheet'!$A$27)</f>
        <v/>
      </c>
      <c r="G15" s="80">
        <f>IF('Final Calculation Sheet'!$E$27="","",'Final Calculation Sheet'!$E$27)</f>
        <v/>
      </c>
      <c r="H15" s="70">
        <f>IF('Final Calculation Sheet'!$C$27="","",'Final Calculation Sheet'!$C$27)</f>
        <v/>
      </c>
      <c r="I15" s="70">
        <f>IF('Final Calculation Sheet'!$H$27="","",'Final Calculation Sheet'!$H$27)</f>
        <v/>
      </c>
      <c r="J15" s="70">
        <f>IF('Final Calculation Sheet'!$I$27="","",'Final Calculation Sheet'!$I$27)</f>
        <v/>
      </c>
      <c r="K15" s="70">
        <f>IF('Final Calculation Sheet'!$J$27="","",'Final Calculation Sheet'!$J$27)</f>
        <v/>
      </c>
      <c r="L15" s="70">
        <f>IF('Final Calculation Sheet'!$K$27="","",'Final Calculation Sheet'!$K$27)</f>
        <v/>
      </c>
      <c r="M15" s="70">
        <f>IF('Final Calculation Sheet'!$L$27="","",'Final Calculation Sheet'!$L$27)</f>
        <v/>
      </c>
      <c r="N15" s="70">
        <f>IF('Final Calculation Sheet'!$M$27="","",'Final Calculation Sheet'!$M$27)</f>
        <v/>
      </c>
      <c r="O15" s="71">
        <f>IF('Final Calculation Sheet'!$N$27="","",'Final Calculation Sheet'!$N$27)</f>
        <v/>
      </c>
      <c r="P15" s="70">
        <f>IF('Final Calculation Sheet'!$O$27="","",'Final Calculation Sheet'!$O$27)</f>
        <v/>
      </c>
      <c r="Q15" s="70">
        <f>IF('Final Calculation Sheet'!$P$27="","",'Final Calculation Sheet'!$P$27)</f>
        <v/>
      </c>
      <c r="R15" s="72">
        <f>IF('Final Calculation Sheet'!$Q$27="","",'Final Calculation Sheet'!$Q$27)</f>
        <v/>
      </c>
      <c r="S15" s="70">
        <f>IF('Final Calculation Sheet'!$R$27="","",'Final Calculation Sheet'!$R$27)</f>
        <v/>
      </c>
      <c r="T15" s="70">
        <f>IF('Final Calculation Sheet'!$S$27="","",'Final Calculation Sheet'!$S$27)</f>
        <v/>
      </c>
      <c r="U15" s="70">
        <f>IF('Final Calculation Sheet'!$T$27="","",'Final Calculation Sheet'!$T$27)</f>
        <v/>
      </c>
      <c r="V15" s="73">
        <f>IF('Final Calculation Sheet'!$U$27="","",'Final Calculation Sheet'!$U$27)</f>
        <v/>
      </c>
      <c r="W15" s="70">
        <f>IF('Final Calculation Sheet'!$V$27="","",'Final Calculation Sheet'!$V$27)</f>
        <v/>
      </c>
      <c r="X15" s="70">
        <f>IF('Final Calculation Sheet'!$W$27="","",'Final Calculation Sheet'!$W$27)</f>
        <v/>
      </c>
      <c r="Y15" s="70">
        <f>IF('Final Calculation Sheet'!$X$27="","",'Final Calculation Sheet'!$X$27)</f>
        <v/>
      </c>
      <c r="Z15" s="70">
        <f>IF('Final Calculation Sheet'!$Y$27="","",'Final Calculation Sheet'!$Y$27)</f>
        <v/>
      </c>
      <c r="AA15" s="70">
        <f>IF('Final Calculation Sheet'!$Z$27="","",'Final Calculation Sheet'!$Z$27)</f>
        <v/>
      </c>
      <c r="AB15" s="70">
        <f>IF('Final Calculation Sheet'!$AA$27="","",'Final Calculation Sheet'!$AA$27)</f>
        <v/>
      </c>
      <c r="AC15" s="70">
        <f>IF('Final Calculation Sheet'!$AB$27="","",'Final Calculation Sheet'!$AB$27)</f>
        <v/>
      </c>
      <c r="AD15" s="70">
        <f>IF('Final Calculation Sheet'!$AC$27="","",'Final Calculation Sheet'!$AC$27)</f>
        <v/>
      </c>
      <c r="AE15" s="70">
        <f>IF('Final Calculation Sheet'!$AD$27="","",'Final Calculation Sheet'!$AD$27)</f>
        <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
      </c>
      <c r="AK15">
        <f>IF(AJ15=1,COUNTIF(AJ$6:AJ15,1),"")</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row>
    <row r="16" ht="15" customHeight="1" s="137">
      <c r="A16" s="81" t="inlineStr">
        <is>
          <t>∑</t>
        </is>
      </c>
      <c r="B16" s="83" t="n"/>
      <c r="C16" s="83">
        <f>ROWS($C$15:$C$15)&amp;" lot(s)"</f>
        <v/>
      </c>
      <c r="D16" s="83" t="inlineStr">
        <is>
          <t>SUBTOTAL — M I SCRAP TRADERS</t>
        </is>
      </c>
      <c r="E16" s="83" t="inlineStr">
        <is>
          <t>–</t>
        </is>
      </c>
      <c r="F16" s="83">
        <f>SUM(F15:F15)</f>
        <v/>
      </c>
      <c r="G16" s="83" t="inlineStr">
        <is>
          <t>–</t>
        </is>
      </c>
      <c r="H16" s="84" t="inlineStr">
        <is>
          <t>–</t>
        </is>
      </c>
      <c r="I16" s="84">
        <f>SUM(I15:I15)</f>
        <v/>
      </c>
      <c r="J16" s="84">
        <f>SUM(J15:J15)</f>
        <v/>
      </c>
      <c r="K16" s="84">
        <f>SUM(K15:K15)</f>
        <v/>
      </c>
      <c r="L16" s="84">
        <f>SUM(L15:L15)</f>
        <v/>
      </c>
      <c r="M16" s="84">
        <f>SUM(M15:M15)</f>
        <v/>
      </c>
      <c r="N16" s="84">
        <f>SUM(N15:N15)</f>
        <v/>
      </c>
      <c r="O16" s="85">
        <f>SUM(O15:O15)</f>
        <v/>
      </c>
      <c r="P16" s="84">
        <f>SUM(P15:P15)</f>
        <v/>
      </c>
      <c r="Q16" s="84">
        <f>SUM(Q15:Q15)</f>
        <v/>
      </c>
      <c r="R16" s="86" t="inlineStr">
        <is>
          <t>–</t>
        </is>
      </c>
      <c r="S16" s="84">
        <f>SUM(S15:S15)</f>
        <v/>
      </c>
      <c r="T16" s="84">
        <f>SUM(T15:T15)</f>
        <v/>
      </c>
      <c r="U16" s="84">
        <f>SUM(U15:U15)</f>
        <v/>
      </c>
      <c r="V16" s="87">
        <f>SUM(V15:V15)</f>
        <v/>
      </c>
      <c r="W16" s="84" t="inlineStr">
        <is>
          <t>–</t>
        </is>
      </c>
      <c r="X16" s="84">
        <f>SUM(X15:X15)</f>
        <v/>
      </c>
      <c r="Y16" s="84">
        <f>SUM(Y15:Y15)</f>
        <v/>
      </c>
      <c r="Z16" s="84" t="inlineStr">
        <is>
          <t>–</t>
        </is>
      </c>
      <c r="AA16" s="84">
        <f>SUM(AA15:AA15)</f>
        <v/>
      </c>
      <c r="AB16" s="84">
        <f>SUM(AB15:AB15)</f>
        <v/>
      </c>
      <c r="AC16" s="84" t="inlineStr">
        <is>
          <t>–</t>
        </is>
      </c>
      <c r="AD16" s="84">
        <f>SUM(AD15:AD15)</f>
        <v/>
      </c>
      <c r="AE16" s="84">
        <f>SUM(AE15:AE15)</f>
        <v/>
      </c>
      <c r="AF16" s="89">
        <f>IF(AE16&lt;=5,"SETTLED","OUTSTANDING")</f>
        <v/>
      </c>
      <c r="AG16" s="84" t="inlineStr">
        <is>
          <t>–</t>
        </is>
      </c>
      <c r="AH16" s="88" t="inlineStr">
        <is>
          <t>–</t>
        </is>
      </c>
      <c r="AI16" s="84" t="inlineStr">
        <is>
          <t>–</t>
        </is>
      </c>
      <c r="AJ16">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
      </c>
      <c r="AK16">
        <f>IF(AJ16=1,COUNTIF(AJ$6:AJ16,1),"")</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row>
    <row r="17" outlineLevel="1" ht="15" customHeight="1" s="137">
      <c r="A17" s="67" t="n">
        <v>1</v>
      </c>
      <c r="B17" s="76">
        <f>IF('Final Calculation Sheet'!$F$5="","",'Final Calculation Sheet'!$F$5)</f>
        <v/>
      </c>
      <c r="C17" s="76">
        <f>IF('Final Calculation Sheet'!$G$5="","",'Final Calculation Sheet'!$G$5)</f>
        <v/>
      </c>
      <c r="D17" s="80">
        <f>IF('Final Calculation Sheet'!$B$5="","",'Final Calculation Sheet'!$B$5)</f>
        <v/>
      </c>
      <c r="E17" s="80">
        <f>IF('Final Calculation Sheet'!$D$5="","",'Final Calculation Sheet'!$D$5)</f>
        <v/>
      </c>
      <c r="F17" s="80">
        <f>IF('Final Calculation Sheet'!$A$5="","",'Final Calculation Sheet'!$A$5)</f>
        <v/>
      </c>
      <c r="G17" s="80">
        <f>IF('Final Calculation Sheet'!$E$5="","",'Final Calculation Sheet'!$E$5)</f>
        <v/>
      </c>
      <c r="H17" s="70">
        <f>IF('Final Calculation Sheet'!$C$5="","",'Final Calculation Sheet'!$C$5)</f>
        <v/>
      </c>
      <c r="I17" s="70">
        <f>IF('Final Calculation Sheet'!$H$5="","",'Final Calculation Sheet'!$H$5)</f>
        <v/>
      </c>
      <c r="J17" s="70">
        <f>IF('Final Calculation Sheet'!$I$5="","",'Final Calculation Sheet'!$I$5)</f>
        <v/>
      </c>
      <c r="K17" s="70">
        <f>IF('Final Calculation Sheet'!$J$5="","",'Final Calculation Sheet'!$J$5)</f>
        <v/>
      </c>
      <c r="L17" s="70">
        <f>IF('Final Calculation Sheet'!$K$5="","",'Final Calculation Sheet'!$K$5)</f>
        <v/>
      </c>
      <c r="M17" s="70">
        <f>IF('Final Calculation Sheet'!$L$5="","",'Final Calculation Sheet'!$L$5)</f>
        <v/>
      </c>
      <c r="N17" s="70">
        <f>IF('Final Calculation Sheet'!$M$5="","",'Final Calculation Sheet'!$M$5)</f>
        <v/>
      </c>
      <c r="O17" s="71">
        <f>IF('Final Calculation Sheet'!$N$5="","",'Final Calculation Sheet'!$N$5)</f>
        <v/>
      </c>
      <c r="P17" s="70">
        <f>IF('Final Calculation Sheet'!$O$5="","",'Final Calculation Sheet'!$O$5)</f>
        <v/>
      </c>
      <c r="Q17" s="70">
        <f>IF('Final Calculation Sheet'!$P$5="","",'Final Calculation Sheet'!$P$5)</f>
        <v/>
      </c>
      <c r="R17" s="72">
        <f>IF('Final Calculation Sheet'!$Q$5="","",'Final Calculation Sheet'!$Q$5)</f>
        <v/>
      </c>
      <c r="S17" s="70">
        <f>IF('Final Calculation Sheet'!$R$5="","",'Final Calculation Sheet'!$R$5)</f>
        <v/>
      </c>
      <c r="T17" s="70">
        <f>IF('Final Calculation Sheet'!$S$5="","",'Final Calculation Sheet'!$S$5)</f>
        <v/>
      </c>
      <c r="U17" s="70">
        <f>IF('Final Calculation Sheet'!$T$5="","",'Final Calculation Sheet'!$T$5)</f>
        <v/>
      </c>
      <c r="V17" s="73">
        <f>IF('Final Calculation Sheet'!$U$5="","",'Final Calculation Sheet'!$U$5)</f>
        <v/>
      </c>
      <c r="W17" s="70">
        <f>IF('Final Calculation Sheet'!$V$5="","",'Final Calculation Sheet'!$V$5)</f>
        <v/>
      </c>
      <c r="X17" s="70">
        <f>IF('Final Calculation Sheet'!$W$5="","",'Final Calculation Sheet'!$W$5)</f>
        <v/>
      </c>
      <c r="Y17" s="70">
        <f>IF('Final Calculation Sheet'!$X$5="","",'Final Calculation Sheet'!$X$5)</f>
        <v/>
      </c>
      <c r="Z17" s="70">
        <f>IF('Final Calculation Sheet'!$Y$5="","",'Final Calculation Sheet'!$Y$5)</f>
        <v/>
      </c>
      <c r="AA17" s="70">
        <f>IF('Final Calculation Sheet'!$Z$5="","",'Final Calculation Sheet'!$Z$5)</f>
        <v/>
      </c>
      <c r="AB17" s="70">
        <f>IF('Final Calculation Sheet'!$AA$5="","",'Final Calculation Sheet'!$AA$5)</f>
        <v/>
      </c>
      <c r="AC17" s="70">
        <f>IF('Final Calculation Sheet'!$AB$5="","",'Final Calculation Sheet'!$AB$5)</f>
        <v/>
      </c>
      <c r="AD17" s="70">
        <f>IF('Final Calculation Sheet'!$AC$5="","",'Final Calculation Sheet'!$AC$5)</f>
        <v/>
      </c>
      <c r="AE17" s="70">
        <f>IF('Final Calculation Sheet'!$AD$5="","",'Final Calculation Sheet'!$AD$5)</f>
        <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
      </c>
      <c r="AK17">
        <f>IF(AJ17=1,COUNTIF(AJ$6:AJ17,1),"")</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row>
    <row r="18" outlineLevel="1" ht="15" customHeight="1" s="137">
      <c r="A18" s="90" t="n">
        <v>2</v>
      </c>
      <c r="B18" s="92">
        <f>IF('Final Calculation Sheet'!$F$10="","",'Final Calculation Sheet'!$F$10)</f>
        <v/>
      </c>
      <c r="C18" s="92">
        <f>IF('Final Calculation Sheet'!$G$10="","",'Final Calculation Sheet'!$G$10)</f>
        <v/>
      </c>
      <c r="D18" s="94">
        <f>IF('Final Calculation Sheet'!$B$10="","",'Final Calculation Sheet'!$B$10)</f>
        <v/>
      </c>
      <c r="E18" s="94">
        <f>IF('Final Calculation Sheet'!$D$10="","",'Final Calculation Sheet'!$D$10)</f>
        <v/>
      </c>
      <c r="F18" s="94">
        <f>IF('Final Calculation Sheet'!$A$10="","",'Final Calculation Sheet'!$A$10)</f>
        <v/>
      </c>
      <c r="G18" s="94">
        <f>IF('Final Calculation Sheet'!$E$10="","",'Final Calculation Sheet'!$E$10)</f>
        <v/>
      </c>
      <c r="H18" s="95">
        <f>IF('Final Calculation Sheet'!$C$10="","",'Final Calculation Sheet'!$C$10)</f>
        <v/>
      </c>
      <c r="I18" s="95">
        <f>IF('Final Calculation Sheet'!$H$10="","",'Final Calculation Sheet'!$H$10)</f>
        <v/>
      </c>
      <c r="J18" s="95">
        <f>IF('Final Calculation Sheet'!$I$10="","",'Final Calculation Sheet'!$I$10)</f>
        <v/>
      </c>
      <c r="K18" s="95">
        <f>IF('Final Calculation Sheet'!$J$10="","",'Final Calculation Sheet'!$J$10)</f>
        <v/>
      </c>
      <c r="L18" s="95">
        <f>IF('Final Calculation Sheet'!$K$10="","",'Final Calculation Sheet'!$K$10)</f>
        <v/>
      </c>
      <c r="M18" s="95">
        <f>IF('Final Calculation Sheet'!$L$10="","",'Final Calculation Sheet'!$L$10)</f>
        <v/>
      </c>
      <c r="N18" s="95">
        <f>IF('Final Calculation Sheet'!$M$10="","",'Final Calculation Sheet'!$M$10)</f>
        <v/>
      </c>
      <c r="O18" s="96">
        <f>IF('Final Calculation Sheet'!$N$10="","",'Final Calculation Sheet'!$N$10)</f>
        <v/>
      </c>
      <c r="P18" s="95">
        <f>IF('Final Calculation Sheet'!$O$10="","",'Final Calculation Sheet'!$O$10)</f>
        <v/>
      </c>
      <c r="Q18" s="95">
        <f>IF('Final Calculation Sheet'!$P$10="","",'Final Calculation Sheet'!$P$10)</f>
        <v/>
      </c>
      <c r="R18" s="97">
        <f>IF('Final Calculation Sheet'!$Q$10="","",'Final Calculation Sheet'!$Q$10)</f>
        <v/>
      </c>
      <c r="S18" s="95">
        <f>IF('Final Calculation Sheet'!$R$10="","",'Final Calculation Sheet'!$R$10)</f>
        <v/>
      </c>
      <c r="T18" s="95">
        <f>IF('Final Calculation Sheet'!$S$10="","",'Final Calculation Sheet'!$S$10)</f>
        <v/>
      </c>
      <c r="U18" s="95">
        <f>IF('Final Calculation Sheet'!$T$10="","",'Final Calculation Sheet'!$T$10)</f>
        <v/>
      </c>
      <c r="V18" s="98">
        <f>IF('Final Calculation Sheet'!$U$10="","",'Final Calculation Sheet'!$U$10)</f>
        <v/>
      </c>
      <c r="W18" s="95">
        <f>IF('Final Calculation Sheet'!$V$10="","",'Final Calculation Sheet'!$V$10)</f>
        <v/>
      </c>
      <c r="X18" s="95">
        <f>IF('Final Calculation Sheet'!$W$10="","",'Final Calculation Sheet'!$W$10)</f>
        <v/>
      </c>
      <c r="Y18" s="95">
        <f>IF('Final Calculation Sheet'!$X$10="","",'Final Calculation Sheet'!$X$10)</f>
        <v/>
      </c>
      <c r="Z18" s="95">
        <f>IF('Final Calculation Sheet'!$Y$10="","",'Final Calculation Sheet'!$Y$10)</f>
        <v/>
      </c>
      <c r="AA18" s="95">
        <f>IF('Final Calculation Sheet'!$Z$10="","",'Final Calculation Sheet'!$Z$10)</f>
        <v/>
      </c>
      <c r="AB18" s="95">
        <f>IF('Final Calculation Sheet'!$AA$10="","",'Final Calculation Sheet'!$AA$10)</f>
        <v/>
      </c>
      <c r="AC18" s="95">
        <f>IF('Final Calculation Sheet'!$AB$10="","",'Final Calculation Sheet'!$AB$10)</f>
        <v/>
      </c>
      <c r="AD18" s="95">
        <f>IF('Final Calculation Sheet'!$AC$10="","",'Final Calculation Sheet'!$AC$10)</f>
        <v/>
      </c>
      <c r="AE18" s="95">
        <f>IF('Final Calculation Sheet'!$AD$10="","",'Final Calculation Sheet'!$AD$10)</f>
        <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
      </c>
      <c r="AK18">
        <f>IF(AJ18=1,COUNTIF(AJ$6:AJ18,1),"")</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row>
    <row r="19" outlineLevel="1" ht="15" customHeight="1" s="137">
      <c r="A19" s="67" t="n">
        <v>3</v>
      </c>
      <c r="B19" s="76">
        <f>IF('Final Calculation Sheet'!$F$11="","",'Final Calculation Sheet'!$F$11)</f>
        <v/>
      </c>
      <c r="C19" s="76">
        <f>IF('Final Calculation Sheet'!$G$11="","",'Final Calculation Sheet'!$G$11)</f>
        <v/>
      </c>
      <c r="D19" s="80">
        <f>IF('Final Calculation Sheet'!$B$11="","",'Final Calculation Sheet'!$B$11)</f>
        <v/>
      </c>
      <c r="E19" s="80">
        <f>IF('Final Calculation Sheet'!$D$11="","",'Final Calculation Sheet'!$D$11)</f>
        <v/>
      </c>
      <c r="F19" s="80">
        <f>IF('Final Calculation Sheet'!$A$11="","",'Final Calculation Sheet'!$A$11)</f>
        <v/>
      </c>
      <c r="G19" s="80">
        <f>IF('Final Calculation Sheet'!$E$11="","",'Final Calculation Sheet'!$E$11)</f>
        <v/>
      </c>
      <c r="H19" s="70">
        <f>IF('Final Calculation Sheet'!$C$11="","",'Final Calculation Sheet'!$C$11)</f>
        <v/>
      </c>
      <c r="I19" s="70">
        <f>IF('Final Calculation Sheet'!$H$11="","",'Final Calculation Sheet'!$H$11)</f>
        <v/>
      </c>
      <c r="J19" s="70">
        <f>IF('Final Calculation Sheet'!$I$11="","",'Final Calculation Sheet'!$I$11)</f>
        <v/>
      </c>
      <c r="K19" s="70">
        <f>IF('Final Calculation Sheet'!$J$11="","",'Final Calculation Sheet'!$J$11)</f>
        <v/>
      </c>
      <c r="L19" s="70">
        <f>IF('Final Calculation Sheet'!$K$11="","",'Final Calculation Sheet'!$K$11)</f>
        <v/>
      </c>
      <c r="M19" s="70">
        <f>IF('Final Calculation Sheet'!$L$11="","",'Final Calculation Sheet'!$L$11)</f>
        <v/>
      </c>
      <c r="N19" s="70">
        <f>IF('Final Calculation Sheet'!$M$11="","",'Final Calculation Sheet'!$M$11)</f>
        <v/>
      </c>
      <c r="O19" s="71">
        <f>IF('Final Calculation Sheet'!$N$11="","",'Final Calculation Sheet'!$N$11)</f>
        <v/>
      </c>
      <c r="P19" s="70">
        <f>IF('Final Calculation Sheet'!$O$11="","",'Final Calculation Sheet'!$O$11)</f>
        <v/>
      </c>
      <c r="Q19" s="70">
        <f>IF('Final Calculation Sheet'!$P$11="","",'Final Calculation Sheet'!$P$11)</f>
        <v/>
      </c>
      <c r="R19" s="72">
        <f>IF('Final Calculation Sheet'!$Q$11="","",'Final Calculation Sheet'!$Q$11)</f>
        <v/>
      </c>
      <c r="S19" s="70">
        <f>IF('Final Calculation Sheet'!$R$11="","",'Final Calculation Sheet'!$R$11)</f>
        <v/>
      </c>
      <c r="T19" s="70">
        <f>IF('Final Calculation Sheet'!$S$11="","",'Final Calculation Sheet'!$S$11)</f>
        <v/>
      </c>
      <c r="U19" s="70">
        <f>IF('Final Calculation Sheet'!$T$11="","",'Final Calculation Sheet'!$T$11)</f>
        <v/>
      </c>
      <c r="V19" s="73">
        <f>IF('Final Calculation Sheet'!$U$11="","",'Final Calculation Sheet'!$U$11)</f>
        <v/>
      </c>
      <c r="W19" s="70">
        <f>IF('Final Calculation Sheet'!$V$11="","",'Final Calculation Sheet'!$V$11)</f>
        <v/>
      </c>
      <c r="X19" s="70">
        <f>IF('Final Calculation Sheet'!$W$11="","",'Final Calculation Sheet'!$W$11)</f>
        <v/>
      </c>
      <c r="Y19" s="70">
        <f>IF('Final Calculation Sheet'!$X$11="","",'Final Calculation Sheet'!$X$11)</f>
        <v/>
      </c>
      <c r="Z19" s="70">
        <f>IF('Final Calculation Sheet'!$Y$11="","",'Final Calculation Sheet'!$Y$11)</f>
        <v/>
      </c>
      <c r="AA19" s="70">
        <f>IF('Final Calculation Sheet'!$Z$11="","",'Final Calculation Sheet'!$Z$11)</f>
        <v/>
      </c>
      <c r="AB19" s="70">
        <f>IF('Final Calculation Sheet'!$AA$11="","",'Final Calculation Sheet'!$AA$11)</f>
        <v/>
      </c>
      <c r="AC19" s="70">
        <f>IF('Final Calculation Sheet'!$AB$11="","",'Final Calculation Sheet'!$AB$11)</f>
        <v/>
      </c>
      <c r="AD19" s="70">
        <f>IF('Final Calculation Sheet'!$AC$11="","",'Final Calculation Sheet'!$AC$11)</f>
        <v/>
      </c>
      <c r="AE19" s="70">
        <f>IF('Final Calculation Sheet'!$AD$11="","",'Final Calculation Sheet'!$AD$11)</f>
        <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
      </c>
      <c r="AK19">
        <f>IF(AJ19=1,COUNTIF(AJ$6:AJ19,1),"")</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row>
    <row r="20" outlineLevel="1" ht="15" customHeight="1" s="137">
      <c r="A20" s="90" t="n">
        <v>4</v>
      </c>
      <c r="B20" s="92">
        <f>IF('Final Calculation Sheet'!$F$12="","",'Final Calculation Sheet'!$F$12)</f>
        <v/>
      </c>
      <c r="C20" s="92">
        <f>IF('Final Calculation Sheet'!$G$12="","",'Final Calculation Sheet'!$G$12)</f>
        <v/>
      </c>
      <c r="D20" s="94">
        <f>IF('Final Calculation Sheet'!$B$12="","",'Final Calculation Sheet'!$B$12)</f>
        <v/>
      </c>
      <c r="E20" s="94">
        <f>IF('Final Calculation Sheet'!$D$12="","",'Final Calculation Sheet'!$D$12)</f>
        <v/>
      </c>
      <c r="F20" s="94">
        <f>IF('Final Calculation Sheet'!$A$12="","",'Final Calculation Sheet'!$A$12)</f>
        <v/>
      </c>
      <c r="G20" s="94">
        <f>IF('Final Calculation Sheet'!$E$12="","",'Final Calculation Sheet'!$E$12)</f>
        <v/>
      </c>
      <c r="H20" s="95">
        <f>IF('Final Calculation Sheet'!$C$12="","",'Final Calculation Sheet'!$C$12)</f>
        <v/>
      </c>
      <c r="I20" s="95">
        <f>IF('Final Calculation Sheet'!$H$12="","",'Final Calculation Sheet'!$H$12)</f>
        <v/>
      </c>
      <c r="J20" s="95">
        <f>IF('Final Calculation Sheet'!$I$12="","",'Final Calculation Sheet'!$I$12)</f>
        <v/>
      </c>
      <c r="K20" s="95">
        <f>IF('Final Calculation Sheet'!$J$12="","",'Final Calculation Sheet'!$J$12)</f>
        <v/>
      </c>
      <c r="L20" s="95">
        <f>IF('Final Calculation Sheet'!$K$12="","",'Final Calculation Sheet'!$K$12)</f>
        <v/>
      </c>
      <c r="M20" s="95">
        <f>IF('Final Calculation Sheet'!$L$12="","",'Final Calculation Sheet'!$L$12)</f>
        <v/>
      </c>
      <c r="N20" s="95">
        <f>IF('Final Calculation Sheet'!$M$12="","",'Final Calculation Sheet'!$M$12)</f>
        <v/>
      </c>
      <c r="O20" s="96">
        <f>IF('Final Calculation Sheet'!$N$12="","",'Final Calculation Sheet'!$N$12)</f>
        <v/>
      </c>
      <c r="P20" s="95">
        <f>IF('Final Calculation Sheet'!$O$12="","",'Final Calculation Sheet'!$O$12)</f>
        <v/>
      </c>
      <c r="Q20" s="95">
        <f>IF('Final Calculation Sheet'!$P$12="","",'Final Calculation Sheet'!$P$12)</f>
        <v/>
      </c>
      <c r="R20" s="97">
        <f>IF('Final Calculation Sheet'!$Q$12="","",'Final Calculation Sheet'!$Q$12)</f>
        <v/>
      </c>
      <c r="S20" s="95">
        <f>IF('Final Calculation Sheet'!$R$12="","",'Final Calculation Sheet'!$R$12)</f>
        <v/>
      </c>
      <c r="T20" s="95">
        <f>IF('Final Calculation Sheet'!$S$12="","",'Final Calculation Sheet'!$S$12)</f>
        <v/>
      </c>
      <c r="U20" s="95">
        <f>IF('Final Calculation Sheet'!$T$12="","",'Final Calculation Sheet'!$T$12)</f>
        <v/>
      </c>
      <c r="V20" s="98">
        <f>IF('Final Calculation Sheet'!$U$12="","",'Final Calculation Sheet'!$U$12)</f>
        <v/>
      </c>
      <c r="W20" s="95">
        <f>IF('Final Calculation Sheet'!$V$12="","",'Final Calculation Sheet'!$V$12)</f>
        <v/>
      </c>
      <c r="X20" s="95">
        <f>IF('Final Calculation Sheet'!$W$12="","",'Final Calculation Sheet'!$W$12)</f>
        <v/>
      </c>
      <c r="Y20" s="95">
        <f>IF('Final Calculation Sheet'!$X$12="","",'Final Calculation Sheet'!$X$12)</f>
        <v/>
      </c>
      <c r="Z20" s="95">
        <f>IF('Final Calculation Sheet'!$Y$12="","",'Final Calculation Sheet'!$Y$12)</f>
        <v/>
      </c>
      <c r="AA20" s="95">
        <f>IF('Final Calculation Sheet'!$Z$12="","",'Final Calculation Sheet'!$Z$12)</f>
        <v/>
      </c>
      <c r="AB20" s="95">
        <f>IF('Final Calculation Sheet'!$AA$12="","",'Final Calculation Sheet'!$AA$12)</f>
        <v/>
      </c>
      <c r="AC20" s="95">
        <f>IF('Final Calculation Sheet'!$AB$12="","",'Final Calculation Sheet'!$AB$12)</f>
        <v/>
      </c>
      <c r="AD20" s="95">
        <f>IF('Final Calculation Sheet'!$AC$12="","",'Final Calculation Sheet'!$AC$12)</f>
        <v/>
      </c>
      <c r="AE20" s="95">
        <f>IF('Final Calculation Sheet'!$AD$12="","",'Final Calculation Sheet'!$AD$12)</f>
        <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
      </c>
      <c r="AK20">
        <f>IF(AJ20=1,COUNTIF(AJ$6:AJ20,1),"")</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row>
    <row r="21" outlineLevel="1" ht="15" customHeight="1" s="137">
      <c r="A21" s="67" t="n">
        <v>5</v>
      </c>
      <c r="B21" s="76">
        <f>IF('Final Calculation Sheet'!$F$18="","",'Final Calculation Sheet'!$F$18)</f>
        <v/>
      </c>
      <c r="C21" s="76">
        <f>IF('Final Calculation Sheet'!$G$18="","",'Final Calculation Sheet'!$G$18)</f>
        <v/>
      </c>
      <c r="D21" s="80">
        <f>IF('Final Calculation Sheet'!$B$18="","",'Final Calculation Sheet'!$B$18)</f>
        <v/>
      </c>
      <c r="E21" s="80">
        <f>IF('Final Calculation Sheet'!$D$18="","",'Final Calculation Sheet'!$D$18)</f>
        <v/>
      </c>
      <c r="F21" s="80">
        <f>IF('Final Calculation Sheet'!$A$18="","",'Final Calculation Sheet'!$A$18)</f>
        <v/>
      </c>
      <c r="G21" s="80">
        <f>IF('Final Calculation Sheet'!$E$18="","",'Final Calculation Sheet'!$E$18)</f>
        <v/>
      </c>
      <c r="H21" s="70">
        <f>IF('Final Calculation Sheet'!$C$18="","",'Final Calculation Sheet'!$C$18)</f>
        <v/>
      </c>
      <c r="I21" s="70">
        <f>IF('Final Calculation Sheet'!$H$18="","",'Final Calculation Sheet'!$H$18)</f>
        <v/>
      </c>
      <c r="J21" s="70">
        <f>IF('Final Calculation Sheet'!$I$18="","",'Final Calculation Sheet'!$I$18)</f>
        <v/>
      </c>
      <c r="K21" s="70">
        <f>IF('Final Calculation Sheet'!$J$18="","",'Final Calculation Sheet'!$J$18)</f>
        <v/>
      </c>
      <c r="L21" s="70">
        <f>IF('Final Calculation Sheet'!$K$18="","",'Final Calculation Sheet'!$K$18)</f>
        <v/>
      </c>
      <c r="M21" s="70">
        <f>IF('Final Calculation Sheet'!$L$18="","",'Final Calculation Sheet'!$L$18)</f>
        <v/>
      </c>
      <c r="N21" s="70">
        <f>IF('Final Calculation Sheet'!$M$18="","",'Final Calculation Sheet'!$M$18)</f>
        <v/>
      </c>
      <c r="O21" s="71">
        <f>IF('Final Calculation Sheet'!$N$18="","",'Final Calculation Sheet'!$N$18)</f>
        <v/>
      </c>
      <c r="P21" s="70">
        <f>IF('Final Calculation Sheet'!$O$18="","",'Final Calculation Sheet'!$O$18)</f>
        <v/>
      </c>
      <c r="Q21" s="70">
        <f>IF('Final Calculation Sheet'!$P$18="","",'Final Calculation Sheet'!$P$18)</f>
        <v/>
      </c>
      <c r="R21" s="72">
        <f>IF('Final Calculation Sheet'!$Q$18="","",'Final Calculation Sheet'!$Q$18)</f>
        <v/>
      </c>
      <c r="S21" s="70">
        <f>IF('Final Calculation Sheet'!$R$18="","",'Final Calculation Sheet'!$R$18)</f>
        <v/>
      </c>
      <c r="T21" s="70">
        <f>IF('Final Calculation Sheet'!$S$18="","",'Final Calculation Sheet'!$S$18)</f>
        <v/>
      </c>
      <c r="U21" s="70">
        <f>IF('Final Calculation Sheet'!$T$18="","",'Final Calculation Sheet'!$T$18)</f>
        <v/>
      </c>
      <c r="V21" s="73">
        <f>IF('Final Calculation Sheet'!$U$18="","",'Final Calculation Sheet'!$U$18)</f>
        <v/>
      </c>
      <c r="W21" s="70">
        <f>IF('Final Calculation Sheet'!$V$18="","",'Final Calculation Sheet'!$V$18)</f>
        <v/>
      </c>
      <c r="X21" s="70">
        <f>IF('Final Calculation Sheet'!$W$18="","",'Final Calculation Sheet'!$W$18)</f>
        <v/>
      </c>
      <c r="Y21" s="70">
        <f>IF('Final Calculation Sheet'!$X$18="","",'Final Calculation Sheet'!$X$18)</f>
        <v/>
      </c>
      <c r="Z21" s="70">
        <f>IF('Final Calculation Sheet'!$Y$18="","",'Final Calculation Sheet'!$Y$18)</f>
        <v/>
      </c>
      <c r="AA21" s="70">
        <f>IF('Final Calculation Sheet'!$Z$18="","",'Final Calculation Sheet'!$Z$18)</f>
        <v/>
      </c>
      <c r="AB21" s="70">
        <f>IF('Final Calculation Sheet'!$AA$18="","",'Final Calculation Sheet'!$AA$18)</f>
        <v/>
      </c>
      <c r="AC21" s="70">
        <f>IF('Final Calculation Sheet'!$AB$18="","",'Final Calculation Sheet'!$AB$18)</f>
        <v/>
      </c>
      <c r="AD21" s="70">
        <f>IF('Final Calculation Sheet'!$AC$18="","",'Final Calculation Sheet'!$AC$18)</f>
        <v/>
      </c>
      <c r="AE21" s="70">
        <f>IF('Final Calculation Sheet'!$AD$18="","",'Final Calculation Sheet'!$AD$18)</f>
        <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
      </c>
      <c r="AK21">
        <f>IF(AJ21=1,COUNTIF(AJ$6:AJ21,1),"")</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row>
    <row r="22" outlineLevel="1" ht="15" customHeight="1" s="137">
      <c r="A22" s="90" t="n">
        <v>6</v>
      </c>
      <c r="B22" s="92">
        <f>IF('Final Calculation Sheet'!$F$19="","",'Final Calculation Sheet'!$F$19)</f>
        <v/>
      </c>
      <c r="C22" s="92">
        <f>IF('Final Calculation Sheet'!$G$19="","",'Final Calculation Sheet'!$G$19)</f>
        <v/>
      </c>
      <c r="D22" s="94">
        <f>IF('Final Calculation Sheet'!$B$19="","",'Final Calculation Sheet'!$B$19)</f>
        <v/>
      </c>
      <c r="E22" s="94">
        <f>IF('Final Calculation Sheet'!$D$19="","",'Final Calculation Sheet'!$D$19)</f>
        <v/>
      </c>
      <c r="F22" s="94">
        <f>IF('Final Calculation Sheet'!$A$19="","",'Final Calculation Sheet'!$A$19)</f>
        <v/>
      </c>
      <c r="G22" s="94">
        <f>IF('Final Calculation Sheet'!$E$19="","",'Final Calculation Sheet'!$E$19)</f>
        <v/>
      </c>
      <c r="H22" s="95">
        <f>IF('Final Calculation Sheet'!$C$19="","",'Final Calculation Sheet'!$C$19)</f>
        <v/>
      </c>
      <c r="I22" s="95">
        <f>IF('Final Calculation Sheet'!$H$19="","",'Final Calculation Sheet'!$H$19)</f>
        <v/>
      </c>
      <c r="J22" s="95">
        <f>IF('Final Calculation Sheet'!$I$19="","",'Final Calculation Sheet'!$I$19)</f>
        <v/>
      </c>
      <c r="K22" s="95">
        <f>IF('Final Calculation Sheet'!$J$19="","",'Final Calculation Sheet'!$J$19)</f>
        <v/>
      </c>
      <c r="L22" s="95">
        <f>IF('Final Calculation Sheet'!$K$19="","",'Final Calculation Sheet'!$K$19)</f>
        <v/>
      </c>
      <c r="M22" s="95">
        <f>IF('Final Calculation Sheet'!$L$19="","",'Final Calculation Sheet'!$L$19)</f>
        <v/>
      </c>
      <c r="N22" s="95">
        <f>IF('Final Calculation Sheet'!$M$19="","",'Final Calculation Sheet'!$M$19)</f>
        <v/>
      </c>
      <c r="O22" s="96">
        <f>IF('Final Calculation Sheet'!$N$19="","",'Final Calculation Sheet'!$N$19)</f>
        <v/>
      </c>
      <c r="P22" s="95">
        <f>IF('Final Calculation Sheet'!$O$19="","",'Final Calculation Sheet'!$O$19)</f>
        <v/>
      </c>
      <c r="Q22" s="95">
        <f>IF('Final Calculation Sheet'!$P$19="","",'Final Calculation Sheet'!$P$19)</f>
        <v/>
      </c>
      <c r="R22" s="97">
        <f>IF('Final Calculation Sheet'!$Q$19="","",'Final Calculation Sheet'!$Q$19)</f>
        <v/>
      </c>
      <c r="S22" s="95">
        <f>IF('Final Calculation Sheet'!$R$19="","",'Final Calculation Sheet'!$R$19)</f>
        <v/>
      </c>
      <c r="T22" s="95">
        <f>IF('Final Calculation Sheet'!$S$19="","",'Final Calculation Sheet'!$S$19)</f>
        <v/>
      </c>
      <c r="U22" s="95">
        <f>IF('Final Calculation Sheet'!$T$19="","",'Final Calculation Sheet'!$T$19)</f>
        <v/>
      </c>
      <c r="V22" s="98">
        <f>IF('Final Calculation Sheet'!$U$19="","",'Final Calculation Sheet'!$U$19)</f>
        <v/>
      </c>
      <c r="W22" s="95">
        <f>IF('Final Calculation Sheet'!$V$19="","",'Final Calculation Sheet'!$V$19)</f>
        <v/>
      </c>
      <c r="X22" s="95">
        <f>IF('Final Calculation Sheet'!$W$19="","",'Final Calculation Sheet'!$W$19)</f>
        <v/>
      </c>
      <c r="Y22" s="95">
        <f>IF('Final Calculation Sheet'!$X$19="","",'Final Calculation Sheet'!$X$19)</f>
        <v/>
      </c>
      <c r="Z22" s="95">
        <f>IF('Final Calculation Sheet'!$Y$19="","",'Final Calculation Sheet'!$Y$19)</f>
        <v/>
      </c>
      <c r="AA22" s="95">
        <f>IF('Final Calculation Sheet'!$Z$19="","",'Final Calculation Sheet'!$Z$19)</f>
        <v/>
      </c>
      <c r="AB22" s="95">
        <f>IF('Final Calculation Sheet'!$AA$19="","",'Final Calculation Sheet'!$AA$19)</f>
        <v/>
      </c>
      <c r="AC22" s="95">
        <f>IF('Final Calculation Sheet'!$AB$19="","",'Final Calculation Sheet'!$AB$19)</f>
        <v/>
      </c>
      <c r="AD22" s="95">
        <f>IF('Final Calculation Sheet'!$AC$19="","",'Final Calculation Sheet'!$AC$19)</f>
        <v/>
      </c>
      <c r="AE22" s="95">
        <f>IF('Final Calculation Sheet'!$AD$19="","",'Final Calculation Sheet'!$AD$19)</f>
        <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
      </c>
      <c r="AK22">
        <f>IF(AJ22=1,COUNTIF(AJ$6:AJ22,1),"")</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row>
    <row r="23" outlineLevel="1" ht="15" customHeight="1" s="137">
      <c r="A23" s="67" t="n">
        <v>7</v>
      </c>
      <c r="B23" s="76">
        <f>IF('Final Calculation Sheet'!$F$22="","",'Final Calculation Sheet'!$F$22)</f>
        <v/>
      </c>
      <c r="C23" s="76">
        <f>IF('Final Calculation Sheet'!$G$22="","",'Final Calculation Sheet'!$G$22)</f>
        <v/>
      </c>
      <c r="D23" s="80">
        <f>IF('Final Calculation Sheet'!$B$22="","",'Final Calculation Sheet'!$B$22)</f>
        <v/>
      </c>
      <c r="E23" s="80">
        <f>IF('Final Calculation Sheet'!$D$22="","",'Final Calculation Sheet'!$D$22)</f>
        <v/>
      </c>
      <c r="F23" s="80">
        <f>IF('Final Calculation Sheet'!$A$22="","",'Final Calculation Sheet'!$A$22)</f>
        <v/>
      </c>
      <c r="G23" s="80">
        <f>IF('Final Calculation Sheet'!$E$22="","",'Final Calculation Sheet'!$E$22)</f>
        <v/>
      </c>
      <c r="H23" s="70">
        <f>IF('Final Calculation Sheet'!$C$22="","",'Final Calculation Sheet'!$C$22)</f>
        <v/>
      </c>
      <c r="I23" s="70">
        <f>IF('Final Calculation Sheet'!$H$22="","",'Final Calculation Sheet'!$H$22)</f>
        <v/>
      </c>
      <c r="J23" s="70">
        <f>IF('Final Calculation Sheet'!$I$22="","",'Final Calculation Sheet'!$I$22)</f>
        <v/>
      </c>
      <c r="K23" s="70">
        <f>IF('Final Calculation Sheet'!$J$22="","",'Final Calculation Sheet'!$J$22)</f>
        <v/>
      </c>
      <c r="L23" s="70">
        <f>IF('Final Calculation Sheet'!$K$22="","",'Final Calculation Sheet'!$K$22)</f>
        <v/>
      </c>
      <c r="M23" s="70">
        <f>IF('Final Calculation Sheet'!$L$22="","",'Final Calculation Sheet'!$L$22)</f>
        <v/>
      </c>
      <c r="N23" s="70">
        <f>IF('Final Calculation Sheet'!$M$22="","",'Final Calculation Sheet'!$M$22)</f>
        <v/>
      </c>
      <c r="O23" s="71">
        <f>IF('Final Calculation Sheet'!$N$22="","",'Final Calculation Sheet'!$N$22)</f>
        <v/>
      </c>
      <c r="P23" s="70">
        <f>IF('Final Calculation Sheet'!$O$22="","",'Final Calculation Sheet'!$O$22)</f>
        <v/>
      </c>
      <c r="Q23" s="70">
        <f>IF('Final Calculation Sheet'!$P$22="","",'Final Calculation Sheet'!$P$22)</f>
        <v/>
      </c>
      <c r="R23" s="72">
        <f>IF('Final Calculation Sheet'!$Q$22="","",'Final Calculation Sheet'!$Q$22)</f>
        <v/>
      </c>
      <c r="S23" s="70">
        <f>IF('Final Calculation Sheet'!$R$22="","",'Final Calculation Sheet'!$R$22)</f>
        <v/>
      </c>
      <c r="T23" s="70">
        <f>IF('Final Calculation Sheet'!$S$22="","",'Final Calculation Sheet'!$S$22)</f>
        <v/>
      </c>
      <c r="U23" s="70">
        <f>IF('Final Calculation Sheet'!$T$22="","",'Final Calculation Sheet'!$T$22)</f>
        <v/>
      </c>
      <c r="V23" s="73">
        <f>IF('Final Calculation Sheet'!$U$22="","",'Final Calculation Sheet'!$U$22)</f>
        <v/>
      </c>
      <c r="W23" s="70">
        <f>IF('Final Calculation Sheet'!$V$22="","",'Final Calculation Sheet'!$V$22)</f>
        <v/>
      </c>
      <c r="X23" s="70">
        <f>IF('Final Calculation Sheet'!$W$22="","",'Final Calculation Sheet'!$W$22)</f>
        <v/>
      </c>
      <c r="Y23" s="70">
        <f>IF('Final Calculation Sheet'!$X$22="","",'Final Calculation Sheet'!$X$22)</f>
        <v/>
      </c>
      <c r="Z23" s="70">
        <f>IF('Final Calculation Sheet'!$Y$22="","",'Final Calculation Sheet'!$Y$22)</f>
        <v/>
      </c>
      <c r="AA23" s="70">
        <f>IF('Final Calculation Sheet'!$Z$22="","",'Final Calculation Sheet'!$Z$22)</f>
        <v/>
      </c>
      <c r="AB23" s="70">
        <f>IF('Final Calculation Sheet'!$AA$22="","",'Final Calculation Sheet'!$AA$22)</f>
        <v/>
      </c>
      <c r="AC23" s="70">
        <f>IF('Final Calculation Sheet'!$AB$22="","",'Final Calculation Sheet'!$AB$22)</f>
        <v/>
      </c>
      <c r="AD23" s="70">
        <f>IF('Final Calculation Sheet'!$AC$22="","",'Final Calculation Sheet'!$AC$22)</f>
        <v/>
      </c>
      <c r="AE23" s="70">
        <f>IF('Final Calculation Sheet'!$AD$22="","",'Final Calculation Sheet'!$AD$22)</f>
        <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
      </c>
      <c r="AK23">
        <f>IF(AJ23=1,COUNTIF(AJ$6:AJ23,1),"")</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row>
    <row r="24" outlineLevel="1" ht="15" customHeight="1" s="137">
      <c r="A24" s="90" t="n">
        <v>8</v>
      </c>
      <c r="B24" s="92">
        <f>IF('Final Calculation Sheet'!$F$24="","",'Final Calculation Sheet'!$F$24)</f>
        <v/>
      </c>
      <c r="C24" s="92">
        <f>IF('Final Calculation Sheet'!$G$24="","",'Final Calculation Sheet'!$G$24)</f>
        <v/>
      </c>
      <c r="D24" s="94">
        <f>IF('Final Calculation Sheet'!$B$24="","",'Final Calculation Sheet'!$B$24)</f>
        <v/>
      </c>
      <c r="E24" s="94">
        <f>IF('Final Calculation Sheet'!$D$24="","",'Final Calculation Sheet'!$D$24)</f>
        <v/>
      </c>
      <c r="F24" s="94">
        <f>IF('Final Calculation Sheet'!$A$24="","",'Final Calculation Sheet'!$A$24)</f>
        <v/>
      </c>
      <c r="G24" s="94">
        <f>IF('Final Calculation Sheet'!$E$24="","",'Final Calculation Sheet'!$E$24)</f>
        <v/>
      </c>
      <c r="H24" s="95">
        <f>IF('Final Calculation Sheet'!$C$24="","",'Final Calculation Sheet'!$C$24)</f>
        <v/>
      </c>
      <c r="I24" s="95">
        <f>IF('Final Calculation Sheet'!$H$24="","",'Final Calculation Sheet'!$H$24)</f>
        <v/>
      </c>
      <c r="J24" s="95">
        <f>IF('Final Calculation Sheet'!$I$24="","",'Final Calculation Sheet'!$I$24)</f>
        <v/>
      </c>
      <c r="K24" s="95">
        <f>IF('Final Calculation Sheet'!$J$24="","",'Final Calculation Sheet'!$J$24)</f>
        <v/>
      </c>
      <c r="L24" s="95">
        <f>IF('Final Calculation Sheet'!$K$24="","",'Final Calculation Sheet'!$K$24)</f>
        <v/>
      </c>
      <c r="M24" s="95">
        <f>IF('Final Calculation Sheet'!$L$24="","",'Final Calculation Sheet'!$L$24)</f>
        <v/>
      </c>
      <c r="N24" s="95">
        <f>IF('Final Calculation Sheet'!$M$24="","",'Final Calculation Sheet'!$M$24)</f>
        <v/>
      </c>
      <c r="O24" s="96">
        <f>IF('Final Calculation Sheet'!$N$24="","",'Final Calculation Sheet'!$N$24)</f>
        <v/>
      </c>
      <c r="P24" s="95">
        <f>IF('Final Calculation Sheet'!$O$24="","",'Final Calculation Sheet'!$O$24)</f>
        <v/>
      </c>
      <c r="Q24" s="95">
        <f>IF('Final Calculation Sheet'!$P$24="","",'Final Calculation Sheet'!$P$24)</f>
        <v/>
      </c>
      <c r="R24" s="97">
        <f>IF('Final Calculation Sheet'!$Q$24="","",'Final Calculation Sheet'!$Q$24)</f>
        <v/>
      </c>
      <c r="S24" s="95">
        <f>IF('Final Calculation Sheet'!$R$24="","",'Final Calculation Sheet'!$R$24)</f>
        <v/>
      </c>
      <c r="T24" s="95">
        <f>IF('Final Calculation Sheet'!$S$24="","",'Final Calculation Sheet'!$S$24)</f>
        <v/>
      </c>
      <c r="U24" s="95">
        <f>IF('Final Calculation Sheet'!$T$24="","",'Final Calculation Sheet'!$T$24)</f>
        <v/>
      </c>
      <c r="V24" s="98">
        <f>IF('Final Calculation Sheet'!$U$24="","",'Final Calculation Sheet'!$U$24)</f>
        <v/>
      </c>
      <c r="W24" s="95">
        <f>IF('Final Calculation Sheet'!$V$24="","",'Final Calculation Sheet'!$V$24)</f>
        <v/>
      </c>
      <c r="X24" s="95">
        <f>IF('Final Calculation Sheet'!$W$24="","",'Final Calculation Sheet'!$W$24)</f>
        <v/>
      </c>
      <c r="Y24" s="95">
        <f>IF('Final Calculation Sheet'!$X$24="","",'Final Calculation Sheet'!$X$24)</f>
        <v/>
      </c>
      <c r="Z24" s="95">
        <f>IF('Final Calculation Sheet'!$Y$24="","",'Final Calculation Sheet'!$Y$24)</f>
        <v/>
      </c>
      <c r="AA24" s="95">
        <f>IF('Final Calculation Sheet'!$Z$24="","",'Final Calculation Sheet'!$Z$24)</f>
        <v/>
      </c>
      <c r="AB24" s="95">
        <f>IF('Final Calculation Sheet'!$AA$24="","",'Final Calculation Sheet'!$AA$24)</f>
        <v/>
      </c>
      <c r="AC24" s="95">
        <f>IF('Final Calculation Sheet'!$AB$24="","",'Final Calculation Sheet'!$AB$24)</f>
        <v/>
      </c>
      <c r="AD24" s="95">
        <f>IF('Final Calculation Sheet'!$AC$24="","",'Final Calculation Sheet'!$AC$24)</f>
        <v/>
      </c>
      <c r="AE24" s="95">
        <f>IF('Final Calculation Sheet'!$AD$24="","",'Final Calculation Sheet'!$AD$24)</f>
        <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
      </c>
      <c r="AK24">
        <f>IF(AJ24=1,COUNTIF(AJ$6:AJ24,1),"")</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row>
    <row r="25" outlineLevel="1" ht="15" customHeight="1" s="137">
      <c r="A25" s="67" t="n">
        <v>9</v>
      </c>
      <c r="B25" s="76">
        <f>IF('Final Calculation Sheet'!$F$26="","",'Final Calculation Sheet'!$F$26)</f>
        <v/>
      </c>
      <c r="C25" s="76">
        <f>IF('Final Calculation Sheet'!$G$26="","",'Final Calculation Sheet'!$G$26)</f>
        <v/>
      </c>
      <c r="D25" s="80">
        <f>IF('Final Calculation Sheet'!$B$26="","",'Final Calculation Sheet'!$B$26)</f>
        <v/>
      </c>
      <c r="E25" s="80">
        <f>IF('Final Calculation Sheet'!$D$26="","",'Final Calculation Sheet'!$D$26)</f>
        <v/>
      </c>
      <c r="F25" s="80">
        <f>IF('Final Calculation Sheet'!$A$26="","",'Final Calculation Sheet'!$A$26)</f>
        <v/>
      </c>
      <c r="G25" s="80">
        <f>IF('Final Calculation Sheet'!$E$26="","",'Final Calculation Sheet'!$E$26)</f>
        <v/>
      </c>
      <c r="H25" s="70">
        <f>IF('Final Calculation Sheet'!$C$26="","",'Final Calculation Sheet'!$C$26)</f>
        <v/>
      </c>
      <c r="I25" s="70">
        <f>IF('Final Calculation Sheet'!$H$26="","",'Final Calculation Sheet'!$H$26)</f>
        <v/>
      </c>
      <c r="J25" s="70">
        <f>IF('Final Calculation Sheet'!$I$26="","",'Final Calculation Sheet'!$I$26)</f>
        <v/>
      </c>
      <c r="K25" s="70">
        <f>IF('Final Calculation Sheet'!$J$26="","",'Final Calculation Sheet'!$J$26)</f>
        <v/>
      </c>
      <c r="L25" s="70">
        <f>IF('Final Calculation Sheet'!$K$26="","",'Final Calculation Sheet'!$K$26)</f>
        <v/>
      </c>
      <c r="M25" s="70">
        <f>IF('Final Calculation Sheet'!$L$26="","",'Final Calculation Sheet'!$L$26)</f>
        <v/>
      </c>
      <c r="N25" s="70">
        <f>IF('Final Calculation Sheet'!$M$26="","",'Final Calculation Sheet'!$M$26)</f>
        <v/>
      </c>
      <c r="O25" s="71">
        <f>IF('Final Calculation Sheet'!$N$26="","",'Final Calculation Sheet'!$N$26)</f>
        <v/>
      </c>
      <c r="P25" s="70">
        <f>IF('Final Calculation Sheet'!$O$26="","",'Final Calculation Sheet'!$O$26)</f>
        <v/>
      </c>
      <c r="Q25" s="70">
        <f>IF('Final Calculation Sheet'!$P$26="","",'Final Calculation Sheet'!$P$26)</f>
        <v/>
      </c>
      <c r="R25" s="72">
        <f>IF('Final Calculation Sheet'!$Q$26="","",'Final Calculation Sheet'!$Q$26)</f>
        <v/>
      </c>
      <c r="S25" s="70">
        <f>IF('Final Calculation Sheet'!$R$26="","",'Final Calculation Sheet'!$R$26)</f>
        <v/>
      </c>
      <c r="T25" s="70">
        <f>IF('Final Calculation Sheet'!$S$26="","",'Final Calculation Sheet'!$S$26)</f>
        <v/>
      </c>
      <c r="U25" s="70">
        <f>IF('Final Calculation Sheet'!$T$26="","",'Final Calculation Sheet'!$T$26)</f>
        <v/>
      </c>
      <c r="V25" s="73">
        <f>IF('Final Calculation Sheet'!$U$26="","",'Final Calculation Sheet'!$U$26)</f>
        <v/>
      </c>
      <c r="W25" s="70">
        <f>IF('Final Calculation Sheet'!$V$26="","",'Final Calculation Sheet'!$V$26)</f>
        <v/>
      </c>
      <c r="X25" s="70">
        <f>IF('Final Calculation Sheet'!$W$26="","",'Final Calculation Sheet'!$W$26)</f>
        <v/>
      </c>
      <c r="Y25" s="70">
        <f>IF('Final Calculation Sheet'!$X$26="","",'Final Calculation Sheet'!$X$26)</f>
        <v/>
      </c>
      <c r="Z25" s="70">
        <f>IF('Final Calculation Sheet'!$Y$26="","",'Final Calculation Sheet'!$Y$26)</f>
        <v/>
      </c>
      <c r="AA25" s="70">
        <f>IF('Final Calculation Sheet'!$Z$26="","",'Final Calculation Sheet'!$Z$26)</f>
        <v/>
      </c>
      <c r="AB25" s="70">
        <f>IF('Final Calculation Sheet'!$AA$26="","",'Final Calculation Sheet'!$AA$26)</f>
        <v/>
      </c>
      <c r="AC25" s="70">
        <f>IF('Final Calculation Sheet'!$AB$26="","",'Final Calculation Sheet'!$AB$26)</f>
        <v/>
      </c>
      <c r="AD25" s="70">
        <f>IF('Final Calculation Sheet'!$AC$26="","",'Final Calculation Sheet'!$AC$26)</f>
        <v/>
      </c>
      <c r="AE25" s="70">
        <f>IF('Final Calculation Sheet'!$AD$26="","",'Final Calculation Sheet'!$AD$26)</f>
        <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
      </c>
      <c r="AK25">
        <f>IF(AJ25=1,COUNTIF(AJ$6:AJ25,1),"")</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row>
    <row r="26" outlineLevel="1" ht="15" customHeight="1" s="137">
      <c r="A26" s="90" t="n">
        <v>10</v>
      </c>
      <c r="B26" s="92">
        <f>IF('Final Calculation Sheet'!$F$30="","",'Final Calculation Sheet'!$F$30)</f>
        <v/>
      </c>
      <c r="C26" s="92">
        <f>IF('Final Calculation Sheet'!$G$30="","",'Final Calculation Sheet'!$G$30)</f>
        <v/>
      </c>
      <c r="D26" s="94">
        <f>IF('Final Calculation Sheet'!$B$30="","",'Final Calculation Sheet'!$B$30)</f>
        <v/>
      </c>
      <c r="E26" s="94">
        <f>IF('Final Calculation Sheet'!$D$30="","",'Final Calculation Sheet'!$D$30)</f>
        <v/>
      </c>
      <c r="F26" s="94">
        <f>IF('Final Calculation Sheet'!$A$30="","",'Final Calculation Sheet'!$A$30)</f>
        <v/>
      </c>
      <c r="G26" s="94">
        <f>IF('Final Calculation Sheet'!$E$30="","",'Final Calculation Sheet'!$E$30)</f>
        <v/>
      </c>
      <c r="H26" s="95">
        <f>IF('Final Calculation Sheet'!$C$30="","",'Final Calculation Sheet'!$C$30)</f>
        <v/>
      </c>
      <c r="I26" s="95">
        <f>IF('Final Calculation Sheet'!$H$30="","",'Final Calculation Sheet'!$H$30)</f>
        <v/>
      </c>
      <c r="J26" s="95">
        <f>IF('Final Calculation Sheet'!$I$30="","",'Final Calculation Sheet'!$I$30)</f>
        <v/>
      </c>
      <c r="K26" s="95">
        <f>IF('Final Calculation Sheet'!$J$30="","",'Final Calculation Sheet'!$J$30)</f>
        <v/>
      </c>
      <c r="L26" s="95">
        <f>IF('Final Calculation Sheet'!$K$30="","",'Final Calculation Sheet'!$K$30)</f>
        <v/>
      </c>
      <c r="M26" s="95">
        <f>IF('Final Calculation Sheet'!$L$30="","",'Final Calculation Sheet'!$L$30)</f>
        <v/>
      </c>
      <c r="N26" s="95">
        <f>IF('Final Calculation Sheet'!$M$30="","",'Final Calculation Sheet'!$M$30)</f>
        <v/>
      </c>
      <c r="O26" s="96">
        <f>IF('Final Calculation Sheet'!$N$30="","",'Final Calculation Sheet'!$N$30)</f>
        <v/>
      </c>
      <c r="P26" s="95">
        <f>IF('Final Calculation Sheet'!$O$30="","",'Final Calculation Sheet'!$O$30)</f>
        <v/>
      </c>
      <c r="Q26" s="95">
        <f>IF('Final Calculation Sheet'!$P$30="","",'Final Calculation Sheet'!$P$30)</f>
        <v/>
      </c>
      <c r="R26" s="97">
        <f>IF('Final Calculation Sheet'!$Q$30="","",'Final Calculation Sheet'!$Q$30)</f>
        <v/>
      </c>
      <c r="S26" s="95">
        <f>IF('Final Calculation Sheet'!$R$30="","",'Final Calculation Sheet'!$R$30)</f>
        <v/>
      </c>
      <c r="T26" s="95">
        <f>IF('Final Calculation Sheet'!$S$30="","",'Final Calculation Sheet'!$S$30)</f>
        <v/>
      </c>
      <c r="U26" s="95">
        <f>IF('Final Calculation Sheet'!$T$30="","",'Final Calculation Sheet'!$T$30)</f>
        <v/>
      </c>
      <c r="V26" s="98">
        <f>IF('Final Calculation Sheet'!$U$30="","",'Final Calculation Sheet'!$U$30)</f>
        <v/>
      </c>
      <c r="W26" s="95">
        <f>IF('Final Calculation Sheet'!$V$30="","",'Final Calculation Sheet'!$V$30)</f>
        <v/>
      </c>
      <c r="X26" s="95">
        <f>IF('Final Calculation Sheet'!$W$30="","",'Final Calculation Sheet'!$W$30)</f>
        <v/>
      </c>
      <c r="Y26" s="95">
        <f>IF('Final Calculation Sheet'!$X$30="","",'Final Calculation Sheet'!$X$30)</f>
        <v/>
      </c>
      <c r="Z26" s="95">
        <f>IF('Final Calculation Sheet'!$Y$30="","",'Final Calculation Sheet'!$Y$30)</f>
        <v/>
      </c>
      <c r="AA26" s="95">
        <f>IF('Final Calculation Sheet'!$Z$30="","",'Final Calculation Sheet'!$Z$30)</f>
        <v/>
      </c>
      <c r="AB26" s="95">
        <f>IF('Final Calculation Sheet'!$AA$30="","",'Final Calculation Sheet'!$AA$30)</f>
        <v/>
      </c>
      <c r="AC26" s="95">
        <f>IF('Final Calculation Sheet'!$AB$30="","",'Final Calculation Sheet'!$AB$30)</f>
        <v/>
      </c>
      <c r="AD26" s="95">
        <f>IF('Final Calculation Sheet'!$AC$30="","",'Final Calculation Sheet'!$AC$30)</f>
        <v/>
      </c>
      <c r="AE26" s="95">
        <f>IF('Final Calculation Sheet'!$AD$30="","",'Final Calculation Sheet'!$AD$30)</f>
        <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
      </c>
      <c r="AK26">
        <f>IF(AJ26=1,COUNTIF(AJ$6:AJ26,1),"")</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row>
    <row r="27" outlineLevel="1" ht="15" customHeight="1" s="137">
      <c r="A27" s="67" t="n">
        <v>11</v>
      </c>
      <c r="B27" s="76">
        <f>IF('Final Calculation Sheet'!$F$32="","",'Final Calculation Sheet'!$F$32)</f>
        <v/>
      </c>
      <c r="C27" s="76">
        <f>IF('Final Calculation Sheet'!$G$32="","",'Final Calculation Sheet'!$G$32)</f>
        <v/>
      </c>
      <c r="D27" s="80">
        <f>IF('Final Calculation Sheet'!$B$32="","",'Final Calculation Sheet'!$B$32)</f>
        <v/>
      </c>
      <c r="E27" s="80">
        <f>IF('Final Calculation Sheet'!$D$32="","",'Final Calculation Sheet'!$D$32)</f>
        <v/>
      </c>
      <c r="F27" s="80">
        <f>IF('Final Calculation Sheet'!$A$32="","",'Final Calculation Sheet'!$A$32)</f>
        <v/>
      </c>
      <c r="G27" s="80">
        <f>IF('Final Calculation Sheet'!$E$32="","",'Final Calculation Sheet'!$E$32)</f>
        <v/>
      </c>
      <c r="H27" s="70">
        <f>IF('Final Calculation Sheet'!$C$32="","",'Final Calculation Sheet'!$C$32)</f>
        <v/>
      </c>
      <c r="I27" s="70">
        <f>IF('Final Calculation Sheet'!$H$32="","",'Final Calculation Sheet'!$H$32)</f>
        <v/>
      </c>
      <c r="J27" s="70">
        <f>IF('Final Calculation Sheet'!$I$32="","",'Final Calculation Sheet'!$I$32)</f>
        <v/>
      </c>
      <c r="K27" s="70">
        <f>IF('Final Calculation Sheet'!$J$32="","",'Final Calculation Sheet'!$J$32)</f>
        <v/>
      </c>
      <c r="L27" s="70">
        <f>IF('Final Calculation Sheet'!$K$32="","",'Final Calculation Sheet'!$K$32)</f>
        <v/>
      </c>
      <c r="M27" s="70">
        <f>IF('Final Calculation Sheet'!$L$32="","",'Final Calculation Sheet'!$L$32)</f>
        <v/>
      </c>
      <c r="N27" s="70">
        <f>IF('Final Calculation Sheet'!$M$32="","",'Final Calculation Sheet'!$M$32)</f>
        <v/>
      </c>
      <c r="O27" s="71">
        <f>IF('Final Calculation Sheet'!$N$32="","",'Final Calculation Sheet'!$N$32)</f>
        <v/>
      </c>
      <c r="P27" s="70">
        <f>IF('Final Calculation Sheet'!$O$32="","",'Final Calculation Sheet'!$O$32)</f>
        <v/>
      </c>
      <c r="Q27" s="70">
        <f>IF('Final Calculation Sheet'!$P$32="","",'Final Calculation Sheet'!$P$32)</f>
        <v/>
      </c>
      <c r="R27" s="72">
        <f>IF('Final Calculation Sheet'!$Q$32="","",'Final Calculation Sheet'!$Q$32)</f>
        <v/>
      </c>
      <c r="S27" s="70">
        <f>IF('Final Calculation Sheet'!$R$32="","",'Final Calculation Sheet'!$R$32)</f>
        <v/>
      </c>
      <c r="T27" s="70">
        <f>IF('Final Calculation Sheet'!$S$32="","",'Final Calculation Sheet'!$S$32)</f>
        <v/>
      </c>
      <c r="U27" s="70">
        <f>IF('Final Calculation Sheet'!$T$32="","",'Final Calculation Sheet'!$T$32)</f>
        <v/>
      </c>
      <c r="V27" s="73">
        <f>IF('Final Calculation Sheet'!$U$32="","",'Final Calculation Sheet'!$U$32)</f>
        <v/>
      </c>
      <c r="W27" s="70">
        <f>IF('Final Calculation Sheet'!$V$32="","",'Final Calculation Sheet'!$V$32)</f>
        <v/>
      </c>
      <c r="X27" s="70">
        <f>IF('Final Calculation Sheet'!$W$32="","",'Final Calculation Sheet'!$W$32)</f>
        <v/>
      </c>
      <c r="Y27" s="70">
        <f>IF('Final Calculation Sheet'!$X$32="","",'Final Calculation Sheet'!$X$32)</f>
        <v/>
      </c>
      <c r="Z27" s="70">
        <f>IF('Final Calculation Sheet'!$Y$32="","",'Final Calculation Sheet'!$Y$32)</f>
        <v/>
      </c>
      <c r="AA27" s="70">
        <f>IF('Final Calculation Sheet'!$Z$32="","",'Final Calculation Sheet'!$Z$32)</f>
        <v/>
      </c>
      <c r="AB27" s="70">
        <f>IF('Final Calculation Sheet'!$AA$32="","",'Final Calculation Sheet'!$AA$32)</f>
        <v/>
      </c>
      <c r="AC27" s="70">
        <f>IF('Final Calculation Sheet'!$AB$32="","",'Final Calculation Sheet'!$AB$32)</f>
        <v/>
      </c>
      <c r="AD27" s="70">
        <f>IF('Final Calculation Sheet'!$AC$32="","",'Final Calculation Sheet'!$AC$32)</f>
        <v/>
      </c>
      <c r="AE27" s="70">
        <f>IF('Final Calculation Sheet'!$AD$32="","",'Final Calculation Sheet'!$AD$32)</f>
        <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
      </c>
      <c r="AK27">
        <f>IF(AJ27=1,COUNTIF(AJ$6:AJ27,1),"")</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row>
    <row r="28" outlineLevel="1" ht="15" customHeight="1" s="137">
      <c r="A28" s="90" t="n">
        <v>12</v>
      </c>
      <c r="B28" s="92">
        <f>IF('Final Calculation Sheet'!$F$33="","",'Final Calculation Sheet'!$F$33)</f>
        <v/>
      </c>
      <c r="C28" s="92">
        <f>IF('Final Calculation Sheet'!$G$33="","",'Final Calculation Sheet'!$G$33)</f>
        <v/>
      </c>
      <c r="D28" s="94">
        <f>IF('Final Calculation Sheet'!$B$33="","",'Final Calculation Sheet'!$B$33)</f>
        <v/>
      </c>
      <c r="E28" s="94">
        <f>IF('Final Calculation Sheet'!$D$33="","",'Final Calculation Sheet'!$D$33)</f>
        <v/>
      </c>
      <c r="F28" s="94">
        <f>IF('Final Calculation Sheet'!$A$33="","",'Final Calculation Sheet'!$A$33)</f>
        <v/>
      </c>
      <c r="G28" s="94">
        <f>IF('Final Calculation Sheet'!$E$33="","",'Final Calculation Sheet'!$E$33)</f>
        <v/>
      </c>
      <c r="H28" s="95">
        <f>IF('Final Calculation Sheet'!$C$33="","",'Final Calculation Sheet'!$C$33)</f>
        <v/>
      </c>
      <c r="I28" s="95">
        <f>IF('Final Calculation Sheet'!$H$33="","",'Final Calculation Sheet'!$H$33)</f>
        <v/>
      </c>
      <c r="J28" s="95">
        <f>IF('Final Calculation Sheet'!$I$33="","",'Final Calculation Sheet'!$I$33)</f>
        <v/>
      </c>
      <c r="K28" s="95">
        <f>IF('Final Calculation Sheet'!$J$33="","",'Final Calculation Sheet'!$J$33)</f>
        <v/>
      </c>
      <c r="L28" s="95">
        <f>IF('Final Calculation Sheet'!$K$33="","",'Final Calculation Sheet'!$K$33)</f>
        <v/>
      </c>
      <c r="M28" s="95">
        <f>IF('Final Calculation Sheet'!$L$33="","",'Final Calculation Sheet'!$L$33)</f>
        <v/>
      </c>
      <c r="N28" s="95">
        <f>IF('Final Calculation Sheet'!$M$33="","",'Final Calculation Sheet'!$M$33)</f>
        <v/>
      </c>
      <c r="O28" s="96">
        <f>IF('Final Calculation Sheet'!$N$33="","",'Final Calculation Sheet'!$N$33)</f>
        <v/>
      </c>
      <c r="P28" s="95">
        <f>IF('Final Calculation Sheet'!$O$33="","",'Final Calculation Sheet'!$O$33)</f>
        <v/>
      </c>
      <c r="Q28" s="95">
        <f>IF('Final Calculation Sheet'!$P$33="","",'Final Calculation Sheet'!$P$33)</f>
        <v/>
      </c>
      <c r="R28" s="97">
        <f>IF('Final Calculation Sheet'!$Q$33="","",'Final Calculation Sheet'!$Q$33)</f>
        <v/>
      </c>
      <c r="S28" s="95">
        <f>IF('Final Calculation Sheet'!$R$33="","",'Final Calculation Sheet'!$R$33)</f>
        <v/>
      </c>
      <c r="T28" s="95">
        <f>IF('Final Calculation Sheet'!$S$33="","",'Final Calculation Sheet'!$S$33)</f>
        <v/>
      </c>
      <c r="U28" s="95">
        <f>IF('Final Calculation Sheet'!$T$33="","",'Final Calculation Sheet'!$T$33)</f>
        <v/>
      </c>
      <c r="V28" s="98">
        <f>IF('Final Calculation Sheet'!$U$33="","",'Final Calculation Sheet'!$U$33)</f>
        <v/>
      </c>
      <c r="W28" s="95">
        <f>IF('Final Calculation Sheet'!$V$33="","",'Final Calculation Sheet'!$V$33)</f>
        <v/>
      </c>
      <c r="X28" s="95">
        <f>IF('Final Calculation Sheet'!$W$33="","",'Final Calculation Sheet'!$W$33)</f>
        <v/>
      </c>
      <c r="Y28" s="95">
        <f>IF('Final Calculation Sheet'!$X$33="","",'Final Calculation Sheet'!$X$33)</f>
        <v/>
      </c>
      <c r="Z28" s="95">
        <f>IF('Final Calculation Sheet'!$Y$33="","",'Final Calculation Sheet'!$Y$33)</f>
        <v/>
      </c>
      <c r="AA28" s="95">
        <f>IF('Final Calculation Sheet'!$Z$33="","",'Final Calculation Sheet'!$Z$33)</f>
        <v/>
      </c>
      <c r="AB28" s="95">
        <f>IF('Final Calculation Sheet'!$AA$33="","",'Final Calculation Sheet'!$AA$33)</f>
        <v/>
      </c>
      <c r="AC28" s="95">
        <f>IF('Final Calculation Sheet'!$AB$33="","",'Final Calculation Sheet'!$AB$33)</f>
        <v/>
      </c>
      <c r="AD28" s="95">
        <f>IF('Final Calculation Sheet'!$AC$33="","",'Final Calculation Sheet'!$AC$33)</f>
        <v/>
      </c>
      <c r="AE28" s="95">
        <f>IF('Final Calculation Sheet'!$AD$33="","",'Final Calculation Sheet'!$AD$33)</f>
        <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
      </c>
      <c r="AK28">
        <f>IF(AJ28=1,COUNTIF(AJ$6:AJ28,1),"")</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row>
    <row r="29" outlineLevel="1" ht="15" customHeight="1" s="137">
      <c r="A29" s="67" t="n">
        <v>13</v>
      </c>
      <c r="B29" s="76">
        <f>IF('Final Calculation Sheet'!$F$37="","",'Final Calculation Sheet'!$F$37)</f>
        <v/>
      </c>
      <c r="C29" s="76">
        <f>IF('Final Calculation Sheet'!$G$37="","",'Final Calculation Sheet'!$G$37)</f>
        <v/>
      </c>
      <c r="D29" s="80">
        <f>IF('Final Calculation Sheet'!$B$37="","",'Final Calculation Sheet'!$B$37)</f>
        <v/>
      </c>
      <c r="E29" s="80">
        <f>IF('Final Calculation Sheet'!$D$37="","",'Final Calculation Sheet'!$D$37)</f>
        <v/>
      </c>
      <c r="F29" s="80">
        <f>IF('Final Calculation Sheet'!$A$37="","",'Final Calculation Sheet'!$A$37)</f>
        <v/>
      </c>
      <c r="G29" s="80">
        <f>IF('Final Calculation Sheet'!$E$37="","",'Final Calculation Sheet'!$E$37)</f>
        <v/>
      </c>
      <c r="H29" s="70">
        <f>IF('Final Calculation Sheet'!$C$37="","",'Final Calculation Sheet'!$C$37)</f>
        <v/>
      </c>
      <c r="I29" s="70">
        <f>IF('Final Calculation Sheet'!$H$37="","",'Final Calculation Sheet'!$H$37)</f>
        <v/>
      </c>
      <c r="J29" s="70">
        <f>IF('Final Calculation Sheet'!$I$37="","",'Final Calculation Sheet'!$I$37)</f>
        <v/>
      </c>
      <c r="K29" s="70">
        <f>IF('Final Calculation Sheet'!$J$37="","",'Final Calculation Sheet'!$J$37)</f>
        <v/>
      </c>
      <c r="L29" s="70">
        <f>IF('Final Calculation Sheet'!$K$37="","",'Final Calculation Sheet'!$K$37)</f>
        <v/>
      </c>
      <c r="M29" s="70">
        <f>IF('Final Calculation Sheet'!$L$37="","",'Final Calculation Sheet'!$L$37)</f>
        <v/>
      </c>
      <c r="N29" s="70">
        <f>IF('Final Calculation Sheet'!$M$37="","",'Final Calculation Sheet'!$M$37)</f>
        <v/>
      </c>
      <c r="O29" s="71">
        <f>IF('Final Calculation Sheet'!$N$37="","",'Final Calculation Sheet'!$N$37)</f>
        <v/>
      </c>
      <c r="P29" s="70">
        <f>IF('Final Calculation Sheet'!$O$37="","",'Final Calculation Sheet'!$O$37)</f>
        <v/>
      </c>
      <c r="Q29" s="70">
        <f>IF('Final Calculation Sheet'!$P$37="","",'Final Calculation Sheet'!$P$37)</f>
        <v/>
      </c>
      <c r="R29" s="72">
        <f>IF('Final Calculation Sheet'!$Q$37="","",'Final Calculation Sheet'!$Q$37)</f>
        <v/>
      </c>
      <c r="S29" s="70">
        <f>IF('Final Calculation Sheet'!$R$37="","",'Final Calculation Sheet'!$R$37)</f>
        <v/>
      </c>
      <c r="T29" s="70">
        <f>IF('Final Calculation Sheet'!$S$37="","",'Final Calculation Sheet'!$S$37)</f>
        <v/>
      </c>
      <c r="U29" s="70">
        <f>IF('Final Calculation Sheet'!$T$37="","",'Final Calculation Sheet'!$T$37)</f>
        <v/>
      </c>
      <c r="V29" s="73">
        <f>IF('Final Calculation Sheet'!$U$37="","",'Final Calculation Sheet'!$U$37)</f>
        <v/>
      </c>
      <c r="W29" s="70">
        <f>IF('Final Calculation Sheet'!$V$37="","",'Final Calculation Sheet'!$V$37)</f>
        <v/>
      </c>
      <c r="X29" s="70">
        <f>IF('Final Calculation Sheet'!$W$37="","",'Final Calculation Sheet'!$W$37)</f>
        <v/>
      </c>
      <c r="Y29" s="70">
        <f>IF('Final Calculation Sheet'!$X$37="","",'Final Calculation Sheet'!$X$37)</f>
        <v/>
      </c>
      <c r="Z29" s="70">
        <f>IF('Final Calculation Sheet'!$Y$37="","",'Final Calculation Sheet'!$Y$37)</f>
        <v/>
      </c>
      <c r="AA29" s="70">
        <f>IF('Final Calculation Sheet'!$Z$37="","",'Final Calculation Sheet'!$Z$37)</f>
        <v/>
      </c>
      <c r="AB29" s="70">
        <f>IF('Final Calculation Sheet'!$AA$37="","",'Final Calculation Sheet'!$AA$37)</f>
        <v/>
      </c>
      <c r="AC29" s="70">
        <f>IF('Final Calculation Sheet'!$AB$37="","",'Final Calculation Sheet'!$AB$37)</f>
        <v/>
      </c>
      <c r="AD29" s="70">
        <f>IF('Final Calculation Sheet'!$AC$37="","",'Final Calculation Sheet'!$AC$37)</f>
        <v/>
      </c>
      <c r="AE29" s="70">
        <f>IF('Final Calculation Sheet'!$AD$37="","",'Final Calculation Sheet'!$AD$37)</f>
        <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
      </c>
      <c r="AK29">
        <f>IF(AJ29=1,COUNTIF(AJ$6:AJ29,1),"")</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row>
    <row r="30" ht="15" customHeight="1" s="137">
      <c r="A30" s="81" t="inlineStr">
        <is>
          <t>∑</t>
        </is>
      </c>
      <c r="B30" s="83" t="n"/>
      <c r="C30" s="83">
        <f>ROWS($C$17:$C$29)&amp;" lot(s)"</f>
        <v/>
      </c>
      <c r="D30" s="83" t="inlineStr">
        <is>
          <t>SUBTOTAL — NATIONAL ENTERPRISES</t>
        </is>
      </c>
      <c r="E30" s="83" t="inlineStr">
        <is>
          <t>–</t>
        </is>
      </c>
      <c r="F30" s="83">
        <f>SUM(F17:F29)</f>
        <v/>
      </c>
      <c r="G30" s="83" t="inlineStr">
        <is>
          <t>–</t>
        </is>
      </c>
      <c r="H30" s="84" t="inlineStr">
        <is>
          <t>–</t>
        </is>
      </c>
      <c r="I30" s="84">
        <f>SUM(I17:I29)</f>
        <v/>
      </c>
      <c r="J30" s="84">
        <f>SUM(J17:J29)</f>
        <v/>
      </c>
      <c r="K30" s="84">
        <f>SUM(K17:K29)</f>
        <v/>
      </c>
      <c r="L30" s="84">
        <f>SUM(L17:L29)</f>
        <v/>
      </c>
      <c r="M30" s="84">
        <f>SUM(M17:M29)</f>
        <v/>
      </c>
      <c r="N30" s="84">
        <f>SUM(N17:N29)</f>
        <v/>
      </c>
      <c r="O30" s="85">
        <f>SUM(O17:O29)</f>
        <v/>
      </c>
      <c r="P30" s="84">
        <f>SUM(P17:P29)</f>
        <v/>
      </c>
      <c r="Q30" s="84">
        <f>SUM(Q17:Q29)</f>
        <v/>
      </c>
      <c r="R30" s="86" t="inlineStr">
        <is>
          <t>–</t>
        </is>
      </c>
      <c r="S30" s="84">
        <f>SUM(S17:S29)</f>
        <v/>
      </c>
      <c r="T30" s="84">
        <f>SUM(T17:T29)</f>
        <v/>
      </c>
      <c r="U30" s="84">
        <f>SUM(U17:U29)</f>
        <v/>
      </c>
      <c r="V30" s="87">
        <f>SUM(V17:V29)</f>
        <v/>
      </c>
      <c r="W30" s="84" t="inlineStr">
        <is>
          <t>–</t>
        </is>
      </c>
      <c r="X30" s="84">
        <f>SUM(X17:X29)</f>
        <v/>
      </c>
      <c r="Y30" s="84">
        <f>SUM(Y17:Y29)</f>
        <v/>
      </c>
      <c r="Z30" s="84" t="inlineStr">
        <is>
          <t>–</t>
        </is>
      </c>
      <c r="AA30" s="84">
        <f>SUM(AA17:AA29)</f>
        <v/>
      </c>
      <c r="AB30" s="84">
        <f>SUM(AB17:AB29)</f>
        <v/>
      </c>
      <c r="AC30" s="84" t="inlineStr">
        <is>
          <t>–</t>
        </is>
      </c>
      <c r="AD30" s="84">
        <f>SUM(AD17:AD29)</f>
        <v/>
      </c>
      <c r="AE30" s="84">
        <f>SUM(AE17:AE29)</f>
        <v/>
      </c>
      <c r="AF30" s="89">
        <f>IF(AE30&lt;=5,"SETTLED","OUTSTANDING")</f>
        <v/>
      </c>
      <c r="AG30" s="84" t="inlineStr">
        <is>
          <t>–</t>
        </is>
      </c>
      <c r="AH30" s="88" t="inlineStr">
        <is>
          <t>–</t>
        </is>
      </c>
      <c r="AI30" s="84" t="inlineStr">
        <is>
          <t>–</t>
        </is>
      </c>
      <c r="AJ30">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
      </c>
      <c r="AK30">
        <f>IF(AJ30=1,COUNTIF(AJ$6:AJ30,1),"")</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row>
    <row r="31" outlineLevel="1" ht="15" customHeight="1" s="137">
      <c r="A31" s="67" t="n">
        <v>1</v>
      </c>
      <c r="B31" s="76">
        <f>IF('Final Calculation Sheet'!$F$21="","",'Final Calculation Sheet'!$F$21)</f>
        <v/>
      </c>
      <c r="C31" s="76">
        <f>IF('Final Calculation Sheet'!$G$21="","",'Final Calculation Sheet'!$G$21)</f>
        <v/>
      </c>
      <c r="D31" s="80">
        <f>IF('Final Calculation Sheet'!$B$21="","",'Final Calculation Sheet'!$B$21)</f>
        <v/>
      </c>
      <c r="E31" s="80">
        <f>IF('Final Calculation Sheet'!$D$21="","",'Final Calculation Sheet'!$D$21)</f>
        <v/>
      </c>
      <c r="F31" s="80">
        <f>IF('Final Calculation Sheet'!$A$21="","",'Final Calculation Sheet'!$A$21)</f>
        <v/>
      </c>
      <c r="G31" s="80">
        <f>IF('Final Calculation Sheet'!$E$21="","",'Final Calculation Sheet'!$E$21)</f>
        <v/>
      </c>
      <c r="H31" s="70">
        <f>IF('Final Calculation Sheet'!$C$21="","",'Final Calculation Sheet'!$C$21)</f>
        <v/>
      </c>
      <c r="I31" s="70">
        <f>IF('Final Calculation Sheet'!$H$21="","",'Final Calculation Sheet'!$H$21)</f>
        <v/>
      </c>
      <c r="J31" s="70">
        <f>IF('Final Calculation Sheet'!$I$21="","",'Final Calculation Sheet'!$I$21)</f>
        <v/>
      </c>
      <c r="K31" s="70">
        <f>IF('Final Calculation Sheet'!$J$21="","",'Final Calculation Sheet'!$J$21)</f>
        <v/>
      </c>
      <c r="L31" s="70">
        <f>IF('Final Calculation Sheet'!$K$21="","",'Final Calculation Sheet'!$K$21)</f>
        <v/>
      </c>
      <c r="M31" s="70">
        <f>IF('Final Calculation Sheet'!$L$21="","",'Final Calculation Sheet'!$L$21)</f>
        <v/>
      </c>
      <c r="N31" s="70">
        <f>IF('Final Calculation Sheet'!$M$21="","",'Final Calculation Sheet'!$M$21)</f>
        <v/>
      </c>
      <c r="O31" s="71">
        <f>IF('Final Calculation Sheet'!$N$21="","",'Final Calculation Sheet'!$N$21)</f>
        <v/>
      </c>
      <c r="P31" s="70">
        <f>IF('Final Calculation Sheet'!$O$21="","",'Final Calculation Sheet'!$O$21)</f>
        <v/>
      </c>
      <c r="Q31" s="70">
        <f>IF('Final Calculation Sheet'!$P$21="","",'Final Calculation Sheet'!$P$21)</f>
        <v/>
      </c>
      <c r="R31" s="72">
        <f>IF('Final Calculation Sheet'!$Q$21="","",'Final Calculation Sheet'!$Q$21)</f>
        <v/>
      </c>
      <c r="S31" s="70">
        <f>IF('Final Calculation Sheet'!$R$21="","",'Final Calculation Sheet'!$R$21)</f>
        <v/>
      </c>
      <c r="T31" s="70">
        <f>IF('Final Calculation Sheet'!$S$21="","",'Final Calculation Sheet'!$S$21)</f>
        <v/>
      </c>
      <c r="U31" s="70">
        <f>IF('Final Calculation Sheet'!$T$21="","",'Final Calculation Sheet'!$T$21)</f>
        <v/>
      </c>
      <c r="V31" s="73">
        <f>IF('Final Calculation Sheet'!$U$21="","",'Final Calculation Sheet'!$U$21)</f>
        <v/>
      </c>
      <c r="W31" s="70">
        <f>IF('Final Calculation Sheet'!$V$21="","",'Final Calculation Sheet'!$V$21)</f>
        <v/>
      </c>
      <c r="X31" s="70">
        <f>IF('Final Calculation Sheet'!$W$21="","",'Final Calculation Sheet'!$W$21)</f>
        <v/>
      </c>
      <c r="Y31" s="70">
        <f>IF('Final Calculation Sheet'!$X$21="","",'Final Calculation Sheet'!$X$21)</f>
        <v/>
      </c>
      <c r="Z31" s="70">
        <f>IF('Final Calculation Sheet'!$Y$21="","",'Final Calculation Sheet'!$Y$21)</f>
        <v/>
      </c>
      <c r="AA31" s="70">
        <f>IF('Final Calculation Sheet'!$Z$21="","",'Final Calculation Sheet'!$Z$21)</f>
        <v/>
      </c>
      <c r="AB31" s="70">
        <f>IF('Final Calculation Sheet'!$AA$21="","",'Final Calculation Sheet'!$AA$21)</f>
        <v/>
      </c>
      <c r="AC31" s="70">
        <f>IF('Final Calculation Sheet'!$AB$21="","",'Final Calculation Sheet'!$AB$21)</f>
        <v/>
      </c>
      <c r="AD31" s="70">
        <f>IF('Final Calculation Sheet'!$AC$21="","",'Final Calculation Sheet'!$AC$21)</f>
        <v/>
      </c>
      <c r="AE31" s="70">
        <f>IF('Final Calculation Sheet'!$AD$21="","",'Final Calculation Sheet'!$AD$21)</f>
        <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
      </c>
      <c r="AK31">
        <f>IF(AJ31=1,COUNTIF(AJ$6:AJ31,1),"")</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row>
    <row r="32" ht="15" customHeight="1" s="137">
      <c r="A32" s="81" t="inlineStr">
        <is>
          <t>∑</t>
        </is>
      </c>
      <c r="B32" s="83" t="n"/>
      <c r="C32" s="83">
        <f>ROWS($C$31:$C$31)&amp;" lot(s)"</f>
        <v/>
      </c>
      <c r="D32" s="83" t="inlineStr">
        <is>
          <t>SUBTOTAL — NATIONAL SCRAP AND BUILDING MATERIAL SUPPLIER</t>
        </is>
      </c>
      <c r="E32" s="83" t="inlineStr">
        <is>
          <t>–</t>
        </is>
      </c>
      <c r="F32" s="83">
        <f>SUM(F31:F31)</f>
        <v/>
      </c>
      <c r="G32" s="83" t="inlineStr">
        <is>
          <t>–</t>
        </is>
      </c>
      <c r="H32" s="84" t="inlineStr">
        <is>
          <t>–</t>
        </is>
      </c>
      <c r="I32" s="84">
        <f>SUM(I31:I31)</f>
        <v/>
      </c>
      <c r="J32" s="84">
        <f>SUM(J31:J31)</f>
        <v/>
      </c>
      <c r="K32" s="84">
        <f>SUM(K31:K31)</f>
        <v/>
      </c>
      <c r="L32" s="84">
        <f>SUM(L31:L31)</f>
        <v/>
      </c>
      <c r="M32" s="84">
        <f>SUM(M31:M31)</f>
        <v/>
      </c>
      <c r="N32" s="84">
        <f>SUM(N31:N31)</f>
        <v/>
      </c>
      <c r="O32" s="85">
        <f>SUM(O31:O31)</f>
        <v/>
      </c>
      <c r="P32" s="84">
        <f>SUM(P31:P31)</f>
        <v/>
      </c>
      <c r="Q32" s="84">
        <f>SUM(Q31:Q31)</f>
        <v/>
      </c>
      <c r="R32" s="86" t="inlineStr">
        <is>
          <t>–</t>
        </is>
      </c>
      <c r="S32" s="84">
        <f>SUM(S31:S31)</f>
        <v/>
      </c>
      <c r="T32" s="84">
        <f>SUM(T31:T31)</f>
        <v/>
      </c>
      <c r="U32" s="84">
        <f>SUM(U31:U31)</f>
        <v/>
      </c>
      <c r="V32" s="87">
        <f>SUM(V31:V31)</f>
        <v/>
      </c>
      <c r="W32" s="84" t="inlineStr">
        <is>
          <t>–</t>
        </is>
      </c>
      <c r="X32" s="84">
        <f>SUM(X31:X31)</f>
        <v/>
      </c>
      <c r="Y32" s="84">
        <f>SUM(Y31:Y31)</f>
        <v/>
      </c>
      <c r="Z32" s="84" t="inlineStr">
        <is>
          <t>–</t>
        </is>
      </c>
      <c r="AA32" s="84">
        <f>SUM(AA31:AA31)</f>
        <v/>
      </c>
      <c r="AB32" s="84">
        <f>SUM(AB31:AB31)</f>
        <v/>
      </c>
      <c r="AC32" s="84" t="inlineStr">
        <is>
          <t>–</t>
        </is>
      </c>
      <c r="AD32" s="84">
        <f>SUM(AD31:AD31)</f>
        <v/>
      </c>
      <c r="AE32" s="84">
        <f>SUM(AE31:AE31)</f>
        <v/>
      </c>
      <c r="AF32" s="89">
        <f>IF(AE32&lt;=5,"SETTLED","OUTSTANDING")</f>
        <v/>
      </c>
      <c r="AG32" s="84" t="inlineStr">
        <is>
          <t>–</t>
        </is>
      </c>
      <c r="AH32" s="88" t="inlineStr">
        <is>
          <t>–</t>
        </is>
      </c>
      <c r="AI32" s="84" t="inlineStr">
        <is>
          <t>–</t>
        </is>
      </c>
      <c r="AJ32">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
      </c>
      <c r="AK32">
        <f>IF(AJ32=1,COUNTIF(AJ$6:AJ32,1),"")</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row>
    <row r="33" outlineLevel="1" ht="15" customHeight="1" s="137">
      <c r="A33" s="67" t="n">
        <v>1</v>
      </c>
      <c r="B33" s="76">
        <f>IF('Final Calculation Sheet'!$F$8="","",'Final Calculation Sheet'!$F$8)</f>
        <v/>
      </c>
      <c r="C33" s="76">
        <f>IF('Final Calculation Sheet'!$G$8="","",'Final Calculation Sheet'!$G$8)</f>
        <v/>
      </c>
      <c r="D33" s="80">
        <f>IF('Final Calculation Sheet'!$B$8="","",'Final Calculation Sheet'!$B$8)</f>
        <v/>
      </c>
      <c r="E33" s="80">
        <f>IF('Final Calculation Sheet'!$D$8="","",'Final Calculation Sheet'!$D$8)</f>
        <v/>
      </c>
      <c r="F33" s="80">
        <f>IF('Final Calculation Sheet'!$A$8="","",'Final Calculation Sheet'!$A$8)</f>
        <v/>
      </c>
      <c r="G33" s="80">
        <f>IF('Final Calculation Sheet'!$E$8="","",'Final Calculation Sheet'!$E$8)</f>
        <v/>
      </c>
      <c r="H33" s="70">
        <f>IF('Final Calculation Sheet'!$C$8="","",'Final Calculation Sheet'!$C$8)</f>
        <v/>
      </c>
      <c r="I33" s="70">
        <f>IF('Final Calculation Sheet'!$H$8="","",'Final Calculation Sheet'!$H$8)</f>
        <v/>
      </c>
      <c r="J33" s="70">
        <f>IF('Final Calculation Sheet'!$I$8="","",'Final Calculation Sheet'!$I$8)</f>
        <v/>
      </c>
      <c r="K33" s="70">
        <f>IF('Final Calculation Sheet'!$J$8="","",'Final Calculation Sheet'!$J$8)</f>
        <v/>
      </c>
      <c r="L33" s="70">
        <f>IF('Final Calculation Sheet'!$K$8="","",'Final Calculation Sheet'!$K$8)</f>
        <v/>
      </c>
      <c r="M33" s="70">
        <f>IF('Final Calculation Sheet'!$L$8="","",'Final Calculation Sheet'!$L$8)</f>
        <v/>
      </c>
      <c r="N33" s="70">
        <f>IF('Final Calculation Sheet'!$M$8="","",'Final Calculation Sheet'!$M$8)</f>
        <v/>
      </c>
      <c r="O33" s="71">
        <f>IF('Final Calculation Sheet'!$N$8="","",'Final Calculation Sheet'!$N$8)</f>
        <v/>
      </c>
      <c r="P33" s="70">
        <f>IF('Final Calculation Sheet'!$O$8="","",'Final Calculation Sheet'!$O$8)</f>
        <v/>
      </c>
      <c r="Q33" s="70">
        <f>IF('Final Calculation Sheet'!$P$8="","",'Final Calculation Sheet'!$P$8)</f>
        <v/>
      </c>
      <c r="R33" s="72">
        <f>IF('Final Calculation Sheet'!$Q$8="","",'Final Calculation Sheet'!$Q$8)</f>
        <v/>
      </c>
      <c r="S33" s="70">
        <f>IF('Final Calculation Sheet'!$R$8="","",'Final Calculation Sheet'!$R$8)</f>
        <v/>
      </c>
      <c r="T33" s="70">
        <f>IF('Final Calculation Sheet'!$S$8="","",'Final Calculation Sheet'!$S$8)</f>
        <v/>
      </c>
      <c r="U33" s="70">
        <f>IF('Final Calculation Sheet'!$T$8="","",'Final Calculation Sheet'!$T$8)</f>
        <v/>
      </c>
      <c r="V33" s="73">
        <f>IF('Final Calculation Sheet'!$U$8="","",'Final Calculation Sheet'!$U$8)</f>
        <v/>
      </c>
      <c r="W33" s="70">
        <f>IF('Final Calculation Sheet'!$V$8="","",'Final Calculation Sheet'!$V$8)</f>
        <v/>
      </c>
      <c r="X33" s="70">
        <f>IF('Final Calculation Sheet'!$W$8="","",'Final Calculation Sheet'!$W$8)</f>
        <v/>
      </c>
      <c r="Y33" s="70">
        <f>IF('Final Calculation Sheet'!$X$8="","",'Final Calculation Sheet'!$X$8)</f>
        <v/>
      </c>
      <c r="Z33" s="70">
        <f>IF('Final Calculation Sheet'!$Y$8="","",'Final Calculation Sheet'!$Y$8)</f>
        <v/>
      </c>
      <c r="AA33" s="70">
        <f>IF('Final Calculation Sheet'!$Z$8="","",'Final Calculation Sheet'!$Z$8)</f>
        <v/>
      </c>
      <c r="AB33" s="70">
        <f>IF('Final Calculation Sheet'!$AA$8="","",'Final Calculation Sheet'!$AA$8)</f>
        <v/>
      </c>
      <c r="AC33" s="70">
        <f>IF('Final Calculation Sheet'!$AB$8="","",'Final Calculation Sheet'!$AB$8)</f>
        <v/>
      </c>
      <c r="AD33" s="70">
        <f>IF('Final Calculation Sheet'!$AC$8="","",'Final Calculation Sheet'!$AC$8)</f>
        <v/>
      </c>
      <c r="AE33" s="70">
        <f>IF('Final Calculation Sheet'!$AD$8="","",'Final Calculation Sheet'!$AD$8)</f>
        <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
      </c>
      <c r="AK33">
        <f>IF(AJ33=1,COUNTIF(AJ$6:AJ33,1),"")</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row>
    <row r="34" outlineLevel="1" ht="15" customHeight="1" s="137">
      <c r="A34" s="90" t="n">
        <v>2</v>
      </c>
      <c r="B34" s="92">
        <f>IF('Final Calculation Sheet'!$F$20="","",'Final Calculation Sheet'!$F$20)</f>
        <v/>
      </c>
      <c r="C34" s="92">
        <f>IF('Final Calculation Sheet'!$G$20="","",'Final Calculation Sheet'!$G$20)</f>
        <v/>
      </c>
      <c r="D34" s="94">
        <f>IF('Final Calculation Sheet'!$B$20="","",'Final Calculation Sheet'!$B$20)</f>
        <v/>
      </c>
      <c r="E34" s="94">
        <f>IF('Final Calculation Sheet'!$D$20="","",'Final Calculation Sheet'!$D$20)</f>
        <v/>
      </c>
      <c r="F34" s="94">
        <f>IF('Final Calculation Sheet'!$A$20="","",'Final Calculation Sheet'!$A$20)</f>
        <v/>
      </c>
      <c r="G34" s="94">
        <f>IF('Final Calculation Sheet'!$E$20="","",'Final Calculation Sheet'!$E$20)</f>
        <v/>
      </c>
      <c r="H34" s="95">
        <f>IF('Final Calculation Sheet'!$C$20="","",'Final Calculation Sheet'!$C$20)</f>
        <v/>
      </c>
      <c r="I34" s="95">
        <f>IF('Final Calculation Sheet'!$H$20="","",'Final Calculation Sheet'!$H$20)</f>
        <v/>
      </c>
      <c r="J34" s="95">
        <f>IF('Final Calculation Sheet'!$I$20="","",'Final Calculation Sheet'!$I$20)</f>
        <v/>
      </c>
      <c r="K34" s="95">
        <f>IF('Final Calculation Sheet'!$J$20="","",'Final Calculation Sheet'!$J$20)</f>
        <v/>
      </c>
      <c r="L34" s="95">
        <f>IF('Final Calculation Sheet'!$K$20="","",'Final Calculation Sheet'!$K$20)</f>
        <v/>
      </c>
      <c r="M34" s="95">
        <f>IF('Final Calculation Sheet'!$L$20="","",'Final Calculation Sheet'!$L$20)</f>
        <v/>
      </c>
      <c r="N34" s="95">
        <f>IF('Final Calculation Sheet'!$M$20="","",'Final Calculation Sheet'!$M$20)</f>
        <v/>
      </c>
      <c r="O34" s="96">
        <f>IF('Final Calculation Sheet'!$N$20="","",'Final Calculation Sheet'!$N$20)</f>
        <v/>
      </c>
      <c r="P34" s="95">
        <f>IF('Final Calculation Sheet'!$O$20="","",'Final Calculation Sheet'!$O$20)</f>
        <v/>
      </c>
      <c r="Q34" s="95">
        <f>IF('Final Calculation Sheet'!$P$20="","",'Final Calculation Sheet'!$P$20)</f>
        <v/>
      </c>
      <c r="R34" s="97">
        <f>IF('Final Calculation Sheet'!$Q$20="","",'Final Calculation Sheet'!$Q$20)</f>
        <v/>
      </c>
      <c r="S34" s="95">
        <f>IF('Final Calculation Sheet'!$R$20="","",'Final Calculation Sheet'!$R$20)</f>
        <v/>
      </c>
      <c r="T34" s="95">
        <f>IF('Final Calculation Sheet'!$S$20="","",'Final Calculation Sheet'!$S$20)</f>
        <v/>
      </c>
      <c r="U34" s="95">
        <f>IF('Final Calculation Sheet'!$T$20="","",'Final Calculation Sheet'!$T$20)</f>
        <v/>
      </c>
      <c r="V34" s="98">
        <f>IF('Final Calculation Sheet'!$U$20="","",'Final Calculation Sheet'!$U$20)</f>
        <v/>
      </c>
      <c r="W34" s="95">
        <f>IF('Final Calculation Sheet'!$V$20="","",'Final Calculation Sheet'!$V$20)</f>
        <v/>
      </c>
      <c r="X34" s="95">
        <f>IF('Final Calculation Sheet'!$W$20="","",'Final Calculation Sheet'!$W$20)</f>
        <v/>
      </c>
      <c r="Y34" s="95">
        <f>IF('Final Calculation Sheet'!$X$20="","",'Final Calculation Sheet'!$X$20)</f>
        <v/>
      </c>
      <c r="Z34" s="95">
        <f>IF('Final Calculation Sheet'!$Y$20="","",'Final Calculation Sheet'!$Y$20)</f>
        <v/>
      </c>
      <c r="AA34" s="95">
        <f>IF('Final Calculation Sheet'!$Z$20="","",'Final Calculation Sheet'!$Z$20)</f>
        <v/>
      </c>
      <c r="AB34" s="95">
        <f>IF('Final Calculation Sheet'!$AA$20="","",'Final Calculation Sheet'!$AA$20)</f>
        <v/>
      </c>
      <c r="AC34" s="95">
        <f>IF('Final Calculation Sheet'!$AB$20="","",'Final Calculation Sheet'!$AB$20)</f>
        <v/>
      </c>
      <c r="AD34" s="95">
        <f>IF('Final Calculation Sheet'!$AC$20="","",'Final Calculation Sheet'!$AC$20)</f>
        <v/>
      </c>
      <c r="AE34" s="95">
        <f>IF('Final Calculation Sheet'!$AD$20="","",'Final Calculation Sheet'!$AD$20)</f>
        <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
      </c>
      <c r="AK34">
        <f>IF(AJ34=1,COUNTIF(AJ$6:AJ34,1),"")</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row>
    <row r="35" ht="15" customHeight="1" s="137">
      <c r="A35" s="81" t="inlineStr">
        <is>
          <t>∑</t>
        </is>
      </c>
      <c r="B35" s="83" t="n"/>
      <c r="C35" s="83">
        <f>ROWS($C$33:$C$34)&amp;" lot(s)"</f>
        <v/>
      </c>
      <c r="D35" s="83" t="inlineStr">
        <is>
          <t>SUBTOTAL — OMKAR STEELS</t>
        </is>
      </c>
      <c r="E35" s="83" t="inlineStr">
        <is>
          <t>–</t>
        </is>
      </c>
      <c r="F35" s="83">
        <f>SUM(F33:F34)</f>
        <v/>
      </c>
      <c r="G35" s="83" t="inlineStr">
        <is>
          <t>–</t>
        </is>
      </c>
      <c r="H35" s="84" t="inlineStr">
        <is>
          <t>–</t>
        </is>
      </c>
      <c r="I35" s="84">
        <f>SUM(I33:I34)</f>
        <v/>
      </c>
      <c r="J35" s="84">
        <f>SUM(J33:J34)</f>
        <v/>
      </c>
      <c r="K35" s="84">
        <f>SUM(K33:K34)</f>
        <v/>
      </c>
      <c r="L35" s="84">
        <f>SUM(L33:L34)</f>
        <v/>
      </c>
      <c r="M35" s="84">
        <f>SUM(M33:M34)</f>
        <v/>
      </c>
      <c r="N35" s="84">
        <f>SUM(N33:N34)</f>
        <v/>
      </c>
      <c r="O35" s="85">
        <f>SUM(O33:O34)</f>
        <v/>
      </c>
      <c r="P35" s="84">
        <f>SUM(P33:P34)</f>
        <v/>
      </c>
      <c r="Q35" s="84">
        <f>SUM(Q33:Q34)</f>
        <v/>
      </c>
      <c r="R35" s="86" t="inlineStr">
        <is>
          <t>–</t>
        </is>
      </c>
      <c r="S35" s="84">
        <f>SUM(S33:S34)</f>
        <v/>
      </c>
      <c r="T35" s="84">
        <f>SUM(T33:T34)</f>
        <v/>
      </c>
      <c r="U35" s="84">
        <f>SUM(U33:U34)</f>
        <v/>
      </c>
      <c r="V35" s="87">
        <f>SUM(V33:V34)</f>
        <v/>
      </c>
      <c r="W35" s="84" t="inlineStr">
        <is>
          <t>–</t>
        </is>
      </c>
      <c r="X35" s="84">
        <f>SUM(X33:X34)</f>
        <v/>
      </c>
      <c r="Y35" s="84">
        <f>SUM(Y33:Y34)</f>
        <v/>
      </c>
      <c r="Z35" s="84" t="inlineStr">
        <is>
          <t>–</t>
        </is>
      </c>
      <c r="AA35" s="84">
        <f>SUM(AA33:AA34)</f>
        <v/>
      </c>
      <c r="AB35" s="84">
        <f>SUM(AB33:AB34)</f>
        <v/>
      </c>
      <c r="AC35" s="84" t="inlineStr">
        <is>
          <t>–</t>
        </is>
      </c>
      <c r="AD35" s="84">
        <f>SUM(AD33:AD34)</f>
        <v/>
      </c>
      <c r="AE35" s="84">
        <f>SUM(AE33:AE34)</f>
        <v/>
      </c>
      <c r="AF35" s="89">
        <f>IF(AE35&lt;=5,"SETTLED","OUTSTANDING")</f>
        <v/>
      </c>
      <c r="AG35" s="84" t="inlineStr">
        <is>
          <t>–</t>
        </is>
      </c>
      <c r="AH35" s="88" t="inlineStr">
        <is>
          <t>–</t>
        </is>
      </c>
      <c r="AI35" s="84" t="inlineStr">
        <is>
          <t>–</t>
        </is>
      </c>
      <c r="AJ35">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
      </c>
      <c r="AK35">
        <f>IF(AJ35=1,COUNTIF(AJ$6:AJ35,1),"")</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row>
    <row r="36" outlineLevel="1" ht="15" customHeight="1" s="137">
      <c r="A36" s="67" t="n">
        <v>1</v>
      </c>
      <c r="B36" s="76">
        <f>IF('Final Calculation Sheet'!$F$39="","",'Final Calculation Sheet'!$F$39)</f>
        <v/>
      </c>
      <c r="C36" s="76">
        <f>IF('Final Calculation Sheet'!$G$39="","",'Final Calculation Sheet'!$G$39)</f>
        <v/>
      </c>
      <c r="D36" s="80">
        <f>IF('Final Calculation Sheet'!$B$39="","",'Final Calculation Sheet'!$B$39)</f>
        <v/>
      </c>
      <c r="E36" s="80">
        <f>IF('Final Calculation Sheet'!$D$39="","",'Final Calculation Sheet'!$D$39)</f>
        <v/>
      </c>
      <c r="F36" s="80">
        <f>IF('Final Calculation Sheet'!$A$39="","",'Final Calculation Sheet'!$A$39)</f>
        <v/>
      </c>
      <c r="G36" s="80">
        <f>IF('Final Calculation Sheet'!$E$39="","",'Final Calculation Sheet'!$E$39)</f>
        <v/>
      </c>
      <c r="H36" s="70">
        <f>IF('Final Calculation Sheet'!$C$39="","",'Final Calculation Sheet'!$C$39)</f>
        <v/>
      </c>
      <c r="I36" s="70">
        <f>IF('Final Calculation Sheet'!$H$39="","",'Final Calculation Sheet'!$H$39)</f>
        <v/>
      </c>
      <c r="J36" s="70">
        <f>IF('Final Calculation Sheet'!$I$39="","",'Final Calculation Sheet'!$I$39)</f>
        <v/>
      </c>
      <c r="K36" s="70">
        <f>IF('Final Calculation Sheet'!$J$39="","",'Final Calculation Sheet'!$J$39)</f>
        <v/>
      </c>
      <c r="L36" s="70">
        <f>IF('Final Calculation Sheet'!$K$39="","",'Final Calculation Sheet'!$K$39)</f>
        <v/>
      </c>
      <c r="M36" s="70">
        <f>IF('Final Calculation Sheet'!$L$39="","",'Final Calculation Sheet'!$L$39)</f>
        <v/>
      </c>
      <c r="N36" s="70">
        <f>IF('Final Calculation Sheet'!$M$39="","",'Final Calculation Sheet'!$M$39)</f>
        <v/>
      </c>
      <c r="O36" s="71">
        <f>IF('Final Calculation Sheet'!$N$39="","",'Final Calculation Sheet'!$N$39)</f>
        <v/>
      </c>
      <c r="P36" s="70">
        <f>IF('Final Calculation Sheet'!$O$39="","",'Final Calculation Sheet'!$O$39)</f>
        <v/>
      </c>
      <c r="Q36" s="70">
        <f>IF('Final Calculation Sheet'!$P$39="","",'Final Calculation Sheet'!$P$39)</f>
        <v/>
      </c>
      <c r="R36" s="72">
        <f>IF('Final Calculation Sheet'!$Q$39="","",'Final Calculation Sheet'!$Q$39)</f>
        <v/>
      </c>
      <c r="S36" s="70">
        <f>IF('Final Calculation Sheet'!$R$39="","",'Final Calculation Sheet'!$R$39)</f>
        <v/>
      </c>
      <c r="T36" s="70">
        <f>IF('Final Calculation Sheet'!$S$39="","",'Final Calculation Sheet'!$S$39)</f>
        <v/>
      </c>
      <c r="U36" s="70">
        <f>IF('Final Calculation Sheet'!$T$39="","",'Final Calculation Sheet'!$T$39)</f>
        <v/>
      </c>
      <c r="V36" s="73">
        <f>IF('Final Calculation Sheet'!$U$39="","",'Final Calculation Sheet'!$U$39)</f>
        <v/>
      </c>
      <c r="W36" s="70">
        <f>IF('Final Calculation Sheet'!$V$39="","",'Final Calculation Sheet'!$V$39)</f>
        <v/>
      </c>
      <c r="X36" s="70">
        <f>IF('Final Calculation Sheet'!$W$39="","",'Final Calculation Sheet'!$W$39)</f>
        <v/>
      </c>
      <c r="Y36" s="70">
        <f>IF('Final Calculation Sheet'!$X$39="","",'Final Calculation Sheet'!$X$39)</f>
        <v/>
      </c>
      <c r="Z36" s="70">
        <f>IF('Final Calculation Sheet'!$Y$39="","",'Final Calculation Sheet'!$Y$39)</f>
        <v/>
      </c>
      <c r="AA36" s="70">
        <f>IF('Final Calculation Sheet'!$Z$39="","",'Final Calculation Sheet'!$Z$39)</f>
        <v/>
      </c>
      <c r="AB36" s="70">
        <f>IF('Final Calculation Sheet'!$AA$39="","",'Final Calculation Sheet'!$AA$39)</f>
        <v/>
      </c>
      <c r="AC36" s="70">
        <f>IF('Final Calculation Sheet'!$AB$39="","",'Final Calculation Sheet'!$AB$39)</f>
        <v/>
      </c>
      <c r="AD36" s="70">
        <f>IF('Final Calculation Sheet'!$AC$39="","",'Final Calculation Sheet'!$AC$39)</f>
        <v/>
      </c>
      <c r="AE36" s="70">
        <f>IF('Final Calculation Sheet'!$AD$39="","",'Final Calculation Sheet'!$AD$39)</f>
        <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
      </c>
      <c r="AK36">
        <f>IF(AJ36=1,COUNTIF(AJ$6:AJ36,1),"")</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row>
    <row r="37" outlineLevel="1" ht="15" customHeight="1" s="137">
      <c r="A37" s="90" t="n">
        <v>2</v>
      </c>
      <c r="B37" s="92">
        <f>IF('Final Calculation Sheet'!$F$40="","",'Final Calculation Sheet'!$F$40)</f>
        <v/>
      </c>
      <c r="C37" s="92">
        <f>IF('Final Calculation Sheet'!$G$40="","",'Final Calculation Sheet'!$G$40)</f>
        <v/>
      </c>
      <c r="D37" s="94">
        <f>IF('Final Calculation Sheet'!$B$40="","",'Final Calculation Sheet'!$B$40)</f>
        <v/>
      </c>
      <c r="E37" s="94">
        <f>IF('Final Calculation Sheet'!$D$40="","",'Final Calculation Sheet'!$D$40)</f>
        <v/>
      </c>
      <c r="F37" s="94">
        <f>IF('Final Calculation Sheet'!$A$40="","",'Final Calculation Sheet'!$A$40)</f>
        <v/>
      </c>
      <c r="G37" s="94">
        <f>IF('Final Calculation Sheet'!$E$40="","",'Final Calculation Sheet'!$E$40)</f>
        <v/>
      </c>
      <c r="H37" s="95">
        <f>IF('Final Calculation Sheet'!$C$40="","",'Final Calculation Sheet'!$C$40)</f>
        <v/>
      </c>
      <c r="I37" s="95">
        <f>IF('Final Calculation Sheet'!$H$40="","",'Final Calculation Sheet'!$H$40)</f>
        <v/>
      </c>
      <c r="J37" s="95">
        <f>IF('Final Calculation Sheet'!$I$40="","",'Final Calculation Sheet'!$I$40)</f>
        <v/>
      </c>
      <c r="K37" s="95">
        <f>IF('Final Calculation Sheet'!$J$40="","",'Final Calculation Sheet'!$J$40)</f>
        <v/>
      </c>
      <c r="L37" s="95">
        <f>IF('Final Calculation Sheet'!$K$40="","",'Final Calculation Sheet'!$K$40)</f>
        <v/>
      </c>
      <c r="M37" s="95">
        <f>IF('Final Calculation Sheet'!$L$40="","",'Final Calculation Sheet'!$L$40)</f>
        <v/>
      </c>
      <c r="N37" s="95">
        <f>IF('Final Calculation Sheet'!$M$40="","",'Final Calculation Sheet'!$M$40)</f>
        <v/>
      </c>
      <c r="O37" s="96">
        <f>IF('Final Calculation Sheet'!$N$40="","",'Final Calculation Sheet'!$N$40)</f>
        <v/>
      </c>
      <c r="P37" s="95">
        <f>IF('Final Calculation Sheet'!$O$40="","",'Final Calculation Sheet'!$O$40)</f>
        <v/>
      </c>
      <c r="Q37" s="95">
        <f>IF('Final Calculation Sheet'!$P$40="","",'Final Calculation Sheet'!$P$40)</f>
        <v/>
      </c>
      <c r="R37" s="97">
        <f>IF('Final Calculation Sheet'!$Q$40="","",'Final Calculation Sheet'!$Q$40)</f>
        <v/>
      </c>
      <c r="S37" s="95">
        <f>IF('Final Calculation Sheet'!$R$40="","",'Final Calculation Sheet'!$R$40)</f>
        <v/>
      </c>
      <c r="T37" s="95">
        <f>IF('Final Calculation Sheet'!$S$40="","",'Final Calculation Sheet'!$S$40)</f>
        <v/>
      </c>
      <c r="U37" s="95">
        <f>IF('Final Calculation Sheet'!$T$40="","",'Final Calculation Sheet'!$T$40)</f>
        <v/>
      </c>
      <c r="V37" s="98">
        <f>IF('Final Calculation Sheet'!$U$40="","",'Final Calculation Sheet'!$U$40)</f>
        <v/>
      </c>
      <c r="W37" s="95">
        <f>IF('Final Calculation Sheet'!$V$40="","",'Final Calculation Sheet'!$V$40)</f>
        <v/>
      </c>
      <c r="X37" s="95">
        <f>IF('Final Calculation Sheet'!$W$40="","",'Final Calculation Sheet'!$W$40)</f>
        <v/>
      </c>
      <c r="Y37" s="95">
        <f>IF('Final Calculation Sheet'!$X$40="","",'Final Calculation Sheet'!$X$40)</f>
        <v/>
      </c>
      <c r="Z37" s="95">
        <f>IF('Final Calculation Sheet'!$Y$40="","",'Final Calculation Sheet'!$Y$40)</f>
        <v/>
      </c>
      <c r="AA37" s="95">
        <f>IF('Final Calculation Sheet'!$Z$40="","",'Final Calculation Sheet'!$Z$40)</f>
        <v/>
      </c>
      <c r="AB37" s="95">
        <f>IF('Final Calculation Sheet'!$AA$40="","",'Final Calculation Sheet'!$AA$40)</f>
        <v/>
      </c>
      <c r="AC37" s="95">
        <f>IF('Final Calculation Sheet'!$AB$40="","",'Final Calculation Sheet'!$AB$40)</f>
        <v/>
      </c>
      <c r="AD37" s="95">
        <f>IF('Final Calculation Sheet'!$AC$40="","",'Final Calculation Sheet'!$AC$40)</f>
        <v/>
      </c>
      <c r="AE37" s="95">
        <f>IF('Final Calculation Sheet'!$AD$40="","",'Final Calculation Sheet'!$AD$40)</f>
        <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
      </c>
      <c r="AK37">
        <f>IF(AJ37=1,COUNTIF(AJ$6:AJ37,1),"")</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row>
    <row r="38" ht="15" customHeight="1" s="137">
      <c r="A38" s="81" t="inlineStr">
        <is>
          <t>∑</t>
        </is>
      </c>
      <c r="B38" s="83" t="n"/>
      <c r="C38" s="83">
        <f>ROWS($C$36:$C$37)&amp;" lot(s)"</f>
        <v/>
      </c>
      <c r="D38" s="83" t="inlineStr">
        <is>
          <t>SUBTOTAL — S M ENTERPRISES</t>
        </is>
      </c>
      <c r="E38" s="83" t="inlineStr">
        <is>
          <t>–</t>
        </is>
      </c>
      <c r="F38" s="83">
        <f>SUM(F36:F37)</f>
        <v/>
      </c>
      <c r="G38" s="83" t="inlineStr">
        <is>
          <t>–</t>
        </is>
      </c>
      <c r="H38" s="84" t="inlineStr">
        <is>
          <t>–</t>
        </is>
      </c>
      <c r="I38" s="84">
        <f>SUM(I36:I37)</f>
        <v/>
      </c>
      <c r="J38" s="84">
        <f>SUM(J36:J37)</f>
        <v/>
      </c>
      <c r="K38" s="84">
        <f>SUM(K36:K37)</f>
        <v/>
      </c>
      <c r="L38" s="84">
        <f>SUM(L36:L37)</f>
        <v/>
      </c>
      <c r="M38" s="84">
        <f>SUM(M36:M37)</f>
        <v/>
      </c>
      <c r="N38" s="84">
        <f>SUM(N36:N37)</f>
        <v/>
      </c>
      <c r="O38" s="85">
        <f>SUM(O36:O37)</f>
        <v/>
      </c>
      <c r="P38" s="84">
        <f>SUM(P36:P37)</f>
        <v/>
      </c>
      <c r="Q38" s="84">
        <f>SUM(Q36:Q37)</f>
        <v/>
      </c>
      <c r="R38" s="86" t="inlineStr">
        <is>
          <t>–</t>
        </is>
      </c>
      <c r="S38" s="84">
        <f>SUM(S36:S37)</f>
        <v/>
      </c>
      <c r="T38" s="84">
        <f>SUM(T36:T37)</f>
        <v/>
      </c>
      <c r="U38" s="84">
        <f>SUM(U36:U37)</f>
        <v/>
      </c>
      <c r="V38" s="87">
        <f>SUM(V36:V37)</f>
        <v/>
      </c>
      <c r="W38" s="84" t="inlineStr">
        <is>
          <t>–</t>
        </is>
      </c>
      <c r="X38" s="84">
        <f>SUM(X36:X37)</f>
        <v/>
      </c>
      <c r="Y38" s="84">
        <f>SUM(Y36:Y37)</f>
        <v/>
      </c>
      <c r="Z38" s="84" t="inlineStr">
        <is>
          <t>–</t>
        </is>
      </c>
      <c r="AA38" s="84">
        <f>SUM(AA36:AA37)</f>
        <v/>
      </c>
      <c r="AB38" s="84">
        <f>SUM(AB36:AB37)</f>
        <v/>
      </c>
      <c r="AC38" s="84" t="inlineStr">
        <is>
          <t>–</t>
        </is>
      </c>
      <c r="AD38" s="84">
        <f>SUM(AD36:AD37)</f>
        <v/>
      </c>
      <c r="AE38" s="84">
        <f>SUM(AE36:AE37)</f>
        <v/>
      </c>
      <c r="AF38" s="89">
        <f>IF(AE38&lt;=5,"SETTLED","OUTSTANDING")</f>
        <v/>
      </c>
      <c r="AG38" s="84" t="inlineStr">
        <is>
          <t>–</t>
        </is>
      </c>
      <c r="AH38" s="88" t="inlineStr">
        <is>
          <t>–</t>
        </is>
      </c>
      <c r="AI38" s="84" t="inlineStr">
        <is>
          <t>–</t>
        </is>
      </c>
      <c r="AJ38">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
      </c>
      <c r="AK38">
        <f>IF(AJ38=1,COUNTIF(AJ$6:AJ38,1),"")</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row>
    <row r="39" outlineLevel="1" ht="15" customHeight="1" s="137">
      <c r="A39" s="67" t="n">
        <v>1</v>
      </c>
      <c r="B39" s="76">
        <f>IF('Final Calculation Sheet'!$F$31="","",'Final Calculation Sheet'!$F$31)</f>
        <v/>
      </c>
      <c r="C39" s="76">
        <f>IF('Final Calculation Sheet'!$G$31="","",'Final Calculation Sheet'!$G$31)</f>
        <v/>
      </c>
      <c r="D39" s="80">
        <f>IF('Final Calculation Sheet'!$B$31="","",'Final Calculation Sheet'!$B$31)</f>
        <v/>
      </c>
      <c r="E39" s="80">
        <f>IF('Final Calculation Sheet'!$D$31="","",'Final Calculation Sheet'!$D$31)</f>
        <v/>
      </c>
      <c r="F39" s="80">
        <f>IF('Final Calculation Sheet'!$A$31="","",'Final Calculation Sheet'!$A$31)</f>
        <v/>
      </c>
      <c r="G39" s="80">
        <f>IF('Final Calculation Sheet'!$E$31="","",'Final Calculation Sheet'!$E$31)</f>
        <v/>
      </c>
      <c r="H39" s="70">
        <f>IF('Final Calculation Sheet'!$C$31="","",'Final Calculation Sheet'!$C$31)</f>
        <v/>
      </c>
      <c r="I39" s="70">
        <f>IF('Final Calculation Sheet'!$H$31="","",'Final Calculation Sheet'!$H$31)</f>
        <v/>
      </c>
      <c r="J39" s="70">
        <f>IF('Final Calculation Sheet'!$I$31="","",'Final Calculation Sheet'!$I$31)</f>
        <v/>
      </c>
      <c r="K39" s="70">
        <f>IF('Final Calculation Sheet'!$J$31="","",'Final Calculation Sheet'!$J$31)</f>
        <v/>
      </c>
      <c r="L39" s="70">
        <f>IF('Final Calculation Sheet'!$K$31="","",'Final Calculation Sheet'!$K$31)</f>
        <v/>
      </c>
      <c r="M39" s="70">
        <f>IF('Final Calculation Sheet'!$L$31="","",'Final Calculation Sheet'!$L$31)</f>
        <v/>
      </c>
      <c r="N39" s="70">
        <f>IF('Final Calculation Sheet'!$M$31="","",'Final Calculation Sheet'!$M$31)</f>
        <v/>
      </c>
      <c r="O39" s="71">
        <f>IF('Final Calculation Sheet'!$N$31="","",'Final Calculation Sheet'!$N$31)</f>
        <v/>
      </c>
      <c r="P39" s="70">
        <f>IF('Final Calculation Sheet'!$O$31="","",'Final Calculation Sheet'!$O$31)</f>
        <v/>
      </c>
      <c r="Q39" s="70">
        <f>IF('Final Calculation Sheet'!$P$31="","",'Final Calculation Sheet'!$P$31)</f>
        <v/>
      </c>
      <c r="R39" s="72">
        <f>IF('Final Calculation Sheet'!$Q$31="","",'Final Calculation Sheet'!$Q$31)</f>
        <v/>
      </c>
      <c r="S39" s="70">
        <f>IF('Final Calculation Sheet'!$R$31="","",'Final Calculation Sheet'!$R$31)</f>
        <v/>
      </c>
      <c r="T39" s="70">
        <f>IF('Final Calculation Sheet'!$S$31="","",'Final Calculation Sheet'!$S$31)</f>
        <v/>
      </c>
      <c r="U39" s="70">
        <f>IF('Final Calculation Sheet'!$T$31="","",'Final Calculation Sheet'!$T$31)</f>
        <v/>
      </c>
      <c r="V39" s="73">
        <f>IF('Final Calculation Sheet'!$U$31="","",'Final Calculation Sheet'!$U$31)</f>
        <v/>
      </c>
      <c r="W39" s="70">
        <f>IF('Final Calculation Sheet'!$V$31="","",'Final Calculation Sheet'!$V$31)</f>
        <v/>
      </c>
      <c r="X39" s="70">
        <f>IF('Final Calculation Sheet'!$W$31="","",'Final Calculation Sheet'!$W$31)</f>
        <v/>
      </c>
      <c r="Y39" s="70">
        <f>IF('Final Calculation Sheet'!$X$31="","",'Final Calculation Sheet'!$X$31)</f>
        <v/>
      </c>
      <c r="Z39" s="70">
        <f>IF('Final Calculation Sheet'!$Y$31="","",'Final Calculation Sheet'!$Y$31)</f>
        <v/>
      </c>
      <c r="AA39" s="70">
        <f>IF('Final Calculation Sheet'!$Z$31="","",'Final Calculation Sheet'!$Z$31)</f>
        <v/>
      </c>
      <c r="AB39" s="70">
        <f>IF('Final Calculation Sheet'!$AA$31="","",'Final Calculation Sheet'!$AA$31)</f>
        <v/>
      </c>
      <c r="AC39" s="70">
        <f>IF('Final Calculation Sheet'!$AB$31="","",'Final Calculation Sheet'!$AB$31)</f>
        <v/>
      </c>
      <c r="AD39" s="70">
        <f>IF('Final Calculation Sheet'!$AC$31="","",'Final Calculation Sheet'!$AC$31)</f>
        <v/>
      </c>
      <c r="AE39" s="70">
        <f>IF('Final Calculation Sheet'!$AD$31="","",'Final Calculation Sheet'!$AD$31)</f>
        <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
      </c>
      <c r="AK39">
        <f>IF(AJ39=1,COUNTIF(AJ$6:AJ39,1),"")</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row>
    <row r="40" ht="15" customHeight="1" s="137">
      <c r="A40" s="81" t="inlineStr">
        <is>
          <t>∑</t>
        </is>
      </c>
      <c r="B40" s="83" t="n"/>
      <c r="C40" s="83">
        <f>ROWS($C$39:$C$39)&amp;" lot(s)"</f>
        <v/>
      </c>
      <c r="D40" s="83" t="inlineStr">
        <is>
          <t>SUBTOTAL — SAHARA ENTERPRISES</t>
        </is>
      </c>
      <c r="E40" s="83" t="inlineStr">
        <is>
          <t>–</t>
        </is>
      </c>
      <c r="F40" s="83">
        <f>SUM(F39:F39)</f>
        <v/>
      </c>
      <c r="G40" s="83" t="inlineStr">
        <is>
          <t>–</t>
        </is>
      </c>
      <c r="H40" s="84" t="inlineStr">
        <is>
          <t>–</t>
        </is>
      </c>
      <c r="I40" s="84">
        <f>SUM(I39:I39)</f>
        <v/>
      </c>
      <c r="J40" s="84">
        <f>SUM(J39:J39)</f>
        <v/>
      </c>
      <c r="K40" s="84">
        <f>SUM(K39:K39)</f>
        <v/>
      </c>
      <c r="L40" s="84">
        <f>SUM(L39:L39)</f>
        <v/>
      </c>
      <c r="M40" s="84">
        <f>SUM(M39:M39)</f>
        <v/>
      </c>
      <c r="N40" s="84">
        <f>SUM(N39:N39)</f>
        <v/>
      </c>
      <c r="O40" s="85">
        <f>SUM(O39:O39)</f>
        <v/>
      </c>
      <c r="P40" s="84">
        <f>SUM(P39:P39)</f>
        <v/>
      </c>
      <c r="Q40" s="84">
        <f>SUM(Q39:Q39)</f>
        <v/>
      </c>
      <c r="R40" s="86" t="inlineStr">
        <is>
          <t>–</t>
        </is>
      </c>
      <c r="S40" s="84">
        <f>SUM(S39:S39)</f>
        <v/>
      </c>
      <c r="T40" s="84">
        <f>SUM(T39:T39)</f>
        <v/>
      </c>
      <c r="U40" s="84">
        <f>SUM(U39:U39)</f>
        <v/>
      </c>
      <c r="V40" s="87">
        <f>SUM(V39:V39)</f>
        <v/>
      </c>
      <c r="W40" s="84" t="inlineStr">
        <is>
          <t>–</t>
        </is>
      </c>
      <c r="X40" s="84">
        <f>SUM(X39:X39)</f>
        <v/>
      </c>
      <c r="Y40" s="84">
        <f>SUM(Y39:Y39)</f>
        <v/>
      </c>
      <c r="Z40" s="84" t="inlineStr">
        <is>
          <t>–</t>
        </is>
      </c>
      <c r="AA40" s="84">
        <f>SUM(AA39:AA39)</f>
        <v/>
      </c>
      <c r="AB40" s="84">
        <f>SUM(AB39:AB39)</f>
        <v/>
      </c>
      <c r="AC40" s="84" t="inlineStr">
        <is>
          <t>–</t>
        </is>
      </c>
      <c r="AD40" s="84">
        <f>SUM(AD39:AD39)</f>
        <v/>
      </c>
      <c r="AE40" s="84">
        <f>SUM(AE39:AE39)</f>
        <v/>
      </c>
      <c r="AF40" s="89">
        <f>IF(AE40&lt;=5,"SETTLED","OUTSTANDING")</f>
        <v/>
      </c>
      <c r="AG40" s="84" t="inlineStr">
        <is>
          <t>–</t>
        </is>
      </c>
      <c r="AH40" s="88" t="inlineStr">
        <is>
          <t>–</t>
        </is>
      </c>
      <c r="AI40" s="84" t="inlineStr">
        <is>
          <t>–</t>
        </is>
      </c>
      <c r="AJ40">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
      </c>
      <c r="AK40">
        <f>IF(AJ40=1,COUNTIF(AJ$6:AJ40,1),"")</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row>
    <row r="41" outlineLevel="1" ht="15" customHeight="1" s="137">
      <c r="A41" s="67" t="n">
        <v>1</v>
      </c>
      <c r="B41" s="76">
        <f>IF('Final Calculation Sheet'!$F$9="","",'Final Calculation Sheet'!$F$9)</f>
        <v/>
      </c>
      <c r="C41" s="76">
        <f>IF('Final Calculation Sheet'!$G$9="","",'Final Calculation Sheet'!$G$9)</f>
        <v/>
      </c>
      <c r="D41" s="80">
        <f>IF('Final Calculation Sheet'!$B$9="","",'Final Calculation Sheet'!$B$9)</f>
        <v/>
      </c>
      <c r="E41" s="80">
        <f>IF('Final Calculation Sheet'!$D$9="","",'Final Calculation Sheet'!$D$9)</f>
        <v/>
      </c>
      <c r="F41" s="80">
        <f>IF('Final Calculation Sheet'!$A$9="","",'Final Calculation Sheet'!$A$9)</f>
        <v/>
      </c>
      <c r="G41" s="80">
        <f>IF('Final Calculation Sheet'!$E$9="","",'Final Calculation Sheet'!$E$9)</f>
        <v/>
      </c>
      <c r="H41" s="70">
        <f>IF('Final Calculation Sheet'!$C$9="","",'Final Calculation Sheet'!$C$9)</f>
        <v/>
      </c>
      <c r="I41" s="70">
        <f>IF('Final Calculation Sheet'!$H$9="","",'Final Calculation Sheet'!$H$9)</f>
        <v/>
      </c>
      <c r="J41" s="70">
        <f>IF('Final Calculation Sheet'!$I$9="","",'Final Calculation Sheet'!$I$9)</f>
        <v/>
      </c>
      <c r="K41" s="70">
        <f>IF('Final Calculation Sheet'!$J$9="","",'Final Calculation Sheet'!$J$9)</f>
        <v/>
      </c>
      <c r="L41" s="70">
        <f>IF('Final Calculation Sheet'!$K$9="","",'Final Calculation Sheet'!$K$9)</f>
        <v/>
      </c>
      <c r="M41" s="70">
        <f>IF('Final Calculation Sheet'!$L$9="","",'Final Calculation Sheet'!$L$9)</f>
        <v/>
      </c>
      <c r="N41" s="70">
        <f>IF('Final Calculation Sheet'!$M$9="","",'Final Calculation Sheet'!$M$9)</f>
        <v/>
      </c>
      <c r="O41" s="71">
        <f>IF('Final Calculation Sheet'!$N$9="","",'Final Calculation Sheet'!$N$9)</f>
        <v/>
      </c>
      <c r="P41" s="70">
        <f>IF('Final Calculation Sheet'!$O$9="","",'Final Calculation Sheet'!$O$9)</f>
        <v/>
      </c>
      <c r="Q41" s="70">
        <f>IF('Final Calculation Sheet'!$P$9="","",'Final Calculation Sheet'!$P$9)</f>
        <v/>
      </c>
      <c r="R41" s="72">
        <f>IF('Final Calculation Sheet'!$Q$9="","",'Final Calculation Sheet'!$Q$9)</f>
        <v/>
      </c>
      <c r="S41" s="70">
        <f>IF('Final Calculation Sheet'!$R$9="","",'Final Calculation Sheet'!$R$9)</f>
        <v/>
      </c>
      <c r="T41" s="70">
        <f>IF('Final Calculation Sheet'!$S$9="","",'Final Calculation Sheet'!$S$9)</f>
        <v/>
      </c>
      <c r="U41" s="70">
        <f>IF('Final Calculation Sheet'!$T$9="","",'Final Calculation Sheet'!$T$9)</f>
        <v/>
      </c>
      <c r="V41" s="73">
        <f>IF('Final Calculation Sheet'!$U$9="","",'Final Calculation Sheet'!$U$9)</f>
        <v/>
      </c>
      <c r="W41" s="70">
        <f>IF('Final Calculation Sheet'!$V$9="","",'Final Calculation Sheet'!$V$9)</f>
        <v/>
      </c>
      <c r="X41" s="70">
        <f>IF('Final Calculation Sheet'!$W$9="","",'Final Calculation Sheet'!$W$9)</f>
        <v/>
      </c>
      <c r="Y41" s="70">
        <f>IF('Final Calculation Sheet'!$X$9="","",'Final Calculation Sheet'!$X$9)</f>
        <v/>
      </c>
      <c r="Z41" s="70">
        <f>IF('Final Calculation Sheet'!$Y$9="","",'Final Calculation Sheet'!$Y$9)</f>
        <v/>
      </c>
      <c r="AA41" s="70">
        <f>IF('Final Calculation Sheet'!$Z$9="","",'Final Calculation Sheet'!$Z$9)</f>
        <v/>
      </c>
      <c r="AB41" s="70">
        <f>IF('Final Calculation Sheet'!$AA$9="","",'Final Calculation Sheet'!$AA$9)</f>
        <v/>
      </c>
      <c r="AC41" s="70">
        <f>IF('Final Calculation Sheet'!$AB$9="","",'Final Calculation Sheet'!$AB$9)</f>
        <v/>
      </c>
      <c r="AD41" s="70">
        <f>IF('Final Calculation Sheet'!$AC$9="","",'Final Calculation Sheet'!$AC$9)</f>
        <v/>
      </c>
      <c r="AE41" s="70">
        <f>IF('Final Calculation Sheet'!$AD$9="","",'Final Calculation Sheet'!$AD$9)</f>
        <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
      </c>
      <c r="AK41">
        <f>IF(AJ41=1,COUNTIF(AJ$6:AJ41,1),"")</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row>
    <row r="42" outlineLevel="1" ht="15" customHeight="1" s="137">
      <c r="A42" s="90" t="n">
        <v>2</v>
      </c>
      <c r="B42" s="92">
        <f>IF('Final Calculation Sheet'!$F$14="","",'Final Calculation Sheet'!$F$14)</f>
        <v/>
      </c>
      <c r="C42" s="92">
        <f>IF('Final Calculation Sheet'!$G$14="","",'Final Calculation Sheet'!$G$14)</f>
        <v/>
      </c>
      <c r="D42" s="94">
        <f>IF('Final Calculation Sheet'!$B$14="","",'Final Calculation Sheet'!$B$14)</f>
        <v/>
      </c>
      <c r="E42" s="94">
        <f>IF('Final Calculation Sheet'!$D$14="","",'Final Calculation Sheet'!$D$14)</f>
        <v/>
      </c>
      <c r="F42" s="94">
        <f>IF('Final Calculation Sheet'!$A$14="","",'Final Calculation Sheet'!$A$14)</f>
        <v/>
      </c>
      <c r="G42" s="94">
        <f>IF('Final Calculation Sheet'!$E$14="","",'Final Calculation Sheet'!$E$14)</f>
        <v/>
      </c>
      <c r="H42" s="95">
        <f>IF('Final Calculation Sheet'!$C$14="","",'Final Calculation Sheet'!$C$14)</f>
        <v/>
      </c>
      <c r="I42" s="95">
        <f>IF('Final Calculation Sheet'!$H$14="","",'Final Calculation Sheet'!$H$14)</f>
        <v/>
      </c>
      <c r="J42" s="95">
        <f>IF('Final Calculation Sheet'!$I$14="","",'Final Calculation Sheet'!$I$14)</f>
        <v/>
      </c>
      <c r="K42" s="95">
        <f>IF('Final Calculation Sheet'!$J$14="","",'Final Calculation Sheet'!$J$14)</f>
        <v/>
      </c>
      <c r="L42" s="95">
        <f>IF('Final Calculation Sheet'!$K$14="","",'Final Calculation Sheet'!$K$14)</f>
        <v/>
      </c>
      <c r="M42" s="95">
        <f>IF('Final Calculation Sheet'!$L$14="","",'Final Calculation Sheet'!$L$14)</f>
        <v/>
      </c>
      <c r="N42" s="95">
        <f>IF('Final Calculation Sheet'!$M$14="","",'Final Calculation Sheet'!$M$14)</f>
        <v/>
      </c>
      <c r="O42" s="96">
        <f>IF('Final Calculation Sheet'!$N$14="","",'Final Calculation Sheet'!$N$14)</f>
        <v/>
      </c>
      <c r="P42" s="95">
        <f>IF('Final Calculation Sheet'!$O$14="","",'Final Calculation Sheet'!$O$14)</f>
        <v/>
      </c>
      <c r="Q42" s="95">
        <f>IF('Final Calculation Sheet'!$P$14="","",'Final Calculation Sheet'!$P$14)</f>
        <v/>
      </c>
      <c r="R42" s="97">
        <f>IF('Final Calculation Sheet'!$Q$14="","",'Final Calculation Sheet'!$Q$14)</f>
        <v/>
      </c>
      <c r="S42" s="95">
        <f>IF('Final Calculation Sheet'!$R$14="","",'Final Calculation Sheet'!$R$14)</f>
        <v/>
      </c>
      <c r="T42" s="95">
        <f>IF('Final Calculation Sheet'!$S$14="","",'Final Calculation Sheet'!$S$14)</f>
        <v/>
      </c>
      <c r="U42" s="95">
        <f>IF('Final Calculation Sheet'!$T$14="","",'Final Calculation Sheet'!$T$14)</f>
        <v/>
      </c>
      <c r="V42" s="98">
        <f>IF('Final Calculation Sheet'!$U$14="","",'Final Calculation Sheet'!$U$14)</f>
        <v/>
      </c>
      <c r="W42" s="95">
        <f>IF('Final Calculation Sheet'!$V$14="","",'Final Calculation Sheet'!$V$14)</f>
        <v/>
      </c>
      <c r="X42" s="95">
        <f>IF('Final Calculation Sheet'!$W$14="","",'Final Calculation Sheet'!$W$14)</f>
        <v/>
      </c>
      <c r="Y42" s="95">
        <f>IF('Final Calculation Sheet'!$X$14="","",'Final Calculation Sheet'!$X$14)</f>
        <v/>
      </c>
      <c r="Z42" s="95">
        <f>IF('Final Calculation Sheet'!$Y$14="","",'Final Calculation Sheet'!$Y$14)</f>
        <v/>
      </c>
      <c r="AA42" s="95">
        <f>IF('Final Calculation Sheet'!$Z$14="","",'Final Calculation Sheet'!$Z$14)</f>
        <v/>
      </c>
      <c r="AB42" s="95">
        <f>IF('Final Calculation Sheet'!$AA$14="","",'Final Calculation Sheet'!$AA$14)</f>
        <v/>
      </c>
      <c r="AC42" s="95">
        <f>IF('Final Calculation Sheet'!$AB$14="","",'Final Calculation Sheet'!$AB$14)</f>
        <v/>
      </c>
      <c r="AD42" s="95">
        <f>IF('Final Calculation Sheet'!$AC$14="","",'Final Calculation Sheet'!$AC$14)</f>
        <v/>
      </c>
      <c r="AE42" s="95">
        <f>IF('Final Calculation Sheet'!$AD$14="","",'Final Calculation Sheet'!$AD$14)</f>
        <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
      </c>
      <c r="AK42">
        <f>IF(AJ42=1,COUNTIF(AJ$6:AJ42,1),"")</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row>
    <row r="43" ht="15" customHeight="1" s="137">
      <c r="A43" s="81" t="inlineStr">
        <is>
          <t>∑</t>
        </is>
      </c>
      <c r="B43" s="83" t="n"/>
      <c r="C43" s="83">
        <f>ROWS($C$41:$C$42)&amp;" lot(s)"</f>
        <v/>
      </c>
      <c r="D43" s="83" t="inlineStr">
        <is>
          <t>SUBTOTAL — SHAR JAHAN TRADERS</t>
        </is>
      </c>
      <c r="E43" s="83" t="inlineStr">
        <is>
          <t>–</t>
        </is>
      </c>
      <c r="F43" s="83">
        <f>SUM(F41:F42)</f>
        <v/>
      </c>
      <c r="G43" s="83" t="inlineStr">
        <is>
          <t>–</t>
        </is>
      </c>
      <c r="H43" s="84" t="inlineStr">
        <is>
          <t>–</t>
        </is>
      </c>
      <c r="I43" s="84">
        <f>SUM(I41:I42)</f>
        <v/>
      </c>
      <c r="J43" s="84">
        <f>SUM(J41:J42)</f>
        <v/>
      </c>
      <c r="K43" s="84">
        <f>SUM(K41:K42)</f>
        <v/>
      </c>
      <c r="L43" s="84">
        <f>SUM(L41:L42)</f>
        <v/>
      </c>
      <c r="M43" s="84">
        <f>SUM(M41:M42)</f>
        <v/>
      </c>
      <c r="N43" s="84">
        <f>SUM(N41:N42)</f>
        <v/>
      </c>
      <c r="O43" s="85">
        <f>SUM(O41:O42)</f>
        <v/>
      </c>
      <c r="P43" s="84">
        <f>SUM(P41:P42)</f>
        <v/>
      </c>
      <c r="Q43" s="84">
        <f>SUM(Q41:Q42)</f>
        <v/>
      </c>
      <c r="R43" s="86" t="inlineStr">
        <is>
          <t>–</t>
        </is>
      </c>
      <c r="S43" s="84">
        <f>SUM(S41:S42)</f>
        <v/>
      </c>
      <c r="T43" s="84">
        <f>SUM(T41:T42)</f>
        <v/>
      </c>
      <c r="U43" s="84">
        <f>SUM(U41:U42)</f>
        <v/>
      </c>
      <c r="V43" s="87">
        <f>SUM(V41:V42)</f>
        <v/>
      </c>
      <c r="W43" s="84" t="inlineStr">
        <is>
          <t>–</t>
        </is>
      </c>
      <c r="X43" s="84">
        <f>SUM(X41:X42)</f>
        <v/>
      </c>
      <c r="Y43" s="84">
        <f>SUM(Y41:Y42)</f>
        <v/>
      </c>
      <c r="Z43" s="84" t="inlineStr">
        <is>
          <t>–</t>
        </is>
      </c>
      <c r="AA43" s="84">
        <f>SUM(AA41:AA42)</f>
        <v/>
      </c>
      <c r="AB43" s="84">
        <f>SUM(AB41:AB42)</f>
        <v/>
      </c>
      <c r="AC43" s="84" t="inlineStr">
        <is>
          <t>–</t>
        </is>
      </c>
      <c r="AD43" s="84">
        <f>SUM(AD41:AD42)</f>
        <v/>
      </c>
      <c r="AE43" s="84">
        <f>SUM(AE41:AE42)</f>
        <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
      </c>
      <c r="C44" s="76">
        <f>IF('Final Calculation Sheet'!$G$13="","",'Final Calculation Sheet'!$G$13)</f>
        <v/>
      </c>
      <c r="D44" s="80">
        <f>IF('Final Calculation Sheet'!$B$13="","",'Final Calculation Sheet'!$B$13)</f>
        <v/>
      </c>
      <c r="E44" s="80">
        <f>IF('Final Calculation Sheet'!$D$13="","",'Final Calculation Sheet'!$D$13)</f>
        <v/>
      </c>
      <c r="F44" s="80">
        <f>IF('Final Calculation Sheet'!$A$13="","",'Final Calculation Sheet'!$A$13)</f>
        <v/>
      </c>
      <c r="G44" s="80">
        <f>IF('Final Calculation Sheet'!$E$13="","",'Final Calculation Sheet'!$E$13)</f>
        <v/>
      </c>
      <c r="H44" s="70">
        <f>IF('Final Calculation Sheet'!$C$13="","",'Final Calculation Sheet'!$C$13)</f>
        <v/>
      </c>
      <c r="I44" s="70">
        <f>IF('Final Calculation Sheet'!$H$13="","",'Final Calculation Sheet'!$H$13)</f>
        <v/>
      </c>
      <c r="J44" s="70">
        <f>IF('Final Calculation Sheet'!$I$13="","",'Final Calculation Sheet'!$I$13)</f>
        <v/>
      </c>
      <c r="K44" s="70">
        <f>IF('Final Calculation Sheet'!$J$13="","",'Final Calculation Sheet'!$J$13)</f>
        <v/>
      </c>
      <c r="L44" s="70">
        <f>IF('Final Calculation Sheet'!$K$13="","",'Final Calculation Sheet'!$K$13)</f>
        <v/>
      </c>
      <c r="M44" s="70">
        <f>IF('Final Calculation Sheet'!$L$13="","",'Final Calculation Sheet'!$L$13)</f>
        <v/>
      </c>
      <c r="N44" s="70">
        <f>IF('Final Calculation Sheet'!$M$13="","",'Final Calculation Sheet'!$M$13)</f>
        <v/>
      </c>
      <c r="O44" s="71">
        <f>IF('Final Calculation Sheet'!$N$13="","",'Final Calculation Sheet'!$N$13)</f>
        <v/>
      </c>
      <c r="P44" s="70">
        <f>IF('Final Calculation Sheet'!$O$13="","",'Final Calculation Sheet'!$O$13)</f>
        <v/>
      </c>
      <c r="Q44" s="70">
        <f>IF('Final Calculation Sheet'!$P$13="","",'Final Calculation Sheet'!$P$13)</f>
        <v/>
      </c>
      <c r="R44" s="72">
        <f>IF('Final Calculation Sheet'!$Q$13="","",'Final Calculation Sheet'!$Q$13)</f>
        <v/>
      </c>
      <c r="S44" s="70">
        <f>IF('Final Calculation Sheet'!$R$13="","",'Final Calculation Sheet'!$R$13)</f>
        <v/>
      </c>
      <c r="T44" s="70">
        <f>IF('Final Calculation Sheet'!$S$13="","",'Final Calculation Sheet'!$S$13)</f>
        <v/>
      </c>
      <c r="U44" s="70">
        <f>IF('Final Calculation Sheet'!$T$13="","",'Final Calculation Sheet'!$T$13)</f>
        <v/>
      </c>
      <c r="V44" s="73">
        <f>IF('Final Calculation Sheet'!$U$13="","",'Final Calculation Sheet'!$U$13)</f>
        <v/>
      </c>
      <c r="W44" s="70">
        <f>IF('Final Calculation Sheet'!$V$13="","",'Final Calculation Sheet'!$V$13)</f>
        <v/>
      </c>
      <c r="X44" s="70">
        <f>IF('Final Calculation Sheet'!$W$13="","",'Final Calculation Sheet'!$W$13)</f>
        <v/>
      </c>
      <c r="Y44" s="70">
        <f>IF('Final Calculation Sheet'!$X$13="","",'Final Calculation Sheet'!$X$13)</f>
        <v/>
      </c>
      <c r="Z44" s="70">
        <f>IF('Final Calculation Sheet'!$Y$13="","",'Final Calculation Sheet'!$Y$13)</f>
        <v/>
      </c>
      <c r="AA44" s="70">
        <f>IF('Final Calculation Sheet'!$Z$13="","",'Final Calculation Sheet'!$Z$13)</f>
        <v/>
      </c>
      <c r="AB44" s="70">
        <f>IF('Final Calculation Sheet'!$AA$13="","",'Final Calculation Sheet'!$AA$13)</f>
        <v/>
      </c>
      <c r="AC44" s="70">
        <f>IF('Final Calculation Sheet'!$AB$13="","",'Final Calculation Sheet'!$AB$13)</f>
        <v/>
      </c>
      <c r="AD44" s="70">
        <f>IF('Final Calculation Sheet'!$AC$13="","",'Final Calculation Sheet'!$AC$13)</f>
        <v/>
      </c>
      <c r="AE44" s="70">
        <f>IF('Final Calculation Sheet'!$AD$13="","",'Final Calculation Sheet'!$AD$13)</f>
        <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
      </c>
      <c r="C45" s="92">
        <f>IF('Final Calculation Sheet'!$G$16="","",'Final Calculation Sheet'!$G$16)</f>
        <v/>
      </c>
      <c r="D45" s="94">
        <f>IF('Final Calculation Sheet'!$B$16="","",'Final Calculation Sheet'!$B$16)</f>
        <v/>
      </c>
      <c r="E45" s="94">
        <f>IF('Final Calculation Sheet'!$D$16="","",'Final Calculation Sheet'!$D$16)</f>
        <v/>
      </c>
      <c r="F45" s="94">
        <f>IF('Final Calculation Sheet'!$A$16="","",'Final Calculation Sheet'!$A$16)</f>
        <v/>
      </c>
      <c r="G45" s="94">
        <f>IF('Final Calculation Sheet'!$E$16="","",'Final Calculation Sheet'!$E$16)</f>
        <v/>
      </c>
      <c r="H45" s="95">
        <f>IF('Final Calculation Sheet'!$C$16="","",'Final Calculation Sheet'!$C$16)</f>
        <v/>
      </c>
      <c r="I45" s="95">
        <f>IF('Final Calculation Sheet'!$H$16="","",'Final Calculation Sheet'!$H$16)</f>
        <v/>
      </c>
      <c r="J45" s="95">
        <f>IF('Final Calculation Sheet'!$I$16="","",'Final Calculation Sheet'!$I$16)</f>
        <v/>
      </c>
      <c r="K45" s="95">
        <f>IF('Final Calculation Sheet'!$J$16="","",'Final Calculation Sheet'!$J$16)</f>
        <v/>
      </c>
      <c r="L45" s="95">
        <f>IF('Final Calculation Sheet'!$K$16="","",'Final Calculation Sheet'!$K$16)</f>
        <v/>
      </c>
      <c r="M45" s="95">
        <f>IF('Final Calculation Sheet'!$L$16="","",'Final Calculation Sheet'!$L$16)</f>
        <v/>
      </c>
      <c r="N45" s="95">
        <f>IF('Final Calculation Sheet'!$M$16="","",'Final Calculation Sheet'!$M$16)</f>
        <v/>
      </c>
      <c r="O45" s="96">
        <f>IF('Final Calculation Sheet'!$N$16="","",'Final Calculation Sheet'!$N$16)</f>
        <v/>
      </c>
      <c r="P45" s="95">
        <f>IF('Final Calculation Sheet'!$O$16="","",'Final Calculation Sheet'!$O$16)</f>
        <v/>
      </c>
      <c r="Q45" s="95">
        <f>IF('Final Calculation Sheet'!$P$16="","",'Final Calculation Sheet'!$P$16)</f>
        <v/>
      </c>
      <c r="R45" s="97">
        <f>IF('Final Calculation Sheet'!$Q$16="","",'Final Calculation Sheet'!$Q$16)</f>
        <v/>
      </c>
      <c r="S45" s="95">
        <f>IF('Final Calculation Sheet'!$R$16="","",'Final Calculation Sheet'!$R$16)</f>
        <v/>
      </c>
      <c r="T45" s="95">
        <f>IF('Final Calculation Sheet'!$S$16="","",'Final Calculation Sheet'!$S$16)</f>
        <v/>
      </c>
      <c r="U45" s="95">
        <f>IF('Final Calculation Sheet'!$T$16="","",'Final Calculation Sheet'!$T$16)</f>
        <v/>
      </c>
      <c r="V45" s="98">
        <f>IF('Final Calculation Sheet'!$U$16="","",'Final Calculation Sheet'!$U$16)</f>
        <v/>
      </c>
      <c r="W45" s="95">
        <f>IF('Final Calculation Sheet'!$V$16="","",'Final Calculation Sheet'!$V$16)</f>
        <v/>
      </c>
      <c r="X45" s="95">
        <f>IF('Final Calculation Sheet'!$W$16="","",'Final Calculation Sheet'!$W$16)</f>
        <v/>
      </c>
      <c r="Y45" s="95">
        <f>IF('Final Calculation Sheet'!$X$16="","",'Final Calculation Sheet'!$X$16)</f>
        <v/>
      </c>
      <c r="Z45" s="95">
        <f>IF('Final Calculation Sheet'!$Y$16="","",'Final Calculation Sheet'!$Y$16)</f>
        <v/>
      </c>
      <c r="AA45" s="95">
        <f>IF('Final Calculation Sheet'!$Z$16="","",'Final Calculation Sheet'!$Z$16)</f>
        <v/>
      </c>
      <c r="AB45" s="95">
        <f>IF('Final Calculation Sheet'!$AA$16="","",'Final Calculation Sheet'!$AA$16)</f>
        <v/>
      </c>
      <c r="AC45" s="95">
        <f>IF('Final Calculation Sheet'!$AB$16="","",'Final Calculation Sheet'!$AB$16)</f>
        <v/>
      </c>
      <c r="AD45" s="95">
        <f>IF('Final Calculation Sheet'!$AC$16="","",'Final Calculation Sheet'!$AC$16)</f>
        <v/>
      </c>
      <c r="AE45" s="95">
        <f>IF('Final Calculation Sheet'!$AD$16="","",'Final Calculation Sheet'!$AD$16)</f>
        <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
      </c>
      <c r="C46" s="76">
        <f>IF('Final Calculation Sheet'!$G$17="","",'Final Calculation Sheet'!$G$17)</f>
        <v/>
      </c>
      <c r="D46" s="80">
        <f>IF('Final Calculation Sheet'!$B$17="","",'Final Calculation Sheet'!$B$17)</f>
        <v/>
      </c>
      <c r="E46" s="80">
        <f>IF('Final Calculation Sheet'!$D$17="","",'Final Calculation Sheet'!$D$17)</f>
        <v/>
      </c>
      <c r="F46" s="80">
        <f>IF('Final Calculation Sheet'!$A$17="","",'Final Calculation Sheet'!$A$17)</f>
        <v/>
      </c>
      <c r="G46" s="80">
        <f>IF('Final Calculation Sheet'!$E$17="","",'Final Calculation Sheet'!$E$17)</f>
        <v/>
      </c>
      <c r="H46" s="70">
        <f>IF('Final Calculation Sheet'!$C$17="","",'Final Calculation Sheet'!$C$17)</f>
        <v/>
      </c>
      <c r="I46" s="70">
        <f>IF('Final Calculation Sheet'!$H$17="","",'Final Calculation Sheet'!$H$17)</f>
        <v/>
      </c>
      <c r="J46" s="70">
        <f>IF('Final Calculation Sheet'!$I$17="","",'Final Calculation Sheet'!$I$17)</f>
        <v/>
      </c>
      <c r="K46" s="70">
        <f>IF('Final Calculation Sheet'!$J$17="","",'Final Calculation Sheet'!$J$17)</f>
        <v/>
      </c>
      <c r="L46" s="70">
        <f>IF('Final Calculation Sheet'!$K$17="","",'Final Calculation Sheet'!$K$17)</f>
        <v/>
      </c>
      <c r="M46" s="70">
        <f>IF('Final Calculation Sheet'!$L$17="","",'Final Calculation Sheet'!$L$17)</f>
        <v/>
      </c>
      <c r="N46" s="70">
        <f>IF('Final Calculation Sheet'!$M$17="","",'Final Calculation Sheet'!$M$17)</f>
        <v/>
      </c>
      <c r="O46" s="71">
        <f>IF('Final Calculation Sheet'!$N$17="","",'Final Calculation Sheet'!$N$17)</f>
        <v/>
      </c>
      <c r="P46" s="70">
        <f>IF('Final Calculation Sheet'!$O$17="","",'Final Calculation Sheet'!$O$17)</f>
        <v/>
      </c>
      <c r="Q46" s="70">
        <f>IF('Final Calculation Sheet'!$P$17="","",'Final Calculation Sheet'!$P$17)</f>
        <v/>
      </c>
      <c r="R46" s="72">
        <f>IF('Final Calculation Sheet'!$Q$17="","",'Final Calculation Sheet'!$Q$17)</f>
        <v/>
      </c>
      <c r="S46" s="70">
        <f>IF('Final Calculation Sheet'!$R$17="","",'Final Calculation Sheet'!$R$17)</f>
        <v/>
      </c>
      <c r="T46" s="70">
        <f>IF('Final Calculation Sheet'!$S$17="","",'Final Calculation Sheet'!$S$17)</f>
        <v/>
      </c>
      <c r="U46" s="70">
        <f>IF('Final Calculation Sheet'!$T$17="","",'Final Calculation Sheet'!$T$17)</f>
        <v/>
      </c>
      <c r="V46" s="73">
        <f>IF('Final Calculation Sheet'!$U$17="","",'Final Calculation Sheet'!$U$17)</f>
        <v/>
      </c>
      <c r="W46" s="70">
        <f>IF('Final Calculation Sheet'!$V$17="","",'Final Calculation Sheet'!$V$17)</f>
        <v/>
      </c>
      <c r="X46" s="70">
        <f>IF('Final Calculation Sheet'!$W$17="","",'Final Calculation Sheet'!$W$17)</f>
        <v/>
      </c>
      <c r="Y46" s="70">
        <f>IF('Final Calculation Sheet'!$X$17="","",'Final Calculation Sheet'!$X$17)</f>
        <v/>
      </c>
      <c r="Z46" s="70">
        <f>IF('Final Calculation Sheet'!$Y$17="","",'Final Calculation Sheet'!$Y$17)</f>
        <v/>
      </c>
      <c r="AA46" s="70">
        <f>IF('Final Calculation Sheet'!$Z$17="","",'Final Calculation Sheet'!$Z$17)</f>
        <v/>
      </c>
      <c r="AB46" s="70">
        <f>IF('Final Calculation Sheet'!$AA$17="","",'Final Calculation Sheet'!$AA$17)</f>
        <v/>
      </c>
      <c r="AC46" s="70">
        <f>IF('Final Calculation Sheet'!$AB$17="","",'Final Calculation Sheet'!$AB$17)</f>
        <v/>
      </c>
      <c r="AD46" s="70">
        <f>IF('Final Calculation Sheet'!$AC$17="","",'Final Calculation Sheet'!$AC$17)</f>
        <v/>
      </c>
      <c r="AE46" s="70">
        <f>IF('Final Calculation Sheet'!$AD$17="","",'Final Calculation Sheet'!$AD$17)</f>
        <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
      </c>
      <c r="C47" s="92">
        <f>IF('Final Calculation Sheet'!$G$23="","",'Final Calculation Sheet'!$G$23)</f>
        <v/>
      </c>
      <c r="D47" s="94">
        <f>IF('Final Calculation Sheet'!$B$23="","",'Final Calculation Sheet'!$B$23)</f>
        <v/>
      </c>
      <c r="E47" s="94">
        <f>IF('Final Calculation Sheet'!$D$23="","",'Final Calculation Sheet'!$D$23)</f>
        <v/>
      </c>
      <c r="F47" s="94">
        <f>IF('Final Calculation Sheet'!$A$23="","",'Final Calculation Sheet'!$A$23)</f>
        <v/>
      </c>
      <c r="G47" s="94">
        <f>IF('Final Calculation Sheet'!$E$23="","",'Final Calculation Sheet'!$E$23)</f>
        <v/>
      </c>
      <c r="H47" s="95">
        <f>IF('Final Calculation Sheet'!$C$23="","",'Final Calculation Sheet'!$C$23)</f>
        <v/>
      </c>
      <c r="I47" s="95">
        <f>IF('Final Calculation Sheet'!$H$23="","",'Final Calculation Sheet'!$H$23)</f>
        <v/>
      </c>
      <c r="J47" s="95">
        <f>IF('Final Calculation Sheet'!$I$23="","",'Final Calculation Sheet'!$I$23)</f>
        <v/>
      </c>
      <c r="K47" s="95">
        <f>IF('Final Calculation Sheet'!$J$23="","",'Final Calculation Sheet'!$J$23)</f>
        <v/>
      </c>
      <c r="L47" s="95">
        <f>IF('Final Calculation Sheet'!$K$23="","",'Final Calculation Sheet'!$K$23)</f>
        <v/>
      </c>
      <c r="M47" s="95">
        <f>IF('Final Calculation Sheet'!$L$23="","",'Final Calculation Sheet'!$L$23)</f>
        <v/>
      </c>
      <c r="N47" s="95">
        <f>IF('Final Calculation Sheet'!$M$23="","",'Final Calculation Sheet'!$M$23)</f>
        <v/>
      </c>
      <c r="O47" s="96">
        <f>IF('Final Calculation Sheet'!$N$23="","",'Final Calculation Sheet'!$N$23)</f>
        <v/>
      </c>
      <c r="P47" s="95">
        <f>IF('Final Calculation Sheet'!$O$23="","",'Final Calculation Sheet'!$O$23)</f>
        <v/>
      </c>
      <c r="Q47" s="95">
        <f>IF('Final Calculation Sheet'!$P$23="","",'Final Calculation Sheet'!$P$23)</f>
        <v/>
      </c>
      <c r="R47" s="97">
        <f>IF('Final Calculation Sheet'!$Q$23="","",'Final Calculation Sheet'!$Q$23)</f>
        <v/>
      </c>
      <c r="S47" s="95">
        <f>IF('Final Calculation Sheet'!$R$23="","",'Final Calculation Sheet'!$R$23)</f>
        <v/>
      </c>
      <c r="T47" s="95">
        <f>IF('Final Calculation Sheet'!$S$23="","",'Final Calculation Sheet'!$S$23)</f>
        <v/>
      </c>
      <c r="U47" s="95">
        <f>IF('Final Calculation Sheet'!$T$23="","",'Final Calculation Sheet'!$T$23)</f>
        <v/>
      </c>
      <c r="V47" s="98">
        <f>IF('Final Calculation Sheet'!$U$23="","",'Final Calculation Sheet'!$U$23)</f>
        <v/>
      </c>
      <c r="W47" s="95">
        <f>IF('Final Calculation Sheet'!$V$23="","",'Final Calculation Sheet'!$V$23)</f>
        <v/>
      </c>
      <c r="X47" s="95">
        <f>IF('Final Calculation Sheet'!$W$23="","",'Final Calculation Sheet'!$W$23)</f>
        <v/>
      </c>
      <c r="Y47" s="95">
        <f>IF('Final Calculation Sheet'!$X$23="","",'Final Calculation Sheet'!$X$23)</f>
        <v/>
      </c>
      <c r="Z47" s="95">
        <f>IF('Final Calculation Sheet'!$Y$23="","",'Final Calculation Sheet'!$Y$23)</f>
        <v/>
      </c>
      <c r="AA47" s="95">
        <f>IF('Final Calculation Sheet'!$Z$23="","",'Final Calculation Sheet'!$Z$23)</f>
        <v/>
      </c>
      <c r="AB47" s="95">
        <f>IF('Final Calculation Sheet'!$AA$23="","",'Final Calculation Sheet'!$AA$23)</f>
        <v/>
      </c>
      <c r="AC47" s="95">
        <f>IF('Final Calculation Sheet'!$AB$23="","",'Final Calculation Sheet'!$AB$23)</f>
        <v/>
      </c>
      <c r="AD47" s="95">
        <f>IF('Final Calculation Sheet'!$AC$23="","",'Final Calculation Sheet'!$AC$23)</f>
        <v/>
      </c>
      <c r="AE47" s="95">
        <f>IF('Final Calculation Sheet'!$AD$23="","",'Final Calculation Sheet'!$AD$23)</f>
        <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
      </c>
      <c r="C48" s="76">
        <f>IF('Final Calculation Sheet'!$G$29="","",'Final Calculation Sheet'!$G$29)</f>
        <v/>
      </c>
      <c r="D48" s="80">
        <f>IF('Final Calculation Sheet'!$B$29="","",'Final Calculation Sheet'!$B$29)</f>
        <v/>
      </c>
      <c r="E48" s="80">
        <f>IF('Final Calculation Sheet'!$D$29="","",'Final Calculation Sheet'!$D$29)</f>
        <v/>
      </c>
      <c r="F48" s="80">
        <f>IF('Final Calculation Sheet'!$A$29="","",'Final Calculation Sheet'!$A$29)</f>
        <v/>
      </c>
      <c r="G48" s="80">
        <f>IF('Final Calculation Sheet'!$E$29="","",'Final Calculation Sheet'!$E$29)</f>
        <v/>
      </c>
      <c r="H48" s="70">
        <f>IF('Final Calculation Sheet'!$C$29="","",'Final Calculation Sheet'!$C$29)</f>
        <v/>
      </c>
      <c r="I48" s="70">
        <f>IF('Final Calculation Sheet'!$H$29="","",'Final Calculation Sheet'!$H$29)</f>
        <v/>
      </c>
      <c r="J48" s="70">
        <f>IF('Final Calculation Sheet'!$I$29="","",'Final Calculation Sheet'!$I$29)</f>
        <v/>
      </c>
      <c r="K48" s="70">
        <f>IF('Final Calculation Sheet'!$J$29="","",'Final Calculation Sheet'!$J$29)</f>
        <v/>
      </c>
      <c r="L48" s="70">
        <f>IF('Final Calculation Sheet'!$K$29="","",'Final Calculation Sheet'!$K$29)</f>
        <v/>
      </c>
      <c r="M48" s="70">
        <f>IF('Final Calculation Sheet'!$L$29="","",'Final Calculation Sheet'!$L$29)</f>
        <v/>
      </c>
      <c r="N48" s="70">
        <f>IF('Final Calculation Sheet'!$M$29="","",'Final Calculation Sheet'!$M$29)</f>
        <v/>
      </c>
      <c r="O48" s="71">
        <f>IF('Final Calculation Sheet'!$N$29="","",'Final Calculation Sheet'!$N$29)</f>
        <v/>
      </c>
      <c r="P48" s="70">
        <f>IF('Final Calculation Sheet'!$O$29="","",'Final Calculation Sheet'!$O$29)</f>
        <v/>
      </c>
      <c r="Q48" s="70">
        <f>IF('Final Calculation Sheet'!$P$29="","",'Final Calculation Sheet'!$P$29)</f>
        <v/>
      </c>
      <c r="R48" s="72">
        <f>IF('Final Calculation Sheet'!$Q$29="","",'Final Calculation Sheet'!$Q$29)</f>
        <v/>
      </c>
      <c r="S48" s="70">
        <f>IF('Final Calculation Sheet'!$R$29="","",'Final Calculation Sheet'!$R$29)</f>
        <v/>
      </c>
      <c r="T48" s="70">
        <f>IF('Final Calculation Sheet'!$S$29="","",'Final Calculation Sheet'!$S$29)</f>
        <v/>
      </c>
      <c r="U48" s="70">
        <f>IF('Final Calculation Sheet'!$T$29="","",'Final Calculation Sheet'!$T$29)</f>
        <v/>
      </c>
      <c r="V48" s="73">
        <f>IF('Final Calculation Sheet'!$U$29="","",'Final Calculation Sheet'!$U$29)</f>
        <v/>
      </c>
      <c r="W48" s="70">
        <f>IF('Final Calculation Sheet'!$V$29="","",'Final Calculation Sheet'!$V$29)</f>
        <v/>
      </c>
      <c r="X48" s="70">
        <f>IF('Final Calculation Sheet'!$W$29="","",'Final Calculation Sheet'!$W$29)</f>
        <v/>
      </c>
      <c r="Y48" s="70">
        <f>IF('Final Calculation Sheet'!$X$29="","",'Final Calculation Sheet'!$X$29)</f>
        <v/>
      </c>
      <c r="Z48" s="70">
        <f>IF('Final Calculation Sheet'!$Y$29="","",'Final Calculation Sheet'!$Y$29)</f>
        <v/>
      </c>
      <c r="AA48" s="70">
        <f>IF('Final Calculation Sheet'!$Z$29="","",'Final Calculation Sheet'!$Z$29)</f>
        <v/>
      </c>
      <c r="AB48" s="70">
        <f>IF('Final Calculation Sheet'!$AA$29="","",'Final Calculation Sheet'!$AA$29)</f>
        <v/>
      </c>
      <c r="AC48" s="70">
        <f>IF('Final Calculation Sheet'!$AB$29="","",'Final Calculation Sheet'!$AB$29)</f>
        <v/>
      </c>
      <c r="AD48" s="70">
        <f>IF('Final Calculation Sheet'!$AC$29="","",'Final Calculation Sheet'!$AC$29)</f>
        <v/>
      </c>
      <c r="AE48" s="70">
        <f>IF('Final Calculation Sheet'!$AD$29="","",'Final Calculation Sheet'!$AD$29)</f>
        <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
      </c>
      <c r="C49" s="92">
        <f>IF('Final Calculation Sheet'!$G$34="","",'Final Calculation Sheet'!$G$34)</f>
        <v/>
      </c>
      <c r="D49" s="94">
        <f>IF('Final Calculation Sheet'!$B$34="","",'Final Calculation Sheet'!$B$34)</f>
        <v/>
      </c>
      <c r="E49" s="94">
        <f>IF('Final Calculation Sheet'!$D$34="","",'Final Calculation Sheet'!$D$34)</f>
        <v/>
      </c>
      <c r="F49" s="94">
        <f>IF('Final Calculation Sheet'!$A$34="","",'Final Calculation Sheet'!$A$34)</f>
        <v/>
      </c>
      <c r="G49" s="94">
        <f>IF('Final Calculation Sheet'!$E$34="","",'Final Calculation Sheet'!$E$34)</f>
        <v/>
      </c>
      <c r="H49" s="95">
        <f>IF('Final Calculation Sheet'!$C$34="","",'Final Calculation Sheet'!$C$34)</f>
        <v/>
      </c>
      <c r="I49" s="95">
        <f>IF('Final Calculation Sheet'!$H$34="","",'Final Calculation Sheet'!$H$34)</f>
        <v/>
      </c>
      <c r="J49" s="95">
        <f>IF('Final Calculation Sheet'!$I$34="","",'Final Calculation Sheet'!$I$34)</f>
        <v/>
      </c>
      <c r="K49" s="95">
        <f>IF('Final Calculation Sheet'!$J$34="","",'Final Calculation Sheet'!$J$34)</f>
        <v/>
      </c>
      <c r="L49" s="95">
        <f>IF('Final Calculation Sheet'!$K$34="","",'Final Calculation Sheet'!$K$34)</f>
        <v/>
      </c>
      <c r="M49" s="95">
        <f>IF('Final Calculation Sheet'!$L$34="","",'Final Calculation Sheet'!$L$34)</f>
        <v/>
      </c>
      <c r="N49" s="95">
        <f>IF('Final Calculation Sheet'!$M$34="","",'Final Calculation Sheet'!$M$34)</f>
        <v/>
      </c>
      <c r="O49" s="96">
        <f>IF('Final Calculation Sheet'!$N$34="","",'Final Calculation Sheet'!$N$34)</f>
        <v/>
      </c>
      <c r="P49" s="95">
        <f>IF('Final Calculation Sheet'!$O$34="","",'Final Calculation Sheet'!$O$34)</f>
        <v/>
      </c>
      <c r="Q49" s="95">
        <f>IF('Final Calculation Sheet'!$P$34="","",'Final Calculation Sheet'!$P$34)</f>
        <v/>
      </c>
      <c r="R49" s="97">
        <f>IF('Final Calculation Sheet'!$Q$34="","",'Final Calculation Sheet'!$Q$34)</f>
        <v/>
      </c>
      <c r="S49" s="95">
        <f>IF('Final Calculation Sheet'!$R$34="","",'Final Calculation Sheet'!$R$34)</f>
        <v/>
      </c>
      <c r="T49" s="95">
        <f>IF('Final Calculation Sheet'!$S$34="","",'Final Calculation Sheet'!$S$34)</f>
        <v/>
      </c>
      <c r="U49" s="95">
        <f>IF('Final Calculation Sheet'!$T$34="","",'Final Calculation Sheet'!$T$34)</f>
        <v/>
      </c>
      <c r="V49" s="98">
        <f>IF('Final Calculation Sheet'!$U$34="","",'Final Calculation Sheet'!$U$34)</f>
        <v/>
      </c>
      <c r="W49" s="95">
        <f>IF('Final Calculation Sheet'!$V$34="","",'Final Calculation Sheet'!$V$34)</f>
        <v/>
      </c>
      <c r="X49" s="95">
        <f>IF('Final Calculation Sheet'!$W$34="","",'Final Calculation Sheet'!$W$34)</f>
        <v/>
      </c>
      <c r="Y49" s="95">
        <f>IF('Final Calculation Sheet'!$X$34="","",'Final Calculation Sheet'!$X$34)</f>
        <v/>
      </c>
      <c r="Z49" s="95">
        <f>IF('Final Calculation Sheet'!$Y$34="","",'Final Calculation Sheet'!$Y$34)</f>
        <v/>
      </c>
      <c r="AA49" s="95">
        <f>IF('Final Calculation Sheet'!$Z$34="","",'Final Calculation Sheet'!$Z$34)</f>
        <v/>
      </c>
      <c r="AB49" s="95">
        <f>IF('Final Calculation Sheet'!$AA$34="","",'Final Calculation Sheet'!$AA$34)</f>
        <v/>
      </c>
      <c r="AC49" s="95">
        <f>IF('Final Calculation Sheet'!$AB$34="","",'Final Calculation Sheet'!$AB$34)</f>
        <v/>
      </c>
      <c r="AD49" s="95">
        <f>IF('Final Calculation Sheet'!$AC$34="","",'Final Calculation Sheet'!$AC$34)</f>
        <v/>
      </c>
      <c r="AE49" s="95">
        <f>IF('Final Calculation Sheet'!$AD$34="","",'Final Calculation Sheet'!$AD$34)</f>
        <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
      </c>
      <c r="C50" s="76">
        <f>IF('Final Calculation Sheet'!$G$36="","",'Final Calculation Sheet'!$G$36)</f>
        <v/>
      </c>
      <c r="D50" s="80">
        <f>IF('Final Calculation Sheet'!$B$36="","",'Final Calculation Sheet'!$B$36)</f>
        <v/>
      </c>
      <c r="E50" s="80">
        <f>IF('Final Calculation Sheet'!$D$36="","",'Final Calculation Sheet'!$D$36)</f>
        <v/>
      </c>
      <c r="F50" s="80">
        <f>IF('Final Calculation Sheet'!$A$36="","",'Final Calculation Sheet'!$A$36)</f>
        <v/>
      </c>
      <c r="G50" s="80">
        <f>IF('Final Calculation Sheet'!$E$36="","",'Final Calculation Sheet'!$E$36)</f>
        <v/>
      </c>
      <c r="H50" s="70">
        <f>IF('Final Calculation Sheet'!$C$36="","",'Final Calculation Sheet'!$C$36)</f>
        <v/>
      </c>
      <c r="I50" s="70">
        <f>IF('Final Calculation Sheet'!$H$36="","",'Final Calculation Sheet'!$H$36)</f>
        <v/>
      </c>
      <c r="J50" s="70">
        <f>IF('Final Calculation Sheet'!$I$36="","",'Final Calculation Sheet'!$I$36)</f>
        <v/>
      </c>
      <c r="K50" s="70">
        <f>IF('Final Calculation Sheet'!$J$36="","",'Final Calculation Sheet'!$J$36)</f>
        <v/>
      </c>
      <c r="L50" s="70">
        <f>IF('Final Calculation Sheet'!$K$36="","",'Final Calculation Sheet'!$K$36)</f>
        <v/>
      </c>
      <c r="M50" s="70">
        <f>IF('Final Calculation Sheet'!$L$36="","",'Final Calculation Sheet'!$L$36)</f>
        <v/>
      </c>
      <c r="N50" s="70">
        <f>IF('Final Calculation Sheet'!$M$36="","",'Final Calculation Sheet'!$M$36)</f>
        <v/>
      </c>
      <c r="O50" s="71">
        <f>IF('Final Calculation Sheet'!$N$36="","",'Final Calculation Sheet'!$N$36)</f>
        <v/>
      </c>
      <c r="P50" s="70">
        <f>IF('Final Calculation Sheet'!$O$36="","",'Final Calculation Sheet'!$O$36)</f>
        <v/>
      </c>
      <c r="Q50" s="70">
        <f>IF('Final Calculation Sheet'!$P$36="","",'Final Calculation Sheet'!$P$36)</f>
        <v/>
      </c>
      <c r="R50" s="72">
        <f>IF('Final Calculation Sheet'!$Q$36="","",'Final Calculation Sheet'!$Q$36)</f>
        <v/>
      </c>
      <c r="S50" s="70">
        <f>IF('Final Calculation Sheet'!$R$36="","",'Final Calculation Sheet'!$R$36)</f>
        <v/>
      </c>
      <c r="T50" s="70">
        <f>IF('Final Calculation Sheet'!$S$36="","",'Final Calculation Sheet'!$S$36)</f>
        <v/>
      </c>
      <c r="U50" s="70">
        <f>IF('Final Calculation Sheet'!$T$36="","",'Final Calculation Sheet'!$T$36)</f>
        <v/>
      </c>
      <c r="V50" s="73">
        <f>IF('Final Calculation Sheet'!$U$36="","",'Final Calculation Sheet'!$U$36)</f>
        <v/>
      </c>
      <c r="W50" s="70">
        <f>IF('Final Calculation Sheet'!$V$36="","",'Final Calculation Sheet'!$V$36)</f>
        <v/>
      </c>
      <c r="X50" s="70">
        <f>IF('Final Calculation Sheet'!$W$36="","",'Final Calculation Sheet'!$W$36)</f>
        <v/>
      </c>
      <c r="Y50" s="70">
        <f>IF('Final Calculation Sheet'!$X$36="","",'Final Calculation Sheet'!$X$36)</f>
        <v/>
      </c>
      <c r="Z50" s="70">
        <f>IF('Final Calculation Sheet'!$Y$36="","",'Final Calculation Sheet'!$Y$36)</f>
        <v/>
      </c>
      <c r="AA50" s="70">
        <f>IF('Final Calculation Sheet'!$Z$36="","",'Final Calculation Sheet'!$Z$36)</f>
        <v/>
      </c>
      <c r="AB50" s="70">
        <f>IF('Final Calculation Sheet'!$AA$36="","",'Final Calculation Sheet'!$AA$36)</f>
        <v/>
      </c>
      <c r="AC50" s="70">
        <f>IF('Final Calculation Sheet'!$AB$36="","",'Final Calculation Sheet'!$AB$36)</f>
        <v/>
      </c>
      <c r="AD50" s="70">
        <f>IF('Final Calculation Sheet'!$AC$36="","",'Final Calculation Sheet'!$AC$36)</f>
        <v/>
      </c>
      <c r="AE50" s="70">
        <f>IF('Final Calculation Sheet'!$AD$36="","",'Final Calculation Sheet'!$AD$36)</f>
        <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f>ROWS($C$44:$C$50)&amp;" lot(s)"</f>
        <v/>
      </c>
      <c r="D51" s="83" t="inlineStr">
        <is>
          <t>SUBTOTAL — STERLING ENTERPRISES</t>
        </is>
      </c>
      <c r="E51" s="83" t="inlineStr">
        <is>
          <t>–</t>
        </is>
      </c>
      <c r="F51" s="83">
        <f>SUM(F44:F50)</f>
        <v/>
      </c>
      <c r="G51" s="83" t="inlineStr">
        <is>
          <t>–</t>
        </is>
      </c>
      <c r="H51" s="84" t="inlineStr">
        <is>
          <t>–</t>
        </is>
      </c>
      <c r="I51" s="84">
        <f>SUM(I44:I50)</f>
        <v/>
      </c>
      <c r="J51" s="84">
        <f>SUM(J44:J50)</f>
        <v/>
      </c>
      <c r="K51" s="84">
        <f>SUM(K44:K50)</f>
        <v/>
      </c>
      <c r="L51" s="84">
        <f>SUM(L44:L50)</f>
        <v/>
      </c>
      <c r="M51" s="84">
        <f>SUM(M44:M50)</f>
        <v/>
      </c>
      <c r="N51" s="84">
        <f>SUM(N44:N50)</f>
        <v/>
      </c>
      <c r="O51" s="85">
        <f>SUM(O44:O50)</f>
        <v/>
      </c>
      <c r="P51" s="84">
        <f>SUM(P44:P50)</f>
        <v/>
      </c>
      <c r="Q51" s="84">
        <f>SUM(Q44:Q50)</f>
        <v/>
      </c>
      <c r="R51" s="86" t="inlineStr">
        <is>
          <t>–</t>
        </is>
      </c>
      <c r="S51" s="84">
        <f>SUM(S44:S50)</f>
        <v/>
      </c>
      <c r="T51" s="84">
        <f>SUM(T44:T50)</f>
        <v/>
      </c>
      <c r="U51" s="84">
        <f>SUM(U44:U50)</f>
        <v/>
      </c>
      <c r="V51" s="87">
        <f>SUM(V44:V50)</f>
        <v/>
      </c>
      <c r="W51" s="84" t="inlineStr">
        <is>
          <t>–</t>
        </is>
      </c>
      <c r="X51" s="84">
        <f>SUM(X44:X50)</f>
        <v/>
      </c>
      <c r="Y51" s="84">
        <f>SUM(Y44:Y50)</f>
        <v/>
      </c>
      <c r="Z51" s="84" t="inlineStr">
        <is>
          <t>–</t>
        </is>
      </c>
      <c r="AA51" s="84">
        <f>SUM(AA44:AA50)</f>
        <v/>
      </c>
      <c r="AB51" s="84">
        <f>SUM(AB44:AB50)</f>
        <v/>
      </c>
      <c r="AC51" s="84" t="inlineStr">
        <is>
          <t>–</t>
        </is>
      </c>
      <c r="AD51" s="84">
        <f>SUM(AD44:AD50)</f>
        <v/>
      </c>
      <c r="AE51" s="84">
        <f>SUM(AE44:AE50)</f>
        <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
      </c>
      <c r="C52" s="76">
        <f>IF('Final Calculation Sheet'!$G$25="","",'Final Calculation Sheet'!$G$25)</f>
        <v/>
      </c>
      <c r="D52" s="80">
        <f>IF('Final Calculation Sheet'!$B$25="","",'Final Calculation Sheet'!$B$25)</f>
        <v/>
      </c>
      <c r="E52" s="80">
        <f>IF('Final Calculation Sheet'!$D$25="","",'Final Calculation Sheet'!$D$25)</f>
        <v/>
      </c>
      <c r="F52" s="80">
        <f>IF('Final Calculation Sheet'!$A$25="","",'Final Calculation Sheet'!$A$25)</f>
        <v/>
      </c>
      <c r="G52" s="80">
        <f>IF('Final Calculation Sheet'!$E$25="","",'Final Calculation Sheet'!$E$25)</f>
        <v/>
      </c>
      <c r="H52" s="70">
        <f>IF('Final Calculation Sheet'!$C$25="","",'Final Calculation Sheet'!$C$25)</f>
        <v/>
      </c>
      <c r="I52" s="70">
        <f>IF('Final Calculation Sheet'!$H$25="","",'Final Calculation Sheet'!$H$25)</f>
        <v/>
      </c>
      <c r="J52" s="70">
        <f>IF('Final Calculation Sheet'!$I$25="","",'Final Calculation Sheet'!$I$25)</f>
        <v/>
      </c>
      <c r="K52" s="70">
        <f>IF('Final Calculation Sheet'!$J$25="","",'Final Calculation Sheet'!$J$25)</f>
        <v/>
      </c>
      <c r="L52" s="70">
        <f>IF('Final Calculation Sheet'!$K$25="","",'Final Calculation Sheet'!$K$25)</f>
        <v/>
      </c>
      <c r="M52" s="70">
        <f>IF('Final Calculation Sheet'!$L$25="","",'Final Calculation Sheet'!$L$25)</f>
        <v/>
      </c>
      <c r="N52" s="70">
        <f>IF('Final Calculation Sheet'!$M$25="","",'Final Calculation Sheet'!$M$25)</f>
        <v/>
      </c>
      <c r="O52" s="71">
        <f>IF('Final Calculation Sheet'!$N$25="","",'Final Calculation Sheet'!$N$25)</f>
        <v/>
      </c>
      <c r="P52" s="70">
        <f>IF('Final Calculation Sheet'!$O$25="","",'Final Calculation Sheet'!$O$25)</f>
        <v/>
      </c>
      <c r="Q52" s="70">
        <f>IF('Final Calculation Sheet'!$P$25="","",'Final Calculation Sheet'!$P$25)</f>
        <v/>
      </c>
      <c r="R52" s="72">
        <f>IF('Final Calculation Sheet'!$Q$25="","",'Final Calculation Sheet'!$Q$25)</f>
        <v/>
      </c>
      <c r="S52" s="70">
        <f>IF('Final Calculation Sheet'!$R$25="","",'Final Calculation Sheet'!$R$25)</f>
        <v/>
      </c>
      <c r="T52" s="70">
        <f>IF('Final Calculation Sheet'!$S$25="","",'Final Calculation Sheet'!$S$25)</f>
        <v/>
      </c>
      <c r="U52" s="70">
        <f>IF('Final Calculation Sheet'!$T$25="","",'Final Calculation Sheet'!$T$25)</f>
        <v/>
      </c>
      <c r="V52" s="73">
        <f>IF('Final Calculation Sheet'!$U$25="","",'Final Calculation Sheet'!$U$25)</f>
        <v/>
      </c>
      <c r="W52" s="70">
        <f>IF('Final Calculation Sheet'!$V$25="","",'Final Calculation Sheet'!$V$25)</f>
        <v/>
      </c>
      <c r="X52" s="70">
        <f>IF('Final Calculation Sheet'!$W$25="","",'Final Calculation Sheet'!$W$25)</f>
        <v/>
      </c>
      <c r="Y52" s="70">
        <f>IF('Final Calculation Sheet'!$X$25="","",'Final Calculation Sheet'!$X$25)</f>
        <v/>
      </c>
      <c r="Z52" s="70">
        <f>IF('Final Calculation Sheet'!$Y$25="","",'Final Calculation Sheet'!$Y$25)</f>
        <v/>
      </c>
      <c r="AA52" s="70">
        <f>IF('Final Calculation Sheet'!$Z$25="","",'Final Calculation Sheet'!$Z$25)</f>
        <v/>
      </c>
      <c r="AB52" s="70">
        <f>IF('Final Calculation Sheet'!$AA$25="","",'Final Calculation Sheet'!$AA$25)</f>
        <v/>
      </c>
      <c r="AC52" s="70">
        <f>IF('Final Calculation Sheet'!$AB$25="","",'Final Calculation Sheet'!$AB$25)</f>
        <v/>
      </c>
      <c r="AD52" s="70">
        <f>IF('Final Calculation Sheet'!$AC$25="","",'Final Calculation Sheet'!$AC$25)</f>
        <v/>
      </c>
      <c r="AE52" s="70">
        <f>IF('Final Calculation Sheet'!$AD$25="","",'Final Calculation Sheet'!$AD$25)</f>
        <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
      </c>
      <c r="C53" s="92">
        <f>IF('Final Calculation Sheet'!$G$28="","",'Final Calculation Sheet'!$G$28)</f>
        <v/>
      </c>
      <c r="D53" s="94">
        <f>IF('Final Calculation Sheet'!$B$28="","",'Final Calculation Sheet'!$B$28)</f>
        <v/>
      </c>
      <c r="E53" s="94">
        <f>IF('Final Calculation Sheet'!$D$28="","",'Final Calculation Sheet'!$D$28)</f>
        <v/>
      </c>
      <c r="F53" s="94">
        <f>IF('Final Calculation Sheet'!$A$28="","",'Final Calculation Sheet'!$A$28)</f>
        <v/>
      </c>
      <c r="G53" s="94">
        <f>IF('Final Calculation Sheet'!$E$28="","",'Final Calculation Sheet'!$E$28)</f>
        <v/>
      </c>
      <c r="H53" s="95">
        <f>IF('Final Calculation Sheet'!$C$28="","",'Final Calculation Sheet'!$C$28)</f>
        <v/>
      </c>
      <c r="I53" s="95">
        <f>IF('Final Calculation Sheet'!$H$28="","",'Final Calculation Sheet'!$H$28)</f>
        <v/>
      </c>
      <c r="J53" s="95">
        <f>IF('Final Calculation Sheet'!$I$28="","",'Final Calculation Sheet'!$I$28)</f>
        <v/>
      </c>
      <c r="K53" s="95">
        <f>IF('Final Calculation Sheet'!$J$28="","",'Final Calculation Sheet'!$J$28)</f>
        <v/>
      </c>
      <c r="L53" s="95">
        <f>IF('Final Calculation Sheet'!$K$28="","",'Final Calculation Sheet'!$K$28)</f>
        <v/>
      </c>
      <c r="M53" s="95">
        <f>IF('Final Calculation Sheet'!$L$28="","",'Final Calculation Sheet'!$L$28)</f>
        <v/>
      </c>
      <c r="N53" s="95">
        <f>IF('Final Calculation Sheet'!$M$28="","",'Final Calculation Sheet'!$M$28)</f>
        <v/>
      </c>
      <c r="O53" s="96">
        <f>IF('Final Calculation Sheet'!$N$28="","",'Final Calculation Sheet'!$N$28)</f>
        <v/>
      </c>
      <c r="P53" s="95">
        <f>IF('Final Calculation Sheet'!$O$28="","",'Final Calculation Sheet'!$O$28)</f>
        <v/>
      </c>
      <c r="Q53" s="95">
        <f>IF('Final Calculation Sheet'!$P$28="","",'Final Calculation Sheet'!$P$28)</f>
        <v/>
      </c>
      <c r="R53" s="97">
        <f>IF('Final Calculation Sheet'!$Q$28="","",'Final Calculation Sheet'!$Q$28)</f>
        <v/>
      </c>
      <c r="S53" s="95">
        <f>IF('Final Calculation Sheet'!$R$28="","",'Final Calculation Sheet'!$R$28)</f>
        <v/>
      </c>
      <c r="T53" s="95">
        <f>IF('Final Calculation Sheet'!$S$28="","",'Final Calculation Sheet'!$S$28)</f>
        <v/>
      </c>
      <c r="U53" s="95">
        <f>IF('Final Calculation Sheet'!$T$28="","",'Final Calculation Sheet'!$T$28)</f>
        <v/>
      </c>
      <c r="V53" s="98">
        <f>IF('Final Calculation Sheet'!$U$28="","",'Final Calculation Sheet'!$U$28)</f>
        <v/>
      </c>
      <c r="W53" s="95">
        <f>IF('Final Calculation Sheet'!$V$28="","",'Final Calculation Sheet'!$V$28)</f>
        <v/>
      </c>
      <c r="X53" s="95">
        <f>IF('Final Calculation Sheet'!$W$28="","",'Final Calculation Sheet'!$W$28)</f>
        <v/>
      </c>
      <c r="Y53" s="95">
        <f>IF('Final Calculation Sheet'!$X$28="","",'Final Calculation Sheet'!$X$28)</f>
        <v/>
      </c>
      <c r="Z53" s="95">
        <f>IF('Final Calculation Sheet'!$Y$28="","",'Final Calculation Sheet'!$Y$28)</f>
        <v/>
      </c>
      <c r="AA53" s="95">
        <f>IF('Final Calculation Sheet'!$Z$28="","",'Final Calculation Sheet'!$Z$28)</f>
        <v/>
      </c>
      <c r="AB53" s="95">
        <f>IF('Final Calculation Sheet'!$AA$28="","",'Final Calculation Sheet'!$AA$28)</f>
        <v/>
      </c>
      <c r="AC53" s="95">
        <f>IF('Final Calculation Sheet'!$AB$28="","",'Final Calculation Sheet'!$AB$28)</f>
        <v/>
      </c>
      <c r="AD53" s="95">
        <f>IF('Final Calculation Sheet'!$AC$28="","",'Final Calculation Sheet'!$AC$28)</f>
        <v/>
      </c>
      <c r="AE53" s="95">
        <f>IF('Final Calculation Sheet'!$AD$28="","",'Final Calculation Sheet'!$AD$28)</f>
        <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
      </c>
      <c r="C54" s="76">
        <f>IF('Final Calculation Sheet'!$G$35="","",'Final Calculation Sheet'!$G$35)</f>
        <v/>
      </c>
      <c r="D54" s="80">
        <f>IF('Final Calculation Sheet'!$B$35="","",'Final Calculation Sheet'!$B$35)</f>
        <v/>
      </c>
      <c r="E54" s="80">
        <f>IF('Final Calculation Sheet'!$D$35="","",'Final Calculation Sheet'!$D$35)</f>
        <v/>
      </c>
      <c r="F54" s="80">
        <f>IF('Final Calculation Sheet'!$A$35="","",'Final Calculation Sheet'!$A$35)</f>
        <v/>
      </c>
      <c r="G54" s="80">
        <f>IF('Final Calculation Sheet'!$E$35="","",'Final Calculation Sheet'!$E$35)</f>
        <v/>
      </c>
      <c r="H54" s="70">
        <f>IF('Final Calculation Sheet'!$C$35="","",'Final Calculation Sheet'!$C$35)</f>
        <v/>
      </c>
      <c r="I54" s="70">
        <f>IF('Final Calculation Sheet'!$H$35="","",'Final Calculation Sheet'!$H$35)</f>
        <v/>
      </c>
      <c r="J54" s="70">
        <f>IF('Final Calculation Sheet'!$I$35="","",'Final Calculation Sheet'!$I$35)</f>
        <v/>
      </c>
      <c r="K54" s="70">
        <f>IF('Final Calculation Sheet'!$J$35="","",'Final Calculation Sheet'!$J$35)</f>
        <v/>
      </c>
      <c r="L54" s="70">
        <f>IF('Final Calculation Sheet'!$K$35="","",'Final Calculation Sheet'!$K$35)</f>
        <v/>
      </c>
      <c r="M54" s="70">
        <f>IF('Final Calculation Sheet'!$L$35="","",'Final Calculation Sheet'!$L$35)</f>
        <v/>
      </c>
      <c r="N54" s="70">
        <f>IF('Final Calculation Sheet'!$M$35="","",'Final Calculation Sheet'!$M$35)</f>
        <v/>
      </c>
      <c r="O54" s="71">
        <f>IF('Final Calculation Sheet'!$N$35="","",'Final Calculation Sheet'!$N$35)</f>
        <v/>
      </c>
      <c r="P54" s="70">
        <f>IF('Final Calculation Sheet'!$O$35="","",'Final Calculation Sheet'!$O$35)</f>
        <v/>
      </c>
      <c r="Q54" s="70">
        <f>IF('Final Calculation Sheet'!$P$35="","",'Final Calculation Sheet'!$P$35)</f>
        <v/>
      </c>
      <c r="R54" s="72">
        <f>IF('Final Calculation Sheet'!$Q$35="","",'Final Calculation Sheet'!$Q$35)</f>
        <v/>
      </c>
      <c r="S54" s="70">
        <f>IF('Final Calculation Sheet'!$R$35="","",'Final Calculation Sheet'!$R$35)</f>
        <v/>
      </c>
      <c r="T54" s="70">
        <f>IF('Final Calculation Sheet'!$S$35="","",'Final Calculation Sheet'!$S$35)</f>
        <v/>
      </c>
      <c r="U54" s="70">
        <f>IF('Final Calculation Sheet'!$T$35="","",'Final Calculation Sheet'!$T$35)</f>
        <v/>
      </c>
      <c r="V54" s="73">
        <f>IF('Final Calculation Sheet'!$U$35="","",'Final Calculation Sheet'!$U$35)</f>
        <v/>
      </c>
      <c r="W54" s="70">
        <f>IF('Final Calculation Sheet'!$V$35="","",'Final Calculation Sheet'!$V$35)</f>
        <v/>
      </c>
      <c r="X54" s="70">
        <f>IF('Final Calculation Sheet'!$W$35="","",'Final Calculation Sheet'!$W$35)</f>
        <v/>
      </c>
      <c r="Y54" s="70">
        <f>IF('Final Calculation Sheet'!$X$35="","",'Final Calculation Sheet'!$X$35)</f>
        <v/>
      </c>
      <c r="Z54" s="70">
        <f>IF('Final Calculation Sheet'!$Y$35="","",'Final Calculation Sheet'!$Y$35)</f>
        <v/>
      </c>
      <c r="AA54" s="70">
        <f>IF('Final Calculation Sheet'!$Z$35="","",'Final Calculation Sheet'!$Z$35)</f>
        <v/>
      </c>
      <c r="AB54" s="70">
        <f>IF('Final Calculation Sheet'!$AA$35="","",'Final Calculation Sheet'!$AA$35)</f>
        <v/>
      </c>
      <c r="AC54" s="70">
        <f>IF('Final Calculation Sheet'!$AB$35="","",'Final Calculation Sheet'!$AB$35)</f>
        <v/>
      </c>
      <c r="AD54" s="70">
        <f>IF('Final Calculation Sheet'!$AC$35="","",'Final Calculation Sheet'!$AC$35)</f>
        <v/>
      </c>
      <c r="AE54" s="70">
        <f>IF('Final Calculation Sheet'!$AD$35="","",'Final Calculation Sheet'!$AD$35)</f>
        <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f>ROWS($C$52:$C$54)&amp;" lot(s)"</f>
        <v/>
      </c>
      <c r="D55" s="83" t="inlineStr">
        <is>
          <t>SUBTOTAL — WATAN SCRAP TRADERS</t>
        </is>
      </c>
      <c r="E55" s="83" t="inlineStr">
        <is>
          <t>–</t>
        </is>
      </c>
      <c r="F55" s="83">
        <f>SUM(F52:F54)</f>
        <v/>
      </c>
      <c r="G55" s="83" t="inlineStr">
        <is>
          <t>–</t>
        </is>
      </c>
      <c r="H55" s="84" t="inlineStr">
        <is>
          <t>–</t>
        </is>
      </c>
      <c r="I55" s="84">
        <f>SUM(I52:I54)</f>
        <v/>
      </c>
      <c r="J55" s="84">
        <f>SUM(J52:J54)</f>
        <v/>
      </c>
      <c r="K55" s="84">
        <f>SUM(K52:K54)</f>
        <v/>
      </c>
      <c r="L55" s="84">
        <f>SUM(L52:L54)</f>
        <v/>
      </c>
      <c r="M55" s="84">
        <f>SUM(M52:M54)</f>
        <v/>
      </c>
      <c r="N55" s="84">
        <f>SUM(N52:N54)</f>
        <v/>
      </c>
      <c r="O55" s="85">
        <f>SUM(O52:O54)</f>
        <v/>
      </c>
      <c r="P55" s="84">
        <f>SUM(P52:P54)</f>
        <v/>
      </c>
      <c r="Q55" s="84">
        <f>SUM(Q52:Q54)</f>
        <v/>
      </c>
      <c r="R55" s="86" t="inlineStr">
        <is>
          <t>–</t>
        </is>
      </c>
      <c r="S55" s="84">
        <f>SUM(S52:S54)</f>
        <v/>
      </c>
      <c r="T55" s="84">
        <f>SUM(T52:T54)</f>
        <v/>
      </c>
      <c r="U55" s="84">
        <f>SUM(U52:U54)</f>
        <v/>
      </c>
      <c r="V55" s="87">
        <f>SUM(V52:V54)</f>
        <v/>
      </c>
      <c r="W55" s="84" t="inlineStr">
        <is>
          <t>–</t>
        </is>
      </c>
      <c r="X55" s="84">
        <f>SUM(X52:X54)</f>
        <v/>
      </c>
      <c r="Y55" s="84">
        <f>SUM(Y52:Y54)</f>
        <v/>
      </c>
      <c r="Z55" s="84" t="inlineStr">
        <is>
          <t>–</t>
        </is>
      </c>
      <c r="AA55" s="84">
        <f>SUM(AA52:AA54)</f>
        <v/>
      </c>
      <c r="AB55" s="84">
        <f>SUM(AB52:AB54)</f>
        <v/>
      </c>
      <c r="AC55" s="84" t="inlineStr">
        <is>
          <t>–</t>
        </is>
      </c>
      <c r="AD55" s="84">
        <f>SUM(AD52:AD54)</f>
        <v/>
      </c>
      <c r="AE55" s="84">
        <f>SUM(AE52:AE54)</f>
        <v/>
      </c>
      <c r="AF55" s="89">
        <f>IF(AE55&lt;=5,"SETTLED","OUTSTANDING")</f>
        <v/>
      </c>
      <c r="AG55" s="84" t="inlineStr">
        <is>
          <t>–</t>
        </is>
      </c>
      <c r="AH55" s="88" t="inlineStr">
        <is>
          <t>–</t>
        </is>
      </c>
      <c r="AI55" s="84" t="inlineStr">
        <is>
          <t>–</t>
        </is>
      </c>
    </row>
    <row r="56" ht="15" customHeight="1" s="137">
      <c r="A56" s="101" t="inlineStr">
        <is>
          <t>∑</t>
        </is>
      </c>
      <c r="B56" s="102" t="n"/>
      <c r="C56" s="102">
        <f>COUNTA('Final Calculation Sheet'!$G$4:$G$40)&amp;" lot(s)"</f>
        <v/>
      </c>
      <c r="D56" s="102" t="inlineStr">
        <is>
          <t>TOTAL — every buyer together</t>
        </is>
      </c>
      <c r="E56" s="102" t="inlineStr">
        <is>
          <t>–</t>
        </is>
      </c>
      <c r="F56" s="102">
        <f>SUM(F7,F10,F12,F14,F16,F30,F32,F35,F38,F40,F43,F51,F55)</f>
        <v/>
      </c>
      <c r="G56" s="102" t="inlineStr">
        <is>
          <t>–</t>
        </is>
      </c>
      <c r="H56" s="103" t="inlineStr">
        <is>
          <t>–</t>
        </is>
      </c>
      <c r="I56" s="103">
        <f>SUM(I7,I10,I12,I14,I16,I30,I32,I35,I38,I40,I43,I51,I55)</f>
        <v/>
      </c>
      <c r="J56" s="103">
        <f>SUM(J7,J10,J12,J14,J16,J30,J32,J35,J38,J40,J43,J51,J55)</f>
        <v/>
      </c>
      <c r="K56" s="103">
        <f>SUM(K7,K10,K12,K14,K16,K30,K32,K35,K38,K40,K43,K51,K55)</f>
        <v/>
      </c>
      <c r="L56" s="103">
        <f>SUM(L7,L10,L12,L14,L16,L30,L32,L35,L38,L40,L43,L51,L55)</f>
        <v/>
      </c>
      <c r="M56" s="103">
        <f>SUM(M7,M10,M12,M14,M16,M30,M32,M35,M38,M40,M43,M51,M55)</f>
        <v/>
      </c>
      <c r="N56" s="103">
        <f>SUM(N7,N10,N12,N14,N16,N30,N32,N35,N38,N40,N43,N51,N55)</f>
        <v/>
      </c>
      <c r="O56" s="104">
        <f>SUM(O7,O10,O12,O14,O16,O30,O32,O35,O38,O40,O43,O51,O55)</f>
        <v/>
      </c>
      <c r="P56" s="103">
        <f>SUM(P7,P10,P12,P14,P16,P30,P32,P35,P38,P40,P43,P51,P55)</f>
        <v/>
      </c>
      <c r="Q56" s="103">
        <f>SUM(Q7,Q10,Q12,Q14,Q16,Q30,Q32,Q35,Q38,Q40,Q43,Q51,Q55)</f>
        <v/>
      </c>
      <c r="R56" s="105" t="inlineStr">
        <is>
          <t>–</t>
        </is>
      </c>
      <c r="S56" s="103">
        <f>SUM(S7,S10,S12,S14,S16,S30,S32,S35,S38,S40,S43,S51,S55)</f>
        <v/>
      </c>
      <c r="T56" s="103">
        <f>SUM(T7,T10,T12,T14,T16,T30,T32,T35,T38,T40,T43,T51,T55)</f>
        <v/>
      </c>
      <c r="U56" s="103">
        <f>SUM(U7,U10,U12,U14,U16,U30,U32,U35,U38,U40,U43,U51,U55)</f>
        <v/>
      </c>
      <c r="V56" s="106">
        <f>SUM(V7,V10,V12,V14,V16,V30,V32,V35,V38,V40,V43,V51,V55)</f>
        <v/>
      </c>
      <c r="W56" s="103" t="inlineStr">
        <is>
          <t>–</t>
        </is>
      </c>
      <c r="X56" s="103">
        <f>SUM(X7,X10,X12,X14,X16,X30,X32,X35,X38,X40,X43,X51,X55)</f>
        <v/>
      </c>
      <c r="Y56" s="103">
        <f>SUM(Y7,Y10,Y12,Y14,Y16,Y30,Y32,Y35,Y38,Y40,Y43,Y51,Y55)</f>
        <v/>
      </c>
      <c r="Z56" s="103" t="inlineStr">
        <is>
          <t>–</t>
        </is>
      </c>
      <c r="AA56" s="103">
        <f>SUM(AA7,AA10,AA12,AA14,AA16,AA30,AA32,AA35,AA38,AA40,AA43,AA51,AA55)</f>
        <v/>
      </c>
      <c r="AB56" s="103">
        <f>SUM(AB7,AB10,AB12,AB14,AB16,AB30,AB32,AB35,AB38,AB40,AB43,AB51,AB55)</f>
        <v/>
      </c>
      <c r="AC56" s="103" t="inlineStr">
        <is>
          <t>–</t>
        </is>
      </c>
      <c r="AD56" s="103">
        <f>SUM(AD7,AD10,AD12,AD14,AD16,AD30,AD32,AD35,AD38,AD40,AD43,AD51,AD55)</f>
        <v/>
      </c>
      <c r="AE56" s="103">
        <f>SUM(AE7,AE10,AE12,AE14,AE16,AE30,AE32,AE35,AE38,AE40,AE43,AE51,AE55)</f>
        <v/>
      </c>
      <c r="AF56" s="108">
        <f>IF(AE56&lt;=5,"SETTLED","OUTSTANDING")</f>
        <v/>
      </c>
      <c r="AG56" s="103" t="inlineStr">
        <is>
          <t>–</t>
        </is>
      </c>
      <c r="AH56" s="107" t="inlineStr">
        <is>
          <t>–</t>
        </is>
      </c>
      <c r="AI56" s="103" t="inlineStr">
        <is>
          <t>–</t>
        </is>
      </c>
    </row>
    <row r="57" ht="15" customHeight="1" s="137">
      <c r="A57" s="109" t="inlineStr">
        <is>
          <t>∑</t>
        </is>
      </c>
      <c r="B57" s="110" t="n"/>
      <c r="C57" s="110">
        <f>COUNTA('Final Calculation Sheet'!$G$4:$G$40)&amp;" lot(s)"</f>
        <v/>
      </c>
      <c r="D57" s="110" t="inlineStr">
        <is>
          <t>GRAND TOTAL — cross-checked to source</t>
        </is>
      </c>
      <c r="E57" s="110" t="inlineStr">
        <is>
          <t>–</t>
        </is>
      </c>
      <c r="F57" s="110">
        <f>SUM('Final Calculation Sheet'!$A$4:$A$40)</f>
        <v/>
      </c>
      <c r="G57" s="110" t="inlineStr">
        <is>
          <t>–</t>
        </is>
      </c>
      <c r="H57" s="111" t="inlineStr">
        <is>
          <t>–</t>
        </is>
      </c>
      <c r="I57" s="111">
        <f>SUM('Final Calculation Sheet'!$H$4:$H$40)</f>
        <v/>
      </c>
      <c r="J57" s="111">
        <f>SUM('Final Calculation Sheet'!$I$4:$I$40)</f>
        <v/>
      </c>
      <c r="K57" s="111">
        <f>SUM('Final Calculation Sheet'!$J$4:$J$40)</f>
        <v/>
      </c>
      <c r="L57" s="111">
        <f>SUM('Final Calculation Sheet'!$K$4:$K$40)</f>
        <v/>
      </c>
      <c r="M57" s="111">
        <f>SUM('Final Calculation Sheet'!$L$4:$L$40)</f>
        <v/>
      </c>
      <c r="N57" s="111">
        <f>SUM('Final Calculation Sheet'!$M$4:$M$40)</f>
        <v/>
      </c>
      <c r="O57" s="112">
        <f>SUM('Final Calculation Sheet'!$N$4:$N$40)</f>
        <v/>
      </c>
      <c r="P57" s="111">
        <f>SUM('Final Calculation Sheet'!$O$4:$O$40)</f>
        <v/>
      </c>
      <c r="Q57" s="111">
        <f>SUM('Final Calculation Sheet'!$P$4:$P$40)</f>
        <v/>
      </c>
      <c r="R57" s="113" t="inlineStr">
        <is>
          <t>–</t>
        </is>
      </c>
      <c r="S57" s="111">
        <f>SUM('Final Calculation Sheet'!$R$4:$R$40)</f>
        <v/>
      </c>
      <c r="T57" s="111">
        <f>SUM('Final Calculation Sheet'!$S$4:$S$40)</f>
        <v/>
      </c>
      <c r="U57" s="111">
        <f>SUM('Final Calculation Sheet'!$T$4:$T$40)</f>
        <v/>
      </c>
      <c r="V57" s="114">
        <f>SUM('Final Calculation Sheet'!$U$4:$U$40)</f>
        <v/>
      </c>
      <c r="W57" s="111" t="inlineStr">
        <is>
          <t>–</t>
        </is>
      </c>
      <c r="X57" s="111">
        <f>SUM('Final Calculation Sheet'!$W$4:$W$40)</f>
        <v/>
      </c>
      <c r="Y57" s="111">
        <f>SUM('Final Calculation Sheet'!$X$4:$X$40)</f>
        <v/>
      </c>
      <c r="Z57" s="111" t="inlineStr">
        <is>
          <t>–</t>
        </is>
      </c>
      <c r="AA57" s="111">
        <f>SUM('Final Calculation Sheet'!$Z$4:$Z$40)</f>
        <v/>
      </c>
      <c r="AB57" s="111">
        <f>SUM('Final Calculation Sheet'!$AA$4:$AA$40)</f>
        <v/>
      </c>
      <c r="AC57" s="111" t="inlineStr">
        <is>
          <t>–</t>
        </is>
      </c>
      <c r="AD57" s="111">
        <f>SUM('Final Calculation Sheet'!$AC$4:$AC$40)</f>
        <v/>
      </c>
      <c r="AE57" s="111">
        <f>SUM('Final Calculation Sheet'!$AD$4:$AD$40)</f>
        <v/>
      </c>
      <c r="AF57" s="116">
        <f>IF(AE57&lt;=5,"SETTLED","OUTSTANDING")</f>
        <v/>
      </c>
      <c r="AG57" s="111" t="inlineStr">
        <is>
          <t>–</t>
        </is>
      </c>
      <c r="AH57" s="115" t="inlineStr">
        <is>
          <t>–</t>
        </is>
      </c>
      <c r="AI57" s="111" t="inlineStr">
        <is>
          <t>–</t>
        </is>
      </c>
    </row>
    <row r="59">
      <c r="A59" s="117" t="inlineStr">
        <is>
          <t>▸ MATCHED LOTS</t>
        </is>
      </c>
      <c r="B59" s="117" t="n"/>
      <c r="C59" s="117">
        <f>IF(COUNTIF($B$4:$AI$4,"&lt;&gt;")=0,"—",SUM($AJ$6:$AJ$42)&amp;" of 37")</f>
        <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f>IF($AL$60="","",1)</f>
        <v/>
      </c>
      <c r="B60" s="119">
        <f>IF($AL$60="","",IF(INDEX('Final Calculation Sheet'!$F$4:$F$40,$AL$60)="","",INDEX('Final Calculation Sheet'!$F$4:$F$40,$AL$60)))</f>
        <v/>
      </c>
      <c r="C60" s="119">
        <f>IF($AL$60="","",IF(INDEX('Final Calculation Sheet'!$G$4:$G$40,$AL$60)="","",INDEX('Final Calculation Sheet'!$G$4:$G$40,$AL$60)))</f>
        <v/>
      </c>
      <c r="D60" s="120">
        <f>IF(COUNTIF($B$4:$AI$4,"&lt;&gt;")=0,"↑ Pick a value from any SEARCH dropdown (or type) — matching lots will list here",IF($AL60="","",IF(INDEX('Final Calculation Sheet'!$B$4:$B$40,$AL60)="","",INDEX('Final Calculation Sheet'!$B$4:$B$40,$AL60))))</f>
        <v/>
      </c>
      <c r="E60" s="121">
        <f>IF($AL$60="","",IF(INDEX('Final Calculation Sheet'!$D$4:$D$40,$AL$60)="","",INDEX('Final Calculation Sheet'!$D$4:$D$40,$AL$60)))</f>
        <v/>
      </c>
      <c r="F60" s="121">
        <f>IF($AL$60="","",IF(INDEX('Final Calculation Sheet'!$A$4:$A$40,$AL$60)="","",INDEX('Final Calculation Sheet'!$A$4:$A$40,$AL$60)))</f>
        <v/>
      </c>
      <c r="G60" s="121">
        <f>IF($AL$60="","",IF(INDEX('Final Calculation Sheet'!$E$4:$E$40,$AL$60)="","",INDEX('Final Calculation Sheet'!$E$4:$E$40,$AL$60)))</f>
        <v/>
      </c>
      <c r="H60" s="122">
        <f>IF($AL$60="","",IF(INDEX('Final Calculation Sheet'!$C$4:$C$40,$AL$60)="","",INDEX('Final Calculation Sheet'!$C$4:$C$40,$AL$60)))</f>
        <v/>
      </c>
      <c r="I60" s="122">
        <f>IF($AL$60="","",IF(INDEX('Final Calculation Sheet'!$H$4:$H$40,$AL$60)="","",INDEX('Final Calculation Sheet'!$H$4:$H$40,$AL$60)))</f>
        <v/>
      </c>
      <c r="J60" s="122">
        <f>IF($AL$60="","",IF(INDEX('Final Calculation Sheet'!$I$4:$I$40,$AL$60)="","",INDEX('Final Calculation Sheet'!$I$4:$I$40,$AL$60)))</f>
        <v/>
      </c>
      <c r="K60" s="122">
        <f>IF($AL$60="","",IF(INDEX('Final Calculation Sheet'!$J$4:$J$40,$AL$60)="","",INDEX('Final Calculation Sheet'!$J$4:$J$40,$AL$60)))</f>
        <v/>
      </c>
      <c r="L60" s="122">
        <f>IF($AL$60="","",IF(INDEX('Final Calculation Sheet'!$K$4:$K$40,$AL$60)="","",INDEX('Final Calculation Sheet'!$K$4:$K$40,$AL$60)))</f>
        <v/>
      </c>
      <c r="M60" s="122">
        <f>IF($AL$60="","",IF(INDEX('Final Calculation Sheet'!$L$4:$L$40,$AL$60)="","",INDEX('Final Calculation Sheet'!$L$4:$L$40,$AL$60)))</f>
        <v/>
      </c>
      <c r="N60" s="122">
        <f>IF($AL$60="","",IF(INDEX('Final Calculation Sheet'!$M$4:$M$40,$AL$60)="","",INDEX('Final Calculation Sheet'!$M$4:$M$40,$AL$60)))</f>
        <v/>
      </c>
      <c r="O60" s="123">
        <f>IF($AL$60="","",IF(INDEX('Final Calculation Sheet'!$N$4:$N$40,$AL$60)="","",INDEX('Final Calculation Sheet'!$N$4:$N$40,$AL$60)))</f>
        <v/>
      </c>
      <c r="P60" s="122">
        <f>IF($AL$60="","",IF(INDEX('Final Calculation Sheet'!$O$4:$O$40,$AL$60)="","",INDEX('Final Calculation Sheet'!$O$4:$O$40,$AL$60)))</f>
        <v/>
      </c>
      <c r="Q60" s="122">
        <f>IF($AL$60="","",IF(INDEX('Final Calculation Sheet'!$P$4:$P$40,$AL$60)="","",INDEX('Final Calculation Sheet'!$P$4:$P$40,$AL$60)))</f>
        <v/>
      </c>
      <c r="R60" s="124">
        <f>IF($AL$60="","",IF(INDEX('Final Calculation Sheet'!$Q$4:$Q$40,$AL$60)="","",INDEX('Final Calculation Sheet'!$Q$4:$Q$40,$AL$60)))</f>
        <v/>
      </c>
      <c r="S60" s="122">
        <f>IF($AL$60="","",IF(INDEX('Final Calculation Sheet'!$R$4:$R$40,$AL$60)="","",INDEX('Final Calculation Sheet'!$R$4:$R$40,$AL$60)))</f>
        <v/>
      </c>
      <c r="T60" s="122">
        <f>IF($AL$60="","",IF(INDEX('Final Calculation Sheet'!$S$4:$S$40,$AL$60)="","",INDEX('Final Calculation Sheet'!$S$4:$S$40,$AL$60)))</f>
        <v/>
      </c>
      <c r="U60" s="122">
        <f>IF($AL$60="","",IF(INDEX('Final Calculation Sheet'!$T$4:$T$40,$AL$60)="","",INDEX('Final Calculation Sheet'!$T$4:$T$40,$AL$60)))</f>
        <v/>
      </c>
      <c r="V60" s="125">
        <f>IF($AL$60="","",IF(INDEX('Final Calculation Sheet'!$U$4:$U$40,$AL$60)="","",INDEX('Final Calculation Sheet'!$U$4:$U$40,$AL$60)))</f>
        <v/>
      </c>
      <c r="W60" s="122">
        <f>IF($AL$60="","",IF(INDEX('Final Calculation Sheet'!$V$4:$V$40,$AL$60)="","",INDEX('Final Calculation Sheet'!$V$4:$V$40,$AL$60)))</f>
        <v/>
      </c>
      <c r="X60" s="122">
        <f>IF($AL$60="","",IF(INDEX('Final Calculation Sheet'!$W$4:$W$40,$AL$60)="","",INDEX('Final Calculation Sheet'!$W$4:$W$40,$AL$60)))</f>
        <v/>
      </c>
      <c r="Y60" s="122">
        <f>IF($AL$60="","",IF(INDEX('Final Calculation Sheet'!$X$4:$X$40,$AL$60)="","",INDEX('Final Calculation Sheet'!$X$4:$X$40,$AL$60)))</f>
        <v/>
      </c>
      <c r="Z60" s="122">
        <f>IF($AL$60="","",IF(INDEX('Final Calculation Sheet'!$Y$4:$Y$40,$AL$60)="","",INDEX('Final Calculation Sheet'!$Y$4:$Y$40,$AL$60)))</f>
        <v/>
      </c>
      <c r="AA60" s="122">
        <f>IF($AL$60="","",IF(INDEX('Final Calculation Sheet'!$Z$4:$Z$40,$AL$60)="","",INDEX('Final Calculation Sheet'!$Z$4:$Z$40,$AL$60)))</f>
        <v/>
      </c>
      <c r="AB60" s="122">
        <f>IF($AL$60="","",IF(INDEX('Final Calculation Sheet'!$AA$4:$AA$40,$AL$60)="","",INDEX('Final Calculation Sheet'!$AA$4:$AA$40,$AL$60)))</f>
        <v/>
      </c>
      <c r="AC60" s="122">
        <f>IF($AL$60="","",IF(INDEX('Final Calculation Sheet'!$AB$4:$AB$40,$AL$60)="","",INDEX('Final Calculation Sheet'!$AB$4:$AB$40,$AL$60)))</f>
        <v/>
      </c>
      <c r="AD60" s="122">
        <f>IF($AL$60="","",IF(INDEX('Final Calculation Sheet'!$AC$4:$AC$40,$AL$60)="","",INDEX('Final Calculation Sheet'!$AC$4:$AC$40,$AL$60)))</f>
        <v/>
      </c>
      <c r="AE60" s="122">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f>IF(COUNTIF($B$4:$AI$4,"&lt;&gt;")=0,"",IFERROR(MATCH(1,$AK$6:$AK$42,0),""))</f>
        <v/>
      </c>
    </row>
    <row r="61">
      <c r="A61" s="128">
        <f>IF($AL$61="","",2)</f>
        <v/>
      </c>
      <c r="B61" s="129">
        <f>IF($AL$61="","",IF(INDEX('Final Calculation Sheet'!$F$4:$F$40,$AL$61)="","",INDEX('Final Calculation Sheet'!$F$4:$F$40,$AL$61)))</f>
        <v/>
      </c>
      <c r="C61" s="129">
        <f>IF($AL$61="","",IF(INDEX('Final Calculation Sheet'!$G$4:$G$40,$AL$61)="","",INDEX('Final Calculation Sheet'!$G$4:$G$40,$AL$61)))</f>
        <v/>
      </c>
      <c r="D61" s="130">
        <f>IF($AL$61="","",IF(INDEX('Final Calculation Sheet'!$B$4:$B$40,$AL$61)="","",INDEX('Final Calculation Sheet'!$B$4:$B$40,$AL$61)))</f>
        <v/>
      </c>
      <c r="E61" s="130">
        <f>IF($AL$61="","",IF(INDEX('Final Calculation Sheet'!$D$4:$D$40,$AL$61)="","",INDEX('Final Calculation Sheet'!$D$4:$D$40,$AL$61)))</f>
        <v/>
      </c>
      <c r="F61" s="130">
        <f>IF($AL$61="","",IF(INDEX('Final Calculation Sheet'!$A$4:$A$40,$AL$61)="","",INDEX('Final Calculation Sheet'!$A$4:$A$40,$AL$61)))</f>
        <v/>
      </c>
      <c r="G61" s="130">
        <f>IF($AL$61="","",IF(INDEX('Final Calculation Sheet'!$E$4:$E$40,$AL$61)="","",INDEX('Final Calculation Sheet'!$E$4:$E$40,$AL$61)))</f>
        <v/>
      </c>
      <c r="H61" s="131">
        <f>IF($AL$61="","",IF(INDEX('Final Calculation Sheet'!$C$4:$C$40,$AL$61)="","",INDEX('Final Calculation Sheet'!$C$4:$C$40,$AL$61)))</f>
        <v/>
      </c>
      <c r="I61" s="131">
        <f>IF($AL$61="","",IF(INDEX('Final Calculation Sheet'!$H$4:$H$40,$AL$61)="","",INDEX('Final Calculation Sheet'!$H$4:$H$40,$AL$61)))</f>
        <v/>
      </c>
      <c r="J61" s="131">
        <f>IF($AL$61="","",IF(INDEX('Final Calculation Sheet'!$I$4:$I$40,$AL$61)="","",INDEX('Final Calculation Sheet'!$I$4:$I$40,$AL$61)))</f>
        <v/>
      </c>
      <c r="K61" s="131">
        <f>IF($AL$61="","",IF(INDEX('Final Calculation Sheet'!$J$4:$J$40,$AL$61)="","",INDEX('Final Calculation Sheet'!$J$4:$J$40,$AL$61)))</f>
        <v/>
      </c>
      <c r="L61" s="131">
        <f>IF($AL$61="","",IF(INDEX('Final Calculation Sheet'!$K$4:$K$40,$AL$61)="","",INDEX('Final Calculation Sheet'!$K$4:$K$40,$AL$61)))</f>
        <v/>
      </c>
      <c r="M61" s="131">
        <f>IF($AL$61="","",IF(INDEX('Final Calculation Sheet'!$L$4:$L$40,$AL$61)="","",INDEX('Final Calculation Sheet'!$L$4:$L$40,$AL$61)))</f>
        <v/>
      </c>
      <c r="N61" s="131">
        <f>IF($AL$61="","",IF(INDEX('Final Calculation Sheet'!$M$4:$M$40,$AL$61)="","",INDEX('Final Calculation Sheet'!$M$4:$M$40,$AL$61)))</f>
        <v/>
      </c>
      <c r="O61" s="132">
        <f>IF($AL$61="","",IF(INDEX('Final Calculation Sheet'!$N$4:$N$40,$AL$61)="","",INDEX('Final Calculation Sheet'!$N$4:$N$40,$AL$61)))</f>
        <v/>
      </c>
      <c r="P61" s="131">
        <f>IF($AL$61="","",IF(INDEX('Final Calculation Sheet'!$O$4:$O$40,$AL$61)="","",INDEX('Final Calculation Sheet'!$O$4:$O$40,$AL$61)))</f>
        <v/>
      </c>
      <c r="Q61" s="131">
        <f>IF($AL$61="","",IF(INDEX('Final Calculation Sheet'!$P$4:$P$40,$AL$61)="","",INDEX('Final Calculation Sheet'!$P$4:$P$40,$AL$61)))</f>
        <v/>
      </c>
      <c r="R61" s="133">
        <f>IF($AL$61="","",IF(INDEX('Final Calculation Sheet'!$Q$4:$Q$40,$AL$61)="","",INDEX('Final Calculation Sheet'!$Q$4:$Q$40,$AL$61)))</f>
        <v/>
      </c>
      <c r="S61" s="131">
        <f>IF($AL$61="","",IF(INDEX('Final Calculation Sheet'!$R$4:$R$40,$AL$61)="","",INDEX('Final Calculation Sheet'!$R$4:$R$40,$AL$61)))</f>
        <v/>
      </c>
      <c r="T61" s="131">
        <f>IF($AL$61="","",IF(INDEX('Final Calculation Sheet'!$S$4:$S$40,$AL$61)="","",INDEX('Final Calculation Sheet'!$S$4:$S$40,$AL$61)))</f>
        <v/>
      </c>
      <c r="U61" s="131">
        <f>IF($AL$61="","",IF(INDEX('Final Calculation Sheet'!$T$4:$T$40,$AL$61)="","",INDEX('Final Calculation Sheet'!$T$4:$T$40,$AL$61)))</f>
        <v/>
      </c>
      <c r="V61" s="134">
        <f>IF($AL$61="","",IF(INDEX('Final Calculation Sheet'!$U$4:$U$40,$AL$61)="","",INDEX('Final Calculation Sheet'!$U$4:$U$40,$AL$61)))</f>
        <v/>
      </c>
      <c r="W61" s="131">
        <f>IF($AL$61="","",IF(INDEX('Final Calculation Sheet'!$V$4:$V$40,$AL$61)="","",INDEX('Final Calculation Sheet'!$V$4:$V$40,$AL$61)))</f>
        <v/>
      </c>
      <c r="X61" s="131">
        <f>IF($AL$61="","",IF(INDEX('Final Calculation Sheet'!$W$4:$W$40,$AL$61)="","",INDEX('Final Calculation Sheet'!$W$4:$W$40,$AL$61)))</f>
        <v/>
      </c>
      <c r="Y61" s="131">
        <f>IF($AL$61="","",IF(INDEX('Final Calculation Sheet'!$X$4:$X$40,$AL$61)="","",INDEX('Final Calculation Sheet'!$X$4:$X$40,$AL$61)))</f>
        <v/>
      </c>
      <c r="Z61" s="131">
        <f>IF($AL$61="","",IF(INDEX('Final Calculation Sheet'!$Y$4:$Y$40,$AL$61)="","",INDEX('Final Calculation Sheet'!$Y$4:$Y$40,$AL$61)))</f>
        <v/>
      </c>
      <c r="AA61" s="131">
        <f>IF($AL$61="","",IF(INDEX('Final Calculation Sheet'!$Z$4:$Z$40,$AL$61)="","",INDEX('Final Calculation Sheet'!$Z$4:$Z$40,$AL$61)))</f>
        <v/>
      </c>
      <c r="AB61" s="131">
        <f>IF($AL$61="","",IF(INDEX('Final Calculation Sheet'!$AA$4:$AA$40,$AL$61)="","",INDEX('Final Calculation Sheet'!$AA$4:$AA$40,$AL$61)))</f>
        <v/>
      </c>
      <c r="AC61" s="131">
        <f>IF($AL$61="","",IF(INDEX('Final Calculation Sheet'!$AB$4:$AB$40,$AL$61)="","",INDEX('Final Calculation Sheet'!$AB$4:$AB$40,$AL$61)))</f>
        <v/>
      </c>
      <c r="AD61" s="131">
        <f>IF($AL$61="","",IF(INDEX('Final Calculation Sheet'!$AC$4:$AC$40,$AL$61)="","",INDEX('Final Calculation Sheet'!$AC$4:$AC$40,$AL$61)))</f>
        <v/>
      </c>
      <c r="AE61" s="131">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f>IF(COUNTIF($B$4:$AI$4,"&lt;&gt;")=0,"",IFERROR(MATCH(2,$AK$6:$AK$42,0),""))</f>
        <v/>
      </c>
    </row>
    <row r="62">
      <c r="A62" s="118">
        <f>IF($AL$62="","",3)</f>
        <v/>
      </c>
      <c r="B62" s="119">
        <f>IF($AL$62="","",IF(INDEX('Final Calculation Sheet'!$F$4:$F$40,$AL$62)="","",INDEX('Final Calculation Sheet'!$F$4:$F$40,$AL$62)))</f>
        <v/>
      </c>
      <c r="C62" s="119">
        <f>IF($AL$62="","",IF(INDEX('Final Calculation Sheet'!$G$4:$G$40,$AL$62)="","",INDEX('Final Calculation Sheet'!$G$4:$G$40,$AL$62)))</f>
        <v/>
      </c>
      <c r="D62" s="121">
        <f>IF($AL$62="","",IF(INDEX('Final Calculation Sheet'!$B$4:$B$40,$AL$62)="","",INDEX('Final Calculation Sheet'!$B$4:$B$40,$AL$62)))</f>
        <v/>
      </c>
      <c r="E62" s="121">
        <f>IF($AL$62="","",IF(INDEX('Final Calculation Sheet'!$D$4:$D$40,$AL$62)="","",INDEX('Final Calculation Sheet'!$D$4:$D$40,$AL$62)))</f>
        <v/>
      </c>
      <c r="F62" s="121">
        <f>IF($AL$62="","",IF(INDEX('Final Calculation Sheet'!$A$4:$A$40,$AL$62)="","",INDEX('Final Calculation Sheet'!$A$4:$A$40,$AL$62)))</f>
        <v/>
      </c>
      <c r="G62" s="121">
        <f>IF($AL$62="","",IF(INDEX('Final Calculation Sheet'!$E$4:$E$40,$AL$62)="","",INDEX('Final Calculation Sheet'!$E$4:$E$40,$AL$62)))</f>
        <v/>
      </c>
      <c r="H62" s="122">
        <f>IF($AL$62="","",IF(INDEX('Final Calculation Sheet'!$C$4:$C$40,$AL$62)="","",INDEX('Final Calculation Sheet'!$C$4:$C$40,$AL$62)))</f>
        <v/>
      </c>
      <c r="I62" s="122">
        <f>IF($AL$62="","",IF(INDEX('Final Calculation Sheet'!$H$4:$H$40,$AL$62)="","",INDEX('Final Calculation Sheet'!$H$4:$H$40,$AL$62)))</f>
        <v/>
      </c>
      <c r="J62" s="122">
        <f>IF($AL$62="","",IF(INDEX('Final Calculation Sheet'!$I$4:$I$40,$AL$62)="","",INDEX('Final Calculation Sheet'!$I$4:$I$40,$AL$62)))</f>
        <v/>
      </c>
      <c r="K62" s="122">
        <f>IF($AL$62="","",IF(INDEX('Final Calculation Sheet'!$J$4:$J$40,$AL$62)="","",INDEX('Final Calculation Sheet'!$J$4:$J$40,$AL$62)))</f>
        <v/>
      </c>
      <c r="L62" s="122">
        <f>IF($AL$62="","",IF(INDEX('Final Calculation Sheet'!$K$4:$K$40,$AL$62)="","",INDEX('Final Calculation Sheet'!$K$4:$K$40,$AL$62)))</f>
        <v/>
      </c>
      <c r="M62" s="122">
        <f>IF($AL$62="","",IF(INDEX('Final Calculation Sheet'!$L$4:$L$40,$AL$62)="","",INDEX('Final Calculation Sheet'!$L$4:$L$40,$AL$62)))</f>
        <v/>
      </c>
      <c r="N62" s="122">
        <f>IF($AL$62="","",IF(INDEX('Final Calculation Sheet'!$M$4:$M$40,$AL$62)="","",INDEX('Final Calculation Sheet'!$M$4:$M$40,$AL$62)))</f>
        <v/>
      </c>
      <c r="O62" s="123">
        <f>IF($AL$62="","",IF(INDEX('Final Calculation Sheet'!$N$4:$N$40,$AL$62)="","",INDEX('Final Calculation Sheet'!$N$4:$N$40,$AL$62)))</f>
        <v/>
      </c>
      <c r="P62" s="122">
        <f>IF($AL$62="","",IF(INDEX('Final Calculation Sheet'!$O$4:$O$40,$AL$62)="","",INDEX('Final Calculation Sheet'!$O$4:$O$40,$AL$62)))</f>
        <v/>
      </c>
      <c r="Q62" s="122">
        <f>IF($AL$62="","",IF(INDEX('Final Calculation Sheet'!$P$4:$P$40,$AL$62)="","",INDEX('Final Calculation Sheet'!$P$4:$P$40,$AL$62)))</f>
        <v/>
      </c>
      <c r="R62" s="124">
        <f>IF($AL$62="","",IF(INDEX('Final Calculation Sheet'!$Q$4:$Q$40,$AL$62)="","",INDEX('Final Calculation Sheet'!$Q$4:$Q$40,$AL$62)))</f>
        <v/>
      </c>
      <c r="S62" s="122">
        <f>IF($AL$62="","",IF(INDEX('Final Calculation Sheet'!$R$4:$R$40,$AL$62)="","",INDEX('Final Calculation Sheet'!$R$4:$R$40,$AL$62)))</f>
        <v/>
      </c>
      <c r="T62" s="122">
        <f>IF($AL$62="","",IF(INDEX('Final Calculation Sheet'!$S$4:$S$40,$AL$62)="","",INDEX('Final Calculation Sheet'!$S$4:$S$40,$AL$62)))</f>
        <v/>
      </c>
      <c r="U62" s="122">
        <f>IF($AL$62="","",IF(INDEX('Final Calculation Sheet'!$T$4:$T$40,$AL$62)="","",INDEX('Final Calculation Sheet'!$T$4:$T$40,$AL$62)))</f>
        <v/>
      </c>
      <c r="V62" s="125">
        <f>IF($AL$62="","",IF(INDEX('Final Calculation Sheet'!$U$4:$U$40,$AL$62)="","",INDEX('Final Calculation Sheet'!$U$4:$U$40,$AL$62)))</f>
        <v/>
      </c>
      <c r="W62" s="122">
        <f>IF($AL$62="","",IF(INDEX('Final Calculation Sheet'!$V$4:$V$40,$AL$62)="","",INDEX('Final Calculation Sheet'!$V$4:$V$40,$AL$62)))</f>
        <v/>
      </c>
      <c r="X62" s="122">
        <f>IF($AL$62="","",IF(INDEX('Final Calculation Sheet'!$W$4:$W$40,$AL$62)="","",INDEX('Final Calculation Sheet'!$W$4:$W$40,$AL$62)))</f>
        <v/>
      </c>
      <c r="Y62" s="122">
        <f>IF($AL$62="","",IF(INDEX('Final Calculation Sheet'!$X$4:$X$40,$AL$62)="","",INDEX('Final Calculation Sheet'!$X$4:$X$40,$AL$62)))</f>
        <v/>
      </c>
      <c r="Z62" s="122">
        <f>IF($AL$62="","",IF(INDEX('Final Calculation Sheet'!$Y$4:$Y$40,$AL$62)="","",INDEX('Final Calculation Sheet'!$Y$4:$Y$40,$AL$62)))</f>
        <v/>
      </c>
      <c r="AA62" s="122">
        <f>IF($AL$62="","",IF(INDEX('Final Calculation Sheet'!$Z$4:$Z$40,$AL$62)="","",INDEX('Final Calculation Sheet'!$Z$4:$Z$40,$AL$62)))</f>
        <v/>
      </c>
      <c r="AB62" s="122">
        <f>IF($AL$62="","",IF(INDEX('Final Calculation Sheet'!$AA$4:$AA$40,$AL$62)="","",INDEX('Final Calculation Sheet'!$AA$4:$AA$40,$AL$62)))</f>
        <v/>
      </c>
      <c r="AC62" s="122">
        <f>IF($AL$62="","",IF(INDEX('Final Calculation Sheet'!$AB$4:$AB$40,$AL$62)="","",INDEX('Final Calculation Sheet'!$AB$4:$AB$40,$AL$62)))</f>
        <v/>
      </c>
      <c r="AD62" s="122">
        <f>IF($AL$62="","",IF(INDEX('Final Calculation Sheet'!$AC$4:$AC$40,$AL$62)="","",INDEX('Final Calculation Sheet'!$AC$4:$AC$40,$AL$62)))</f>
        <v/>
      </c>
      <c r="AE62" s="122">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f>IF(COUNTIF($B$4:$AI$4,"&lt;&gt;")=0,"",IFERROR(MATCH(3,$AK$6:$AK$42,0),""))</f>
        <v/>
      </c>
    </row>
    <row r="63">
      <c r="A63" s="128">
        <f>IF($AL$63="","",4)</f>
        <v/>
      </c>
      <c r="B63" s="129">
        <f>IF($AL$63="","",IF(INDEX('Final Calculation Sheet'!$F$4:$F$40,$AL$63)="","",INDEX('Final Calculation Sheet'!$F$4:$F$40,$AL$63)))</f>
        <v/>
      </c>
      <c r="C63" s="129">
        <f>IF($AL$63="","",IF(INDEX('Final Calculation Sheet'!$G$4:$G$40,$AL$63)="","",INDEX('Final Calculation Sheet'!$G$4:$G$40,$AL$63)))</f>
        <v/>
      </c>
      <c r="D63" s="130">
        <f>IF($AL$63="","",IF(INDEX('Final Calculation Sheet'!$B$4:$B$40,$AL$63)="","",INDEX('Final Calculation Sheet'!$B$4:$B$40,$AL$63)))</f>
        <v/>
      </c>
      <c r="E63" s="130">
        <f>IF($AL$63="","",IF(INDEX('Final Calculation Sheet'!$D$4:$D$40,$AL$63)="","",INDEX('Final Calculation Sheet'!$D$4:$D$40,$AL$63)))</f>
        <v/>
      </c>
      <c r="F63" s="130">
        <f>IF($AL$63="","",IF(INDEX('Final Calculation Sheet'!$A$4:$A$40,$AL$63)="","",INDEX('Final Calculation Sheet'!$A$4:$A$40,$AL$63)))</f>
        <v/>
      </c>
      <c r="G63" s="130">
        <f>IF($AL$63="","",IF(INDEX('Final Calculation Sheet'!$E$4:$E$40,$AL$63)="","",INDEX('Final Calculation Sheet'!$E$4:$E$40,$AL$63)))</f>
        <v/>
      </c>
      <c r="H63" s="131">
        <f>IF($AL$63="","",IF(INDEX('Final Calculation Sheet'!$C$4:$C$40,$AL$63)="","",INDEX('Final Calculation Sheet'!$C$4:$C$40,$AL$63)))</f>
        <v/>
      </c>
      <c r="I63" s="131">
        <f>IF($AL$63="","",IF(INDEX('Final Calculation Sheet'!$H$4:$H$40,$AL$63)="","",INDEX('Final Calculation Sheet'!$H$4:$H$40,$AL$63)))</f>
        <v/>
      </c>
      <c r="J63" s="131">
        <f>IF($AL$63="","",IF(INDEX('Final Calculation Sheet'!$I$4:$I$40,$AL$63)="","",INDEX('Final Calculation Sheet'!$I$4:$I$40,$AL$63)))</f>
        <v/>
      </c>
      <c r="K63" s="131">
        <f>IF($AL$63="","",IF(INDEX('Final Calculation Sheet'!$J$4:$J$40,$AL$63)="","",INDEX('Final Calculation Sheet'!$J$4:$J$40,$AL$63)))</f>
        <v/>
      </c>
      <c r="L63" s="131">
        <f>IF($AL$63="","",IF(INDEX('Final Calculation Sheet'!$K$4:$K$40,$AL$63)="","",INDEX('Final Calculation Sheet'!$K$4:$K$40,$AL$63)))</f>
        <v/>
      </c>
      <c r="M63" s="131">
        <f>IF($AL$63="","",IF(INDEX('Final Calculation Sheet'!$L$4:$L$40,$AL$63)="","",INDEX('Final Calculation Sheet'!$L$4:$L$40,$AL$63)))</f>
        <v/>
      </c>
      <c r="N63" s="131">
        <f>IF($AL$63="","",IF(INDEX('Final Calculation Sheet'!$M$4:$M$40,$AL$63)="","",INDEX('Final Calculation Sheet'!$M$4:$M$40,$AL$63)))</f>
        <v/>
      </c>
      <c r="O63" s="132">
        <f>IF($AL$63="","",IF(INDEX('Final Calculation Sheet'!$N$4:$N$40,$AL$63)="","",INDEX('Final Calculation Sheet'!$N$4:$N$40,$AL$63)))</f>
        <v/>
      </c>
      <c r="P63" s="131">
        <f>IF($AL$63="","",IF(INDEX('Final Calculation Sheet'!$O$4:$O$40,$AL$63)="","",INDEX('Final Calculation Sheet'!$O$4:$O$40,$AL$63)))</f>
        <v/>
      </c>
      <c r="Q63" s="131">
        <f>IF($AL$63="","",IF(INDEX('Final Calculation Sheet'!$P$4:$P$40,$AL$63)="","",INDEX('Final Calculation Sheet'!$P$4:$P$40,$AL$63)))</f>
        <v/>
      </c>
      <c r="R63" s="133">
        <f>IF($AL$63="","",IF(INDEX('Final Calculation Sheet'!$Q$4:$Q$40,$AL$63)="","",INDEX('Final Calculation Sheet'!$Q$4:$Q$40,$AL$63)))</f>
        <v/>
      </c>
      <c r="S63" s="131">
        <f>IF($AL$63="","",IF(INDEX('Final Calculation Sheet'!$R$4:$R$40,$AL$63)="","",INDEX('Final Calculation Sheet'!$R$4:$R$40,$AL$63)))</f>
        <v/>
      </c>
      <c r="T63" s="131">
        <f>IF($AL$63="","",IF(INDEX('Final Calculation Sheet'!$S$4:$S$40,$AL$63)="","",INDEX('Final Calculation Sheet'!$S$4:$S$40,$AL$63)))</f>
        <v/>
      </c>
      <c r="U63" s="131">
        <f>IF($AL$63="","",IF(INDEX('Final Calculation Sheet'!$T$4:$T$40,$AL$63)="","",INDEX('Final Calculation Sheet'!$T$4:$T$40,$AL$63)))</f>
        <v/>
      </c>
      <c r="V63" s="134">
        <f>IF($AL$63="","",IF(INDEX('Final Calculation Sheet'!$U$4:$U$40,$AL$63)="","",INDEX('Final Calculation Sheet'!$U$4:$U$40,$AL$63)))</f>
        <v/>
      </c>
      <c r="W63" s="131">
        <f>IF($AL$63="","",IF(INDEX('Final Calculation Sheet'!$V$4:$V$40,$AL$63)="","",INDEX('Final Calculation Sheet'!$V$4:$V$40,$AL$63)))</f>
        <v/>
      </c>
      <c r="X63" s="131">
        <f>IF($AL$63="","",IF(INDEX('Final Calculation Sheet'!$W$4:$W$40,$AL$63)="","",INDEX('Final Calculation Sheet'!$W$4:$W$40,$AL$63)))</f>
        <v/>
      </c>
      <c r="Y63" s="131">
        <f>IF($AL$63="","",IF(INDEX('Final Calculation Sheet'!$X$4:$X$40,$AL$63)="","",INDEX('Final Calculation Sheet'!$X$4:$X$40,$AL$63)))</f>
        <v/>
      </c>
      <c r="Z63" s="131">
        <f>IF($AL$63="","",IF(INDEX('Final Calculation Sheet'!$Y$4:$Y$40,$AL$63)="","",INDEX('Final Calculation Sheet'!$Y$4:$Y$40,$AL$63)))</f>
        <v/>
      </c>
      <c r="AA63" s="131">
        <f>IF($AL$63="","",IF(INDEX('Final Calculation Sheet'!$Z$4:$Z$40,$AL$63)="","",INDEX('Final Calculation Sheet'!$Z$4:$Z$40,$AL$63)))</f>
        <v/>
      </c>
      <c r="AB63" s="131">
        <f>IF($AL$63="","",IF(INDEX('Final Calculation Sheet'!$AA$4:$AA$40,$AL$63)="","",INDEX('Final Calculation Sheet'!$AA$4:$AA$40,$AL$63)))</f>
        <v/>
      </c>
      <c r="AC63" s="131">
        <f>IF($AL$63="","",IF(INDEX('Final Calculation Sheet'!$AB$4:$AB$40,$AL$63)="","",INDEX('Final Calculation Sheet'!$AB$4:$AB$40,$AL$63)))</f>
        <v/>
      </c>
      <c r="AD63" s="131">
        <f>IF($AL$63="","",IF(INDEX('Final Calculation Sheet'!$AC$4:$AC$40,$AL$63)="","",INDEX('Final Calculation Sheet'!$AC$4:$AC$40,$AL$63)))</f>
        <v/>
      </c>
      <c r="AE63" s="131">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f>IF(COUNTIF($B$4:$AI$4,"&lt;&gt;")=0,"",IFERROR(MATCH(4,$AK$6:$AK$42,0),""))</f>
        <v/>
      </c>
    </row>
    <row r="64">
      <c r="A64" s="118">
        <f>IF($AL$64="","",5)</f>
        <v/>
      </c>
      <c r="B64" s="119">
        <f>IF($AL$64="","",IF(INDEX('Final Calculation Sheet'!$F$4:$F$40,$AL$64)="","",INDEX('Final Calculation Sheet'!$F$4:$F$40,$AL$64)))</f>
        <v/>
      </c>
      <c r="C64" s="119">
        <f>IF($AL$64="","",IF(INDEX('Final Calculation Sheet'!$G$4:$G$40,$AL$64)="","",INDEX('Final Calculation Sheet'!$G$4:$G$40,$AL$64)))</f>
        <v/>
      </c>
      <c r="D64" s="121">
        <f>IF($AL$64="","",IF(INDEX('Final Calculation Sheet'!$B$4:$B$40,$AL$64)="","",INDEX('Final Calculation Sheet'!$B$4:$B$40,$AL$64)))</f>
        <v/>
      </c>
      <c r="E64" s="121">
        <f>IF($AL$64="","",IF(INDEX('Final Calculation Sheet'!$D$4:$D$40,$AL$64)="","",INDEX('Final Calculation Sheet'!$D$4:$D$40,$AL$64)))</f>
        <v/>
      </c>
      <c r="F64" s="121">
        <f>IF($AL$64="","",IF(INDEX('Final Calculation Sheet'!$A$4:$A$40,$AL$64)="","",INDEX('Final Calculation Sheet'!$A$4:$A$40,$AL$64)))</f>
        <v/>
      </c>
      <c r="G64" s="121">
        <f>IF($AL$64="","",IF(INDEX('Final Calculation Sheet'!$E$4:$E$40,$AL$64)="","",INDEX('Final Calculation Sheet'!$E$4:$E$40,$AL$64)))</f>
        <v/>
      </c>
      <c r="H64" s="122">
        <f>IF($AL$64="","",IF(INDEX('Final Calculation Sheet'!$C$4:$C$40,$AL$64)="","",INDEX('Final Calculation Sheet'!$C$4:$C$40,$AL$64)))</f>
        <v/>
      </c>
      <c r="I64" s="122">
        <f>IF($AL$64="","",IF(INDEX('Final Calculation Sheet'!$H$4:$H$40,$AL$64)="","",INDEX('Final Calculation Sheet'!$H$4:$H$40,$AL$64)))</f>
        <v/>
      </c>
      <c r="J64" s="122">
        <f>IF($AL$64="","",IF(INDEX('Final Calculation Sheet'!$I$4:$I$40,$AL$64)="","",INDEX('Final Calculation Sheet'!$I$4:$I$40,$AL$64)))</f>
        <v/>
      </c>
      <c r="K64" s="122">
        <f>IF($AL$64="","",IF(INDEX('Final Calculation Sheet'!$J$4:$J$40,$AL$64)="","",INDEX('Final Calculation Sheet'!$J$4:$J$40,$AL$64)))</f>
        <v/>
      </c>
      <c r="L64" s="122">
        <f>IF($AL$64="","",IF(INDEX('Final Calculation Sheet'!$K$4:$K$40,$AL$64)="","",INDEX('Final Calculation Sheet'!$K$4:$K$40,$AL$64)))</f>
        <v/>
      </c>
      <c r="M64" s="122">
        <f>IF($AL$64="","",IF(INDEX('Final Calculation Sheet'!$L$4:$L$40,$AL$64)="","",INDEX('Final Calculation Sheet'!$L$4:$L$40,$AL$64)))</f>
        <v/>
      </c>
      <c r="N64" s="122">
        <f>IF($AL$64="","",IF(INDEX('Final Calculation Sheet'!$M$4:$M$40,$AL$64)="","",INDEX('Final Calculation Sheet'!$M$4:$M$40,$AL$64)))</f>
        <v/>
      </c>
      <c r="O64" s="123">
        <f>IF($AL$64="","",IF(INDEX('Final Calculation Sheet'!$N$4:$N$40,$AL$64)="","",INDEX('Final Calculation Sheet'!$N$4:$N$40,$AL$64)))</f>
        <v/>
      </c>
      <c r="P64" s="122">
        <f>IF($AL$64="","",IF(INDEX('Final Calculation Sheet'!$O$4:$O$40,$AL$64)="","",INDEX('Final Calculation Sheet'!$O$4:$O$40,$AL$64)))</f>
        <v/>
      </c>
      <c r="Q64" s="122">
        <f>IF($AL$64="","",IF(INDEX('Final Calculation Sheet'!$P$4:$P$40,$AL$64)="","",INDEX('Final Calculation Sheet'!$P$4:$P$40,$AL$64)))</f>
        <v/>
      </c>
      <c r="R64" s="124">
        <f>IF($AL$64="","",IF(INDEX('Final Calculation Sheet'!$Q$4:$Q$40,$AL$64)="","",INDEX('Final Calculation Sheet'!$Q$4:$Q$40,$AL$64)))</f>
        <v/>
      </c>
      <c r="S64" s="122">
        <f>IF($AL$64="","",IF(INDEX('Final Calculation Sheet'!$R$4:$R$40,$AL$64)="","",INDEX('Final Calculation Sheet'!$R$4:$R$40,$AL$64)))</f>
        <v/>
      </c>
      <c r="T64" s="122">
        <f>IF($AL$64="","",IF(INDEX('Final Calculation Sheet'!$S$4:$S$40,$AL$64)="","",INDEX('Final Calculation Sheet'!$S$4:$S$40,$AL$64)))</f>
        <v/>
      </c>
      <c r="U64" s="122">
        <f>IF($AL$64="","",IF(INDEX('Final Calculation Sheet'!$T$4:$T$40,$AL$64)="","",INDEX('Final Calculation Sheet'!$T$4:$T$40,$AL$64)))</f>
        <v/>
      </c>
      <c r="V64" s="125">
        <f>IF($AL$64="","",IF(INDEX('Final Calculation Sheet'!$U$4:$U$40,$AL$64)="","",INDEX('Final Calculation Sheet'!$U$4:$U$40,$AL$64)))</f>
        <v/>
      </c>
      <c r="W64" s="122">
        <f>IF($AL$64="","",IF(INDEX('Final Calculation Sheet'!$V$4:$V$40,$AL$64)="","",INDEX('Final Calculation Sheet'!$V$4:$V$40,$AL$64)))</f>
        <v/>
      </c>
      <c r="X64" s="122">
        <f>IF($AL$64="","",IF(INDEX('Final Calculation Sheet'!$W$4:$W$40,$AL$64)="","",INDEX('Final Calculation Sheet'!$W$4:$W$40,$AL$64)))</f>
        <v/>
      </c>
      <c r="Y64" s="122">
        <f>IF($AL$64="","",IF(INDEX('Final Calculation Sheet'!$X$4:$X$40,$AL$64)="","",INDEX('Final Calculation Sheet'!$X$4:$X$40,$AL$64)))</f>
        <v/>
      </c>
      <c r="Z64" s="122">
        <f>IF($AL$64="","",IF(INDEX('Final Calculation Sheet'!$Y$4:$Y$40,$AL$64)="","",INDEX('Final Calculation Sheet'!$Y$4:$Y$40,$AL$64)))</f>
        <v/>
      </c>
      <c r="AA64" s="122">
        <f>IF($AL$64="","",IF(INDEX('Final Calculation Sheet'!$Z$4:$Z$40,$AL$64)="","",INDEX('Final Calculation Sheet'!$Z$4:$Z$40,$AL$64)))</f>
        <v/>
      </c>
      <c r="AB64" s="122">
        <f>IF($AL$64="","",IF(INDEX('Final Calculation Sheet'!$AA$4:$AA$40,$AL$64)="","",INDEX('Final Calculation Sheet'!$AA$4:$AA$40,$AL$64)))</f>
        <v/>
      </c>
      <c r="AC64" s="122">
        <f>IF($AL$64="","",IF(INDEX('Final Calculation Sheet'!$AB$4:$AB$40,$AL$64)="","",INDEX('Final Calculation Sheet'!$AB$4:$AB$40,$AL$64)))</f>
        <v/>
      </c>
      <c r="AD64" s="122">
        <f>IF($AL$64="","",IF(INDEX('Final Calculation Sheet'!$AC$4:$AC$40,$AL$64)="","",INDEX('Final Calculation Sheet'!$AC$4:$AC$40,$AL$64)))</f>
        <v/>
      </c>
      <c r="AE64" s="122">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f>IF(COUNTIF($B$4:$AI$4,"&lt;&gt;")=0,"",IFERROR(MATCH(5,$AK$6:$AK$42,0),""))</f>
        <v/>
      </c>
    </row>
    <row r="65">
      <c r="A65" s="128">
        <f>IF($AL$65="","",6)</f>
        <v/>
      </c>
      <c r="B65" s="129">
        <f>IF($AL$65="","",IF(INDEX('Final Calculation Sheet'!$F$4:$F$40,$AL$65)="","",INDEX('Final Calculation Sheet'!$F$4:$F$40,$AL$65)))</f>
        <v/>
      </c>
      <c r="C65" s="129">
        <f>IF($AL$65="","",IF(INDEX('Final Calculation Sheet'!$G$4:$G$40,$AL$65)="","",INDEX('Final Calculation Sheet'!$G$4:$G$40,$AL$65)))</f>
        <v/>
      </c>
      <c r="D65" s="130">
        <f>IF($AL$65="","",IF(INDEX('Final Calculation Sheet'!$B$4:$B$40,$AL$65)="","",INDEX('Final Calculation Sheet'!$B$4:$B$40,$AL$65)))</f>
        <v/>
      </c>
      <c r="E65" s="130">
        <f>IF($AL$65="","",IF(INDEX('Final Calculation Sheet'!$D$4:$D$40,$AL$65)="","",INDEX('Final Calculation Sheet'!$D$4:$D$40,$AL$65)))</f>
        <v/>
      </c>
      <c r="F65" s="130">
        <f>IF($AL$65="","",IF(INDEX('Final Calculation Sheet'!$A$4:$A$40,$AL$65)="","",INDEX('Final Calculation Sheet'!$A$4:$A$40,$AL$65)))</f>
        <v/>
      </c>
      <c r="G65" s="130">
        <f>IF($AL$65="","",IF(INDEX('Final Calculation Sheet'!$E$4:$E$40,$AL$65)="","",INDEX('Final Calculation Sheet'!$E$4:$E$40,$AL$65)))</f>
        <v/>
      </c>
      <c r="H65" s="131">
        <f>IF($AL$65="","",IF(INDEX('Final Calculation Sheet'!$C$4:$C$40,$AL$65)="","",INDEX('Final Calculation Sheet'!$C$4:$C$40,$AL$65)))</f>
        <v/>
      </c>
      <c r="I65" s="131">
        <f>IF($AL$65="","",IF(INDEX('Final Calculation Sheet'!$H$4:$H$40,$AL$65)="","",INDEX('Final Calculation Sheet'!$H$4:$H$40,$AL$65)))</f>
        <v/>
      </c>
      <c r="J65" s="131">
        <f>IF($AL$65="","",IF(INDEX('Final Calculation Sheet'!$I$4:$I$40,$AL$65)="","",INDEX('Final Calculation Sheet'!$I$4:$I$40,$AL$65)))</f>
        <v/>
      </c>
      <c r="K65" s="131">
        <f>IF($AL$65="","",IF(INDEX('Final Calculation Sheet'!$J$4:$J$40,$AL$65)="","",INDEX('Final Calculation Sheet'!$J$4:$J$40,$AL$65)))</f>
        <v/>
      </c>
      <c r="L65" s="131">
        <f>IF($AL$65="","",IF(INDEX('Final Calculation Sheet'!$K$4:$K$40,$AL$65)="","",INDEX('Final Calculation Sheet'!$K$4:$K$40,$AL$65)))</f>
        <v/>
      </c>
      <c r="M65" s="131">
        <f>IF($AL$65="","",IF(INDEX('Final Calculation Sheet'!$L$4:$L$40,$AL$65)="","",INDEX('Final Calculation Sheet'!$L$4:$L$40,$AL$65)))</f>
        <v/>
      </c>
      <c r="N65" s="131">
        <f>IF($AL$65="","",IF(INDEX('Final Calculation Sheet'!$M$4:$M$40,$AL$65)="","",INDEX('Final Calculation Sheet'!$M$4:$M$40,$AL$65)))</f>
        <v/>
      </c>
      <c r="O65" s="132">
        <f>IF($AL$65="","",IF(INDEX('Final Calculation Sheet'!$N$4:$N$40,$AL$65)="","",INDEX('Final Calculation Sheet'!$N$4:$N$40,$AL$65)))</f>
        <v/>
      </c>
      <c r="P65" s="131">
        <f>IF($AL$65="","",IF(INDEX('Final Calculation Sheet'!$O$4:$O$40,$AL$65)="","",INDEX('Final Calculation Sheet'!$O$4:$O$40,$AL$65)))</f>
        <v/>
      </c>
      <c r="Q65" s="131">
        <f>IF($AL$65="","",IF(INDEX('Final Calculation Sheet'!$P$4:$P$40,$AL$65)="","",INDEX('Final Calculation Sheet'!$P$4:$P$40,$AL$65)))</f>
        <v/>
      </c>
      <c r="R65" s="133">
        <f>IF($AL$65="","",IF(INDEX('Final Calculation Sheet'!$Q$4:$Q$40,$AL$65)="","",INDEX('Final Calculation Sheet'!$Q$4:$Q$40,$AL$65)))</f>
        <v/>
      </c>
      <c r="S65" s="131">
        <f>IF($AL$65="","",IF(INDEX('Final Calculation Sheet'!$R$4:$R$40,$AL$65)="","",INDEX('Final Calculation Sheet'!$R$4:$R$40,$AL$65)))</f>
        <v/>
      </c>
      <c r="T65" s="131">
        <f>IF($AL$65="","",IF(INDEX('Final Calculation Sheet'!$S$4:$S$40,$AL$65)="","",INDEX('Final Calculation Sheet'!$S$4:$S$40,$AL$65)))</f>
        <v/>
      </c>
      <c r="U65" s="131">
        <f>IF($AL$65="","",IF(INDEX('Final Calculation Sheet'!$T$4:$T$40,$AL$65)="","",INDEX('Final Calculation Sheet'!$T$4:$T$40,$AL$65)))</f>
        <v/>
      </c>
      <c r="V65" s="134">
        <f>IF($AL$65="","",IF(INDEX('Final Calculation Sheet'!$U$4:$U$40,$AL$65)="","",INDEX('Final Calculation Sheet'!$U$4:$U$40,$AL$65)))</f>
        <v/>
      </c>
      <c r="W65" s="131">
        <f>IF($AL$65="","",IF(INDEX('Final Calculation Sheet'!$V$4:$V$40,$AL$65)="","",INDEX('Final Calculation Sheet'!$V$4:$V$40,$AL$65)))</f>
        <v/>
      </c>
      <c r="X65" s="131">
        <f>IF($AL$65="","",IF(INDEX('Final Calculation Sheet'!$W$4:$W$40,$AL$65)="","",INDEX('Final Calculation Sheet'!$W$4:$W$40,$AL$65)))</f>
        <v/>
      </c>
      <c r="Y65" s="131">
        <f>IF($AL$65="","",IF(INDEX('Final Calculation Sheet'!$X$4:$X$40,$AL$65)="","",INDEX('Final Calculation Sheet'!$X$4:$X$40,$AL$65)))</f>
        <v/>
      </c>
      <c r="Z65" s="131">
        <f>IF($AL$65="","",IF(INDEX('Final Calculation Sheet'!$Y$4:$Y$40,$AL$65)="","",INDEX('Final Calculation Sheet'!$Y$4:$Y$40,$AL$65)))</f>
        <v/>
      </c>
      <c r="AA65" s="131">
        <f>IF($AL$65="","",IF(INDEX('Final Calculation Sheet'!$Z$4:$Z$40,$AL$65)="","",INDEX('Final Calculation Sheet'!$Z$4:$Z$40,$AL$65)))</f>
        <v/>
      </c>
      <c r="AB65" s="131">
        <f>IF($AL$65="","",IF(INDEX('Final Calculation Sheet'!$AA$4:$AA$40,$AL$65)="","",INDEX('Final Calculation Sheet'!$AA$4:$AA$40,$AL$65)))</f>
        <v/>
      </c>
      <c r="AC65" s="131">
        <f>IF($AL$65="","",IF(INDEX('Final Calculation Sheet'!$AB$4:$AB$40,$AL$65)="","",INDEX('Final Calculation Sheet'!$AB$4:$AB$40,$AL$65)))</f>
        <v/>
      </c>
      <c r="AD65" s="131">
        <f>IF($AL$65="","",IF(INDEX('Final Calculation Sheet'!$AC$4:$AC$40,$AL$65)="","",INDEX('Final Calculation Sheet'!$AC$4:$AC$40,$AL$65)))</f>
        <v/>
      </c>
      <c r="AE65" s="131">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f>IF(COUNTIF($B$4:$AI$4,"&lt;&gt;")=0,"",IFERROR(MATCH(6,$AK$6:$AK$42,0),""))</f>
        <v/>
      </c>
    </row>
    <row r="66">
      <c r="A66" s="118">
        <f>IF($AL$66="","",7)</f>
        <v/>
      </c>
      <c r="B66" s="119">
        <f>IF($AL$66="","",IF(INDEX('Final Calculation Sheet'!$F$4:$F$40,$AL$66)="","",INDEX('Final Calculation Sheet'!$F$4:$F$40,$AL$66)))</f>
        <v/>
      </c>
      <c r="C66" s="119">
        <f>IF($AL$66="","",IF(INDEX('Final Calculation Sheet'!$G$4:$G$40,$AL$66)="","",INDEX('Final Calculation Sheet'!$G$4:$G$40,$AL$66)))</f>
        <v/>
      </c>
      <c r="D66" s="121">
        <f>IF($AL$66="","",IF(INDEX('Final Calculation Sheet'!$B$4:$B$40,$AL$66)="","",INDEX('Final Calculation Sheet'!$B$4:$B$40,$AL$66)))</f>
        <v/>
      </c>
      <c r="E66" s="121">
        <f>IF($AL$66="","",IF(INDEX('Final Calculation Sheet'!$D$4:$D$40,$AL$66)="","",INDEX('Final Calculation Sheet'!$D$4:$D$40,$AL$66)))</f>
        <v/>
      </c>
      <c r="F66" s="121">
        <f>IF($AL$66="","",IF(INDEX('Final Calculation Sheet'!$A$4:$A$40,$AL$66)="","",INDEX('Final Calculation Sheet'!$A$4:$A$40,$AL$66)))</f>
        <v/>
      </c>
      <c r="G66" s="121">
        <f>IF($AL$66="","",IF(INDEX('Final Calculation Sheet'!$E$4:$E$40,$AL$66)="","",INDEX('Final Calculation Sheet'!$E$4:$E$40,$AL$66)))</f>
        <v/>
      </c>
      <c r="H66" s="122">
        <f>IF($AL$66="","",IF(INDEX('Final Calculation Sheet'!$C$4:$C$40,$AL$66)="","",INDEX('Final Calculation Sheet'!$C$4:$C$40,$AL$66)))</f>
        <v/>
      </c>
      <c r="I66" s="122">
        <f>IF($AL$66="","",IF(INDEX('Final Calculation Sheet'!$H$4:$H$40,$AL$66)="","",INDEX('Final Calculation Sheet'!$H$4:$H$40,$AL$66)))</f>
        <v/>
      </c>
      <c r="J66" s="122">
        <f>IF($AL$66="","",IF(INDEX('Final Calculation Sheet'!$I$4:$I$40,$AL$66)="","",INDEX('Final Calculation Sheet'!$I$4:$I$40,$AL$66)))</f>
        <v/>
      </c>
      <c r="K66" s="122">
        <f>IF($AL$66="","",IF(INDEX('Final Calculation Sheet'!$J$4:$J$40,$AL$66)="","",INDEX('Final Calculation Sheet'!$J$4:$J$40,$AL$66)))</f>
        <v/>
      </c>
      <c r="L66" s="122">
        <f>IF($AL$66="","",IF(INDEX('Final Calculation Sheet'!$K$4:$K$40,$AL$66)="","",INDEX('Final Calculation Sheet'!$K$4:$K$40,$AL$66)))</f>
        <v/>
      </c>
      <c r="M66" s="122">
        <f>IF($AL$66="","",IF(INDEX('Final Calculation Sheet'!$L$4:$L$40,$AL$66)="","",INDEX('Final Calculation Sheet'!$L$4:$L$40,$AL$66)))</f>
        <v/>
      </c>
      <c r="N66" s="122">
        <f>IF($AL$66="","",IF(INDEX('Final Calculation Sheet'!$M$4:$M$40,$AL$66)="","",INDEX('Final Calculation Sheet'!$M$4:$M$40,$AL$66)))</f>
        <v/>
      </c>
      <c r="O66" s="123">
        <f>IF($AL$66="","",IF(INDEX('Final Calculation Sheet'!$N$4:$N$40,$AL$66)="","",INDEX('Final Calculation Sheet'!$N$4:$N$40,$AL$66)))</f>
        <v/>
      </c>
      <c r="P66" s="122">
        <f>IF($AL$66="","",IF(INDEX('Final Calculation Sheet'!$O$4:$O$40,$AL$66)="","",INDEX('Final Calculation Sheet'!$O$4:$O$40,$AL$66)))</f>
        <v/>
      </c>
      <c r="Q66" s="122">
        <f>IF($AL$66="","",IF(INDEX('Final Calculation Sheet'!$P$4:$P$40,$AL$66)="","",INDEX('Final Calculation Sheet'!$P$4:$P$40,$AL$66)))</f>
        <v/>
      </c>
      <c r="R66" s="124">
        <f>IF($AL$66="","",IF(INDEX('Final Calculation Sheet'!$Q$4:$Q$40,$AL$66)="","",INDEX('Final Calculation Sheet'!$Q$4:$Q$40,$AL$66)))</f>
        <v/>
      </c>
      <c r="S66" s="122">
        <f>IF($AL$66="","",IF(INDEX('Final Calculation Sheet'!$R$4:$R$40,$AL$66)="","",INDEX('Final Calculation Sheet'!$R$4:$R$40,$AL$66)))</f>
        <v/>
      </c>
      <c r="T66" s="122">
        <f>IF($AL$66="","",IF(INDEX('Final Calculation Sheet'!$S$4:$S$40,$AL$66)="","",INDEX('Final Calculation Sheet'!$S$4:$S$40,$AL$66)))</f>
        <v/>
      </c>
      <c r="U66" s="122">
        <f>IF($AL$66="","",IF(INDEX('Final Calculation Sheet'!$T$4:$T$40,$AL$66)="","",INDEX('Final Calculation Sheet'!$T$4:$T$40,$AL$66)))</f>
        <v/>
      </c>
      <c r="V66" s="125">
        <f>IF($AL$66="","",IF(INDEX('Final Calculation Sheet'!$U$4:$U$40,$AL$66)="","",INDEX('Final Calculation Sheet'!$U$4:$U$40,$AL$66)))</f>
        <v/>
      </c>
      <c r="W66" s="122">
        <f>IF($AL$66="","",IF(INDEX('Final Calculation Sheet'!$V$4:$V$40,$AL$66)="","",INDEX('Final Calculation Sheet'!$V$4:$V$40,$AL$66)))</f>
        <v/>
      </c>
      <c r="X66" s="122">
        <f>IF($AL$66="","",IF(INDEX('Final Calculation Sheet'!$W$4:$W$40,$AL$66)="","",INDEX('Final Calculation Sheet'!$W$4:$W$40,$AL$66)))</f>
        <v/>
      </c>
      <c r="Y66" s="122">
        <f>IF($AL$66="","",IF(INDEX('Final Calculation Sheet'!$X$4:$X$40,$AL$66)="","",INDEX('Final Calculation Sheet'!$X$4:$X$40,$AL$66)))</f>
        <v/>
      </c>
      <c r="Z66" s="122">
        <f>IF($AL$66="","",IF(INDEX('Final Calculation Sheet'!$Y$4:$Y$40,$AL$66)="","",INDEX('Final Calculation Sheet'!$Y$4:$Y$40,$AL$66)))</f>
        <v/>
      </c>
      <c r="AA66" s="122">
        <f>IF($AL$66="","",IF(INDEX('Final Calculation Sheet'!$Z$4:$Z$40,$AL$66)="","",INDEX('Final Calculation Sheet'!$Z$4:$Z$40,$AL$66)))</f>
        <v/>
      </c>
      <c r="AB66" s="122">
        <f>IF($AL$66="","",IF(INDEX('Final Calculation Sheet'!$AA$4:$AA$40,$AL$66)="","",INDEX('Final Calculation Sheet'!$AA$4:$AA$40,$AL$66)))</f>
        <v/>
      </c>
      <c r="AC66" s="122">
        <f>IF($AL$66="","",IF(INDEX('Final Calculation Sheet'!$AB$4:$AB$40,$AL$66)="","",INDEX('Final Calculation Sheet'!$AB$4:$AB$40,$AL$66)))</f>
        <v/>
      </c>
      <c r="AD66" s="122">
        <f>IF($AL$66="","",IF(INDEX('Final Calculation Sheet'!$AC$4:$AC$40,$AL$66)="","",INDEX('Final Calculation Sheet'!$AC$4:$AC$40,$AL$66)))</f>
        <v/>
      </c>
      <c r="AE66" s="122">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f>IF(COUNTIF($B$4:$AI$4,"&lt;&gt;")=0,"",IFERROR(MATCH(7,$AK$6:$AK$42,0),""))</f>
        <v/>
      </c>
    </row>
    <row r="67">
      <c r="A67" s="128">
        <f>IF($AL$67="","",8)</f>
        <v/>
      </c>
      <c r="B67" s="129">
        <f>IF($AL$67="","",IF(INDEX('Final Calculation Sheet'!$F$4:$F$40,$AL$67)="","",INDEX('Final Calculation Sheet'!$F$4:$F$40,$AL$67)))</f>
        <v/>
      </c>
      <c r="C67" s="129">
        <f>IF($AL$67="","",IF(INDEX('Final Calculation Sheet'!$G$4:$G$40,$AL$67)="","",INDEX('Final Calculation Sheet'!$G$4:$G$40,$AL$67)))</f>
        <v/>
      </c>
      <c r="D67" s="130">
        <f>IF($AL$67="","",IF(INDEX('Final Calculation Sheet'!$B$4:$B$40,$AL$67)="","",INDEX('Final Calculation Sheet'!$B$4:$B$40,$AL$67)))</f>
        <v/>
      </c>
      <c r="E67" s="130">
        <f>IF($AL$67="","",IF(INDEX('Final Calculation Sheet'!$D$4:$D$40,$AL$67)="","",INDEX('Final Calculation Sheet'!$D$4:$D$40,$AL$67)))</f>
        <v/>
      </c>
      <c r="F67" s="130">
        <f>IF($AL$67="","",IF(INDEX('Final Calculation Sheet'!$A$4:$A$40,$AL$67)="","",INDEX('Final Calculation Sheet'!$A$4:$A$40,$AL$67)))</f>
        <v/>
      </c>
      <c r="G67" s="130">
        <f>IF($AL$67="","",IF(INDEX('Final Calculation Sheet'!$E$4:$E$40,$AL$67)="","",INDEX('Final Calculation Sheet'!$E$4:$E$40,$AL$67)))</f>
        <v/>
      </c>
      <c r="H67" s="131">
        <f>IF($AL$67="","",IF(INDEX('Final Calculation Sheet'!$C$4:$C$40,$AL$67)="","",INDEX('Final Calculation Sheet'!$C$4:$C$40,$AL$67)))</f>
        <v/>
      </c>
      <c r="I67" s="131">
        <f>IF($AL$67="","",IF(INDEX('Final Calculation Sheet'!$H$4:$H$40,$AL$67)="","",INDEX('Final Calculation Sheet'!$H$4:$H$40,$AL$67)))</f>
        <v/>
      </c>
      <c r="J67" s="131">
        <f>IF($AL$67="","",IF(INDEX('Final Calculation Sheet'!$I$4:$I$40,$AL$67)="","",INDEX('Final Calculation Sheet'!$I$4:$I$40,$AL$67)))</f>
        <v/>
      </c>
      <c r="K67" s="131">
        <f>IF($AL$67="","",IF(INDEX('Final Calculation Sheet'!$J$4:$J$40,$AL$67)="","",INDEX('Final Calculation Sheet'!$J$4:$J$40,$AL$67)))</f>
        <v/>
      </c>
      <c r="L67" s="131">
        <f>IF($AL$67="","",IF(INDEX('Final Calculation Sheet'!$K$4:$K$40,$AL$67)="","",INDEX('Final Calculation Sheet'!$K$4:$K$40,$AL$67)))</f>
        <v/>
      </c>
      <c r="M67" s="131">
        <f>IF($AL$67="","",IF(INDEX('Final Calculation Sheet'!$L$4:$L$40,$AL$67)="","",INDEX('Final Calculation Sheet'!$L$4:$L$40,$AL$67)))</f>
        <v/>
      </c>
      <c r="N67" s="131">
        <f>IF($AL$67="","",IF(INDEX('Final Calculation Sheet'!$M$4:$M$40,$AL$67)="","",INDEX('Final Calculation Sheet'!$M$4:$M$40,$AL$67)))</f>
        <v/>
      </c>
      <c r="O67" s="132">
        <f>IF($AL$67="","",IF(INDEX('Final Calculation Sheet'!$N$4:$N$40,$AL$67)="","",INDEX('Final Calculation Sheet'!$N$4:$N$40,$AL$67)))</f>
        <v/>
      </c>
      <c r="P67" s="131">
        <f>IF($AL$67="","",IF(INDEX('Final Calculation Sheet'!$O$4:$O$40,$AL$67)="","",INDEX('Final Calculation Sheet'!$O$4:$O$40,$AL$67)))</f>
        <v/>
      </c>
      <c r="Q67" s="131">
        <f>IF($AL$67="","",IF(INDEX('Final Calculation Sheet'!$P$4:$P$40,$AL$67)="","",INDEX('Final Calculation Sheet'!$P$4:$P$40,$AL$67)))</f>
        <v/>
      </c>
      <c r="R67" s="133">
        <f>IF($AL$67="","",IF(INDEX('Final Calculation Sheet'!$Q$4:$Q$40,$AL$67)="","",INDEX('Final Calculation Sheet'!$Q$4:$Q$40,$AL$67)))</f>
        <v/>
      </c>
      <c r="S67" s="131">
        <f>IF($AL$67="","",IF(INDEX('Final Calculation Sheet'!$R$4:$R$40,$AL$67)="","",INDEX('Final Calculation Sheet'!$R$4:$R$40,$AL$67)))</f>
        <v/>
      </c>
      <c r="T67" s="131">
        <f>IF($AL$67="","",IF(INDEX('Final Calculation Sheet'!$S$4:$S$40,$AL$67)="","",INDEX('Final Calculation Sheet'!$S$4:$S$40,$AL$67)))</f>
        <v/>
      </c>
      <c r="U67" s="131">
        <f>IF($AL$67="","",IF(INDEX('Final Calculation Sheet'!$T$4:$T$40,$AL$67)="","",INDEX('Final Calculation Sheet'!$T$4:$T$40,$AL$67)))</f>
        <v/>
      </c>
      <c r="V67" s="134">
        <f>IF($AL$67="","",IF(INDEX('Final Calculation Sheet'!$U$4:$U$40,$AL$67)="","",INDEX('Final Calculation Sheet'!$U$4:$U$40,$AL$67)))</f>
        <v/>
      </c>
      <c r="W67" s="131">
        <f>IF($AL$67="","",IF(INDEX('Final Calculation Sheet'!$V$4:$V$40,$AL$67)="","",INDEX('Final Calculation Sheet'!$V$4:$V$40,$AL$67)))</f>
        <v/>
      </c>
      <c r="X67" s="131">
        <f>IF($AL$67="","",IF(INDEX('Final Calculation Sheet'!$W$4:$W$40,$AL$67)="","",INDEX('Final Calculation Sheet'!$W$4:$W$40,$AL$67)))</f>
        <v/>
      </c>
      <c r="Y67" s="131">
        <f>IF($AL$67="","",IF(INDEX('Final Calculation Sheet'!$X$4:$X$40,$AL$67)="","",INDEX('Final Calculation Sheet'!$X$4:$X$40,$AL$67)))</f>
        <v/>
      </c>
      <c r="Z67" s="131">
        <f>IF($AL$67="","",IF(INDEX('Final Calculation Sheet'!$Y$4:$Y$40,$AL$67)="","",INDEX('Final Calculation Sheet'!$Y$4:$Y$40,$AL$67)))</f>
        <v/>
      </c>
      <c r="AA67" s="131">
        <f>IF($AL$67="","",IF(INDEX('Final Calculation Sheet'!$Z$4:$Z$40,$AL$67)="","",INDEX('Final Calculation Sheet'!$Z$4:$Z$40,$AL$67)))</f>
        <v/>
      </c>
      <c r="AB67" s="131">
        <f>IF($AL$67="","",IF(INDEX('Final Calculation Sheet'!$AA$4:$AA$40,$AL$67)="","",INDEX('Final Calculation Sheet'!$AA$4:$AA$40,$AL$67)))</f>
        <v/>
      </c>
      <c r="AC67" s="131">
        <f>IF($AL$67="","",IF(INDEX('Final Calculation Sheet'!$AB$4:$AB$40,$AL$67)="","",INDEX('Final Calculation Sheet'!$AB$4:$AB$40,$AL$67)))</f>
        <v/>
      </c>
      <c r="AD67" s="131">
        <f>IF($AL$67="","",IF(INDEX('Final Calculation Sheet'!$AC$4:$AC$40,$AL$67)="","",INDEX('Final Calculation Sheet'!$AC$4:$AC$40,$AL$67)))</f>
        <v/>
      </c>
      <c r="AE67" s="131">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f>IF(COUNTIF($B$4:$AI$4,"&lt;&gt;")=0,"",IFERROR(MATCH(8,$AK$6:$AK$42,0),""))</f>
        <v/>
      </c>
    </row>
    <row r="68">
      <c r="A68" s="118">
        <f>IF($AL$68="","",9)</f>
        <v/>
      </c>
      <c r="B68" s="119">
        <f>IF($AL$68="","",IF(INDEX('Final Calculation Sheet'!$F$4:$F$40,$AL$68)="","",INDEX('Final Calculation Sheet'!$F$4:$F$40,$AL$68)))</f>
        <v/>
      </c>
      <c r="C68" s="119">
        <f>IF($AL$68="","",IF(INDEX('Final Calculation Sheet'!$G$4:$G$40,$AL$68)="","",INDEX('Final Calculation Sheet'!$G$4:$G$40,$AL$68)))</f>
        <v/>
      </c>
      <c r="D68" s="121">
        <f>IF($AL$68="","",IF(INDEX('Final Calculation Sheet'!$B$4:$B$40,$AL$68)="","",INDEX('Final Calculation Sheet'!$B$4:$B$40,$AL$68)))</f>
        <v/>
      </c>
      <c r="E68" s="121">
        <f>IF($AL$68="","",IF(INDEX('Final Calculation Sheet'!$D$4:$D$40,$AL$68)="","",INDEX('Final Calculation Sheet'!$D$4:$D$40,$AL$68)))</f>
        <v/>
      </c>
      <c r="F68" s="121">
        <f>IF($AL$68="","",IF(INDEX('Final Calculation Sheet'!$A$4:$A$40,$AL$68)="","",INDEX('Final Calculation Sheet'!$A$4:$A$40,$AL$68)))</f>
        <v/>
      </c>
      <c r="G68" s="121">
        <f>IF($AL$68="","",IF(INDEX('Final Calculation Sheet'!$E$4:$E$40,$AL$68)="","",INDEX('Final Calculation Sheet'!$E$4:$E$40,$AL$68)))</f>
        <v/>
      </c>
      <c r="H68" s="122">
        <f>IF($AL$68="","",IF(INDEX('Final Calculation Sheet'!$C$4:$C$40,$AL$68)="","",INDEX('Final Calculation Sheet'!$C$4:$C$40,$AL$68)))</f>
        <v/>
      </c>
      <c r="I68" s="122">
        <f>IF($AL$68="","",IF(INDEX('Final Calculation Sheet'!$H$4:$H$40,$AL$68)="","",INDEX('Final Calculation Sheet'!$H$4:$H$40,$AL$68)))</f>
        <v/>
      </c>
      <c r="J68" s="122">
        <f>IF($AL$68="","",IF(INDEX('Final Calculation Sheet'!$I$4:$I$40,$AL$68)="","",INDEX('Final Calculation Sheet'!$I$4:$I$40,$AL$68)))</f>
        <v/>
      </c>
      <c r="K68" s="122">
        <f>IF($AL$68="","",IF(INDEX('Final Calculation Sheet'!$J$4:$J$40,$AL$68)="","",INDEX('Final Calculation Sheet'!$J$4:$J$40,$AL$68)))</f>
        <v/>
      </c>
      <c r="L68" s="122">
        <f>IF($AL$68="","",IF(INDEX('Final Calculation Sheet'!$K$4:$K$40,$AL$68)="","",INDEX('Final Calculation Sheet'!$K$4:$K$40,$AL$68)))</f>
        <v/>
      </c>
      <c r="M68" s="122">
        <f>IF($AL$68="","",IF(INDEX('Final Calculation Sheet'!$L$4:$L$40,$AL$68)="","",INDEX('Final Calculation Sheet'!$L$4:$L$40,$AL$68)))</f>
        <v/>
      </c>
      <c r="N68" s="122">
        <f>IF($AL$68="","",IF(INDEX('Final Calculation Sheet'!$M$4:$M$40,$AL$68)="","",INDEX('Final Calculation Sheet'!$M$4:$M$40,$AL$68)))</f>
        <v/>
      </c>
      <c r="O68" s="123">
        <f>IF($AL$68="","",IF(INDEX('Final Calculation Sheet'!$N$4:$N$40,$AL$68)="","",INDEX('Final Calculation Sheet'!$N$4:$N$40,$AL$68)))</f>
        <v/>
      </c>
      <c r="P68" s="122">
        <f>IF($AL$68="","",IF(INDEX('Final Calculation Sheet'!$O$4:$O$40,$AL$68)="","",INDEX('Final Calculation Sheet'!$O$4:$O$40,$AL$68)))</f>
        <v/>
      </c>
      <c r="Q68" s="122">
        <f>IF($AL$68="","",IF(INDEX('Final Calculation Sheet'!$P$4:$P$40,$AL$68)="","",INDEX('Final Calculation Sheet'!$P$4:$P$40,$AL$68)))</f>
        <v/>
      </c>
      <c r="R68" s="124">
        <f>IF($AL$68="","",IF(INDEX('Final Calculation Sheet'!$Q$4:$Q$40,$AL$68)="","",INDEX('Final Calculation Sheet'!$Q$4:$Q$40,$AL$68)))</f>
        <v/>
      </c>
      <c r="S68" s="122">
        <f>IF($AL$68="","",IF(INDEX('Final Calculation Sheet'!$R$4:$R$40,$AL$68)="","",INDEX('Final Calculation Sheet'!$R$4:$R$40,$AL$68)))</f>
        <v/>
      </c>
      <c r="T68" s="122">
        <f>IF($AL$68="","",IF(INDEX('Final Calculation Sheet'!$S$4:$S$40,$AL$68)="","",INDEX('Final Calculation Sheet'!$S$4:$S$40,$AL$68)))</f>
        <v/>
      </c>
      <c r="U68" s="122">
        <f>IF($AL$68="","",IF(INDEX('Final Calculation Sheet'!$T$4:$T$40,$AL$68)="","",INDEX('Final Calculation Sheet'!$T$4:$T$40,$AL$68)))</f>
        <v/>
      </c>
      <c r="V68" s="125">
        <f>IF($AL$68="","",IF(INDEX('Final Calculation Sheet'!$U$4:$U$40,$AL$68)="","",INDEX('Final Calculation Sheet'!$U$4:$U$40,$AL$68)))</f>
        <v/>
      </c>
      <c r="W68" s="122">
        <f>IF($AL$68="","",IF(INDEX('Final Calculation Sheet'!$V$4:$V$40,$AL$68)="","",INDEX('Final Calculation Sheet'!$V$4:$V$40,$AL$68)))</f>
        <v/>
      </c>
      <c r="X68" s="122">
        <f>IF($AL$68="","",IF(INDEX('Final Calculation Sheet'!$W$4:$W$40,$AL$68)="","",INDEX('Final Calculation Sheet'!$W$4:$W$40,$AL$68)))</f>
        <v/>
      </c>
      <c r="Y68" s="122">
        <f>IF($AL$68="","",IF(INDEX('Final Calculation Sheet'!$X$4:$X$40,$AL$68)="","",INDEX('Final Calculation Sheet'!$X$4:$X$40,$AL$68)))</f>
        <v/>
      </c>
      <c r="Z68" s="122">
        <f>IF($AL$68="","",IF(INDEX('Final Calculation Sheet'!$Y$4:$Y$40,$AL$68)="","",INDEX('Final Calculation Sheet'!$Y$4:$Y$40,$AL$68)))</f>
        <v/>
      </c>
      <c r="AA68" s="122">
        <f>IF($AL$68="","",IF(INDEX('Final Calculation Sheet'!$Z$4:$Z$40,$AL$68)="","",INDEX('Final Calculation Sheet'!$Z$4:$Z$40,$AL$68)))</f>
        <v/>
      </c>
      <c r="AB68" s="122">
        <f>IF($AL$68="","",IF(INDEX('Final Calculation Sheet'!$AA$4:$AA$40,$AL$68)="","",INDEX('Final Calculation Sheet'!$AA$4:$AA$40,$AL$68)))</f>
        <v/>
      </c>
      <c r="AC68" s="122">
        <f>IF($AL$68="","",IF(INDEX('Final Calculation Sheet'!$AB$4:$AB$40,$AL$68)="","",INDEX('Final Calculation Sheet'!$AB$4:$AB$40,$AL$68)))</f>
        <v/>
      </c>
      <c r="AD68" s="122">
        <f>IF($AL$68="","",IF(INDEX('Final Calculation Sheet'!$AC$4:$AC$40,$AL$68)="","",INDEX('Final Calculation Sheet'!$AC$4:$AC$40,$AL$68)))</f>
        <v/>
      </c>
      <c r="AE68" s="122">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f>IF(COUNTIF($B$4:$AI$4,"&lt;&gt;")=0,"",IFERROR(MATCH(9,$AK$6:$AK$42,0),""))</f>
        <v/>
      </c>
    </row>
    <row r="69">
      <c r="A69" s="128">
        <f>IF($AL$69="","",10)</f>
        <v/>
      </c>
      <c r="B69" s="129">
        <f>IF($AL$69="","",IF(INDEX('Final Calculation Sheet'!$F$4:$F$40,$AL$69)="","",INDEX('Final Calculation Sheet'!$F$4:$F$40,$AL$69)))</f>
        <v/>
      </c>
      <c r="C69" s="129">
        <f>IF($AL$69="","",IF(INDEX('Final Calculation Sheet'!$G$4:$G$40,$AL$69)="","",INDEX('Final Calculation Sheet'!$G$4:$G$40,$AL$69)))</f>
        <v/>
      </c>
      <c r="D69" s="130">
        <f>IF($AL$69="","",IF(INDEX('Final Calculation Sheet'!$B$4:$B$40,$AL$69)="","",INDEX('Final Calculation Sheet'!$B$4:$B$40,$AL$69)))</f>
        <v/>
      </c>
      <c r="E69" s="130">
        <f>IF($AL$69="","",IF(INDEX('Final Calculation Sheet'!$D$4:$D$40,$AL$69)="","",INDEX('Final Calculation Sheet'!$D$4:$D$40,$AL$69)))</f>
        <v/>
      </c>
      <c r="F69" s="130">
        <f>IF($AL$69="","",IF(INDEX('Final Calculation Sheet'!$A$4:$A$40,$AL$69)="","",INDEX('Final Calculation Sheet'!$A$4:$A$40,$AL$69)))</f>
        <v/>
      </c>
      <c r="G69" s="130">
        <f>IF($AL$69="","",IF(INDEX('Final Calculation Sheet'!$E$4:$E$40,$AL$69)="","",INDEX('Final Calculation Sheet'!$E$4:$E$40,$AL$69)))</f>
        <v/>
      </c>
      <c r="H69" s="131">
        <f>IF($AL$69="","",IF(INDEX('Final Calculation Sheet'!$C$4:$C$40,$AL$69)="","",INDEX('Final Calculation Sheet'!$C$4:$C$40,$AL$69)))</f>
        <v/>
      </c>
      <c r="I69" s="131">
        <f>IF($AL$69="","",IF(INDEX('Final Calculation Sheet'!$H$4:$H$40,$AL$69)="","",INDEX('Final Calculation Sheet'!$H$4:$H$40,$AL$69)))</f>
        <v/>
      </c>
      <c r="J69" s="131">
        <f>IF($AL$69="","",IF(INDEX('Final Calculation Sheet'!$I$4:$I$40,$AL$69)="","",INDEX('Final Calculation Sheet'!$I$4:$I$40,$AL$69)))</f>
        <v/>
      </c>
      <c r="K69" s="131">
        <f>IF($AL$69="","",IF(INDEX('Final Calculation Sheet'!$J$4:$J$40,$AL$69)="","",INDEX('Final Calculation Sheet'!$J$4:$J$40,$AL$69)))</f>
        <v/>
      </c>
      <c r="L69" s="131">
        <f>IF($AL$69="","",IF(INDEX('Final Calculation Sheet'!$K$4:$K$40,$AL$69)="","",INDEX('Final Calculation Sheet'!$K$4:$K$40,$AL$69)))</f>
        <v/>
      </c>
      <c r="M69" s="131">
        <f>IF($AL$69="","",IF(INDEX('Final Calculation Sheet'!$L$4:$L$40,$AL$69)="","",INDEX('Final Calculation Sheet'!$L$4:$L$40,$AL$69)))</f>
        <v/>
      </c>
      <c r="N69" s="131">
        <f>IF($AL$69="","",IF(INDEX('Final Calculation Sheet'!$M$4:$M$40,$AL$69)="","",INDEX('Final Calculation Sheet'!$M$4:$M$40,$AL$69)))</f>
        <v/>
      </c>
      <c r="O69" s="132">
        <f>IF($AL$69="","",IF(INDEX('Final Calculation Sheet'!$N$4:$N$40,$AL$69)="","",INDEX('Final Calculation Sheet'!$N$4:$N$40,$AL$69)))</f>
        <v/>
      </c>
      <c r="P69" s="131">
        <f>IF($AL$69="","",IF(INDEX('Final Calculation Sheet'!$O$4:$O$40,$AL$69)="","",INDEX('Final Calculation Sheet'!$O$4:$O$40,$AL$69)))</f>
        <v/>
      </c>
      <c r="Q69" s="131">
        <f>IF($AL$69="","",IF(INDEX('Final Calculation Sheet'!$P$4:$P$40,$AL$69)="","",INDEX('Final Calculation Sheet'!$P$4:$P$40,$AL$69)))</f>
        <v/>
      </c>
      <c r="R69" s="133">
        <f>IF($AL$69="","",IF(INDEX('Final Calculation Sheet'!$Q$4:$Q$40,$AL$69)="","",INDEX('Final Calculation Sheet'!$Q$4:$Q$40,$AL$69)))</f>
        <v/>
      </c>
      <c r="S69" s="131">
        <f>IF($AL$69="","",IF(INDEX('Final Calculation Sheet'!$R$4:$R$40,$AL$69)="","",INDEX('Final Calculation Sheet'!$R$4:$R$40,$AL$69)))</f>
        <v/>
      </c>
      <c r="T69" s="131">
        <f>IF($AL$69="","",IF(INDEX('Final Calculation Sheet'!$S$4:$S$40,$AL$69)="","",INDEX('Final Calculation Sheet'!$S$4:$S$40,$AL$69)))</f>
        <v/>
      </c>
      <c r="U69" s="131">
        <f>IF($AL$69="","",IF(INDEX('Final Calculation Sheet'!$T$4:$T$40,$AL$69)="","",INDEX('Final Calculation Sheet'!$T$4:$T$40,$AL$69)))</f>
        <v/>
      </c>
      <c r="V69" s="134">
        <f>IF($AL$69="","",IF(INDEX('Final Calculation Sheet'!$U$4:$U$40,$AL$69)="","",INDEX('Final Calculation Sheet'!$U$4:$U$40,$AL$69)))</f>
        <v/>
      </c>
      <c r="W69" s="131">
        <f>IF($AL$69="","",IF(INDEX('Final Calculation Sheet'!$V$4:$V$40,$AL$69)="","",INDEX('Final Calculation Sheet'!$V$4:$V$40,$AL$69)))</f>
        <v/>
      </c>
      <c r="X69" s="131">
        <f>IF($AL$69="","",IF(INDEX('Final Calculation Sheet'!$W$4:$W$40,$AL$69)="","",INDEX('Final Calculation Sheet'!$W$4:$W$40,$AL$69)))</f>
        <v/>
      </c>
      <c r="Y69" s="131">
        <f>IF($AL$69="","",IF(INDEX('Final Calculation Sheet'!$X$4:$X$40,$AL$69)="","",INDEX('Final Calculation Sheet'!$X$4:$X$40,$AL$69)))</f>
        <v/>
      </c>
      <c r="Z69" s="131">
        <f>IF($AL$69="","",IF(INDEX('Final Calculation Sheet'!$Y$4:$Y$40,$AL$69)="","",INDEX('Final Calculation Sheet'!$Y$4:$Y$40,$AL$69)))</f>
        <v/>
      </c>
      <c r="AA69" s="131">
        <f>IF($AL$69="","",IF(INDEX('Final Calculation Sheet'!$Z$4:$Z$40,$AL$69)="","",INDEX('Final Calculation Sheet'!$Z$4:$Z$40,$AL$69)))</f>
        <v/>
      </c>
      <c r="AB69" s="131">
        <f>IF($AL$69="","",IF(INDEX('Final Calculation Sheet'!$AA$4:$AA$40,$AL$69)="","",INDEX('Final Calculation Sheet'!$AA$4:$AA$40,$AL$69)))</f>
        <v/>
      </c>
      <c r="AC69" s="131">
        <f>IF($AL$69="","",IF(INDEX('Final Calculation Sheet'!$AB$4:$AB$40,$AL$69)="","",INDEX('Final Calculation Sheet'!$AB$4:$AB$40,$AL$69)))</f>
        <v/>
      </c>
      <c r="AD69" s="131">
        <f>IF($AL$69="","",IF(INDEX('Final Calculation Sheet'!$AC$4:$AC$40,$AL$69)="","",INDEX('Final Calculation Sheet'!$AC$4:$AC$40,$AL$69)))</f>
        <v/>
      </c>
      <c r="AE69" s="131">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f>IF(COUNTIF($B$4:$AI$4,"&lt;&gt;")=0,"",IFERROR(MATCH(10,$AK$6:$AK$42,0),""))</f>
        <v/>
      </c>
    </row>
    <row r="70">
      <c r="A70" s="118">
        <f>IF($AL$70="","",11)</f>
        <v/>
      </c>
      <c r="B70" s="119">
        <f>IF($AL$70="","",IF(INDEX('Final Calculation Sheet'!$F$4:$F$40,$AL$70)="","",INDEX('Final Calculation Sheet'!$F$4:$F$40,$AL$70)))</f>
        <v/>
      </c>
      <c r="C70" s="119">
        <f>IF($AL$70="","",IF(INDEX('Final Calculation Sheet'!$G$4:$G$40,$AL$70)="","",INDEX('Final Calculation Sheet'!$G$4:$G$40,$AL$70)))</f>
        <v/>
      </c>
      <c r="D70" s="121">
        <f>IF($AL$70="","",IF(INDEX('Final Calculation Sheet'!$B$4:$B$40,$AL$70)="","",INDEX('Final Calculation Sheet'!$B$4:$B$40,$AL$70)))</f>
        <v/>
      </c>
      <c r="E70" s="121">
        <f>IF($AL$70="","",IF(INDEX('Final Calculation Sheet'!$D$4:$D$40,$AL$70)="","",INDEX('Final Calculation Sheet'!$D$4:$D$40,$AL$70)))</f>
        <v/>
      </c>
      <c r="F70" s="121">
        <f>IF($AL$70="","",IF(INDEX('Final Calculation Sheet'!$A$4:$A$40,$AL$70)="","",INDEX('Final Calculation Sheet'!$A$4:$A$40,$AL$70)))</f>
        <v/>
      </c>
      <c r="G70" s="121">
        <f>IF($AL$70="","",IF(INDEX('Final Calculation Sheet'!$E$4:$E$40,$AL$70)="","",INDEX('Final Calculation Sheet'!$E$4:$E$40,$AL$70)))</f>
        <v/>
      </c>
      <c r="H70" s="122">
        <f>IF($AL$70="","",IF(INDEX('Final Calculation Sheet'!$C$4:$C$40,$AL$70)="","",INDEX('Final Calculation Sheet'!$C$4:$C$40,$AL$70)))</f>
        <v/>
      </c>
      <c r="I70" s="122">
        <f>IF($AL$70="","",IF(INDEX('Final Calculation Sheet'!$H$4:$H$40,$AL$70)="","",INDEX('Final Calculation Sheet'!$H$4:$H$40,$AL$70)))</f>
        <v/>
      </c>
      <c r="J70" s="122">
        <f>IF($AL$70="","",IF(INDEX('Final Calculation Sheet'!$I$4:$I$40,$AL$70)="","",INDEX('Final Calculation Sheet'!$I$4:$I$40,$AL$70)))</f>
        <v/>
      </c>
      <c r="K70" s="122">
        <f>IF($AL$70="","",IF(INDEX('Final Calculation Sheet'!$J$4:$J$40,$AL$70)="","",INDEX('Final Calculation Sheet'!$J$4:$J$40,$AL$70)))</f>
        <v/>
      </c>
      <c r="L70" s="122">
        <f>IF($AL$70="","",IF(INDEX('Final Calculation Sheet'!$K$4:$K$40,$AL$70)="","",INDEX('Final Calculation Sheet'!$K$4:$K$40,$AL$70)))</f>
        <v/>
      </c>
      <c r="M70" s="122">
        <f>IF($AL$70="","",IF(INDEX('Final Calculation Sheet'!$L$4:$L$40,$AL$70)="","",INDEX('Final Calculation Sheet'!$L$4:$L$40,$AL$70)))</f>
        <v/>
      </c>
      <c r="N70" s="122">
        <f>IF($AL$70="","",IF(INDEX('Final Calculation Sheet'!$M$4:$M$40,$AL$70)="","",INDEX('Final Calculation Sheet'!$M$4:$M$40,$AL$70)))</f>
        <v/>
      </c>
      <c r="O70" s="123">
        <f>IF($AL$70="","",IF(INDEX('Final Calculation Sheet'!$N$4:$N$40,$AL$70)="","",INDEX('Final Calculation Sheet'!$N$4:$N$40,$AL$70)))</f>
        <v/>
      </c>
      <c r="P70" s="122">
        <f>IF($AL$70="","",IF(INDEX('Final Calculation Sheet'!$O$4:$O$40,$AL$70)="","",INDEX('Final Calculation Sheet'!$O$4:$O$40,$AL$70)))</f>
        <v/>
      </c>
      <c r="Q70" s="122">
        <f>IF($AL$70="","",IF(INDEX('Final Calculation Sheet'!$P$4:$P$40,$AL$70)="","",INDEX('Final Calculation Sheet'!$P$4:$P$40,$AL$70)))</f>
        <v/>
      </c>
      <c r="R70" s="124">
        <f>IF($AL$70="","",IF(INDEX('Final Calculation Sheet'!$Q$4:$Q$40,$AL$70)="","",INDEX('Final Calculation Sheet'!$Q$4:$Q$40,$AL$70)))</f>
        <v/>
      </c>
      <c r="S70" s="122">
        <f>IF($AL$70="","",IF(INDEX('Final Calculation Sheet'!$R$4:$R$40,$AL$70)="","",INDEX('Final Calculation Sheet'!$R$4:$R$40,$AL$70)))</f>
        <v/>
      </c>
      <c r="T70" s="122">
        <f>IF($AL$70="","",IF(INDEX('Final Calculation Sheet'!$S$4:$S$40,$AL$70)="","",INDEX('Final Calculation Sheet'!$S$4:$S$40,$AL$70)))</f>
        <v/>
      </c>
      <c r="U70" s="122">
        <f>IF($AL$70="","",IF(INDEX('Final Calculation Sheet'!$T$4:$T$40,$AL$70)="","",INDEX('Final Calculation Sheet'!$T$4:$T$40,$AL$70)))</f>
        <v/>
      </c>
      <c r="V70" s="125">
        <f>IF($AL$70="","",IF(INDEX('Final Calculation Sheet'!$U$4:$U$40,$AL$70)="","",INDEX('Final Calculation Sheet'!$U$4:$U$40,$AL$70)))</f>
        <v/>
      </c>
      <c r="W70" s="122">
        <f>IF($AL$70="","",IF(INDEX('Final Calculation Sheet'!$V$4:$V$40,$AL$70)="","",INDEX('Final Calculation Sheet'!$V$4:$V$40,$AL$70)))</f>
        <v/>
      </c>
      <c r="X70" s="122">
        <f>IF($AL$70="","",IF(INDEX('Final Calculation Sheet'!$W$4:$W$40,$AL$70)="","",INDEX('Final Calculation Sheet'!$W$4:$W$40,$AL$70)))</f>
        <v/>
      </c>
      <c r="Y70" s="122">
        <f>IF($AL$70="","",IF(INDEX('Final Calculation Sheet'!$X$4:$X$40,$AL$70)="","",INDEX('Final Calculation Sheet'!$X$4:$X$40,$AL$70)))</f>
        <v/>
      </c>
      <c r="Z70" s="122">
        <f>IF($AL$70="","",IF(INDEX('Final Calculation Sheet'!$Y$4:$Y$40,$AL$70)="","",INDEX('Final Calculation Sheet'!$Y$4:$Y$40,$AL$70)))</f>
        <v/>
      </c>
      <c r="AA70" s="122">
        <f>IF($AL$70="","",IF(INDEX('Final Calculation Sheet'!$Z$4:$Z$40,$AL$70)="","",INDEX('Final Calculation Sheet'!$Z$4:$Z$40,$AL$70)))</f>
        <v/>
      </c>
      <c r="AB70" s="122">
        <f>IF($AL$70="","",IF(INDEX('Final Calculation Sheet'!$AA$4:$AA$40,$AL$70)="","",INDEX('Final Calculation Sheet'!$AA$4:$AA$40,$AL$70)))</f>
        <v/>
      </c>
      <c r="AC70" s="122">
        <f>IF($AL$70="","",IF(INDEX('Final Calculation Sheet'!$AB$4:$AB$40,$AL$70)="","",INDEX('Final Calculation Sheet'!$AB$4:$AB$40,$AL$70)))</f>
        <v/>
      </c>
      <c r="AD70" s="122">
        <f>IF($AL$70="","",IF(INDEX('Final Calculation Sheet'!$AC$4:$AC$40,$AL$70)="","",INDEX('Final Calculation Sheet'!$AC$4:$AC$40,$AL$70)))</f>
        <v/>
      </c>
      <c r="AE70" s="122">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f>IF(COUNTIF($B$4:$AI$4,"&lt;&gt;")=0,"",IFERROR(MATCH(11,$AK$6:$AK$42,0),""))</f>
        <v/>
      </c>
    </row>
    <row r="71">
      <c r="A71" s="128">
        <f>IF($AL$71="","",12)</f>
        <v/>
      </c>
      <c r="B71" s="129">
        <f>IF($AL$71="","",IF(INDEX('Final Calculation Sheet'!$F$4:$F$40,$AL$71)="","",INDEX('Final Calculation Sheet'!$F$4:$F$40,$AL$71)))</f>
        <v/>
      </c>
      <c r="C71" s="129">
        <f>IF($AL$71="","",IF(INDEX('Final Calculation Sheet'!$G$4:$G$40,$AL$71)="","",INDEX('Final Calculation Sheet'!$G$4:$G$40,$AL$71)))</f>
        <v/>
      </c>
      <c r="D71" s="130">
        <f>IF($AL$71="","",IF(INDEX('Final Calculation Sheet'!$B$4:$B$40,$AL$71)="","",INDEX('Final Calculation Sheet'!$B$4:$B$40,$AL$71)))</f>
        <v/>
      </c>
      <c r="E71" s="130">
        <f>IF($AL$71="","",IF(INDEX('Final Calculation Sheet'!$D$4:$D$40,$AL$71)="","",INDEX('Final Calculation Sheet'!$D$4:$D$40,$AL$71)))</f>
        <v/>
      </c>
      <c r="F71" s="130">
        <f>IF($AL$71="","",IF(INDEX('Final Calculation Sheet'!$A$4:$A$40,$AL$71)="","",INDEX('Final Calculation Sheet'!$A$4:$A$40,$AL$71)))</f>
        <v/>
      </c>
      <c r="G71" s="130">
        <f>IF($AL$71="","",IF(INDEX('Final Calculation Sheet'!$E$4:$E$40,$AL$71)="","",INDEX('Final Calculation Sheet'!$E$4:$E$40,$AL$71)))</f>
        <v/>
      </c>
      <c r="H71" s="131">
        <f>IF($AL$71="","",IF(INDEX('Final Calculation Sheet'!$C$4:$C$40,$AL$71)="","",INDEX('Final Calculation Sheet'!$C$4:$C$40,$AL$71)))</f>
        <v/>
      </c>
      <c r="I71" s="131">
        <f>IF($AL$71="","",IF(INDEX('Final Calculation Sheet'!$H$4:$H$40,$AL$71)="","",INDEX('Final Calculation Sheet'!$H$4:$H$40,$AL$71)))</f>
        <v/>
      </c>
      <c r="J71" s="131">
        <f>IF($AL$71="","",IF(INDEX('Final Calculation Sheet'!$I$4:$I$40,$AL$71)="","",INDEX('Final Calculation Sheet'!$I$4:$I$40,$AL$71)))</f>
        <v/>
      </c>
      <c r="K71" s="131">
        <f>IF($AL$71="","",IF(INDEX('Final Calculation Sheet'!$J$4:$J$40,$AL$71)="","",INDEX('Final Calculation Sheet'!$J$4:$J$40,$AL$71)))</f>
        <v/>
      </c>
      <c r="L71" s="131">
        <f>IF($AL$71="","",IF(INDEX('Final Calculation Sheet'!$K$4:$K$40,$AL$71)="","",INDEX('Final Calculation Sheet'!$K$4:$K$40,$AL$71)))</f>
        <v/>
      </c>
      <c r="M71" s="131">
        <f>IF($AL$71="","",IF(INDEX('Final Calculation Sheet'!$L$4:$L$40,$AL$71)="","",INDEX('Final Calculation Sheet'!$L$4:$L$40,$AL$71)))</f>
        <v/>
      </c>
      <c r="N71" s="131">
        <f>IF($AL$71="","",IF(INDEX('Final Calculation Sheet'!$M$4:$M$40,$AL$71)="","",INDEX('Final Calculation Sheet'!$M$4:$M$40,$AL$71)))</f>
        <v/>
      </c>
      <c r="O71" s="132">
        <f>IF($AL$71="","",IF(INDEX('Final Calculation Sheet'!$N$4:$N$40,$AL$71)="","",INDEX('Final Calculation Sheet'!$N$4:$N$40,$AL$71)))</f>
        <v/>
      </c>
      <c r="P71" s="131">
        <f>IF($AL$71="","",IF(INDEX('Final Calculation Sheet'!$O$4:$O$40,$AL$71)="","",INDEX('Final Calculation Sheet'!$O$4:$O$40,$AL$71)))</f>
        <v/>
      </c>
      <c r="Q71" s="131">
        <f>IF($AL$71="","",IF(INDEX('Final Calculation Sheet'!$P$4:$P$40,$AL$71)="","",INDEX('Final Calculation Sheet'!$P$4:$P$40,$AL$71)))</f>
        <v/>
      </c>
      <c r="R71" s="133">
        <f>IF($AL$71="","",IF(INDEX('Final Calculation Sheet'!$Q$4:$Q$40,$AL$71)="","",INDEX('Final Calculation Sheet'!$Q$4:$Q$40,$AL$71)))</f>
        <v/>
      </c>
      <c r="S71" s="131">
        <f>IF($AL$71="","",IF(INDEX('Final Calculation Sheet'!$R$4:$R$40,$AL$71)="","",INDEX('Final Calculation Sheet'!$R$4:$R$40,$AL$71)))</f>
        <v/>
      </c>
      <c r="T71" s="131">
        <f>IF($AL$71="","",IF(INDEX('Final Calculation Sheet'!$S$4:$S$40,$AL$71)="","",INDEX('Final Calculation Sheet'!$S$4:$S$40,$AL$71)))</f>
        <v/>
      </c>
      <c r="U71" s="131">
        <f>IF($AL$71="","",IF(INDEX('Final Calculation Sheet'!$T$4:$T$40,$AL$71)="","",INDEX('Final Calculation Sheet'!$T$4:$T$40,$AL$71)))</f>
        <v/>
      </c>
      <c r="V71" s="134">
        <f>IF($AL$71="","",IF(INDEX('Final Calculation Sheet'!$U$4:$U$40,$AL$71)="","",INDEX('Final Calculation Sheet'!$U$4:$U$40,$AL$71)))</f>
        <v/>
      </c>
      <c r="W71" s="131">
        <f>IF($AL$71="","",IF(INDEX('Final Calculation Sheet'!$V$4:$V$40,$AL$71)="","",INDEX('Final Calculation Sheet'!$V$4:$V$40,$AL$71)))</f>
        <v/>
      </c>
      <c r="X71" s="131">
        <f>IF($AL$71="","",IF(INDEX('Final Calculation Sheet'!$W$4:$W$40,$AL$71)="","",INDEX('Final Calculation Sheet'!$W$4:$W$40,$AL$71)))</f>
        <v/>
      </c>
      <c r="Y71" s="131">
        <f>IF($AL$71="","",IF(INDEX('Final Calculation Sheet'!$X$4:$X$40,$AL$71)="","",INDEX('Final Calculation Sheet'!$X$4:$X$40,$AL$71)))</f>
        <v/>
      </c>
      <c r="Z71" s="131">
        <f>IF($AL$71="","",IF(INDEX('Final Calculation Sheet'!$Y$4:$Y$40,$AL$71)="","",INDEX('Final Calculation Sheet'!$Y$4:$Y$40,$AL$71)))</f>
        <v/>
      </c>
      <c r="AA71" s="131">
        <f>IF($AL$71="","",IF(INDEX('Final Calculation Sheet'!$Z$4:$Z$40,$AL$71)="","",INDEX('Final Calculation Sheet'!$Z$4:$Z$40,$AL$71)))</f>
        <v/>
      </c>
      <c r="AB71" s="131">
        <f>IF($AL$71="","",IF(INDEX('Final Calculation Sheet'!$AA$4:$AA$40,$AL$71)="","",INDEX('Final Calculation Sheet'!$AA$4:$AA$40,$AL$71)))</f>
        <v/>
      </c>
      <c r="AC71" s="131">
        <f>IF($AL$71="","",IF(INDEX('Final Calculation Sheet'!$AB$4:$AB$40,$AL$71)="","",INDEX('Final Calculation Sheet'!$AB$4:$AB$40,$AL$71)))</f>
        <v/>
      </c>
      <c r="AD71" s="131">
        <f>IF($AL$71="","",IF(INDEX('Final Calculation Sheet'!$AC$4:$AC$40,$AL$71)="","",INDEX('Final Calculation Sheet'!$AC$4:$AC$40,$AL$71)))</f>
        <v/>
      </c>
      <c r="AE71" s="131">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f>IF(COUNTIF($B$4:$AI$4,"&lt;&gt;")=0,"",IFERROR(MATCH(12,$AK$6:$AK$42,0),""))</f>
        <v/>
      </c>
    </row>
    <row r="72">
      <c r="A72" s="118">
        <f>IF($AL$72="","",13)</f>
        <v/>
      </c>
      <c r="B72" s="119">
        <f>IF($AL$72="","",IF(INDEX('Final Calculation Sheet'!$F$4:$F$40,$AL$72)="","",INDEX('Final Calculation Sheet'!$F$4:$F$40,$AL$72)))</f>
        <v/>
      </c>
      <c r="C72" s="119">
        <f>IF($AL$72="","",IF(INDEX('Final Calculation Sheet'!$G$4:$G$40,$AL$72)="","",INDEX('Final Calculation Sheet'!$G$4:$G$40,$AL$72)))</f>
        <v/>
      </c>
      <c r="D72" s="121">
        <f>IF($AL$72="","",IF(INDEX('Final Calculation Sheet'!$B$4:$B$40,$AL$72)="","",INDEX('Final Calculation Sheet'!$B$4:$B$40,$AL$72)))</f>
        <v/>
      </c>
      <c r="E72" s="121">
        <f>IF($AL$72="","",IF(INDEX('Final Calculation Sheet'!$D$4:$D$40,$AL$72)="","",INDEX('Final Calculation Sheet'!$D$4:$D$40,$AL$72)))</f>
        <v/>
      </c>
      <c r="F72" s="121">
        <f>IF($AL$72="","",IF(INDEX('Final Calculation Sheet'!$A$4:$A$40,$AL$72)="","",INDEX('Final Calculation Sheet'!$A$4:$A$40,$AL$72)))</f>
        <v/>
      </c>
      <c r="G72" s="121">
        <f>IF($AL$72="","",IF(INDEX('Final Calculation Sheet'!$E$4:$E$40,$AL$72)="","",INDEX('Final Calculation Sheet'!$E$4:$E$40,$AL$72)))</f>
        <v/>
      </c>
      <c r="H72" s="122">
        <f>IF($AL$72="","",IF(INDEX('Final Calculation Sheet'!$C$4:$C$40,$AL$72)="","",INDEX('Final Calculation Sheet'!$C$4:$C$40,$AL$72)))</f>
        <v/>
      </c>
      <c r="I72" s="122">
        <f>IF($AL$72="","",IF(INDEX('Final Calculation Sheet'!$H$4:$H$40,$AL$72)="","",INDEX('Final Calculation Sheet'!$H$4:$H$40,$AL$72)))</f>
        <v/>
      </c>
      <c r="J72" s="122">
        <f>IF($AL$72="","",IF(INDEX('Final Calculation Sheet'!$I$4:$I$40,$AL$72)="","",INDEX('Final Calculation Sheet'!$I$4:$I$40,$AL$72)))</f>
        <v/>
      </c>
      <c r="K72" s="122">
        <f>IF($AL$72="","",IF(INDEX('Final Calculation Sheet'!$J$4:$J$40,$AL$72)="","",INDEX('Final Calculation Sheet'!$J$4:$J$40,$AL$72)))</f>
        <v/>
      </c>
      <c r="L72" s="122">
        <f>IF($AL$72="","",IF(INDEX('Final Calculation Sheet'!$K$4:$K$40,$AL$72)="","",INDEX('Final Calculation Sheet'!$K$4:$K$40,$AL$72)))</f>
        <v/>
      </c>
      <c r="M72" s="122">
        <f>IF($AL$72="","",IF(INDEX('Final Calculation Sheet'!$L$4:$L$40,$AL$72)="","",INDEX('Final Calculation Sheet'!$L$4:$L$40,$AL$72)))</f>
        <v/>
      </c>
      <c r="N72" s="122">
        <f>IF($AL$72="","",IF(INDEX('Final Calculation Sheet'!$M$4:$M$40,$AL$72)="","",INDEX('Final Calculation Sheet'!$M$4:$M$40,$AL$72)))</f>
        <v/>
      </c>
      <c r="O72" s="123">
        <f>IF($AL$72="","",IF(INDEX('Final Calculation Sheet'!$N$4:$N$40,$AL$72)="","",INDEX('Final Calculation Sheet'!$N$4:$N$40,$AL$72)))</f>
        <v/>
      </c>
      <c r="P72" s="122">
        <f>IF($AL$72="","",IF(INDEX('Final Calculation Sheet'!$O$4:$O$40,$AL$72)="","",INDEX('Final Calculation Sheet'!$O$4:$O$40,$AL$72)))</f>
        <v/>
      </c>
      <c r="Q72" s="122">
        <f>IF($AL$72="","",IF(INDEX('Final Calculation Sheet'!$P$4:$P$40,$AL$72)="","",INDEX('Final Calculation Sheet'!$P$4:$P$40,$AL$72)))</f>
        <v/>
      </c>
      <c r="R72" s="124">
        <f>IF($AL$72="","",IF(INDEX('Final Calculation Sheet'!$Q$4:$Q$40,$AL$72)="","",INDEX('Final Calculation Sheet'!$Q$4:$Q$40,$AL$72)))</f>
        <v/>
      </c>
      <c r="S72" s="122">
        <f>IF($AL$72="","",IF(INDEX('Final Calculation Sheet'!$R$4:$R$40,$AL$72)="","",INDEX('Final Calculation Sheet'!$R$4:$R$40,$AL$72)))</f>
        <v/>
      </c>
      <c r="T72" s="122">
        <f>IF($AL$72="","",IF(INDEX('Final Calculation Sheet'!$S$4:$S$40,$AL$72)="","",INDEX('Final Calculation Sheet'!$S$4:$S$40,$AL$72)))</f>
        <v/>
      </c>
      <c r="U72" s="122">
        <f>IF($AL$72="","",IF(INDEX('Final Calculation Sheet'!$T$4:$T$40,$AL$72)="","",INDEX('Final Calculation Sheet'!$T$4:$T$40,$AL$72)))</f>
        <v/>
      </c>
      <c r="V72" s="125">
        <f>IF($AL$72="","",IF(INDEX('Final Calculation Sheet'!$U$4:$U$40,$AL$72)="","",INDEX('Final Calculation Sheet'!$U$4:$U$40,$AL$72)))</f>
        <v/>
      </c>
      <c r="W72" s="122">
        <f>IF($AL$72="","",IF(INDEX('Final Calculation Sheet'!$V$4:$V$40,$AL$72)="","",INDEX('Final Calculation Sheet'!$V$4:$V$40,$AL$72)))</f>
        <v/>
      </c>
      <c r="X72" s="122">
        <f>IF($AL$72="","",IF(INDEX('Final Calculation Sheet'!$W$4:$W$40,$AL$72)="","",INDEX('Final Calculation Sheet'!$W$4:$W$40,$AL$72)))</f>
        <v/>
      </c>
      <c r="Y72" s="122">
        <f>IF($AL$72="","",IF(INDEX('Final Calculation Sheet'!$X$4:$X$40,$AL$72)="","",INDEX('Final Calculation Sheet'!$X$4:$X$40,$AL$72)))</f>
        <v/>
      </c>
      <c r="Z72" s="122">
        <f>IF($AL$72="","",IF(INDEX('Final Calculation Sheet'!$Y$4:$Y$40,$AL$72)="","",INDEX('Final Calculation Sheet'!$Y$4:$Y$40,$AL$72)))</f>
        <v/>
      </c>
      <c r="AA72" s="122">
        <f>IF($AL$72="","",IF(INDEX('Final Calculation Sheet'!$Z$4:$Z$40,$AL$72)="","",INDEX('Final Calculation Sheet'!$Z$4:$Z$40,$AL$72)))</f>
        <v/>
      </c>
      <c r="AB72" s="122">
        <f>IF($AL$72="","",IF(INDEX('Final Calculation Sheet'!$AA$4:$AA$40,$AL$72)="","",INDEX('Final Calculation Sheet'!$AA$4:$AA$40,$AL$72)))</f>
        <v/>
      </c>
      <c r="AC72" s="122">
        <f>IF($AL$72="","",IF(INDEX('Final Calculation Sheet'!$AB$4:$AB$40,$AL$72)="","",INDEX('Final Calculation Sheet'!$AB$4:$AB$40,$AL$72)))</f>
        <v/>
      </c>
      <c r="AD72" s="122">
        <f>IF($AL$72="","",IF(INDEX('Final Calculation Sheet'!$AC$4:$AC$40,$AL$72)="","",INDEX('Final Calculation Sheet'!$AC$4:$AC$40,$AL$72)))</f>
        <v/>
      </c>
      <c r="AE72" s="122">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f>IF(COUNTIF($B$4:$AI$4,"&lt;&gt;")=0,"",IFERROR(MATCH(13,$AK$6:$AK$42,0),""))</f>
        <v/>
      </c>
    </row>
    <row r="73">
      <c r="A73" s="128">
        <f>IF($AL$73="","",14)</f>
        <v/>
      </c>
      <c r="B73" s="129">
        <f>IF($AL$73="","",IF(INDEX('Final Calculation Sheet'!$F$4:$F$40,$AL$73)="","",INDEX('Final Calculation Sheet'!$F$4:$F$40,$AL$73)))</f>
        <v/>
      </c>
      <c r="C73" s="129">
        <f>IF($AL$73="","",IF(INDEX('Final Calculation Sheet'!$G$4:$G$40,$AL$73)="","",INDEX('Final Calculation Sheet'!$G$4:$G$40,$AL$73)))</f>
        <v/>
      </c>
      <c r="D73" s="130">
        <f>IF($AL$73="","",IF(INDEX('Final Calculation Sheet'!$B$4:$B$40,$AL$73)="","",INDEX('Final Calculation Sheet'!$B$4:$B$40,$AL$73)))</f>
        <v/>
      </c>
      <c r="E73" s="130">
        <f>IF($AL$73="","",IF(INDEX('Final Calculation Sheet'!$D$4:$D$40,$AL$73)="","",INDEX('Final Calculation Sheet'!$D$4:$D$40,$AL$73)))</f>
        <v/>
      </c>
      <c r="F73" s="130">
        <f>IF($AL$73="","",IF(INDEX('Final Calculation Sheet'!$A$4:$A$40,$AL$73)="","",INDEX('Final Calculation Sheet'!$A$4:$A$40,$AL$73)))</f>
        <v/>
      </c>
      <c r="G73" s="130">
        <f>IF($AL$73="","",IF(INDEX('Final Calculation Sheet'!$E$4:$E$40,$AL$73)="","",INDEX('Final Calculation Sheet'!$E$4:$E$40,$AL$73)))</f>
        <v/>
      </c>
      <c r="H73" s="131">
        <f>IF($AL$73="","",IF(INDEX('Final Calculation Sheet'!$C$4:$C$40,$AL$73)="","",INDEX('Final Calculation Sheet'!$C$4:$C$40,$AL$73)))</f>
        <v/>
      </c>
      <c r="I73" s="131">
        <f>IF($AL$73="","",IF(INDEX('Final Calculation Sheet'!$H$4:$H$40,$AL$73)="","",INDEX('Final Calculation Sheet'!$H$4:$H$40,$AL$73)))</f>
        <v/>
      </c>
      <c r="J73" s="131">
        <f>IF($AL$73="","",IF(INDEX('Final Calculation Sheet'!$I$4:$I$40,$AL$73)="","",INDEX('Final Calculation Sheet'!$I$4:$I$40,$AL$73)))</f>
        <v/>
      </c>
      <c r="K73" s="131">
        <f>IF($AL$73="","",IF(INDEX('Final Calculation Sheet'!$J$4:$J$40,$AL$73)="","",INDEX('Final Calculation Sheet'!$J$4:$J$40,$AL$73)))</f>
        <v/>
      </c>
      <c r="L73" s="131">
        <f>IF($AL$73="","",IF(INDEX('Final Calculation Sheet'!$K$4:$K$40,$AL$73)="","",INDEX('Final Calculation Sheet'!$K$4:$K$40,$AL$73)))</f>
        <v/>
      </c>
      <c r="M73" s="131">
        <f>IF($AL$73="","",IF(INDEX('Final Calculation Sheet'!$L$4:$L$40,$AL$73)="","",INDEX('Final Calculation Sheet'!$L$4:$L$40,$AL$73)))</f>
        <v/>
      </c>
      <c r="N73" s="131">
        <f>IF($AL$73="","",IF(INDEX('Final Calculation Sheet'!$M$4:$M$40,$AL$73)="","",INDEX('Final Calculation Sheet'!$M$4:$M$40,$AL$73)))</f>
        <v/>
      </c>
      <c r="O73" s="132">
        <f>IF($AL$73="","",IF(INDEX('Final Calculation Sheet'!$N$4:$N$40,$AL$73)="","",INDEX('Final Calculation Sheet'!$N$4:$N$40,$AL$73)))</f>
        <v/>
      </c>
      <c r="P73" s="131">
        <f>IF($AL$73="","",IF(INDEX('Final Calculation Sheet'!$O$4:$O$40,$AL$73)="","",INDEX('Final Calculation Sheet'!$O$4:$O$40,$AL$73)))</f>
        <v/>
      </c>
      <c r="Q73" s="131">
        <f>IF($AL$73="","",IF(INDEX('Final Calculation Sheet'!$P$4:$P$40,$AL$73)="","",INDEX('Final Calculation Sheet'!$P$4:$P$40,$AL$73)))</f>
        <v/>
      </c>
      <c r="R73" s="133">
        <f>IF($AL$73="","",IF(INDEX('Final Calculation Sheet'!$Q$4:$Q$40,$AL$73)="","",INDEX('Final Calculation Sheet'!$Q$4:$Q$40,$AL$73)))</f>
        <v/>
      </c>
      <c r="S73" s="131">
        <f>IF($AL$73="","",IF(INDEX('Final Calculation Sheet'!$R$4:$R$40,$AL$73)="","",INDEX('Final Calculation Sheet'!$R$4:$R$40,$AL$73)))</f>
        <v/>
      </c>
      <c r="T73" s="131">
        <f>IF($AL$73="","",IF(INDEX('Final Calculation Sheet'!$S$4:$S$40,$AL$73)="","",INDEX('Final Calculation Sheet'!$S$4:$S$40,$AL$73)))</f>
        <v/>
      </c>
      <c r="U73" s="131">
        <f>IF($AL$73="","",IF(INDEX('Final Calculation Sheet'!$T$4:$T$40,$AL$73)="","",INDEX('Final Calculation Sheet'!$T$4:$T$40,$AL$73)))</f>
        <v/>
      </c>
      <c r="V73" s="134">
        <f>IF($AL$73="","",IF(INDEX('Final Calculation Sheet'!$U$4:$U$40,$AL$73)="","",INDEX('Final Calculation Sheet'!$U$4:$U$40,$AL$73)))</f>
        <v/>
      </c>
      <c r="W73" s="131">
        <f>IF($AL$73="","",IF(INDEX('Final Calculation Sheet'!$V$4:$V$40,$AL$73)="","",INDEX('Final Calculation Sheet'!$V$4:$V$40,$AL$73)))</f>
        <v/>
      </c>
      <c r="X73" s="131">
        <f>IF($AL$73="","",IF(INDEX('Final Calculation Sheet'!$W$4:$W$40,$AL$73)="","",INDEX('Final Calculation Sheet'!$W$4:$W$40,$AL$73)))</f>
        <v/>
      </c>
      <c r="Y73" s="131">
        <f>IF($AL$73="","",IF(INDEX('Final Calculation Sheet'!$X$4:$X$40,$AL$73)="","",INDEX('Final Calculation Sheet'!$X$4:$X$40,$AL$73)))</f>
        <v/>
      </c>
      <c r="Z73" s="131">
        <f>IF($AL$73="","",IF(INDEX('Final Calculation Sheet'!$Y$4:$Y$40,$AL$73)="","",INDEX('Final Calculation Sheet'!$Y$4:$Y$40,$AL$73)))</f>
        <v/>
      </c>
      <c r="AA73" s="131">
        <f>IF($AL$73="","",IF(INDEX('Final Calculation Sheet'!$Z$4:$Z$40,$AL$73)="","",INDEX('Final Calculation Sheet'!$Z$4:$Z$40,$AL$73)))</f>
        <v/>
      </c>
      <c r="AB73" s="131">
        <f>IF($AL$73="","",IF(INDEX('Final Calculation Sheet'!$AA$4:$AA$40,$AL$73)="","",INDEX('Final Calculation Sheet'!$AA$4:$AA$40,$AL$73)))</f>
        <v/>
      </c>
      <c r="AC73" s="131">
        <f>IF($AL$73="","",IF(INDEX('Final Calculation Sheet'!$AB$4:$AB$40,$AL$73)="","",INDEX('Final Calculation Sheet'!$AB$4:$AB$40,$AL$73)))</f>
        <v/>
      </c>
      <c r="AD73" s="131">
        <f>IF($AL$73="","",IF(INDEX('Final Calculation Sheet'!$AC$4:$AC$40,$AL$73)="","",INDEX('Final Calculation Sheet'!$AC$4:$AC$40,$AL$73)))</f>
        <v/>
      </c>
      <c r="AE73" s="131">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f>IF(COUNTIF($B$4:$AI$4,"&lt;&gt;")=0,"",IFERROR(MATCH(14,$AK$6:$AK$42,0),""))</f>
        <v/>
      </c>
    </row>
    <row r="74">
      <c r="A74" s="118">
        <f>IF($AL$74="","",15)</f>
        <v/>
      </c>
      <c r="B74" s="119">
        <f>IF($AL$74="","",IF(INDEX('Final Calculation Sheet'!$F$4:$F$40,$AL$74)="","",INDEX('Final Calculation Sheet'!$F$4:$F$40,$AL$74)))</f>
        <v/>
      </c>
      <c r="C74" s="119">
        <f>IF($AL$74="","",IF(INDEX('Final Calculation Sheet'!$G$4:$G$40,$AL$74)="","",INDEX('Final Calculation Sheet'!$G$4:$G$40,$AL$74)))</f>
        <v/>
      </c>
      <c r="D74" s="121">
        <f>IF($AL$74="","",IF(INDEX('Final Calculation Sheet'!$B$4:$B$40,$AL$74)="","",INDEX('Final Calculation Sheet'!$B$4:$B$40,$AL$74)))</f>
        <v/>
      </c>
      <c r="E74" s="121">
        <f>IF($AL$74="","",IF(INDEX('Final Calculation Sheet'!$D$4:$D$40,$AL$74)="","",INDEX('Final Calculation Sheet'!$D$4:$D$40,$AL$74)))</f>
        <v/>
      </c>
      <c r="F74" s="121">
        <f>IF($AL$74="","",IF(INDEX('Final Calculation Sheet'!$A$4:$A$40,$AL$74)="","",INDEX('Final Calculation Sheet'!$A$4:$A$40,$AL$74)))</f>
        <v/>
      </c>
      <c r="G74" s="121">
        <f>IF($AL$74="","",IF(INDEX('Final Calculation Sheet'!$E$4:$E$40,$AL$74)="","",INDEX('Final Calculation Sheet'!$E$4:$E$40,$AL$74)))</f>
        <v/>
      </c>
      <c r="H74" s="122">
        <f>IF($AL$74="","",IF(INDEX('Final Calculation Sheet'!$C$4:$C$40,$AL$74)="","",INDEX('Final Calculation Sheet'!$C$4:$C$40,$AL$74)))</f>
        <v/>
      </c>
      <c r="I74" s="122">
        <f>IF($AL$74="","",IF(INDEX('Final Calculation Sheet'!$H$4:$H$40,$AL$74)="","",INDEX('Final Calculation Sheet'!$H$4:$H$40,$AL$74)))</f>
        <v/>
      </c>
      <c r="J74" s="122">
        <f>IF($AL$74="","",IF(INDEX('Final Calculation Sheet'!$I$4:$I$40,$AL$74)="","",INDEX('Final Calculation Sheet'!$I$4:$I$40,$AL$74)))</f>
        <v/>
      </c>
      <c r="K74" s="122">
        <f>IF($AL$74="","",IF(INDEX('Final Calculation Sheet'!$J$4:$J$40,$AL$74)="","",INDEX('Final Calculation Sheet'!$J$4:$J$40,$AL$74)))</f>
        <v/>
      </c>
      <c r="L74" s="122">
        <f>IF($AL$74="","",IF(INDEX('Final Calculation Sheet'!$K$4:$K$40,$AL$74)="","",INDEX('Final Calculation Sheet'!$K$4:$K$40,$AL$74)))</f>
        <v/>
      </c>
      <c r="M74" s="122">
        <f>IF($AL$74="","",IF(INDEX('Final Calculation Sheet'!$L$4:$L$40,$AL$74)="","",INDEX('Final Calculation Sheet'!$L$4:$L$40,$AL$74)))</f>
        <v/>
      </c>
      <c r="N74" s="122">
        <f>IF($AL$74="","",IF(INDEX('Final Calculation Sheet'!$M$4:$M$40,$AL$74)="","",INDEX('Final Calculation Sheet'!$M$4:$M$40,$AL$74)))</f>
        <v/>
      </c>
      <c r="O74" s="123">
        <f>IF($AL$74="","",IF(INDEX('Final Calculation Sheet'!$N$4:$N$40,$AL$74)="","",INDEX('Final Calculation Sheet'!$N$4:$N$40,$AL$74)))</f>
        <v/>
      </c>
      <c r="P74" s="122">
        <f>IF($AL$74="","",IF(INDEX('Final Calculation Sheet'!$O$4:$O$40,$AL$74)="","",INDEX('Final Calculation Sheet'!$O$4:$O$40,$AL$74)))</f>
        <v/>
      </c>
      <c r="Q74" s="122">
        <f>IF($AL$74="","",IF(INDEX('Final Calculation Sheet'!$P$4:$P$40,$AL$74)="","",INDEX('Final Calculation Sheet'!$P$4:$P$40,$AL$74)))</f>
        <v/>
      </c>
      <c r="R74" s="124">
        <f>IF($AL$74="","",IF(INDEX('Final Calculation Sheet'!$Q$4:$Q$40,$AL$74)="","",INDEX('Final Calculation Sheet'!$Q$4:$Q$40,$AL$74)))</f>
        <v/>
      </c>
      <c r="S74" s="122">
        <f>IF($AL$74="","",IF(INDEX('Final Calculation Sheet'!$R$4:$R$40,$AL$74)="","",INDEX('Final Calculation Sheet'!$R$4:$R$40,$AL$74)))</f>
        <v/>
      </c>
      <c r="T74" s="122">
        <f>IF($AL$74="","",IF(INDEX('Final Calculation Sheet'!$S$4:$S$40,$AL$74)="","",INDEX('Final Calculation Sheet'!$S$4:$S$40,$AL$74)))</f>
        <v/>
      </c>
      <c r="U74" s="122">
        <f>IF($AL$74="","",IF(INDEX('Final Calculation Sheet'!$T$4:$T$40,$AL$74)="","",INDEX('Final Calculation Sheet'!$T$4:$T$40,$AL$74)))</f>
        <v/>
      </c>
      <c r="V74" s="125">
        <f>IF($AL$74="","",IF(INDEX('Final Calculation Sheet'!$U$4:$U$40,$AL$74)="","",INDEX('Final Calculation Sheet'!$U$4:$U$40,$AL$74)))</f>
        <v/>
      </c>
      <c r="W74" s="122">
        <f>IF($AL$74="","",IF(INDEX('Final Calculation Sheet'!$V$4:$V$40,$AL$74)="","",INDEX('Final Calculation Sheet'!$V$4:$V$40,$AL$74)))</f>
        <v/>
      </c>
      <c r="X74" s="122">
        <f>IF($AL$74="","",IF(INDEX('Final Calculation Sheet'!$W$4:$W$40,$AL$74)="","",INDEX('Final Calculation Sheet'!$W$4:$W$40,$AL$74)))</f>
        <v/>
      </c>
      <c r="Y74" s="122">
        <f>IF($AL$74="","",IF(INDEX('Final Calculation Sheet'!$X$4:$X$40,$AL$74)="","",INDEX('Final Calculation Sheet'!$X$4:$X$40,$AL$74)))</f>
        <v/>
      </c>
      <c r="Z74" s="122">
        <f>IF($AL$74="","",IF(INDEX('Final Calculation Sheet'!$Y$4:$Y$40,$AL$74)="","",INDEX('Final Calculation Sheet'!$Y$4:$Y$40,$AL$74)))</f>
        <v/>
      </c>
      <c r="AA74" s="122">
        <f>IF($AL$74="","",IF(INDEX('Final Calculation Sheet'!$Z$4:$Z$40,$AL$74)="","",INDEX('Final Calculation Sheet'!$Z$4:$Z$40,$AL$74)))</f>
        <v/>
      </c>
      <c r="AB74" s="122">
        <f>IF($AL$74="","",IF(INDEX('Final Calculation Sheet'!$AA$4:$AA$40,$AL$74)="","",INDEX('Final Calculation Sheet'!$AA$4:$AA$40,$AL$74)))</f>
        <v/>
      </c>
      <c r="AC74" s="122">
        <f>IF($AL$74="","",IF(INDEX('Final Calculation Sheet'!$AB$4:$AB$40,$AL$74)="","",INDEX('Final Calculation Sheet'!$AB$4:$AB$40,$AL$74)))</f>
        <v/>
      </c>
      <c r="AD74" s="122">
        <f>IF($AL$74="","",IF(INDEX('Final Calculation Sheet'!$AC$4:$AC$40,$AL$74)="","",INDEX('Final Calculation Sheet'!$AC$4:$AC$40,$AL$74)))</f>
        <v/>
      </c>
      <c r="AE74" s="122">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f>IF(COUNTIF($B$4:$AI$4,"&lt;&gt;")=0,"",IFERROR(MATCH(15,$AK$6:$AK$42,0),""))</f>
        <v/>
      </c>
    </row>
    <row r="75">
      <c r="A75" s="128">
        <f>IF($AL$75="","",16)</f>
        <v/>
      </c>
      <c r="B75" s="129">
        <f>IF($AL$75="","",IF(INDEX('Final Calculation Sheet'!$F$4:$F$40,$AL$75)="","",INDEX('Final Calculation Sheet'!$F$4:$F$40,$AL$75)))</f>
        <v/>
      </c>
      <c r="C75" s="129">
        <f>IF($AL$75="","",IF(INDEX('Final Calculation Sheet'!$G$4:$G$40,$AL$75)="","",INDEX('Final Calculation Sheet'!$G$4:$G$40,$AL$75)))</f>
        <v/>
      </c>
      <c r="D75" s="130">
        <f>IF($AL$75="","",IF(INDEX('Final Calculation Sheet'!$B$4:$B$40,$AL$75)="","",INDEX('Final Calculation Sheet'!$B$4:$B$40,$AL$75)))</f>
        <v/>
      </c>
      <c r="E75" s="130">
        <f>IF($AL$75="","",IF(INDEX('Final Calculation Sheet'!$D$4:$D$40,$AL$75)="","",INDEX('Final Calculation Sheet'!$D$4:$D$40,$AL$75)))</f>
        <v/>
      </c>
      <c r="F75" s="130">
        <f>IF($AL$75="","",IF(INDEX('Final Calculation Sheet'!$A$4:$A$40,$AL$75)="","",INDEX('Final Calculation Sheet'!$A$4:$A$40,$AL$75)))</f>
        <v/>
      </c>
      <c r="G75" s="130">
        <f>IF($AL$75="","",IF(INDEX('Final Calculation Sheet'!$E$4:$E$40,$AL$75)="","",INDEX('Final Calculation Sheet'!$E$4:$E$40,$AL$75)))</f>
        <v/>
      </c>
      <c r="H75" s="131">
        <f>IF($AL$75="","",IF(INDEX('Final Calculation Sheet'!$C$4:$C$40,$AL$75)="","",INDEX('Final Calculation Sheet'!$C$4:$C$40,$AL$75)))</f>
        <v/>
      </c>
      <c r="I75" s="131">
        <f>IF($AL$75="","",IF(INDEX('Final Calculation Sheet'!$H$4:$H$40,$AL$75)="","",INDEX('Final Calculation Sheet'!$H$4:$H$40,$AL$75)))</f>
        <v/>
      </c>
      <c r="J75" s="131">
        <f>IF($AL$75="","",IF(INDEX('Final Calculation Sheet'!$I$4:$I$40,$AL$75)="","",INDEX('Final Calculation Sheet'!$I$4:$I$40,$AL$75)))</f>
        <v/>
      </c>
      <c r="K75" s="131">
        <f>IF($AL$75="","",IF(INDEX('Final Calculation Sheet'!$J$4:$J$40,$AL$75)="","",INDEX('Final Calculation Sheet'!$J$4:$J$40,$AL$75)))</f>
        <v/>
      </c>
      <c r="L75" s="131">
        <f>IF($AL$75="","",IF(INDEX('Final Calculation Sheet'!$K$4:$K$40,$AL$75)="","",INDEX('Final Calculation Sheet'!$K$4:$K$40,$AL$75)))</f>
        <v/>
      </c>
      <c r="M75" s="131">
        <f>IF($AL$75="","",IF(INDEX('Final Calculation Sheet'!$L$4:$L$40,$AL$75)="","",INDEX('Final Calculation Sheet'!$L$4:$L$40,$AL$75)))</f>
        <v/>
      </c>
      <c r="N75" s="131">
        <f>IF($AL$75="","",IF(INDEX('Final Calculation Sheet'!$M$4:$M$40,$AL$75)="","",INDEX('Final Calculation Sheet'!$M$4:$M$40,$AL$75)))</f>
        <v/>
      </c>
      <c r="O75" s="132">
        <f>IF($AL$75="","",IF(INDEX('Final Calculation Sheet'!$N$4:$N$40,$AL$75)="","",INDEX('Final Calculation Sheet'!$N$4:$N$40,$AL$75)))</f>
        <v/>
      </c>
      <c r="P75" s="131">
        <f>IF($AL$75="","",IF(INDEX('Final Calculation Sheet'!$O$4:$O$40,$AL$75)="","",INDEX('Final Calculation Sheet'!$O$4:$O$40,$AL$75)))</f>
        <v/>
      </c>
      <c r="Q75" s="131">
        <f>IF($AL$75="","",IF(INDEX('Final Calculation Sheet'!$P$4:$P$40,$AL$75)="","",INDEX('Final Calculation Sheet'!$P$4:$P$40,$AL$75)))</f>
        <v/>
      </c>
      <c r="R75" s="133">
        <f>IF($AL$75="","",IF(INDEX('Final Calculation Sheet'!$Q$4:$Q$40,$AL$75)="","",INDEX('Final Calculation Sheet'!$Q$4:$Q$40,$AL$75)))</f>
        <v/>
      </c>
      <c r="S75" s="131">
        <f>IF($AL$75="","",IF(INDEX('Final Calculation Sheet'!$R$4:$R$40,$AL$75)="","",INDEX('Final Calculation Sheet'!$R$4:$R$40,$AL$75)))</f>
        <v/>
      </c>
      <c r="T75" s="131">
        <f>IF($AL$75="","",IF(INDEX('Final Calculation Sheet'!$S$4:$S$40,$AL$75)="","",INDEX('Final Calculation Sheet'!$S$4:$S$40,$AL$75)))</f>
        <v/>
      </c>
      <c r="U75" s="131">
        <f>IF($AL$75="","",IF(INDEX('Final Calculation Sheet'!$T$4:$T$40,$AL$75)="","",INDEX('Final Calculation Sheet'!$T$4:$T$40,$AL$75)))</f>
        <v/>
      </c>
      <c r="V75" s="134">
        <f>IF($AL$75="","",IF(INDEX('Final Calculation Sheet'!$U$4:$U$40,$AL$75)="","",INDEX('Final Calculation Sheet'!$U$4:$U$40,$AL$75)))</f>
        <v/>
      </c>
      <c r="W75" s="131">
        <f>IF($AL$75="","",IF(INDEX('Final Calculation Sheet'!$V$4:$V$40,$AL$75)="","",INDEX('Final Calculation Sheet'!$V$4:$V$40,$AL$75)))</f>
        <v/>
      </c>
      <c r="X75" s="131">
        <f>IF($AL$75="","",IF(INDEX('Final Calculation Sheet'!$W$4:$W$40,$AL$75)="","",INDEX('Final Calculation Sheet'!$W$4:$W$40,$AL$75)))</f>
        <v/>
      </c>
      <c r="Y75" s="131">
        <f>IF($AL$75="","",IF(INDEX('Final Calculation Sheet'!$X$4:$X$40,$AL$75)="","",INDEX('Final Calculation Sheet'!$X$4:$X$40,$AL$75)))</f>
        <v/>
      </c>
      <c r="Z75" s="131">
        <f>IF($AL$75="","",IF(INDEX('Final Calculation Sheet'!$Y$4:$Y$40,$AL$75)="","",INDEX('Final Calculation Sheet'!$Y$4:$Y$40,$AL$75)))</f>
        <v/>
      </c>
      <c r="AA75" s="131">
        <f>IF($AL$75="","",IF(INDEX('Final Calculation Sheet'!$Z$4:$Z$40,$AL$75)="","",INDEX('Final Calculation Sheet'!$Z$4:$Z$40,$AL$75)))</f>
        <v/>
      </c>
      <c r="AB75" s="131">
        <f>IF($AL$75="","",IF(INDEX('Final Calculation Sheet'!$AA$4:$AA$40,$AL$75)="","",INDEX('Final Calculation Sheet'!$AA$4:$AA$40,$AL$75)))</f>
        <v/>
      </c>
      <c r="AC75" s="131">
        <f>IF($AL$75="","",IF(INDEX('Final Calculation Sheet'!$AB$4:$AB$40,$AL$75)="","",INDEX('Final Calculation Sheet'!$AB$4:$AB$40,$AL$75)))</f>
        <v/>
      </c>
      <c r="AD75" s="131">
        <f>IF($AL$75="","",IF(INDEX('Final Calculation Sheet'!$AC$4:$AC$40,$AL$75)="","",INDEX('Final Calculation Sheet'!$AC$4:$AC$40,$AL$75)))</f>
        <v/>
      </c>
      <c r="AE75" s="131">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f>IF(COUNTIF($B$4:$AI$4,"&lt;&gt;")=0,"",IFERROR(MATCH(16,$AK$6:$AK$42,0),""))</f>
        <v/>
      </c>
    </row>
    <row r="76">
      <c r="A76" s="118">
        <f>IF($AL$76="","",17)</f>
        <v/>
      </c>
      <c r="B76" s="119">
        <f>IF($AL$76="","",IF(INDEX('Final Calculation Sheet'!$F$4:$F$40,$AL$76)="","",INDEX('Final Calculation Sheet'!$F$4:$F$40,$AL$76)))</f>
        <v/>
      </c>
      <c r="C76" s="119">
        <f>IF($AL$76="","",IF(INDEX('Final Calculation Sheet'!$G$4:$G$40,$AL$76)="","",INDEX('Final Calculation Sheet'!$G$4:$G$40,$AL$76)))</f>
        <v/>
      </c>
      <c r="D76" s="121">
        <f>IF($AL$76="","",IF(INDEX('Final Calculation Sheet'!$B$4:$B$40,$AL$76)="","",INDEX('Final Calculation Sheet'!$B$4:$B$40,$AL$76)))</f>
        <v/>
      </c>
      <c r="E76" s="121">
        <f>IF($AL$76="","",IF(INDEX('Final Calculation Sheet'!$D$4:$D$40,$AL$76)="","",INDEX('Final Calculation Sheet'!$D$4:$D$40,$AL$76)))</f>
        <v/>
      </c>
      <c r="F76" s="121">
        <f>IF($AL$76="","",IF(INDEX('Final Calculation Sheet'!$A$4:$A$40,$AL$76)="","",INDEX('Final Calculation Sheet'!$A$4:$A$40,$AL$76)))</f>
        <v/>
      </c>
      <c r="G76" s="121">
        <f>IF($AL$76="","",IF(INDEX('Final Calculation Sheet'!$E$4:$E$40,$AL$76)="","",INDEX('Final Calculation Sheet'!$E$4:$E$40,$AL$76)))</f>
        <v/>
      </c>
      <c r="H76" s="122">
        <f>IF($AL$76="","",IF(INDEX('Final Calculation Sheet'!$C$4:$C$40,$AL$76)="","",INDEX('Final Calculation Sheet'!$C$4:$C$40,$AL$76)))</f>
        <v/>
      </c>
      <c r="I76" s="122">
        <f>IF($AL$76="","",IF(INDEX('Final Calculation Sheet'!$H$4:$H$40,$AL$76)="","",INDEX('Final Calculation Sheet'!$H$4:$H$40,$AL$76)))</f>
        <v/>
      </c>
      <c r="J76" s="122">
        <f>IF($AL$76="","",IF(INDEX('Final Calculation Sheet'!$I$4:$I$40,$AL$76)="","",INDEX('Final Calculation Sheet'!$I$4:$I$40,$AL$76)))</f>
        <v/>
      </c>
      <c r="K76" s="122">
        <f>IF($AL$76="","",IF(INDEX('Final Calculation Sheet'!$J$4:$J$40,$AL$76)="","",INDEX('Final Calculation Sheet'!$J$4:$J$40,$AL$76)))</f>
        <v/>
      </c>
      <c r="L76" s="122">
        <f>IF($AL$76="","",IF(INDEX('Final Calculation Sheet'!$K$4:$K$40,$AL$76)="","",INDEX('Final Calculation Sheet'!$K$4:$K$40,$AL$76)))</f>
        <v/>
      </c>
      <c r="M76" s="122">
        <f>IF($AL$76="","",IF(INDEX('Final Calculation Sheet'!$L$4:$L$40,$AL$76)="","",INDEX('Final Calculation Sheet'!$L$4:$L$40,$AL$76)))</f>
        <v/>
      </c>
      <c r="N76" s="122">
        <f>IF($AL$76="","",IF(INDEX('Final Calculation Sheet'!$M$4:$M$40,$AL$76)="","",INDEX('Final Calculation Sheet'!$M$4:$M$40,$AL$76)))</f>
        <v/>
      </c>
      <c r="O76" s="123">
        <f>IF($AL$76="","",IF(INDEX('Final Calculation Sheet'!$N$4:$N$40,$AL$76)="","",INDEX('Final Calculation Sheet'!$N$4:$N$40,$AL$76)))</f>
        <v/>
      </c>
      <c r="P76" s="122">
        <f>IF($AL$76="","",IF(INDEX('Final Calculation Sheet'!$O$4:$O$40,$AL$76)="","",INDEX('Final Calculation Sheet'!$O$4:$O$40,$AL$76)))</f>
        <v/>
      </c>
      <c r="Q76" s="122">
        <f>IF($AL$76="","",IF(INDEX('Final Calculation Sheet'!$P$4:$P$40,$AL$76)="","",INDEX('Final Calculation Sheet'!$P$4:$P$40,$AL$76)))</f>
        <v/>
      </c>
      <c r="R76" s="124">
        <f>IF($AL$76="","",IF(INDEX('Final Calculation Sheet'!$Q$4:$Q$40,$AL$76)="","",INDEX('Final Calculation Sheet'!$Q$4:$Q$40,$AL$76)))</f>
        <v/>
      </c>
      <c r="S76" s="122">
        <f>IF($AL$76="","",IF(INDEX('Final Calculation Sheet'!$R$4:$R$40,$AL$76)="","",INDEX('Final Calculation Sheet'!$R$4:$R$40,$AL$76)))</f>
        <v/>
      </c>
      <c r="T76" s="122">
        <f>IF($AL$76="","",IF(INDEX('Final Calculation Sheet'!$S$4:$S$40,$AL$76)="","",INDEX('Final Calculation Sheet'!$S$4:$S$40,$AL$76)))</f>
        <v/>
      </c>
      <c r="U76" s="122">
        <f>IF($AL$76="","",IF(INDEX('Final Calculation Sheet'!$T$4:$T$40,$AL$76)="","",INDEX('Final Calculation Sheet'!$T$4:$T$40,$AL$76)))</f>
        <v/>
      </c>
      <c r="V76" s="125">
        <f>IF($AL$76="","",IF(INDEX('Final Calculation Sheet'!$U$4:$U$40,$AL$76)="","",INDEX('Final Calculation Sheet'!$U$4:$U$40,$AL$76)))</f>
        <v/>
      </c>
      <c r="W76" s="122">
        <f>IF($AL$76="","",IF(INDEX('Final Calculation Sheet'!$V$4:$V$40,$AL$76)="","",INDEX('Final Calculation Sheet'!$V$4:$V$40,$AL$76)))</f>
        <v/>
      </c>
      <c r="X76" s="122">
        <f>IF($AL$76="","",IF(INDEX('Final Calculation Sheet'!$W$4:$W$40,$AL$76)="","",INDEX('Final Calculation Sheet'!$W$4:$W$40,$AL$76)))</f>
        <v/>
      </c>
      <c r="Y76" s="122">
        <f>IF($AL$76="","",IF(INDEX('Final Calculation Sheet'!$X$4:$X$40,$AL$76)="","",INDEX('Final Calculation Sheet'!$X$4:$X$40,$AL$76)))</f>
        <v/>
      </c>
      <c r="Z76" s="122">
        <f>IF($AL$76="","",IF(INDEX('Final Calculation Sheet'!$Y$4:$Y$40,$AL$76)="","",INDEX('Final Calculation Sheet'!$Y$4:$Y$40,$AL$76)))</f>
        <v/>
      </c>
      <c r="AA76" s="122">
        <f>IF($AL$76="","",IF(INDEX('Final Calculation Sheet'!$Z$4:$Z$40,$AL$76)="","",INDEX('Final Calculation Sheet'!$Z$4:$Z$40,$AL$76)))</f>
        <v/>
      </c>
      <c r="AB76" s="122">
        <f>IF($AL$76="","",IF(INDEX('Final Calculation Sheet'!$AA$4:$AA$40,$AL$76)="","",INDEX('Final Calculation Sheet'!$AA$4:$AA$40,$AL$76)))</f>
        <v/>
      </c>
      <c r="AC76" s="122">
        <f>IF($AL$76="","",IF(INDEX('Final Calculation Sheet'!$AB$4:$AB$40,$AL$76)="","",INDEX('Final Calculation Sheet'!$AB$4:$AB$40,$AL$76)))</f>
        <v/>
      </c>
      <c r="AD76" s="122">
        <f>IF($AL$76="","",IF(INDEX('Final Calculation Sheet'!$AC$4:$AC$40,$AL$76)="","",INDEX('Final Calculation Sheet'!$AC$4:$AC$40,$AL$76)))</f>
        <v/>
      </c>
      <c r="AE76" s="122">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f>IF(COUNTIF($B$4:$AI$4,"&lt;&gt;")=0,"",IFERROR(MATCH(17,$AK$6:$AK$42,0),""))</f>
        <v/>
      </c>
    </row>
    <row r="77">
      <c r="A77" s="128">
        <f>IF($AL$77="","",18)</f>
        <v/>
      </c>
      <c r="B77" s="129">
        <f>IF($AL$77="","",IF(INDEX('Final Calculation Sheet'!$F$4:$F$40,$AL$77)="","",INDEX('Final Calculation Sheet'!$F$4:$F$40,$AL$77)))</f>
        <v/>
      </c>
      <c r="C77" s="129">
        <f>IF($AL$77="","",IF(INDEX('Final Calculation Sheet'!$G$4:$G$40,$AL$77)="","",INDEX('Final Calculation Sheet'!$G$4:$G$40,$AL$77)))</f>
        <v/>
      </c>
      <c r="D77" s="130">
        <f>IF($AL$77="","",IF(INDEX('Final Calculation Sheet'!$B$4:$B$40,$AL$77)="","",INDEX('Final Calculation Sheet'!$B$4:$B$40,$AL$77)))</f>
        <v/>
      </c>
      <c r="E77" s="130">
        <f>IF($AL$77="","",IF(INDEX('Final Calculation Sheet'!$D$4:$D$40,$AL$77)="","",INDEX('Final Calculation Sheet'!$D$4:$D$40,$AL$77)))</f>
        <v/>
      </c>
      <c r="F77" s="130">
        <f>IF($AL$77="","",IF(INDEX('Final Calculation Sheet'!$A$4:$A$40,$AL$77)="","",INDEX('Final Calculation Sheet'!$A$4:$A$40,$AL$77)))</f>
        <v/>
      </c>
      <c r="G77" s="130">
        <f>IF($AL$77="","",IF(INDEX('Final Calculation Sheet'!$E$4:$E$40,$AL$77)="","",INDEX('Final Calculation Sheet'!$E$4:$E$40,$AL$77)))</f>
        <v/>
      </c>
      <c r="H77" s="131">
        <f>IF($AL$77="","",IF(INDEX('Final Calculation Sheet'!$C$4:$C$40,$AL$77)="","",INDEX('Final Calculation Sheet'!$C$4:$C$40,$AL$77)))</f>
        <v/>
      </c>
      <c r="I77" s="131">
        <f>IF($AL$77="","",IF(INDEX('Final Calculation Sheet'!$H$4:$H$40,$AL$77)="","",INDEX('Final Calculation Sheet'!$H$4:$H$40,$AL$77)))</f>
        <v/>
      </c>
      <c r="J77" s="131">
        <f>IF($AL$77="","",IF(INDEX('Final Calculation Sheet'!$I$4:$I$40,$AL$77)="","",INDEX('Final Calculation Sheet'!$I$4:$I$40,$AL$77)))</f>
        <v/>
      </c>
      <c r="K77" s="131">
        <f>IF($AL$77="","",IF(INDEX('Final Calculation Sheet'!$J$4:$J$40,$AL$77)="","",INDEX('Final Calculation Sheet'!$J$4:$J$40,$AL$77)))</f>
        <v/>
      </c>
      <c r="L77" s="131">
        <f>IF($AL$77="","",IF(INDEX('Final Calculation Sheet'!$K$4:$K$40,$AL$77)="","",INDEX('Final Calculation Sheet'!$K$4:$K$40,$AL$77)))</f>
        <v/>
      </c>
      <c r="M77" s="131">
        <f>IF($AL$77="","",IF(INDEX('Final Calculation Sheet'!$L$4:$L$40,$AL$77)="","",INDEX('Final Calculation Sheet'!$L$4:$L$40,$AL$77)))</f>
        <v/>
      </c>
      <c r="N77" s="131">
        <f>IF($AL$77="","",IF(INDEX('Final Calculation Sheet'!$M$4:$M$40,$AL$77)="","",INDEX('Final Calculation Sheet'!$M$4:$M$40,$AL$77)))</f>
        <v/>
      </c>
      <c r="O77" s="132">
        <f>IF($AL$77="","",IF(INDEX('Final Calculation Sheet'!$N$4:$N$40,$AL$77)="","",INDEX('Final Calculation Sheet'!$N$4:$N$40,$AL$77)))</f>
        <v/>
      </c>
      <c r="P77" s="131">
        <f>IF($AL$77="","",IF(INDEX('Final Calculation Sheet'!$O$4:$O$40,$AL$77)="","",INDEX('Final Calculation Sheet'!$O$4:$O$40,$AL$77)))</f>
        <v/>
      </c>
      <c r="Q77" s="131">
        <f>IF($AL$77="","",IF(INDEX('Final Calculation Sheet'!$P$4:$P$40,$AL$77)="","",INDEX('Final Calculation Sheet'!$P$4:$P$40,$AL$77)))</f>
        <v/>
      </c>
      <c r="R77" s="133">
        <f>IF($AL$77="","",IF(INDEX('Final Calculation Sheet'!$Q$4:$Q$40,$AL$77)="","",INDEX('Final Calculation Sheet'!$Q$4:$Q$40,$AL$77)))</f>
        <v/>
      </c>
      <c r="S77" s="131">
        <f>IF($AL$77="","",IF(INDEX('Final Calculation Sheet'!$R$4:$R$40,$AL$77)="","",INDEX('Final Calculation Sheet'!$R$4:$R$40,$AL$77)))</f>
        <v/>
      </c>
      <c r="T77" s="131">
        <f>IF($AL$77="","",IF(INDEX('Final Calculation Sheet'!$S$4:$S$40,$AL$77)="","",INDEX('Final Calculation Sheet'!$S$4:$S$40,$AL$77)))</f>
        <v/>
      </c>
      <c r="U77" s="131">
        <f>IF($AL$77="","",IF(INDEX('Final Calculation Sheet'!$T$4:$T$40,$AL$77)="","",INDEX('Final Calculation Sheet'!$T$4:$T$40,$AL$77)))</f>
        <v/>
      </c>
      <c r="V77" s="134">
        <f>IF($AL$77="","",IF(INDEX('Final Calculation Sheet'!$U$4:$U$40,$AL$77)="","",INDEX('Final Calculation Sheet'!$U$4:$U$40,$AL$77)))</f>
        <v/>
      </c>
      <c r="W77" s="131">
        <f>IF($AL$77="","",IF(INDEX('Final Calculation Sheet'!$V$4:$V$40,$AL$77)="","",INDEX('Final Calculation Sheet'!$V$4:$V$40,$AL$77)))</f>
        <v/>
      </c>
      <c r="X77" s="131">
        <f>IF($AL$77="","",IF(INDEX('Final Calculation Sheet'!$W$4:$W$40,$AL$77)="","",INDEX('Final Calculation Sheet'!$W$4:$W$40,$AL$77)))</f>
        <v/>
      </c>
      <c r="Y77" s="131">
        <f>IF($AL$77="","",IF(INDEX('Final Calculation Sheet'!$X$4:$X$40,$AL$77)="","",INDEX('Final Calculation Sheet'!$X$4:$X$40,$AL$77)))</f>
        <v/>
      </c>
      <c r="Z77" s="131">
        <f>IF($AL$77="","",IF(INDEX('Final Calculation Sheet'!$Y$4:$Y$40,$AL$77)="","",INDEX('Final Calculation Sheet'!$Y$4:$Y$40,$AL$77)))</f>
        <v/>
      </c>
      <c r="AA77" s="131">
        <f>IF($AL$77="","",IF(INDEX('Final Calculation Sheet'!$Z$4:$Z$40,$AL$77)="","",INDEX('Final Calculation Sheet'!$Z$4:$Z$40,$AL$77)))</f>
        <v/>
      </c>
      <c r="AB77" s="131">
        <f>IF($AL$77="","",IF(INDEX('Final Calculation Sheet'!$AA$4:$AA$40,$AL$77)="","",INDEX('Final Calculation Sheet'!$AA$4:$AA$40,$AL$77)))</f>
        <v/>
      </c>
      <c r="AC77" s="131">
        <f>IF($AL$77="","",IF(INDEX('Final Calculation Sheet'!$AB$4:$AB$40,$AL$77)="","",INDEX('Final Calculation Sheet'!$AB$4:$AB$40,$AL$77)))</f>
        <v/>
      </c>
      <c r="AD77" s="131">
        <f>IF($AL$77="","",IF(INDEX('Final Calculation Sheet'!$AC$4:$AC$40,$AL$77)="","",INDEX('Final Calculation Sheet'!$AC$4:$AC$40,$AL$77)))</f>
        <v/>
      </c>
      <c r="AE77" s="131">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f>IF(COUNTIF($B$4:$AI$4,"&lt;&gt;")=0,"",IFERROR(MATCH(18,$AK$6:$AK$42,0),""))</f>
        <v/>
      </c>
    </row>
    <row r="78">
      <c r="A78" s="118">
        <f>IF($AL$78="","",19)</f>
        <v/>
      </c>
      <c r="B78" s="119">
        <f>IF($AL$78="","",IF(INDEX('Final Calculation Sheet'!$F$4:$F$40,$AL$78)="","",INDEX('Final Calculation Sheet'!$F$4:$F$40,$AL$78)))</f>
        <v/>
      </c>
      <c r="C78" s="119">
        <f>IF($AL$78="","",IF(INDEX('Final Calculation Sheet'!$G$4:$G$40,$AL$78)="","",INDEX('Final Calculation Sheet'!$G$4:$G$40,$AL$78)))</f>
        <v/>
      </c>
      <c r="D78" s="121">
        <f>IF($AL$78="","",IF(INDEX('Final Calculation Sheet'!$B$4:$B$40,$AL$78)="","",INDEX('Final Calculation Sheet'!$B$4:$B$40,$AL$78)))</f>
        <v/>
      </c>
      <c r="E78" s="121">
        <f>IF($AL$78="","",IF(INDEX('Final Calculation Sheet'!$D$4:$D$40,$AL$78)="","",INDEX('Final Calculation Sheet'!$D$4:$D$40,$AL$78)))</f>
        <v/>
      </c>
      <c r="F78" s="121">
        <f>IF($AL$78="","",IF(INDEX('Final Calculation Sheet'!$A$4:$A$40,$AL$78)="","",INDEX('Final Calculation Sheet'!$A$4:$A$40,$AL$78)))</f>
        <v/>
      </c>
      <c r="G78" s="121">
        <f>IF($AL$78="","",IF(INDEX('Final Calculation Sheet'!$E$4:$E$40,$AL$78)="","",INDEX('Final Calculation Sheet'!$E$4:$E$40,$AL$78)))</f>
        <v/>
      </c>
      <c r="H78" s="122">
        <f>IF($AL$78="","",IF(INDEX('Final Calculation Sheet'!$C$4:$C$40,$AL$78)="","",INDEX('Final Calculation Sheet'!$C$4:$C$40,$AL$78)))</f>
        <v/>
      </c>
      <c r="I78" s="122">
        <f>IF($AL$78="","",IF(INDEX('Final Calculation Sheet'!$H$4:$H$40,$AL$78)="","",INDEX('Final Calculation Sheet'!$H$4:$H$40,$AL$78)))</f>
        <v/>
      </c>
      <c r="J78" s="122">
        <f>IF($AL$78="","",IF(INDEX('Final Calculation Sheet'!$I$4:$I$40,$AL$78)="","",INDEX('Final Calculation Sheet'!$I$4:$I$40,$AL$78)))</f>
        <v/>
      </c>
      <c r="K78" s="122">
        <f>IF($AL$78="","",IF(INDEX('Final Calculation Sheet'!$J$4:$J$40,$AL$78)="","",INDEX('Final Calculation Sheet'!$J$4:$J$40,$AL$78)))</f>
        <v/>
      </c>
      <c r="L78" s="122">
        <f>IF($AL$78="","",IF(INDEX('Final Calculation Sheet'!$K$4:$K$40,$AL$78)="","",INDEX('Final Calculation Sheet'!$K$4:$K$40,$AL$78)))</f>
        <v/>
      </c>
      <c r="M78" s="122">
        <f>IF($AL$78="","",IF(INDEX('Final Calculation Sheet'!$L$4:$L$40,$AL$78)="","",INDEX('Final Calculation Sheet'!$L$4:$L$40,$AL$78)))</f>
        <v/>
      </c>
      <c r="N78" s="122">
        <f>IF($AL$78="","",IF(INDEX('Final Calculation Sheet'!$M$4:$M$40,$AL$78)="","",INDEX('Final Calculation Sheet'!$M$4:$M$40,$AL$78)))</f>
        <v/>
      </c>
      <c r="O78" s="123">
        <f>IF($AL$78="","",IF(INDEX('Final Calculation Sheet'!$N$4:$N$40,$AL$78)="","",INDEX('Final Calculation Sheet'!$N$4:$N$40,$AL$78)))</f>
        <v/>
      </c>
      <c r="P78" s="122">
        <f>IF($AL$78="","",IF(INDEX('Final Calculation Sheet'!$O$4:$O$40,$AL$78)="","",INDEX('Final Calculation Sheet'!$O$4:$O$40,$AL$78)))</f>
        <v/>
      </c>
      <c r="Q78" s="122">
        <f>IF($AL$78="","",IF(INDEX('Final Calculation Sheet'!$P$4:$P$40,$AL$78)="","",INDEX('Final Calculation Sheet'!$P$4:$P$40,$AL$78)))</f>
        <v/>
      </c>
      <c r="R78" s="124">
        <f>IF($AL$78="","",IF(INDEX('Final Calculation Sheet'!$Q$4:$Q$40,$AL$78)="","",INDEX('Final Calculation Sheet'!$Q$4:$Q$40,$AL$78)))</f>
        <v/>
      </c>
      <c r="S78" s="122">
        <f>IF($AL$78="","",IF(INDEX('Final Calculation Sheet'!$R$4:$R$40,$AL$78)="","",INDEX('Final Calculation Sheet'!$R$4:$R$40,$AL$78)))</f>
        <v/>
      </c>
      <c r="T78" s="122">
        <f>IF($AL$78="","",IF(INDEX('Final Calculation Sheet'!$S$4:$S$40,$AL$78)="","",INDEX('Final Calculation Sheet'!$S$4:$S$40,$AL$78)))</f>
        <v/>
      </c>
      <c r="U78" s="122">
        <f>IF($AL$78="","",IF(INDEX('Final Calculation Sheet'!$T$4:$T$40,$AL$78)="","",INDEX('Final Calculation Sheet'!$T$4:$T$40,$AL$78)))</f>
        <v/>
      </c>
      <c r="V78" s="125">
        <f>IF($AL$78="","",IF(INDEX('Final Calculation Sheet'!$U$4:$U$40,$AL$78)="","",INDEX('Final Calculation Sheet'!$U$4:$U$40,$AL$78)))</f>
        <v/>
      </c>
      <c r="W78" s="122">
        <f>IF($AL$78="","",IF(INDEX('Final Calculation Sheet'!$V$4:$V$40,$AL$78)="","",INDEX('Final Calculation Sheet'!$V$4:$V$40,$AL$78)))</f>
        <v/>
      </c>
      <c r="X78" s="122">
        <f>IF($AL$78="","",IF(INDEX('Final Calculation Sheet'!$W$4:$W$40,$AL$78)="","",INDEX('Final Calculation Sheet'!$W$4:$W$40,$AL$78)))</f>
        <v/>
      </c>
      <c r="Y78" s="122">
        <f>IF($AL$78="","",IF(INDEX('Final Calculation Sheet'!$X$4:$X$40,$AL$78)="","",INDEX('Final Calculation Sheet'!$X$4:$X$40,$AL$78)))</f>
        <v/>
      </c>
      <c r="Z78" s="122">
        <f>IF($AL$78="","",IF(INDEX('Final Calculation Sheet'!$Y$4:$Y$40,$AL$78)="","",INDEX('Final Calculation Sheet'!$Y$4:$Y$40,$AL$78)))</f>
        <v/>
      </c>
      <c r="AA78" s="122">
        <f>IF($AL$78="","",IF(INDEX('Final Calculation Sheet'!$Z$4:$Z$40,$AL$78)="","",INDEX('Final Calculation Sheet'!$Z$4:$Z$40,$AL$78)))</f>
        <v/>
      </c>
      <c r="AB78" s="122">
        <f>IF($AL$78="","",IF(INDEX('Final Calculation Sheet'!$AA$4:$AA$40,$AL$78)="","",INDEX('Final Calculation Sheet'!$AA$4:$AA$40,$AL$78)))</f>
        <v/>
      </c>
      <c r="AC78" s="122">
        <f>IF($AL$78="","",IF(INDEX('Final Calculation Sheet'!$AB$4:$AB$40,$AL$78)="","",INDEX('Final Calculation Sheet'!$AB$4:$AB$40,$AL$78)))</f>
        <v/>
      </c>
      <c r="AD78" s="122">
        <f>IF($AL$78="","",IF(INDEX('Final Calculation Sheet'!$AC$4:$AC$40,$AL$78)="","",INDEX('Final Calculation Sheet'!$AC$4:$AC$40,$AL$78)))</f>
        <v/>
      </c>
      <c r="AE78" s="122">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f>IF(COUNTIF($B$4:$AI$4,"&lt;&gt;")=0,"",IFERROR(MATCH(19,$AK$6:$AK$42,0),""))</f>
        <v/>
      </c>
    </row>
    <row r="79">
      <c r="A79" s="128">
        <f>IF($AL$79="","",20)</f>
        <v/>
      </c>
      <c r="B79" s="129">
        <f>IF($AL$79="","",IF(INDEX('Final Calculation Sheet'!$F$4:$F$40,$AL$79)="","",INDEX('Final Calculation Sheet'!$F$4:$F$40,$AL$79)))</f>
        <v/>
      </c>
      <c r="C79" s="129">
        <f>IF($AL$79="","",IF(INDEX('Final Calculation Sheet'!$G$4:$G$40,$AL$79)="","",INDEX('Final Calculation Sheet'!$G$4:$G$40,$AL$79)))</f>
        <v/>
      </c>
      <c r="D79" s="130">
        <f>IF($AL$79="","",IF(INDEX('Final Calculation Sheet'!$B$4:$B$40,$AL$79)="","",INDEX('Final Calculation Sheet'!$B$4:$B$40,$AL$79)))</f>
        <v/>
      </c>
      <c r="E79" s="130">
        <f>IF($AL$79="","",IF(INDEX('Final Calculation Sheet'!$D$4:$D$40,$AL$79)="","",INDEX('Final Calculation Sheet'!$D$4:$D$40,$AL$79)))</f>
        <v/>
      </c>
      <c r="F79" s="130">
        <f>IF($AL$79="","",IF(INDEX('Final Calculation Sheet'!$A$4:$A$40,$AL$79)="","",INDEX('Final Calculation Sheet'!$A$4:$A$40,$AL$79)))</f>
        <v/>
      </c>
      <c r="G79" s="130">
        <f>IF($AL$79="","",IF(INDEX('Final Calculation Sheet'!$E$4:$E$40,$AL$79)="","",INDEX('Final Calculation Sheet'!$E$4:$E$40,$AL$79)))</f>
        <v/>
      </c>
      <c r="H79" s="131">
        <f>IF($AL$79="","",IF(INDEX('Final Calculation Sheet'!$C$4:$C$40,$AL$79)="","",INDEX('Final Calculation Sheet'!$C$4:$C$40,$AL$79)))</f>
        <v/>
      </c>
      <c r="I79" s="131">
        <f>IF($AL$79="","",IF(INDEX('Final Calculation Sheet'!$H$4:$H$40,$AL$79)="","",INDEX('Final Calculation Sheet'!$H$4:$H$40,$AL$79)))</f>
        <v/>
      </c>
      <c r="J79" s="131">
        <f>IF($AL$79="","",IF(INDEX('Final Calculation Sheet'!$I$4:$I$40,$AL$79)="","",INDEX('Final Calculation Sheet'!$I$4:$I$40,$AL$79)))</f>
        <v/>
      </c>
      <c r="K79" s="131">
        <f>IF($AL$79="","",IF(INDEX('Final Calculation Sheet'!$J$4:$J$40,$AL$79)="","",INDEX('Final Calculation Sheet'!$J$4:$J$40,$AL$79)))</f>
        <v/>
      </c>
      <c r="L79" s="131">
        <f>IF($AL$79="","",IF(INDEX('Final Calculation Sheet'!$K$4:$K$40,$AL$79)="","",INDEX('Final Calculation Sheet'!$K$4:$K$40,$AL$79)))</f>
        <v/>
      </c>
      <c r="M79" s="131">
        <f>IF($AL$79="","",IF(INDEX('Final Calculation Sheet'!$L$4:$L$40,$AL$79)="","",INDEX('Final Calculation Sheet'!$L$4:$L$40,$AL$79)))</f>
        <v/>
      </c>
      <c r="N79" s="131">
        <f>IF($AL$79="","",IF(INDEX('Final Calculation Sheet'!$M$4:$M$40,$AL$79)="","",INDEX('Final Calculation Sheet'!$M$4:$M$40,$AL$79)))</f>
        <v/>
      </c>
      <c r="O79" s="132">
        <f>IF($AL$79="","",IF(INDEX('Final Calculation Sheet'!$N$4:$N$40,$AL$79)="","",INDEX('Final Calculation Sheet'!$N$4:$N$40,$AL$79)))</f>
        <v/>
      </c>
      <c r="P79" s="131">
        <f>IF($AL$79="","",IF(INDEX('Final Calculation Sheet'!$O$4:$O$40,$AL$79)="","",INDEX('Final Calculation Sheet'!$O$4:$O$40,$AL$79)))</f>
        <v/>
      </c>
      <c r="Q79" s="131">
        <f>IF($AL$79="","",IF(INDEX('Final Calculation Sheet'!$P$4:$P$40,$AL$79)="","",INDEX('Final Calculation Sheet'!$P$4:$P$40,$AL$79)))</f>
        <v/>
      </c>
      <c r="R79" s="133">
        <f>IF($AL$79="","",IF(INDEX('Final Calculation Sheet'!$Q$4:$Q$40,$AL$79)="","",INDEX('Final Calculation Sheet'!$Q$4:$Q$40,$AL$79)))</f>
        <v/>
      </c>
      <c r="S79" s="131">
        <f>IF($AL$79="","",IF(INDEX('Final Calculation Sheet'!$R$4:$R$40,$AL$79)="","",INDEX('Final Calculation Sheet'!$R$4:$R$40,$AL$79)))</f>
        <v/>
      </c>
      <c r="T79" s="131">
        <f>IF($AL$79="","",IF(INDEX('Final Calculation Sheet'!$S$4:$S$40,$AL$79)="","",INDEX('Final Calculation Sheet'!$S$4:$S$40,$AL$79)))</f>
        <v/>
      </c>
      <c r="U79" s="131">
        <f>IF($AL$79="","",IF(INDEX('Final Calculation Sheet'!$T$4:$T$40,$AL$79)="","",INDEX('Final Calculation Sheet'!$T$4:$T$40,$AL$79)))</f>
        <v/>
      </c>
      <c r="V79" s="134">
        <f>IF($AL$79="","",IF(INDEX('Final Calculation Sheet'!$U$4:$U$40,$AL$79)="","",INDEX('Final Calculation Sheet'!$U$4:$U$40,$AL$79)))</f>
        <v/>
      </c>
      <c r="W79" s="131">
        <f>IF($AL$79="","",IF(INDEX('Final Calculation Sheet'!$V$4:$V$40,$AL$79)="","",INDEX('Final Calculation Sheet'!$V$4:$V$40,$AL$79)))</f>
        <v/>
      </c>
      <c r="X79" s="131">
        <f>IF($AL$79="","",IF(INDEX('Final Calculation Sheet'!$W$4:$W$40,$AL$79)="","",INDEX('Final Calculation Sheet'!$W$4:$W$40,$AL$79)))</f>
        <v/>
      </c>
      <c r="Y79" s="131">
        <f>IF($AL$79="","",IF(INDEX('Final Calculation Sheet'!$X$4:$X$40,$AL$79)="","",INDEX('Final Calculation Sheet'!$X$4:$X$40,$AL$79)))</f>
        <v/>
      </c>
      <c r="Z79" s="131">
        <f>IF($AL$79="","",IF(INDEX('Final Calculation Sheet'!$Y$4:$Y$40,$AL$79)="","",INDEX('Final Calculation Sheet'!$Y$4:$Y$40,$AL$79)))</f>
        <v/>
      </c>
      <c r="AA79" s="131">
        <f>IF($AL$79="","",IF(INDEX('Final Calculation Sheet'!$Z$4:$Z$40,$AL$79)="","",INDEX('Final Calculation Sheet'!$Z$4:$Z$40,$AL$79)))</f>
        <v/>
      </c>
      <c r="AB79" s="131">
        <f>IF($AL$79="","",IF(INDEX('Final Calculation Sheet'!$AA$4:$AA$40,$AL$79)="","",INDEX('Final Calculation Sheet'!$AA$4:$AA$40,$AL$79)))</f>
        <v/>
      </c>
      <c r="AC79" s="131">
        <f>IF($AL$79="","",IF(INDEX('Final Calculation Sheet'!$AB$4:$AB$40,$AL$79)="","",INDEX('Final Calculation Sheet'!$AB$4:$AB$40,$AL$79)))</f>
        <v/>
      </c>
      <c r="AD79" s="131">
        <f>IF($AL$79="","",IF(INDEX('Final Calculation Sheet'!$AC$4:$AC$40,$AL$79)="","",INDEX('Final Calculation Sheet'!$AC$4:$AC$40,$AL$79)))</f>
        <v/>
      </c>
      <c r="AE79" s="131">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f>IF(COUNTIF($B$4:$AI$4,"&lt;&gt;")=0,"",IFERROR(MATCH(20,$AK$6:$AK$42,0),""))</f>
        <v/>
      </c>
    </row>
    <row r="80">
      <c r="A80" s="118">
        <f>IF($AL$80="","",21)</f>
        <v/>
      </c>
      <c r="B80" s="119">
        <f>IF($AL$80="","",IF(INDEX('Final Calculation Sheet'!$F$4:$F$40,$AL$80)="","",INDEX('Final Calculation Sheet'!$F$4:$F$40,$AL$80)))</f>
        <v/>
      </c>
      <c r="C80" s="119">
        <f>IF($AL$80="","",IF(INDEX('Final Calculation Sheet'!$G$4:$G$40,$AL$80)="","",INDEX('Final Calculation Sheet'!$G$4:$G$40,$AL$80)))</f>
        <v/>
      </c>
      <c r="D80" s="121">
        <f>IF($AL$80="","",IF(INDEX('Final Calculation Sheet'!$B$4:$B$40,$AL$80)="","",INDEX('Final Calculation Sheet'!$B$4:$B$40,$AL$80)))</f>
        <v/>
      </c>
      <c r="E80" s="121">
        <f>IF($AL$80="","",IF(INDEX('Final Calculation Sheet'!$D$4:$D$40,$AL$80)="","",INDEX('Final Calculation Sheet'!$D$4:$D$40,$AL$80)))</f>
        <v/>
      </c>
      <c r="F80" s="121">
        <f>IF($AL$80="","",IF(INDEX('Final Calculation Sheet'!$A$4:$A$40,$AL$80)="","",INDEX('Final Calculation Sheet'!$A$4:$A$40,$AL$80)))</f>
        <v/>
      </c>
      <c r="G80" s="121">
        <f>IF($AL$80="","",IF(INDEX('Final Calculation Sheet'!$E$4:$E$40,$AL$80)="","",INDEX('Final Calculation Sheet'!$E$4:$E$40,$AL$80)))</f>
        <v/>
      </c>
      <c r="H80" s="122">
        <f>IF($AL$80="","",IF(INDEX('Final Calculation Sheet'!$C$4:$C$40,$AL$80)="","",INDEX('Final Calculation Sheet'!$C$4:$C$40,$AL$80)))</f>
        <v/>
      </c>
      <c r="I80" s="122">
        <f>IF($AL$80="","",IF(INDEX('Final Calculation Sheet'!$H$4:$H$40,$AL$80)="","",INDEX('Final Calculation Sheet'!$H$4:$H$40,$AL$80)))</f>
        <v/>
      </c>
      <c r="J80" s="122">
        <f>IF($AL$80="","",IF(INDEX('Final Calculation Sheet'!$I$4:$I$40,$AL$80)="","",INDEX('Final Calculation Sheet'!$I$4:$I$40,$AL$80)))</f>
        <v/>
      </c>
      <c r="K80" s="122">
        <f>IF($AL$80="","",IF(INDEX('Final Calculation Sheet'!$J$4:$J$40,$AL$80)="","",INDEX('Final Calculation Sheet'!$J$4:$J$40,$AL$80)))</f>
        <v/>
      </c>
      <c r="L80" s="122">
        <f>IF($AL$80="","",IF(INDEX('Final Calculation Sheet'!$K$4:$K$40,$AL$80)="","",INDEX('Final Calculation Sheet'!$K$4:$K$40,$AL$80)))</f>
        <v/>
      </c>
      <c r="M80" s="122">
        <f>IF($AL$80="","",IF(INDEX('Final Calculation Sheet'!$L$4:$L$40,$AL$80)="","",INDEX('Final Calculation Sheet'!$L$4:$L$40,$AL$80)))</f>
        <v/>
      </c>
      <c r="N80" s="122">
        <f>IF($AL$80="","",IF(INDEX('Final Calculation Sheet'!$M$4:$M$40,$AL$80)="","",INDEX('Final Calculation Sheet'!$M$4:$M$40,$AL$80)))</f>
        <v/>
      </c>
      <c r="O80" s="123">
        <f>IF($AL$80="","",IF(INDEX('Final Calculation Sheet'!$N$4:$N$40,$AL$80)="","",INDEX('Final Calculation Sheet'!$N$4:$N$40,$AL$80)))</f>
        <v/>
      </c>
      <c r="P80" s="122">
        <f>IF($AL$80="","",IF(INDEX('Final Calculation Sheet'!$O$4:$O$40,$AL$80)="","",INDEX('Final Calculation Sheet'!$O$4:$O$40,$AL$80)))</f>
        <v/>
      </c>
      <c r="Q80" s="122">
        <f>IF($AL$80="","",IF(INDEX('Final Calculation Sheet'!$P$4:$P$40,$AL$80)="","",INDEX('Final Calculation Sheet'!$P$4:$P$40,$AL$80)))</f>
        <v/>
      </c>
      <c r="R80" s="124">
        <f>IF($AL$80="","",IF(INDEX('Final Calculation Sheet'!$Q$4:$Q$40,$AL$80)="","",INDEX('Final Calculation Sheet'!$Q$4:$Q$40,$AL$80)))</f>
        <v/>
      </c>
      <c r="S80" s="122">
        <f>IF($AL$80="","",IF(INDEX('Final Calculation Sheet'!$R$4:$R$40,$AL$80)="","",INDEX('Final Calculation Sheet'!$R$4:$R$40,$AL$80)))</f>
        <v/>
      </c>
      <c r="T80" s="122">
        <f>IF($AL$80="","",IF(INDEX('Final Calculation Sheet'!$S$4:$S$40,$AL$80)="","",INDEX('Final Calculation Sheet'!$S$4:$S$40,$AL$80)))</f>
        <v/>
      </c>
      <c r="U80" s="122">
        <f>IF($AL$80="","",IF(INDEX('Final Calculation Sheet'!$T$4:$T$40,$AL$80)="","",INDEX('Final Calculation Sheet'!$T$4:$T$40,$AL$80)))</f>
        <v/>
      </c>
      <c r="V80" s="125">
        <f>IF($AL$80="","",IF(INDEX('Final Calculation Sheet'!$U$4:$U$40,$AL$80)="","",INDEX('Final Calculation Sheet'!$U$4:$U$40,$AL$80)))</f>
        <v/>
      </c>
      <c r="W80" s="122">
        <f>IF($AL$80="","",IF(INDEX('Final Calculation Sheet'!$V$4:$V$40,$AL$80)="","",INDEX('Final Calculation Sheet'!$V$4:$V$40,$AL$80)))</f>
        <v/>
      </c>
      <c r="X80" s="122">
        <f>IF($AL$80="","",IF(INDEX('Final Calculation Sheet'!$W$4:$W$40,$AL$80)="","",INDEX('Final Calculation Sheet'!$W$4:$W$40,$AL$80)))</f>
        <v/>
      </c>
      <c r="Y80" s="122">
        <f>IF($AL$80="","",IF(INDEX('Final Calculation Sheet'!$X$4:$X$40,$AL$80)="","",INDEX('Final Calculation Sheet'!$X$4:$X$40,$AL$80)))</f>
        <v/>
      </c>
      <c r="Z80" s="122">
        <f>IF($AL$80="","",IF(INDEX('Final Calculation Sheet'!$Y$4:$Y$40,$AL$80)="","",INDEX('Final Calculation Sheet'!$Y$4:$Y$40,$AL$80)))</f>
        <v/>
      </c>
      <c r="AA80" s="122">
        <f>IF($AL$80="","",IF(INDEX('Final Calculation Sheet'!$Z$4:$Z$40,$AL$80)="","",INDEX('Final Calculation Sheet'!$Z$4:$Z$40,$AL$80)))</f>
        <v/>
      </c>
      <c r="AB80" s="122">
        <f>IF($AL$80="","",IF(INDEX('Final Calculation Sheet'!$AA$4:$AA$40,$AL$80)="","",INDEX('Final Calculation Sheet'!$AA$4:$AA$40,$AL$80)))</f>
        <v/>
      </c>
      <c r="AC80" s="122">
        <f>IF($AL$80="","",IF(INDEX('Final Calculation Sheet'!$AB$4:$AB$40,$AL$80)="","",INDEX('Final Calculation Sheet'!$AB$4:$AB$40,$AL$80)))</f>
        <v/>
      </c>
      <c r="AD80" s="122">
        <f>IF($AL$80="","",IF(INDEX('Final Calculation Sheet'!$AC$4:$AC$40,$AL$80)="","",INDEX('Final Calculation Sheet'!$AC$4:$AC$40,$AL$80)))</f>
        <v/>
      </c>
      <c r="AE80" s="122">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f>IF(COUNTIF($B$4:$AI$4,"&lt;&gt;")=0,"",IFERROR(MATCH(21,$AK$6:$AK$42,0),""))</f>
        <v/>
      </c>
    </row>
    <row r="81">
      <c r="A81" s="128">
        <f>IF($AL$81="","",22)</f>
        <v/>
      </c>
      <c r="B81" s="129">
        <f>IF($AL$81="","",IF(INDEX('Final Calculation Sheet'!$F$4:$F$40,$AL$81)="","",INDEX('Final Calculation Sheet'!$F$4:$F$40,$AL$81)))</f>
        <v/>
      </c>
      <c r="C81" s="129">
        <f>IF($AL$81="","",IF(INDEX('Final Calculation Sheet'!$G$4:$G$40,$AL$81)="","",INDEX('Final Calculation Sheet'!$G$4:$G$40,$AL$81)))</f>
        <v/>
      </c>
      <c r="D81" s="130">
        <f>IF($AL$81="","",IF(INDEX('Final Calculation Sheet'!$B$4:$B$40,$AL$81)="","",INDEX('Final Calculation Sheet'!$B$4:$B$40,$AL$81)))</f>
        <v/>
      </c>
      <c r="E81" s="130">
        <f>IF($AL$81="","",IF(INDEX('Final Calculation Sheet'!$D$4:$D$40,$AL$81)="","",INDEX('Final Calculation Sheet'!$D$4:$D$40,$AL$81)))</f>
        <v/>
      </c>
      <c r="F81" s="130">
        <f>IF($AL$81="","",IF(INDEX('Final Calculation Sheet'!$A$4:$A$40,$AL$81)="","",INDEX('Final Calculation Sheet'!$A$4:$A$40,$AL$81)))</f>
        <v/>
      </c>
      <c r="G81" s="130">
        <f>IF($AL$81="","",IF(INDEX('Final Calculation Sheet'!$E$4:$E$40,$AL$81)="","",INDEX('Final Calculation Sheet'!$E$4:$E$40,$AL$81)))</f>
        <v/>
      </c>
      <c r="H81" s="131">
        <f>IF($AL$81="","",IF(INDEX('Final Calculation Sheet'!$C$4:$C$40,$AL$81)="","",INDEX('Final Calculation Sheet'!$C$4:$C$40,$AL$81)))</f>
        <v/>
      </c>
      <c r="I81" s="131">
        <f>IF($AL$81="","",IF(INDEX('Final Calculation Sheet'!$H$4:$H$40,$AL$81)="","",INDEX('Final Calculation Sheet'!$H$4:$H$40,$AL$81)))</f>
        <v/>
      </c>
      <c r="J81" s="131">
        <f>IF($AL$81="","",IF(INDEX('Final Calculation Sheet'!$I$4:$I$40,$AL$81)="","",INDEX('Final Calculation Sheet'!$I$4:$I$40,$AL$81)))</f>
        <v/>
      </c>
      <c r="K81" s="131">
        <f>IF($AL$81="","",IF(INDEX('Final Calculation Sheet'!$J$4:$J$40,$AL$81)="","",INDEX('Final Calculation Sheet'!$J$4:$J$40,$AL$81)))</f>
        <v/>
      </c>
      <c r="L81" s="131">
        <f>IF($AL$81="","",IF(INDEX('Final Calculation Sheet'!$K$4:$K$40,$AL$81)="","",INDEX('Final Calculation Sheet'!$K$4:$K$40,$AL$81)))</f>
        <v/>
      </c>
      <c r="M81" s="131">
        <f>IF($AL$81="","",IF(INDEX('Final Calculation Sheet'!$L$4:$L$40,$AL$81)="","",INDEX('Final Calculation Sheet'!$L$4:$L$40,$AL$81)))</f>
        <v/>
      </c>
      <c r="N81" s="131">
        <f>IF($AL$81="","",IF(INDEX('Final Calculation Sheet'!$M$4:$M$40,$AL$81)="","",INDEX('Final Calculation Sheet'!$M$4:$M$40,$AL$81)))</f>
        <v/>
      </c>
      <c r="O81" s="132">
        <f>IF($AL$81="","",IF(INDEX('Final Calculation Sheet'!$N$4:$N$40,$AL$81)="","",INDEX('Final Calculation Sheet'!$N$4:$N$40,$AL$81)))</f>
        <v/>
      </c>
      <c r="P81" s="131">
        <f>IF($AL$81="","",IF(INDEX('Final Calculation Sheet'!$O$4:$O$40,$AL$81)="","",INDEX('Final Calculation Sheet'!$O$4:$O$40,$AL$81)))</f>
        <v/>
      </c>
      <c r="Q81" s="131">
        <f>IF($AL$81="","",IF(INDEX('Final Calculation Sheet'!$P$4:$P$40,$AL$81)="","",INDEX('Final Calculation Sheet'!$P$4:$P$40,$AL$81)))</f>
        <v/>
      </c>
      <c r="R81" s="133">
        <f>IF($AL$81="","",IF(INDEX('Final Calculation Sheet'!$Q$4:$Q$40,$AL$81)="","",INDEX('Final Calculation Sheet'!$Q$4:$Q$40,$AL$81)))</f>
        <v/>
      </c>
      <c r="S81" s="131">
        <f>IF($AL$81="","",IF(INDEX('Final Calculation Sheet'!$R$4:$R$40,$AL$81)="","",INDEX('Final Calculation Sheet'!$R$4:$R$40,$AL$81)))</f>
        <v/>
      </c>
      <c r="T81" s="131">
        <f>IF($AL$81="","",IF(INDEX('Final Calculation Sheet'!$S$4:$S$40,$AL$81)="","",INDEX('Final Calculation Sheet'!$S$4:$S$40,$AL$81)))</f>
        <v/>
      </c>
      <c r="U81" s="131">
        <f>IF($AL$81="","",IF(INDEX('Final Calculation Sheet'!$T$4:$T$40,$AL$81)="","",INDEX('Final Calculation Sheet'!$T$4:$T$40,$AL$81)))</f>
        <v/>
      </c>
      <c r="V81" s="134">
        <f>IF($AL$81="","",IF(INDEX('Final Calculation Sheet'!$U$4:$U$40,$AL$81)="","",INDEX('Final Calculation Sheet'!$U$4:$U$40,$AL$81)))</f>
        <v/>
      </c>
      <c r="W81" s="131">
        <f>IF($AL$81="","",IF(INDEX('Final Calculation Sheet'!$V$4:$V$40,$AL$81)="","",INDEX('Final Calculation Sheet'!$V$4:$V$40,$AL$81)))</f>
        <v/>
      </c>
      <c r="X81" s="131">
        <f>IF($AL$81="","",IF(INDEX('Final Calculation Sheet'!$W$4:$W$40,$AL$81)="","",INDEX('Final Calculation Sheet'!$W$4:$W$40,$AL$81)))</f>
        <v/>
      </c>
      <c r="Y81" s="131">
        <f>IF($AL$81="","",IF(INDEX('Final Calculation Sheet'!$X$4:$X$40,$AL$81)="","",INDEX('Final Calculation Sheet'!$X$4:$X$40,$AL$81)))</f>
        <v/>
      </c>
      <c r="Z81" s="131">
        <f>IF($AL$81="","",IF(INDEX('Final Calculation Sheet'!$Y$4:$Y$40,$AL$81)="","",INDEX('Final Calculation Sheet'!$Y$4:$Y$40,$AL$81)))</f>
        <v/>
      </c>
      <c r="AA81" s="131">
        <f>IF($AL$81="","",IF(INDEX('Final Calculation Sheet'!$Z$4:$Z$40,$AL$81)="","",INDEX('Final Calculation Sheet'!$Z$4:$Z$40,$AL$81)))</f>
        <v/>
      </c>
      <c r="AB81" s="131">
        <f>IF($AL$81="","",IF(INDEX('Final Calculation Sheet'!$AA$4:$AA$40,$AL$81)="","",INDEX('Final Calculation Sheet'!$AA$4:$AA$40,$AL$81)))</f>
        <v/>
      </c>
      <c r="AC81" s="131">
        <f>IF($AL$81="","",IF(INDEX('Final Calculation Sheet'!$AB$4:$AB$40,$AL$81)="","",INDEX('Final Calculation Sheet'!$AB$4:$AB$40,$AL$81)))</f>
        <v/>
      </c>
      <c r="AD81" s="131">
        <f>IF($AL$81="","",IF(INDEX('Final Calculation Sheet'!$AC$4:$AC$40,$AL$81)="","",INDEX('Final Calculation Sheet'!$AC$4:$AC$40,$AL$81)))</f>
        <v/>
      </c>
      <c r="AE81" s="131">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f>IF(COUNTIF($B$4:$AI$4,"&lt;&gt;")=0,"",IFERROR(MATCH(22,$AK$6:$AK$42,0),""))</f>
        <v/>
      </c>
    </row>
    <row r="82">
      <c r="A82" s="118">
        <f>IF($AL$82="","",23)</f>
        <v/>
      </c>
      <c r="B82" s="119">
        <f>IF($AL$82="","",IF(INDEX('Final Calculation Sheet'!$F$4:$F$40,$AL$82)="","",INDEX('Final Calculation Sheet'!$F$4:$F$40,$AL$82)))</f>
        <v/>
      </c>
      <c r="C82" s="119">
        <f>IF($AL$82="","",IF(INDEX('Final Calculation Sheet'!$G$4:$G$40,$AL$82)="","",INDEX('Final Calculation Sheet'!$G$4:$G$40,$AL$82)))</f>
        <v/>
      </c>
      <c r="D82" s="121">
        <f>IF($AL$82="","",IF(INDEX('Final Calculation Sheet'!$B$4:$B$40,$AL$82)="","",INDEX('Final Calculation Sheet'!$B$4:$B$40,$AL$82)))</f>
        <v/>
      </c>
      <c r="E82" s="121">
        <f>IF($AL$82="","",IF(INDEX('Final Calculation Sheet'!$D$4:$D$40,$AL$82)="","",INDEX('Final Calculation Sheet'!$D$4:$D$40,$AL$82)))</f>
        <v/>
      </c>
      <c r="F82" s="121">
        <f>IF($AL$82="","",IF(INDEX('Final Calculation Sheet'!$A$4:$A$40,$AL$82)="","",INDEX('Final Calculation Sheet'!$A$4:$A$40,$AL$82)))</f>
        <v/>
      </c>
      <c r="G82" s="121">
        <f>IF($AL$82="","",IF(INDEX('Final Calculation Sheet'!$E$4:$E$40,$AL$82)="","",INDEX('Final Calculation Sheet'!$E$4:$E$40,$AL$82)))</f>
        <v/>
      </c>
      <c r="H82" s="122">
        <f>IF($AL$82="","",IF(INDEX('Final Calculation Sheet'!$C$4:$C$40,$AL$82)="","",INDEX('Final Calculation Sheet'!$C$4:$C$40,$AL$82)))</f>
        <v/>
      </c>
      <c r="I82" s="122">
        <f>IF($AL$82="","",IF(INDEX('Final Calculation Sheet'!$H$4:$H$40,$AL$82)="","",INDEX('Final Calculation Sheet'!$H$4:$H$40,$AL$82)))</f>
        <v/>
      </c>
      <c r="J82" s="122">
        <f>IF($AL$82="","",IF(INDEX('Final Calculation Sheet'!$I$4:$I$40,$AL$82)="","",INDEX('Final Calculation Sheet'!$I$4:$I$40,$AL$82)))</f>
        <v/>
      </c>
      <c r="K82" s="122">
        <f>IF($AL$82="","",IF(INDEX('Final Calculation Sheet'!$J$4:$J$40,$AL$82)="","",INDEX('Final Calculation Sheet'!$J$4:$J$40,$AL$82)))</f>
        <v/>
      </c>
      <c r="L82" s="122">
        <f>IF($AL$82="","",IF(INDEX('Final Calculation Sheet'!$K$4:$K$40,$AL$82)="","",INDEX('Final Calculation Sheet'!$K$4:$K$40,$AL$82)))</f>
        <v/>
      </c>
      <c r="M82" s="122">
        <f>IF($AL$82="","",IF(INDEX('Final Calculation Sheet'!$L$4:$L$40,$AL$82)="","",INDEX('Final Calculation Sheet'!$L$4:$L$40,$AL$82)))</f>
        <v/>
      </c>
      <c r="N82" s="122">
        <f>IF($AL$82="","",IF(INDEX('Final Calculation Sheet'!$M$4:$M$40,$AL$82)="","",INDEX('Final Calculation Sheet'!$M$4:$M$40,$AL$82)))</f>
        <v/>
      </c>
      <c r="O82" s="123">
        <f>IF($AL$82="","",IF(INDEX('Final Calculation Sheet'!$N$4:$N$40,$AL$82)="","",INDEX('Final Calculation Sheet'!$N$4:$N$40,$AL$82)))</f>
        <v/>
      </c>
      <c r="P82" s="122">
        <f>IF($AL$82="","",IF(INDEX('Final Calculation Sheet'!$O$4:$O$40,$AL$82)="","",INDEX('Final Calculation Sheet'!$O$4:$O$40,$AL$82)))</f>
        <v/>
      </c>
      <c r="Q82" s="122">
        <f>IF($AL$82="","",IF(INDEX('Final Calculation Sheet'!$P$4:$P$40,$AL$82)="","",INDEX('Final Calculation Sheet'!$P$4:$P$40,$AL$82)))</f>
        <v/>
      </c>
      <c r="R82" s="124">
        <f>IF($AL$82="","",IF(INDEX('Final Calculation Sheet'!$Q$4:$Q$40,$AL$82)="","",INDEX('Final Calculation Sheet'!$Q$4:$Q$40,$AL$82)))</f>
        <v/>
      </c>
      <c r="S82" s="122">
        <f>IF($AL$82="","",IF(INDEX('Final Calculation Sheet'!$R$4:$R$40,$AL$82)="","",INDEX('Final Calculation Sheet'!$R$4:$R$40,$AL$82)))</f>
        <v/>
      </c>
      <c r="T82" s="122">
        <f>IF($AL$82="","",IF(INDEX('Final Calculation Sheet'!$S$4:$S$40,$AL$82)="","",INDEX('Final Calculation Sheet'!$S$4:$S$40,$AL$82)))</f>
        <v/>
      </c>
      <c r="U82" s="122">
        <f>IF($AL$82="","",IF(INDEX('Final Calculation Sheet'!$T$4:$T$40,$AL$82)="","",INDEX('Final Calculation Sheet'!$T$4:$T$40,$AL$82)))</f>
        <v/>
      </c>
      <c r="V82" s="125">
        <f>IF($AL$82="","",IF(INDEX('Final Calculation Sheet'!$U$4:$U$40,$AL$82)="","",INDEX('Final Calculation Sheet'!$U$4:$U$40,$AL$82)))</f>
        <v/>
      </c>
      <c r="W82" s="122">
        <f>IF($AL$82="","",IF(INDEX('Final Calculation Sheet'!$V$4:$V$40,$AL$82)="","",INDEX('Final Calculation Sheet'!$V$4:$V$40,$AL$82)))</f>
        <v/>
      </c>
      <c r="X82" s="122">
        <f>IF($AL$82="","",IF(INDEX('Final Calculation Sheet'!$W$4:$W$40,$AL$82)="","",INDEX('Final Calculation Sheet'!$W$4:$W$40,$AL$82)))</f>
        <v/>
      </c>
      <c r="Y82" s="122">
        <f>IF($AL$82="","",IF(INDEX('Final Calculation Sheet'!$X$4:$X$40,$AL$82)="","",INDEX('Final Calculation Sheet'!$X$4:$X$40,$AL$82)))</f>
        <v/>
      </c>
      <c r="Z82" s="122">
        <f>IF($AL$82="","",IF(INDEX('Final Calculation Sheet'!$Y$4:$Y$40,$AL$82)="","",INDEX('Final Calculation Sheet'!$Y$4:$Y$40,$AL$82)))</f>
        <v/>
      </c>
      <c r="AA82" s="122">
        <f>IF($AL$82="","",IF(INDEX('Final Calculation Sheet'!$Z$4:$Z$40,$AL$82)="","",INDEX('Final Calculation Sheet'!$Z$4:$Z$40,$AL$82)))</f>
        <v/>
      </c>
      <c r="AB82" s="122">
        <f>IF($AL$82="","",IF(INDEX('Final Calculation Sheet'!$AA$4:$AA$40,$AL$82)="","",INDEX('Final Calculation Sheet'!$AA$4:$AA$40,$AL$82)))</f>
        <v/>
      </c>
      <c r="AC82" s="122">
        <f>IF($AL$82="","",IF(INDEX('Final Calculation Sheet'!$AB$4:$AB$40,$AL$82)="","",INDEX('Final Calculation Sheet'!$AB$4:$AB$40,$AL$82)))</f>
        <v/>
      </c>
      <c r="AD82" s="122">
        <f>IF($AL$82="","",IF(INDEX('Final Calculation Sheet'!$AC$4:$AC$40,$AL$82)="","",INDEX('Final Calculation Sheet'!$AC$4:$AC$40,$AL$82)))</f>
        <v/>
      </c>
      <c r="AE82" s="122">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f>IF(COUNTIF($B$4:$AI$4,"&lt;&gt;")=0,"",IFERROR(MATCH(23,$AK$6:$AK$42,0),""))</f>
        <v/>
      </c>
    </row>
    <row r="83">
      <c r="A83" s="128">
        <f>IF($AL$83="","",24)</f>
        <v/>
      </c>
      <c r="B83" s="129">
        <f>IF($AL$83="","",IF(INDEX('Final Calculation Sheet'!$F$4:$F$40,$AL$83)="","",INDEX('Final Calculation Sheet'!$F$4:$F$40,$AL$83)))</f>
        <v/>
      </c>
      <c r="C83" s="129">
        <f>IF($AL$83="","",IF(INDEX('Final Calculation Sheet'!$G$4:$G$40,$AL$83)="","",INDEX('Final Calculation Sheet'!$G$4:$G$40,$AL$83)))</f>
        <v/>
      </c>
      <c r="D83" s="130">
        <f>IF($AL$83="","",IF(INDEX('Final Calculation Sheet'!$B$4:$B$40,$AL$83)="","",INDEX('Final Calculation Sheet'!$B$4:$B$40,$AL$83)))</f>
        <v/>
      </c>
      <c r="E83" s="130">
        <f>IF($AL$83="","",IF(INDEX('Final Calculation Sheet'!$D$4:$D$40,$AL$83)="","",INDEX('Final Calculation Sheet'!$D$4:$D$40,$AL$83)))</f>
        <v/>
      </c>
      <c r="F83" s="130">
        <f>IF($AL$83="","",IF(INDEX('Final Calculation Sheet'!$A$4:$A$40,$AL$83)="","",INDEX('Final Calculation Sheet'!$A$4:$A$40,$AL$83)))</f>
        <v/>
      </c>
      <c r="G83" s="130">
        <f>IF($AL$83="","",IF(INDEX('Final Calculation Sheet'!$E$4:$E$40,$AL$83)="","",INDEX('Final Calculation Sheet'!$E$4:$E$40,$AL$83)))</f>
        <v/>
      </c>
      <c r="H83" s="131">
        <f>IF($AL$83="","",IF(INDEX('Final Calculation Sheet'!$C$4:$C$40,$AL$83)="","",INDEX('Final Calculation Sheet'!$C$4:$C$40,$AL$83)))</f>
        <v/>
      </c>
      <c r="I83" s="131">
        <f>IF($AL$83="","",IF(INDEX('Final Calculation Sheet'!$H$4:$H$40,$AL$83)="","",INDEX('Final Calculation Sheet'!$H$4:$H$40,$AL$83)))</f>
        <v/>
      </c>
      <c r="J83" s="131">
        <f>IF($AL$83="","",IF(INDEX('Final Calculation Sheet'!$I$4:$I$40,$AL$83)="","",INDEX('Final Calculation Sheet'!$I$4:$I$40,$AL$83)))</f>
        <v/>
      </c>
      <c r="K83" s="131">
        <f>IF($AL$83="","",IF(INDEX('Final Calculation Sheet'!$J$4:$J$40,$AL$83)="","",INDEX('Final Calculation Sheet'!$J$4:$J$40,$AL$83)))</f>
        <v/>
      </c>
      <c r="L83" s="131">
        <f>IF($AL$83="","",IF(INDEX('Final Calculation Sheet'!$K$4:$K$40,$AL$83)="","",INDEX('Final Calculation Sheet'!$K$4:$K$40,$AL$83)))</f>
        <v/>
      </c>
      <c r="M83" s="131">
        <f>IF($AL$83="","",IF(INDEX('Final Calculation Sheet'!$L$4:$L$40,$AL$83)="","",INDEX('Final Calculation Sheet'!$L$4:$L$40,$AL$83)))</f>
        <v/>
      </c>
      <c r="N83" s="131">
        <f>IF($AL$83="","",IF(INDEX('Final Calculation Sheet'!$M$4:$M$40,$AL$83)="","",INDEX('Final Calculation Sheet'!$M$4:$M$40,$AL$83)))</f>
        <v/>
      </c>
      <c r="O83" s="132">
        <f>IF($AL$83="","",IF(INDEX('Final Calculation Sheet'!$N$4:$N$40,$AL$83)="","",INDEX('Final Calculation Sheet'!$N$4:$N$40,$AL$83)))</f>
        <v/>
      </c>
      <c r="P83" s="131">
        <f>IF($AL$83="","",IF(INDEX('Final Calculation Sheet'!$O$4:$O$40,$AL$83)="","",INDEX('Final Calculation Sheet'!$O$4:$O$40,$AL$83)))</f>
        <v/>
      </c>
      <c r="Q83" s="131">
        <f>IF($AL$83="","",IF(INDEX('Final Calculation Sheet'!$P$4:$P$40,$AL$83)="","",INDEX('Final Calculation Sheet'!$P$4:$P$40,$AL$83)))</f>
        <v/>
      </c>
      <c r="R83" s="133">
        <f>IF($AL$83="","",IF(INDEX('Final Calculation Sheet'!$Q$4:$Q$40,$AL$83)="","",INDEX('Final Calculation Sheet'!$Q$4:$Q$40,$AL$83)))</f>
        <v/>
      </c>
      <c r="S83" s="131">
        <f>IF($AL$83="","",IF(INDEX('Final Calculation Sheet'!$R$4:$R$40,$AL$83)="","",INDEX('Final Calculation Sheet'!$R$4:$R$40,$AL$83)))</f>
        <v/>
      </c>
      <c r="T83" s="131">
        <f>IF($AL$83="","",IF(INDEX('Final Calculation Sheet'!$S$4:$S$40,$AL$83)="","",INDEX('Final Calculation Sheet'!$S$4:$S$40,$AL$83)))</f>
        <v/>
      </c>
      <c r="U83" s="131">
        <f>IF($AL$83="","",IF(INDEX('Final Calculation Sheet'!$T$4:$T$40,$AL$83)="","",INDEX('Final Calculation Sheet'!$T$4:$T$40,$AL$83)))</f>
        <v/>
      </c>
      <c r="V83" s="134">
        <f>IF($AL$83="","",IF(INDEX('Final Calculation Sheet'!$U$4:$U$40,$AL$83)="","",INDEX('Final Calculation Sheet'!$U$4:$U$40,$AL$83)))</f>
        <v/>
      </c>
      <c r="W83" s="131">
        <f>IF($AL$83="","",IF(INDEX('Final Calculation Sheet'!$V$4:$V$40,$AL$83)="","",INDEX('Final Calculation Sheet'!$V$4:$V$40,$AL$83)))</f>
        <v/>
      </c>
      <c r="X83" s="131">
        <f>IF($AL$83="","",IF(INDEX('Final Calculation Sheet'!$W$4:$W$40,$AL$83)="","",INDEX('Final Calculation Sheet'!$W$4:$W$40,$AL$83)))</f>
        <v/>
      </c>
      <c r="Y83" s="131">
        <f>IF($AL$83="","",IF(INDEX('Final Calculation Sheet'!$X$4:$X$40,$AL$83)="","",INDEX('Final Calculation Sheet'!$X$4:$X$40,$AL$83)))</f>
        <v/>
      </c>
      <c r="Z83" s="131">
        <f>IF($AL$83="","",IF(INDEX('Final Calculation Sheet'!$Y$4:$Y$40,$AL$83)="","",INDEX('Final Calculation Sheet'!$Y$4:$Y$40,$AL$83)))</f>
        <v/>
      </c>
      <c r="AA83" s="131">
        <f>IF($AL$83="","",IF(INDEX('Final Calculation Sheet'!$Z$4:$Z$40,$AL$83)="","",INDEX('Final Calculation Sheet'!$Z$4:$Z$40,$AL$83)))</f>
        <v/>
      </c>
      <c r="AB83" s="131">
        <f>IF($AL$83="","",IF(INDEX('Final Calculation Sheet'!$AA$4:$AA$40,$AL$83)="","",INDEX('Final Calculation Sheet'!$AA$4:$AA$40,$AL$83)))</f>
        <v/>
      </c>
      <c r="AC83" s="131">
        <f>IF($AL$83="","",IF(INDEX('Final Calculation Sheet'!$AB$4:$AB$40,$AL$83)="","",INDEX('Final Calculation Sheet'!$AB$4:$AB$40,$AL$83)))</f>
        <v/>
      </c>
      <c r="AD83" s="131">
        <f>IF($AL$83="","",IF(INDEX('Final Calculation Sheet'!$AC$4:$AC$40,$AL$83)="","",INDEX('Final Calculation Sheet'!$AC$4:$AC$40,$AL$83)))</f>
        <v/>
      </c>
      <c r="AE83" s="131">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f>IF(COUNTIF($B$4:$AI$4,"&lt;&gt;")=0,"",IFERROR(MATCH(24,$AK$6:$AK$42,0),""))</f>
        <v/>
      </c>
    </row>
    <row r="84">
      <c r="A84" s="118">
        <f>IF($AL$84="","",25)</f>
        <v/>
      </c>
      <c r="B84" s="119">
        <f>IF($AL$84="","",IF(INDEX('Final Calculation Sheet'!$F$4:$F$40,$AL$84)="","",INDEX('Final Calculation Sheet'!$F$4:$F$40,$AL$84)))</f>
        <v/>
      </c>
      <c r="C84" s="119">
        <f>IF($AL$84="","",IF(INDEX('Final Calculation Sheet'!$G$4:$G$40,$AL$84)="","",INDEX('Final Calculation Sheet'!$G$4:$G$40,$AL$84)))</f>
        <v/>
      </c>
      <c r="D84" s="121">
        <f>IF($AL$84="","",IF(INDEX('Final Calculation Sheet'!$B$4:$B$40,$AL$84)="","",INDEX('Final Calculation Sheet'!$B$4:$B$40,$AL$84)))</f>
        <v/>
      </c>
      <c r="E84" s="121">
        <f>IF($AL$84="","",IF(INDEX('Final Calculation Sheet'!$D$4:$D$40,$AL$84)="","",INDEX('Final Calculation Sheet'!$D$4:$D$40,$AL$84)))</f>
        <v/>
      </c>
      <c r="F84" s="121">
        <f>IF($AL$84="","",IF(INDEX('Final Calculation Sheet'!$A$4:$A$40,$AL$84)="","",INDEX('Final Calculation Sheet'!$A$4:$A$40,$AL$84)))</f>
        <v/>
      </c>
      <c r="G84" s="121">
        <f>IF($AL$84="","",IF(INDEX('Final Calculation Sheet'!$E$4:$E$40,$AL$84)="","",INDEX('Final Calculation Sheet'!$E$4:$E$40,$AL$84)))</f>
        <v/>
      </c>
      <c r="H84" s="122">
        <f>IF($AL$84="","",IF(INDEX('Final Calculation Sheet'!$C$4:$C$40,$AL$84)="","",INDEX('Final Calculation Sheet'!$C$4:$C$40,$AL$84)))</f>
        <v/>
      </c>
      <c r="I84" s="122">
        <f>IF($AL$84="","",IF(INDEX('Final Calculation Sheet'!$H$4:$H$40,$AL$84)="","",INDEX('Final Calculation Sheet'!$H$4:$H$40,$AL$84)))</f>
        <v/>
      </c>
      <c r="J84" s="122">
        <f>IF($AL$84="","",IF(INDEX('Final Calculation Sheet'!$I$4:$I$40,$AL$84)="","",INDEX('Final Calculation Sheet'!$I$4:$I$40,$AL$84)))</f>
        <v/>
      </c>
      <c r="K84" s="122">
        <f>IF($AL$84="","",IF(INDEX('Final Calculation Sheet'!$J$4:$J$40,$AL$84)="","",INDEX('Final Calculation Sheet'!$J$4:$J$40,$AL$84)))</f>
        <v/>
      </c>
      <c r="L84" s="122">
        <f>IF($AL$84="","",IF(INDEX('Final Calculation Sheet'!$K$4:$K$40,$AL$84)="","",INDEX('Final Calculation Sheet'!$K$4:$K$40,$AL$84)))</f>
        <v/>
      </c>
      <c r="M84" s="122">
        <f>IF($AL$84="","",IF(INDEX('Final Calculation Sheet'!$L$4:$L$40,$AL$84)="","",INDEX('Final Calculation Sheet'!$L$4:$L$40,$AL$84)))</f>
        <v/>
      </c>
      <c r="N84" s="122">
        <f>IF($AL$84="","",IF(INDEX('Final Calculation Sheet'!$M$4:$M$40,$AL$84)="","",INDEX('Final Calculation Sheet'!$M$4:$M$40,$AL$84)))</f>
        <v/>
      </c>
      <c r="O84" s="123">
        <f>IF($AL$84="","",IF(INDEX('Final Calculation Sheet'!$N$4:$N$40,$AL$84)="","",INDEX('Final Calculation Sheet'!$N$4:$N$40,$AL$84)))</f>
        <v/>
      </c>
      <c r="P84" s="122">
        <f>IF($AL$84="","",IF(INDEX('Final Calculation Sheet'!$O$4:$O$40,$AL$84)="","",INDEX('Final Calculation Sheet'!$O$4:$O$40,$AL$84)))</f>
        <v/>
      </c>
      <c r="Q84" s="122">
        <f>IF($AL$84="","",IF(INDEX('Final Calculation Sheet'!$P$4:$P$40,$AL$84)="","",INDEX('Final Calculation Sheet'!$P$4:$P$40,$AL$84)))</f>
        <v/>
      </c>
      <c r="R84" s="124">
        <f>IF($AL$84="","",IF(INDEX('Final Calculation Sheet'!$Q$4:$Q$40,$AL$84)="","",INDEX('Final Calculation Sheet'!$Q$4:$Q$40,$AL$84)))</f>
        <v/>
      </c>
      <c r="S84" s="122">
        <f>IF($AL$84="","",IF(INDEX('Final Calculation Sheet'!$R$4:$R$40,$AL$84)="","",INDEX('Final Calculation Sheet'!$R$4:$R$40,$AL$84)))</f>
        <v/>
      </c>
      <c r="T84" s="122">
        <f>IF($AL$84="","",IF(INDEX('Final Calculation Sheet'!$S$4:$S$40,$AL$84)="","",INDEX('Final Calculation Sheet'!$S$4:$S$40,$AL$84)))</f>
        <v/>
      </c>
      <c r="U84" s="122">
        <f>IF($AL$84="","",IF(INDEX('Final Calculation Sheet'!$T$4:$T$40,$AL$84)="","",INDEX('Final Calculation Sheet'!$T$4:$T$40,$AL$84)))</f>
        <v/>
      </c>
      <c r="V84" s="125">
        <f>IF($AL$84="","",IF(INDEX('Final Calculation Sheet'!$U$4:$U$40,$AL$84)="","",INDEX('Final Calculation Sheet'!$U$4:$U$40,$AL$84)))</f>
        <v/>
      </c>
      <c r="W84" s="122">
        <f>IF($AL$84="","",IF(INDEX('Final Calculation Sheet'!$V$4:$V$40,$AL$84)="","",INDEX('Final Calculation Sheet'!$V$4:$V$40,$AL$84)))</f>
        <v/>
      </c>
      <c r="X84" s="122">
        <f>IF($AL$84="","",IF(INDEX('Final Calculation Sheet'!$W$4:$W$40,$AL$84)="","",INDEX('Final Calculation Sheet'!$W$4:$W$40,$AL$84)))</f>
        <v/>
      </c>
      <c r="Y84" s="122">
        <f>IF($AL$84="","",IF(INDEX('Final Calculation Sheet'!$X$4:$X$40,$AL$84)="","",INDEX('Final Calculation Sheet'!$X$4:$X$40,$AL$84)))</f>
        <v/>
      </c>
      <c r="Z84" s="122">
        <f>IF($AL$84="","",IF(INDEX('Final Calculation Sheet'!$Y$4:$Y$40,$AL$84)="","",INDEX('Final Calculation Sheet'!$Y$4:$Y$40,$AL$84)))</f>
        <v/>
      </c>
      <c r="AA84" s="122">
        <f>IF($AL$84="","",IF(INDEX('Final Calculation Sheet'!$Z$4:$Z$40,$AL$84)="","",INDEX('Final Calculation Sheet'!$Z$4:$Z$40,$AL$84)))</f>
        <v/>
      </c>
      <c r="AB84" s="122">
        <f>IF($AL$84="","",IF(INDEX('Final Calculation Sheet'!$AA$4:$AA$40,$AL$84)="","",INDEX('Final Calculation Sheet'!$AA$4:$AA$40,$AL$84)))</f>
        <v/>
      </c>
      <c r="AC84" s="122">
        <f>IF($AL$84="","",IF(INDEX('Final Calculation Sheet'!$AB$4:$AB$40,$AL$84)="","",INDEX('Final Calculation Sheet'!$AB$4:$AB$40,$AL$84)))</f>
        <v/>
      </c>
      <c r="AD84" s="122">
        <f>IF($AL$84="","",IF(INDEX('Final Calculation Sheet'!$AC$4:$AC$40,$AL$84)="","",INDEX('Final Calculation Sheet'!$AC$4:$AC$40,$AL$84)))</f>
        <v/>
      </c>
      <c r="AE84" s="122">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f>IF(COUNTIF($B$4:$AI$4,"&lt;&gt;")=0,"",IFERROR(MATCH(25,$AK$6:$AK$42,0),""))</f>
        <v/>
      </c>
    </row>
    <row r="85">
      <c r="A85" s="128">
        <f>IF($AL$85="","",26)</f>
        <v/>
      </c>
      <c r="B85" s="129">
        <f>IF($AL$85="","",IF(INDEX('Final Calculation Sheet'!$F$4:$F$40,$AL$85)="","",INDEX('Final Calculation Sheet'!$F$4:$F$40,$AL$85)))</f>
        <v/>
      </c>
      <c r="C85" s="129">
        <f>IF($AL$85="","",IF(INDEX('Final Calculation Sheet'!$G$4:$G$40,$AL$85)="","",INDEX('Final Calculation Sheet'!$G$4:$G$40,$AL$85)))</f>
        <v/>
      </c>
      <c r="D85" s="130">
        <f>IF($AL$85="","",IF(INDEX('Final Calculation Sheet'!$B$4:$B$40,$AL$85)="","",INDEX('Final Calculation Sheet'!$B$4:$B$40,$AL$85)))</f>
        <v/>
      </c>
      <c r="E85" s="130">
        <f>IF($AL$85="","",IF(INDEX('Final Calculation Sheet'!$D$4:$D$40,$AL$85)="","",INDEX('Final Calculation Sheet'!$D$4:$D$40,$AL$85)))</f>
        <v/>
      </c>
      <c r="F85" s="130">
        <f>IF($AL$85="","",IF(INDEX('Final Calculation Sheet'!$A$4:$A$40,$AL$85)="","",INDEX('Final Calculation Sheet'!$A$4:$A$40,$AL$85)))</f>
        <v/>
      </c>
      <c r="G85" s="130">
        <f>IF($AL$85="","",IF(INDEX('Final Calculation Sheet'!$E$4:$E$40,$AL$85)="","",INDEX('Final Calculation Sheet'!$E$4:$E$40,$AL$85)))</f>
        <v/>
      </c>
      <c r="H85" s="131">
        <f>IF($AL$85="","",IF(INDEX('Final Calculation Sheet'!$C$4:$C$40,$AL$85)="","",INDEX('Final Calculation Sheet'!$C$4:$C$40,$AL$85)))</f>
        <v/>
      </c>
      <c r="I85" s="131">
        <f>IF($AL$85="","",IF(INDEX('Final Calculation Sheet'!$H$4:$H$40,$AL$85)="","",INDEX('Final Calculation Sheet'!$H$4:$H$40,$AL$85)))</f>
        <v/>
      </c>
      <c r="J85" s="131">
        <f>IF($AL$85="","",IF(INDEX('Final Calculation Sheet'!$I$4:$I$40,$AL$85)="","",INDEX('Final Calculation Sheet'!$I$4:$I$40,$AL$85)))</f>
        <v/>
      </c>
      <c r="K85" s="131">
        <f>IF($AL$85="","",IF(INDEX('Final Calculation Sheet'!$J$4:$J$40,$AL$85)="","",INDEX('Final Calculation Sheet'!$J$4:$J$40,$AL$85)))</f>
        <v/>
      </c>
      <c r="L85" s="131">
        <f>IF($AL$85="","",IF(INDEX('Final Calculation Sheet'!$K$4:$K$40,$AL$85)="","",INDEX('Final Calculation Sheet'!$K$4:$K$40,$AL$85)))</f>
        <v/>
      </c>
      <c r="M85" s="131">
        <f>IF($AL$85="","",IF(INDEX('Final Calculation Sheet'!$L$4:$L$40,$AL$85)="","",INDEX('Final Calculation Sheet'!$L$4:$L$40,$AL$85)))</f>
        <v/>
      </c>
      <c r="N85" s="131">
        <f>IF($AL$85="","",IF(INDEX('Final Calculation Sheet'!$M$4:$M$40,$AL$85)="","",INDEX('Final Calculation Sheet'!$M$4:$M$40,$AL$85)))</f>
        <v/>
      </c>
      <c r="O85" s="132">
        <f>IF($AL$85="","",IF(INDEX('Final Calculation Sheet'!$N$4:$N$40,$AL$85)="","",INDEX('Final Calculation Sheet'!$N$4:$N$40,$AL$85)))</f>
        <v/>
      </c>
      <c r="P85" s="131">
        <f>IF($AL$85="","",IF(INDEX('Final Calculation Sheet'!$O$4:$O$40,$AL$85)="","",INDEX('Final Calculation Sheet'!$O$4:$O$40,$AL$85)))</f>
        <v/>
      </c>
      <c r="Q85" s="131">
        <f>IF($AL$85="","",IF(INDEX('Final Calculation Sheet'!$P$4:$P$40,$AL$85)="","",INDEX('Final Calculation Sheet'!$P$4:$P$40,$AL$85)))</f>
        <v/>
      </c>
      <c r="R85" s="133">
        <f>IF($AL$85="","",IF(INDEX('Final Calculation Sheet'!$Q$4:$Q$40,$AL$85)="","",INDEX('Final Calculation Sheet'!$Q$4:$Q$40,$AL$85)))</f>
        <v/>
      </c>
      <c r="S85" s="131">
        <f>IF($AL$85="","",IF(INDEX('Final Calculation Sheet'!$R$4:$R$40,$AL$85)="","",INDEX('Final Calculation Sheet'!$R$4:$R$40,$AL$85)))</f>
        <v/>
      </c>
      <c r="T85" s="131">
        <f>IF($AL$85="","",IF(INDEX('Final Calculation Sheet'!$S$4:$S$40,$AL$85)="","",INDEX('Final Calculation Sheet'!$S$4:$S$40,$AL$85)))</f>
        <v/>
      </c>
      <c r="U85" s="131">
        <f>IF($AL$85="","",IF(INDEX('Final Calculation Sheet'!$T$4:$T$40,$AL$85)="","",INDEX('Final Calculation Sheet'!$T$4:$T$40,$AL$85)))</f>
        <v/>
      </c>
      <c r="V85" s="134">
        <f>IF($AL$85="","",IF(INDEX('Final Calculation Sheet'!$U$4:$U$40,$AL$85)="","",INDEX('Final Calculation Sheet'!$U$4:$U$40,$AL$85)))</f>
        <v/>
      </c>
      <c r="W85" s="131">
        <f>IF($AL$85="","",IF(INDEX('Final Calculation Sheet'!$V$4:$V$40,$AL$85)="","",INDEX('Final Calculation Sheet'!$V$4:$V$40,$AL$85)))</f>
        <v/>
      </c>
      <c r="X85" s="131">
        <f>IF($AL$85="","",IF(INDEX('Final Calculation Sheet'!$W$4:$W$40,$AL$85)="","",INDEX('Final Calculation Sheet'!$W$4:$W$40,$AL$85)))</f>
        <v/>
      </c>
      <c r="Y85" s="131">
        <f>IF($AL$85="","",IF(INDEX('Final Calculation Sheet'!$X$4:$X$40,$AL$85)="","",INDEX('Final Calculation Sheet'!$X$4:$X$40,$AL$85)))</f>
        <v/>
      </c>
      <c r="Z85" s="131">
        <f>IF($AL$85="","",IF(INDEX('Final Calculation Sheet'!$Y$4:$Y$40,$AL$85)="","",INDEX('Final Calculation Sheet'!$Y$4:$Y$40,$AL$85)))</f>
        <v/>
      </c>
      <c r="AA85" s="131">
        <f>IF($AL$85="","",IF(INDEX('Final Calculation Sheet'!$Z$4:$Z$40,$AL$85)="","",INDEX('Final Calculation Sheet'!$Z$4:$Z$40,$AL$85)))</f>
        <v/>
      </c>
      <c r="AB85" s="131">
        <f>IF($AL$85="","",IF(INDEX('Final Calculation Sheet'!$AA$4:$AA$40,$AL$85)="","",INDEX('Final Calculation Sheet'!$AA$4:$AA$40,$AL$85)))</f>
        <v/>
      </c>
      <c r="AC85" s="131">
        <f>IF($AL$85="","",IF(INDEX('Final Calculation Sheet'!$AB$4:$AB$40,$AL$85)="","",INDEX('Final Calculation Sheet'!$AB$4:$AB$40,$AL$85)))</f>
        <v/>
      </c>
      <c r="AD85" s="131">
        <f>IF($AL$85="","",IF(INDEX('Final Calculation Sheet'!$AC$4:$AC$40,$AL$85)="","",INDEX('Final Calculation Sheet'!$AC$4:$AC$40,$AL$85)))</f>
        <v/>
      </c>
      <c r="AE85" s="131">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f>IF(COUNTIF($B$4:$AI$4,"&lt;&gt;")=0,"",IFERROR(MATCH(26,$AK$6:$AK$42,0),""))</f>
        <v/>
      </c>
    </row>
    <row r="86">
      <c r="A86" s="118">
        <f>IF($AL$86="","",27)</f>
        <v/>
      </c>
      <c r="B86" s="119">
        <f>IF($AL$86="","",IF(INDEX('Final Calculation Sheet'!$F$4:$F$40,$AL$86)="","",INDEX('Final Calculation Sheet'!$F$4:$F$40,$AL$86)))</f>
        <v/>
      </c>
      <c r="C86" s="119">
        <f>IF($AL$86="","",IF(INDEX('Final Calculation Sheet'!$G$4:$G$40,$AL$86)="","",INDEX('Final Calculation Sheet'!$G$4:$G$40,$AL$86)))</f>
        <v/>
      </c>
      <c r="D86" s="121">
        <f>IF($AL$86="","",IF(INDEX('Final Calculation Sheet'!$B$4:$B$40,$AL$86)="","",INDEX('Final Calculation Sheet'!$B$4:$B$40,$AL$86)))</f>
        <v/>
      </c>
      <c r="E86" s="121">
        <f>IF($AL$86="","",IF(INDEX('Final Calculation Sheet'!$D$4:$D$40,$AL$86)="","",INDEX('Final Calculation Sheet'!$D$4:$D$40,$AL$86)))</f>
        <v/>
      </c>
      <c r="F86" s="121">
        <f>IF($AL$86="","",IF(INDEX('Final Calculation Sheet'!$A$4:$A$40,$AL$86)="","",INDEX('Final Calculation Sheet'!$A$4:$A$40,$AL$86)))</f>
        <v/>
      </c>
      <c r="G86" s="121">
        <f>IF($AL$86="","",IF(INDEX('Final Calculation Sheet'!$E$4:$E$40,$AL$86)="","",INDEX('Final Calculation Sheet'!$E$4:$E$40,$AL$86)))</f>
        <v/>
      </c>
      <c r="H86" s="122">
        <f>IF($AL$86="","",IF(INDEX('Final Calculation Sheet'!$C$4:$C$40,$AL$86)="","",INDEX('Final Calculation Sheet'!$C$4:$C$40,$AL$86)))</f>
        <v/>
      </c>
      <c r="I86" s="122">
        <f>IF($AL$86="","",IF(INDEX('Final Calculation Sheet'!$H$4:$H$40,$AL$86)="","",INDEX('Final Calculation Sheet'!$H$4:$H$40,$AL$86)))</f>
        <v/>
      </c>
      <c r="J86" s="122">
        <f>IF($AL$86="","",IF(INDEX('Final Calculation Sheet'!$I$4:$I$40,$AL$86)="","",INDEX('Final Calculation Sheet'!$I$4:$I$40,$AL$86)))</f>
        <v/>
      </c>
      <c r="K86" s="122">
        <f>IF($AL$86="","",IF(INDEX('Final Calculation Sheet'!$J$4:$J$40,$AL$86)="","",INDEX('Final Calculation Sheet'!$J$4:$J$40,$AL$86)))</f>
        <v/>
      </c>
      <c r="L86" s="122">
        <f>IF($AL$86="","",IF(INDEX('Final Calculation Sheet'!$K$4:$K$40,$AL$86)="","",INDEX('Final Calculation Sheet'!$K$4:$K$40,$AL$86)))</f>
        <v/>
      </c>
      <c r="M86" s="122">
        <f>IF($AL$86="","",IF(INDEX('Final Calculation Sheet'!$L$4:$L$40,$AL$86)="","",INDEX('Final Calculation Sheet'!$L$4:$L$40,$AL$86)))</f>
        <v/>
      </c>
      <c r="N86" s="122">
        <f>IF($AL$86="","",IF(INDEX('Final Calculation Sheet'!$M$4:$M$40,$AL$86)="","",INDEX('Final Calculation Sheet'!$M$4:$M$40,$AL$86)))</f>
        <v/>
      </c>
      <c r="O86" s="123">
        <f>IF($AL$86="","",IF(INDEX('Final Calculation Sheet'!$N$4:$N$40,$AL$86)="","",INDEX('Final Calculation Sheet'!$N$4:$N$40,$AL$86)))</f>
        <v/>
      </c>
      <c r="P86" s="122">
        <f>IF($AL$86="","",IF(INDEX('Final Calculation Sheet'!$O$4:$O$40,$AL$86)="","",INDEX('Final Calculation Sheet'!$O$4:$O$40,$AL$86)))</f>
        <v/>
      </c>
      <c r="Q86" s="122">
        <f>IF($AL$86="","",IF(INDEX('Final Calculation Sheet'!$P$4:$P$40,$AL$86)="","",INDEX('Final Calculation Sheet'!$P$4:$P$40,$AL$86)))</f>
        <v/>
      </c>
      <c r="R86" s="124">
        <f>IF($AL$86="","",IF(INDEX('Final Calculation Sheet'!$Q$4:$Q$40,$AL$86)="","",INDEX('Final Calculation Sheet'!$Q$4:$Q$40,$AL$86)))</f>
        <v/>
      </c>
      <c r="S86" s="122">
        <f>IF($AL$86="","",IF(INDEX('Final Calculation Sheet'!$R$4:$R$40,$AL$86)="","",INDEX('Final Calculation Sheet'!$R$4:$R$40,$AL$86)))</f>
        <v/>
      </c>
      <c r="T86" s="122">
        <f>IF($AL$86="","",IF(INDEX('Final Calculation Sheet'!$S$4:$S$40,$AL$86)="","",INDEX('Final Calculation Sheet'!$S$4:$S$40,$AL$86)))</f>
        <v/>
      </c>
      <c r="U86" s="122">
        <f>IF($AL$86="","",IF(INDEX('Final Calculation Sheet'!$T$4:$T$40,$AL$86)="","",INDEX('Final Calculation Sheet'!$T$4:$T$40,$AL$86)))</f>
        <v/>
      </c>
      <c r="V86" s="125">
        <f>IF($AL$86="","",IF(INDEX('Final Calculation Sheet'!$U$4:$U$40,$AL$86)="","",INDEX('Final Calculation Sheet'!$U$4:$U$40,$AL$86)))</f>
        <v/>
      </c>
      <c r="W86" s="122">
        <f>IF($AL$86="","",IF(INDEX('Final Calculation Sheet'!$V$4:$V$40,$AL$86)="","",INDEX('Final Calculation Sheet'!$V$4:$V$40,$AL$86)))</f>
        <v/>
      </c>
      <c r="X86" s="122">
        <f>IF($AL$86="","",IF(INDEX('Final Calculation Sheet'!$W$4:$W$40,$AL$86)="","",INDEX('Final Calculation Sheet'!$W$4:$W$40,$AL$86)))</f>
        <v/>
      </c>
      <c r="Y86" s="122">
        <f>IF($AL$86="","",IF(INDEX('Final Calculation Sheet'!$X$4:$X$40,$AL$86)="","",INDEX('Final Calculation Sheet'!$X$4:$X$40,$AL$86)))</f>
        <v/>
      </c>
      <c r="Z86" s="122">
        <f>IF($AL$86="","",IF(INDEX('Final Calculation Sheet'!$Y$4:$Y$40,$AL$86)="","",INDEX('Final Calculation Sheet'!$Y$4:$Y$40,$AL$86)))</f>
        <v/>
      </c>
      <c r="AA86" s="122">
        <f>IF($AL$86="","",IF(INDEX('Final Calculation Sheet'!$Z$4:$Z$40,$AL$86)="","",INDEX('Final Calculation Sheet'!$Z$4:$Z$40,$AL$86)))</f>
        <v/>
      </c>
      <c r="AB86" s="122">
        <f>IF($AL$86="","",IF(INDEX('Final Calculation Sheet'!$AA$4:$AA$40,$AL$86)="","",INDEX('Final Calculation Sheet'!$AA$4:$AA$40,$AL$86)))</f>
        <v/>
      </c>
      <c r="AC86" s="122">
        <f>IF($AL$86="","",IF(INDEX('Final Calculation Sheet'!$AB$4:$AB$40,$AL$86)="","",INDEX('Final Calculation Sheet'!$AB$4:$AB$40,$AL$86)))</f>
        <v/>
      </c>
      <c r="AD86" s="122">
        <f>IF($AL$86="","",IF(INDEX('Final Calculation Sheet'!$AC$4:$AC$40,$AL$86)="","",INDEX('Final Calculation Sheet'!$AC$4:$AC$40,$AL$86)))</f>
        <v/>
      </c>
      <c r="AE86" s="122">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f>IF(COUNTIF($B$4:$AI$4,"&lt;&gt;")=0,"",IFERROR(MATCH(27,$AK$6:$AK$42,0),""))</f>
        <v/>
      </c>
    </row>
    <row r="87">
      <c r="A87" s="128">
        <f>IF($AL$87="","",28)</f>
        <v/>
      </c>
      <c r="B87" s="129">
        <f>IF($AL$87="","",IF(INDEX('Final Calculation Sheet'!$F$4:$F$40,$AL$87)="","",INDEX('Final Calculation Sheet'!$F$4:$F$40,$AL$87)))</f>
        <v/>
      </c>
      <c r="C87" s="129">
        <f>IF($AL$87="","",IF(INDEX('Final Calculation Sheet'!$G$4:$G$40,$AL$87)="","",INDEX('Final Calculation Sheet'!$G$4:$G$40,$AL$87)))</f>
        <v/>
      </c>
      <c r="D87" s="130">
        <f>IF($AL$87="","",IF(INDEX('Final Calculation Sheet'!$B$4:$B$40,$AL$87)="","",INDEX('Final Calculation Sheet'!$B$4:$B$40,$AL$87)))</f>
        <v/>
      </c>
      <c r="E87" s="130">
        <f>IF($AL$87="","",IF(INDEX('Final Calculation Sheet'!$D$4:$D$40,$AL$87)="","",INDEX('Final Calculation Sheet'!$D$4:$D$40,$AL$87)))</f>
        <v/>
      </c>
      <c r="F87" s="130">
        <f>IF($AL$87="","",IF(INDEX('Final Calculation Sheet'!$A$4:$A$40,$AL$87)="","",INDEX('Final Calculation Sheet'!$A$4:$A$40,$AL$87)))</f>
        <v/>
      </c>
      <c r="G87" s="130">
        <f>IF($AL$87="","",IF(INDEX('Final Calculation Sheet'!$E$4:$E$40,$AL$87)="","",INDEX('Final Calculation Sheet'!$E$4:$E$40,$AL$87)))</f>
        <v/>
      </c>
      <c r="H87" s="131">
        <f>IF($AL$87="","",IF(INDEX('Final Calculation Sheet'!$C$4:$C$40,$AL$87)="","",INDEX('Final Calculation Sheet'!$C$4:$C$40,$AL$87)))</f>
        <v/>
      </c>
      <c r="I87" s="131">
        <f>IF($AL$87="","",IF(INDEX('Final Calculation Sheet'!$H$4:$H$40,$AL$87)="","",INDEX('Final Calculation Sheet'!$H$4:$H$40,$AL$87)))</f>
        <v/>
      </c>
      <c r="J87" s="131">
        <f>IF($AL$87="","",IF(INDEX('Final Calculation Sheet'!$I$4:$I$40,$AL$87)="","",INDEX('Final Calculation Sheet'!$I$4:$I$40,$AL$87)))</f>
        <v/>
      </c>
      <c r="K87" s="131">
        <f>IF($AL$87="","",IF(INDEX('Final Calculation Sheet'!$J$4:$J$40,$AL$87)="","",INDEX('Final Calculation Sheet'!$J$4:$J$40,$AL$87)))</f>
        <v/>
      </c>
      <c r="L87" s="131">
        <f>IF($AL$87="","",IF(INDEX('Final Calculation Sheet'!$K$4:$K$40,$AL$87)="","",INDEX('Final Calculation Sheet'!$K$4:$K$40,$AL$87)))</f>
        <v/>
      </c>
      <c r="M87" s="131">
        <f>IF($AL$87="","",IF(INDEX('Final Calculation Sheet'!$L$4:$L$40,$AL$87)="","",INDEX('Final Calculation Sheet'!$L$4:$L$40,$AL$87)))</f>
        <v/>
      </c>
      <c r="N87" s="131">
        <f>IF($AL$87="","",IF(INDEX('Final Calculation Sheet'!$M$4:$M$40,$AL$87)="","",INDEX('Final Calculation Sheet'!$M$4:$M$40,$AL$87)))</f>
        <v/>
      </c>
      <c r="O87" s="132">
        <f>IF($AL$87="","",IF(INDEX('Final Calculation Sheet'!$N$4:$N$40,$AL$87)="","",INDEX('Final Calculation Sheet'!$N$4:$N$40,$AL$87)))</f>
        <v/>
      </c>
      <c r="P87" s="131">
        <f>IF($AL$87="","",IF(INDEX('Final Calculation Sheet'!$O$4:$O$40,$AL$87)="","",INDEX('Final Calculation Sheet'!$O$4:$O$40,$AL$87)))</f>
        <v/>
      </c>
      <c r="Q87" s="131">
        <f>IF($AL$87="","",IF(INDEX('Final Calculation Sheet'!$P$4:$P$40,$AL$87)="","",INDEX('Final Calculation Sheet'!$P$4:$P$40,$AL$87)))</f>
        <v/>
      </c>
      <c r="R87" s="133">
        <f>IF($AL$87="","",IF(INDEX('Final Calculation Sheet'!$Q$4:$Q$40,$AL$87)="","",INDEX('Final Calculation Sheet'!$Q$4:$Q$40,$AL$87)))</f>
        <v/>
      </c>
      <c r="S87" s="131">
        <f>IF($AL$87="","",IF(INDEX('Final Calculation Sheet'!$R$4:$R$40,$AL$87)="","",INDEX('Final Calculation Sheet'!$R$4:$R$40,$AL$87)))</f>
        <v/>
      </c>
      <c r="T87" s="131">
        <f>IF($AL$87="","",IF(INDEX('Final Calculation Sheet'!$S$4:$S$40,$AL$87)="","",INDEX('Final Calculation Sheet'!$S$4:$S$40,$AL$87)))</f>
        <v/>
      </c>
      <c r="U87" s="131">
        <f>IF($AL$87="","",IF(INDEX('Final Calculation Sheet'!$T$4:$T$40,$AL$87)="","",INDEX('Final Calculation Sheet'!$T$4:$T$40,$AL$87)))</f>
        <v/>
      </c>
      <c r="V87" s="134">
        <f>IF($AL$87="","",IF(INDEX('Final Calculation Sheet'!$U$4:$U$40,$AL$87)="","",INDEX('Final Calculation Sheet'!$U$4:$U$40,$AL$87)))</f>
        <v/>
      </c>
      <c r="W87" s="131">
        <f>IF($AL$87="","",IF(INDEX('Final Calculation Sheet'!$V$4:$V$40,$AL$87)="","",INDEX('Final Calculation Sheet'!$V$4:$V$40,$AL$87)))</f>
        <v/>
      </c>
      <c r="X87" s="131">
        <f>IF($AL$87="","",IF(INDEX('Final Calculation Sheet'!$W$4:$W$40,$AL$87)="","",INDEX('Final Calculation Sheet'!$W$4:$W$40,$AL$87)))</f>
        <v/>
      </c>
      <c r="Y87" s="131">
        <f>IF($AL$87="","",IF(INDEX('Final Calculation Sheet'!$X$4:$X$40,$AL$87)="","",INDEX('Final Calculation Sheet'!$X$4:$X$40,$AL$87)))</f>
        <v/>
      </c>
      <c r="Z87" s="131">
        <f>IF($AL$87="","",IF(INDEX('Final Calculation Sheet'!$Y$4:$Y$40,$AL$87)="","",INDEX('Final Calculation Sheet'!$Y$4:$Y$40,$AL$87)))</f>
        <v/>
      </c>
      <c r="AA87" s="131">
        <f>IF($AL$87="","",IF(INDEX('Final Calculation Sheet'!$Z$4:$Z$40,$AL$87)="","",INDEX('Final Calculation Sheet'!$Z$4:$Z$40,$AL$87)))</f>
        <v/>
      </c>
      <c r="AB87" s="131">
        <f>IF($AL$87="","",IF(INDEX('Final Calculation Sheet'!$AA$4:$AA$40,$AL$87)="","",INDEX('Final Calculation Sheet'!$AA$4:$AA$40,$AL$87)))</f>
        <v/>
      </c>
      <c r="AC87" s="131">
        <f>IF($AL$87="","",IF(INDEX('Final Calculation Sheet'!$AB$4:$AB$40,$AL$87)="","",INDEX('Final Calculation Sheet'!$AB$4:$AB$40,$AL$87)))</f>
        <v/>
      </c>
      <c r="AD87" s="131">
        <f>IF($AL$87="","",IF(INDEX('Final Calculation Sheet'!$AC$4:$AC$40,$AL$87)="","",INDEX('Final Calculation Sheet'!$AC$4:$AC$40,$AL$87)))</f>
        <v/>
      </c>
      <c r="AE87" s="131">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f>IF(COUNTIF($B$4:$AI$4,"&lt;&gt;")=0,"",IFERROR(MATCH(28,$AK$6:$AK$42,0),""))</f>
        <v/>
      </c>
    </row>
    <row r="88">
      <c r="A88" s="118">
        <f>IF($AL$88="","",29)</f>
        <v/>
      </c>
      <c r="B88" s="119">
        <f>IF($AL$88="","",IF(INDEX('Final Calculation Sheet'!$F$4:$F$40,$AL$88)="","",INDEX('Final Calculation Sheet'!$F$4:$F$40,$AL$88)))</f>
        <v/>
      </c>
      <c r="C88" s="119">
        <f>IF($AL$88="","",IF(INDEX('Final Calculation Sheet'!$G$4:$G$40,$AL$88)="","",INDEX('Final Calculation Sheet'!$G$4:$G$40,$AL$88)))</f>
        <v/>
      </c>
      <c r="D88" s="121">
        <f>IF($AL$88="","",IF(INDEX('Final Calculation Sheet'!$B$4:$B$40,$AL$88)="","",INDEX('Final Calculation Sheet'!$B$4:$B$40,$AL$88)))</f>
        <v/>
      </c>
      <c r="E88" s="121">
        <f>IF($AL$88="","",IF(INDEX('Final Calculation Sheet'!$D$4:$D$40,$AL$88)="","",INDEX('Final Calculation Sheet'!$D$4:$D$40,$AL$88)))</f>
        <v/>
      </c>
      <c r="F88" s="121">
        <f>IF($AL$88="","",IF(INDEX('Final Calculation Sheet'!$A$4:$A$40,$AL$88)="","",INDEX('Final Calculation Sheet'!$A$4:$A$40,$AL$88)))</f>
        <v/>
      </c>
      <c r="G88" s="121">
        <f>IF($AL$88="","",IF(INDEX('Final Calculation Sheet'!$E$4:$E$40,$AL$88)="","",INDEX('Final Calculation Sheet'!$E$4:$E$40,$AL$88)))</f>
        <v/>
      </c>
      <c r="H88" s="122">
        <f>IF($AL$88="","",IF(INDEX('Final Calculation Sheet'!$C$4:$C$40,$AL$88)="","",INDEX('Final Calculation Sheet'!$C$4:$C$40,$AL$88)))</f>
        <v/>
      </c>
      <c r="I88" s="122">
        <f>IF($AL$88="","",IF(INDEX('Final Calculation Sheet'!$H$4:$H$40,$AL$88)="","",INDEX('Final Calculation Sheet'!$H$4:$H$40,$AL$88)))</f>
        <v/>
      </c>
      <c r="J88" s="122">
        <f>IF($AL$88="","",IF(INDEX('Final Calculation Sheet'!$I$4:$I$40,$AL$88)="","",INDEX('Final Calculation Sheet'!$I$4:$I$40,$AL$88)))</f>
        <v/>
      </c>
      <c r="K88" s="122">
        <f>IF($AL$88="","",IF(INDEX('Final Calculation Sheet'!$J$4:$J$40,$AL$88)="","",INDEX('Final Calculation Sheet'!$J$4:$J$40,$AL$88)))</f>
        <v/>
      </c>
      <c r="L88" s="122">
        <f>IF($AL$88="","",IF(INDEX('Final Calculation Sheet'!$K$4:$K$40,$AL$88)="","",INDEX('Final Calculation Sheet'!$K$4:$K$40,$AL$88)))</f>
        <v/>
      </c>
      <c r="M88" s="122">
        <f>IF($AL$88="","",IF(INDEX('Final Calculation Sheet'!$L$4:$L$40,$AL$88)="","",INDEX('Final Calculation Sheet'!$L$4:$L$40,$AL$88)))</f>
        <v/>
      </c>
      <c r="N88" s="122">
        <f>IF($AL$88="","",IF(INDEX('Final Calculation Sheet'!$M$4:$M$40,$AL$88)="","",INDEX('Final Calculation Sheet'!$M$4:$M$40,$AL$88)))</f>
        <v/>
      </c>
      <c r="O88" s="123">
        <f>IF($AL$88="","",IF(INDEX('Final Calculation Sheet'!$N$4:$N$40,$AL$88)="","",INDEX('Final Calculation Sheet'!$N$4:$N$40,$AL$88)))</f>
        <v/>
      </c>
      <c r="P88" s="122">
        <f>IF($AL$88="","",IF(INDEX('Final Calculation Sheet'!$O$4:$O$40,$AL$88)="","",INDEX('Final Calculation Sheet'!$O$4:$O$40,$AL$88)))</f>
        <v/>
      </c>
      <c r="Q88" s="122">
        <f>IF($AL$88="","",IF(INDEX('Final Calculation Sheet'!$P$4:$P$40,$AL$88)="","",INDEX('Final Calculation Sheet'!$P$4:$P$40,$AL$88)))</f>
        <v/>
      </c>
      <c r="R88" s="124">
        <f>IF($AL$88="","",IF(INDEX('Final Calculation Sheet'!$Q$4:$Q$40,$AL$88)="","",INDEX('Final Calculation Sheet'!$Q$4:$Q$40,$AL$88)))</f>
        <v/>
      </c>
      <c r="S88" s="122">
        <f>IF($AL$88="","",IF(INDEX('Final Calculation Sheet'!$R$4:$R$40,$AL$88)="","",INDEX('Final Calculation Sheet'!$R$4:$R$40,$AL$88)))</f>
        <v/>
      </c>
      <c r="T88" s="122">
        <f>IF($AL$88="","",IF(INDEX('Final Calculation Sheet'!$S$4:$S$40,$AL$88)="","",INDEX('Final Calculation Sheet'!$S$4:$S$40,$AL$88)))</f>
        <v/>
      </c>
      <c r="U88" s="122">
        <f>IF($AL$88="","",IF(INDEX('Final Calculation Sheet'!$T$4:$T$40,$AL$88)="","",INDEX('Final Calculation Sheet'!$T$4:$T$40,$AL$88)))</f>
        <v/>
      </c>
      <c r="V88" s="125">
        <f>IF($AL$88="","",IF(INDEX('Final Calculation Sheet'!$U$4:$U$40,$AL$88)="","",INDEX('Final Calculation Sheet'!$U$4:$U$40,$AL$88)))</f>
        <v/>
      </c>
      <c r="W88" s="122">
        <f>IF($AL$88="","",IF(INDEX('Final Calculation Sheet'!$V$4:$V$40,$AL$88)="","",INDEX('Final Calculation Sheet'!$V$4:$V$40,$AL$88)))</f>
        <v/>
      </c>
      <c r="X88" s="122">
        <f>IF($AL$88="","",IF(INDEX('Final Calculation Sheet'!$W$4:$W$40,$AL$88)="","",INDEX('Final Calculation Sheet'!$W$4:$W$40,$AL$88)))</f>
        <v/>
      </c>
      <c r="Y88" s="122">
        <f>IF($AL$88="","",IF(INDEX('Final Calculation Sheet'!$X$4:$X$40,$AL$88)="","",INDEX('Final Calculation Sheet'!$X$4:$X$40,$AL$88)))</f>
        <v/>
      </c>
      <c r="Z88" s="122">
        <f>IF($AL$88="","",IF(INDEX('Final Calculation Sheet'!$Y$4:$Y$40,$AL$88)="","",INDEX('Final Calculation Sheet'!$Y$4:$Y$40,$AL$88)))</f>
        <v/>
      </c>
      <c r="AA88" s="122">
        <f>IF($AL$88="","",IF(INDEX('Final Calculation Sheet'!$Z$4:$Z$40,$AL$88)="","",INDEX('Final Calculation Sheet'!$Z$4:$Z$40,$AL$88)))</f>
        <v/>
      </c>
      <c r="AB88" s="122">
        <f>IF($AL$88="","",IF(INDEX('Final Calculation Sheet'!$AA$4:$AA$40,$AL$88)="","",INDEX('Final Calculation Sheet'!$AA$4:$AA$40,$AL$88)))</f>
        <v/>
      </c>
      <c r="AC88" s="122">
        <f>IF($AL$88="","",IF(INDEX('Final Calculation Sheet'!$AB$4:$AB$40,$AL$88)="","",INDEX('Final Calculation Sheet'!$AB$4:$AB$40,$AL$88)))</f>
        <v/>
      </c>
      <c r="AD88" s="122">
        <f>IF($AL$88="","",IF(INDEX('Final Calculation Sheet'!$AC$4:$AC$40,$AL$88)="","",INDEX('Final Calculation Sheet'!$AC$4:$AC$40,$AL$88)))</f>
        <v/>
      </c>
      <c r="AE88" s="122">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f>IF(COUNTIF($B$4:$AI$4,"&lt;&gt;")=0,"",IFERROR(MATCH(29,$AK$6:$AK$42,0),""))</f>
        <v/>
      </c>
    </row>
    <row r="89">
      <c r="A89" s="128">
        <f>IF($AL$89="","",30)</f>
        <v/>
      </c>
      <c r="B89" s="129">
        <f>IF($AL$89="","",IF(INDEX('Final Calculation Sheet'!$F$4:$F$40,$AL$89)="","",INDEX('Final Calculation Sheet'!$F$4:$F$40,$AL$89)))</f>
        <v/>
      </c>
      <c r="C89" s="129">
        <f>IF($AL$89="","",IF(INDEX('Final Calculation Sheet'!$G$4:$G$40,$AL$89)="","",INDEX('Final Calculation Sheet'!$G$4:$G$40,$AL$89)))</f>
        <v/>
      </c>
      <c r="D89" s="130">
        <f>IF($AL$89="","",IF(INDEX('Final Calculation Sheet'!$B$4:$B$40,$AL$89)="","",INDEX('Final Calculation Sheet'!$B$4:$B$40,$AL$89)))</f>
        <v/>
      </c>
      <c r="E89" s="130">
        <f>IF($AL$89="","",IF(INDEX('Final Calculation Sheet'!$D$4:$D$40,$AL$89)="","",INDEX('Final Calculation Sheet'!$D$4:$D$40,$AL$89)))</f>
        <v/>
      </c>
      <c r="F89" s="130">
        <f>IF($AL$89="","",IF(INDEX('Final Calculation Sheet'!$A$4:$A$40,$AL$89)="","",INDEX('Final Calculation Sheet'!$A$4:$A$40,$AL$89)))</f>
        <v/>
      </c>
      <c r="G89" s="130">
        <f>IF($AL$89="","",IF(INDEX('Final Calculation Sheet'!$E$4:$E$40,$AL$89)="","",INDEX('Final Calculation Sheet'!$E$4:$E$40,$AL$89)))</f>
        <v/>
      </c>
      <c r="H89" s="131">
        <f>IF($AL$89="","",IF(INDEX('Final Calculation Sheet'!$C$4:$C$40,$AL$89)="","",INDEX('Final Calculation Sheet'!$C$4:$C$40,$AL$89)))</f>
        <v/>
      </c>
      <c r="I89" s="131">
        <f>IF($AL$89="","",IF(INDEX('Final Calculation Sheet'!$H$4:$H$40,$AL$89)="","",INDEX('Final Calculation Sheet'!$H$4:$H$40,$AL$89)))</f>
        <v/>
      </c>
      <c r="J89" s="131">
        <f>IF($AL$89="","",IF(INDEX('Final Calculation Sheet'!$I$4:$I$40,$AL$89)="","",INDEX('Final Calculation Sheet'!$I$4:$I$40,$AL$89)))</f>
        <v/>
      </c>
      <c r="K89" s="131">
        <f>IF($AL$89="","",IF(INDEX('Final Calculation Sheet'!$J$4:$J$40,$AL$89)="","",INDEX('Final Calculation Sheet'!$J$4:$J$40,$AL$89)))</f>
        <v/>
      </c>
      <c r="L89" s="131">
        <f>IF($AL$89="","",IF(INDEX('Final Calculation Sheet'!$K$4:$K$40,$AL$89)="","",INDEX('Final Calculation Sheet'!$K$4:$K$40,$AL$89)))</f>
        <v/>
      </c>
      <c r="M89" s="131">
        <f>IF($AL$89="","",IF(INDEX('Final Calculation Sheet'!$L$4:$L$40,$AL$89)="","",INDEX('Final Calculation Sheet'!$L$4:$L$40,$AL$89)))</f>
        <v/>
      </c>
      <c r="N89" s="131">
        <f>IF($AL$89="","",IF(INDEX('Final Calculation Sheet'!$M$4:$M$40,$AL$89)="","",INDEX('Final Calculation Sheet'!$M$4:$M$40,$AL$89)))</f>
        <v/>
      </c>
      <c r="O89" s="132">
        <f>IF($AL$89="","",IF(INDEX('Final Calculation Sheet'!$N$4:$N$40,$AL$89)="","",INDEX('Final Calculation Sheet'!$N$4:$N$40,$AL$89)))</f>
        <v/>
      </c>
      <c r="P89" s="131">
        <f>IF($AL$89="","",IF(INDEX('Final Calculation Sheet'!$O$4:$O$40,$AL$89)="","",INDEX('Final Calculation Sheet'!$O$4:$O$40,$AL$89)))</f>
        <v/>
      </c>
      <c r="Q89" s="131">
        <f>IF($AL$89="","",IF(INDEX('Final Calculation Sheet'!$P$4:$P$40,$AL$89)="","",INDEX('Final Calculation Sheet'!$P$4:$P$40,$AL$89)))</f>
        <v/>
      </c>
      <c r="R89" s="133">
        <f>IF($AL$89="","",IF(INDEX('Final Calculation Sheet'!$Q$4:$Q$40,$AL$89)="","",INDEX('Final Calculation Sheet'!$Q$4:$Q$40,$AL$89)))</f>
        <v/>
      </c>
      <c r="S89" s="131">
        <f>IF($AL$89="","",IF(INDEX('Final Calculation Sheet'!$R$4:$R$40,$AL$89)="","",INDEX('Final Calculation Sheet'!$R$4:$R$40,$AL$89)))</f>
        <v/>
      </c>
      <c r="T89" s="131">
        <f>IF($AL$89="","",IF(INDEX('Final Calculation Sheet'!$S$4:$S$40,$AL$89)="","",INDEX('Final Calculation Sheet'!$S$4:$S$40,$AL$89)))</f>
        <v/>
      </c>
      <c r="U89" s="131">
        <f>IF($AL$89="","",IF(INDEX('Final Calculation Sheet'!$T$4:$T$40,$AL$89)="","",INDEX('Final Calculation Sheet'!$T$4:$T$40,$AL$89)))</f>
        <v/>
      </c>
      <c r="V89" s="134">
        <f>IF($AL$89="","",IF(INDEX('Final Calculation Sheet'!$U$4:$U$40,$AL$89)="","",INDEX('Final Calculation Sheet'!$U$4:$U$40,$AL$89)))</f>
        <v/>
      </c>
      <c r="W89" s="131">
        <f>IF($AL$89="","",IF(INDEX('Final Calculation Sheet'!$V$4:$V$40,$AL$89)="","",INDEX('Final Calculation Sheet'!$V$4:$V$40,$AL$89)))</f>
        <v/>
      </c>
      <c r="X89" s="131">
        <f>IF($AL$89="","",IF(INDEX('Final Calculation Sheet'!$W$4:$W$40,$AL$89)="","",INDEX('Final Calculation Sheet'!$W$4:$W$40,$AL$89)))</f>
        <v/>
      </c>
      <c r="Y89" s="131">
        <f>IF($AL$89="","",IF(INDEX('Final Calculation Sheet'!$X$4:$X$40,$AL$89)="","",INDEX('Final Calculation Sheet'!$X$4:$X$40,$AL$89)))</f>
        <v/>
      </c>
      <c r="Z89" s="131">
        <f>IF($AL$89="","",IF(INDEX('Final Calculation Sheet'!$Y$4:$Y$40,$AL$89)="","",INDEX('Final Calculation Sheet'!$Y$4:$Y$40,$AL$89)))</f>
        <v/>
      </c>
      <c r="AA89" s="131">
        <f>IF($AL$89="","",IF(INDEX('Final Calculation Sheet'!$Z$4:$Z$40,$AL$89)="","",INDEX('Final Calculation Sheet'!$Z$4:$Z$40,$AL$89)))</f>
        <v/>
      </c>
      <c r="AB89" s="131">
        <f>IF($AL$89="","",IF(INDEX('Final Calculation Sheet'!$AA$4:$AA$40,$AL$89)="","",INDEX('Final Calculation Sheet'!$AA$4:$AA$40,$AL$89)))</f>
        <v/>
      </c>
      <c r="AC89" s="131">
        <f>IF($AL$89="","",IF(INDEX('Final Calculation Sheet'!$AB$4:$AB$40,$AL$89)="","",INDEX('Final Calculation Sheet'!$AB$4:$AB$40,$AL$89)))</f>
        <v/>
      </c>
      <c r="AD89" s="131">
        <f>IF($AL$89="","",IF(INDEX('Final Calculation Sheet'!$AC$4:$AC$40,$AL$89)="","",INDEX('Final Calculation Sheet'!$AC$4:$AC$40,$AL$89)))</f>
        <v/>
      </c>
      <c r="AE89" s="131">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f>IF(COUNTIF($B$4:$AI$4,"&lt;&gt;")=0,"",IFERROR(MATCH(30,$AK$6:$AK$42,0),""))</f>
        <v/>
      </c>
    </row>
    <row r="90">
      <c r="A90" s="118">
        <f>IF($AL$90="","",31)</f>
        <v/>
      </c>
      <c r="B90" s="119">
        <f>IF($AL$90="","",IF(INDEX('Final Calculation Sheet'!$F$4:$F$40,$AL$90)="","",INDEX('Final Calculation Sheet'!$F$4:$F$40,$AL$90)))</f>
        <v/>
      </c>
      <c r="C90" s="119">
        <f>IF($AL$90="","",IF(INDEX('Final Calculation Sheet'!$G$4:$G$40,$AL$90)="","",INDEX('Final Calculation Sheet'!$G$4:$G$40,$AL$90)))</f>
        <v/>
      </c>
      <c r="D90" s="121">
        <f>IF($AL$90="","",IF(INDEX('Final Calculation Sheet'!$B$4:$B$40,$AL$90)="","",INDEX('Final Calculation Sheet'!$B$4:$B$40,$AL$90)))</f>
        <v/>
      </c>
      <c r="E90" s="121">
        <f>IF($AL$90="","",IF(INDEX('Final Calculation Sheet'!$D$4:$D$40,$AL$90)="","",INDEX('Final Calculation Sheet'!$D$4:$D$40,$AL$90)))</f>
        <v/>
      </c>
      <c r="F90" s="121">
        <f>IF($AL$90="","",IF(INDEX('Final Calculation Sheet'!$A$4:$A$40,$AL$90)="","",INDEX('Final Calculation Sheet'!$A$4:$A$40,$AL$90)))</f>
        <v/>
      </c>
      <c r="G90" s="121">
        <f>IF($AL$90="","",IF(INDEX('Final Calculation Sheet'!$E$4:$E$40,$AL$90)="","",INDEX('Final Calculation Sheet'!$E$4:$E$40,$AL$90)))</f>
        <v/>
      </c>
      <c r="H90" s="122">
        <f>IF($AL$90="","",IF(INDEX('Final Calculation Sheet'!$C$4:$C$40,$AL$90)="","",INDEX('Final Calculation Sheet'!$C$4:$C$40,$AL$90)))</f>
        <v/>
      </c>
      <c r="I90" s="122">
        <f>IF($AL$90="","",IF(INDEX('Final Calculation Sheet'!$H$4:$H$40,$AL$90)="","",INDEX('Final Calculation Sheet'!$H$4:$H$40,$AL$90)))</f>
        <v/>
      </c>
      <c r="J90" s="122">
        <f>IF($AL$90="","",IF(INDEX('Final Calculation Sheet'!$I$4:$I$40,$AL$90)="","",INDEX('Final Calculation Sheet'!$I$4:$I$40,$AL$90)))</f>
        <v/>
      </c>
      <c r="K90" s="122">
        <f>IF($AL$90="","",IF(INDEX('Final Calculation Sheet'!$J$4:$J$40,$AL$90)="","",INDEX('Final Calculation Sheet'!$J$4:$J$40,$AL$90)))</f>
        <v/>
      </c>
      <c r="L90" s="122">
        <f>IF($AL$90="","",IF(INDEX('Final Calculation Sheet'!$K$4:$K$40,$AL$90)="","",INDEX('Final Calculation Sheet'!$K$4:$K$40,$AL$90)))</f>
        <v/>
      </c>
      <c r="M90" s="122">
        <f>IF($AL$90="","",IF(INDEX('Final Calculation Sheet'!$L$4:$L$40,$AL$90)="","",INDEX('Final Calculation Sheet'!$L$4:$L$40,$AL$90)))</f>
        <v/>
      </c>
      <c r="N90" s="122">
        <f>IF($AL$90="","",IF(INDEX('Final Calculation Sheet'!$M$4:$M$40,$AL$90)="","",INDEX('Final Calculation Sheet'!$M$4:$M$40,$AL$90)))</f>
        <v/>
      </c>
      <c r="O90" s="123">
        <f>IF($AL$90="","",IF(INDEX('Final Calculation Sheet'!$N$4:$N$40,$AL$90)="","",INDEX('Final Calculation Sheet'!$N$4:$N$40,$AL$90)))</f>
        <v/>
      </c>
      <c r="P90" s="122">
        <f>IF($AL$90="","",IF(INDEX('Final Calculation Sheet'!$O$4:$O$40,$AL$90)="","",INDEX('Final Calculation Sheet'!$O$4:$O$40,$AL$90)))</f>
        <v/>
      </c>
      <c r="Q90" s="122">
        <f>IF($AL$90="","",IF(INDEX('Final Calculation Sheet'!$P$4:$P$40,$AL$90)="","",INDEX('Final Calculation Sheet'!$P$4:$P$40,$AL$90)))</f>
        <v/>
      </c>
      <c r="R90" s="124">
        <f>IF($AL$90="","",IF(INDEX('Final Calculation Sheet'!$Q$4:$Q$40,$AL$90)="","",INDEX('Final Calculation Sheet'!$Q$4:$Q$40,$AL$90)))</f>
        <v/>
      </c>
      <c r="S90" s="122">
        <f>IF($AL$90="","",IF(INDEX('Final Calculation Sheet'!$R$4:$R$40,$AL$90)="","",INDEX('Final Calculation Sheet'!$R$4:$R$40,$AL$90)))</f>
        <v/>
      </c>
      <c r="T90" s="122">
        <f>IF($AL$90="","",IF(INDEX('Final Calculation Sheet'!$S$4:$S$40,$AL$90)="","",INDEX('Final Calculation Sheet'!$S$4:$S$40,$AL$90)))</f>
        <v/>
      </c>
      <c r="U90" s="122">
        <f>IF($AL$90="","",IF(INDEX('Final Calculation Sheet'!$T$4:$T$40,$AL$90)="","",INDEX('Final Calculation Sheet'!$T$4:$T$40,$AL$90)))</f>
        <v/>
      </c>
      <c r="V90" s="125">
        <f>IF($AL$90="","",IF(INDEX('Final Calculation Sheet'!$U$4:$U$40,$AL$90)="","",INDEX('Final Calculation Sheet'!$U$4:$U$40,$AL$90)))</f>
        <v/>
      </c>
      <c r="W90" s="122">
        <f>IF($AL$90="","",IF(INDEX('Final Calculation Sheet'!$V$4:$V$40,$AL$90)="","",INDEX('Final Calculation Sheet'!$V$4:$V$40,$AL$90)))</f>
        <v/>
      </c>
      <c r="X90" s="122">
        <f>IF($AL$90="","",IF(INDEX('Final Calculation Sheet'!$W$4:$W$40,$AL$90)="","",INDEX('Final Calculation Sheet'!$W$4:$W$40,$AL$90)))</f>
        <v/>
      </c>
      <c r="Y90" s="122">
        <f>IF($AL$90="","",IF(INDEX('Final Calculation Sheet'!$X$4:$X$40,$AL$90)="","",INDEX('Final Calculation Sheet'!$X$4:$X$40,$AL$90)))</f>
        <v/>
      </c>
      <c r="Z90" s="122">
        <f>IF($AL$90="","",IF(INDEX('Final Calculation Sheet'!$Y$4:$Y$40,$AL$90)="","",INDEX('Final Calculation Sheet'!$Y$4:$Y$40,$AL$90)))</f>
        <v/>
      </c>
      <c r="AA90" s="122">
        <f>IF($AL$90="","",IF(INDEX('Final Calculation Sheet'!$Z$4:$Z$40,$AL$90)="","",INDEX('Final Calculation Sheet'!$Z$4:$Z$40,$AL$90)))</f>
        <v/>
      </c>
      <c r="AB90" s="122">
        <f>IF($AL$90="","",IF(INDEX('Final Calculation Sheet'!$AA$4:$AA$40,$AL$90)="","",INDEX('Final Calculation Sheet'!$AA$4:$AA$40,$AL$90)))</f>
        <v/>
      </c>
      <c r="AC90" s="122">
        <f>IF($AL$90="","",IF(INDEX('Final Calculation Sheet'!$AB$4:$AB$40,$AL$90)="","",INDEX('Final Calculation Sheet'!$AB$4:$AB$40,$AL$90)))</f>
        <v/>
      </c>
      <c r="AD90" s="122">
        <f>IF($AL$90="","",IF(INDEX('Final Calculation Sheet'!$AC$4:$AC$40,$AL$90)="","",INDEX('Final Calculation Sheet'!$AC$4:$AC$40,$AL$90)))</f>
        <v/>
      </c>
      <c r="AE90" s="122">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f>IF(COUNTIF($B$4:$AI$4,"&lt;&gt;")=0,"",IFERROR(MATCH(31,$AK$6:$AK$42,0),""))</f>
        <v/>
      </c>
    </row>
    <row r="91">
      <c r="A91" s="128">
        <f>IF($AL$91="","",32)</f>
        <v/>
      </c>
      <c r="B91" s="129">
        <f>IF($AL$91="","",IF(INDEX('Final Calculation Sheet'!$F$4:$F$40,$AL$91)="","",INDEX('Final Calculation Sheet'!$F$4:$F$40,$AL$91)))</f>
        <v/>
      </c>
      <c r="C91" s="129">
        <f>IF($AL$91="","",IF(INDEX('Final Calculation Sheet'!$G$4:$G$40,$AL$91)="","",INDEX('Final Calculation Sheet'!$G$4:$G$40,$AL$91)))</f>
        <v/>
      </c>
      <c r="D91" s="130">
        <f>IF($AL$91="","",IF(INDEX('Final Calculation Sheet'!$B$4:$B$40,$AL$91)="","",INDEX('Final Calculation Sheet'!$B$4:$B$40,$AL$91)))</f>
        <v/>
      </c>
      <c r="E91" s="130">
        <f>IF($AL$91="","",IF(INDEX('Final Calculation Sheet'!$D$4:$D$40,$AL$91)="","",INDEX('Final Calculation Sheet'!$D$4:$D$40,$AL$91)))</f>
        <v/>
      </c>
      <c r="F91" s="130">
        <f>IF($AL$91="","",IF(INDEX('Final Calculation Sheet'!$A$4:$A$40,$AL$91)="","",INDEX('Final Calculation Sheet'!$A$4:$A$40,$AL$91)))</f>
        <v/>
      </c>
      <c r="G91" s="130">
        <f>IF($AL$91="","",IF(INDEX('Final Calculation Sheet'!$E$4:$E$40,$AL$91)="","",INDEX('Final Calculation Sheet'!$E$4:$E$40,$AL$91)))</f>
        <v/>
      </c>
      <c r="H91" s="131">
        <f>IF($AL$91="","",IF(INDEX('Final Calculation Sheet'!$C$4:$C$40,$AL$91)="","",INDEX('Final Calculation Sheet'!$C$4:$C$40,$AL$91)))</f>
        <v/>
      </c>
      <c r="I91" s="131">
        <f>IF($AL$91="","",IF(INDEX('Final Calculation Sheet'!$H$4:$H$40,$AL$91)="","",INDEX('Final Calculation Sheet'!$H$4:$H$40,$AL$91)))</f>
        <v/>
      </c>
      <c r="J91" s="131">
        <f>IF($AL$91="","",IF(INDEX('Final Calculation Sheet'!$I$4:$I$40,$AL$91)="","",INDEX('Final Calculation Sheet'!$I$4:$I$40,$AL$91)))</f>
        <v/>
      </c>
      <c r="K91" s="131">
        <f>IF($AL$91="","",IF(INDEX('Final Calculation Sheet'!$J$4:$J$40,$AL$91)="","",INDEX('Final Calculation Sheet'!$J$4:$J$40,$AL$91)))</f>
        <v/>
      </c>
      <c r="L91" s="131">
        <f>IF($AL$91="","",IF(INDEX('Final Calculation Sheet'!$K$4:$K$40,$AL$91)="","",INDEX('Final Calculation Sheet'!$K$4:$K$40,$AL$91)))</f>
        <v/>
      </c>
      <c r="M91" s="131">
        <f>IF($AL$91="","",IF(INDEX('Final Calculation Sheet'!$L$4:$L$40,$AL$91)="","",INDEX('Final Calculation Sheet'!$L$4:$L$40,$AL$91)))</f>
        <v/>
      </c>
      <c r="N91" s="131">
        <f>IF($AL$91="","",IF(INDEX('Final Calculation Sheet'!$M$4:$M$40,$AL$91)="","",INDEX('Final Calculation Sheet'!$M$4:$M$40,$AL$91)))</f>
        <v/>
      </c>
      <c r="O91" s="132">
        <f>IF($AL$91="","",IF(INDEX('Final Calculation Sheet'!$N$4:$N$40,$AL$91)="","",INDEX('Final Calculation Sheet'!$N$4:$N$40,$AL$91)))</f>
        <v/>
      </c>
      <c r="P91" s="131">
        <f>IF($AL$91="","",IF(INDEX('Final Calculation Sheet'!$O$4:$O$40,$AL$91)="","",INDEX('Final Calculation Sheet'!$O$4:$O$40,$AL$91)))</f>
        <v/>
      </c>
      <c r="Q91" s="131">
        <f>IF($AL$91="","",IF(INDEX('Final Calculation Sheet'!$P$4:$P$40,$AL$91)="","",INDEX('Final Calculation Sheet'!$P$4:$P$40,$AL$91)))</f>
        <v/>
      </c>
      <c r="R91" s="133">
        <f>IF($AL$91="","",IF(INDEX('Final Calculation Sheet'!$Q$4:$Q$40,$AL$91)="","",INDEX('Final Calculation Sheet'!$Q$4:$Q$40,$AL$91)))</f>
        <v/>
      </c>
      <c r="S91" s="131">
        <f>IF($AL$91="","",IF(INDEX('Final Calculation Sheet'!$R$4:$R$40,$AL$91)="","",INDEX('Final Calculation Sheet'!$R$4:$R$40,$AL$91)))</f>
        <v/>
      </c>
      <c r="T91" s="131">
        <f>IF($AL$91="","",IF(INDEX('Final Calculation Sheet'!$S$4:$S$40,$AL$91)="","",INDEX('Final Calculation Sheet'!$S$4:$S$40,$AL$91)))</f>
        <v/>
      </c>
      <c r="U91" s="131">
        <f>IF($AL$91="","",IF(INDEX('Final Calculation Sheet'!$T$4:$T$40,$AL$91)="","",INDEX('Final Calculation Sheet'!$T$4:$T$40,$AL$91)))</f>
        <v/>
      </c>
      <c r="V91" s="134">
        <f>IF($AL$91="","",IF(INDEX('Final Calculation Sheet'!$U$4:$U$40,$AL$91)="","",INDEX('Final Calculation Sheet'!$U$4:$U$40,$AL$91)))</f>
        <v/>
      </c>
      <c r="W91" s="131">
        <f>IF($AL$91="","",IF(INDEX('Final Calculation Sheet'!$V$4:$V$40,$AL$91)="","",INDEX('Final Calculation Sheet'!$V$4:$V$40,$AL$91)))</f>
        <v/>
      </c>
      <c r="X91" s="131">
        <f>IF($AL$91="","",IF(INDEX('Final Calculation Sheet'!$W$4:$W$40,$AL$91)="","",INDEX('Final Calculation Sheet'!$W$4:$W$40,$AL$91)))</f>
        <v/>
      </c>
      <c r="Y91" s="131">
        <f>IF($AL$91="","",IF(INDEX('Final Calculation Sheet'!$X$4:$X$40,$AL$91)="","",INDEX('Final Calculation Sheet'!$X$4:$X$40,$AL$91)))</f>
        <v/>
      </c>
      <c r="Z91" s="131">
        <f>IF($AL$91="","",IF(INDEX('Final Calculation Sheet'!$Y$4:$Y$40,$AL$91)="","",INDEX('Final Calculation Sheet'!$Y$4:$Y$40,$AL$91)))</f>
        <v/>
      </c>
      <c r="AA91" s="131">
        <f>IF($AL$91="","",IF(INDEX('Final Calculation Sheet'!$Z$4:$Z$40,$AL$91)="","",INDEX('Final Calculation Sheet'!$Z$4:$Z$40,$AL$91)))</f>
        <v/>
      </c>
      <c r="AB91" s="131">
        <f>IF($AL$91="","",IF(INDEX('Final Calculation Sheet'!$AA$4:$AA$40,$AL$91)="","",INDEX('Final Calculation Sheet'!$AA$4:$AA$40,$AL$91)))</f>
        <v/>
      </c>
      <c r="AC91" s="131">
        <f>IF($AL$91="","",IF(INDEX('Final Calculation Sheet'!$AB$4:$AB$40,$AL$91)="","",INDEX('Final Calculation Sheet'!$AB$4:$AB$40,$AL$91)))</f>
        <v/>
      </c>
      <c r="AD91" s="131">
        <f>IF($AL$91="","",IF(INDEX('Final Calculation Sheet'!$AC$4:$AC$40,$AL$91)="","",INDEX('Final Calculation Sheet'!$AC$4:$AC$40,$AL$91)))</f>
        <v/>
      </c>
      <c r="AE91" s="131">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f>IF(COUNTIF($B$4:$AI$4,"&lt;&gt;")=0,"",IFERROR(MATCH(32,$AK$6:$AK$42,0),""))</f>
        <v/>
      </c>
    </row>
    <row r="92">
      <c r="A92" s="118">
        <f>IF($AL$92="","",33)</f>
        <v/>
      </c>
      <c r="B92" s="119">
        <f>IF($AL$92="","",IF(INDEX('Final Calculation Sheet'!$F$4:$F$40,$AL$92)="","",INDEX('Final Calculation Sheet'!$F$4:$F$40,$AL$92)))</f>
        <v/>
      </c>
      <c r="C92" s="119">
        <f>IF($AL$92="","",IF(INDEX('Final Calculation Sheet'!$G$4:$G$40,$AL$92)="","",INDEX('Final Calculation Sheet'!$G$4:$G$40,$AL$92)))</f>
        <v/>
      </c>
      <c r="D92" s="121">
        <f>IF($AL$92="","",IF(INDEX('Final Calculation Sheet'!$B$4:$B$40,$AL$92)="","",INDEX('Final Calculation Sheet'!$B$4:$B$40,$AL$92)))</f>
        <v/>
      </c>
      <c r="E92" s="121">
        <f>IF($AL$92="","",IF(INDEX('Final Calculation Sheet'!$D$4:$D$40,$AL$92)="","",INDEX('Final Calculation Sheet'!$D$4:$D$40,$AL$92)))</f>
        <v/>
      </c>
      <c r="F92" s="121">
        <f>IF($AL$92="","",IF(INDEX('Final Calculation Sheet'!$A$4:$A$40,$AL$92)="","",INDEX('Final Calculation Sheet'!$A$4:$A$40,$AL$92)))</f>
        <v/>
      </c>
      <c r="G92" s="121">
        <f>IF($AL$92="","",IF(INDEX('Final Calculation Sheet'!$E$4:$E$40,$AL$92)="","",INDEX('Final Calculation Sheet'!$E$4:$E$40,$AL$92)))</f>
        <v/>
      </c>
      <c r="H92" s="122">
        <f>IF($AL$92="","",IF(INDEX('Final Calculation Sheet'!$C$4:$C$40,$AL$92)="","",INDEX('Final Calculation Sheet'!$C$4:$C$40,$AL$92)))</f>
        <v/>
      </c>
      <c r="I92" s="122">
        <f>IF($AL$92="","",IF(INDEX('Final Calculation Sheet'!$H$4:$H$40,$AL$92)="","",INDEX('Final Calculation Sheet'!$H$4:$H$40,$AL$92)))</f>
        <v/>
      </c>
      <c r="J92" s="122">
        <f>IF($AL$92="","",IF(INDEX('Final Calculation Sheet'!$I$4:$I$40,$AL$92)="","",INDEX('Final Calculation Sheet'!$I$4:$I$40,$AL$92)))</f>
        <v/>
      </c>
      <c r="K92" s="122">
        <f>IF($AL$92="","",IF(INDEX('Final Calculation Sheet'!$J$4:$J$40,$AL$92)="","",INDEX('Final Calculation Sheet'!$J$4:$J$40,$AL$92)))</f>
        <v/>
      </c>
      <c r="L92" s="122">
        <f>IF($AL$92="","",IF(INDEX('Final Calculation Sheet'!$K$4:$K$40,$AL$92)="","",INDEX('Final Calculation Sheet'!$K$4:$K$40,$AL$92)))</f>
        <v/>
      </c>
      <c r="M92" s="122">
        <f>IF($AL$92="","",IF(INDEX('Final Calculation Sheet'!$L$4:$L$40,$AL$92)="","",INDEX('Final Calculation Sheet'!$L$4:$L$40,$AL$92)))</f>
        <v/>
      </c>
      <c r="N92" s="122">
        <f>IF($AL$92="","",IF(INDEX('Final Calculation Sheet'!$M$4:$M$40,$AL$92)="","",INDEX('Final Calculation Sheet'!$M$4:$M$40,$AL$92)))</f>
        <v/>
      </c>
      <c r="O92" s="123">
        <f>IF($AL$92="","",IF(INDEX('Final Calculation Sheet'!$N$4:$N$40,$AL$92)="","",INDEX('Final Calculation Sheet'!$N$4:$N$40,$AL$92)))</f>
        <v/>
      </c>
      <c r="P92" s="122">
        <f>IF($AL$92="","",IF(INDEX('Final Calculation Sheet'!$O$4:$O$40,$AL$92)="","",INDEX('Final Calculation Sheet'!$O$4:$O$40,$AL$92)))</f>
        <v/>
      </c>
      <c r="Q92" s="122">
        <f>IF($AL$92="","",IF(INDEX('Final Calculation Sheet'!$P$4:$P$40,$AL$92)="","",INDEX('Final Calculation Sheet'!$P$4:$P$40,$AL$92)))</f>
        <v/>
      </c>
      <c r="R92" s="124">
        <f>IF($AL$92="","",IF(INDEX('Final Calculation Sheet'!$Q$4:$Q$40,$AL$92)="","",INDEX('Final Calculation Sheet'!$Q$4:$Q$40,$AL$92)))</f>
        <v/>
      </c>
      <c r="S92" s="122">
        <f>IF($AL$92="","",IF(INDEX('Final Calculation Sheet'!$R$4:$R$40,$AL$92)="","",INDEX('Final Calculation Sheet'!$R$4:$R$40,$AL$92)))</f>
        <v/>
      </c>
      <c r="T92" s="122">
        <f>IF($AL$92="","",IF(INDEX('Final Calculation Sheet'!$S$4:$S$40,$AL$92)="","",INDEX('Final Calculation Sheet'!$S$4:$S$40,$AL$92)))</f>
        <v/>
      </c>
      <c r="U92" s="122">
        <f>IF($AL$92="","",IF(INDEX('Final Calculation Sheet'!$T$4:$T$40,$AL$92)="","",INDEX('Final Calculation Sheet'!$T$4:$T$40,$AL$92)))</f>
        <v/>
      </c>
      <c r="V92" s="125">
        <f>IF($AL$92="","",IF(INDEX('Final Calculation Sheet'!$U$4:$U$40,$AL$92)="","",INDEX('Final Calculation Sheet'!$U$4:$U$40,$AL$92)))</f>
        <v/>
      </c>
      <c r="W92" s="122">
        <f>IF($AL$92="","",IF(INDEX('Final Calculation Sheet'!$V$4:$V$40,$AL$92)="","",INDEX('Final Calculation Sheet'!$V$4:$V$40,$AL$92)))</f>
        <v/>
      </c>
      <c r="X92" s="122">
        <f>IF($AL$92="","",IF(INDEX('Final Calculation Sheet'!$W$4:$W$40,$AL$92)="","",INDEX('Final Calculation Sheet'!$W$4:$W$40,$AL$92)))</f>
        <v/>
      </c>
      <c r="Y92" s="122">
        <f>IF($AL$92="","",IF(INDEX('Final Calculation Sheet'!$X$4:$X$40,$AL$92)="","",INDEX('Final Calculation Sheet'!$X$4:$X$40,$AL$92)))</f>
        <v/>
      </c>
      <c r="Z92" s="122">
        <f>IF($AL$92="","",IF(INDEX('Final Calculation Sheet'!$Y$4:$Y$40,$AL$92)="","",INDEX('Final Calculation Sheet'!$Y$4:$Y$40,$AL$92)))</f>
        <v/>
      </c>
      <c r="AA92" s="122">
        <f>IF($AL$92="","",IF(INDEX('Final Calculation Sheet'!$Z$4:$Z$40,$AL$92)="","",INDEX('Final Calculation Sheet'!$Z$4:$Z$40,$AL$92)))</f>
        <v/>
      </c>
      <c r="AB92" s="122">
        <f>IF($AL$92="","",IF(INDEX('Final Calculation Sheet'!$AA$4:$AA$40,$AL$92)="","",INDEX('Final Calculation Sheet'!$AA$4:$AA$40,$AL$92)))</f>
        <v/>
      </c>
      <c r="AC92" s="122">
        <f>IF($AL$92="","",IF(INDEX('Final Calculation Sheet'!$AB$4:$AB$40,$AL$92)="","",INDEX('Final Calculation Sheet'!$AB$4:$AB$40,$AL$92)))</f>
        <v/>
      </c>
      <c r="AD92" s="122">
        <f>IF($AL$92="","",IF(INDEX('Final Calculation Sheet'!$AC$4:$AC$40,$AL$92)="","",INDEX('Final Calculation Sheet'!$AC$4:$AC$40,$AL$92)))</f>
        <v/>
      </c>
      <c r="AE92" s="122">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f>IF(COUNTIF($B$4:$AI$4,"&lt;&gt;")=0,"",IFERROR(MATCH(33,$AK$6:$AK$42,0),""))</f>
        <v/>
      </c>
    </row>
    <row r="93">
      <c r="A93" s="128">
        <f>IF($AL$93="","",34)</f>
        <v/>
      </c>
      <c r="B93" s="129">
        <f>IF($AL$93="","",IF(INDEX('Final Calculation Sheet'!$F$4:$F$40,$AL$93)="","",INDEX('Final Calculation Sheet'!$F$4:$F$40,$AL$93)))</f>
        <v/>
      </c>
      <c r="C93" s="129">
        <f>IF($AL$93="","",IF(INDEX('Final Calculation Sheet'!$G$4:$G$40,$AL$93)="","",INDEX('Final Calculation Sheet'!$G$4:$G$40,$AL$93)))</f>
        <v/>
      </c>
      <c r="D93" s="130">
        <f>IF($AL$93="","",IF(INDEX('Final Calculation Sheet'!$B$4:$B$40,$AL$93)="","",INDEX('Final Calculation Sheet'!$B$4:$B$40,$AL$93)))</f>
        <v/>
      </c>
      <c r="E93" s="130">
        <f>IF($AL$93="","",IF(INDEX('Final Calculation Sheet'!$D$4:$D$40,$AL$93)="","",INDEX('Final Calculation Sheet'!$D$4:$D$40,$AL$93)))</f>
        <v/>
      </c>
      <c r="F93" s="130">
        <f>IF($AL$93="","",IF(INDEX('Final Calculation Sheet'!$A$4:$A$40,$AL$93)="","",INDEX('Final Calculation Sheet'!$A$4:$A$40,$AL$93)))</f>
        <v/>
      </c>
      <c r="G93" s="130">
        <f>IF($AL$93="","",IF(INDEX('Final Calculation Sheet'!$E$4:$E$40,$AL$93)="","",INDEX('Final Calculation Sheet'!$E$4:$E$40,$AL$93)))</f>
        <v/>
      </c>
      <c r="H93" s="131">
        <f>IF($AL$93="","",IF(INDEX('Final Calculation Sheet'!$C$4:$C$40,$AL$93)="","",INDEX('Final Calculation Sheet'!$C$4:$C$40,$AL$93)))</f>
        <v/>
      </c>
      <c r="I93" s="131">
        <f>IF($AL$93="","",IF(INDEX('Final Calculation Sheet'!$H$4:$H$40,$AL$93)="","",INDEX('Final Calculation Sheet'!$H$4:$H$40,$AL$93)))</f>
        <v/>
      </c>
      <c r="J93" s="131">
        <f>IF($AL$93="","",IF(INDEX('Final Calculation Sheet'!$I$4:$I$40,$AL$93)="","",INDEX('Final Calculation Sheet'!$I$4:$I$40,$AL$93)))</f>
        <v/>
      </c>
      <c r="K93" s="131">
        <f>IF($AL$93="","",IF(INDEX('Final Calculation Sheet'!$J$4:$J$40,$AL$93)="","",INDEX('Final Calculation Sheet'!$J$4:$J$40,$AL$93)))</f>
        <v/>
      </c>
      <c r="L93" s="131">
        <f>IF($AL$93="","",IF(INDEX('Final Calculation Sheet'!$K$4:$K$40,$AL$93)="","",INDEX('Final Calculation Sheet'!$K$4:$K$40,$AL$93)))</f>
        <v/>
      </c>
      <c r="M93" s="131">
        <f>IF($AL$93="","",IF(INDEX('Final Calculation Sheet'!$L$4:$L$40,$AL$93)="","",INDEX('Final Calculation Sheet'!$L$4:$L$40,$AL$93)))</f>
        <v/>
      </c>
      <c r="N93" s="131">
        <f>IF($AL$93="","",IF(INDEX('Final Calculation Sheet'!$M$4:$M$40,$AL$93)="","",INDEX('Final Calculation Sheet'!$M$4:$M$40,$AL$93)))</f>
        <v/>
      </c>
      <c r="O93" s="132">
        <f>IF($AL$93="","",IF(INDEX('Final Calculation Sheet'!$N$4:$N$40,$AL$93)="","",INDEX('Final Calculation Sheet'!$N$4:$N$40,$AL$93)))</f>
        <v/>
      </c>
      <c r="P93" s="131">
        <f>IF($AL$93="","",IF(INDEX('Final Calculation Sheet'!$O$4:$O$40,$AL$93)="","",INDEX('Final Calculation Sheet'!$O$4:$O$40,$AL$93)))</f>
        <v/>
      </c>
      <c r="Q93" s="131">
        <f>IF($AL$93="","",IF(INDEX('Final Calculation Sheet'!$P$4:$P$40,$AL$93)="","",INDEX('Final Calculation Sheet'!$P$4:$P$40,$AL$93)))</f>
        <v/>
      </c>
      <c r="R93" s="133">
        <f>IF($AL$93="","",IF(INDEX('Final Calculation Sheet'!$Q$4:$Q$40,$AL$93)="","",INDEX('Final Calculation Sheet'!$Q$4:$Q$40,$AL$93)))</f>
        <v/>
      </c>
      <c r="S93" s="131">
        <f>IF($AL$93="","",IF(INDEX('Final Calculation Sheet'!$R$4:$R$40,$AL$93)="","",INDEX('Final Calculation Sheet'!$R$4:$R$40,$AL$93)))</f>
        <v/>
      </c>
      <c r="T93" s="131">
        <f>IF($AL$93="","",IF(INDEX('Final Calculation Sheet'!$S$4:$S$40,$AL$93)="","",INDEX('Final Calculation Sheet'!$S$4:$S$40,$AL$93)))</f>
        <v/>
      </c>
      <c r="U93" s="131">
        <f>IF($AL$93="","",IF(INDEX('Final Calculation Sheet'!$T$4:$T$40,$AL$93)="","",INDEX('Final Calculation Sheet'!$T$4:$T$40,$AL$93)))</f>
        <v/>
      </c>
      <c r="V93" s="134">
        <f>IF($AL$93="","",IF(INDEX('Final Calculation Sheet'!$U$4:$U$40,$AL$93)="","",INDEX('Final Calculation Sheet'!$U$4:$U$40,$AL$93)))</f>
        <v/>
      </c>
      <c r="W93" s="131">
        <f>IF($AL$93="","",IF(INDEX('Final Calculation Sheet'!$V$4:$V$40,$AL$93)="","",INDEX('Final Calculation Sheet'!$V$4:$V$40,$AL$93)))</f>
        <v/>
      </c>
      <c r="X93" s="131">
        <f>IF($AL$93="","",IF(INDEX('Final Calculation Sheet'!$W$4:$W$40,$AL$93)="","",INDEX('Final Calculation Sheet'!$W$4:$W$40,$AL$93)))</f>
        <v/>
      </c>
      <c r="Y93" s="131">
        <f>IF($AL$93="","",IF(INDEX('Final Calculation Sheet'!$X$4:$X$40,$AL$93)="","",INDEX('Final Calculation Sheet'!$X$4:$X$40,$AL$93)))</f>
        <v/>
      </c>
      <c r="Z93" s="131">
        <f>IF($AL$93="","",IF(INDEX('Final Calculation Sheet'!$Y$4:$Y$40,$AL$93)="","",INDEX('Final Calculation Sheet'!$Y$4:$Y$40,$AL$93)))</f>
        <v/>
      </c>
      <c r="AA93" s="131">
        <f>IF($AL$93="","",IF(INDEX('Final Calculation Sheet'!$Z$4:$Z$40,$AL$93)="","",INDEX('Final Calculation Sheet'!$Z$4:$Z$40,$AL$93)))</f>
        <v/>
      </c>
      <c r="AB93" s="131">
        <f>IF($AL$93="","",IF(INDEX('Final Calculation Sheet'!$AA$4:$AA$40,$AL$93)="","",INDEX('Final Calculation Sheet'!$AA$4:$AA$40,$AL$93)))</f>
        <v/>
      </c>
      <c r="AC93" s="131">
        <f>IF($AL$93="","",IF(INDEX('Final Calculation Sheet'!$AB$4:$AB$40,$AL$93)="","",INDEX('Final Calculation Sheet'!$AB$4:$AB$40,$AL$93)))</f>
        <v/>
      </c>
      <c r="AD93" s="131">
        <f>IF($AL$93="","",IF(INDEX('Final Calculation Sheet'!$AC$4:$AC$40,$AL$93)="","",INDEX('Final Calculation Sheet'!$AC$4:$AC$40,$AL$93)))</f>
        <v/>
      </c>
      <c r="AE93" s="131">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f>IF(COUNTIF($B$4:$AI$4,"&lt;&gt;")=0,"",IFERROR(MATCH(34,$AK$6:$AK$42,0),""))</f>
        <v/>
      </c>
    </row>
    <row r="94">
      <c r="A94" s="118">
        <f>IF($AL$94="","",35)</f>
        <v/>
      </c>
      <c r="B94" s="119">
        <f>IF($AL$94="","",IF(INDEX('Final Calculation Sheet'!$F$4:$F$40,$AL$94)="","",INDEX('Final Calculation Sheet'!$F$4:$F$40,$AL$94)))</f>
        <v/>
      </c>
      <c r="C94" s="119">
        <f>IF($AL$94="","",IF(INDEX('Final Calculation Sheet'!$G$4:$G$40,$AL$94)="","",INDEX('Final Calculation Sheet'!$G$4:$G$40,$AL$94)))</f>
        <v/>
      </c>
      <c r="D94" s="121">
        <f>IF($AL$94="","",IF(INDEX('Final Calculation Sheet'!$B$4:$B$40,$AL$94)="","",INDEX('Final Calculation Sheet'!$B$4:$B$40,$AL$94)))</f>
        <v/>
      </c>
      <c r="E94" s="121">
        <f>IF($AL$94="","",IF(INDEX('Final Calculation Sheet'!$D$4:$D$40,$AL$94)="","",INDEX('Final Calculation Sheet'!$D$4:$D$40,$AL$94)))</f>
        <v/>
      </c>
      <c r="F94" s="121">
        <f>IF($AL$94="","",IF(INDEX('Final Calculation Sheet'!$A$4:$A$40,$AL$94)="","",INDEX('Final Calculation Sheet'!$A$4:$A$40,$AL$94)))</f>
        <v/>
      </c>
      <c r="G94" s="121">
        <f>IF($AL$94="","",IF(INDEX('Final Calculation Sheet'!$E$4:$E$40,$AL$94)="","",INDEX('Final Calculation Sheet'!$E$4:$E$40,$AL$94)))</f>
        <v/>
      </c>
      <c r="H94" s="122">
        <f>IF($AL$94="","",IF(INDEX('Final Calculation Sheet'!$C$4:$C$40,$AL$94)="","",INDEX('Final Calculation Sheet'!$C$4:$C$40,$AL$94)))</f>
        <v/>
      </c>
      <c r="I94" s="122">
        <f>IF($AL$94="","",IF(INDEX('Final Calculation Sheet'!$H$4:$H$40,$AL$94)="","",INDEX('Final Calculation Sheet'!$H$4:$H$40,$AL$94)))</f>
        <v/>
      </c>
      <c r="J94" s="122">
        <f>IF($AL$94="","",IF(INDEX('Final Calculation Sheet'!$I$4:$I$40,$AL$94)="","",INDEX('Final Calculation Sheet'!$I$4:$I$40,$AL$94)))</f>
        <v/>
      </c>
      <c r="K94" s="122">
        <f>IF($AL$94="","",IF(INDEX('Final Calculation Sheet'!$J$4:$J$40,$AL$94)="","",INDEX('Final Calculation Sheet'!$J$4:$J$40,$AL$94)))</f>
        <v/>
      </c>
      <c r="L94" s="122">
        <f>IF($AL$94="","",IF(INDEX('Final Calculation Sheet'!$K$4:$K$40,$AL$94)="","",INDEX('Final Calculation Sheet'!$K$4:$K$40,$AL$94)))</f>
        <v/>
      </c>
      <c r="M94" s="122">
        <f>IF($AL$94="","",IF(INDEX('Final Calculation Sheet'!$L$4:$L$40,$AL$94)="","",INDEX('Final Calculation Sheet'!$L$4:$L$40,$AL$94)))</f>
        <v/>
      </c>
      <c r="N94" s="122">
        <f>IF($AL$94="","",IF(INDEX('Final Calculation Sheet'!$M$4:$M$40,$AL$94)="","",INDEX('Final Calculation Sheet'!$M$4:$M$40,$AL$94)))</f>
        <v/>
      </c>
      <c r="O94" s="123">
        <f>IF($AL$94="","",IF(INDEX('Final Calculation Sheet'!$N$4:$N$40,$AL$94)="","",INDEX('Final Calculation Sheet'!$N$4:$N$40,$AL$94)))</f>
        <v/>
      </c>
      <c r="P94" s="122">
        <f>IF($AL$94="","",IF(INDEX('Final Calculation Sheet'!$O$4:$O$40,$AL$94)="","",INDEX('Final Calculation Sheet'!$O$4:$O$40,$AL$94)))</f>
        <v/>
      </c>
      <c r="Q94" s="122">
        <f>IF($AL$94="","",IF(INDEX('Final Calculation Sheet'!$P$4:$P$40,$AL$94)="","",INDEX('Final Calculation Sheet'!$P$4:$P$40,$AL$94)))</f>
        <v/>
      </c>
      <c r="R94" s="124">
        <f>IF($AL$94="","",IF(INDEX('Final Calculation Sheet'!$Q$4:$Q$40,$AL$94)="","",INDEX('Final Calculation Sheet'!$Q$4:$Q$40,$AL$94)))</f>
        <v/>
      </c>
      <c r="S94" s="122">
        <f>IF($AL$94="","",IF(INDEX('Final Calculation Sheet'!$R$4:$R$40,$AL$94)="","",INDEX('Final Calculation Sheet'!$R$4:$R$40,$AL$94)))</f>
        <v/>
      </c>
      <c r="T94" s="122">
        <f>IF($AL$94="","",IF(INDEX('Final Calculation Sheet'!$S$4:$S$40,$AL$94)="","",INDEX('Final Calculation Sheet'!$S$4:$S$40,$AL$94)))</f>
        <v/>
      </c>
      <c r="U94" s="122">
        <f>IF($AL$94="","",IF(INDEX('Final Calculation Sheet'!$T$4:$T$40,$AL$94)="","",INDEX('Final Calculation Sheet'!$T$4:$T$40,$AL$94)))</f>
        <v/>
      </c>
      <c r="V94" s="125">
        <f>IF($AL$94="","",IF(INDEX('Final Calculation Sheet'!$U$4:$U$40,$AL$94)="","",INDEX('Final Calculation Sheet'!$U$4:$U$40,$AL$94)))</f>
        <v/>
      </c>
      <c r="W94" s="122">
        <f>IF($AL$94="","",IF(INDEX('Final Calculation Sheet'!$V$4:$V$40,$AL$94)="","",INDEX('Final Calculation Sheet'!$V$4:$V$40,$AL$94)))</f>
        <v/>
      </c>
      <c r="X94" s="122">
        <f>IF($AL$94="","",IF(INDEX('Final Calculation Sheet'!$W$4:$W$40,$AL$94)="","",INDEX('Final Calculation Sheet'!$W$4:$W$40,$AL$94)))</f>
        <v/>
      </c>
      <c r="Y94" s="122">
        <f>IF($AL$94="","",IF(INDEX('Final Calculation Sheet'!$X$4:$X$40,$AL$94)="","",INDEX('Final Calculation Sheet'!$X$4:$X$40,$AL$94)))</f>
        <v/>
      </c>
      <c r="Z94" s="122">
        <f>IF($AL$94="","",IF(INDEX('Final Calculation Sheet'!$Y$4:$Y$40,$AL$94)="","",INDEX('Final Calculation Sheet'!$Y$4:$Y$40,$AL$94)))</f>
        <v/>
      </c>
      <c r="AA94" s="122">
        <f>IF($AL$94="","",IF(INDEX('Final Calculation Sheet'!$Z$4:$Z$40,$AL$94)="","",INDEX('Final Calculation Sheet'!$Z$4:$Z$40,$AL$94)))</f>
        <v/>
      </c>
      <c r="AB94" s="122">
        <f>IF($AL$94="","",IF(INDEX('Final Calculation Sheet'!$AA$4:$AA$40,$AL$94)="","",INDEX('Final Calculation Sheet'!$AA$4:$AA$40,$AL$94)))</f>
        <v/>
      </c>
      <c r="AC94" s="122">
        <f>IF($AL$94="","",IF(INDEX('Final Calculation Sheet'!$AB$4:$AB$40,$AL$94)="","",INDEX('Final Calculation Sheet'!$AB$4:$AB$40,$AL$94)))</f>
        <v/>
      </c>
      <c r="AD94" s="122">
        <f>IF($AL$94="","",IF(INDEX('Final Calculation Sheet'!$AC$4:$AC$40,$AL$94)="","",INDEX('Final Calculation Sheet'!$AC$4:$AC$40,$AL$94)))</f>
        <v/>
      </c>
      <c r="AE94" s="122">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f>IF(COUNTIF($B$4:$AI$4,"&lt;&gt;")=0,"",IFERROR(MATCH(35,$AK$6:$AK$42,0),""))</f>
        <v/>
      </c>
    </row>
    <row r="95">
      <c r="A95" s="128">
        <f>IF($AL$95="","",36)</f>
        <v/>
      </c>
      <c r="B95" s="129">
        <f>IF($AL$95="","",IF(INDEX('Final Calculation Sheet'!$F$4:$F$40,$AL$95)="","",INDEX('Final Calculation Sheet'!$F$4:$F$40,$AL$95)))</f>
        <v/>
      </c>
      <c r="C95" s="129">
        <f>IF($AL$95="","",IF(INDEX('Final Calculation Sheet'!$G$4:$G$40,$AL$95)="","",INDEX('Final Calculation Sheet'!$G$4:$G$40,$AL$95)))</f>
        <v/>
      </c>
      <c r="D95" s="130">
        <f>IF($AL$95="","",IF(INDEX('Final Calculation Sheet'!$B$4:$B$40,$AL$95)="","",INDEX('Final Calculation Sheet'!$B$4:$B$40,$AL$95)))</f>
        <v/>
      </c>
      <c r="E95" s="130">
        <f>IF($AL$95="","",IF(INDEX('Final Calculation Sheet'!$D$4:$D$40,$AL$95)="","",INDEX('Final Calculation Sheet'!$D$4:$D$40,$AL$95)))</f>
        <v/>
      </c>
      <c r="F95" s="130">
        <f>IF($AL$95="","",IF(INDEX('Final Calculation Sheet'!$A$4:$A$40,$AL$95)="","",INDEX('Final Calculation Sheet'!$A$4:$A$40,$AL$95)))</f>
        <v/>
      </c>
      <c r="G95" s="130">
        <f>IF($AL$95="","",IF(INDEX('Final Calculation Sheet'!$E$4:$E$40,$AL$95)="","",INDEX('Final Calculation Sheet'!$E$4:$E$40,$AL$95)))</f>
        <v/>
      </c>
      <c r="H95" s="131">
        <f>IF($AL$95="","",IF(INDEX('Final Calculation Sheet'!$C$4:$C$40,$AL$95)="","",INDEX('Final Calculation Sheet'!$C$4:$C$40,$AL$95)))</f>
        <v/>
      </c>
      <c r="I95" s="131">
        <f>IF($AL$95="","",IF(INDEX('Final Calculation Sheet'!$H$4:$H$40,$AL$95)="","",INDEX('Final Calculation Sheet'!$H$4:$H$40,$AL$95)))</f>
        <v/>
      </c>
      <c r="J95" s="131">
        <f>IF($AL$95="","",IF(INDEX('Final Calculation Sheet'!$I$4:$I$40,$AL$95)="","",INDEX('Final Calculation Sheet'!$I$4:$I$40,$AL$95)))</f>
        <v/>
      </c>
      <c r="K95" s="131">
        <f>IF($AL$95="","",IF(INDEX('Final Calculation Sheet'!$J$4:$J$40,$AL$95)="","",INDEX('Final Calculation Sheet'!$J$4:$J$40,$AL$95)))</f>
        <v/>
      </c>
      <c r="L95" s="131">
        <f>IF($AL$95="","",IF(INDEX('Final Calculation Sheet'!$K$4:$K$40,$AL$95)="","",INDEX('Final Calculation Sheet'!$K$4:$K$40,$AL$95)))</f>
        <v/>
      </c>
      <c r="M95" s="131">
        <f>IF($AL$95="","",IF(INDEX('Final Calculation Sheet'!$L$4:$L$40,$AL$95)="","",INDEX('Final Calculation Sheet'!$L$4:$L$40,$AL$95)))</f>
        <v/>
      </c>
      <c r="N95" s="131">
        <f>IF($AL$95="","",IF(INDEX('Final Calculation Sheet'!$M$4:$M$40,$AL$95)="","",INDEX('Final Calculation Sheet'!$M$4:$M$40,$AL$95)))</f>
        <v/>
      </c>
      <c r="O95" s="132">
        <f>IF($AL$95="","",IF(INDEX('Final Calculation Sheet'!$N$4:$N$40,$AL$95)="","",INDEX('Final Calculation Sheet'!$N$4:$N$40,$AL$95)))</f>
        <v/>
      </c>
      <c r="P95" s="131">
        <f>IF($AL$95="","",IF(INDEX('Final Calculation Sheet'!$O$4:$O$40,$AL$95)="","",INDEX('Final Calculation Sheet'!$O$4:$O$40,$AL$95)))</f>
        <v/>
      </c>
      <c r="Q95" s="131">
        <f>IF($AL$95="","",IF(INDEX('Final Calculation Sheet'!$P$4:$P$40,$AL$95)="","",INDEX('Final Calculation Sheet'!$P$4:$P$40,$AL$95)))</f>
        <v/>
      </c>
      <c r="R95" s="133">
        <f>IF($AL$95="","",IF(INDEX('Final Calculation Sheet'!$Q$4:$Q$40,$AL$95)="","",INDEX('Final Calculation Sheet'!$Q$4:$Q$40,$AL$95)))</f>
        <v/>
      </c>
      <c r="S95" s="131">
        <f>IF($AL$95="","",IF(INDEX('Final Calculation Sheet'!$R$4:$R$40,$AL$95)="","",INDEX('Final Calculation Sheet'!$R$4:$R$40,$AL$95)))</f>
        <v/>
      </c>
      <c r="T95" s="131">
        <f>IF($AL$95="","",IF(INDEX('Final Calculation Sheet'!$S$4:$S$40,$AL$95)="","",INDEX('Final Calculation Sheet'!$S$4:$S$40,$AL$95)))</f>
        <v/>
      </c>
      <c r="U95" s="131">
        <f>IF($AL$95="","",IF(INDEX('Final Calculation Sheet'!$T$4:$T$40,$AL$95)="","",INDEX('Final Calculation Sheet'!$T$4:$T$40,$AL$95)))</f>
        <v/>
      </c>
      <c r="V95" s="134">
        <f>IF($AL$95="","",IF(INDEX('Final Calculation Sheet'!$U$4:$U$40,$AL$95)="","",INDEX('Final Calculation Sheet'!$U$4:$U$40,$AL$95)))</f>
        <v/>
      </c>
      <c r="W95" s="131">
        <f>IF($AL$95="","",IF(INDEX('Final Calculation Sheet'!$V$4:$V$40,$AL$95)="","",INDEX('Final Calculation Sheet'!$V$4:$V$40,$AL$95)))</f>
        <v/>
      </c>
      <c r="X95" s="131">
        <f>IF($AL$95="","",IF(INDEX('Final Calculation Sheet'!$W$4:$W$40,$AL$95)="","",INDEX('Final Calculation Sheet'!$W$4:$W$40,$AL$95)))</f>
        <v/>
      </c>
      <c r="Y95" s="131">
        <f>IF($AL$95="","",IF(INDEX('Final Calculation Sheet'!$X$4:$X$40,$AL$95)="","",INDEX('Final Calculation Sheet'!$X$4:$X$40,$AL$95)))</f>
        <v/>
      </c>
      <c r="Z95" s="131">
        <f>IF($AL$95="","",IF(INDEX('Final Calculation Sheet'!$Y$4:$Y$40,$AL$95)="","",INDEX('Final Calculation Sheet'!$Y$4:$Y$40,$AL$95)))</f>
        <v/>
      </c>
      <c r="AA95" s="131">
        <f>IF($AL$95="","",IF(INDEX('Final Calculation Sheet'!$Z$4:$Z$40,$AL$95)="","",INDEX('Final Calculation Sheet'!$Z$4:$Z$40,$AL$95)))</f>
        <v/>
      </c>
      <c r="AB95" s="131">
        <f>IF($AL$95="","",IF(INDEX('Final Calculation Sheet'!$AA$4:$AA$40,$AL$95)="","",INDEX('Final Calculation Sheet'!$AA$4:$AA$40,$AL$95)))</f>
        <v/>
      </c>
      <c r="AC95" s="131">
        <f>IF($AL$95="","",IF(INDEX('Final Calculation Sheet'!$AB$4:$AB$40,$AL$95)="","",INDEX('Final Calculation Sheet'!$AB$4:$AB$40,$AL$95)))</f>
        <v/>
      </c>
      <c r="AD95" s="131">
        <f>IF($AL$95="","",IF(INDEX('Final Calculation Sheet'!$AC$4:$AC$40,$AL$95)="","",INDEX('Final Calculation Sheet'!$AC$4:$AC$40,$AL$95)))</f>
        <v/>
      </c>
      <c r="AE95" s="131">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f>IF(COUNTIF($B$4:$AI$4,"&lt;&gt;")=0,"",IFERROR(MATCH(36,$AK$6:$AK$42,0),""))</f>
        <v/>
      </c>
    </row>
    <row r="96">
      <c r="A96" s="118">
        <f>IF($AL$96="","",37)</f>
        <v/>
      </c>
      <c r="B96" s="119">
        <f>IF($AL$96="","",IF(INDEX('Final Calculation Sheet'!$F$4:$F$40,$AL$96)="","",INDEX('Final Calculation Sheet'!$F$4:$F$40,$AL$96)))</f>
        <v/>
      </c>
      <c r="C96" s="119">
        <f>IF($AL$96="","",IF(INDEX('Final Calculation Sheet'!$G$4:$G$40,$AL$96)="","",INDEX('Final Calculation Sheet'!$G$4:$G$40,$AL$96)))</f>
        <v/>
      </c>
      <c r="D96" s="121">
        <f>IF($AL$96="","",IF(INDEX('Final Calculation Sheet'!$B$4:$B$40,$AL$96)="","",INDEX('Final Calculation Sheet'!$B$4:$B$40,$AL$96)))</f>
        <v/>
      </c>
      <c r="E96" s="121">
        <f>IF($AL$96="","",IF(INDEX('Final Calculation Sheet'!$D$4:$D$40,$AL$96)="","",INDEX('Final Calculation Sheet'!$D$4:$D$40,$AL$96)))</f>
        <v/>
      </c>
      <c r="F96" s="121">
        <f>IF($AL$96="","",IF(INDEX('Final Calculation Sheet'!$A$4:$A$40,$AL$96)="","",INDEX('Final Calculation Sheet'!$A$4:$A$40,$AL$96)))</f>
        <v/>
      </c>
      <c r="G96" s="121">
        <f>IF($AL$96="","",IF(INDEX('Final Calculation Sheet'!$E$4:$E$40,$AL$96)="","",INDEX('Final Calculation Sheet'!$E$4:$E$40,$AL$96)))</f>
        <v/>
      </c>
      <c r="H96" s="122">
        <f>IF($AL$96="","",IF(INDEX('Final Calculation Sheet'!$C$4:$C$40,$AL$96)="","",INDEX('Final Calculation Sheet'!$C$4:$C$40,$AL$96)))</f>
        <v/>
      </c>
      <c r="I96" s="122">
        <f>IF($AL$96="","",IF(INDEX('Final Calculation Sheet'!$H$4:$H$40,$AL$96)="","",INDEX('Final Calculation Sheet'!$H$4:$H$40,$AL$96)))</f>
        <v/>
      </c>
      <c r="J96" s="122">
        <f>IF($AL$96="","",IF(INDEX('Final Calculation Sheet'!$I$4:$I$40,$AL$96)="","",INDEX('Final Calculation Sheet'!$I$4:$I$40,$AL$96)))</f>
        <v/>
      </c>
      <c r="K96" s="122">
        <f>IF($AL$96="","",IF(INDEX('Final Calculation Sheet'!$J$4:$J$40,$AL$96)="","",INDEX('Final Calculation Sheet'!$J$4:$J$40,$AL$96)))</f>
        <v/>
      </c>
      <c r="L96" s="122">
        <f>IF($AL$96="","",IF(INDEX('Final Calculation Sheet'!$K$4:$K$40,$AL$96)="","",INDEX('Final Calculation Sheet'!$K$4:$K$40,$AL$96)))</f>
        <v/>
      </c>
      <c r="M96" s="122">
        <f>IF($AL$96="","",IF(INDEX('Final Calculation Sheet'!$L$4:$L$40,$AL$96)="","",INDEX('Final Calculation Sheet'!$L$4:$L$40,$AL$96)))</f>
        <v/>
      </c>
      <c r="N96" s="122">
        <f>IF($AL$96="","",IF(INDEX('Final Calculation Sheet'!$M$4:$M$40,$AL$96)="","",INDEX('Final Calculation Sheet'!$M$4:$M$40,$AL$96)))</f>
        <v/>
      </c>
      <c r="O96" s="123">
        <f>IF($AL$96="","",IF(INDEX('Final Calculation Sheet'!$N$4:$N$40,$AL$96)="","",INDEX('Final Calculation Sheet'!$N$4:$N$40,$AL$96)))</f>
        <v/>
      </c>
      <c r="P96" s="122">
        <f>IF($AL$96="","",IF(INDEX('Final Calculation Sheet'!$O$4:$O$40,$AL$96)="","",INDEX('Final Calculation Sheet'!$O$4:$O$40,$AL$96)))</f>
        <v/>
      </c>
      <c r="Q96" s="122">
        <f>IF($AL$96="","",IF(INDEX('Final Calculation Sheet'!$P$4:$P$40,$AL$96)="","",INDEX('Final Calculation Sheet'!$P$4:$P$40,$AL$96)))</f>
        <v/>
      </c>
      <c r="R96" s="124">
        <f>IF($AL$96="","",IF(INDEX('Final Calculation Sheet'!$Q$4:$Q$40,$AL$96)="","",INDEX('Final Calculation Sheet'!$Q$4:$Q$40,$AL$96)))</f>
        <v/>
      </c>
      <c r="S96" s="122">
        <f>IF($AL$96="","",IF(INDEX('Final Calculation Sheet'!$R$4:$R$40,$AL$96)="","",INDEX('Final Calculation Sheet'!$R$4:$R$40,$AL$96)))</f>
        <v/>
      </c>
      <c r="T96" s="122">
        <f>IF($AL$96="","",IF(INDEX('Final Calculation Sheet'!$S$4:$S$40,$AL$96)="","",INDEX('Final Calculation Sheet'!$S$4:$S$40,$AL$96)))</f>
        <v/>
      </c>
      <c r="U96" s="122">
        <f>IF($AL$96="","",IF(INDEX('Final Calculation Sheet'!$T$4:$T$40,$AL$96)="","",INDEX('Final Calculation Sheet'!$T$4:$T$40,$AL$96)))</f>
        <v/>
      </c>
      <c r="V96" s="125">
        <f>IF($AL$96="","",IF(INDEX('Final Calculation Sheet'!$U$4:$U$40,$AL$96)="","",INDEX('Final Calculation Sheet'!$U$4:$U$40,$AL$96)))</f>
        <v/>
      </c>
      <c r="W96" s="122">
        <f>IF($AL$96="","",IF(INDEX('Final Calculation Sheet'!$V$4:$V$40,$AL$96)="","",INDEX('Final Calculation Sheet'!$V$4:$V$40,$AL$96)))</f>
        <v/>
      </c>
      <c r="X96" s="122">
        <f>IF($AL$96="","",IF(INDEX('Final Calculation Sheet'!$W$4:$W$40,$AL$96)="","",INDEX('Final Calculation Sheet'!$W$4:$W$40,$AL$96)))</f>
        <v/>
      </c>
      <c r="Y96" s="122">
        <f>IF($AL$96="","",IF(INDEX('Final Calculation Sheet'!$X$4:$X$40,$AL$96)="","",INDEX('Final Calculation Sheet'!$X$4:$X$40,$AL$96)))</f>
        <v/>
      </c>
      <c r="Z96" s="122">
        <f>IF($AL$96="","",IF(INDEX('Final Calculation Sheet'!$Y$4:$Y$40,$AL$96)="","",INDEX('Final Calculation Sheet'!$Y$4:$Y$40,$AL$96)))</f>
        <v/>
      </c>
      <c r="AA96" s="122">
        <f>IF($AL$96="","",IF(INDEX('Final Calculation Sheet'!$Z$4:$Z$40,$AL$96)="","",INDEX('Final Calculation Sheet'!$Z$4:$Z$40,$AL$96)))</f>
        <v/>
      </c>
      <c r="AB96" s="122">
        <f>IF($AL$96="","",IF(INDEX('Final Calculation Sheet'!$AA$4:$AA$40,$AL$96)="","",INDEX('Final Calculation Sheet'!$AA$4:$AA$40,$AL$96)))</f>
        <v/>
      </c>
      <c r="AC96" s="122">
        <f>IF($AL$96="","",IF(INDEX('Final Calculation Sheet'!$AB$4:$AB$40,$AL$96)="","",INDEX('Final Calculation Sheet'!$AB$4:$AB$40,$AL$96)))</f>
        <v/>
      </c>
      <c r="AD96" s="122">
        <f>IF($AL$96="","",IF(INDEX('Final Calculation Sheet'!$AC$4:$AC$40,$AL$96)="","",INDEX('Final Calculation Sheet'!$AC$4:$AC$40,$AL$96)))</f>
        <v/>
      </c>
      <c r="AE96" s="122">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SUGN_B_DEP</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SUGN_D_DEP</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HA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DEP B-FINAL (Lot No by Final!G2)</t>
        </is>
      </c>
      <c r="GH3" t="inlineStr">
        <is>
          <t>DEP B-LIVE (Lot No by Live!C4)</t>
        </is>
      </c>
      <c r="GM3" t="inlineStr">
        <is>
          <t>DEP B-BG (Lot No by BuyerGroups!C4)</t>
        </is>
      </c>
      <c r="GR3" t="inlineStr">
        <is>
          <t>DEP D-FINAL (Lot Name by Final!G2)</t>
        </is>
      </c>
      <c r="GW3" t="inlineStr">
        <is>
          <t>DEP D-BG (Lot Name by BuyerGroups!C4)</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C4">
        <f>IF('Final Calculation Sheet'!$F$4="","",IF(OR('Final Calculation Sheet'!$G$2="",ISNUMBER(SEARCH('Final Calculation Sheet'!$G$2,'Final Calculation Sheet'!$G$4))),'Final Calculation Sheet'!$F$4,""))</f>
        <v/>
      </c>
      <c r="GD4">
        <f>IF(GC4="","",COUNTIFS(GC$4:GC$40,"&lt;"&amp;GC4,GC$4:GC$40,"&lt;&gt;"&amp;"")+COUNTIF(GC$4:GC4,GC4))</f>
        <v/>
      </c>
      <c r="GE4">
        <f>IF(ROW()-3&gt;COUNTIF(GC$4:GC$40,"&lt;&gt;"&amp;""),"",INDEX(GC$4:GC$40,MATCH(ROW()-3,GD$4:GD$40,0)))</f>
        <v/>
      </c>
      <c r="GF4">
        <f>IF(AND(GE4&lt;&gt;"",COUNTIF(GE$4:GE4,GE4)=1),1,0)</f>
        <v/>
      </c>
      <c r="GG4">
        <f>IF(ROW()-3&gt;MAX(GF$4:GF$40),"",INDEX(GE$4:GE$40,MATCH(ROW()-3,GF$4:GF$40,0)))</f>
        <v/>
      </c>
      <c r="GH4">
        <f>IF('Final Calculation Sheet'!$F$4="","",IF('Live Search'!$BO$5=1,'Final Calculation Sheet'!$F$4,""))</f>
        <v/>
      </c>
      <c r="GI4">
        <f>IF(GH4="","",COUNTIFS(GH$4:GH$40,"&lt;"&amp;GH4,GH$4:GH$40,"&lt;&gt;"&amp;"")+COUNTIF(GH$4:GH4,GH4))</f>
        <v/>
      </c>
      <c r="GJ4">
        <f>IF(ROW()-3&gt;COUNTIF(GH$4:GH$40,"&lt;&gt;"&amp;""),"",INDEX(GH$4:GH$40,MATCH(ROW()-3,GI$4:GI$40,0)))</f>
        <v/>
      </c>
      <c r="GK4">
        <f>IF(AND(GJ4&lt;&gt;"",COUNTIF(GJ$4:GJ4,GJ4)=1),1,0)</f>
        <v/>
      </c>
      <c r="GL4">
        <f>IF(ROW()-3&gt;MAX(GK$4:GK$40),"",INDEX(GJ$4:GJ$40,MATCH(ROW()-3,GK$4:GK$40,0)))</f>
        <v/>
      </c>
      <c r="GM4">
        <f>IF('Final Calculation Sheet'!$F$4="","",IF('Buyer Groups'!$C$4="",'Final Calculation Sheet'!$F$4,IF('Buyer Groups'!$C$4="(nonblank)",IF('Final Calculation Sheet'!$G$4&lt;&gt;"",'Final Calculation Sheet'!$F$4,""),IF('Buyer Groups'!$C$4="(blank)",IF('Final Calculation Sheet'!$G$4="",'Final Calculation Sheet'!$F$4,""),IF(ISNUMBER(SEARCH('Buyer Groups'!$C$4,'Final Calculation Sheet'!$G$4)),'Final Calculation Sheet'!$F$4,"")))))</f>
        <v/>
      </c>
      <c r="GN4">
        <f>IF(GM4="","",COUNTIFS(GM$4:GM$40,"&lt;"&amp;GM4,GM$4:GM$40,"&lt;&gt;"&amp;"")+COUNTIF(GM$4:GM4,GM4))</f>
        <v/>
      </c>
      <c r="GO4">
        <f>IF(ROW()-3&gt;COUNTIF(GM$4:GM$40,"&lt;&gt;"&amp;""),"",INDEX(GM$4:GM$40,MATCH(ROW()-3,GN$4:GN$40,0)))</f>
        <v/>
      </c>
      <c r="GP4">
        <f>IF(AND(GO4&lt;&gt;"",COUNTIF(GO$4:GO4,GO4)=1),1,0)</f>
        <v/>
      </c>
      <c r="GQ4">
        <f>IF(ROW()-3&gt;MAX(GP$4:GP$40),"",INDEX(GO$4:GO$40,MATCH(ROW()-3,GP$4:GP$40,0)))</f>
        <v/>
      </c>
      <c r="GR4">
        <f>IF('Final Calculation Sheet'!$B$4="","",IF(OR('Final Calculation Sheet'!$G$2="",ISNUMBER(SEARCH('Final Calculation Sheet'!$G$2,'Final Calculation Sheet'!$G$4))),'Final Calculation Sheet'!$B$4,""))</f>
        <v/>
      </c>
      <c r="GS4">
        <f>IF(GR4="","",COUNTIFS(GR$4:GR$40,"&lt;"&amp;GR4,GR$4:GR$40,"&lt;&gt;"&amp;"")+COUNTIF(GR$4:GR4,GR4))</f>
        <v/>
      </c>
      <c r="GT4">
        <f>IF(ROW()-3&gt;COUNTIF(GR$4:GR$40,"&lt;&gt;"&amp;""),"",INDEX(GR$4:GR$40,MATCH(ROW()-3,GS$4:GS$40,0)))</f>
        <v/>
      </c>
      <c r="GU4">
        <f>IF(AND(GT4&lt;&gt;"",COUNTIF(GT$4:GT4,GT4)=1),1,0)</f>
        <v/>
      </c>
      <c r="GV4">
        <f>IF(ROW()-3&gt;MAX(GU$4:GU$40),"",INDEX(GT$4:GT$40,MATCH(ROW()-3,GU$4:GU$40,0)))</f>
        <v/>
      </c>
      <c r="GW4">
        <f>IF('Final Calculation Sheet'!$B$4="","",IF('Buyer Groups'!$C$4="",'Final Calculation Sheet'!$B$4,IF('Buyer Groups'!$C$4="(nonblank)",IF('Final Calculation Sheet'!$G$4&lt;&gt;"",'Final Calculation Sheet'!$B$4,""),IF('Buyer Groups'!$C$4="(blank)",IF('Final Calculation Sheet'!$G$4="",'Final Calculation Sheet'!$B$4,""),IF(ISNUMBER(SEARCH('Buyer Groups'!$C$4,'Final Calculation Sheet'!$G$4)),'Final Calculation Sheet'!$B$4,"")))))</f>
        <v/>
      </c>
      <c r="GX4">
        <f>IF(GW4="","",COUNTIFS(GW$4:GW$40,"&lt;"&amp;GW4,GW$4:GW$40,"&lt;&gt;"&amp;"")+COUNTIF(GW$4:GW4,GW4))</f>
        <v/>
      </c>
      <c r="GY4">
        <f>IF(ROW()-3&gt;COUNTIF(GW$4:GW$40,"&lt;&gt;"&amp;""),"",INDEX(GW$4:GW$40,MATCH(ROW()-3,GX$4:GX$40,0)))</f>
        <v/>
      </c>
      <c r="GZ4">
        <f>IF(AND(GY4&lt;&gt;"",COUNTIF(GY$4:GY4,GY4)=1),1,0)</f>
        <v/>
      </c>
      <c r="HA4">
        <f>IF(ROW()-3&gt;MAX(GZ$4:GZ$40),"",INDEX(GY$4:GY$40,MATCH(ROW()-3,GZ$4:GZ$40,0)))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C5">
        <f>IF('Final Calculation Sheet'!$F$5="","",IF(OR('Final Calculation Sheet'!$G$2="",ISNUMBER(SEARCH('Final Calculation Sheet'!$G$2,'Final Calculation Sheet'!$G$5))),'Final Calculation Sheet'!$F$5,""))</f>
        <v/>
      </c>
      <c r="GD5">
        <f>IF(GC5="","",COUNTIFS(GC$4:GC$40,"&lt;"&amp;GC5,GC$4:GC$40,"&lt;&gt;"&amp;"")+COUNTIF(GC$4:GC5,GC5))</f>
        <v/>
      </c>
      <c r="GE5">
        <f>IF(ROW()-3&gt;COUNTIF(GC$4:GC$40,"&lt;&gt;"&amp;""),"",INDEX(GC$4:GC$40,MATCH(ROW()-3,GD$4:GD$40,0)))</f>
        <v/>
      </c>
      <c r="GF5">
        <f>GF4+IF(AND(GE5&lt;&gt;"",COUNTIF(GE$4:GE5,GE5)=1),1,0)</f>
        <v/>
      </c>
      <c r="GG5">
        <f>IF(ROW()-3&gt;MAX(GF$4:GF$40),"",INDEX(GE$4:GE$40,MATCH(ROW()-3,GF$4:GF$40,0)))</f>
        <v/>
      </c>
      <c r="GH5">
        <f>IF('Final Calculation Sheet'!$F$5="","",IF('Live Search'!$BO$6=1,'Final Calculation Sheet'!$F$5,""))</f>
        <v/>
      </c>
      <c r="GI5">
        <f>IF(GH5="","",COUNTIFS(GH$4:GH$40,"&lt;"&amp;GH5,GH$4:GH$40,"&lt;&gt;"&amp;"")+COUNTIF(GH$4:GH5,GH5))</f>
        <v/>
      </c>
      <c r="GJ5">
        <f>IF(ROW()-3&gt;COUNTIF(GH$4:GH$40,"&lt;&gt;"&amp;""),"",INDEX(GH$4:GH$40,MATCH(ROW()-3,GI$4:GI$40,0)))</f>
        <v/>
      </c>
      <c r="GK5">
        <f>GK4+IF(AND(GJ5&lt;&gt;"",COUNTIF(GJ$4:GJ5,GJ5)=1),1,0)</f>
        <v/>
      </c>
      <c r="GL5">
        <f>IF(ROW()-3&gt;MAX(GK$4:GK$40),"",INDEX(GJ$4:GJ$40,MATCH(ROW()-3,GK$4:GK$40,0)))</f>
        <v/>
      </c>
      <c r="GM5">
        <f>IF('Final Calculation Sheet'!$F$5="","",IF('Buyer Groups'!$C$4="",'Final Calculation Sheet'!$F$5,IF('Buyer Groups'!$C$4="(nonblank)",IF('Final Calculation Sheet'!$G$5&lt;&gt;"",'Final Calculation Sheet'!$F$5,""),IF('Buyer Groups'!$C$4="(blank)",IF('Final Calculation Sheet'!$G$5="",'Final Calculation Sheet'!$F$5,""),IF(ISNUMBER(SEARCH('Buyer Groups'!$C$4,'Final Calculation Sheet'!$G$5)),'Final Calculation Sheet'!$F$5,"")))))</f>
        <v/>
      </c>
      <c r="GN5">
        <f>IF(GM5="","",COUNTIFS(GM$4:GM$40,"&lt;"&amp;GM5,GM$4:GM$40,"&lt;&gt;"&amp;"")+COUNTIF(GM$4:GM5,GM5))</f>
        <v/>
      </c>
      <c r="GO5">
        <f>IF(ROW()-3&gt;COUNTIF(GM$4:GM$40,"&lt;&gt;"&amp;""),"",INDEX(GM$4:GM$40,MATCH(ROW()-3,GN$4:GN$40,0)))</f>
        <v/>
      </c>
      <c r="GP5">
        <f>GP4+IF(AND(GO5&lt;&gt;"",COUNTIF(GO$4:GO5,GO5)=1),1,0)</f>
        <v/>
      </c>
      <c r="GQ5">
        <f>IF(ROW()-3&gt;MAX(GP$4:GP$40),"",INDEX(GO$4:GO$40,MATCH(ROW()-3,GP$4:GP$40,0)))</f>
        <v/>
      </c>
      <c r="GR5">
        <f>IF('Final Calculation Sheet'!$B$5="","",IF(OR('Final Calculation Sheet'!$G$2="",ISNUMBER(SEARCH('Final Calculation Sheet'!$G$2,'Final Calculation Sheet'!$G$5))),'Final Calculation Sheet'!$B$5,""))</f>
        <v/>
      </c>
      <c r="GS5">
        <f>IF(GR5="","",COUNTIFS(GR$4:GR$40,"&lt;"&amp;GR5,GR$4:GR$40,"&lt;&gt;"&amp;"")+COUNTIF(GR$4:GR5,GR5))</f>
        <v/>
      </c>
      <c r="GT5">
        <f>IF(ROW()-3&gt;COUNTIF(GR$4:GR$40,"&lt;&gt;"&amp;""),"",INDEX(GR$4:GR$40,MATCH(ROW()-3,GS$4:GS$40,0)))</f>
        <v/>
      </c>
      <c r="GU5">
        <f>GU4+IF(AND(GT5&lt;&gt;"",COUNTIF(GT$4:GT5,GT5)=1),1,0)</f>
        <v/>
      </c>
      <c r="GV5">
        <f>IF(ROW()-3&gt;MAX(GU$4:GU$40),"",INDEX(GT$4:GT$40,MATCH(ROW()-3,GU$4:GU$40,0)))</f>
        <v/>
      </c>
      <c r="GW5">
        <f>IF('Final Calculation Sheet'!$B$5="","",IF('Buyer Groups'!$C$4="",'Final Calculation Sheet'!$B$5,IF('Buyer Groups'!$C$4="(nonblank)",IF('Final Calculation Sheet'!$G$5&lt;&gt;"",'Final Calculation Sheet'!$B$5,""),IF('Buyer Groups'!$C$4="(blank)",IF('Final Calculation Sheet'!$G$5="",'Final Calculation Sheet'!$B$5,""),IF(ISNUMBER(SEARCH('Buyer Groups'!$C$4,'Final Calculation Sheet'!$G$5)),'Final Calculation Sheet'!$B$5,"")))))</f>
        <v/>
      </c>
      <c r="GX5">
        <f>IF(GW5="","",COUNTIFS(GW$4:GW$40,"&lt;"&amp;GW5,GW$4:GW$40,"&lt;&gt;"&amp;"")+COUNTIF(GW$4:GW5,GW5))</f>
        <v/>
      </c>
      <c r="GY5">
        <f>IF(ROW()-3&gt;COUNTIF(GW$4:GW$40,"&lt;&gt;"&amp;""),"",INDEX(GW$4:GW$40,MATCH(ROW()-3,GX$4:GX$40,0)))</f>
        <v/>
      </c>
      <c r="GZ5">
        <f>GZ4+IF(AND(GY5&lt;&gt;"",COUNTIF(GY$4:GY5,GY5)=1),1,0)</f>
        <v/>
      </c>
      <c r="HA5">
        <f>IF(ROW()-3&gt;MAX(GZ$4:GZ$40),"",INDEX(GY$4:GY$40,MATCH(ROW()-3,GZ$4:GZ$40,0)))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IF('Final Calculation Sheet'!$F$6="","",IF(OR('Final Calculation Sheet'!$G$2="",ISNUMBER(SEARCH('Final Calculation Sheet'!$G$2,'Final Calculation Sheet'!$G$6))),'Final Calculation Sheet'!$F$6,""))</f>
        <v/>
      </c>
      <c r="GD6">
        <f>IF(GC6="","",COUNTIFS(GC$4:GC$40,"&lt;"&amp;GC6,GC$4:GC$40,"&lt;&gt;"&amp;"")+COUNTIF(GC$4:GC6,GC6))</f>
        <v/>
      </c>
      <c r="GE6">
        <f>IF(ROW()-3&gt;COUNTIF(GC$4:GC$40,"&lt;&gt;"&amp;""),"",INDEX(GC$4:GC$40,MATCH(ROW()-3,GD$4:GD$40,0)))</f>
        <v/>
      </c>
      <c r="GF6">
        <f>GF5+IF(AND(GE6&lt;&gt;"",COUNTIF(GE$4:GE6,GE6)=1),1,0)</f>
        <v/>
      </c>
      <c r="GG6">
        <f>IF(ROW()-3&gt;MAX(GF$4:GF$40),"",INDEX(GE$4:GE$40,MATCH(ROW()-3,GF$4:GF$40,0)))</f>
        <v/>
      </c>
      <c r="GH6">
        <f>IF('Final Calculation Sheet'!$F$6="","",IF('Live Search'!$BO$7=1,'Final Calculation Sheet'!$F$6,""))</f>
        <v/>
      </c>
      <c r="GI6">
        <f>IF(GH6="","",COUNTIFS(GH$4:GH$40,"&lt;"&amp;GH6,GH$4:GH$40,"&lt;&gt;"&amp;"")+COUNTIF(GH$4:GH6,GH6))</f>
        <v/>
      </c>
      <c r="GJ6">
        <f>IF(ROW()-3&gt;COUNTIF(GH$4:GH$40,"&lt;&gt;"&amp;""),"",INDEX(GH$4:GH$40,MATCH(ROW()-3,GI$4:GI$40,0)))</f>
        <v/>
      </c>
      <c r="GK6">
        <f>GK5+IF(AND(GJ6&lt;&gt;"",COUNTIF(GJ$4:GJ6,GJ6)=1),1,0)</f>
        <v/>
      </c>
      <c r="GL6">
        <f>IF(ROW()-3&gt;MAX(GK$4:GK$40),"",INDEX(GJ$4:GJ$40,MATCH(ROW()-3,GK$4:GK$40,0)))</f>
        <v/>
      </c>
      <c r="GM6">
        <f>IF('Final Calculation Sheet'!$F$6="","",IF('Buyer Groups'!$C$4="",'Final Calculation Sheet'!$F$6,IF('Buyer Groups'!$C$4="(nonblank)",IF('Final Calculation Sheet'!$G$6&lt;&gt;"",'Final Calculation Sheet'!$F$6,""),IF('Buyer Groups'!$C$4="(blank)",IF('Final Calculation Sheet'!$G$6="",'Final Calculation Sheet'!$F$6,""),IF(ISNUMBER(SEARCH('Buyer Groups'!$C$4,'Final Calculation Sheet'!$G$6)),'Final Calculation Sheet'!$F$6,"")))))</f>
        <v/>
      </c>
      <c r="GN6">
        <f>IF(GM6="","",COUNTIFS(GM$4:GM$40,"&lt;"&amp;GM6,GM$4:GM$40,"&lt;&gt;"&amp;"")+COUNTIF(GM$4:GM6,GM6))</f>
        <v/>
      </c>
      <c r="GO6">
        <f>IF(ROW()-3&gt;COUNTIF(GM$4:GM$40,"&lt;&gt;"&amp;""),"",INDEX(GM$4:GM$40,MATCH(ROW()-3,GN$4:GN$40,0)))</f>
        <v/>
      </c>
      <c r="GP6">
        <f>GP5+IF(AND(GO6&lt;&gt;"",COUNTIF(GO$4:GO6,GO6)=1),1,0)</f>
        <v/>
      </c>
      <c r="GQ6">
        <f>IF(ROW()-3&gt;MAX(GP$4:GP$40),"",INDEX(GO$4:GO$40,MATCH(ROW()-3,GP$4:GP$40,0)))</f>
        <v/>
      </c>
      <c r="GR6">
        <f>IF('Final Calculation Sheet'!$B$6="","",IF(OR('Final Calculation Sheet'!$G$2="",ISNUMBER(SEARCH('Final Calculation Sheet'!$G$2,'Final Calculation Sheet'!$G$6))),'Final Calculation Sheet'!$B$6,""))</f>
        <v/>
      </c>
      <c r="GS6">
        <f>IF(GR6="","",COUNTIFS(GR$4:GR$40,"&lt;"&amp;GR6,GR$4:GR$40,"&lt;&gt;"&amp;"")+COUNTIF(GR$4:GR6,GR6))</f>
        <v/>
      </c>
      <c r="GT6">
        <f>IF(ROW()-3&gt;COUNTIF(GR$4:GR$40,"&lt;&gt;"&amp;""),"",INDEX(GR$4:GR$40,MATCH(ROW()-3,GS$4:GS$40,0)))</f>
        <v/>
      </c>
      <c r="GU6">
        <f>GU5+IF(AND(GT6&lt;&gt;"",COUNTIF(GT$4:GT6,GT6)=1),1,0)</f>
        <v/>
      </c>
      <c r="GV6">
        <f>IF(ROW()-3&gt;MAX(GU$4:GU$40),"",INDEX(GT$4:GT$40,MATCH(ROW()-3,GU$4:GU$40,0)))</f>
        <v/>
      </c>
      <c r="GW6">
        <f>IF('Final Calculation Sheet'!$B$6="","",IF('Buyer Groups'!$C$4="",'Final Calculation Sheet'!$B$6,IF('Buyer Groups'!$C$4="(nonblank)",IF('Final Calculation Sheet'!$G$6&lt;&gt;"",'Final Calculation Sheet'!$B$6,""),IF('Buyer Groups'!$C$4="(blank)",IF('Final Calculation Sheet'!$G$6="",'Final Calculation Sheet'!$B$6,""),IF(ISNUMBER(SEARCH('Buyer Groups'!$C$4,'Final Calculation Sheet'!$G$6)),'Final Calculation Sheet'!$B$6,"")))))</f>
        <v/>
      </c>
      <c r="GX6">
        <f>IF(GW6="","",COUNTIFS(GW$4:GW$40,"&lt;"&amp;GW6,GW$4:GW$40,"&lt;&gt;"&amp;"")+COUNTIF(GW$4:GW6,GW6))</f>
        <v/>
      </c>
      <c r="GY6">
        <f>IF(ROW()-3&gt;COUNTIF(GW$4:GW$40,"&lt;&gt;"&amp;""),"",INDEX(GW$4:GW$40,MATCH(ROW()-3,GX$4:GX$40,0)))</f>
        <v/>
      </c>
      <c r="GZ6">
        <f>GZ5+IF(AND(GY6&lt;&gt;"",COUNTIF(GY$4:GY6,GY6)=1),1,0)</f>
        <v/>
      </c>
      <c r="HA6">
        <f>IF(ROW()-3&gt;MAX(GZ$4:GZ$40),"",INDEX(GY$4:GY$40,MATCH(ROW()-3,GZ$4:GZ$40,0)))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IF('Final Calculation Sheet'!$F$7="","",IF(OR('Final Calculation Sheet'!$G$2="",ISNUMBER(SEARCH('Final Calculation Sheet'!$G$2,'Final Calculation Sheet'!$G$7))),'Final Calculation Sheet'!$F$7,""))</f>
        <v/>
      </c>
      <c r="GD7">
        <f>IF(GC7="","",COUNTIFS(GC$4:GC$40,"&lt;"&amp;GC7,GC$4:GC$40,"&lt;&gt;"&amp;"")+COUNTIF(GC$4:GC7,GC7))</f>
        <v/>
      </c>
      <c r="GE7">
        <f>IF(ROW()-3&gt;COUNTIF(GC$4:GC$40,"&lt;&gt;"&amp;""),"",INDEX(GC$4:GC$40,MATCH(ROW()-3,GD$4:GD$40,0)))</f>
        <v/>
      </c>
      <c r="GF7">
        <f>GF6+IF(AND(GE7&lt;&gt;"",COUNTIF(GE$4:GE7,GE7)=1),1,0)</f>
        <v/>
      </c>
      <c r="GG7">
        <f>IF(ROW()-3&gt;MAX(GF$4:GF$40),"",INDEX(GE$4:GE$40,MATCH(ROW()-3,GF$4:GF$40,0)))</f>
        <v/>
      </c>
      <c r="GH7">
        <f>IF('Final Calculation Sheet'!$F$7="","",IF('Live Search'!$BO$8=1,'Final Calculation Sheet'!$F$7,""))</f>
        <v/>
      </c>
      <c r="GI7">
        <f>IF(GH7="","",COUNTIFS(GH$4:GH$40,"&lt;"&amp;GH7,GH$4:GH$40,"&lt;&gt;"&amp;"")+COUNTIF(GH$4:GH7,GH7))</f>
        <v/>
      </c>
      <c r="GJ7">
        <f>IF(ROW()-3&gt;COUNTIF(GH$4:GH$40,"&lt;&gt;"&amp;""),"",INDEX(GH$4:GH$40,MATCH(ROW()-3,GI$4:GI$40,0)))</f>
        <v/>
      </c>
      <c r="GK7">
        <f>GK6+IF(AND(GJ7&lt;&gt;"",COUNTIF(GJ$4:GJ7,GJ7)=1),1,0)</f>
        <v/>
      </c>
      <c r="GL7">
        <f>IF(ROW()-3&gt;MAX(GK$4:GK$40),"",INDEX(GJ$4:GJ$40,MATCH(ROW()-3,GK$4:GK$40,0)))</f>
        <v/>
      </c>
      <c r="GM7">
        <f>IF('Final Calculation Sheet'!$F$7="","",IF('Buyer Groups'!$C$4="",'Final Calculation Sheet'!$F$7,IF('Buyer Groups'!$C$4="(nonblank)",IF('Final Calculation Sheet'!$G$7&lt;&gt;"",'Final Calculation Sheet'!$F$7,""),IF('Buyer Groups'!$C$4="(blank)",IF('Final Calculation Sheet'!$G$7="",'Final Calculation Sheet'!$F$7,""),IF(ISNUMBER(SEARCH('Buyer Groups'!$C$4,'Final Calculation Sheet'!$G$7)),'Final Calculation Sheet'!$F$7,"")))))</f>
        <v/>
      </c>
      <c r="GN7">
        <f>IF(GM7="","",COUNTIFS(GM$4:GM$40,"&lt;"&amp;GM7,GM$4:GM$40,"&lt;&gt;"&amp;"")+COUNTIF(GM$4:GM7,GM7))</f>
        <v/>
      </c>
      <c r="GO7">
        <f>IF(ROW()-3&gt;COUNTIF(GM$4:GM$40,"&lt;&gt;"&amp;""),"",INDEX(GM$4:GM$40,MATCH(ROW()-3,GN$4:GN$40,0)))</f>
        <v/>
      </c>
      <c r="GP7">
        <f>GP6+IF(AND(GO7&lt;&gt;"",COUNTIF(GO$4:GO7,GO7)=1),1,0)</f>
        <v/>
      </c>
      <c r="GQ7">
        <f>IF(ROW()-3&gt;MAX(GP$4:GP$40),"",INDEX(GO$4:GO$40,MATCH(ROW()-3,GP$4:GP$40,0)))</f>
        <v/>
      </c>
      <c r="GR7">
        <f>IF('Final Calculation Sheet'!$B$7="","",IF(OR('Final Calculation Sheet'!$G$2="",ISNUMBER(SEARCH('Final Calculation Sheet'!$G$2,'Final Calculation Sheet'!$G$7))),'Final Calculation Sheet'!$B$7,""))</f>
        <v/>
      </c>
      <c r="GS7">
        <f>IF(GR7="","",COUNTIFS(GR$4:GR$40,"&lt;"&amp;GR7,GR$4:GR$40,"&lt;&gt;"&amp;"")+COUNTIF(GR$4:GR7,GR7))</f>
        <v/>
      </c>
      <c r="GT7">
        <f>IF(ROW()-3&gt;COUNTIF(GR$4:GR$40,"&lt;&gt;"&amp;""),"",INDEX(GR$4:GR$40,MATCH(ROW()-3,GS$4:GS$40,0)))</f>
        <v/>
      </c>
      <c r="GU7">
        <f>GU6+IF(AND(GT7&lt;&gt;"",COUNTIF(GT$4:GT7,GT7)=1),1,0)</f>
        <v/>
      </c>
      <c r="GV7">
        <f>IF(ROW()-3&gt;MAX(GU$4:GU$40),"",INDEX(GT$4:GT$40,MATCH(ROW()-3,GU$4:GU$40,0)))</f>
        <v/>
      </c>
      <c r="GW7">
        <f>IF('Final Calculation Sheet'!$B$7="","",IF('Buyer Groups'!$C$4="",'Final Calculation Sheet'!$B$7,IF('Buyer Groups'!$C$4="(nonblank)",IF('Final Calculation Sheet'!$G$7&lt;&gt;"",'Final Calculation Sheet'!$B$7,""),IF('Buyer Groups'!$C$4="(blank)",IF('Final Calculation Sheet'!$G$7="",'Final Calculation Sheet'!$B$7,""),IF(ISNUMBER(SEARCH('Buyer Groups'!$C$4,'Final Calculation Sheet'!$G$7)),'Final Calculation Sheet'!$B$7,"")))))</f>
        <v/>
      </c>
      <c r="GX7">
        <f>IF(GW7="","",COUNTIFS(GW$4:GW$40,"&lt;"&amp;GW7,GW$4:GW$40,"&lt;&gt;"&amp;"")+COUNTIF(GW$4:GW7,GW7))</f>
        <v/>
      </c>
      <c r="GY7">
        <f>IF(ROW()-3&gt;COUNTIF(GW$4:GW$40,"&lt;&gt;"&amp;""),"",INDEX(GW$4:GW$40,MATCH(ROW()-3,GX$4:GX$40,0)))</f>
        <v/>
      </c>
      <c r="GZ7">
        <f>GZ6+IF(AND(GY7&lt;&gt;"",COUNTIF(GY$4:GY7,GY7)=1),1,0)</f>
        <v/>
      </c>
      <c r="HA7">
        <f>IF(ROW()-3&gt;MAX(GZ$4:GZ$40),"",INDEX(GY$4:GY$40,MATCH(ROW()-3,GZ$4:GZ$40,0)))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IF('Final Calculation Sheet'!$F$8="","",IF(OR('Final Calculation Sheet'!$G$2="",ISNUMBER(SEARCH('Final Calculation Sheet'!$G$2,'Final Calculation Sheet'!$G$8))),'Final Calculation Sheet'!$F$8,""))</f>
        <v/>
      </c>
      <c r="GD8">
        <f>IF(GC8="","",COUNTIFS(GC$4:GC$40,"&lt;"&amp;GC8,GC$4:GC$40,"&lt;&gt;"&amp;"")+COUNTIF(GC$4:GC8,GC8))</f>
        <v/>
      </c>
      <c r="GE8">
        <f>IF(ROW()-3&gt;COUNTIF(GC$4:GC$40,"&lt;&gt;"&amp;""),"",INDEX(GC$4:GC$40,MATCH(ROW()-3,GD$4:GD$40,0)))</f>
        <v/>
      </c>
      <c r="GF8">
        <f>GF7+IF(AND(GE8&lt;&gt;"",COUNTIF(GE$4:GE8,GE8)=1),1,0)</f>
        <v/>
      </c>
      <c r="GG8">
        <f>IF(ROW()-3&gt;MAX(GF$4:GF$40),"",INDEX(GE$4:GE$40,MATCH(ROW()-3,GF$4:GF$40,0)))</f>
        <v/>
      </c>
      <c r="GH8">
        <f>IF('Final Calculation Sheet'!$F$8="","",IF('Live Search'!$BO$9=1,'Final Calculation Sheet'!$F$8,""))</f>
        <v/>
      </c>
      <c r="GI8">
        <f>IF(GH8="","",COUNTIFS(GH$4:GH$40,"&lt;"&amp;GH8,GH$4:GH$40,"&lt;&gt;"&amp;"")+COUNTIF(GH$4:GH8,GH8))</f>
        <v/>
      </c>
      <c r="GJ8">
        <f>IF(ROW()-3&gt;COUNTIF(GH$4:GH$40,"&lt;&gt;"&amp;""),"",INDEX(GH$4:GH$40,MATCH(ROW()-3,GI$4:GI$40,0)))</f>
        <v/>
      </c>
      <c r="GK8">
        <f>GK7+IF(AND(GJ8&lt;&gt;"",COUNTIF(GJ$4:GJ8,GJ8)=1),1,0)</f>
        <v/>
      </c>
      <c r="GL8">
        <f>IF(ROW()-3&gt;MAX(GK$4:GK$40),"",INDEX(GJ$4:GJ$40,MATCH(ROW()-3,GK$4:GK$40,0)))</f>
        <v/>
      </c>
      <c r="GM8">
        <f>IF('Final Calculation Sheet'!$F$8="","",IF('Buyer Groups'!$C$4="",'Final Calculation Sheet'!$F$8,IF('Buyer Groups'!$C$4="(nonblank)",IF('Final Calculation Sheet'!$G$8&lt;&gt;"",'Final Calculation Sheet'!$F$8,""),IF('Buyer Groups'!$C$4="(blank)",IF('Final Calculation Sheet'!$G$8="",'Final Calculation Sheet'!$F$8,""),IF(ISNUMBER(SEARCH('Buyer Groups'!$C$4,'Final Calculation Sheet'!$G$8)),'Final Calculation Sheet'!$F$8,"")))))</f>
        <v/>
      </c>
      <c r="GN8">
        <f>IF(GM8="","",COUNTIFS(GM$4:GM$40,"&lt;"&amp;GM8,GM$4:GM$40,"&lt;&gt;"&amp;"")+COUNTIF(GM$4:GM8,GM8))</f>
        <v/>
      </c>
      <c r="GO8">
        <f>IF(ROW()-3&gt;COUNTIF(GM$4:GM$40,"&lt;&gt;"&amp;""),"",INDEX(GM$4:GM$40,MATCH(ROW()-3,GN$4:GN$40,0)))</f>
        <v/>
      </c>
      <c r="GP8">
        <f>GP7+IF(AND(GO8&lt;&gt;"",COUNTIF(GO$4:GO8,GO8)=1),1,0)</f>
        <v/>
      </c>
      <c r="GQ8">
        <f>IF(ROW()-3&gt;MAX(GP$4:GP$40),"",INDEX(GO$4:GO$40,MATCH(ROW()-3,GP$4:GP$40,0)))</f>
        <v/>
      </c>
      <c r="GR8">
        <f>IF('Final Calculation Sheet'!$B$8="","",IF(OR('Final Calculation Sheet'!$G$2="",ISNUMBER(SEARCH('Final Calculation Sheet'!$G$2,'Final Calculation Sheet'!$G$8))),'Final Calculation Sheet'!$B$8,""))</f>
        <v/>
      </c>
      <c r="GS8">
        <f>IF(GR8="","",COUNTIFS(GR$4:GR$40,"&lt;"&amp;GR8,GR$4:GR$40,"&lt;&gt;"&amp;"")+COUNTIF(GR$4:GR8,GR8))</f>
        <v/>
      </c>
      <c r="GT8">
        <f>IF(ROW()-3&gt;COUNTIF(GR$4:GR$40,"&lt;&gt;"&amp;""),"",INDEX(GR$4:GR$40,MATCH(ROW()-3,GS$4:GS$40,0)))</f>
        <v/>
      </c>
      <c r="GU8">
        <f>GU7+IF(AND(GT8&lt;&gt;"",COUNTIF(GT$4:GT8,GT8)=1),1,0)</f>
        <v/>
      </c>
      <c r="GV8">
        <f>IF(ROW()-3&gt;MAX(GU$4:GU$40),"",INDEX(GT$4:GT$40,MATCH(ROW()-3,GU$4:GU$40,0)))</f>
        <v/>
      </c>
      <c r="GW8">
        <f>IF('Final Calculation Sheet'!$B$8="","",IF('Buyer Groups'!$C$4="",'Final Calculation Sheet'!$B$8,IF('Buyer Groups'!$C$4="(nonblank)",IF('Final Calculation Sheet'!$G$8&lt;&gt;"",'Final Calculation Sheet'!$B$8,""),IF('Buyer Groups'!$C$4="(blank)",IF('Final Calculation Sheet'!$G$8="",'Final Calculation Sheet'!$B$8,""),IF(ISNUMBER(SEARCH('Buyer Groups'!$C$4,'Final Calculation Sheet'!$G$8)),'Final Calculation Sheet'!$B$8,"")))))</f>
        <v/>
      </c>
      <c r="GX8">
        <f>IF(GW8="","",COUNTIFS(GW$4:GW$40,"&lt;"&amp;GW8,GW$4:GW$40,"&lt;&gt;"&amp;"")+COUNTIF(GW$4:GW8,GW8))</f>
        <v/>
      </c>
      <c r="GY8">
        <f>IF(ROW()-3&gt;COUNTIF(GW$4:GW$40,"&lt;&gt;"&amp;""),"",INDEX(GW$4:GW$40,MATCH(ROW()-3,GX$4:GX$40,0)))</f>
        <v/>
      </c>
      <c r="GZ8">
        <f>GZ7+IF(AND(GY8&lt;&gt;"",COUNTIF(GY$4:GY8,GY8)=1),1,0)</f>
        <v/>
      </c>
      <c r="HA8">
        <f>IF(ROW()-3&gt;MAX(GZ$4:GZ$40),"",INDEX(GY$4:GY$40,MATCH(ROW()-3,GZ$4:GZ$40,0)))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IF('Final Calculation Sheet'!$F$9="","",IF(OR('Final Calculation Sheet'!$G$2="",ISNUMBER(SEARCH('Final Calculation Sheet'!$G$2,'Final Calculation Sheet'!$G$9))),'Final Calculation Sheet'!$F$9,""))</f>
        <v/>
      </c>
      <c r="GD9">
        <f>IF(GC9="","",COUNTIFS(GC$4:GC$40,"&lt;"&amp;GC9,GC$4:GC$40,"&lt;&gt;"&amp;"")+COUNTIF(GC$4:GC9,GC9))</f>
        <v/>
      </c>
      <c r="GE9">
        <f>IF(ROW()-3&gt;COUNTIF(GC$4:GC$40,"&lt;&gt;"&amp;""),"",INDEX(GC$4:GC$40,MATCH(ROW()-3,GD$4:GD$40,0)))</f>
        <v/>
      </c>
      <c r="GF9">
        <f>GF8+IF(AND(GE9&lt;&gt;"",COUNTIF(GE$4:GE9,GE9)=1),1,0)</f>
        <v/>
      </c>
      <c r="GG9">
        <f>IF(ROW()-3&gt;MAX(GF$4:GF$40),"",INDEX(GE$4:GE$40,MATCH(ROW()-3,GF$4:GF$40,0)))</f>
        <v/>
      </c>
      <c r="GH9">
        <f>IF('Final Calculation Sheet'!$F$9="","",IF('Live Search'!$BO$10=1,'Final Calculation Sheet'!$F$9,""))</f>
        <v/>
      </c>
      <c r="GI9">
        <f>IF(GH9="","",COUNTIFS(GH$4:GH$40,"&lt;"&amp;GH9,GH$4:GH$40,"&lt;&gt;"&amp;"")+COUNTIF(GH$4:GH9,GH9))</f>
        <v/>
      </c>
      <c r="GJ9">
        <f>IF(ROW()-3&gt;COUNTIF(GH$4:GH$40,"&lt;&gt;"&amp;""),"",INDEX(GH$4:GH$40,MATCH(ROW()-3,GI$4:GI$40,0)))</f>
        <v/>
      </c>
      <c r="GK9">
        <f>GK8+IF(AND(GJ9&lt;&gt;"",COUNTIF(GJ$4:GJ9,GJ9)=1),1,0)</f>
        <v/>
      </c>
      <c r="GL9">
        <f>IF(ROW()-3&gt;MAX(GK$4:GK$40),"",INDEX(GJ$4:GJ$40,MATCH(ROW()-3,GK$4:GK$40,0)))</f>
        <v/>
      </c>
      <c r="GM9">
        <f>IF('Final Calculation Sheet'!$F$9="","",IF('Buyer Groups'!$C$4="",'Final Calculation Sheet'!$F$9,IF('Buyer Groups'!$C$4="(nonblank)",IF('Final Calculation Sheet'!$G$9&lt;&gt;"",'Final Calculation Sheet'!$F$9,""),IF('Buyer Groups'!$C$4="(blank)",IF('Final Calculation Sheet'!$G$9="",'Final Calculation Sheet'!$F$9,""),IF(ISNUMBER(SEARCH('Buyer Groups'!$C$4,'Final Calculation Sheet'!$G$9)),'Final Calculation Sheet'!$F$9,"")))))</f>
        <v/>
      </c>
      <c r="GN9">
        <f>IF(GM9="","",COUNTIFS(GM$4:GM$40,"&lt;"&amp;GM9,GM$4:GM$40,"&lt;&gt;"&amp;"")+COUNTIF(GM$4:GM9,GM9))</f>
        <v/>
      </c>
      <c r="GO9">
        <f>IF(ROW()-3&gt;COUNTIF(GM$4:GM$40,"&lt;&gt;"&amp;""),"",INDEX(GM$4:GM$40,MATCH(ROW()-3,GN$4:GN$40,0)))</f>
        <v/>
      </c>
      <c r="GP9">
        <f>GP8+IF(AND(GO9&lt;&gt;"",COUNTIF(GO$4:GO9,GO9)=1),1,0)</f>
        <v/>
      </c>
      <c r="GQ9">
        <f>IF(ROW()-3&gt;MAX(GP$4:GP$40),"",INDEX(GO$4:GO$40,MATCH(ROW()-3,GP$4:GP$40,0)))</f>
        <v/>
      </c>
      <c r="GR9">
        <f>IF('Final Calculation Sheet'!$B$9="","",IF(OR('Final Calculation Sheet'!$G$2="",ISNUMBER(SEARCH('Final Calculation Sheet'!$G$2,'Final Calculation Sheet'!$G$9))),'Final Calculation Sheet'!$B$9,""))</f>
        <v/>
      </c>
      <c r="GS9">
        <f>IF(GR9="","",COUNTIFS(GR$4:GR$40,"&lt;"&amp;GR9,GR$4:GR$40,"&lt;&gt;"&amp;"")+COUNTIF(GR$4:GR9,GR9))</f>
        <v/>
      </c>
      <c r="GT9">
        <f>IF(ROW()-3&gt;COUNTIF(GR$4:GR$40,"&lt;&gt;"&amp;""),"",INDEX(GR$4:GR$40,MATCH(ROW()-3,GS$4:GS$40,0)))</f>
        <v/>
      </c>
      <c r="GU9">
        <f>GU8+IF(AND(GT9&lt;&gt;"",COUNTIF(GT$4:GT9,GT9)=1),1,0)</f>
        <v/>
      </c>
      <c r="GV9">
        <f>IF(ROW()-3&gt;MAX(GU$4:GU$40),"",INDEX(GT$4:GT$40,MATCH(ROW()-3,GU$4:GU$40,0)))</f>
        <v/>
      </c>
      <c r="GW9">
        <f>IF('Final Calculation Sheet'!$B$9="","",IF('Buyer Groups'!$C$4="",'Final Calculation Sheet'!$B$9,IF('Buyer Groups'!$C$4="(nonblank)",IF('Final Calculation Sheet'!$G$9&lt;&gt;"",'Final Calculation Sheet'!$B$9,""),IF('Buyer Groups'!$C$4="(blank)",IF('Final Calculation Sheet'!$G$9="",'Final Calculation Sheet'!$B$9,""),IF(ISNUMBER(SEARCH('Buyer Groups'!$C$4,'Final Calculation Sheet'!$G$9)),'Final Calculation Sheet'!$B$9,"")))))</f>
        <v/>
      </c>
      <c r="GX9">
        <f>IF(GW9="","",COUNTIFS(GW$4:GW$40,"&lt;"&amp;GW9,GW$4:GW$40,"&lt;&gt;"&amp;"")+COUNTIF(GW$4:GW9,GW9))</f>
        <v/>
      </c>
      <c r="GY9">
        <f>IF(ROW()-3&gt;COUNTIF(GW$4:GW$40,"&lt;&gt;"&amp;""),"",INDEX(GW$4:GW$40,MATCH(ROW()-3,GX$4:GX$40,0)))</f>
        <v/>
      </c>
      <c r="GZ9">
        <f>GZ8+IF(AND(GY9&lt;&gt;"",COUNTIF(GY$4:GY9,GY9)=1),1,0)</f>
        <v/>
      </c>
      <c r="HA9">
        <f>IF(ROW()-3&gt;MAX(GZ$4:GZ$40),"",INDEX(GY$4:GY$40,MATCH(ROW()-3,GZ$4:GZ$40,0)))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IF('Final Calculation Sheet'!$F$10="","",IF(OR('Final Calculation Sheet'!$G$2="",ISNUMBER(SEARCH('Final Calculation Sheet'!$G$2,'Final Calculation Sheet'!$G$10))),'Final Calculation Sheet'!$F$10,""))</f>
        <v/>
      </c>
      <c r="GD10">
        <f>IF(GC10="","",COUNTIFS(GC$4:GC$40,"&lt;"&amp;GC10,GC$4:GC$40,"&lt;&gt;"&amp;"")+COUNTIF(GC$4:GC10,GC10))</f>
        <v/>
      </c>
      <c r="GE10">
        <f>IF(ROW()-3&gt;COUNTIF(GC$4:GC$40,"&lt;&gt;"&amp;""),"",INDEX(GC$4:GC$40,MATCH(ROW()-3,GD$4:GD$40,0)))</f>
        <v/>
      </c>
      <c r="GF10">
        <f>GF9+IF(AND(GE10&lt;&gt;"",COUNTIF(GE$4:GE10,GE10)=1),1,0)</f>
        <v/>
      </c>
      <c r="GG10">
        <f>IF(ROW()-3&gt;MAX(GF$4:GF$40),"",INDEX(GE$4:GE$40,MATCH(ROW()-3,GF$4:GF$40,0)))</f>
        <v/>
      </c>
      <c r="GH10">
        <f>IF('Final Calculation Sheet'!$F$10="","",IF('Live Search'!$BO$11=1,'Final Calculation Sheet'!$F$10,""))</f>
        <v/>
      </c>
      <c r="GI10">
        <f>IF(GH10="","",COUNTIFS(GH$4:GH$40,"&lt;"&amp;GH10,GH$4:GH$40,"&lt;&gt;"&amp;"")+COUNTIF(GH$4:GH10,GH10))</f>
        <v/>
      </c>
      <c r="GJ10">
        <f>IF(ROW()-3&gt;COUNTIF(GH$4:GH$40,"&lt;&gt;"&amp;""),"",INDEX(GH$4:GH$40,MATCH(ROW()-3,GI$4:GI$40,0)))</f>
        <v/>
      </c>
      <c r="GK10">
        <f>GK9+IF(AND(GJ10&lt;&gt;"",COUNTIF(GJ$4:GJ10,GJ10)=1),1,0)</f>
        <v/>
      </c>
      <c r="GL10">
        <f>IF(ROW()-3&gt;MAX(GK$4:GK$40),"",INDEX(GJ$4:GJ$40,MATCH(ROW()-3,GK$4:GK$40,0)))</f>
        <v/>
      </c>
      <c r="GM10">
        <f>IF('Final Calculation Sheet'!$F$10="","",IF('Buyer Groups'!$C$4="",'Final Calculation Sheet'!$F$10,IF('Buyer Groups'!$C$4="(nonblank)",IF('Final Calculation Sheet'!$G$10&lt;&gt;"",'Final Calculation Sheet'!$F$10,""),IF('Buyer Groups'!$C$4="(blank)",IF('Final Calculation Sheet'!$G$10="",'Final Calculation Sheet'!$F$10,""),IF(ISNUMBER(SEARCH('Buyer Groups'!$C$4,'Final Calculation Sheet'!$G$10)),'Final Calculation Sheet'!$F$10,"")))))</f>
        <v/>
      </c>
      <c r="GN10">
        <f>IF(GM10="","",COUNTIFS(GM$4:GM$40,"&lt;"&amp;GM10,GM$4:GM$40,"&lt;&gt;"&amp;"")+COUNTIF(GM$4:GM10,GM10))</f>
        <v/>
      </c>
      <c r="GO10">
        <f>IF(ROW()-3&gt;COUNTIF(GM$4:GM$40,"&lt;&gt;"&amp;""),"",INDEX(GM$4:GM$40,MATCH(ROW()-3,GN$4:GN$40,0)))</f>
        <v/>
      </c>
      <c r="GP10">
        <f>GP9+IF(AND(GO10&lt;&gt;"",COUNTIF(GO$4:GO10,GO10)=1),1,0)</f>
        <v/>
      </c>
      <c r="GQ10">
        <f>IF(ROW()-3&gt;MAX(GP$4:GP$40),"",INDEX(GO$4:GO$40,MATCH(ROW()-3,GP$4:GP$40,0)))</f>
        <v/>
      </c>
      <c r="GR10">
        <f>IF('Final Calculation Sheet'!$B$10="","",IF(OR('Final Calculation Sheet'!$G$2="",ISNUMBER(SEARCH('Final Calculation Sheet'!$G$2,'Final Calculation Sheet'!$G$10))),'Final Calculation Sheet'!$B$10,""))</f>
        <v/>
      </c>
      <c r="GS10">
        <f>IF(GR10="","",COUNTIFS(GR$4:GR$40,"&lt;"&amp;GR10,GR$4:GR$40,"&lt;&gt;"&amp;"")+COUNTIF(GR$4:GR10,GR10))</f>
        <v/>
      </c>
      <c r="GT10">
        <f>IF(ROW()-3&gt;COUNTIF(GR$4:GR$40,"&lt;&gt;"&amp;""),"",INDEX(GR$4:GR$40,MATCH(ROW()-3,GS$4:GS$40,0)))</f>
        <v/>
      </c>
      <c r="GU10">
        <f>GU9+IF(AND(GT10&lt;&gt;"",COUNTIF(GT$4:GT10,GT10)=1),1,0)</f>
        <v/>
      </c>
      <c r="GV10">
        <f>IF(ROW()-3&gt;MAX(GU$4:GU$40),"",INDEX(GT$4:GT$40,MATCH(ROW()-3,GU$4:GU$40,0)))</f>
        <v/>
      </c>
      <c r="GW10">
        <f>IF('Final Calculation Sheet'!$B$10="","",IF('Buyer Groups'!$C$4="",'Final Calculation Sheet'!$B$10,IF('Buyer Groups'!$C$4="(nonblank)",IF('Final Calculation Sheet'!$G$10&lt;&gt;"",'Final Calculation Sheet'!$B$10,""),IF('Buyer Groups'!$C$4="(blank)",IF('Final Calculation Sheet'!$G$10="",'Final Calculation Sheet'!$B$10,""),IF(ISNUMBER(SEARCH('Buyer Groups'!$C$4,'Final Calculation Sheet'!$G$10)),'Final Calculation Sheet'!$B$10,"")))))</f>
        <v/>
      </c>
      <c r="GX10">
        <f>IF(GW10="","",COUNTIFS(GW$4:GW$40,"&lt;"&amp;GW10,GW$4:GW$40,"&lt;&gt;"&amp;"")+COUNTIF(GW$4:GW10,GW10))</f>
        <v/>
      </c>
      <c r="GY10">
        <f>IF(ROW()-3&gt;COUNTIF(GW$4:GW$40,"&lt;&gt;"&amp;""),"",INDEX(GW$4:GW$40,MATCH(ROW()-3,GX$4:GX$40,0)))</f>
        <v/>
      </c>
      <c r="GZ10">
        <f>GZ9+IF(AND(GY10&lt;&gt;"",COUNTIF(GY$4:GY10,GY10)=1),1,0)</f>
        <v/>
      </c>
      <c r="HA10">
        <f>IF(ROW()-3&gt;MAX(GZ$4:GZ$40),"",INDEX(GY$4:GY$40,MATCH(ROW()-3,GZ$4:GZ$40,0)))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IF('Final Calculation Sheet'!$F$11="","",IF(OR('Final Calculation Sheet'!$G$2="",ISNUMBER(SEARCH('Final Calculation Sheet'!$G$2,'Final Calculation Sheet'!$G$11))),'Final Calculation Sheet'!$F$11,""))</f>
        <v/>
      </c>
      <c r="GD11">
        <f>IF(GC11="","",COUNTIFS(GC$4:GC$40,"&lt;"&amp;GC11,GC$4:GC$40,"&lt;&gt;"&amp;"")+COUNTIF(GC$4:GC11,GC11))</f>
        <v/>
      </c>
      <c r="GE11">
        <f>IF(ROW()-3&gt;COUNTIF(GC$4:GC$40,"&lt;&gt;"&amp;""),"",INDEX(GC$4:GC$40,MATCH(ROW()-3,GD$4:GD$40,0)))</f>
        <v/>
      </c>
      <c r="GF11">
        <f>GF10+IF(AND(GE11&lt;&gt;"",COUNTIF(GE$4:GE11,GE11)=1),1,0)</f>
        <v/>
      </c>
      <c r="GG11">
        <f>IF(ROW()-3&gt;MAX(GF$4:GF$40),"",INDEX(GE$4:GE$40,MATCH(ROW()-3,GF$4:GF$40,0)))</f>
        <v/>
      </c>
      <c r="GH11">
        <f>IF('Final Calculation Sheet'!$F$11="","",IF('Live Search'!$BO$12=1,'Final Calculation Sheet'!$F$11,""))</f>
        <v/>
      </c>
      <c r="GI11">
        <f>IF(GH11="","",COUNTIFS(GH$4:GH$40,"&lt;"&amp;GH11,GH$4:GH$40,"&lt;&gt;"&amp;"")+COUNTIF(GH$4:GH11,GH11))</f>
        <v/>
      </c>
      <c r="GJ11">
        <f>IF(ROW()-3&gt;COUNTIF(GH$4:GH$40,"&lt;&gt;"&amp;""),"",INDEX(GH$4:GH$40,MATCH(ROW()-3,GI$4:GI$40,0)))</f>
        <v/>
      </c>
      <c r="GK11">
        <f>GK10+IF(AND(GJ11&lt;&gt;"",COUNTIF(GJ$4:GJ11,GJ11)=1),1,0)</f>
        <v/>
      </c>
      <c r="GL11">
        <f>IF(ROW()-3&gt;MAX(GK$4:GK$40),"",INDEX(GJ$4:GJ$40,MATCH(ROW()-3,GK$4:GK$40,0)))</f>
        <v/>
      </c>
      <c r="GM11">
        <f>IF('Final Calculation Sheet'!$F$11="","",IF('Buyer Groups'!$C$4="",'Final Calculation Sheet'!$F$11,IF('Buyer Groups'!$C$4="(nonblank)",IF('Final Calculation Sheet'!$G$11&lt;&gt;"",'Final Calculation Sheet'!$F$11,""),IF('Buyer Groups'!$C$4="(blank)",IF('Final Calculation Sheet'!$G$11="",'Final Calculation Sheet'!$F$11,""),IF(ISNUMBER(SEARCH('Buyer Groups'!$C$4,'Final Calculation Sheet'!$G$11)),'Final Calculation Sheet'!$F$11,"")))))</f>
        <v/>
      </c>
      <c r="GN11">
        <f>IF(GM11="","",COUNTIFS(GM$4:GM$40,"&lt;"&amp;GM11,GM$4:GM$40,"&lt;&gt;"&amp;"")+COUNTIF(GM$4:GM11,GM11))</f>
        <v/>
      </c>
      <c r="GO11">
        <f>IF(ROW()-3&gt;COUNTIF(GM$4:GM$40,"&lt;&gt;"&amp;""),"",INDEX(GM$4:GM$40,MATCH(ROW()-3,GN$4:GN$40,0)))</f>
        <v/>
      </c>
      <c r="GP11">
        <f>GP10+IF(AND(GO11&lt;&gt;"",COUNTIF(GO$4:GO11,GO11)=1),1,0)</f>
        <v/>
      </c>
      <c r="GQ11">
        <f>IF(ROW()-3&gt;MAX(GP$4:GP$40),"",INDEX(GO$4:GO$40,MATCH(ROW()-3,GP$4:GP$40,0)))</f>
        <v/>
      </c>
      <c r="GR11">
        <f>IF('Final Calculation Sheet'!$B$11="","",IF(OR('Final Calculation Sheet'!$G$2="",ISNUMBER(SEARCH('Final Calculation Sheet'!$G$2,'Final Calculation Sheet'!$G$11))),'Final Calculation Sheet'!$B$11,""))</f>
        <v/>
      </c>
      <c r="GS11">
        <f>IF(GR11="","",COUNTIFS(GR$4:GR$40,"&lt;"&amp;GR11,GR$4:GR$40,"&lt;&gt;"&amp;"")+COUNTIF(GR$4:GR11,GR11))</f>
        <v/>
      </c>
      <c r="GT11">
        <f>IF(ROW()-3&gt;COUNTIF(GR$4:GR$40,"&lt;&gt;"&amp;""),"",INDEX(GR$4:GR$40,MATCH(ROW()-3,GS$4:GS$40,0)))</f>
        <v/>
      </c>
      <c r="GU11">
        <f>GU10+IF(AND(GT11&lt;&gt;"",COUNTIF(GT$4:GT11,GT11)=1),1,0)</f>
        <v/>
      </c>
      <c r="GV11">
        <f>IF(ROW()-3&gt;MAX(GU$4:GU$40),"",INDEX(GT$4:GT$40,MATCH(ROW()-3,GU$4:GU$40,0)))</f>
        <v/>
      </c>
      <c r="GW11">
        <f>IF('Final Calculation Sheet'!$B$11="","",IF('Buyer Groups'!$C$4="",'Final Calculation Sheet'!$B$11,IF('Buyer Groups'!$C$4="(nonblank)",IF('Final Calculation Sheet'!$G$11&lt;&gt;"",'Final Calculation Sheet'!$B$11,""),IF('Buyer Groups'!$C$4="(blank)",IF('Final Calculation Sheet'!$G$11="",'Final Calculation Sheet'!$B$11,""),IF(ISNUMBER(SEARCH('Buyer Groups'!$C$4,'Final Calculation Sheet'!$G$11)),'Final Calculation Sheet'!$B$11,"")))))</f>
        <v/>
      </c>
      <c r="GX11">
        <f>IF(GW11="","",COUNTIFS(GW$4:GW$40,"&lt;"&amp;GW11,GW$4:GW$40,"&lt;&gt;"&amp;"")+COUNTIF(GW$4:GW11,GW11))</f>
        <v/>
      </c>
      <c r="GY11">
        <f>IF(ROW()-3&gt;COUNTIF(GW$4:GW$40,"&lt;&gt;"&amp;""),"",INDEX(GW$4:GW$40,MATCH(ROW()-3,GX$4:GX$40,0)))</f>
        <v/>
      </c>
      <c r="GZ11">
        <f>GZ10+IF(AND(GY11&lt;&gt;"",COUNTIF(GY$4:GY11,GY11)=1),1,0)</f>
        <v/>
      </c>
      <c r="HA11">
        <f>IF(ROW()-3&gt;MAX(GZ$4:GZ$40),"",INDEX(GY$4:GY$40,MATCH(ROW()-3,GZ$4:GZ$40,0)))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IF('Final Calculation Sheet'!$F$12="","",IF(OR('Final Calculation Sheet'!$G$2="",ISNUMBER(SEARCH('Final Calculation Sheet'!$G$2,'Final Calculation Sheet'!$G$12))),'Final Calculation Sheet'!$F$12,""))</f>
        <v/>
      </c>
      <c r="GD12">
        <f>IF(GC12="","",COUNTIFS(GC$4:GC$40,"&lt;"&amp;GC12,GC$4:GC$40,"&lt;&gt;"&amp;"")+COUNTIF(GC$4:GC12,GC12))</f>
        <v/>
      </c>
      <c r="GE12">
        <f>IF(ROW()-3&gt;COUNTIF(GC$4:GC$40,"&lt;&gt;"&amp;""),"",INDEX(GC$4:GC$40,MATCH(ROW()-3,GD$4:GD$40,0)))</f>
        <v/>
      </c>
      <c r="GF12">
        <f>GF11+IF(AND(GE12&lt;&gt;"",COUNTIF(GE$4:GE12,GE12)=1),1,0)</f>
        <v/>
      </c>
      <c r="GG12">
        <f>IF(ROW()-3&gt;MAX(GF$4:GF$40),"",INDEX(GE$4:GE$40,MATCH(ROW()-3,GF$4:GF$40,0)))</f>
        <v/>
      </c>
      <c r="GH12">
        <f>IF('Final Calculation Sheet'!$F$12="","",IF('Live Search'!$BO$13=1,'Final Calculation Sheet'!$F$12,""))</f>
        <v/>
      </c>
      <c r="GI12">
        <f>IF(GH12="","",COUNTIFS(GH$4:GH$40,"&lt;"&amp;GH12,GH$4:GH$40,"&lt;&gt;"&amp;"")+COUNTIF(GH$4:GH12,GH12))</f>
        <v/>
      </c>
      <c r="GJ12">
        <f>IF(ROW()-3&gt;COUNTIF(GH$4:GH$40,"&lt;&gt;"&amp;""),"",INDEX(GH$4:GH$40,MATCH(ROW()-3,GI$4:GI$40,0)))</f>
        <v/>
      </c>
      <c r="GK12">
        <f>GK11+IF(AND(GJ12&lt;&gt;"",COUNTIF(GJ$4:GJ12,GJ12)=1),1,0)</f>
        <v/>
      </c>
      <c r="GL12">
        <f>IF(ROW()-3&gt;MAX(GK$4:GK$40),"",INDEX(GJ$4:GJ$40,MATCH(ROW()-3,GK$4:GK$40,0)))</f>
        <v/>
      </c>
      <c r="GM12">
        <f>IF('Final Calculation Sheet'!$F$12="","",IF('Buyer Groups'!$C$4="",'Final Calculation Sheet'!$F$12,IF('Buyer Groups'!$C$4="(nonblank)",IF('Final Calculation Sheet'!$G$12&lt;&gt;"",'Final Calculation Sheet'!$F$12,""),IF('Buyer Groups'!$C$4="(blank)",IF('Final Calculation Sheet'!$G$12="",'Final Calculation Sheet'!$F$12,""),IF(ISNUMBER(SEARCH('Buyer Groups'!$C$4,'Final Calculation Sheet'!$G$12)),'Final Calculation Sheet'!$F$12,"")))))</f>
        <v/>
      </c>
      <c r="GN12">
        <f>IF(GM12="","",COUNTIFS(GM$4:GM$40,"&lt;"&amp;GM12,GM$4:GM$40,"&lt;&gt;"&amp;"")+COUNTIF(GM$4:GM12,GM12))</f>
        <v/>
      </c>
      <c r="GO12">
        <f>IF(ROW()-3&gt;COUNTIF(GM$4:GM$40,"&lt;&gt;"&amp;""),"",INDEX(GM$4:GM$40,MATCH(ROW()-3,GN$4:GN$40,0)))</f>
        <v/>
      </c>
      <c r="GP12">
        <f>GP11+IF(AND(GO12&lt;&gt;"",COUNTIF(GO$4:GO12,GO12)=1),1,0)</f>
        <v/>
      </c>
      <c r="GQ12">
        <f>IF(ROW()-3&gt;MAX(GP$4:GP$40),"",INDEX(GO$4:GO$40,MATCH(ROW()-3,GP$4:GP$40,0)))</f>
        <v/>
      </c>
      <c r="GR12">
        <f>IF('Final Calculation Sheet'!$B$12="","",IF(OR('Final Calculation Sheet'!$G$2="",ISNUMBER(SEARCH('Final Calculation Sheet'!$G$2,'Final Calculation Sheet'!$G$12))),'Final Calculation Sheet'!$B$12,""))</f>
        <v/>
      </c>
      <c r="GS12">
        <f>IF(GR12="","",COUNTIFS(GR$4:GR$40,"&lt;"&amp;GR12,GR$4:GR$40,"&lt;&gt;"&amp;"")+COUNTIF(GR$4:GR12,GR12))</f>
        <v/>
      </c>
      <c r="GT12">
        <f>IF(ROW()-3&gt;COUNTIF(GR$4:GR$40,"&lt;&gt;"&amp;""),"",INDEX(GR$4:GR$40,MATCH(ROW()-3,GS$4:GS$40,0)))</f>
        <v/>
      </c>
      <c r="GU12">
        <f>GU11+IF(AND(GT12&lt;&gt;"",COUNTIF(GT$4:GT12,GT12)=1),1,0)</f>
        <v/>
      </c>
      <c r="GV12">
        <f>IF(ROW()-3&gt;MAX(GU$4:GU$40),"",INDEX(GT$4:GT$40,MATCH(ROW()-3,GU$4:GU$40,0)))</f>
        <v/>
      </c>
      <c r="GW12">
        <f>IF('Final Calculation Sheet'!$B$12="","",IF('Buyer Groups'!$C$4="",'Final Calculation Sheet'!$B$12,IF('Buyer Groups'!$C$4="(nonblank)",IF('Final Calculation Sheet'!$G$12&lt;&gt;"",'Final Calculation Sheet'!$B$12,""),IF('Buyer Groups'!$C$4="(blank)",IF('Final Calculation Sheet'!$G$12="",'Final Calculation Sheet'!$B$12,""),IF(ISNUMBER(SEARCH('Buyer Groups'!$C$4,'Final Calculation Sheet'!$G$12)),'Final Calculation Sheet'!$B$12,"")))))</f>
        <v/>
      </c>
      <c r="GX12">
        <f>IF(GW12="","",COUNTIFS(GW$4:GW$40,"&lt;"&amp;GW12,GW$4:GW$40,"&lt;&gt;"&amp;"")+COUNTIF(GW$4:GW12,GW12))</f>
        <v/>
      </c>
      <c r="GY12">
        <f>IF(ROW()-3&gt;COUNTIF(GW$4:GW$40,"&lt;&gt;"&amp;""),"",INDEX(GW$4:GW$40,MATCH(ROW()-3,GX$4:GX$40,0)))</f>
        <v/>
      </c>
      <c r="GZ12">
        <f>GZ11+IF(AND(GY12&lt;&gt;"",COUNTIF(GY$4:GY12,GY12)=1),1,0)</f>
        <v/>
      </c>
      <c r="HA12">
        <f>IF(ROW()-3&gt;MAX(GZ$4:GZ$40),"",INDEX(GY$4:GY$40,MATCH(ROW()-3,GZ$4:GZ$40,0)))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IF('Final Calculation Sheet'!$F$13="","",IF(OR('Final Calculation Sheet'!$G$2="",ISNUMBER(SEARCH('Final Calculation Sheet'!$G$2,'Final Calculation Sheet'!$G$13))),'Final Calculation Sheet'!$F$13,""))</f>
        <v/>
      </c>
      <c r="GD13">
        <f>IF(GC13="","",COUNTIFS(GC$4:GC$40,"&lt;"&amp;GC13,GC$4:GC$40,"&lt;&gt;"&amp;"")+COUNTIF(GC$4:GC13,GC13))</f>
        <v/>
      </c>
      <c r="GE13">
        <f>IF(ROW()-3&gt;COUNTIF(GC$4:GC$40,"&lt;&gt;"&amp;""),"",INDEX(GC$4:GC$40,MATCH(ROW()-3,GD$4:GD$40,0)))</f>
        <v/>
      </c>
      <c r="GF13">
        <f>GF12+IF(AND(GE13&lt;&gt;"",COUNTIF(GE$4:GE13,GE13)=1),1,0)</f>
        <v/>
      </c>
      <c r="GG13">
        <f>IF(ROW()-3&gt;MAX(GF$4:GF$40),"",INDEX(GE$4:GE$40,MATCH(ROW()-3,GF$4:GF$40,0)))</f>
        <v/>
      </c>
      <c r="GH13">
        <f>IF('Final Calculation Sheet'!$F$13="","",IF('Live Search'!$BO$14=1,'Final Calculation Sheet'!$F$13,""))</f>
        <v/>
      </c>
      <c r="GI13">
        <f>IF(GH13="","",COUNTIFS(GH$4:GH$40,"&lt;"&amp;GH13,GH$4:GH$40,"&lt;&gt;"&amp;"")+COUNTIF(GH$4:GH13,GH13))</f>
        <v/>
      </c>
      <c r="GJ13">
        <f>IF(ROW()-3&gt;COUNTIF(GH$4:GH$40,"&lt;&gt;"&amp;""),"",INDEX(GH$4:GH$40,MATCH(ROW()-3,GI$4:GI$40,0)))</f>
        <v/>
      </c>
      <c r="GK13">
        <f>GK12+IF(AND(GJ13&lt;&gt;"",COUNTIF(GJ$4:GJ13,GJ13)=1),1,0)</f>
        <v/>
      </c>
      <c r="GL13">
        <f>IF(ROW()-3&gt;MAX(GK$4:GK$40),"",INDEX(GJ$4:GJ$40,MATCH(ROW()-3,GK$4:GK$40,0)))</f>
        <v/>
      </c>
      <c r="GM13">
        <f>IF('Final Calculation Sheet'!$F$13="","",IF('Buyer Groups'!$C$4="",'Final Calculation Sheet'!$F$13,IF('Buyer Groups'!$C$4="(nonblank)",IF('Final Calculation Sheet'!$G$13&lt;&gt;"",'Final Calculation Sheet'!$F$13,""),IF('Buyer Groups'!$C$4="(blank)",IF('Final Calculation Sheet'!$G$13="",'Final Calculation Sheet'!$F$13,""),IF(ISNUMBER(SEARCH('Buyer Groups'!$C$4,'Final Calculation Sheet'!$G$13)),'Final Calculation Sheet'!$F$13,"")))))</f>
        <v/>
      </c>
      <c r="GN13">
        <f>IF(GM13="","",COUNTIFS(GM$4:GM$40,"&lt;"&amp;GM13,GM$4:GM$40,"&lt;&gt;"&amp;"")+COUNTIF(GM$4:GM13,GM13))</f>
        <v/>
      </c>
      <c r="GO13">
        <f>IF(ROW()-3&gt;COUNTIF(GM$4:GM$40,"&lt;&gt;"&amp;""),"",INDEX(GM$4:GM$40,MATCH(ROW()-3,GN$4:GN$40,0)))</f>
        <v/>
      </c>
      <c r="GP13">
        <f>GP12+IF(AND(GO13&lt;&gt;"",COUNTIF(GO$4:GO13,GO13)=1),1,0)</f>
        <v/>
      </c>
      <c r="GQ13">
        <f>IF(ROW()-3&gt;MAX(GP$4:GP$40),"",INDEX(GO$4:GO$40,MATCH(ROW()-3,GP$4:GP$40,0)))</f>
        <v/>
      </c>
      <c r="GR13">
        <f>IF('Final Calculation Sheet'!$B$13="","",IF(OR('Final Calculation Sheet'!$G$2="",ISNUMBER(SEARCH('Final Calculation Sheet'!$G$2,'Final Calculation Sheet'!$G$13))),'Final Calculation Sheet'!$B$13,""))</f>
        <v/>
      </c>
      <c r="GS13">
        <f>IF(GR13="","",COUNTIFS(GR$4:GR$40,"&lt;"&amp;GR13,GR$4:GR$40,"&lt;&gt;"&amp;"")+COUNTIF(GR$4:GR13,GR13))</f>
        <v/>
      </c>
      <c r="GT13">
        <f>IF(ROW()-3&gt;COUNTIF(GR$4:GR$40,"&lt;&gt;"&amp;""),"",INDEX(GR$4:GR$40,MATCH(ROW()-3,GS$4:GS$40,0)))</f>
        <v/>
      </c>
      <c r="GU13">
        <f>GU12+IF(AND(GT13&lt;&gt;"",COUNTIF(GT$4:GT13,GT13)=1),1,0)</f>
        <v/>
      </c>
      <c r="GV13">
        <f>IF(ROW()-3&gt;MAX(GU$4:GU$40),"",INDEX(GT$4:GT$40,MATCH(ROW()-3,GU$4:GU$40,0)))</f>
        <v/>
      </c>
      <c r="GW13">
        <f>IF('Final Calculation Sheet'!$B$13="","",IF('Buyer Groups'!$C$4="",'Final Calculation Sheet'!$B$13,IF('Buyer Groups'!$C$4="(nonblank)",IF('Final Calculation Sheet'!$G$13&lt;&gt;"",'Final Calculation Sheet'!$B$13,""),IF('Buyer Groups'!$C$4="(blank)",IF('Final Calculation Sheet'!$G$13="",'Final Calculation Sheet'!$B$13,""),IF(ISNUMBER(SEARCH('Buyer Groups'!$C$4,'Final Calculation Sheet'!$G$13)),'Final Calculation Sheet'!$B$13,"")))))</f>
        <v/>
      </c>
      <c r="GX13">
        <f>IF(GW13="","",COUNTIFS(GW$4:GW$40,"&lt;"&amp;GW13,GW$4:GW$40,"&lt;&gt;"&amp;"")+COUNTIF(GW$4:GW13,GW13))</f>
        <v/>
      </c>
      <c r="GY13">
        <f>IF(ROW()-3&gt;COUNTIF(GW$4:GW$40,"&lt;&gt;"&amp;""),"",INDEX(GW$4:GW$40,MATCH(ROW()-3,GX$4:GX$40,0)))</f>
        <v/>
      </c>
      <c r="GZ13">
        <f>GZ12+IF(AND(GY13&lt;&gt;"",COUNTIF(GY$4:GY13,GY13)=1),1,0)</f>
        <v/>
      </c>
      <c r="HA13">
        <f>IF(ROW()-3&gt;MAX(GZ$4:GZ$40),"",INDEX(GY$4:GY$40,MATCH(ROW()-3,GZ$4:GZ$40,0)))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IF('Final Calculation Sheet'!$F$14="","",IF(OR('Final Calculation Sheet'!$G$2="",ISNUMBER(SEARCH('Final Calculation Sheet'!$G$2,'Final Calculation Sheet'!$G$14))),'Final Calculation Sheet'!$F$14,""))</f>
        <v/>
      </c>
      <c r="GD14">
        <f>IF(GC14="","",COUNTIFS(GC$4:GC$40,"&lt;"&amp;GC14,GC$4:GC$40,"&lt;&gt;"&amp;"")+COUNTIF(GC$4:GC14,GC14))</f>
        <v/>
      </c>
      <c r="GE14">
        <f>IF(ROW()-3&gt;COUNTIF(GC$4:GC$40,"&lt;&gt;"&amp;""),"",INDEX(GC$4:GC$40,MATCH(ROW()-3,GD$4:GD$40,0)))</f>
        <v/>
      </c>
      <c r="GF14">
        <f>GF13+IF(AND(GE14&lt;&gt;"",COUNTIF(GE$4:GE14,GE14)=1),1,0)</f>
        <v/>
      </c>
      <c r="GG14">
        <f>IF(ROW()-3&gt;MAX(GF$4:GF$40),"",INDEX(GE$4:GE$40,MATCH(ROW()-3,GF$4:GF$40,0)))</f>
        <v/>
      </c>
      <c r="GH14">
        <f>IF('Final Calculation Sheet'!$F$14="","",IF('Live Search'!$BO$15=1,'Final Calculation Sheet'!$F$14,""))</f>
        <v/>
      </c>
      <c r="GI14">
        <f>IF(GH14="","",COUNTIFS(GH$4:GH$40,"&lt;"&amp;GH14,GH$4:GH$40,"&lt;&gt;"&amp;"")+COUNTIF(GH$4:GH14,GH14))</f>
        <v/>
      </c>
      <c r="GJ14">
        <f>IF(ROW()-3&gt;COUNTIF(GH$4:GH$40,"&lt;&gt;"&amp;""),"",INDEX(GH$4:GH$40,MATCH(ROW()-3,GI$4:GI$40,0)))</f>
        <v/>
      </c>
      <c r="GK14">
        <f>GK13+IF(AND(GJ14&lt;&gt;"",COUNTIF(GJ$4:GJ14,GJ14)=1),1,0)</f>
        <v/>
      </c>
      <c r="GL14">
        <f>IF(ROW()-3&gt;MAX(GK$4:GK$40),"",INDEX(GJ$4:GJ$40,MATCH(ROW()-3,GK$4:GK$40,0)))</f>
        <v/>
      </c>
      <c r="GM14">
        <f>IF('Final Calculation Sheet'!$F$14="","",IF('Buyer Groups'!$C$4="",'Final Calculation Sheet'!$F$14,IF('Buyer Groups'!$C$4="(nonblank)",IF('Final Calculation Sheet'!$G$14&lt;&gt;"",'Final Calculation Sheet'!$F$14,""),IF('Buyer Groups'!$C$4="(blank)",IF('Final Calculation Sheet'!$G$14="",'Final Calculation Sheet'!$F$14,""),IF(ISNUMBER(SEARCH('Buyer Groups'!$C$4,'Final Calculation Sheet'!$G$14)),'Final Calculation Sheet'!$F$14,"")))))</f>
        <v/>
      </c>
      <c r="GN14">
        <f>IF(GM14="","",COUNTIFS(GM$4:GM$40,"&lt;"&amp;GM14,GM$4:GM$40,"&lt;&gt;"&amp;"")+COUNTIF(GM$4:GM14,GM14))</f>
        <v/>
      </c>
      <c r="GO14">
        <f>IF(ROW()-3&gt;COUNTIF(GM$4:GM$40,"&lt;&gt;"&amp;""),"",INDEX(GM$4:GM$40,MATCH(ROW()-3,GN$4:GN$40,0)))</f>
        <v/>
      </c>
      <c r="GP14">
        <f>GP13+IF(AND(GO14&lt;&gt;"",COUNTIF(GO$4:GO14,GO14)=1),1,0)</f>
        <v/>
      </c>
      <c r="GQ14">
        <f>IF(ROW()-3&gt;MAX(GP$4:GP$40),"",INDEX(GO$4:GO$40,MATCH(ROW()-3,GP$4:GP$40,0)))</f>
        <v/>
      </c>
      <c r="GR14">
        <f>IF('Final Calculation Sheet'!$B$14="","",IF(OR('Final Calculation Sheet'!$G$2="",ISNUMBER(SEARCH('Final Calculation Sheet'!$G$2,'Final Calculation Sheet'!$G$14))),'Final Calculation Sheet'!$B$14,""))</f>
        <v/>
      </c>
      <c r="GS14">
        <f>IF(GR14="","",COUNTIFS(GR$4:GR$40,"&lt;"&amp;GR14,GR$4:GR$40,"&lt;&gt;"&amp;"")+COUNTIF(GR$4:GR14,GR14))</f>
        <v/>
      </c>
      <c r="GT14">
        <f>IF(ROW()-3&gt;COUNTIF(GR$4:GR$40,"&lt;&gt;"&amp;""),"",INDEX(GR$4:GR$40,MATCH(ROW()-3,GS$4:GS$40,0)))</f>
        <v/>
      </c>
      <c r="GU14">
        <f>GU13+IF(AND(GT14&lt;&gt;"",COUNTIF(GT$4:GT14,GT14)=1),1,0)</f>
        <v/>
      </c>
      <c r="GV14">
        <f>IF(ROW()-3&gt;MAX(GU$4:GU$40),"",INDEX(GT$4:GT$40,MATCH(ROW()-3,GU$4:GU$40,0)))</f>
        <v/>
      </c>
      <c r="GW14">
        <f>IF('Final Calculation Sheet'!$B$14="","",IF('Buyer Groups'!$C$4="",'Final Calculation Sheet'!$B$14,IF('Buyer Groups'!$C$4="(nonblank)",IF('Final Calculation Sheet'!$G$14&lt;&gt;"",'Final Calculation Sheet'!$B$14,""),IF('Buyer Groups'!$C$4="(blank)",IF('Final Calculation Sheet'!$G$14="",'Final Calculation Sheet'!$B$14,""),IF(ISNUMBER(SEARCH('Buyer Groups'!$C$4,'Final Calculation Sheet'!$G$14)),'Final Calculation Sheet'!$B$14,"")))))</f>
        <v/>
      </c>
      <c r="GX14">
        <f>IF(GW14="","",COUNTIFS(GW$4:GW$40,"&lt;"&amp;GW14,GW$4:GW$40,"&lt;&gt;"&amp;"")+COUNTIF(GW$4:GW14,GW14))</f>
        <v/>
      </c>
      <c r="GY14">
        <f>IF(ROW()-3&gt;COUNTIF(GW$4:GW$40,"&lt;&gt;"&amp;""),"",INDEX(GW$4:GW$40,MATCH(ROW()-3,GX$4:GX$40,0)))</f>
        <v/>
      </c>
      <c r="GZ14">
        <f>GZ13+IF(AND(GY14&lt;&gt;"",COUNTIF(GY$4:GY14,GY14)=1),1,0)</f>
        <v/>
      </c>
      <c r="HA14">
        <f>IF(ROW()-3&gt;MAX(GZ$4:GZ$40),"",INDEX(GY$4:GY$40,MATCH(ROW()-3,GZ$4:GZ$40,0)))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IF('Final Calculation Sheet'!$F$15="","",IF(OR('Final Calculation Sheet'!$G$2="",ISNUMBER(SEARCH('Final Calculation Sheet'!$G$2,'Final Calculation Sheet'!$G$15))),'Final Calculation Sheet'!$F$15,""))</f>
        <v/>
      </c>
      <c r="GD15">
        <f>IF(GC15="","",COUNTIFS(GC$4:GC$40,"&lt;"&amp;GC15,GC$4:GC$40,"&lt;&gt;"&amp;"")+COUNTIF(GC$4:GC15,GC15))</f>
        <v/>
      </c>
      <c r="GE15">
        <f>IF(ROW()-3&gt;COUNTIF(GC$4:GC$40,"&lt;&gt;"&amp;""),"",INDEX(GC$4:GC$40,MATCH(ROW()-3,GD$4:GD$40,0)))</f>
        <v/>
      </c>
      <c r="GF15">
        <f>GF14+IF(AND(GE15&lt;&gt;"",COUNTIF(GE$4:GE15,GE15)=1),1,0)</f>
        <v/>
      </c>
      <c r="GG15">
        <f>IF(ROW()-3&gt;MAX(GF$4:GF$40),"",INDEX(GE$4:GE$40,MATCH(ROW()-3,GF$4:GF$40,0)))</f>
        <v/>
      </c>
      <c r="GH15">
        <f>IF('Final Calculation Sheet'!$F$15="","",IF('Live Search'!$BO$16=1,'Final Calculation Sheet'!$F$15,""))</f>
        <v/>
      </c>
      <c r="GI15">
        <f>IF(GH15="","",COUNTIFS(GH$4:GH$40,"&lt;"&amp;GH15,GH$4:GH$40,"&lt;&gt;"&amp;"")+COUNTIF(GH$4:GH15,GH15))</f>
        <v/>
      </c>
      <c r="GJ15">
        <f>IF(ROW()-3&gt;COUNTIF(GH$4:GH$40,"&lt;&gt;"&amp;""),"",INDEX(GH$4:GH$40,MATCH(ROW()-3,GI$4:GI$40,0)))</f>
        <v/>
      </c>
      <c r="GK15">
        <f>GK14+IF(AND(GJ15&lt;&gt;"",COUNTIF(GJ$4:GJ15,GJ15)=1),1,0)</f>
        <v/>
      </c>
      <c r="GL15">
        <f>IF(ROW()-3&gt;MAX(GK$4:GK$40),"",INDEX(GJ$4:GJ$40,MATCH(ROW()-3,GK$4:GK$40,0)))</f>
        <v/>
      </c>
      <c r="GM15">
        <f>IF('Final Calculation Sheet'!$F$15="","",IF('Buyer Groups'!$C$4="",'Final Calculation Sheet'!$F$15,IF('Buyer Groups'!$C$4="(nonblank)",IF('Final Calculation Sheet'!$G$15&lt;&gt;"",'Final Calculation Sheet'!$F$15,""),IF('Buyer Groups'!$C$4="(blank)",IF('Final Calculation Sheet'!$G$15="",'Final Calculation Sheet'!$F$15,""),IF(ISNUMBER(SEARCH('Buyer Groups'!$C$4,'Final Calculation Sheet'!$G$15)),'Final Calculation Sheet'!$F$15,"")))))</f>
        <v/>
      </c>
      <c r="GN15">
        <f>IF(GM15="","",COUNTIFS(GM$4:GM$40,"&lt;"&amp;GM15,GM$4:GM$40,"&lt;&gt;"&amp;"")+COUNTIF(GM$4:GM15,GM15))</f>
        <v/>
      </c>
      <c r="GO15">
        <f>IF(ROW()-3&gt;COUNTIF(GM$4:GM$40,"&lt;&gt;"&amp;""),"",INDEX(GM$4:GM$40,MATCH(ROW()-3,GN$4:GN$40,0)))</f>
        <v/>
      </c>
      <c r="GP15">
        <f>GP14+IF(AND(GO15&lt;&gt;"",COUNTIF(GO$4:GO15,GO15)=1),1,0)</f>
        <v/>
      </c>
      <c r="GQ15">
        <f>IF(ROW()-3&gt;MAX(GP$4:GP$40),"",INDEX(GO$4:GO$40,MATCH(ROW()-3,GP$4:GP$40,0)))</f>
        <v/>
      </c>
      <c r="GR15">
        <f>IF('Final Calculation Sheet'!$B$15="","",IF(OR('Final Calculation Sheet'!$G$2="",ISNUMBER(SEARCH('Final Calculation Sheet'!$G$2,'Final Calculation Sheet'!$G$15))),'Final Calculation Sheet'!$B$15,""))</f>
        <v/>
      </c>
      <c r="GS15">
        <f>IF(GR15="","",COUNTIFS(GR$4:GR$40,"&lt;"&amp;GR15,GR$4:GR$40,"&lt;&gt;"&amp;"")+COUNTIF(GR$4:GR15,GR15))</f>
        <v/>
      </c>
      <c r="GT15">
        <f>IF(ROW()-3&gt;COUNTIF(GR$4:GR$40,"&lt;&gt;"&amp;""),"",INDEX(GR$4:GR$40,MATCH(ROW()-3,GS$4:GS$40,0)))</f>
        <v/>
      </c>
      <c r="GU15">
        <f>GU14+IF(AND(GT15&lt;&gt;"",COUNTIF(GT$4:GT15,GT15)=1),1,0)</f>
        <v/>
      </c>
      <c r="GV15">
        <f>IF(ROW()-3&gt;MAX(GU$4:GU$40),"",INDEX(GT$4:GT$40,MATCH(ROW()-3,GU$4:GU$40,0)))</f>
        <v/>
      </c>
      <c r="GW15">
        <f>IF('Final Calculation Sheet'!$B$15="","",IF('Buyer Groups'!$C$4="",'Final Calculation Sheet'!$B$15,IF('Buyer Groups'!$C$4="(nonblank)",IF('Final Calculation Sheet'!$G$15&lt;&gt;"",'Final Calculation Sheet'!$B$15,""),IF('Buyer Groups'!$C$4="(blank)",IF('Final Calculation Sheet'!$G$15="",'Final Calculation Sheet'!$B$15,""),IF(ISNUMBER(SEARCH('Buyer Groups'!$C$4,'Final Calculation Sheet'!$G$15)),'Final Calculation Sheet'!$B$15,"")))))</f>
        <v/>
      </c>
      <c r="GX15">
        <f>IF(GW15="","",COUNTIFS(GW$4:GW$40,"&lt;"&amp;GW15,GW$4:GW$40,"&lt;&gt;"&amp;"")+COUNTIF(GW$4:GW15,GW15))</f>
        <v/>
      </c>
      <c r="GY15">
        <f>IF(ROW()-3&gt;COUNTIF(GW$4:GW$40,"&lt;&gt;"&amp;""),"",INDEX(GW$4:GW$40,MATCH(ROW()-3,GX$4:GX$40,0)))</f>
        <v/>
      </c>
      <c r="GZ15">
        <f>GZ14+IF(AND(GY15&lt;&gt;"",COUNTIF(GY$4:GY15,GY15)=1),1,0)</f>
        <v/>
      </c>
      <c r="HA15">
        <f>IF(ROW()-3&gt;MAX(GZ$4:GZ$40),"",INDEX(GY$4:GY$40,MATCH(ROW()-3,GZ$4:GZ$40,0)))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IF('Final Calculation Sheet'!$F$16="","",IF(OR('Final Calculation Sheet'!$G$2="",ISNUMBER(SEARCH('Final Calculation Sheet'!$G$2,'Final Calculation Sheet'!$G$16))),'Final Calculation Sheet'!$F$16,""))</f>
        <v/>
      </c>
      <c r="GD16">
        <f>IF(GC16="","",COUNTIFS(GC$4:GC$40,"&lt;"&amp;GC16,GC$4:GC$40,"&lt;&gt;"&amp;"")+COUNTIF(GC$4:GC16,GC16))</f>
        <v/>
      </c>
      <c r="GE16">
        <f>IF(ROW()-3&gt;COUNTIF(GC$4:GC$40,"&lt;&gt;"&amp;""),"",INDEX(GC$4:GC$40,MATCH(ROW()-3,GD$4:GD$40,0)))</f>
        <v/>
      </c>
      <c r="GF16">
        <f>GF15+IF(AND(GE16&lt;&gt;"",COUNTIF(GE$4:GE16,GE16)=1),1,0)</f>
        <v/>
      </c>
      <c r="GG16">
        <f>IF(ROW()-3&gt;MAX(GF$4:GF$40),"",INDEX(GE$4:GE$40,MATCH(ROW()-3,GF$4:GF$40,0)))</f>
        <v/>
      </c>
      <c r="GH16">
        <f>IF('Final Calculation Sheet'!$F$16="","",IF('Live Search'!$BO$17=1,'Final Calculation Sheet'!$F$16,""))</f>
        <v/>
      </c>
      <c r="GI16">
        <f>IF(GH16="","",COUNTIFS(GH$4:GH$40,"&lt;"&amp;GH16,GH$4:GH$40,"&lt;&gt;"&amp;"")+COUNTIF(GH$4:GH16,GH16))</f>
        <v/>
      </c>
      <c r="GJ16">
        <f>IF(ROW()-3&gt;COUNTIF(GH$4:GH$40,"&lt;&gt;"&amp;""),"",INDEX(GH$4:GH$40,MATCH(ROW()-3,GI$4:GI$40,0)))</f>
        <v/>
      </c>
      <c r="GK16">
        <f>GK15+IF(AND(GJ16&lt;&gt;"",COUNTIF(GJ$4:GJ16,GJ16)=1),1,0)</f>
        <v/>
      </c>
      <c r="GL16">
        <f>IF(ROW()-3&gt;MAX(GK$4:GK$40),"",INDEX(GJ$4:GJ$40,MATCH(ROW()-3,GK$4:GK$40,0)))</f>
        <v/>
      </c>
      <c r="GM16">
        <f>IF('Final Calculation Sheet'!$F$16="","",IF('Buyer Groups'!$C$4="",'Final Calculation Sheet'!$F$16,IF('Buyer Groups'!$C$4="(nonblank)",IF('Final Calculation Sheet'!$G$16&lt;&gt;"",'Final Calculation Sheet'!$F$16,""),IF('Buyer Groups'!$C$4="(blank)",IF('Final Calculation Sheet'!$G$16="",'Final Calculation Sheet'!$F$16,""),IF(ISNUMBER(SEARCH('Buyer Groups'!$C$4,'Final Calculation Sheet'!$G$16)),'Final Calculation Sheet'!$F$16,"")))))</f>
        <v/>
      </c>
      <c r="GN16">
        <f>IF(GM16="","",COUNTIFS(GM$4:GM$40,"&lt;"&amp;GM16,GM$4:GM$40,"&lt;&gt;"&amp;"")+COUNTIF(GM$4:GM16,GM16))</f>
        <v/>
      </c>
      <c r="GO16">
        <f>IF(ROW()-3&gt;COUNTIF(GM$4:GM$40,"&lt;&gt;"&amp;""),"",INDEX(GM$4:GM$40,MATCH(ROW()-3,GN$4:GN$40,0)))</f>
        <v/>
      </c>
      <c r="GP16">
        <f>GP15+IF(AND(GO16&lt;&gt;"",COUNTIF(GO$4:GO16,GO16)=1),1,0)</f>
        <v/>
      </c>
      <c r="GQ16">
        <f>IF(ROW()-3&gt;MAX(GP$4:GP$40),"",INDEX(GO$4:GO$40,MATCH(ROW()-3,GP$4:GP$40,0)))</f>
        <v/>
      </c>
      <c r="GR16">
        <f>IF('Final Calculation Sheet'!$B$16="","",IF(OR('Final Calculation Sheet'!$G$2="",ISNUMBER(SEARCH('Final Calculation Sheet'!$G$2,'Final Calculation Sheet'!$G$16))),'Final Calculation Sheet'!$B$16,""))</f>
        <v/>
      </c>
      <c r="GS16">
        <f>IF(GR16="","",COUNTIFS(GR$4:GR$40,"&lt;"&amp;GR16,GR$4:GR$40,"&lt;&gt;"&amp;"")+COUNTIF(GR$4:GR16,GR16))</f>
        <v/>
      </c>
      <c r="GT16">
        <f>IF(ROW()-3&gt;COUNTIF(GR$4:GR$40,"&lt;&gt;"&amp;""),"",INDEX(GR$4:GR$40,MATCH(ROW()-3,GS$4:GS$40,0)))</f>
        <v/>
      </c>
      <c r="GU16">
        <f>GU15+IF(AND(GT16&lt;&gt;"",COUNTIF(GT$4:GT16,GT16)=1),1,0)</f>
        <v/>
      </c>
      <c r="GV16">
        <f>IF(ROW()-3&gt;MAX(GU$4:GU$40),"",INDEX(GT$4:GT$40,MATCH(ROW()-3,GU$4:GU$40,0)))</f>
        <v/>
      </c>
      <c r="GW16">
        <f>IF('Final Calculation Sheet'!$B$16="","",IF('Buyer Groups'!$C$4="",'Final Calculation Sheet'!$B$16,IF('Buyer Groups'!$C$4="(nonblank)",IF('Final Calculation Sheet'!$G$16&lt;&gt;"",'Final Calculation Sheet'!$B$16,""),IF('Buyer Groups'!$C$4="(blank)",IF('Final Calculation Sheet'!$G$16="",'Final Calculation Sheet'!$B$16,""),IF(ISNUMBER(SEARCH('Buyer Groups'!$C$4,'Final Calculation Sheet'!$G$16)),'Final Calculation Sheet'!$B$16,"")))))</f>
        <v/>
      </c>
      <c r="GX16">
        <f>IF(GW16="","",COUNTIFS(GW$4:GW$40,"&lt;"&amp;GW16,GW$4:GW$40,"&lt;&gt;"&amp;"")+COUNTIF(GW$4:GW16,GW16))</f>
        <v/>
      </c>
      <c r="GY16">
        <f>IF(ROW()-3&gt;COUNTIF(GW$4:GW$40,"&lt;&gt;"&amp;""),"",INDEX(GW$4:GW$40,MATCH(ROW()-3,GX$4:GX$40,0)))</f>
        <v/>
      </c>
      <c r="GZ16">
        <f>GZ15+IF(AND(GY16&lt;&gt;"",COUNTIF(GY$4:GY16,GY16)=1),1,0)</f>
        <v/>
      </c>
      <c r="HA16">
        <f>IF(ROW()-3&gt;MAX(GZ$4:GZ$40),"",INDEX(GY$4:GY$40,MATCH(ROW()-3,GZ$4:GZ$40,0)))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IF('Final Calculation Sheet'!$F$17="","",IF(OR('Final Calculation Sheet'!$G$2="",ISNUMBER(SEARCH('Final Calculation Sheet'!$G$2,'Final Calculation Sheet'!$G$17))),'Final Calculation Sheet'!$F$17,""))</f>
        <v/>
      </c>
      <c r="GD17">
        <f>IF(GC17="","",COUNTIFS(GC$4:GC$40,"&lt;"&amp;GC17,GC$4:GC$40,"&lt;&gt;"&amp;"")+COUNTIF(GC$4:GC17,GC17))</f>
        <v/>
      </c>
      <c r="GE17">
        <f>IF(ROW()-3&gt;COUNTIF(GC$4:GC$40,"&lt;&gt;"&amp;""),"",INDEX(GC$4:GC$40,MATCH(ROW()-3,GD$4:GD$40,0)))</f>
        <v/>
      </c>
      <c r="GF17">
        <f>GF16+IF(AND(GE17&lt;&gt;"",COUNTIF(GE$4:GE17,GE17)=1),1,0)</f>
        <v/>
      </c>
      <c r="GG17">
        <f>IF(ROW()-3&gt;MAX(GF$4:GF$40),"",INDEX(GE$4:GE$40,MATCH(ROW()-3,GF$4:GF$40,0)))</f>
        <v/>
      </c>
      <c r="GH17">
        <f>IF('Final Calculation Sheet'!$F$17="","",IF('Live Search'!$BO$18=1,'Final Calculation Sheet'!$F$17,""))</f>
        <v/>
      </c>
      <c r="GI17">
        <f>IF(GH17="","",COUNTIFS(GH$4:GH$40,"&lt;"&amp;GH17,GH$4:GH$40,"&lt;&gt;"&amp;"")+COUNTIF(GH$4:GH17,GH17))</f>
        <v/>
      </c>
      <c r="GJ17">
        <f>IF(ROW()-3&gt;COUNTIF(GH$4:GH$40,"&lt;&gt;"&amp;""),"",INDEX(GH$4:GH$40,MATCH(ROW()-3,GI$4:GI$40,0)))</f>
        <v/>
      </c>
      <c r="GK17">
        <f>GK16+IF(AND(GJ17&lt;&gt;"",COUNTIF(GJ$4:GJ17,GJ17)=1),1,0)</f>
        <v/>
      </c>
      <c r="GL17">
        <f>IF(ROW()-3&gt;MAX(GK$4:GK$40),"",INDEX(GJ$4:GJ$40,MATCH(ROW()-3,GK$4:GK$40,0)))</f>
        <v/>
      </c>
      <c r="GM17">
        <f>IF('Final Calculation Sheet'!$F$17="","",IF('Buyer Groups'!$C$4="",'Final Calculation Sheet'!$F$17,IF('Buyer Groups'!$C$4="(nonblank)",IF('Final Calculation Sheet'!$G$17&lt;&gt;"",'Final Calculation Sheet'!$F$17,""),IF('Buyer Groups'!$C$4="(blank)",IF('Final Calculation Sheet'!$G$17="",'Final Calculation Sheet'!$F$17,""),IF(ISNUMBER(SEARCH('Buyer Groups'!$C$4,'Final Calculation Sheet'!$G$17)),'Final Calculation Sheet'!$F$17,"")))))</f>
        <v/>
      </c>
      <c r="GN17">
        <f>IF(GM17="","",COUNTIFS(GM$4:GM$40,"&lt;"&amp;GM17,GM$4:GM$40,"&lt;&gt;"&amp;"")+COUNTIF(GM$4:GM17,GM17))</f>
        <v/>
      </c>
      <c r="GO17">
        <f>IF(ROW()-3&gt;COUNTIF(GM$4:GM$40,"&lt;&gt;"&amp;""),"",INDEX(GM$4:GM$40,MATCH(ROW()-3,GN$4:GN$40,0)))</f>
        <v/>
      </c>
      <c r="GP17">
        <f>GP16+IF(AND(GO17&lt;&gt;"",COUNTIF(GO$4:GO17,GO17)=1),1,0)</f>
        <v/>
      </c>
      <c r="GQ17">
        <f>IF(ROW()-3&gt;MAX(GP$4:GP$40),"",INDEX(GO$4:GO$40,MATCH(ROW()-3,GP$4:GP$40,0)))</f>
        <v/>
      </c>
      <c r="GR17">
        <f>IF('Final Calculation Sheet'!$B$17="","",IF(OR('Final Calculation Sheet'!$G$2="",ISNUMBER(SEARCH('Final Calculation Sheet'!$G$2,'Final Calculation Sheet'!$G$17))),'Final Calculation Sheet'!$B$17,""))</f>
        <v/>
      </c>
      <c r="GS17">
        <f>IF(GR17="","",COUNTIFS(GR$4:GR$40,"&lt;"&amp;GR17,GR$4:GR$40,"&lt;&gt;"&amp;"")+COUNTIF(GR$4:GR17,GR17))</f>
        <v/>
      </c>
      <c r="GT17">
        <f>IF(ROW()-3&gt;COUNTIF(GR$4:GR$40,"&lt;&gt;"&amp;""),"",INDEX(GR$4:GR$40,MATCH(ROW()-3,GS$4:GS$40,0)))</f>
        <v/>
      </c>
      <c r="GU17">
        <f>GU16+IF(AND(GT17&lt;&gt;"",COUNTIF(GT$4:GT17,GT17)=1),1,0)</f>
        <v/>
      </c>
      <c r="GV17">
        <f>IF(ROW()-3&gt;MAX(GU$4:GU$40),"",INDEX(GT$4:GT$40,MATCH(ROW()-3,GU$4:GU$40,0)))</f>
        <v/>
      </c>
      <c r="GW17">
        <f>IF('Final Calculation Sheet'!$B$17="","",IF('Buyer Groups'!$C$4="",'Final Calculation Sheet'!$B$17,IF('Buyer Groups'!$C$4="(nonblank)",IF('Final Calculation Sheet'!$G$17&lt;&gt;"",'Final Calculation Sheet'!$B$17,""),IF('Buyer Groups'!$C$4="(blank)",IF('Final Calculation Sheet'!$G$17="",'Final Calculation Sheet'!$B$17,""),IF(ISNUMBER(SEARCH('Buyer Groups'!$C$4,'Final Calculation Sheet'!$G$17)),'Final Calculation Sheet'!$B$17,"")))))</f>
        <v/>
      </c>
      <c r="GX17">
        <f>IF(GW17="","",COUNTIFS(GW$4:GW$40,"&lt;"&amp;GW17,GW$4:GW$40,"&lt;&gt;"&amp;"")+COUNTIF(GW$4:GW17,GW17))</f>
        <v/>
      </c>
      <c r="GY17">
        <f>IF(ROW()-3&gt;COUNTIF(GW$4:GW$40,"&lt;&gt;"&amp;""),"",INDEX(GW$4:GW$40,MATCH(ROW()-3,GX$4:GX$40,0)))</f>
        <v/>
      </c>
      <c r="GZ17">
        <f>GZ16+IF(AND(GY17&lt;&gt;"",COUNTIF(GY$4:GY17,GY17)=1),1,0)</f>
        <v/>
      </c>
      <c r="HA17">
        <f>IF(ROW()-3&gt;MAX(GZ$4:GZ$40),"",INDEX(GY$4:GY$40,MATCH(ROW()-3,GZ$4:GZ$40,0)))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IF('Final Calculation Sheet'!$F$18="","",IF(OR('Final Calculation Sheet'!$G$2="",ISNUMBER(SEARCH('Final Calculation Sheet'!$G$2,'Final Calculation Sheet'!$G$18))),'Final Calculation Sheet'!$F$18,""))</f>
        <v/>
      </c>
      <c r="GD18">
        <f>IF(GC18="","",COUNTIFS(GC$4:GC$40,"&lt;"&amp;GC18,GC$4:GC$40,"&lt;&gt;"&amp;"")+COUNTIF(GC$4:GC18,GC18))</f>
        <v/>
      </c>
      <c r="GE18">
        <f>IF(ROW()-3&gt;COUNTIF(GC$4:GC$40,"&lt;&gt;"&amp;""),"",INDEX(GC$4:GC$40,MATCH(ROW()-3,GD$4:GD$40,0)))</f>
        <v/>
      </c>
      <c r="GF18">
        <f>GF17+IF(AND(GE18&lt;&gt;"",COUNTIF(GE$4:GE18,GE18)=1),1,0)</f>
        <v/>
      </c>
      <c r="GG18">
        <f>IF(ROW()-3&gt;MAX(GF$4:GF$40),"",INDEX(GE$4:GE$40,MATCH(ROW()-3,GF$4:GF$40,0)))</f>
        <v/>
      </c>
      <c r="GH18">
        <f>IF('Final Calculation Sheet'!$F$18="","",IF('Live Search'!$BO$19=1,'Final Calculation Sheet'!$F$18,""))</f>
        <v/>
      </c>
      <c r="GI18">
        <f>IF(GH18="","",COUNTIFS(GH$4:GH$40,"&lt;"&amp;GH18,GH$4:GH$40,"&lt;&gt;"&amp;"")+COUNTIF(GH$4:GH18,GH18))</f>
        <v/>
      </c>
      <c r="GJ18">
        <f>IF(ROW()-3&gt;COUNTIF(GH$4:GH$40,"&lt;&gt;"&amp;""),"",INDEX(GH$4:GH$40,MATCH(ROW()-3,GI$4:GI$40,0)))</f>
        <v/>
      </c>
      <c r="GK18">
        <f>GK17+IF(AND(GJ18&lt;&gt;"",COUNTIF(GJ$4:GJ18,GJ18)=1),1,0)</f>
        <v/>
      </c>
      <c r="GL18">
        <f>IF(ROW()-3&gt;MAX(GK$4:GK$40),"",INDEX(GJ$4:GJ$40,MATCH(ROW()-3,GK$4:GK$40,0)))</f>
        <v/>
      </c>
      <c r="GM18">
        <f>IF('Final Calculation Sheet'!$F$18="","",IF('Buyer Groups'!$C$4="",'Final Calculation Sheet'!$F$18,IF('Buyer Groups'!$C$4="(nonblank)",IF('Final Calculation Sheet'!$G$18&lt;&gt;"",'Final Calculation Sheet'!$F$18,""),IF('Buyer Groups'!$C$4="(blank)",IF('Final Calculation Sheet'!$G$18="",'Final Calculation Sheet'!$F$18,""),IF(ISNUMBER(SEARCH('Buyer Groups'!$C$4,'Final Calculation Sheet'!$G$18)),'Final Calculation Sheet'!$F$18,"")))))</f>
        <v/>
      </c>
      <c r="GN18">
        <f>IF(GM18="","",COUNTIFS(GM$4:GM$40,"&lt;"&amp;GM18,GM$4:GM$40,"&lt;&gt;"&amp;"")+COUNTIF(GM$4:GM18,GM18))</f>
        <v/>
      </c>
      <c r="GO18">
        <f>IF(ROW()-3&gt;COUNTIF(GM$4:GM$40,"&lt;&gt;"&amp;""),"",INDEX(GM$4:GM$40,MATCH(ROW()-3,GN$4:GN$40,0)))</f>
        <v/>
      </c>
      <c r="GP18">
        <f>GP17+IF(AND(GO18&lt;&gt;"",COUNTIF(GO$4:GO18,GO18)=1),1,0)</f>
        <v/>
      </c>
      <c r="GQ18">
        <f>IF(ROW()-3&gt;MAX(GP$4:GP$40),"",INDEX(GO$4:GO$40,MATCH(ROW()-3,GP$4:GP$40,0)))</f>
        <v/>
      </c>
      <c r="GR18">
        <f>IF('Final Calculation Sheet'!$B$18="","",IF(OR('Final Calculation Sheet'!$G$2="",ISNUMBER(SEARCH('Final Calculation Sheet'!$G$2,'Final Calculation Sheet'!$G$18))),'Final Calculation Sheet'!$B$18,""))</f>
        <v/>
      </c>
      <c r="GS18">
        <f>IF(GR18="","",COUNTIFS(GR$4:GR$40,"&lt;"&amp;GR18,GR$4:GR$40,"&lt;&gt;"&amp;"")+COUNTIF(GR$4:GR18,GR18))</f>
        <v/>
      </c>
      <c r="GT18">
        <f>IF(ROW()-3&gt;COUNTIF(GR$4:GR$40,"&lt;&gt;"&amp;""),"",INDEX(GR$4:GR$40,MATCH(ROW()-3,GS$4:GS$40,0)))</f>
        <v/>
      </c>
      <c r="GU18">
        <f>GU17+IF(AND(GT18&lt;&gt;"",COUNTIF(GT$4:GT18,GT18)=1),1,0)</f>
        <v/>
      </c>
      <c r="GV18">
        <f>IF(ROW()-3&gt;MAX(GU$4:GU$40),"",INDEX(GT$4:GT$40,MATCH(ROW()-3,GU$4:GU$40,0)))</f>
        <v/>
      </c>
      <c r="GW18">
        <f>IF('Final Calculation Sheet'!$B$18="","",IF('Buyer Groups'!$C$4="",'Final Calculation Sheet'!$B$18,IF('Buyer Groups'!$C$4="(nonblank)",IF('Final Calculation Sheet'!$G$18&lt;&gt;"",'Final Calculation Sheet'!$B$18,""),IF('Buyer Groups'!$C$4="(blank)",IF('Final Calculation Sheet'!$G$18="",'Final Calculation Sheet'!$B$18,""),IF(ISNUMBER(SEARCH('Buyer Groups'!$C$4,'Final Calculation Sheet'!$G$18)),'Final Calculation Sheet'!$B$18,"")))))</f>
        <v/>
      </c>
      <c r="GX18">
        <f>IF(GW18="","",COUNTIFS(GW$4:GW$40,"&lt;"&amp;GW18,GW$4:GW$40,"&lt;&gt;"&amp;"")+COUNTIF(GW$4:GW18,GW18))</f>
        <v/>
      </c>
      <c r="GY18">
        <f>IF(ROW()-3&gt;COUNTIF(GW$4:GW$40,"&lt;&gt;"&amp;""),"",INDEX(GW$4:GW$40,MATCH(ROW()-3,GX$4:GX$40,0)))</f>
        <v/>
      </c>
      <c r="GZ18">
        <f>GZ17+IF(AND(GY18&lt;&gt;"",COUNTIF(GY$4:GY18,GY18)=1),1,0)</f>
        <v/>
      </c>
      <c r="HA18">
        <f>IF(ROW()-3&gt;MAX(GZ$4:GZ$40),"",INDEX(GY$4:GY$40,MATCH(ROW()-3,GZ$4:GZ$40,0)))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IF('Final Calculation Sheet'!$F$19="","",IF(OR('Final Calculation Sheet'!$G$2="",ISNUMBER(SEARCH('Final Calculation Sheet'!$G$2,'Final Calculation Sheet'!$G$19))),'Final Calculation Sheet'!$F$19,""))</f>
        <v/>
      </c>
      <c r="GD19">
        <f>IF(GC19="","",COUNTIFS(GC$4:GC$40,"&lt;"&amp;GC19,GC$4:GC$40,"&lt;&gt;"&amp;"")+COUNTIF(GC$4:GC19,GC19))</f>
        <v/>
      </c>
      <c r="GE19">
        <f>IF(ROW()-3&gt;COUNTIF(GC$4:GC$40,"&lt;&gt;"&amp;""),"",INDEX(GC$4:GC$40,MATCH(ROW()-3,GD$4:GD$40,0)))</f>
        <v/>
      </c>
      <c r="GF19">
        <f>GF18+IF(AND(GE19&lt;&gt;"",COUNTIF(GE$4:GE19,GE19)=1),1,0)</f>
        <v/>
      </c>
      <c r="GG19">
        <f>IF(ROW()-3&gt;MAX(GF$4:GF$40),"",INDEX(GE$4:GE$40,MATCH(ROW()-3,GF$4:GF$40,0)))</f>
        <v/>
      </c>
      <c r="GH19">
        <f>IF('Final Calculation Sheet'!$F$19="","",IF('Live Search'!$BO$20=1,'Final Calculation Sheet'!$F$19,""))</f>
        <v/>
      </c>
      <c r="GI19">
        <f>IF(GH19="","",COUNTIFS(GH$4:GH$40,"&lt;"&amp;GH19,GH$4:GH$40,"&lt;&gt;"&amp;"")+COUNTIF(GH$4:GH19,GH19))</f>
        <v/>
      </c>
      <c r="GJ19">
        <f>IF(ROW()-3&gt;COUNTIF(GH$4:GH$40,"&lt;&gt;"&amp;""),"",INDEX(GH$4:GH$40,MATCH(ROW()-3,GI$4:GI$40,0)))</f>
        <v/>
      </c>
      <c r="GK19">
        <f>GK18+IF(AND(GJ19&lt;&gt;"",COUNTIF(GJ$4:GJ19,GJ19)=1),1,0)</f>
        <v/>
      </c>
      <c r="GL19">
        <f>IF(ROW()-3&gt;MAX(GK$4:GK$40),"",INDEX(GJ$4:GJ$40,MATCH(ROW()-3,GK$4:GK$40,0)))</f>
        <v/>
      </c>
      <c r="GM19">
        <f>IF('Final Calculation Sheet'!$F$19="","",IF('Buyer Groups'!$C$4="",'Final Calculation Sheet'!$F$19,IF('Buyer Groups'!$C$4="(nonblank)",IF('Final Calculation Sheet'!$G$19&lt;&gt;"",'Final Calculation Sheet'!$F$19,""),IF('Buyer Groups'!$C$4="(blank)",IF('Final Calculation Sheet'!$G$19="",'Final Calculation Sheet'!$F$19,""),IF(ISNUMBER(SEARCH('Buyer Groups'!$C$4,'Final Calculation Sheet'!$G$19)),'Final Calculation Sheet'!$F$19,"")))))</f>
        <v/>
      </c>
      <c r="GN19">
        <f>IF(GM19="","",COUNTIFS(GM$4:GM$40,"&lt;"&amp;GM19,GM$4:GM$40,"&lt;&gt;"&amp;"")+COUNTIF(GM$4:GM19,GM19))</f>
        <v/>
      </c>
      <c r="GO19">
        <f>IF(ROW()-3&gt;COUNTIF(GM$4:GM$40,"&lt;&gt;"&amp;""),"",INDEX(GM$4:GM$40,MATCH(ROW()-3,GN$4:GN$40,0)))</f>
        <v/>
      </c>
      <c r="GP19">
        <f>GP18+IF(AND(GO19&lt;&gt;"",COUNTIF(GO$4:GO19,GO19)=1),1,0)</f>
        <v/>
      </c>
      <c r="GQ19">
        <f>IF(ROW()-3&gt;MAX(GP$4:GP$40),"",INDEX(GO$4:GO$40,MATCH(ROW()-3,GP$4:GP$40,0)))</f>
        <v/>
      </c>
      <c r="GR19">
        <f>IF('Final Calculation Sheet'!$B$19="","",IF(OR('Final Calculation Sheet'!$G$2="",ISNUMBER(SEARCH('Final Calculation Sheet'!$G$2,'Final Calculation Sheet'!$G$19))),'Final Calculation Sheet'!$B$19,""))</f>
        <v/>
      </c>
      <c r="GS19">
        <f>IF(GR19="","",COUNTIFS(GR$4:GR$40,"&lt;"&amp;GR19,GR$4:GR$40,"&lt;&gt;"&amp;"")+COUNTIF(GR$4:GR19,GR19))</f>
        <v/>
      </c>
      <c r="GT19">
        <f>IF(ROW()-3&gt;COUNTIF(GR$4:GR$40,"&lt;&gt;"&amp;""),"",INDEX(GR$4:GR$40,MATCH(ROW()-3,GS$4:GS$40,0)))</f>
        <v/>
      </c>
      <c r="GU19">
        <f>GU18+IF(AND(GT19&lt;&gt;"",COUNTIF(GT$4:GT19,GT19)=1),1,0)</f>
        <v/>
      </c>
      <c r="GV19">
        <f>IF(ROW()-3&gt;MAX(GU$4:GU$40),"",INDEX(GT$4:GT$40,MATCH(ROW()-3,GU$4:GU$40,0)))</f>
        <v/>
      </c>
      <c r="GW19">
        <f>IF('Final Calculation Sheet'!$B$19="","",IF('Buyer Groups'!$C$4="",'Final Calculation Sheet'!$B$19,IF('Buyer Groups'!$C$4="(nonblank)",IF('Final Calculation Sheet'!$G$19&lt;&gt;"",'Final Calculation Sheet'!$B$19,""),IF('Buyer Groups'!$C$4="(blank)",IF('Final Calculation Sheet'!$G$19="",'Final Calculation Sheet'!$B$19,""),IF(ISNUMBER(SEARCH('Buyer Groups'!$C$4,'Final Calculation Sheet'!$G$19)),'Final Calculation Sheet'!$B$19,"")))))</f>
        <v/>
      </c>
      <c r="GX19">
        <f>IF(GW19="","",COUNTIFS(GW$4:GW$40,"&lt;"&amp;GW19,GW$4:GW$40,"&lt;&gt;"&amp;"")+COUNTIF(GW$4:GW19,GW19))</f>
        <v/>
      </c>
      <c r="GY19">
        <f>IF(ROW()-3&gt;COUNTIF(GW$4:GW$40,"&lt;&gt;"&amp;""),"",INDEX(GW$4:GW$40,MATCH(ROW()-3,GX$4:GX$40,0)))</f>
        <v/>
      </c>
      <c r="GZ19">
        <f>GZ18+IF(AND(GY19&lt;&gt;"",COUNTIF(GY$4:GY19,GY19)=1),1,0)</f>
        <v/>
      </c>
      <c r="HA19">
        <f>IF(ROW()-3&gt;MAX(GZ$4:GZ$40),"",INDEX(GY$4:GY$40,MATCH(ROW()-3,GZ$4:GZ$40,0)))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IF('Final Calculation Sheet'!$F$20="","",IF(OR('Final Calculation Sheet'!$G$2="",ISNUMBER(SEARCH('Final Calculation Sheet'!$G$2,'Final Calculation Sheet'!$G$20))),'Final Calculation Sheet'!$F$20,""))</f>
        <v/>
      </c>
      <c r="GD20">
        <f>IF(GC20="","",COUNTIFS(GC$4:GC$40,"&lt;"&amp;GC20,GC$4:GC$40,"&lt;&gt;"&amp;"")+COUNTIF(GC$4:GC20,GC20))</f>
        <v/>
      </c>
      <c r="GE20">
        <f>IF(ROW()-3&gt;COUNTIF(GC$4:GC$40,"&lt;&gt;"&amp;""),"",INDEX(GC$4:GC$40,MATCH(ROW()-3,GD$4:GD$40,0)))</f>
        <v/>
      </c>
      <c r="GF20">
        <f>GF19+IF(AND(GE20&lt;&gt;"",COUNTIF(GE$4:GE20,GE20)=1),1,0)</f>
        <v/>
      </c>
      <c r="GG20">
        <f>IF(ROW()-3&gt;MAX(GF$4:GF$40),"",INDEX(GE$4:GE$40,MATCH(ROW()-3,GF$4:GF$40,0)))</f>
        <v/>
      </c>
      <c r="GH20">
        <f>IF('Final Calculation Sheet'!$F$20="","",IF('Live Search'!$BO$21=1,'Final Calculation Sheet'!$F$20,""))</f>
        <v/>
      </c>
      <c r="GI20">
        <f>IF(GH20="","",COUNTIFS(GH$4:GH$40,"&lt;"&amp;GH20,GH$4:GH$40,"&lt;&gt;"&amp;"")+COUNTIF(GH$4:GH20,GH20))</f>
        <v/>
      </c>
      <c r="GJ20">
        <f>IF(ROW()-3&gt;COUNTIF(GH$4:GH$40,"&lt;&gt;"&amp;""),"",INDEX(GH$4:GH$40,MATCH(ROW()-3,GI$4:GI$40,0)))</f>
        <v/>
      </c>
      <c r="GK20">
        <f>GK19+IF(AND(GJ20&lt;&gt;"",COUNTIF(GJ$4:GJ20,GJ20)=1),1,0)</f>
        <v/>
      </c>
      <c r="GL20">
        <f>IF(ROW()-3&gt;MAX(GK$4:GK$40),"",INDEX(GJ$4:GJ$40,MATCH(ROW()-3,GK$4:GK$40,0)))</f>
        <v/>
      </c>
      <c r="GM20">
        <f>IF('Final Calculation Sheet'!$F$20="","",IF('Buyer Groups'!$C$4="",'Final Calculation Sheet'!$F$20,IF('Buyer Groups'!$C$4="(nonblank)",IF('Final Calculation Sheet'!$G$20&lt;&gt;"",'Final Calculation Sheet'!$F$20,""),IF('Buyer Groups'!$C$4="(blank)",IF('Final Calculation Sheet'!$G$20="",'Final Calculation Sheet'!$F$20,""),IF(ISNUMBER(SEARCH('Buyer Groups'!$C$4,'Final Calculation Sheet'!$G$20)),'Final Calculation Sheet'!$F$20,"")))))</f>
        <v/>
      </c>
      <c r="GN20">
        <f>IF(GM20="","",COUNTIFS(GM$4:GM$40,"&lt;"&amp;GM20,GM$4:GM$40,"&lt;&gt;"&amp;"")+COUNTIF(GM$4:GM20,GM20))</f>
        <v/>
      </c>
      <c r="GO20">
        <f>IF(ROW()-3&gt;COUNTIF(GM$4:GM$40,"&lt;&gt;"&amp;""),"",INDEX(GM$4:GM$40,MATCH(ROW()-3,GN$4:GN$40,0)))</f>
        <v/>
      </c>
      <c r="GP20">
        <f>GP19+IF(AND(GO20&lt;&gt;"",COUNTIF(GO$4:GO20,GO20)=1),1,0)</f>
        <v/>
      </c>
      <c r="GQ20">
        <f>IF(ROW()-3&gt;MAX(GP$4:GP$40),"",INDEX(GO$4:GO$40,MATCH(ROW()-3,GP$4:GP$40,0)))</f>
        <v/>
      </c>
      <c r="GR20">
        <f>IF('Final Calculation Sheet'!$B$20="","",IF(OR('Final Calculation Sheet'!$G$2="",ISNUMBER(SEARCH('Final Calculation Sheet'!$G$2,'Final Calculation Sheet'!$G$20))),'Final Calculation Sheet'!$B$20,""))</f>
        <v/>
      </c>
      <c r="GS20">
        <f>IF(GR20="","",COUNTIFS(GR$4:GR$40,"&lt;"&amp;GR20,GR$4:GR$40,"&lt;&gt;"&amp;"")+COUNTIF(GR$4:GR20,GR20))</f>
        <v/>
      </c>
      <c r="GT20">
        <f>IF(ROW()-3&gt;COUNTIF(GR$4:GR$40,"&lt;&gt;"&amp;""),"",INDEX(GR$4:GR$40,MATCH(ROW()-3,GS$4:GS$40,0)))</f>
        <v/>
      </c>
      <c r="GU20">
        <f>GU19+IF(AND(GT20&lt;&gt;"",COUNTIF(GT$4:GT20,GT20)=1),1,0)</f>
        <v/>
      </c>
      <c r="GV20">
        <f>IF(ROW()-3&gt;MAX(GU$4:GU$40),"",INDEX(GT$4:GT$40,MATCH(ROW()-3,GU$4:GU$40,0)))</f>
        <v/>
      </c>
      <c r="GW20">
        <f>IF('Final Calculation Sheet'!$B$20="","",IF('Buyer Groups'!$C$4="",'Final Calculation Sheet'!$B$20,IF('Buyer Groups'!$C$4="(nonblank)",IF('Final Calculation Sheet'!$G$20&lt;&gt;"",'Final Calculation Sheet'!$B$20,""),IF('Buyer Groups'!$C$4="(blank)",IF('Final Calculation Sheet'!$G$20="",'Final Calculation Sheet'!$B$20,""),IF(ISNUMBER(SEARCH('Buyer Groups'!$C$4,'Final Calculation Sheet'!$G$20)),'Final Calculation Sheet'!$B$20,"")))))</f>
        <v/>
      </c>
      <c r="GX20">
        <f>IF(GW20="","",COUNTIFS(GW$4:GW$40,"&lt;"&amp;GW20,GW$4:GW$40,"&lt;&gt;"&amp;"")+COUNTIF(GW$4:GW20,GW20))</f>
        <v/>
      </c>
      <c r="GY20">
        <f>IF(ROW()-3&gt;COUNTIF(GW$4:GW$40,"&lt;&gt;"&amp;""),"",INDEX(GW$4:GW$40,MATCH(ROW()-3,GX$4:GX$40,0)))</f>
        <v/>
      </c>
      <c r="GZ20">
        <f>GZ19+IF(AND(GY20&lt;&gt;"",COUNTIF(GY$4:GY20,GY20)=1),1,0)</f>
        <v/>
      </c>
      <c r="HA20">
        <f>IF(ROW()-3&gt;MAX(GZ$4:GZ$40),"",INDEX(GY$4:GY$40,MATCH(ROW()-3,GZ$4:GZ$40,0)))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IF('Final Calculation Sheet'!$F$21="","",IF(OR('Final Calculation Sheet'!$G$2="",ISNUMBER(SEARCH('Final Calculation Sheet'!$G$2,'Final Calculation Sheet'!$G$21))),'Final Calculation Sheet'!$F$21,""))</f>
        <v/>
      </c>
      <c r="GD21">
        <f>IF(GC21="","",COUNTIFS(GC$4:GC$40,"&lt;"&amp;GC21,GC$4:GC$40,"&lt;&gt;"&amp;"")+COUNTIF(GC$4:GC21,GC21))</f>
        <v/>
      </c>
      <c r="GE21">
        <f>IF(ROW()-3&gt;COUNTIF(GC$4:GC$40,"&lt;&gt;"&amp;""),"",INDEX(GC$4:GC$40,MATCH(ROW()-3,GD$4:GD$40,0)))</f>
        <v/>
      </c>
      <c r="GF21">
        <f>GF20+IF(AND(GE21&lt;&gt;"",COUNTIF(GE$4:GE21,GE21)=1),1,0)</f>
        <v/>
      </c>
      <c r="GG21">
        <f>IF(ROW()-3&gt;MAX(GF$4:GF$40),"",INDEX(GE$4:GE$40,MATCH(ROW()-3,GF$4:GF$40,0)))</f>
        <v/>
      </c>
      <c r="GH21">
        <f>IF('Final Calculation Sheet'!$F$21="","",IF('Live Search'!$BO$22=1,'Final Calculation Sheet'!$F$21,""))</f>
        <v/>
      </c>
      <c r="GI21">
        <f>IF(GH21="","",COUNTIFS(GH$4:GH$40,"&lt;"&amp;GH21,GH$4:GH$40,"&lt;&gt;"&amp;"")+COUNTIF(GH$4:GH21,GH21))</f>
        <v/>
      </c>
      <c r="GJ21">
        <f>IF(ROW()-3&gt;COUNTIF(GH$4:GH$40,"&lt;&gt;"&amp;""),"",INDEX(GH$4:GH$40,MATCH(ROW()-3,GI$4:GI$40,0)))</f>
        <v/>
      </c>
      <c r="GK21">
        <f>GK20+IF(AND(GJ21&lt;&gt;"",COUNTIF(GJ$4:GJ21,GJ21)=1),1,0)</f>
        <v/>
      </c>
      <c r="GL21">
        <f>IF(ROW()-3&gt;MAX(GK$4:GK$40),"",INDEX(GJ$4:GJ$40,MATCH(ROW()-3,GK$4:GK$40,0)))</f>
        <v/>
      </c>
      <c r="GM21">
        <f>IF('Final Calculation Sheet'!$F$21="","",IF('Buyer Groups'!$C$4="",'Final Calculation Sheet'!$F$21,IF('Buyer Groups'!$C$4="(nonblank)",IF('Final Calculation Sheet'!$G$21&lt;&gt;"",'Final Calculation Sheet'!$F$21,""),IF('Buyer Groups'!$C$4="(blank)",IF('Final Calculation Sheet'!$G$21="",'Final Calculation Sheet'!$F$21,""),IF(ISNUMBER(SEARCH('Buyer Groups'!$C$4,'Final Calculation Sheet'!$G$21)),'Final Calculation Sheet'!$F$21,"")))))</f>
        <v/>
      </c>
      <c r="GN21">
        <f>IF(GM21="","",COUNTIFS(GM$4:GM$40,"&lt;"&amp;GM21,GM$4:GM$40,"&lt;&gt;"&amp;"")+COUNTIF(GM$4:GM21,GM21))</f>
        <v/>
      </c>
      <c r="GO21">
        <f>IF(ROW()-3&gt;COUNTIF(GM$4:GM$40,"&lt;&gt;"&amp;""),"",INDEX(GM$4:GM$40,MATCH(ROW()-3,GN$4:GN$40,0)))</f>
        <v/>
      </c>
      <c r="GP21">
        <f>GP20+IF(AND(GO21&lt;&gt;"",COUNTIF(GO$4:GO21,GO21)=1),1,0)</f>
        <v/>
      </c>
      <c r="GQ21">
        <f>IF(ROW()-3&gt;MAX(GP$4:GP$40),"",INDEX(GO$4:GO$40,MATCH(ROW()-3,GP$4:GP$40,0)))</f>
        <v/>
      </c>
      <c r="GR21">
        <f>IF('Final Calculation Sheet'!$B$21="","",IF(OR('Final Calculation Sheet'!$G$2="",ISNUMBER(SEARCH('Final Calculation Sheet'!$G$2,'Final Calculation Sheet'!$G$21))),'Final Calculation Sheet'!$B$21,""))</f>
        <v/>
      </c>
      <c r="GS21">
        <f>IF(GR21="","",COUNTIFS(GR$4:GR$40,"&lt;"&amp;GR21,GR$4:GR$40,"&lt;&gt;"&amp;"")+COUNTIF(GR$4:GR21,GR21))</f>
        <v/>
      </c>
      <c r="GT21">
        <f>IF(ROW()-3&gt;COUNTIF(GR$4:GR$40,"&lt;&gt;"&amp;""),"",INDEX(GR$4:GR$40,MATCH(ROW()-3,GS$4:GS$40,0)))</f>
        <v/>
      </c>
      <c r="GU21">
        <f>GU20+IF(AND(GT21&lt;&gt;"",COUNTIF(GT$4:GT21,GT21)=1),1,0)</f>
        <v/>
      </c>
      <c r="GV21">
        <f>IF(ROW()-3&gt;MAX(GU$4:GU$40),"",INDEX(GT$4:GT$40,MATCH(ROW()-3,GU$4:GU$40,0)))</f>
        <v/>
      </c>
      <c r="GW21">
        <f>IF('Final Calculation Sheet'!$B$21="","",IF('Buyer Groups'!$C$4="",'Final Calculation Sheet'!$B$21,IF('Buyer Groups'!$C$4="(nonblank)",IF('Final Calculation Sheet'!$G$21&lt;&gt;"",'Final Calculation Sheet'!$B$21,""),IF('Buyer Groups'!$C$4="(blank)",IF('Final Calculation Sheet'!$G$21="",'Final Calculation Sheet'!$B$21,""),IF(ISNUMBER(SEARCH('Buyer Groups'!$C$4,'Final Calculation Sheet'!$G$21)),'Final Calculation Sheet'!$B$21,"")))))</f>
        <v/>
      </c>
      <c r="GX21">
        <f>IF(GW21="","",COUNTIFS(GW$4:GW$40,"&lt;"&amp;GW21,GW$4:GW$40,"&lt;&gt;"&amp;"")+COUNTIF(GW$4:GW21,GW21))</f>
        <v/>
      </c>
      <c r="GY21">
        <f>IF(ROW()-3&gt;COUNTIF(GW$4:GW$40,"&lt;&gt;"&amp;""),"",INDEX(GW$4:GW$40,MATCH(ROW()-3,GX$4:GX$40,0)))</f>
        <v/>
      </c>
      <c r="GZ21">
        <f>GZ20+IF(AND(GY21&lt;&gt;"",COUNTIF(GY$4:GY21,GY21)=1),1,0)</f>
        <v/>
      </c>
      <c r="HA21">
        <f>IF(ROW()-3&gt;MAX(GZ$4:GZ$40),"",INDEX(GY$4:GY$40,MATCH(ROW()-3,GZ$4:GZ$40,0)))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IF('Final Calculation Sheet'!$F$22="","",IF(OR('Final Calculation Sheet'!$G$2="",ISNUMBER(SEARCH('Final Calculation Sheet'!$G$2,'Final Calculation Sheet'!$G$22))),'Final Calculation Sheet'!$F$22,""))</f>
        <v/>
      </c>
      <c r="GD22">
        <f>IF(GC22="","",COUNTIFS(GC$4:GC$40,"&lt;"&amp;GC22,GC$4:GC$40,"&lt;&gt;"&amp;"")+COUNTIF(GC$4:GC22,GC22))</f>
        <v/>
      </c>
      <c r="GE22">
        <f>IF(ROW()-3&gt;COUNTIF(GC$4:GC$40,"&lt;&gt;"&amp;""),"",INDEX(GC$4:GC$40,MATCH(ROW()-3,GD$4:GD$40,0)))</f>
        <v/>
      </c>
      <c r="GF22">
        <f>GF21+IF(AND(GE22&lt;&gt;"",COUNTIF(GE$4:GE22,GE22)=1),1,0)</f>
        <v/>
      </c>
      <c r="GG22">
        <f>IF(ROW()-3&gt;MAX(GF$4:GF$40),"",INDEX(GE$4:GE$40,MATCH(ROW()-3,GF$4:GF$40,0)))</f>
        <v/>
      </c>
      <c r="GH22">
        <f>IF('Final Calculation Sheet'!$F$22="","",IF('Live Search'!$BO$23=1,'Final Calculation Sheet'!$F$22,""))</f>
        <v/>
      </c>
      <c r="GI22">
        <f>IF(GH22="","",COUNTIFS(GH$4:GH$40,"&lt;"&amp;GH22,GH$4:GH$40,"&lt;&gt;"&amp;"")+COUNTIF(GH$4:GH22,GH22))</f>
        <v/>
      </c>
      <c r="GJ22">
        <f>IF(ROW()-3&gt;COUNTIF(GH$4:GH$40,"&lt;&gt;"&amp;""),"",INDEX(GH$4:GH$40,MATCH(ROW()-3,GI$4:GI$40,0)))</f>
        <v/>
      </c>
      <c r="GK22">
        <f>GK21+IF(AND(GJ22&lt;&gt;"",COUNTIF(GJ$4:GJ22,GJ22)=1),1,0)</f>
        <v/>
      </c>
      <c r="GL22">
        <f>IF(ROW()-3&gt;MAX(GK$4:GK$40),"",INDEX(GJ$4:GJ$40,MATCH(ROW()-3,GK$4:GK$40,0)))</f>
        <v/>
      </c>
      <c r="GM22">
        <f>IF('Final Calculation Sheet'!$F$22="","",IF('Buyer Groups'!$C$4="",'Final Calculation Sheet'!$F$22,IF('Buyer Groups'!$C$4="(nonblank)",IF('Final Calculation Sheet'!$G$22&lt;&gt;"",'Final Calculation Sheet'!$F$22,""),IF('Buyer Groups'!$C$4="(blank)",IF('Final Calculation Sheet'!$G$22="",'Final Calculation Sheet'!$F$22,""),IF(ISNUMBER(SEARCH('Buyer Groups'!$C$4,'Final Calculation Sheet'!$G$22)),'Final Calculation Sheet'!$F$22,"")))))</f>
        <v/>
      </c>
      <c r="GN22">
        <f>IF(GM22="","",COUNTIFS(GM$4:GM$40,"&lt;"&amp;GM22,GM$4:GM$40,"&lt;&gt;"&amp;"")+COUNTIF(GM$4:GM22,GM22))</f>
        <v/>
      </c>
      <c r="GO22">
        <f>IF(ROW()-3&gt;COUNTIF(GM$4:GM$40,"&lt;&gt;"&amp;""),"",INDEX(GM$4:GM$40,MATCH(ROW()-3,GN$4:GN$40,0)))</f>
        <v/>
      </c>
      <c r="GP22">
        <f>GP21+IF(AND(GO22&lt;&gt;"",COUNTIF(GO$4:GO22,GO22)=1),1,0)</f>
        <v/>
      </c>
      <c r="GQ22">
        <f>IF(ROW()-3&gt;MAX(GP$4:GP$40),"",INDEX(GO$4:GO$40,MATCH(ROW()-3,GP$4:GP$40,0)))</f>
        <v/>
      </c>
      <c r="GR22">
        <f>IF('Final Calculation Sheet'!$B$22="","",IF(OR('Final Calculation Sheet'!$G$2="",ISNUMBER(SEARCH('Final Calculation Sheet'!$G$2,'Final Calculation Sheet'!$G$22))),'Final Calculation Sheet'!$B$22,""))</f>
        <v/>
      </c>
      <c r="GS22">
        <f>IF(GR22="","",COUNTIFS(GR$4:GR$40,"&lt;"&amp;GR22,GR$4:GR$40,"&lt;&gt;"&amp;"")+COUNTIF(GR$4:GR22,GR22))</f>
        <v/>
      </c>
      <c r="GT22">
        <f>IF(ROW()-3&gt;COUNTIF(GR$4:GR$40,"&lt;&gt;"&amp;""),"",INDEX(GR$4:GR$40,MATCH(ROW()-3,GS$4:GS$40,0)))</f>
        <v/>
      </c>
      <c r="GU22">
        <f>GU21+IF(AND(GT22&lt;&gt;"",COUNTIF(GT$4:GT22,GT22)=1),1,0)</f>
        <v/>
      </c>
      <c r="GV22">
        <f>IF(ROW()-3&gt;MAX(GU$4:GU$40),"",INDEX(GT$4:GT$40,MATCH(ROW()-3,GU$4:GU$40,0)))</f>
        <v/>
      </c>
      <c r="GW22">
        <f>IF('Final Calculation Sheet'!$B$22="","",IF('Buyer Groups'!$C$4="",'Final Calculation Sheet'!$B$22,IF('Buyer Groups'!$C$4="(nonblank)",IF('Final Calculation Sheet'!$G$22&lt;&gt;"",'Final Calculation Sheet'!$B$22,""),IF('Buyer Groups'!$C$4="(blank)",IF('Final Calculation Sheet'!$G$22="",'Final Calculation Sheet'!$B$22,""),IF(ISNUMBER(SEARCH('Buyer Groups'!$C$4,'Final Calculation Sheet'!$G$22)),'Final Calculation Sheet'!$B$22,"")))))</f>
        <v/>
      </c>
      <c r="GX22">
        <f>IF(GW22="","",COUNTIFS(GW$4:GW$40,"&lt;"&amp;GW22,GW$4:GW$40,"&lt;&gt;"&amp;"")+COUNTIF(GW$4:GW22,GW22))</f>
        <v/>
      </c>
      <c r="GY22">
        <f>IF(ROW()-3&gt;COUNTIF(GW$4:GW$40,"&lt;&gt;"&amp;""),"",INDEX(GW$4:GW$40,MATCH(ROW()-3,GX$4:GX$40,0)))</f>
        <v/>
      </c>
      <c r="GZ22">
        <f>GZ21+IF(AND(GY22&lt;&gt;"",COUNTIF(GY$4:GY22,GY22)=1),1,0)</f>
        <v/>
      </c>
      <c r="HA22">
        <f>IF(ROW()-3&gt;MAX(GZ$4:GZ$40),"",INDEX(GY$4:GY$40,MATCH(ROW()-3,GZ$4:GZ$40,0)))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IF('Final Calculation Sheet'!$F$23="","",IF(OR('Final Calculation Sheet'!$G$2="",ISNUMBER(SEARCH('Final Calculation Sheet'!$G$2,'Final Calculation Sheet'!$G$23))),'Final Calculation Sheet'!$F$23,""))</f>
        <v/>
      </c>
      <c r="GD23">
        <f>IF(GC23="","",COUNTIFS(GC$4:GC$40,"&lt;"&amp;GC23,GC$4:GC$40,"&lt;&gt;"&amp;"")+COUNTIF(GC$4:GC23,GC23))</f>
        <v/>
      </c>
      <c r="GE23">
        <f>IF(ROW()-3&gt;COUNTIF(GC$4:GC$40,"&lt;&gt;"&amp;""),"",INDEX(GC$4:GC$40,MATCH(ROW()-3,GD$4:GD$40,0)))</f>
        <v/>
      </c>
      <c r="GF23">
        <f>GF22+IF(AND(GE23&lt;&gt;"",COUNTIF(GE$4:GE23,GE23)=1),1,0)</f>
        <v/>
      </c>
      <c r="GG23">
        <f>IF(ROW()-3&gt;MAX(GF$4:GF$40),"",INDEX(GE$4:GE$40,MATCH(ROW()-3,GF$4:GF$40,0)))</f>
        <v/>
      </c>
      <c r="GH23">
        <f>IF('Final Calculation Sheet'!$F$23="","",IF('Live Search'!$BO$24=1,'Final Calculation Sheet'!$F$23,""))</f>
        <v/>
      </c>
      <c r="GI23">
        <f>IF(GH23="","",COUNTIFS(GH$4:GH$40,"&lt;"&amp;GH23,GH$4:GH$40,"&lt;&gt;"&amp;"")+COUNTIF(GH$4:GH23,GH23))</f>
        <v/>
      </c>
      <c r="GJ23">
        <f>IF(ROW()-3&gt;COUNTIF(GH$4:GH$40,"&lt;&gt;"&amp;""),"",INDEX(GH$4:GH$40,MATCH(ROW()-3,GI$4:GI$40,0)))</f>
        <v/>
      </c>
      <c r="GK23">
        <f>GK22+IF(AND(GJ23&lt;&gt;"",COUNTIF(GJ$4:GJ23,GJ23)=1),1,0)</f>
        <v/>
      </c>
      <c r="GL23">
        <f>IF(ROW()-3&gt;MAX(GK$4:GK$40),"",INDEX(GJ$4:GJ$40,MATCH(ROW()-3,GK$4:GK$40,0)))</f>
        <v/>
      </c>
      <c r="GM23">
        <f>IF('Final Calculation Sheet'!$F$23="","",IF('Buyer Groups'!$C$4="",'Final Calculation Sheet'!$F$23,IF('Buyer Groups'!$C$4="(nonblank)",IF('Final Calculation Sheet'!$G$23&lt;&gt;"",'Final Calculation Sheet'!$F$23,""),IF('Buyer Groups'!$C$4="(blank)",IF('Final Calculation Sheet'!$G$23="",'Final Calculation Sheet'!$F$23,""),IF(ISNUMBER(SEARCH('Buyer Groups'!$C$4,'Final Calculation Sheet'!$G$23)),'Final Calculation Sheet'!$F$23,"")))))</f>
        <v/>
      </c>
      <c r="GN23">
        <f>IF(GM23="","",COUNTIFS(GM$4:GM$40,"&lt;"&amp;GM23,GM$4:GM$40,"&lt;&gt;"&amp;"")+COUNTIF(GM$4:GM23,GM23))</f>
        <v/>
      </c>
      <c r="GO23">
        <f>IF(ROW()-3&gt;COUNTIF(GM$4:GM$40,"&lt;&gt;"&amp;""),"",INDEX(GM$4:GM$40,MATCH(ROW()-3,GN$4:GN$40,0)))</f>
        <v/>
      </c>
      <c r="GP23">
        <f>GP22+IF(AND(GO23&lt;&gt;"",COUNTIF(GO$4:GO23,GO23)=1),1,0)</f>
        <v/>
      </c>
      <c r="GQ23">
        <f>IF(ROW()-3&gt;MAX(GP$4:GP$40),"",INDEX(GO$4:GO$40,MATCH(ROW()-3,GP$4:GP$40,0)))</f>
        <v/>
      </c>
      <c r="GR23">
        <f>IF('Final Calculation Sheet'!$B$23="","",IF(OR('Final Calculation Sheet'!$G$2="",ISNUMBER(SEARCH('Final Calculation Sheet'!$G$2,'Final Calculation Sheet'!$G$23))),'Final Calculation Sheet'!$B$23,""))</f>
        <v/>
      </c>
      <c r="GS23">
        <f>IF(GR23="","",COUNTIFS(GR$4:GR$40,"&lt;"&amp;GR23,GR$4:GR$40,"&lt;&gt;"&amp;"")+COUNTIF(GR$4:GR23,GR23))</f>
        <v/>
      </c>
      <c r="GT23">
        <f>IF(ROW()-3&gt;COUNTIF(GR$4:GR$40,"&lt;&gt;"&amp;""),"",INDEX(GR$4:GR$40,MATCH(ROW()-3,GS$4:GS$40,0)))</f>
        <v/>
      </c>
      <c r="GU23">
        <f>GU22+IF(AND(GT23&lt;&gt;"",COUNTIF(GT$4:GT23,GT23)=1),1,0)</f>
        <v/>
      </c>
      <c r="GV23">
        <f>IF(ROW()-3&gt;MAX(GU$4:GU$40),"",INDEX(GT$4:GT$40,MATCH(ROW()-3,GU$4:GU$40,0)))</f>
        <v/>
      </c>
      <c r="GW23">
        <f>IF('Final Calculation Sheet'!$B$23="","",IF('Buyer Groups'!$C$4="",'Final Calculation Sheet'!$B$23,IF('Buyer Groups'!$C$4="(nonblank)",IF('Final Calculation Sheet'!$G$23&lt;&gt;"",'Final Calculation Sheet'!$B$23,""),IF('Buyer Groups'!$C$4="(blank)",IF('Final Calculation Sheet'!$G$23="",'Final Calculation Sheet'!$B$23,""),IF(ISNUMBER(SEARCH('Buyer Groups'!$C$4,'Final Calculation Sheet'!$G$23)),'Final Calculation Sheet'!$B$23,"")))))</f>
        <v/>
      </c>
      <c r="GX23">
        <f>IF(GW23="","",COUNTIFS(GW$4:GW$40,"&lt;"&amp;GW23,GW$4:GW$40,"&lt;&gt;"&amp;"")+COUNTIF(GW$4:GW23,GW23))</f>
        <v/>
      </c>
      <c r="GY23">
        <f>IF(ROW()-3&gt;COUNTIF(GW$4:GW$40,"&lt;&gt;"&amp;""),"",INDEX(GW$4:GW$40,MATCH(ROW()-3,GX$4:GX$40,0)))</f>
        <v/>
      </c>
      <c r="GZ23">
        <f>GZ22+IF(AND(GY23&lt;&gt;"",COUNTIF(GY$4:GY23,GY23)=1),1,0)</f>
        <v/>
      </c>
      <c r="HA23">
        <f>IF(ROW()-3&gt;MAX(GZ$4:GZ$40),"",INDEX(GY$4:GY$40,MATCH(ROW()-3,GZ$4:GZ$40,0)))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IF('Final Calculation Sheet'!$F$24="","",IF(OR('Final Calculation Sheet'!$G$2="",ISNUMBER(SEARCH('Final Calculation Sheet'!$G$2,'Final Calculation Sheet'!$G$24))),'Final Calculation Sheet'!$F$24,""))</f>
        <v/>
      </c>
      <c r="GD24">
        <f>IF(GC24="","",COUNTIFS(GC$4:GC$40,"&lt;"&amp;GC24,GC$4:GC$40,"&lt;&gt;"&amp;"")+COUNTIF(GC$4:GC24,GC24))</f>
        <v/>
      </c>
      <c r="GE24">
        <f>IF(ROW()-3&gt;COUNTIF(GC$4:GC$40,"&lt;&gt;"&amp;""),"",INDEX(GC$4:GC$40,MATCH(ROW()-3,GD$4:GD$40,0)))</f>
        <v/>
      </c>
      <c r="GF24">
        <f>GF23+IF(AND(GE24&lt;&gt;"",COUNTIF(GE$4:GE24,GE24)=1),1,0)</f>
        <v/>
      </c>
      <c r="GG24">
        <f>IF(ROW()-3&gt;MAX(GF$4:GF$40),"",INDEX(GE$4:GE$40,MATCH(ROW()-3,GF$4:GF$40,0)))</f>
        <v/>
      </c>
      <c r="GH24">
        <f>IF('Final Calculation Sheet'!$F$24="","",IF('Live Search'!$BO$25=1,'Final Calculation Sheet'!$F$24,""))</f>
        <v/>
      </c>
      <c r="GI24">
        <f>IF(GH24="","",COUNTIFS(GH$4:GH$40,"&lt;"&amp;GH24,GH$4:GH$40,"&lt;&gt;"&amp;"")+COUNTIF(GH$4:GH24,GH24))</f>
        <v/>
      </c>
      <c r="GJ24">
        <f>IF(ROW()-3&gt;COUNTIF(GH$4:GH$40,"&lt;&gt;"&amp;""),"",INDEX(GH$4:GH$40,MATCH(ROW()-3,GI$4:GI$40,0)))</f>
        <v/>
      </c>
      <c r="GK24">
        <f>GK23+IF(AND(GJ24&lt;&gt;"",COUNTIF(GJ$4:GJ24,GJ24)=1),1,0)</f>
        <v/>
      </c>
      <c r="GL24">
        <f>IF(ROW()-3&gt;MAX(GK$4:GK$40),"",INDEX(GJ$4:GJ$40,MATCH(ROW()-3,GK$4:GK$40,0)))</f>
        <v/>
      </c>
      <c r="GM24">
        <f>IF('Final Calculation Sheet'!$F$24="","",IF('Buyer Groups'!$C$4="",'Final Calculation Sheet'!$F$24,IF('Buyer Groups'!$C$4="(nonblank)",IF('Final Calculation Sheet'!$G$24&lt;&gt;"",'Final Calculation Sheet'!$F$24,""),IF('Buyer Groups'!$C$4="(blank)",IF('Final Calculation Sheet'!$G$24="",'Final Calculation Sheet'!$F$24,""),IF(ISNUMBER(SEARCH('Buyer Groups'!$C$4,'Final Calculation Sheet'!$G$24)),'Final Calculation Sheet'!$F$24,"")))))</f>
        <v/>
      </c>
      <c r="GN24">
        <f>IF(GM24="","",COUNTIFS(GM$4:GM$40,"&lt;"&amp;GM24,GM$4:GM$40,"&lt;&gt;"&amp;"")+COUNTIF(GM$4:GM24,GM24))</f>
        <v/>
      </c>
      <c r="GO24">
        <f>IF(ROW()-3&gt;COUNTIF(GM$4:GM$40,"&lt;&gt;"&amp;""),"",INDEX(GM$4:GM$40,MATCH(ROW()-3,GN$4:GN$40,0)))</f>
        <v/>
      </c>
      <c r="GP24">
        <f>GP23+IF(AND(GO24&lt;&gt;"",COUNTIF(GO$4:GO24,GO24)=1),1,0)</f>
        <v/>
      </c>
      <c r="GQ24">
        <f>IF(ROW()-3&gt;MAX(GP$4:GP$40),"",INDEX(GO$4:GO$40,MATCH(ROW()-3,GP$4:GP$40,0)))</f>
        <v/>
      </c>
      <c r="GR24">
        <f>IF('Final Calculation Sheet'!$B$24="","",IF(OR('Final Calculation Sheet'!$G$2="",ISNUMBER(SEARCH('Final Calculation Sheet'!$G$2,'Final Calculation Sheet'!$G$24))),'Final Calculation Sheet'!$B$24,""))</f>
        <v/>
      </c>
      <c r="GS24">
        <f>IF(GR24="","",COUNTIFS(GR$4:GR$40,"&lt;"&amp;GR24,GR$4:GR$40,"&lt;&gt;"&amp;"")+COUNTIF(GR$4:GR24,GR24))</f>
        <v/>
      </c>
      <c r="GT24">
        <f>IF(ROW()-3&gt;COUNTIF(GR$4:GR$40,"&lt;&gt;"&amp;""),"",INDEX(GR$4:GR$40,MATCH(ROW()-3,GS$4:GS$40,0)))</f>
        <v/>
      </c>
      <c r="GU24">
        <f>GU23+IF(AND(GT24&lt;&gt;"",COUNTIF(GT$4:GT24,GT24)=1),1,0)</f>
        <v/>
      </c>
      <c r="GV24">
        <f>IF(ROW()-3&gt;MAX(GU$4:GU$40),"",INDEX(GT$4:GT$40,MATCH(ROW()-3,GU$4:GU$40,0)))</f>
        <v/>
      </c>
      <c r="GW24">
        <f>IF('Final Calculation Sheet'!$B$24="","",IF('Buyer Groups'!$C$4="",'Final Calculation Sheet'!$B$24,IF('Buyer Groups'!$C$4="(nonblank)",IF('Final Calculation Sheet'!$G$24&lt;&gt;"",'Final Calculation Sheet'!$B$24,""),IF('Buyer Groups'!$C$4="(blank)",IF('Final Calculation Sheet'!$G$24="",'Final Calculation Sheet'!$B$24,""),IF(ISNUMBER(SEARCH('Buyer Groups'!$C$4,'Final Calculation Sheet'!$G$24)),'Final Calculation Sheet'!$B$24,"")))))</f>
        <v/>
      </c>
      <c r="GX24">
        <f>IF(GW24="","",COUNTIFS(GW$4:GW$40,"&lt;"&amp;GW24,GW$4:GW$40,"&lt;&gt;"&amp;"")+COUNTIF(GW$4:GW24,GW24))</f>
        <v/>
      </c>
      <c r="GY24">
        <f>IF(ROW()-3&gt;COUNTIF(GW$4:GW$40,"&lt;&gt;"&amp;""),"",INDEX(GW$4:GW$40,MATCH(ROW()-3,GX$4:GX$40,0)))</f>
        <v/>
      </c>
      <c r="GZ24">
        <f>GZ23+IF(AND(GY24&lt;&gt;"",COUNTIF(GY$4:GY24,GY24)=1),1,0)</f>
        <v/>
      </c>
      <c r="HA24">
        <f>IF(ROW()-3&gt;MAX(GZ$4:GZ$40),"",INDEX(GY$4:GY$40,MATCH(ROW()-3,GZ$4:GZ$40,0)))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IF('Final Calculation Sheet'!$F$25="","",IF(OR('Final Calculation Sheet'!$G$2="",ISNUMBER(SEARCH('Final Calculation Sheet'!$G$2,'Final Calculation Sheet'!$G$25))),'Final Calculation Sheet'!$F$25,""))</f>
        <v/>
      </c>
      <c r="GD25">
        <f>IF(GC25="","",COUNTIFS(GC$4:GC$40,"&lt;"&amp;GC25,GC$4:GC$40,"&lt;&gt;"&amp;"")+COUNTIF(GC$4:GC25,GC25))</f>
        <v/>
      </c>
      <c r="GE25">
        <f>IF(ROW()-3&gt;COUNTIF(GC$4:GC$40,"&lt;&gt;"&amp;""),"",INDEX(GC$4:GC$40,MATCH(ROW()-3,GD$4:GD$40,0)))</f>
        <v/>
      </c>
      <c r="GF25">
        <f>GF24+IF(AND(GE25&lt;&gt;"",COUNTIF(GE$4:GE25,GE25)=1),1,0)</f>
        <v/>
      </c>
      <c r="GG25">
        <f>IF(ROW()-3&gt;MAX(GF$4:GF$40),"",INDEX(GE$4:GE$40,MATCH(ROW()-3,GF$4:GF$40,0)))</f>
        <v/>
      </c>
      <c r="GH25">
        <f>IF('Final Calculation Sheet'!$F$25="","",IF('Live Search'!$BO$26=1,'Final Calculation Sheet'!$F$25,""))</f>
        <v/>
      </c>
      <c r="GI25">
        <f>IF(GH25="","",COUNTIFS(GH$4:GH$40,"&lt;"&amp;GH25,GH$4:GH$40,"&lt;&gt;"&amp;"")+COUNTIF(GH$4:GH25,GH25))</f>
        <v/>
      </c>
      <c r="GJ25">
        <f>IF(ROW()-3&gt;COUNTIF(GH$4:GH$40,"&lt;&gt;"&amp;""),"",INDEX(GH$4:GH$40,MATCH(ROW()-3,GI$4:GI$40,0)))</f>
        <v/>
      </c>
      <c r="GK25">
        <f>GK24+IF(AND(GJ25&lt;&gt;"",COUNTIF(GJ$4:GJ25,GJ25)=1),1,0)</f>
        <v/>
      </c>
      <c r="GL25">
        <f>IF(ROW()-3&gt;MAX(GK$4:GK$40),"",INDEX(GJ$4:GJ$40,MATCH(ROW()-3,GK$4:GK$40,0)))</f>
        <v/>
      </c>
      <c r="GM25">
        <f>IF('Final Calculation Sheet'!$F$25="","",IF('Buyer Groups'!$C$4="",'Final Calculation Sheet'!$F$25,IF('Buyer Groups'!$C$4="(nonblank)",IF('Final Calculation Sheet'!$G$25&lt;&gt;"",'Final Calculation Sheet'!$F$25,""),IF('Buyer Groups'!$C$4="(blank)",IF('Final Calculation Sheet'!$G$25="",'Final Calculation Sheet'!$F$25,""),IF(ISNUMBER(SEARCH('Buyer Groups'!$C$4,'Final Calculation Sheet'!$G$25)),'Final Calculation Sheet'!$F$25,"")))))</f>
        <v/>
      </c>
      <c r="GN25">
        <f>IF(GM25="","",COUNTIFS(GM$4:GM$40,"&lt;"&amp;GM25,GM$4:GM$40,"&lt;&gt;"&amp;"")+COUNTIF(GM$4:GM25,GM25))</f>
        <v/>
      </c>
      <c r="GO25">
        <f>IF(ROW()-3&gt;COUNTIF(GM$4:GM$40,"&lt;&gt;"&amp;""),"",INDEX(GM$4:GM$40,MATCH(ROW()-3,GN$4:GN$40,0)))</f>
        <v/>
      </c>
      <c r="GP25">
        <f>GP24+IF(AND(GO25&lt;&gt;"",COUNTIF(GO$4:GO25,GO25)=1),1,0)</f>
        <v/>
      </c>
      <c r="GQ25">
        <f>IF(ROW()-3&gt;MAX(GP$4:GP$40),"",INDEX(GO$4:GO$40,MATCH(ROW()-3,GP$4:GP$40,0)))</f>
        <v/>
      </c>
      <c r="GR25">
        <f>IF('Final Calculation Sheet'!$B$25="","",IF(OR('Final Calculation Sheet'!$G$2="",ISNUMBER(SEARCH('Final Calculation Sheet'!$G$2,'Final Calculation Sheet'!$G$25))),'Final Calculation Sheet'!$B$25,""))</f>
        <v/>
      </c>
      <c r="GS25">
        <f>IF(GR25="","",COUNTIFS(GR$4:GR$40,"&lt;"&amp;GR25,GR$4:GR$40,"&lt;&gt;"&amp;"")+COUNTIF(GR$4:GR25,GR25))</f>
        <v/>
      </c>
      <c r="GT25">
        <f>IF(ROW()-3&gt;COUNTIF(GR$4:GR$40,"&lt;&gt;"&amp;""),"",INDEX(GR$4:GR$40,MATCH(ROW()-3,GS$4:GS$40,0)))</f>
        <v/>
      </c>
      <c r="GU25">
        <f>GU24+IF(AND(GT25&lt;&gt;"",COUNTIF(GT$4:GT25,GT25)=1),1,0)</f>
        <v/>
      </c>
      <c r="GV25">
        <f>IF(ROW()-3&gt;MAX(GU$4:GU$40),"",INDEX(GT$4:GT$40,MATCH(ROW()-3,GU$4:GU$40,0)))</f>
        <v/>
      </c>
      <c r="GW25">
        <f>IF('Final Calculation Sheet'!$B$25="","",IF('Buyer Groups'!$C$4="",'Final Calculation Sheet'!$B$25,IF('Buyer Groups'!$C$4="(nonblank)",IF('Final Calculation Sheet'!$G$25&lt;&gt;"",'Final Calculation Sheet'!$B$25,""),IF('Buyer Groups'!$C$4="(blank)",IF('Final Calculation Sheet'!$G$25="",'Final Calculation Sheet'!$B$25,""),IF(ISNUMBER(SEARCH('Buyer Groups'!$C$4,'Final Calculation Sheet'!$G$25)),'Final Calculation Sheet'!$B$25,"")))))</f>
        <v/>
      </c>
      <c r="GX25">
        <f>IF(GW25="","",COUNTIFS(GW$4:GW$40,"&lt;"&amp;GW25,GW$4:GW$40,"&lt;&gt;"&amp;"")+COUNTIF(GW$4:GW25,GW25))</f>
        <v/>
      </c>
      <c r="GY25">
        <f>IF(ROW()-3&gt;COUNTIF(GW$4:GW$40,"&lt;&gt;"&amp;""),"",INDEX(GW$4:GW$40,MATCH(ROW()-3,GX$4:GX$40,0)))</f>
        <v/>
      </c>
      <c r="GZ25">
        <f>GZ24+IF(AND(GY25&lt;&gt;"",COUNTIF(GY$4:GY25,GY25)=1),1,0)</f>
        <v/>
      </c>
      <c r="HA25">
        <f>IF(ROW()-3&gt;MAX(GZ$4:GZ$40),"",INDEX(GY$4:GY$40,MATCH(ROW()-3,GZ$4:GZ$40,0)))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IF('Final Calculation Sheet'!$F$26="","",IF(OR('Final Calculation Sheet'!$G$2="",ISNUMBER(SEARCH('Final Calculation Sheet'!$G$2,'Final Calculation Sheet'!$G$26))),'Final Calculation Sheet'!$F$26,""))</f>
        <v/>
      </c>
      <c r="GD26">
        <f>IF(GC26="","",COUNTIFS(GC$4:GC$40,"&lt;"&amp;GC26,GC$4:GC$40,"&lt;&gt;"&amp;"")+COUNTIF(GC$4:GC26,GC26))</f>
        <v/>
      </c>
      <c r="GE26">
        <f>IF(ROW()-3&gt;COUNTIF(GC$4:GC$40,"&lt;&gt;"&amp;""),"",INDEX(GC$4:GC$40,MATCH(ROW()-3,GD$4:GD$40,0)))</f>
        <v/>
      </c>
      <c r="GF26">
        <f>GF25+IF(AND(GE26&lt;&gt;"",COUNTIF(GE$4:GE26,GE26)=1),1,0)</f>
        <v/>
      </c>
      <c r="GG26">
        <f>IF(ROW()-3&gt;MAX(GF$4:GF$40),"",INDEX(GE$4:GE$40,MATCH(ROW()-3,GF$4:GF$40,0)))</f>
        <v/>
      </c>
      <c r="GH26">
        <f>IF('Final Calculation Sheet'!$F$26="","",IF('Live Search'!$BO$27=1,'Final Calculation Sheet'!$F$26,""))</f>
        <v/>
      </c>
      <c r="GI26">
        <f>IF(GH26="","",COUNTIFS(GH$4:GH$40,"&lt;"&amp;GH26,GH$4:GH$40,"&lt;&gt;"&amp;"")+COUNTIF(GH$4:GH26,GH26))</f>
        <v/>
      </c>
      <c r="GJ26">
        <f>IF(ROW()-3&gt;COUNTIF(GH$4:GH$40,"&lt;&gt;"&amp;""),"",INDEX(GH$4:GH$40,MATCH(ROW()-3,GI$4:GI$40,0)))</f>
        <v/>
      </c>
      <c r="GK26">
        <f>GK25+IF(AND(GJ26&lt;&gt;"",COUNTIF(GJ$4:GJ26,GJ26)=1),1,0)</f>
        <v/>
      </c>
      <c r="GL26">
        <f>IF(ROW()-3&gt;MAX(GK$4:GK$40),"",INDEX(GJ$4:GJ$40,MATCH(ROW()-3,GK$4:GK$40,0)))</f>
        <v/>
      </c>
      <c r="GM26">
        <f>IF('Final Calculation Sheet'!$F$26="","",IF('Buyer Groups'!$C$4="",'Final Calculation Sheet'!$F$26,IF('Buyer Groups'!$C$4="(nonblank)",IF('Final Calculation Sheet'!$G$26&lt;&gt;"",'Final Calculation Sheet'!$F$26,""),IF('Buyer Groups'!$C$4="(blank)",IF('Final Calculation Sheet'!$G$26="",'Final Calculation Sheet'!$F$26,""),IF(ISNUMBER(SEARCH('Buyer Groups'!$C$4,'Final Calculation Sheet'!$G$26)),'Final Calculation Sheet'!$F$26,"")))))</f>
        <v/>
      </c>
      <c r="GN26">
        <f>IF(GM26="","",COUNTIFS(GM$4:GM$40,"&lt;"&amp;GM26,GM$4:GM$40,"&lt;&gt;"&amp;"")+COUNTIF(GM$4:GM26,GM26))</f>
        <v/>
      </c>
      <c r="GO26">
        <f>IF(ROW()-3&gt;COUNTIF(GM$4:GM$40,"&lt;&gt;"&amp;""),"",INDEX(GM$4:GM$40,MATCH(ROW()-3,GN$4:GN$40,0)))</f>
        <v/>
      </c>
      <c r="GP26">
        <f>GP25+IF(AND(GO26&lt;&gt;"",COUNTIF(GO$4:GO26,GO26)=1),1,0)</f>
        <v/>
      </c>
      <c r="GQ26">
        <f>IF(ROW()-3&gt;MAX(GP$4:GP$40),"",INDEX(GO$4:GO$40,MATCH(ROW()-3,GP$4:GP$40,0)))</f>
        <v/>
      </c>
      <c r="GR26">
        <f>IF('Final Calculation Sheet'!$B$26="","",IF(OR('Final Calculation Sheet'!$G$2="",ISNUMBER(SEARCH('Final Calculation Sheet'!$G$2,'Final Calculation Sheet'!$G$26))),'Final Calculation Sheet'!$B$26,""))</f>
        <v/>
      </c>
      <c r="GS26">
        <f>IF(GR26="","",COUNTIFS(GR$4:GR$40,"&lt;"&amp;GR26,GR$4:GR$40,"&lt;&gt;"&amp;"")+COUNTIF(GR$4:GR26,GR26))</f>
        <v/>
      </c>
      <c r="GT26">
        <f>IF(ROW()-3&gt;COUNTIF(GR$4:GR$40,"&lt;&gt;"&amp;""),"",INDEX(GR$4:GR$40,MATCH(ROW()-3,GS$4:GS$40,0)))</f>
        <v/>
      </c>
      <c r="GU26">
        <f>GU25+IF(AND(GT26&lt;&gt;"",COUNTIF(GT$4:GT26,GT26)=1),1,0)</f>
        <v/>
      </c>
      <c r="GV26">
        <f>IF(ROW()-3&gt;MAX(GU$4:GU$40),"",INDEX(GT$4:GT$40,MATCH(ROW()-3,GU$4:GU$40,0)))</f>
        <v/>
      </c>
      <c r="GW26">
        <f>IF('Final Calculation Sheet'!$B$26="","",IF('Buyer Groups'!$C$4="",'Final Calculation Sheet'!$B$26,IF('Buyer Groups'!$C$4="(nonblank)",IF('Final Calculation Sheet'!$G$26&lt;&gt;"",'Final Calculation Sheet'!$B$26,""),IF('Buyer Groups'!$C$4="(blank)",IF('Final Calculation Sheet'!$G$26="",'Final Calculation Sheet'!$B$26,""),IF(ISNUMBER(SEARCH('Buyer Groups'!$C$4,'Final Calculation Sheet'!$G$26)),'Final Calculation Sheet'!$B$26,"")))))</f>
        <v/>
      </c>
      <c r="GX26">
        <f>IF(GW26="","",COUNTIFS(GW$4:GW$40,"&lt;"&amp;GW26,GW$4:GW$40,"&lt;&gt;"&amp;"")+COUNTIF(GW$4:GW26,GW26))</f>
        <v/>
      </c>
      <c r="GY26">
        <f>IF(ROW()-3&gt;COUNTIF(GW$4:GW$40,"&lt;&gt;"&amp;""),"",INDEX(GW$4:GW$40,MATCH(ROW()-3,GX$4:GX$40,0)))</f>
        <v/>
      </c>
      <c r="GZ26">
        <f>GZ25+IF(AND(GY26&lt;&gt;"",COUNTIF(GY$4:GY26,GY26)=1),1,0)</f>
        <v/>
      </c>
      <c r="HA26">
        <f>IF(ROW()-3&gt;MAX(GZ$4:GZ$40),"",INDEX(GY$4:GY$40,MATCH(ROW()-3,GZ$4:GZ$40,0)))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IF('Final Calculation Sheet'!$F$27="","",IF(OR('Final Calculation Sheet'!$G$2="",ISNUMBER(SEARCH('Final Calculation Sheet'!$G$2,'Final Calculation Sheet'!$G$27))),'Final Calculation Sheet'!$F$27,""))</f>
        <v/>
      </c>
      <c r="GD27">
        <f>IF(GC27="","",COUNTIFS(GC$4:GC$40,"&lt;"&amp;GC27,GC$4:GC$40,"&lt;&gt;"&amp;"")+COUNTIF(GC$4:GC27,GC27))</f>
        <v/>
      </c>
      <c r="GE27">
        <f>IF(ROW()-3&gt;COUNTIF(GC$4:GC$40,"&lt;&gt;"&amp;""),"",INDEX(GC$4:GC$40,MATCH(ROW()-3,GD$4:GD$40,0)))</f>
        <v/>
      </c>
      <c r="GF27">
        <f>GF26+IF(AND(GE27&lt;&gt;"",COUNTIF(GE$4:GE27,GE27)=1),1,0)</f>
        <v/>
      </c>
      <c r="GG27">
        <f>IF(ROW()-3&gt;MAX(GF$4:GF$40),"",INDEX(GE$4:GE$40,MATCH(ROW()-3,GF$4:GF$40,0)))</f>
        <v/>
      </c>
      <c r="GH27">
        <f>IF('Final Calculation Sheet'!$F$27="","",IF('Live Search'!$BO$28=1,'Final Calculation Sheet'!$F$27,""))</f>
        <v/>
      </c>
      <c r="GI27">
        <f>IF(GH27="","",COUNTIFS(GH$4:GH$40,"&lt;"&amp;GH27,GH$4:GH$40,"&lt;&gt;"&amp;"")+COUNTIF(GH$4:GH27,GH27))</f>
        <v/>
      </c>
      <c r="GJ27">
        <f>IF(ROW()-3&gt;COUNTIF(GH$4:GH$40,"&lt;&gt;"&amp;""),"",INDEX(GH$4:GH$40,MATCH(ROW()-3,GI$4:GI$40,0)))</f>
        <v/>
      </c>
      <c r="GK27">
        <f>GK26+IF(AND(GJ27&lt;&gt;"",COUNTIF(GJ$4:GJ27,GJ27)=1),1,0)</f>
        <v/>
      </c>
      <c r="GL27">
        <f>IF(ROW()-3&gt;MAX(GK$4:GK$40),"",INDEX(GJ$4:GJ$40,MATCH(ROW()-3,GK$4:GK$40,0)))</f>
        <v/>
      </c>
      <c r="GM27">
        <f>IF('Final Calculation Sheet'!$F$27="","",IF('Buyer Groups'!$C$4="",'Final Calculation Sheet'!$F$27,IF('Buyer Groups'!$C$4="(nonblank)",IF('Final Calculation Sheet'!$G$27&lt;&gt;"",'Final Calculation Sheet'!$F$27,""),IF('Buyer Groups'!$C$4="(blank)",IF('Final Calculation Sheet'!$G$27="",'Final Calculation Sheet'!$F$27,""),IF(ISNUMBER(SEARCH('Buyer Groups'!$C$4,'Final Calculation Sheet'!$G$27)),'Final Calculation Sheet'!$F$27,"")))))</f>
        <v/>
      </c>
      <c r="GN27">
        <f>IF(GM27="","",COUNTIFS(GM$4:GM$40,"&lt;"&amp;GM27,GM$4:GM$40,"&lt;&gt;"&amp;"")+COUNTIF(GM$4:GM27,GM27))</f>
        <v/>
      </c>
      <c r="GO27">
        <f>IF(ROW()-3&gt;COUNTIF(GM$4:GM$40,"&lt;&gt;"&amp;""),"",INDEX(GM$4:GM$40,MATCH(ROW()-3,GN$4:GN$40,0)))</f>
        <v/>
      </c>
      <c r="GP27">
        <f>GP26+IF(AND(GO27&lt;&gt;"",COUNTIF(GO$4:GO27,GO27)=1),1,0)</f>
        <v/>
      </c>
      <c r="GQ27">
        <f>IF(ROW()-3&gt;MAX(GP$4:GP$40),"",INDEX(GO$4:GO$40,MATCH(ROW()-3,GP$4:GP$40,0)))</f>
        <v/>
      </c>
      <c r="GR27">
        <f>IF('Final Calculation Sheet'!$B$27="","",IF(OR('Final Calculation Sheet'!$G$2="",ISNUMBER(SEARCH('Final Calculation Sheet'!$G$2,'Final Calculation Sheet'!$G$27))),'Final Calculation Sheet'!$B$27,""))</f>
        <v/>
      </c>
      <c r="GS27">
        <f>IF(GR27="","",COUNTIFS(GR$4:GR$40,"&lt;"&amp;GR27,GR$4:GR$40,"&lt;&gt;"&amp;"")+COUNTIF(GR$4:GR27,GR27))</f>
        <v/>
      </c>
      <c r="GT27">
        <f>IF(ROW()-3&gt;COUNTIF(GR$4:GR$40,"&lt;&gt;"&amp;""),"",INDEX(GR$4:GR$40,MATCH(ROW()-3,GS$4:GS$40,0)))</f>
        <v/>
      </c>
      <c r="GU27">
        <f>GU26+IF(AND(GT27&lt;&gt;"",COUNTIF(GT$4:GT27,GT27)=1),1,0)</f>
        <v/>
      </c>
      <c r="GV27">
        <f>IF(ROW()-3&gt;MAX(GU$4:GU$40),"",INDEX(GT$4:GT$40,MATCH(ROW()-3,GU$4:GU$40,0)))</f>
        <v/>
      </c>
      <c r="GW27">
        <f>IF('Final Calculation Sheet'!$B$27="","",IF('Buyer Groups'!$C$4="",'Final Calculation Sheet'!$B$27,IF('Buyer Groups'!$C$4="(nonblank)",IF('Final Calculation Sheet'!$G$27&lt;&gt;"",'Final Calculation Sheet'!$B$27,""),IF('Buyer Groups'!$C$4="(blank)",IF('Final Calculation Sheet'!$G$27="",'Final Calculation Sheet'!$B$27,""),IF(ISNUMBER(SEARCH('Buyer Groups'!$C$4,'Final Calculation Sheet'!$G$27)),'Final Calculation Sheet'!$B$27,"")))))</f>
        <v/>
      </c>
      <c r="GX27">
        <f>IF(GW27="","",COUNTIFS(GW$4:GW$40,"&lt;"&amp;GW27,GW$4:GW$40,"&lt;&gt;"&amp;"")+COUNTIF(GW$4:GW27,GW27))</f>
        <v/>
      </c>
      <c r="GY27">
        <f>IF(ROW()-3&gt;COUNTIF(GW$4:GW$40,"&lt;&gt;"&amp;""),"",INDEX(GW$4:GW$40,MATCH(ROW()-3,GX$4:GX$40,0)))</f>
        <v/>
      </c>
      <c r="GZ27">
        <f>GZ26+IF(AND(GY27&lt;&gt;"",COUNTIF(GY$4:GY27,GY27)=1),1,0)</f>
        <v/>
      </c>
      <c r="HA27">
        <f>IF(ROW()-3&gt;MAX(GZ$4:GZ$40),"",INDEX(GY$4:GY$40,MATCH(ROW()-3,GZ$4:GZ$40,0)))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IF('Final Calculation Sheet'!$F$28="","",IF(OR('Final Calculation Sheet'!$G$2="",ISNUMBER(SEARCH('Final Calculation Sheet'!$G$2,'Final Calculation Sheet'!$G$28))),'Final Calculation Sheet'!$F$28,""))</f>
        <v/>
      </c>
      <c r="GD28">
        <f>IF(GC28="","",COUNTIFS(GC$4:GC$40,"&lt;"&amp;GC28,GC$4:GC$40,"&lt;&gt;"&amp;"")+COUNTIF(GC$4:GC28,GC28))</f>
        <v/>
      </c>
      <c r="GE28">
        <f>IF(ROW()-3&gt;COUNTIF(GC$4:GC$40,"&lt;&gt;"&amp;""),"",INDEX(GC$4:GC$40,MATCH(ROW()-3,GD$4:GD$40,0)))</f>
        <v/>
      </c>
      <c r="GF28">
        <f>GF27+IF(AND(GE28&lt;&gt;"",COUNTIF(GE$4:GE28,GE28)=1),1,0)</f>
        <v/>
      </c>
      <c r="GG28">
        <f>IF(ROW()-3&gt;MAX(GF$4:GF$40),"",INDEX(GE$4:GE$40,MATCH(ROW()-3,GF$4:GF$40,0)))</f>
        <v/>
      </c>
      <c r="GH28">
        <f>IF('Final Calculation Sheet'!$F$28="","",IF('Live Search'!$BO$29=1,'Final Calculation Sheet'!$F$28,""))</f>
        <v/>
      </c>
      <c r="GI28">
        <f>IF(GH28="","",COUNTIFS(GH$4:GH$40,"&lt;"&amp;GH28,GH$4:GH$40,"&lt;&gt;"&amp;"")+COUNTIF(GH$4:GH28,GH28))</f>
        <v/>
      </c>
      <c r="GJ28">
        <f>IF(ROW()-3&gt;COUNTIF(GH$4:GH$40,"&lt;&gt;"&amp;""),"",INDEX(GH$4:GH$40,MATCH(ROW()-3,GI$4:GI$40,0)))</f>
        <v/>
      </c>
      <c r="GK28">
        <f>GK27+IF(AND(GJ28&lt;&gt;"",COUNTIF(GJ$4:GJ28,GJ28)=1),1,0)</f>
        <v/>
      </c>
      <c r="GL28">
        <f>IF(ROW()-3&gt;MAX(GK$4:GK$40),"",INDEX(GJ$4:GJ$40,MATCH(ROW()-3,GK$4:GK$40,0)))</f>
        <v/>
      </c>
      <c r="GM28">
        <f>IF('Final Calculation Sheet'!$F$28="","",IF('Buyer Groups'!$C$4="",'Final Calculation Sheet'!$F$28,IF('Buyer Groups'!$C$4="(nonblank)",IF('Final Calculation Sheet'!$G$28&lt;&gt;"",'Final Calculation Sheet'!$F$28,""),IF('Buyer Groups'!$C$4="(blank)",IF('Final Calculation Sheet'!$G$28="",'Final Calculation Sheet'!$F$28,""),IF(ISNUMBER(SEARCH('Buyer Groups'!$C$4,'Final Calculation Sheet'!$G$28)),'Final Calculation Sheet'!$F$28,"")))))</f>
        <v/>
      </c>
      <c r="GN28">
        <f>IF(GM28="","",COUNTIFS(GM$4:GM$40,"&lt;"&amp;GM28,GM$4:GM$40,"&lt;&gt;"&amp;"")+COUNTIF(GM$4:GM28,GM28))</f>
        <v/>
      </c>
      <c r="GO28">
        <f>IF(ROW()-3&gt;COUNTIF(GM$4:GM$40,"&lt;&gt;"&amp;""),"",INDEX(GM$4:GM$40,MATCH(ROW()-3,GN$4:GN$40,0)))</f>
        <v/>
      </c>
      <c r="GP28">
        <f>GP27+IF(AND(GO28&lt;&gt;"",COUNTIF(GO$4:GO28,GO28)=1),1,0)</f>
        <v/>
      </c>
      <c r="GQ28">
        <f>IF(ROW()-3&gt;MAX(GP$4:GP$40),"",INDEX(GO$4:GO$40,MATCH(ROW()-3,GP$4:GP$40,0)))</f>
        <v/>
      </c>
      <c r="GR28">
        <f>IF('Final Calculation Sheet'!$B$28="","",IF(OR('Final Calculation Sheet'!$G$2="",ISNUMBER(SEARCH('Final Calculation Sheet'!$G$2,'Final Calculation Sheet'!$G$28))),'Final Calculation Sheet'!$B$28,""))</f>
        <v/>
      </c>
      <c r="GS28">
        <f>IF(GR28="","",COUNTIFS(GR$4:GR$40,"&lt;"&amp;GR28,GR$4:GR$40,"&lt;&gt;"&amp;"")+COUNTIF(GR$4:GR28,GR28))</f>
        <v/>
      </c>
      <c r="GT28">
        <f>IF(ROW()-3&gt;COUNTIF(GR$4:GR$40,"&lt;&gt;"&amp;""),"",INDEX(GR$4:GR$40,MATCH(ROW()-3,GS$4:GS$40,0)))</f>
        <v/>
      </c>
      <c r="GU28">
        <f>GU27+IF(AND(GT28&lt;&gt;"",COUNTIF(GT$4:GT28,GT28)=1),1,0)</f>
        <v/>
      </c>
      <c r="GV28">
        <f>IF(ROW()-3&gt;MAX(GU$4:GU$40),"",INDEX(GT$4:GT$40,MATCH(ROW()-3,GU$4:GU$40,0)))</f>
        <v/>
      </c>
      <c r="GW28">
        <f>IF('Final Calculation Sheet'!$B$28="","",IF('Buyer Groups'!$C$4="",'Final Calculation Sheet'!$B$28,IF('Buyer Groups'!$C$4="(nonblank)",IF('Final Calculation Sheet'!$G$28&lt;&gt;"",'Final Calculation Sheet'!$B$28,""),IF('Buyer Groups'!$C$4="(blank)",IF('Final Calculation Sheet'!$G$28="",'Final Calculation Sheet'!$B$28,""),IF(ISNUMBER(SEARCH('Buyer Groups'!$C$4,'Final Calculation Sheet'!$G$28)),'Final Calculation Sheet'!$B$28,"")))))</f>
        <v/>
      </c>
      <c r="GX28">
        <f>IF(GW28="","",COUNTIFS(GW$4:GW$40,"&lt;"&amp;GW28,GW$4:GW$40,"&lt;&gt;"&amp;"")+COUNTIF(GW$4:GW28,GW28))</f>
        <v/>
      </c>
      <c r="GY28">
        <f>IF(ROW()-3&gt;COUNTIF(GW$4:GW$40,"&lt;&gt;"&amp;""),"",INDEX(GW$4:GW$40,MATCH(ROW()-3,GX$4:GX$40,0)))</f>
        <v/>
      </c>
      <c r="GZ28">
        <f>GZ27+IF(AND(GY28&lt;&gt;"",COUNTIF(GY$4:GY28,GY28)=1),1,0)</f>
        <v/>
      </c>
      <c r="HA28">
        <f>IF(ROW()-3&gt;MAX(GZ$4:GZ$40),"",INDEX(GY$4:GY$40,MATCH(ROW()-3,GZ$4:GZ$40,0)))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IF('Final Calculation Sheet'!$F$29="","",IF(OR('Final Calculation Sheet'!$G$2="",ISNUMBER(SEARCH('Final Calculation Sheet'!$G$2,'Final Calculation Sheet'!$G$29))),'Final Calculation Sheet'!$F$29,""))</f>
        <v/>
      </c>
      <c r="GD29">
        <f>IF(GC29="","",COUNTIFS(GC$4:GC$40,"&lt;"&amp;GC29,GC$4:GC$40,"&lt;&gt;"&amp;"")+COUNTIF(GC$4:GC29,GC29))</f>
        <v/>
      </c>
      <c r="GE29">
        <f>IF(ROW()-3&gt;COUNTIF(GC$4:GC$40,"&lt;&gt;"&amp;""),"",INDEX(GC$4:GC$40,MATCH(ROW()-3,GD$4:GD$40,0)))</f>
        <v/>
      </c>
      <c r="GF29">
        <f>GF28+IF(AND(GE29&lt;&gt;"",COUNTIF(GE$4:GE29,GE29)=1),1,0)</f>
        <v/>
      </c>
      <c r="GG29">
        <f>IF(ROW()-3&gt;MAX(GF$4:GF$40),"",INDEX(GE$4:GE$40,MATCH(ROW()-3,GF$4:GF$40,0)))</f>
        <v/>
      </c>
      <c r="GH29">
        <f>IF('Final Calculation Sheet'!$F$29="","",IF('Live Search'!$BO$30=1,'Final Calculation Sheet'!$F$29,""))</f>
        <v/>
      </c>
      <c r="GI29">
        <f>IF(GH29="","",COUNTIFS(GH$4:GH$40,"&lt;"&amp;GH29,GH$4:GH$40,"&lt;&gt;"&amp;"")+COUNTIF(GH$4:GH29,GH29))</f>
        <v/>
      </c>
      <c r="GJ29">
        <f>IF(ROW()-3&gt;COUNTIF(GH$4:GH$40,"&lt;&gt;"&amp;""),"",INDEX(GH$4:GH$40,MATCH(ROW()-3,GI$4:GI$40,0)))</f>
        <v/>
      </c>
      <c r="GK29">
        <f>GK28+IF(AND(GJ29&lt;&gt;"",COUNTIF(GJ$4:GJ29,GJ29)=1),1,0)</f>
        <v/>
      </c>
      <c r="GL29">
        <f>IF(ROW()-3&gt;MAX(GK$4:GK$40),"",INDEX(GJ$4:GJ$40,MATCH(ROW()-3,GK$4:GK$40,0)))</f>
        <v/>
      </c>
      <c r="GM29">
        <f>IF('Final Calculation Sheet'!$F$29="","",IF('Buyer Groups'!$C$4="",'Final Calculation Sheet'!$F$29,IF('Buyer Groups'!$C$4="(nonblank)",IF('Final Calculation Sheet'!$G$29&lt;&gt;"",'Final Calculation Sheet'!$F$29,""),IF('Buyer Groups'!$C$4="(blank)",IF('Final Calculation Sheet'!$G$29="",'Final Calculation Sheet'!$F$29,""),IF(ISNUMBER(SEARCH('Buyer Groups'!$C$4,'Final Calculation Sheet'!$G$29)),'Final Calculation Sheet'!$F$29,"")))))</f>
        <v/>
      </c>
      <c r="GN29">
        <f>IF(GM29="","",COUNTIFS(GM$4:GM$40,"&lt;"&amp;GM29,GM$4:GM$40,"&lt;&gt;"&amp;"")+COUNTIF(GM$4:GM29,GM29))</f>
        <v/>
      </c>
      <c r="GO29">
        <f>IF(ROW()-3&gt;COUNTIF(GM$4:GM$40,"&lt;&gt;"&amp;""),"",INDEX(GM$4:GM$40,MATCH(ROW()-3,GN$4:GN$40,0)))</f>
        <v/>
      </c>
      <c r="GP29">
        <f>GP28+IF(AND(GO29&lt;&gt;"",COUNTIF(GO$4:GO29,GO29)=1),1,0)</f>
        <v/>
      </c>
      <c r="GQ29">
        <f>IF(ROW()-3&gt;MAX(GP$4:GP$40),"",INDEX(GO$4:GO$40,MATCH(ROW()-3,GP$4:GP$40,0)))</f>
        <v/>
      </c>
      <c r="GR29">
        <f>IF('Final Calculation Sheet'!$B$29="","",IF(OR('Final Calculation Sheet'!$G$2="",ISNUMBER(SEARCH('Final Calculation Sheet'!$G$2,'Final Calculation Sheet'!$G$29))),'Final Calculation Sheet'!$B$29,""))</f>
        <v/>
      </c>
      <c r="GS29">
        <f>IF(GR29="","",COUNTIFS(GR$4:GR$40,"&lt;"&amp;GR29,GR$4:GR$40,"&lt;&gt;"&amp;"")+COUNTIF(GR$4:GR29,GR29))</f>
        <v/>
      </c>
      <c r="GT29">
        <f>IF(ROW()-3&gt;COUNTIF(GR$4:GR$40,"&lt;&gt;"&amp;""),"",INDEX(GR$4:GR$40,MATCH(ROW()-3,GS$4:GS$40,0)))</f>
        <v/>
      </c>
      <c r="GU29">
        <f>GU28+IF(AND(GT29&lt;&gt;"",COUNTIF(GT$4:GT29,GT29)=1),1,0)</f>
        <v/>
      </c>
      <c r="GV29">
        <f>IF(ROW()-3&gt;MAX(GU$4:GU$40),"",INDEX(GT$4:GT$40,MATCH(ROW()-3,GU$4:GU$40,0)))</f>
        <v/>
      </c>
      <c r="GW29">
        <f>IF('Final Calculation Sheet'!$B$29="","",IF('Buyer Groups'!$C$4="",'Final Calculation Sheet'!$B$29,IF('Buyer Groups'!$C$4="(nonblank)",IF('Final Calculation Sheet'!$G$29&lt;&gt;"",'Final Calculation Sheet'!$B$29,""),IF('Buyer Groups'!$C$4="(blank)",IF('Final Calculation Sheet'!$G$29="",'Final Calculation Sheet'!$B$29,""),IF(ISNUMBER(SEARCH('Buyer Groups'!$C$4,'Final Calculation Sheet'!$G$29)),'Final Calculation Sheet'!$B$29,"")))))</f>
        <v/>
      </c>
      <c r="GX29">
        <f>IF(GW29="","",COUNTIFS(GW$4:GW$40,"&lt;"&amp;GW29,GW$4:GW$40,"&lt;&gt;"&amp;"")+COUNTIF(GW$4:GW29,GW29))</f>
        <v/>
      </c>
      <c r="GY29">
        <f>IF(ROW()-3&gt;COUNTIF(GW$4:GW$40,"&lt;&gt;"&amp;""),"",INDEX(GW$4:GW$40,MATCH(ROW()-3,GX$4:GX$40,0)))</f>
        <v/>
      </c>
      <c r="GZ29">
        <f>GZ28+IF(AND(GY29&lt;&gt;"",COUNTIF(GY$4:GY29,GY29)=1),1,0)</f>
        <v/>
      </c>
      <c r="HA29">
        <f>IF(ROW()-3&gt;MAX(GZ$4:GZ$40),"",INDEX(GY$4:GY$40,MATCH(ROW()-3,GZ$4:GZ$40,0)))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IF('Final Calculation Sheet'!$F$30="","",IF(OR('Final Calculation Sheet'!$G$2="",ISNUMBER(SEARCH('Final Calculation Sheet'!$G$2,'Final Calculation Sheet'!$G$30))),'Final Calculation Sheet'!$F$30,""))</f>
        <v/>
      </c>
      <c r="GD30">
        <f>IF(GC30="","",COUNTIFS(GC$4:GC$40,"&lt;"&amp;GC30,GC$4:GC$40,"&lt;&gt;"&amp;"")+COUNTIF(GC$4:GC30,GC30))</f>
        <v/>
      </c>
      <c r="GE30">
        <f>IF(ROW()-3&gt;COUNTIF(GC$4:GC$40,"&lt;&gt;"&amp;""),"",INDEX(GC$4:GC$40,MATCH(ROW()-3,GD$4:GD$40,0)))</f>
        <v/>
      </c>
      <c r="GF30">
        <f>GF29+IF(AND(GE30&lt;&gt;"",COUNTIF(GE$4:GE30,GE30)=1),1,0)</f>
        <v/>
      </c>
      <c r="GG30">
        <f>IF(ROW()-3&gt;MAX(GF$4:GF$40),"",INDEX(GE$4:GE$40,MATCH(ROW()-3,GF$4:GF$40,0)))</f>
        <v/>
      </c>
      <c r="GH30">
        <f>IF('Final Calculation Sheet'!$F$30="","",IF('Live Search'!$BO$31=1,'Final Calculation Sheet'!$F$30,""))</f>
        <v/>
      </c>
      <c r="GI30">
        <f>IF(GH30="","",COUNTIFS(GH$4:GH$40,"&lt;"&amp;GH30,GH$4:GH$40,"&lt;&gt;"&amp;"")+COUNTIF(GH$4:GH30,GH30))</f>
        <v/>
      </c>
      <c r="GJ30">
        <f>IF(ROW()-3&gt;COUNTIF(GH$4:GH$40,"&lt;&gt;"&amp;""),"",INDEX(GH$4:GH$40,MATCH(ROW()-3,GI$4:GI$40,0)))</f>
        <v/>
      </c>
      <c r="GK30">
        <f>GK29+IF(AND(GJ30&lt;&gt;"",COUNTIF(GJ$4:GJ30,GJ30)=1),1,0)</f>
        <v/>
      </c>
      <c r="GL30">
        <f>IF(ROW()-3&gt;MAX(GK$4:GK$40),"",INDEX(GJ$4:GJ$40,MATCH(ROW()-3,GK$4:GK$40,0)))</f>
        <v/>
      </c>
      <c r="GM30">
        <f>IF('Final Calculation Sheet'!$F$30="","",IF('Buyer Groups'!$C$4="",'Final Calculation Sheet'!$F$30,IF('Buyer Groups'!$C$4="(nonblank)",IF('Final Calculation Sheet'!$G$30&lt;&gt;"",'Final Calculation Sheet'!$F$30,""),IF('Buyer Groups'!$C$4="(blank)",IF('Final Calculation Sheet'!$G$30="",'Final Calculation Sheet'!$F$30,""),IF(ISNUMBER(SEARCH('Buyer Groups'!$C$4,'Final Calculation Sheet'!$G$30)),'Final Calculation Sheet'!$F$30,"")))))</f>
        <v/>
      </c>
      <c r="GN30">
        <f>IF(GM30="","",COUNTIFS(GM$4:GM$40,"&lt;"&amp;GM30,GM$4:GM$40,"&lt;&gt;"&amp;"")+COUNTIF(GM$4:GM30,GM30))</f>
        <v/>
      </c>
      <c r="GO30">
        <f>IF(ROW()-3&gt;COUNTIF(GM$4:GM$40,"&lt;&gt;"&amp;""),"",INDEX(GM$4:GM$40,MATCH(ROW()-3,GN$4:GN$40,0)))</f>
        <v/>
      </c>
      <c r="GP30">
        <f>GP29+IF(AND(GO30&lt;&gt;"",COUNTIF(GO$4:GO30,GO30)=1),1,0)</f>
        <v/>
      </c>
      <c r="GQ30">
        <f>IF(ROW()-3&gt;MAX(GP$4:GP$40),"",INDEX(GO$4:GO$40,MATCH(ROW()-3,GP$4:GP$40,0)))</f>
        <v/>
      </c>
      <c r="GR30">
        <f>IF('Final Calculation Sheet'!$B$30="","",IF(OR('Final Calculation Sheet'!$G$2="",ISNUMBER(SEARCH('Final Calculation Sheet'!$G$2,'Final Calculation Sheet'!$G$30))),'Final Calculation Sheet'!$B$30,""))</f>
        <v/>
      </c>
      <c r="GS30">
        <f>IF(GR30="","",COUNTIFS(GR$4:GR$40,"&lt;"&amp;GR30,GR$4:GR$40,"&lt;&gt;"&amp;"")+COUNTIF(GR$4:GR30,GR30))</f>
        <v/>
      </c>
      <c r="GT30">
        <f>IF(ROW()-3&gt;COUNTIF(GR$4:GR$40,"&lt;&gt;"&amp;""),"",INDEX(GR$4:GR$40,MATCH(ROW()-3,GS$4:GS$40,0)))</f>
        <v/>
      </c>
      <c r="GU30">
        <f>GU29+IF(AND(GT30&lt;&gt;"",COUNTIF(GT$4:GT30,GT30)=1),1,0)</f>
        <v/>
      </c>
      <c r="GV30">
        <f>IF(ROW()-3&gt;MAX(GU$4:GU$40),"",INDEX(GT$4:GT$40,MATCH(ROW()-3,GU$4:GU$40,0)))</f>
        <v/>
      </c>
      <c r="GW30">
        <f>IF('Final Calculation Sheet'!$B$30="","",IF('Buyer Groups'!$C$4="",'Final Calculation Sheet'!$B$30,IF('Buyer Groups'!$C$4="(nonblank)",IF('Final Calculation Sheet'!$G$30&lt;&gt;"",'Final Calculation Sheet'!$B$30,""),IF('Buyer Groups'!$C$4="(blank)",IF('Final Calculation Sheet'!$G$30="",'Final Calculation Sheet'!$B$30,""),IF(ISNUMBER(SEARCH('Buyer Groups'!$C$4,'Final Calculation Sheet'!$G$30)),'Final Calculation Sheet'!$B$30,"")))))</f>
        <v/>
      </c>
      <c r="GX30">
        <f>IF(GW30="","",COUNTIFS(GW$4:GW$40,"&lt;"&amp;GW30,GW$4:GW$40,"&lt;&gt;"&amp;"")+COUNTIF(GW$4:GW30,GW30))</f>
        <v/>
      </c>
      <c r="GY30">
        <f>IF(ROW()-3&gt;COUNTIF(GW$4:GW$40,"&lt;&gt;"&amp;""),"",INDEX(GW$4:GW$40,MATCH(ROW()-3,GX$4:GX$40,0)))</f>
        <v/>
      </c>
      <c r="GZ30">
        <f>GZ29+IF(AND(GY30&lt;&gt;"",COUNTIF(GY$4:GY30,GY30)=1),1,0)</f>
        <v/>
      </c>
      <c r="HA30">
        <f>IF(ROW()-3&gt;MAX(GZ$4:GZ$40),"",INDEX(GY$4:GY$40,MATCH(ROW()-3,GZ$4:GZ$40,0)))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IF('Final Calculation Sheet'!$F$31="","",IF(OR('Final Calculation Sheet'!$G$2="",ISNUMBER(SEARCH('Final Calculation Sheet'!$G$2,'Final Calculation Sheet'!$G$31))),'Final Calculation Sheet'!$F$31,""))</f>
        <v/>
      </c>
      <c r="GD31">
        <f>IF(GC31="","",COUNTIFS(GC$4:GC$40,"&lt;"&amp;GC31,GC$4:GC$40,"&lt;&gt;"&amp;"")+COUNTIF(GC$4:GC31,GC31))</f>
        <v/>
      </c>
      <c r="GE31">
        <f>IF(ROW()-3&gt;COUNTIF(GC$4:GC$40,"&lt;&gt;"&amp;""),"",INDEX(GC$4:GC$40,MATCH(ROW()-3,GD$4:GD$40,0)))</f>
        <v/>
      </c>
      <c r="GF31">
        <f>GF30+IF(AND(GE31&lt;&gt;"",COUNTIF(GE$4:GE31,GE31)=1),1,0)</f>
        <v/>
      </c>
      <c r="GG31">
        <f>IF(ROW()-3&gt;MAX(GF$4:GF$40),"",INDEX(GE$4:GE$40,MATCH(ROW()-3,GF$4:GF$40,0)))</f>
        <v/>
      </c>
      <c r="GH31">
        <f>IF('Final Calculation Sheet'!$F$31="","",IF('Live Search'!$BO$32=1,'Final Calculation Sheet'!$F$31,""))</f>
        <v/>
      </c>
      <c r="GI31">
        <f>IF(GH31="","",COUNTIFS(GH$4:GH$40,"&lt;"&amp;GH31,GH$4:GH$40,"&lt;&gt;"&amp;"")+COUNTIF(GH$4:GH31,GH31))</f>
        <v/>
      </c>
      <c r="GJ31">
        <f>IF(ROW()-3&gt;COUNTIF(GH$4:GH$40,"&lt;&gt;"&amp;""),"",INDEX(GH$4:GH$40,MATCH(ROW()-3,GI$4:GI$40,0)))</f>
        <v/>
      </c>
      <c r="GK31">
        <f>GK30+IF(AND(GJ31&lt;&gt;"",COUNTIF(GJ$4:GJ31,GJ31)=1),1,0)</f>
        <v/>
      </c>
      <c r="GL31">
        <f>IF(ROW()-3&gt;MAX(GK$4:GK$40),"",INDEX(GJ$4:GJ$40,MATCH(ROW()-3,GK$4:GK$40,0)))</f>
        <v/>
      </c>
      <c r="GM31">
        <f>IF('Final Calculation Sheet'!$F$31="","",IF('Buyer Groups'!$C$4="",'Final Calculation Sheet'!$F$31,IF('Buyer Groups'!$C$4="(nonblank)",IF('Final Calculation Sheet'!$G$31&lt;&gt;"",'Final Calculation Sheet'!$F$31,""),IF('Buyer Groups'!$C$4="(blank)",IF('Final Calculation Sheet'!$G$31="",'Final Calculation Sheet'!$F$31,""),IF(ISNUMBER(SEARCH('Buyer Groups'!$C$4,'Final Calculation Sheet'!$G$31)),'Final Calculation Sheet'!$F$31,"")))))</f>
        <v/>
      </c>
      <c r="GN31">
        <f>IF(GM31="","",COUNTIFS(GM$4:GM$40,"&lt;"&amp;GM31,GM$4:GM$40,"&lt;&gt;"&amp;"")+COUNTIF(GM$4:GM31,GM31))</f>
        <v/>
      </c>
      <c r="GO31">
        <f>IF(ROW()-3&gt;COUNTIF(GM$4:GM$40,"&lt;&gt;"&amp;""),"",INDEX(GM$4:GM$40,MATCH(ROW()-3,GN$4:GN$40,0)))</f>
        <v/>
      </c>
      <c r="GP31">
        <f>GP30+IF(AND(GO31&lt;&gt;"",COUNTIF(GO$4:GO31,GO31)=1),1,0)</f>
        <v/>
      </c>
      <c r="GQ31">
        <f>IF(ROW()-3&gt;MAX(GP$4:GP$40),"",INDEX(GO$4:GO$40,MATCH(ROW()-3,GP$4:GP$40,0)))</f>
        <v/>
      </c>
      <c r="GR31">
        <f>IF('Final Calculation Sheet'!$B$31="","",IF(OR('Final Calculation Sheet'!$G$2="",ISNUMBER(SEARCH('Final Calculation Sheet'!$G$2,'Final Calculation Sheet'!$G$31))),'Final Calculation Sheet'!$B$31,""))</f>
        <v/>
      </c>
      <c r="GS31">
        <f>IF(GR31="","",COUNTIFS(GR$4:GR$40,"&lt;"&amp;GR31,GR$4:GR$40,"&lt;&gt;"&amp;"")+COUNTIF(GR$4:GR31,GR31))</f>
        <v/>
      </c>
      <c r="GT31">
        <f>IF(ROW()-3&gt;COUNTIF(GR$4:GR$40,"&lt;&gt;"&amp;""),"",INDEX(GR$4:GR$40,MATCH(ROW()-3,GS$4:GS$40,0)))</f>
        <v/>
      </c>
      <c r="GU31">
        <f>GU30+IF(AND(GT31&lt;&gt;"",COUNTIF(GT$4:GT31,GT31)=1),1,0)</f>
        <v/>
      </c>
      <c r="GV31">
        <f>IF(ROW()-3&gt;MAX(GU$4:GU$40),"",INDEX(GT$4:GT$40,MATCH(ROW()-3,GU$4:GU$40,0)))</f>
        <v/>
      </c>
      <c r="GW31">
        <f>IF('Final Calculation Sheet'!$B$31="","",IF('Buyer Groups'!$C$4="",'Final Calculation Sheet'!$B$31,IF('Buyer Groups'!$C$4="(nonblank)",IF('Final Calculation Sheet'!$G$31&lt;&gt;"",'Final Calculation Sheet'!$B$31,""),IF('Buyer Groups'!$C$4="(blank)",IF('Final Calculation Sheet'!$G$31="",'Final Calculation Sheet'!$B$31,""),IF(ISNUMBER(SEARCH('Buyer Groups'!$C$4,'Final Calculation Sheet'!$G$31)),'Final Calculation Sheet'!$B$31,"")))))</f>
        <v/>
      </c>
      <c r="GX31">
        <f>IF(GW31="","",COUNTIFS(GW$4:GW$40,"&lt;"&amp;GW31,GW$4:GW$40,"&lt;&gt;"&amp;"")+COUNTIF(GW$4:GW31,GW31))</f>
        <v/>
      </c>
      <c r="GY31">
        <f>IF(ROW()-3&gt;COUNTIF(GW$4:GW$40,"&lt;&gt;"&amp;""),"",INDEX(GW$4:GW$40,MATCH(ROW()-3,GX$4:GX$40,0)))</f>
        <v/>
      </c>
      <c r="GZ31">
        <f>GZ30+IF(AND(GY31&lt;&gt;"",COUNTIF(GY$4:GY31,GY31)=1),1,0)</f>
        <v/>
      </c>
      <c r="HA31">
        <f>IF(ROW()-3&gt;MAX(GZ$4:GZ$40),"",INDEX(GY$4:GY$40,MATCH(ROW()-3,GZ$4:GZ$40,0)))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IF('Final Calculation Sheet'!$F$32="","",IF(OR('Final Calculation Sheet'!$G$2="",ISNUMBER(SEARCH('Final Calculation Sheet'!$G$2,'Final Calculation Sheet'!$G$32))),'Final Calculation Sheet'!$F$32,""))</f>
        <v/>
      </c>
      <c r="GD32">
        <f>IF(GC32="","",COUNTIFS(GC$4:GC$40,"&lt;"&amp;GC32,GC$4:GC$40,"&lt;&gt;"&amp;"")+COUNTIF(GC$4:GC32,GC32))</f>
        <v/>
      </c>
      <c r="GE32">
        <f>IF(ROW()-3&gt;COUNTIF(GC$4:GC$40,"&lt;&gt;"&amp;""),"",INDEX(GC$4:GC$40,MATCH(ROW()-3,GD$4:GD$40,0)))</f>
        <v/>
      </c>
      <c r="GF32">
        <f>GF31+IF(AND(GE32&lt;&gt;"",COUNTIF(GE$4:GE32,GE32)=1),1,0)</f>
        <v/>
      </c>
      <c r="GG32">
        <f>IF(ROW()-3&gt;MAX(GF$4:GF$40),"",INDEX(GE$4:GE$40,MATCH(ROW()-3,GF$4:GF$40,0)))</f>
        <v/>
      </c>
      <c r="GH32">
        <f>IF('Final Calculation Sheet'!$F$32="","",IF('Live Search'!$BO$33=1,'Final Calculation Sheet'!$F$32,""))</f>
        <v/>
      </c>
      <c r="GI32">
        <f>IF(GH32="","",COUNTIFS(GH$4:GH$40,"&lt;"&amp;GH32,GH$4:GH$40,"&lt;&gt;"&amp;"")+COUNTIF(GH$4:GH32,GH32))</f>
        <v/>
      </c>
      <c r="GJ32">
        <f>IF(ROW()-3&gt;COUNTIF(GH$4:GH$40,"&lt;&gt;"&amp;""),"",INDEX(GH$4:GH$40,MATCH(ROW()-3,GI$4:GI$40,0)))</f>
        <v/>
      </c>
      <c r="GK32">
        <f>GK31+IF(AND(GJ32&lt;&gt;"",COUNTIF(GJ$4:GJ32,GJ32)=1),1,0)</f>
        <v/>
      </c>
      <c r="GL32">
        <f>IF(ROW()-3&gt;MAX(GK$4:GK$40),"",INDEX(GJ$4:GJ$40,MATCH(ROW()-3,GK$4:GK$40,0)))</f>
        <v/>
      </c>
      <c r="GM32">
        <f>IF('Final Calculation Sheet'!$F$32="","",IF('Buyer Groups'!$C$4="",'Final Calculation Sheet'!$F$32,IF('Buyer Groups'!$C$4="(nonblank)",IF('Final Calculation Sheet'!$G$32&lt;&gt;"",'Final Calculation Sheet'!$F$32,""),IF('Buyer Groups'!$C$4="(blank)",IF('Final Calculation Sheet'!$G$32="",'Final Calculation Sheet'!$F$32,""),IF(ISNUMBER(SEARCH('Buyer Groups'!$C$4,'Final Calculation Sheet'!$G$32)),'Final Calculation Sheet'!$F$32,"")))))</f>
        <v/>
      </c>
      <c r="GN32">
        <f>IF(GM32="","",COUNTIFS(GM$4:GM$40,"&lt;"&amp;GM32,GM$4:GM$40,"&lt;&gt;"&amp;"")+COUNTIF(GM$4:GM32,GM32))</f>
        <v/>
      </c>
      <c r="GO32">
        <f>IF(ROW()-3&gt;COUNTIF(GM$4:GM$40,"&lt;&gt;"&amp;""),"",INDEX(GM$4:GM$40,MATCH(ROW()-3,GN$4:GN$40,0)))</f>
        <v/>
      </c>
      <c r="GP32">
        <f>GP31+IF(AND(GO32&lt;&gt;"",COUNTIF(GO$4:GO32,GO32)=1),1,0)</f>
        <v/>
      </c>
      <c r="GQ32">
        <f>IF(ROW()-3&gt;MAX(GP$4:GP$40),"",INDEX(GO$4:GO$40,MATCH(ROW()-3,GP$4:GP$40,0)))</f>
        <v/>
      </c>
      <c r="GR32">
        <f>IF('Final Calculation Sheet'!$B$32="","",IF(OR('Final Calculation Sheet'!$G$2="",ISNUMBER(SEARCH('Final Calculation Sheet'!$G$2,'Final Calculation Sheet'!$G$32))),'Final Calculation Sheet'!$B$32,""))</f>
        <v/>
      </c>
      <c r="GS32">
        <f>IF(GR32="","",COUNTIFS(GR$4:GR$40,"&lt;"&amp;GR32,GR$4:GR$40,"&lt;&gt;"&amp;"")+COUNTIF(GR$4:GR32,GR32))</f>
        <v/>
      </c>
      <c r="GT32">
        <f>IF(ROW()-3&gt;COUNTIF(GR$4:GR$40,"&lt;&gt;"&amp;""),"",INDEX(GR$4:GR$40,MATCH(ROW()-3,GS$4:GS$40,0)))</f>
        <v/>
      </c>
      <c r="GU32">
        <f>GU31+IF(AND(GT32&lt;&gt;"",COUNTIF(GT$4:GT32,GT32)=1),1,0)</f>
        <v/>
      </c>
      <c r="GV32">
        <f>IF(ROW()-3&gt;MAX(GU$4:GU$40),"",INDEX(GT$4:GT$40,MATCH(ROW()-3,GU$4:GU$40,0)))</f>
        <v/>
      </c>
      <c r="GW32">
        <f>IF('Final Calculation Sheet'!$B$32="","",IF('Buyer Groups'!$C$4="",'Final Calculation Sheet'!$B$32,IF('Buyer Groups'!$C$4="(nonblank)",IF('Final Calculation Sheet'!$G$32&lt;&gt;"",'Final Calculation Sheet'!$B$32,""),IF('Buyer Groups'!$C$4="(blank)",IF('Final Calculation Sheet'!$G$32="",'Final Calculation Sheet'!$B$32,""),IF(ISNUMBER(SEARCH('Buyer Groups'!$C$4,'Final Calculation Sheet'!$G$32)),'Final Calculation Sheet'!$B$32,"")))))</f>
        <v/>
      </c>
      <c r="GX32">
        <f>IF(GW32="","",COUNTIFS(GW$4:GW$40,"&lt;"&amp;GW32,GW$4:GW$40,"&lt;&gt;"&amp;"")+COUNTIF(GW$4:GW32,GW32))</f>
        <v/>
      </c>
      <c r="GY32">
        <f>IF(ROW()-3&gt;COUNTIF(GW$4:GW$40,"&lt;&gt;"&amp;""),"",INDEX(GW$4:GW$40,MATCH(ROW()-3,GX$4:GX$40,0)))</f>
        <v/>
      </c>
      <c r="GZ32">
        <f>GZ31+IF(AND(GY32&lt;&gt;"",COUNTIF(GY$4:GY32,GY32)=1),1,0)</f>
        <v/>
      </c>
      <c r="HA32">
        <f>IF(ROW()-3&gt;MAX(GZ$4:GZ$40),"",INDEX(GY$4:GY$40,MATCH(ROW()-3,GZ$4:GZ$40,0)))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IF('Final Calculation Sheet'!$F$33="","",IF(OR('Final Calculation Sheet'!$G$2="",ISNUMBER(SEARCH('Final Calculation Sheet'!$G$2,'Final Calculation Sheet'!$G$33))),'Final Calculation Sheet'!$F$33,""))</f>
        <v/>
      </c>
      <c r="GD33">
        <f>IF(GC33="","",COUNTIFS(GC$4:GC$40,"&lt;"&amp;GC33,GC$4:GC$40,"&lt;&gt;"&amp;"")+COUNTIF(GC$4:GC33,GC33))</f>
        <v/>
      </c>
      <c r="GE33">
        <f>IF(ROW()-3&gt;COUNTIF(GC$4:GC$40,"&lt;&gt;"&amp;""),"",INDEX(GC$4:GC$40,MATCH(ROW()-3,GD$4:GD$40,0)))</f>
        <v/>
      </c>
      <c r="GF33">
        <f>GF32+IF(AND(GE33&lt;&gt;"",COUNTIF(GE$4:GE33,GE33)=1),1,0)</f>
        <v/>
      </c>
      <c r="GG33">
        <f>IF(ROW()-3&gt;MAX(GF$4:GF$40),"",INDEX(GE$4:GE$40,MATCH(ROW()-3,GF$4:GF$40,0)))</f>
        <v/>
      </c>
      <c r="GH33">
        <f>IF('Final Calculation Sheet'!$F$33="","",IF('Live Search'!$BO$34=1,'Final Calculation Sheet'!$F$33,""))</f>
        <v/>
      </c>
      <c r="GI33">
        <f>IF(GH33="","",COUNTIFS(GH$4:GH$40,"&lt;"&amp;GH33,GH$4:GH$40,"&lt;&gt;"&amp;"")+COUNTIF(GH$4:GH33,GH33))</f>
        <v/>
      </c>
      <c r="GJ33">
        <f>IF(ROW()-3&gt;COUNTIF(GH$4:GH$40,"&lt;&gt;"&amp;""),"",INDEX(GH$4:GH$40,MATCH(ROW()-3,GI$4:GI$40,0)))</f>
        <v/>
      </c>
      <c r="GK33">
        <f>GK32+IF(AND(GJ33&lt;&gt;"",COUNTIF(GJ$4:GJ33,GJ33)=1),1,0)</f>
        <v/>
      </c>
      <c r="GL33">
        <f>IF(ROW()-3&gt;MAX(GK$4:GK$40),"",INDEX(GJ$4:GJ$40,MATCH(ROW()-3,GK$4:GK$40,0)))</f>
        <v/>
      </c>
      <c r="GM33">
        <f>IF('Final Calculation Sheet'!$F$33="","",IF('Buyer Groups'!$C$4="",'Final Calculation Sheet'!$F$33,IF('Buyer Groups'!$C$4="(nonblank)",IF('Final Calculation Sheet'!$G$33&lt;&gt;"",'Final Calculation Sheet'!$F$33,""),IF('Buyer Groups'!$C$4="(blank)",IF('Final Calculation Sheet'!$G$33="",'Final Calculation Sheet'!$F$33,""),IF(ISNUMBER(SEARCH('Buyer Groups'!$C$4,'Final Calculation Sheet'!$G$33)),'Final Calculation Sheet'!$F$33,"")))))</f>
        <v/>
      </c>
      <c r="GN33">
        <f>IF(GM33="","",COUNTIFS(GM$4:GM$40,"&lt;"&amp;GM33,GM$4:GM$40,"&lt;&gt;"&amp;"")+COUNTIF(GM$4:GM33,GM33))</f>
        <v/>
      </c>
      <c r="GO33">
        <f>IF(ROW()-3&gt;COUNTIF(GM$4:GM$40,"&lt;&gt;"&amp;""),"",INDEX(GM$4:GM$40,MATCH(ROW()-3,GN$4:GN$40,0)))</f>
        <v/>
      </c>
      <c r="GP33">
        <f>GP32+IF(AND(GO33&lt;&gt;"",COUNTIF(GO$4:GO33,GO33)=1),1,0)</f>
        <v/>
      </c>
      <c r="GQ33">
        <f>IF(ROW()-3&gt;MAX(GP$4:GP$40),"",INDEX(GO$4:GO$40,MATCH(ROW()-3,GP$4:GP$40,0)))</f>
        <v/>
      </c>
      <c r="GR33">
        <f>IF('Final Calculation Sheet'!$B$33="","",IF(OR('Final Calculation Sheet'!$G$2="",ISNUMBER(SEARCH('Final Calculation Sheet'!$G$2,'Final Calculation Sheet'!$G$33))),'Final Calculation Sheet'!$B$33,""))</f>
        <v/>
      </c>
      <c r="GS33">
        <f>IF(GR33="","",COUNTIFS(GR$4:GR$40,"&lt;"&amp;GR33,GR$4:GR$40,"&lt;&gt;"&amp;"")+COUNTIF(GR$4:GR33,GR33))</f>
        <v/>
      </c>
      <c r="GT33">
        <f>IF(ROW()-3&gt;COUNTIF(GR$4:GR$40,"&lt;&gt;"&amp;""),"",INDEX(GR$4:GR$40,MATCH(ROW()-3,GS$4:GS$40,0)))</f>
        <v/>
      </c>
      <c r="GU33">
        <f>GU32+IF(AND(GT33&lt;&gt;"",COUNTIF(GT$4:GT33,GT33)=1),1,0)</f>
        <v/>
      </c>
      <c r="GV33">
        <f>IF(ROW()-3&gt;MAX(GU$4:GU$40),"",INDEX(GT$4:GT$40,MATCH(ROW()-3,GU$4:GU$40,0)))</f>
        <v/>
      </c>
      <c r="GW33">
        <f>IF('Final Calculation Sheet'!$B$33="","",IF('Buyer Groups'!$C$4="",'Final Calculation Sheet'!$B$33,IF('Buyer Groups'!$C$4="(nonblank)",IF('Final Calculation Sheet'!$G$33&lt;&gt;"",'Final Calculation Sheet'!$B$33,""),IF('Buyer Groups'!$C$4="(blank)",IF('Final Calculation Sheet'!$G$33="",'Final Calculation Sheet'!$B$33,""),IF(ISNUMBER(SEARCH('Buyer Groups'!$C$4,'Final Calculation Sheet'!$G$33)),'Final Calculation Sheet'!$B$33,"")))))</f>
        <v/>
      </c>
      <c r="GX33">
        <f>IF(GW33="","",COUNTIFS(GW$4:GW$40,"&lt;"&amp;GW33,GW$4:GW$40,"&lt;&gt;"&amp;"")+COUNTIF(GW$4:GW33,GW33))</f>
        <v/>
      </c>
      <c r="GY33">
        <f>IF(ROW()-3&gt;COUNTIF(GW$4:GW$40,"&lt;&gt;"&amp;""),"",INDEX(GW$4:GW$40,MATCH(ROW()-3,GX$4:GX$40,0)))</f>
        <v/>
      </c>
      <c r="GZ33">
        <f>GZ32+IF(AND(GY33&lt;&gt;"",COUNTIF(GY$4:GY33,GY33)=1),1,0)</f>
        <v/>
      </c>
      <c r="HA33">
        <f>IF(ROW()-3&gt;MAX(GZ$4:GZ$40),"",INDEX(GY$4:GY$40,MATCH(ROW()-3,GZ$4:GZ$40,0)))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IF('Final Calculation Sheet'!$F$34="","",IF(OR('Final Calculation Sheet'!$G$2="",ISNUMBER(SEARCH('Final Calculation Sheet'!$G$2,'Final Calculation Sheet'!$G$34))),'Final Calculation Sheet'!$F$34,""))</f>
        <v/>
      </c>
      <c r="GD34">
        <f>IF(GC34="","",COUNTIFS(GC$4:GC$40,"&lt;"&amp;GC34,GC$4:GC$40,"&lt;&gt;"&amp;"")+COUNTIF(GC$4:GC34,GC34))</f>
        <v/>
      </c>
      <c r="GE34">
        <f>IF(ROW()-3&gt;COUNTIF(GC$4:GC$40,"&lt;&gt;"&amp;""),"",INDEX(GC$4:GC$40,MATCH(ROW()-3,GD$4:GD$40,0)))</f>
        <v/>
      </c>
      <c r="GF34">
        <f>GF33+IF(AND(GE34&lt;&gt;"",COUNTIF(GE$4:GE34,GE34)=1),1,0)</f>
        <v/>
      </c>
      <c r="GG34">
        <f>IF(ROW()-3&gt;MAX(GF$4:GF$40),"",INDEX(GE$4:GE$40,MATCH(ROW()-3,GF$4:GF$40,0)))</f>
        <v/>
      </c>
      <c r="GH34">
        <f>IF('Final Calculation Sheet'!$F$34="","",IF('Live Search'!$BO$35=1,'Final Calculation Sheet'!$F$34,""))</f>
        <v/>
      </c>
      <c r="GI34">
        <f>IF(GH34="","",COUNTIFS(GH$4:GH$40,"&lt;"&amp;GH34,GH$4:GH$40,"&lt;&gt;"&amp;"")+COUNTIF(GH$4:GH34,GH34))</f>
        <v/>
      </c>
      <c r="GJ34">
        <f>IF(ROW()-3&gt;COUNTIF(GH$4:GH$40,"&lt;&gt;"&amp;""),"",INDEX(GH$4:GH$40,MATCH(ROW()-3,GI$4:GI$40,0)))</f>
        <v/>
      </c>
      <c r="GK34">
        <f>GK33+IF(AND(GJ34&lt;&gt;"",COUNTIF(GJ$4:GJ34,GJ34)=1),1,0)</f>
        <v/>
      </c>
      <c r="GL34">
        <f>IF(ROW()-3&gt;MAX(GK$4:GK$40),"",INDEX(GJ$4:GJ$40,MATCH(ROW()-3,GK$4:GK$40,0)))</f>
        <v/>
      </c>
      <c r="GM34">
        <f>IF('Final Calculation Sheet'!$F$34="","",IF('Buyer Groups'!$C$4="",'Final Calculation Sheet'!$F$34,IF('Buyer Groups'!$C$4="(nonblank)",IF('Final Calculation Sheet'!$G$34&lt;&gt;"",'Final Calculation Sheet'!$F$34,""),IF('Buyer Groups'!$C$4="(blank)",IF('Final Calculation Sheet'!$G$34="",'Final Calculation Sheet'!$F$34,""),IF(ISNUMBER(SEARCH('Buyer Groups'!$C$4,'Final Calculation Sheet'!$G$34)),'Final Calculation Sheet'!$F$34,"")))))</f>
        <v/>
      </c>
      <c r="GN34">
        <f>IF(GM34="","",COUNTIFS(GM$4:GM$40,"&lt;"&amp;GM34,GM$4:GM$40,"&lt;&gt;"&amp;"")+COUNTIF(GM$4:GM34,GM34))</f>
        <v/>
      </c>
      <c r="GO34">
        <f>IF(ROW()-3&gt;COUNTIF(GM$4:GM$40,"&lt;&gt;"&amp;""),"",INDEX(GM$4:GM$40,MATCH(ROW()-3,GN$4:GN$40,0)))</f>
        <v/>
      </c>
      <c r="GP34">
        <f>GP33+IF(AND(GO34&lt;&gt;"",COUNTIF(GO$4:GO34,GO34)=1),1,0)</f>
        <v/>
      </c>
      <c r="GQ34">
        <f>IF(ROW()-3&gt;MAX(GP$4:GP$40),"",INDEX(GO$4:GO$40,MATCH(ROW()-3,GP$4:GP$40,0)))</f>
        <v/>
      </c>
      <c r="GR34">
        <f>IF('Final Calculation Sheet'!$B$34="","",IF(OR('Final Calculation Sheet'!$G$2="",ISNUMBER(SEARCH('Final Calculation Sheet'!$G$2,'Final Calculation Sheet'!$G$34))),'Final Calculation Sheet'!$B$34,""))</f>
        <v/>
      </c>
      <c r="GS34">
        <f>IF(GR34="","",COUNTIFS(GR$4:GR$40,"&lt;"&amp;GR34,GR$4:GR$40,"&lt;&gt;"&amp;"")+COUNTIF(GR$4:GR34,GR34))</f>
        <v/>
      </c>
      <c r="GT34">
        <f>IF(ROW()-3&gt;COUNTIF(GR$4:GR$40,"&lt;&gt;"&amp;""),"",INDEX(GR$4:GR$40,MATCH(ROW()-3,GS$4:GS$40,0)))</f>
        <v/>
      </c>
      <c r="GU34">
        <f>GU33+IF(AND(GT34&lt;&gt;"",COUNTIF(GT$4:GT34,GT34)=1),1,0)</f>
        <v/>
      </c>
      <c r="GV34">
        <f>IF(ROW()-3&gt;MAX(GU$4:GU$40),"",INDEX(GT$4:GT$40,MATCH(ROW()-3,GU$4:GU$40,0)))</f>
        <v/>
      </c>
      <c r="GW34">
        <f>IF('Final Calculation Sheet'!$B$34="","",IF('Buyer Groups'!$C$4="",'Final Calculation Sheet'!$B$34,IF('Buyer Groups'!$C$4="(nonblank)",IF('Final Calculation Sheet'!$G$34&lt;&gt;"",'Final Calculation Sheet'!$B$34,""),IF('Buyer Groups'!$C$4="(blank)",IF('Final Calculation Sheet'!$G$34="",'Final Calculation Sheet'!$B$34,""),IF(ISNUMBER(SEARCH('Buyer Groups'!$C$4,'Final Calculation Sheet'!$G$34)),'Final Calculation Sheet'!$B$34,"")))))</f>
        <v/>
      </c>
      <c r="GX34">
        <f>IF(GW34="","",COUNTIFS(GW$4:GW$40,"&lt;"&amp;GW34,GW$4:GW$40,"&lt;&gt;"&amp;"")+COUNTIF(GW$4:GW34,GW34))</f>
        <v/>
      </c>
      <c r="GY34">
        <f>IF(ROW()-3&gt;COUNTIF(GW$4:GW$40,"&lt;&gt;"&amp;""),"",INDEX(GW$4:GW$40,MATCH(ROW()-3,GX$4:GX$40,0)))</f>
        <v/>
      </c>
      <c r="GZ34">
        <f>GZ33+IF(AND(GY34&lt;&gt;"",COUNTIF(GY$4:GY34,GY34)=1),1,0)</f>
        <v/>
      </c>
      <c r="HA34">
        <f>IF(ROW()-3&gt;MAX(GZ$4:GZ$40),"",INDEX(GY$4:GY$40,MATCH(ROW()-3,GZ$4:GZ$40,0)))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IF('Final Calculation Sheet'!$F$35="","",IF(OR('Final Calculation Sheet'!$G$2="",ISNUMBER(SEARCH('Final Calculation Sheet'!$G$2,'Final Calculation Sheet'!$G$35))),'Final Calculation Sheet'!$F$35,""))</f>
        <v/>
      </c>
      <c r="GD35">
        <f>IF(GC35="","",COUNTIFS(GC$4:GC$40,"&lt;"&amp;GC35,GC$4:GC$40,"&lt;&gt;"&amp;"")+COUNTIF(GC$4:GC35,GC35))</f>
        <v/>
      </c>
      <c r="GE35">
        <f>IF(ROW()-3&gt;COUNTIF(GC$4:GC$40,"&lt;&gt;"&amp;""),"",INDEX(GC$4:GC$40,MATCH(ROW()-3,GD$4:GD$40,0)))</f>
        <v/>
      </c>
      <c r="GF35">
        <f>GF34+IF(AND(GE35&lt;&gt;"",COUNTIF(GE$4:GE35,GE35)=1),1,0)</f>
        <v/>
      </c>
      <c r="GG35">
        <f>IF(ROW()-3&gt;MAX(GF$4:GF$40),"",INDEX(GE$4:GE$40,MATCH(ROW()-3,GF$4:GF$40,0)))</f>
        <v/>
      </c>
      <c r="GH35">
        <f>IF('Final Calculation Sheet'!$F$35="","",IF('Live Search'!$BO$36=1,'Final Calculation Sheet'!$F$35,""))</f>
        <v/>
      </c>
      <c r="GI35">
        <f>IF(GH35="","",COUNTIFS(GH$4:GH$40,"&lt;"&amp;GH35,GH$4:GH$40,"&lt;&gt;"&amp;"")+COUNTIF(GH$4:GH35,GH35))</f>
        <v/>
      </c>
      <c r="GJ35">
        <f>IF(ROW()-3&gt;COUNTIF(GH$4:GH$40,"&lt;&gt;"&amp;""),"",INDEX(GH$4:GH$40,MATCH(ROW()-3,GI$4:GI$40,0)))</f>
        <v/>
      </c>
      <c r="GK35">
        <f>GK34+IF(AND(GJ35&lt;&gt;"",COUNTIF(GJ$4:GJ35,GJ35)=1),1,0)</f>
        <v/>
      </c>
      <c r="GL35">
        <f>IF(ROW()-3&gt;MAX(GK$4:GK$40),"",INDEX(GJ$4:GJ$40,MATCH(ROW()-3,GK$4:GK$40,0)))</f>
        <v/>
      </c>
      <c r="GM35">
        <f>IF('Final Calculation Sheet'!$F$35="","",IF('Buyer Groups'!$C$4="",'Final Calculation Sheet'!$F$35,IF('Buyer Groups'!$C$4="(nonblank)",IF('Final Calculation Sheet'!$G$35&lt;&gt;"",'Final Calculation Sheet'!$F$35,""),IF('Buyer Groups'!$C$4="(blank)",IF('Final Calculation Sheet'!$G$35="",'Final Calculation Sheet'!$F$35,""),IF(ISNUMBER(SEARCH('Buyer Groups'!$C$4,'Final Calculation Sheet'!$G$35)),'Final Calculation Sheet'!$F$35,"")))))</f>
        <v/>
      </c>
      <c r="GN35">
        <f>IF(GM35="","",COUNTIFS(GM$4:GM$40,"&lt;"&amp;GM35,GM$4:GM$40,"&lt;&gt;"&amp;"")+COUNTIF(GM$4:GM35,GM35))</f>
        <v/>
      </c>
      <c r="GO35">
        <f>IF(ROW()-3&gt;COUNTIF(GM$4:GM$40,"&lt;&gt;"&amp;""),"",INDEX(GM$4:GM$40,MATCH(ROW()-3,GN$4:GN$40,0)))</f>
        <v/>
      </c>
      <c r="GP35">
        <f>GP34+IF(AND(GO35&lt;&gt;"",COUNTIF(GO$4:GO35,GO35)=1),1,0)</f>
        <v/>
      </c>
      <c r="GQ35">
        <f>IF(ROW()-3&gt;MAX(GP$4:GP$40),"",INDEX(GO$4:GO$40,MATCH(ROW()-3,GP$4:GP$40,0)))</f>
        <v/>
      </c>
      <c r="GR35">
        <f>IF('Final Calculation Sheet'!$B$35="","",IF(OR('Final Calculation Sheet'!$G$2="",ISNUMBER(SEARCH('Final Calculation Sheet'!$G$2,'Final Calculation Sheet'!$G$35))),'Final Calculation Sheet'!$B$35,""))</f>
        <v/>
      </c>
      <c r="GS35">
        <f>IF(GR35="","",COUNTIFS(GR$4:GR$40,"&lt;"&amp;GR35,GR$4:GR$40,"&lt;&gt;"&amp;"")+COUNTIF(GR$4:GR35,GR35))</f>
        <v/>
      </c>
      <c r="GT35">
        <f>IF(ROW()-3&gt;COUNTIF(GR$4:GR$40,"&lt;&gt;"&amp;""),"",INDEX(GR$4:GR$40,MATCH(ROW()-3,GS$4:GS$40,0)))</f>
        <v/>
      </c>
      <c r="GU35">
        <f>GU34+IF(AND(GT35&lt;&gt;"",COUNTIF(GT$4:GT35,GT35)=1),1,0)</f>
        <v/>
      </c>
      <c r="GV35">
        <f>IF(ROW()-3&gt;MAX(GU$4:GU$40),"",INDEX(GT$4:GT$40,MATCH(ROW()-3,GU$4:GU$40,0)))</f>
        <v/>
      </c>
      <c r="GW35">
        <f>IF('Final Calculation Sheet'!$B$35="","",IF('Buyer Groups'!$C$4="",'Final Calculation Sheet'!$B$35,IF('Buyer Groups'!$C$4="(nonblank)",IF('Final Calculation Sheet'!$G$35&lt;&gt;"",'Final Calculation Sheet'!$B$35,""),IF('Buyer Groups'!$C$4="(blank)",IF('Final Calculation Sheet'!$G$35="",'Final Calculation Sheet'!$B$35,""),IF(ISNUMBER(SEARCH('Buyer Groups'!$C$4,'Final Calculation Sheet'!$G$35)),'Final Calculation Sheet'!$B$35,"")))))</f>
        <v/>
      </c>
      <c r="GX35">
        <f>IF(GW35="","",COUNTIFS(GW$4:GW$40,"&lt;"&amp;GW35,GW$4:GW$40,"&lt;&gt;"&amp;"")+COUNTIF(GW$4:GW35,GW35))</f>
        <v/>
      </c>
      <c r="GY35">
        <f>IF(ROW()-3&gt;COUNTIF(GW$4:GW$40,"&lt;&gt;"&amp;""),"",INDEX(GW$4:GW$40,MATCH(ROW()-3,GX$4:GX$40,0)))</f>
        <v/>
      </c>
      <c r="GZ35">
        <f>GZ34+IF(AND(GY35&lt;&gt;"",COUNTIF(GY$4:GY35,GY35)=1),1,0)</f>
        <v/>
      </c>
      <c r="HA35">
        <f>IF(ROW()-3&gt;MAX(GZ$4:GZ$40),"",INDEX(GY$4:GY$40,MATCH(ROW()-3,GZ$4:GZ$40,0)))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IF('Final Calculation Sheet'!$F$36="","",IF(OR('Final Calculation Sheet'!$G$2="",ISNUMBER(SEARCH('Final Calculation Sheet'!$G$2,'Final Calculation Sheet'!$G$36))),'Final Calculation Sheet'!$F$36,""))</f>
        <v/>
      </c>
      <c r="GD36">
        <f>IF(GC36="","",COUNTIFS(GC$4:GC$40,"&lt;"&amp;GC36,GC$4:GC$40,"&lt;&gt;"&amp;"")+COUNTIF(GC$4:GC36,GC36))</f>
        <v/>
      </c>
      <c r="GE36">
        <f>IF(ROW()-3&gt;COUNTIF(GC$4:GC$40,"&lt;&gt;"&amp;""),"",INDEX(GC$4:GC$40,MATCH(ROW()-3,GD$4:GD$40,0)))</f>
        <v/>
      </c>
      <c r="GF36">
        <f>GF35+IF(AND(GE36&lt;&gt;"",COUNTIF(GE$4:GE36,GE36)=1),1,0)</f>
        <v/>
      </c>
      <c r="GG36">
        <f>IF(ROW()-3&gt;MAX(GF$4:GF$40),"",INDEX(GE$4:GE$40,MATCH(ROW()-3,GF$4:GF$40,0)))</f>
        <v/>
      </c>
      <c r="GH36">
        <f>IF('Final Calculation Sheet'!$F$36="","",IF('Live Search'!$BO$37=1,'Final Calculation Sheet'!$F$36,""))</f>
        <v/>
      </c>
      <c r="GI36">
        <f>IF(GH36="","",COUNTIFS(GH$4:GH$40,"&lt;"&amp;GH36,GH$4:GH$40,"&lt;&gt;"&amp;"")+COUNTIF(GH$4:GH36,GH36))</f>
        <v/>
      </c>
      <c r="GJ36">
        <f>IF(ROW()-3&gt;COUNTIF(GH$4:GH$40,"&lt;&gt;"&amp;""),"",INDEX(GH$4:GH$40,MATCH(ROW()-3,GI$4:GI$40,0)))</f>
        <v/>
      </c>
      <c r="GK36">
        <f>GK35+IF(AND(GJ36&lt;&gt;"",COUNTIF(GJ$4:GJ36,GJ36)=1),1,0)</f>
        <v/>
      </c>
      <c r="GL36">
        <f>IF(ROW()-3&gt;MAX(GK$4:GK$40),"",INDEX(GJ$4:GJ$40,MATCH(ROW()-3,GK$4:GK$40,0)))</f>
        <v/>
      </c>
      <c r="GM36">
        <f>IF('Final Calculation Sheet'!$F$36="","",IF('Buyer Groups'!$C$4="",'Final Calculation Sheet'!$F$36,IF('Buyer Groups'!$C$4="(nonblank)",IF('Final Calculation Sheet'!$G$36&lt;&gt;"",'Final Calculation Sheet'!$F$36,""),IF('Buyer Groups'!$C$4="(blank)",IF('Final Calculation Sheet'!$G$36="",'Final Calculation Sheet'!$F$36,""),IF(ISNUMBER(SEARCH('Buyer Groups'!$C$4,'Final Calculation Sheet'!$G$36)),'Final Calculation Sheet'!$F$36,"")))))</f>
        <v/>
      </c>
      <c r="GN36">
        <f>IF(GM36="","",COUNTIFS(GM$4:GM$40,"&lt;"&amp;GM36,GM$4:GM$40,"&lt;&gt;"&amp;"")+COUNTIF(GM$4:GM36,GM36))</f>
        <v/>
      </c>
      <c r="GO36">
        <f>IF(ROW()-3&gt;COUNTIF(GM$4:GM$40,"&lt;&gt;"&amp;""),"",INDEX(GM$4:GM$40,MATCH(ROW()-3,GN$4:GN$40,0)))</f>
        <v/>
      </c>
      <c r="GP36">
        <f>GP35+IF(AND(GO36&lt;&gt;"",COUNTIF(GO$4:GO36,GO36)=1),1,0)</f>
        <v/>
      </c>
      <c r="GQ36">
        <f>IF(ROW()-3&gt;MAX(GP$4:GP$40),"",INDEX(GO$4:GO$40,MATCH(ROW()-3,GP$4:GP$40,0)))</f>
        <v/>
      </c>
      <c r="GR36">
        <f>IF('Final Calculation Sheet'!$B$36="","",IF(OR('Final Calculation Sheet'!$G$2="",ISNUMBER(SEARCH('Final Calculation Sheet'!$G$2,'Final Calculation Sheet'!$G$36))),'Final Calculation Sheet'!$B$36,""))</f>
        <v/>
      </c>
      <c r="GS36">
        <f>IF(GR36="","",COUNTIFS(GR$4:GR$40,"&lt;"&amp;GR36,GR$4:GR$40,"&lt;&gt;"&amp;"")+COUNTIF(GR$4:GR36,GR36))</f>
        <v/>
      </c>
      <c r="GT36">
        <f>IF(ROW()-3&gt;COUNTIF(GR$4:GR$40,"&lt;&gt;"&amp;""),"",INDEX(GR$4:GR$40,MATCH(ROW()-3,GS$4:GS$40,0)))</f>
        <v/>
      </c>
      <c r="GU36">
        <f>GU35+IF(AND(GT36&lt;&gt;"",COUNTIF(GT$4:GT36,GT36)=1),1,0)</f>
        <v/>
      </c>
      <c r="GV36">
        <f>IF(ROW()-3&gt;MAX(GU$4:GU$40),"",INDEX(GT$4:GT$40,MATCH(ROW()-3,GU$4:GU$40,0)))</f>
        <v/>
      </c>
      <c r="GW36">
        <f>IF('Final Calculation Sheet'!$B$36="","",IF('Buyer Groups'!$C$4="",'Final Calculation Sheet'!$B$36,IF('Buyer Groups'!$C$4="(nonblank)",IF('Final Calculation Sheet'!$G$36&lt;&gt;"",'Final Calculation Sheet'!$B$36,""),IF('Buyer Groups'!$C$4="(blank)",IF('Final Calculation Sheet'!$G$36="",'Final Calculation Sheet'!$B$36,""),IF(ISNUMBER(SEARCH('Buyer Groups'!$C$4,'Final Calculation Sheet'!$G$36)),'Final Calculation Sheet'!$B$36,"")))))</f>
        <v/>
      </c>
      <c r="GX36">
        <f>IF(GW36="","",COUNTIFS(GW$4:GW$40,"&lt;"&amp;GW36,GW$4:GW$40,"&lt;&gt;"&amp;"")+COUNTIF(GW$4:GW36,GW36))</f>
        <v/>
      </c>
      <c r="GY36">
        <f>IF(ROW()-3&gt;COUNTIF(GW$4:GW$40,"&lt;&gt;"&amp;""),"",INDEX(GW$4:GW$40,MATCH(ROW()-3,GX$4:GX$40,0)))</f>
        <v/>
      </c>
      <c r="GZ36">
        <f>GZ35+IF(AND(GY36&lt;&gt;"",COUNTIF(GY$4:GY36,GY36)=1),1,0)</f>
        <v/>
      </c>
      <c r="HA36">
        <f>IF(ROW()-3&gt;MAX(GZ$4:GZ$40),"",INDEX(GY$4:GY$40,MATCH(ROW()-3,GZ$4:GZ$40,0)))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IF('Final Calculation Sheet'!$F$37="","",IF(OR('Final Calculation Sheet'!$G$2="",ISNUMBER(SEARCH('Final Calculation Sheet'!$G$2,'Final Calculation Sheet'!$G$37))),'Final Calculation Sheet'!$F$37,""))</f>
        <v/>
      </c>
      <c r="GD37">
        <f>IF(GC37="","",COUNTIFS(GC$4:GC$40,"&lt;"&amp;GC37,GC$4:GC$40,"&lt;&gt;"&amp;"")+COUNTIF(GC$4:GC37,GC37))</f>
        <v/>
      </c>
      <c r="GE37">
        <f>IF(ROW()-3&gt;COUNTIF(GC$4:GC$40,"&lt;&gt;"&amp;""),"",INDEX(GC$4:GC$40,MATCH(ROW()-3,GD$4:GD$40,0)))</f>
        <v/>
      </c>
      <c r="GF37">
        <f>GF36+IF(AND(GE37&lt;&gt;"",COUNTIF(GE$4:GE37,GE37)=1),1,0)</f>
        <v/>
      </c>
      <c r="GG37">
        <f>IF(ROW()-3&gt;MAX(GF$4:GF$40),"",INDEX(GE$4:GE$40,MATCH(ROW()-3,GF$4:GF$40,0)))</f>
        <v/>
      </c>
      <c r="GH37">
        <f>IF('Final Calculation Sheet'!$F$37="","",IF('Live Search'!$BO$38=1,'Final Calculation Sheet'!$F$37,""))</f>
        <v/>
      </c>
      <c r="GI37">
        <f>IF(GH37="","",COUNTIFS(GH$4:GH$40,"&lt;"&amp;GH37,GH$4:GH$40,"&lt;&gt;"&amp;"")+COUNTIF(GH$4:GH37,GH37))</f>
        <v/>
      </c>
      <c r="GJ37">
        <f>IF(ROW()-3&gt;COUNTIF(GH$4:GH$40,"&lt;&gt;"&amp;""),"",INDEX(GH$4:GH$40,MATCH(ROW()-3,GI$4:GI$40,0)))</f>
        <v/>
      </c>
      <c r="GK37">
        <f>GK36+IF(AND(GJ37&lt;&gt;"",COUNTIF(GJ$4:GJ37,GJ37)=1),1,0)</f>
        <v/>
      </c>
      <c r="GL37">
        <f>IF(ROW()-3&gt;MAX(GK$4:GK$40),"",INDEX(GJ$4:GJ$40,MATCH(ROW()-3,GK$4:GK$40,0)))</f>
        <v/>
      </c>
      <c r="GM37">
        <f>IF('Final Calculation Sheet'!$F$37="","",IF('Buyer Groups'!$C$4="",'Final Calculation Sheet'!$F$37,IF('Buyer Groups'!$C$4="(nonblank)",IF('Final Calculation Sheet'!$G$37&lt;&gt;"",'Final Calculation Sheet'!$F$37,""),IF('Buyer Groups'!$C$4="(blank)",IF('Final Calculation Sheet'!$G$37="",'Final Calculation Sheet'!$F$37,""),IF(ISNUMBER(SEARCH('Buyer Groups'!$C$4,'Final Calculation Sheet'!$G$37)),'Final Calculation Sheet'!$F$37,"")))))</f>
        <v/>
      </c>
      <c r="GN37">
        <f>IF(GM37="","",COUNTIFS(GM$4:GM$40,"&lt;"&amp;GM37,GM$4:GM$40,"&lt;&gt;"&amp;"")+COUNTIF(GM$4:GM37,GM37))</f>
        <v/>
      </c>
      <c r="GO37">
        <f>IF(ROW()-3&gt;COUNTIF(GM$4:GM$40,"&lt;&gt;"&amp;""),"",INDEX(GM$4:GM$40,MATCH(ROW()-3,GN$4:GN$40,0)))</f>
        <v/>
      </c>
      <c r="GP37">
        <f>GP36+IF(AND(GO37&lt;&gt;"",COUNTIF(GO$4:GO37,GO37)=1),1,0)</f>
        <v/>
      </c>
      <c r="GQ37">
        <f>IF(ROW()-3&gt;MAX(GP$4:GP$40),"",INDEX(GO$4:GO$40,MATCH(ROW()-3,GP$4:GP$40,0)))</f>
        <v/>
      </c>
      <c r="GR37">
        <f>IF('Final Calculation Sheet'!$B$37="","",IF(OR('Final Calculation Sheet'!$G$2="",ISNUMBER(SEARCH('Final Calculation Sheet'!$G$2,'Final Calculation Sheet'!$G$37))),'Final Calculation Sheet'!$B$37,""))</f>
        <v/>
      </c>
      <c r="GS37">
        <f>IF(GR37="","",COUNTIFS(GR$4:GR$40,"&lt;"&amp;GR37,GR$4:GR$40,"&lt;&gt;"&amp;"")+COUNTIF(GR$4:GR37,GR37))</f>
        <v/>
      </c>
      <c r="GT37">
        <f>IF(ROW()-3&gt;COUNTIF(GR$4:GR$40,"&lt;&gt;"&amp;""),"",INDEX(GR$4:GR$40,MATCH(ROW()-3,GS$4:GS$40,0)))</f>
        <v/>
      </c>
      <c r="GU37">
        <f>GU36+IF(AND(GT37&lt;&gt;"",COUNTIF(GT$4:GT37,GT37)=1),1,0)</f>
        <v/>
      </c>
      <c r="GV37">
        <f>IF(ROW()-3&gt;MAX(GU$4:GU$40),"",INDEX(GT$4:GT$40,MATCH(ROW()-3,GU$4:GU$40,0)))</f>
        <v/>
      </c>
      <c r="GW37">
        <f>IF('Final Calculation Sheet'!$B$37="","",IF('Buyer Groups'!$C$4="",'Final Calculation Sheet'!$B$37,IF('Buyer Groups'!$C$4="(nonblank)",IF('Final Calculation Sheet'!$G$37&lt;&gt;"",'Final Calculation Sheet'!$B$37,""),IF('Buyer Groups'!$C$4="(blank)",IF('Final Calculation Sheet'!$G$37="",'Final Calculation Sheet'!$B$37,""),IF(ISNUMBER(SEARCH('Buyer Groups'!$C$4,'Final Calculation Sheet'!$G$37)),'Final Calculation Sheet'!$B$37,"")))))</f>
        <v/>
      </c>
      <c r="GX37">
        <f>IF(GW37="","",COUNTIFS(GW$4:GW$40,"&lt;"&amp;GW37,GW$4:GW$40,"&lt;&gt;"&amp;"")+COUNTIF(GW$4:GW37,GW37))</f>
        <v/>
      </c>
      <c r="GY37">
        <f>IF(ROW()-3&gt;COUNTIF(GW$4:GW$40,"&lt;&gt;"&amp;""),"",INDEX(GW$4:GW$40,MATCH(ROW()-3,GX$4:GX$40,0)))</f>
        <v/>
      </c>
      <c r="GZ37">
        <f>GZ36+IF(AND(GY37&lt;&gt;"",COUNTIF(GY$4:GY37,GY37)=1),1,0)</f>
        <v/>
      </c>
      <c r="HA37">
        <f>IF(ROW()-3&gt;MAX(GZ$4:GZ$40),"",INDEX(GY$4:GY$40,MATCH(ROW()-3,GZ$4:GZ$40,0)))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IF('Final Calculation Sheet'!$F$38="","",IF(OR('Final Calculation Sheet'!$G$2="",ISNUMBER(SEARCH('Final Calculation Sheet'!$G$2,'Final Calculation Sheet'!$G$38))),'Final Calculation Sheet'!$F$38,""))</f>
        <v/>
      </c>
      <c r="GD38">
        <f>IF(GC38="","",COUNTIFS(GC$4:GC$40,"&lt;"&amp;GC38,GC$4:GC$40,"&lt;&gt;"&amp;"")+COUNTIF(GC$4:GC38,GC38))</f>
        <v/>
      </c>
      <c r="GE38">
        <f>IF(ROW()-3&gt;COUNTIF(GC$4:GC$40,"&lt;&gt;"&amp;""),"",INDEX(GC$4:GC$40,MATCH(ROW()-3,GD$4:GD$40,0)))</f>
        <v/>
      </c>
      <c r="GF38">
        <f>GF37+IF(AND(GE38&lt;&gt;"",COUNTIF(GE$4:GE38,GE38)=1),1,0)</f>
        <v/>
      </c>
      <c r="GG38">
        <f>IF(ROW()-3&gt;MAX(GF$4:GF$40),"",INDEX(GE$4:GE$40,MATCH(ROW()-3,GF$4:GF$40,0)))</f>
        <v/>
      </c>
      <c r="GH38">
        <f>IF('Final Calculation Sheet'!$F$38="","",IF('Live Search'!$BO$39=1,'Final Calculation Sheet'!$F$38,""))</f>
        <v/>
      </c>
      <c r="GI38">
        <f>IF(GH38="","",COUNTIFS(GH$4:GH$40,"&lt;"&amp;GH38,GH$4:GH$40,"&lt;&gt;"&amp;"")+COUNTIF(GH$4:GH38,GH38))</f>
        <v/>
      </c>
      <c r="GJ38">
        <f>IF(ROW()-3&gt;COUNTIF(GH$4:GH$40,"&lt;&gt;"&amp;""),"",INDEX(GH$4:GH$40,MATCH(ROW()-3,GI$4:GI$40,0)))</f>
        <v/>
      </c>
      <c r="GK38">
        <f>GK37+IF(AND(GJ38&lt;&gt;"",COUNTIF(GJ$4:GJ38,GJ38)=1),1,0)</f>
        <v/>
      </c>
      <c r="GL38">
        <f>IF(ROW()-3&gt;MAX(GK$4:GK$40),"",INDEX(GJ$4:GJ$40,MATCH(ROW()-3,GK$4:GK$40,0)))</f>
        <v/>
      </c>
      <c r="GM38">
        <f>IF('Final Calculation Sheet'!$F$38="","",IF('Buyer Groups'!$C$4="",'Final Calculation Sheet'!$F$38,IF('Buyer Groups'!$C$4="(nonblank)",IF('Final Calculation Sheet'!$G$38&lt;&gt;"",'Final Calculation Sheet'!$F$38,""),IF('Buyer Groups'!$C$4="(blank)",IF('Final Calculation Sheet'!$G$38="",'Final Calculation Sheet'!$F$38,""),IF(ISNUMBER(SEARCH('Buyer Groups'!$C$4,'Final Calculation Sheet'!$G$38)),'Final Calculation Sheet'!$F$38,"")))))</f>
        <v/>
      </c>
      <c r="GN38">
        <f>IF(GM38="","",COUNTIFS(GM$4:GM$40,"&lt;"&amp;GM38,GM$4:GM$40,"&lt;&gt;"&amp;"")+COUNTIF(GM$4:GM38,GM38))</f>
        <v/>
      </c>
      <c r="GO38">
        <f>IF(ROW()-3&gt;COUNTIF(GM$4:GM$40,"&lt;&gt;"&amp;""),"",INDEX(GM$4:GM$40,MATCH(ROW()-3,GN$4:GN$40,0)))</f>
        <v/>
      </c>
      <c r="GP38">
        <f>GP37+IF(AND(GO38&lt;&gt;"",COUNTIF(GO$4:GO38,GO38)=1),1,0)</f>
        <v/>
      </c>
      <c r="GQ38">
        <f>IF(ROW()-3&gt;MAX(GP$4:GP$40),"",INDEX(GO$4:GO$40,MATCH(ROW()-3,GP$4:GP$40,0)))</f>
        <v/>
      </c>
      <c r="GR38">
        <f>IF('Final Calculation Sheet'!$B$38="","",IF(OR('Final Calculation Sheet'!$G$2="",ISNUMBER(SEARCH('Final Calculation Sheet'!$G$2,'Final Calculation Sheet'!$G$38))),'Final Calculation Sheet'!$B$38,""))</f>
        <v/>
      </c>
      <c r="GS38">
        <f>IF(GR38="","",COUNTIFS(GR$4:GR$40,"&lt;"&amp;GR38,GR$4:GR$40,"&lt;&gt;"&amp;"")+COUNTIF(GR$4:GR38,GR38))</f>
        <v/>
      </c>
      <c r="GT38">
        <f>IF(ROW()-3&gt;COUNTIF(GR$4:GR$40,"&lt;&gt;"&amp;""),"",INDEX(GR$4:GR$40,MATCH(ROW()-3,GS$4:GS$40,0)))</f>
        <v/>
      </c>
      <c r="GU38">
        <f>GU37+IF(AND(GT38&lt;&gt;"",COUNTIF(GT$4:GT38,GT38)=1),1,0)</f>
        <v/>
      </c>
      <c r="GV38">
        <f>IF(ROW()-3&gt;MAX(GU$4:GU$40),"",INDEX(GT$4:GT$40,MATCH(ROW()-3,GU$4:GU$40,0)))</f>
        <v/>
      </c>
      <c r="GW38">
        <f>IF('Final Calculation Sheet'!$B$38="","",IF('Buyer Groups'!$C$4="",'Final Calculation Sheet'!$B$38,IF('Buyer Groups'!$C$4="(nonblank)",IF('Final Calculation Sheet'!$G$38&lt;&gt;"",'Final Calculation Sheet'!$B$38,""),IF('Buyer Groups'!$C$4="(blank)",IF('Final Calculation Sheet'!$G$38="",'Final Calculation Sheet'!$B$38,""),IF(ISNUMBER(SEARCH('Buyer Groups'!$C$4,'Final Calculation Sheet'!$G$38)),'Final Calculation Sheet'!$B$38,"")))))</f>
        <v/>
      </c>
      <c r="GX38">
        <f>IF(GW38="","",COUNTIFS(GW$4:GW$40,"&lt;"&amp;GW38,GW$4:GW$40,"&lt;&gt;"&amp;"")+COUNTIF(GW$4:GW38,GW38))</f>
        <v/>
      </c>
      <c r="GY38">
        <f>IF(ROW()-3&gt;COUNTIF(GW$4:GW$40,"&lt;&gt;"&amp;""),"",INDEX(GW$4:GW$40,MATCH(ROW()-3,GX$4:GX$40,0)))</f>
        <v/>
      </c>
      <c r="GZ38">
        <f>GZ37+IF(AND(GY38&lt;&gt;"",COUNTIF(GY$4:GY38,GY38)=1),1,0)</f>
        <v/>
      </c>
      <c r="HA38">
        <f>IF(ROW()-3&gt;MAX(GZ$4:GZ$40),"",INDEX(GY$4:GY$40,MATCH(ROW()-3,GZ$4:GZ$40,0)))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IF('Final Calculation Sheet'!$F$39="","",IF(OR('Final Calculation Sheet'!$G$2="",ISNUMBER(SEARCH('Final Calculation Sheet'!$G$2,'Final Calculation Sheet'!$G$39))),'Final Calculation Sheet'!$F$39,""))</f>
        <v/>
      </c>
      <c r="GD39">
        <f>IF(GC39="","",COUNTIFS(GC$4:GC$40,"&lt;"&amp;GC39,GC$4:GC$40,"&lt;&gt;"&amp;"")+COUNTIF(GC$4:GC39,GC39))</f>
        <v/>
      </c>
      <c r="GE39">
        <f>IF(ROW()-3&gt;COUNTIF(GC$4:GC$40,"&lt;&gt;"&amp;""),"",INDEX(GC$4:GC$40,MATCH(ROW()-3,GD$4:GD$40,0)))</f>
        <v/>
      </c>
      <c r="GF39">
        <f>GF38+IF(AND(GE39&lt;&gt;"",COUNTIF(GE$4:GE39,GE39)=1),1,0)</f>
        <v/>
      </c>
      <c r="GG39">
        <f>IF(ROW()-3&gt;MAX(GF$4:GF$40),"",INDEX(GE$4:GE$40,MATCH(ROW()-3,GF$4:GF$40,0)))</f>
        <v/>
      </c>
      <c r="GH39">
        <f>IF('Final Calculation Sheet'!$F$39="","",IF('Live Search'!$BO$40=1,'Final Calculation Sheet'!$F$39,""))</f>
        <v/>
      </c>
      <c r="GI39">
        <f>IF(GH39="","",COUNTIFS(GH$4:GH$40,"&lt;"&amp;GH39,GH$4:GH$40,"&lt;&gt;"&amp;"")+COUNTIF(GH$4:GH39,GH39))</f>
        <v/>
      </c>
      <c r="GJ39">
        <f>IF(ROW()-3&gt;COUNTIF(GH$4:GH$40,"&lt;&gt;"&amp;""),"",INDEX(GH$4:GH$40,MATCH(ROW()-3,GI$4:GI$40,0)))</f>
        <v/>
      </c>
      <c r="GK39">
        <f>GK38+IF(AND(GJ39&lt;&gt;"",COUNTIF(GJ$4:GJ39,GJ39)=1),1,0)</f>
        <v/>
      </c>
      <c r="GL39">
        <f>IF(ROW()-3&gt;MAX(GK$4:GK$40),"",INDEX(GJ$4:GJ$40,MATCH(ROW()-3,GK$4:GK$40,0)))</f>
        <v/>
      </c>
      <c r="GM39">
        <f>IF('Final Calculation Sheet'!$F$39="","",IF('Buyer Groups'!$C$4="",'Final Calculation Sheet'!$F$39,IF('Buyer Groups'!$C$4="(nonblank)",IF('Final Calculation Sheet'!$G$39&lt;&gt;"",'Final Calculation Sheet'!$F$39,""),IF('Buyer Groups'!$C$4="(blank)",IF('Final Calculation Sheet'!$G$39="",'Final Calculation Sheet'!$F$39,""),IF(ISNUMBER(SEARCH('Buyer Groups'!$C$4,'Final Calculation Sheet'!$G$39)),'Final Calculation Sheet'!$F$39,"")))))</f>
        <v/>
      </c>
      <c r="GN39">
        <f>IF(GM39="","",COUNTIFS(GM$4:GM$40,"&lt;"&amp;GM39,GM$4:GM$40,"&lt;&gt;"&amp;"")+COUNTIF(GM$4:GM39,GM39))</f>
        <v/>
      </c>
      <c r="GO39">
        <f>IF(ROW()-3&gt;COUNTIF(GM$4:GM$40,"&lt;&gt;"&amp;""),"",INDEX(GM$4:GM$40,MATCH(ROW()-3,GN$4:GN$40,0)))</f>
        <v/>
      </c>
      <c r="GP39">
        <f>GP38+IF(AND(GO39&lt;&gt;"",COUNTIF(GO$4:GO39,GO39)=1),1,0)</f>
        <v/>
      </c>
      <c r="GQ39">
        <f>IF(ROW()-3&gt;MAX(GP$4:GP$40),"",INDEX(GO$4:GO$40,MATCH(ROW()-3,GP$4:GP$40,0)))</f>
        <v/>
      </c>
      <c r="GR39">
        <f>IF('Final Calculation Sheet'!$B$39="","",IF(OR('Final Calculation Sheet'!$G$2="",ISNUMBER(SEARCH('Final Calculation Sheet'!$G$2,'Final Calculation Sheet'!$G$39))),'Final Calculation Sheet'!$B$39,""))</f>
        <v/>
      </c>
      <c r="GS39">
        <f>IF(GR39="","",COUNTIFS(GR$4:GR$40,"&lt;"&amp;GR39,GR$4:GR$40,"&lt;&gt;"&amp;"")+COUNTIF(GR$4:GR39,GR39))</f>
        <v/>
      </c>
      <c r="GT39">
        <f>IF(ROW()-3&gt;COUNTIF(GR$4:GR$40,"&lt;&gt;"&amp;""),"",INDEX(GR$4:GR$40,MATCH(ROW()-3,GS$4:GS$40,0)))</f>
        <v/>
      </c>
      <c r="GU39">
        <f>GU38+IF(AND(GT39&lt;&gt;"",COUNTIF(GT$4:GT39,GT39)=1),1,0)</f>
        <v/>
      </c>
      <c r="GV39">
        <f>IF(ROW()-3&gt;MAX(GU$4:GU$40),"",INDEX(GT$4:GT$40,MATCH(ROW()-3,GU$4:GU$40,0)))</f>
        <v/>
      </c>
      <c r="GW39">
        <f>IF('Final Calculation Sheet'!$B$39="","",IF('Buyer Groups'!$C$4="",'Final Calculation Sheet'!$B$39,IF('Buyer Groups'!$C$4="(nonblank)",IF('Final Calculation Sheet'!$G$39&lt;&gt;"",'Final Calculation Sheet'!$B$39,""),IF('Buyer Groups'!$C$4="(blank)",IF('Final Calculation Sheet'!$G$39="",'Final Calculation Sheet'!$B$39,""),IF(ISNUMBER(SEARCH('Buyer Groups'!$C$4,'Final Calculation Sheet'!$G$39)),'Final Calculation Sheet'!$B$39,"")))))</f>
        <v/>
      </c>
      <c r="GX39">
        <f>IF(GW39="","",COUNTIFS(GW$4:GW$40,"&lt;"&amp;GW39,GW$4:GW$40,"&lt;&gt;"&amp;"")+COUNTIF(GW$4:GW39,GW39))</f>
        <v/>
      </c>
      <c r="GY39">
        <f>IF(ROW()-3&gt;COUNTIF(GW$4:GW$40,"&lt;&gt;"&amp;""),"",INDEX(GW$4:GW$40,MATCH(ROW()-3,GX$4:GX$40,0)))</f>
        <v/>
      </c>
      <c r="GZ39">
        <f>GZ38+IF(AND(GY39&lt;&gt;"",COUNTIF(GY$4:GY39,GY39)=1),1,0)</f>
        <v/>
      </c>
      <c r="HA39">
        <f>IF(ROW()-3&gt;MAX(GZ$4:GZ$40),"",INDEX(GY$4:GY$40,MATCH(ROW()-3,GZ$4:GZ$40,0)))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IF('Final Calculation Sheet'!$F$40="","",IF(OR('Final Calculation Sheet'!$G$2="",ISNUMBER(SEARCH('Final Calculation Sheet'!$G$2,'Final Calculation Sheet'!$G$40))),'Final Calculation Sheet'!$F$40,""))</f>
        <v/>
      </c>
      <c r="GD40">
        <f>IF(GC40="","",COUNTIFS(GC$4:GC$40,"&lt;"&amp;GC40,GC$4:GC$40,"&lt;&gt;"&amp;"")+COUNTIF(GC$4:GC40,GC40))</f>
        <v/>
      </c>
      <c r="GE40">
        <f>IF(ROW()-3&gt;COUNTIF(GC$4:GC$40,"&lt;&gt;"&amp;""),"",INDEX(GC$4:GC$40,MATCH(ROW()-3,GD$4:GD$40,0)))</f>
        <v/>
      </c>
      <c r="GF40">
        <f>GF39+IF(AND(GE40&lt;&gt;"",COUNTIF(GE$4:GE40,GE40)=1),1,0)</f>
        <v/>
      </c>
      <c r="GG40">
        <f>IF(ROW()-3&gt;MAX(GF$4:GF$40),"",INDEX(GE$4:GE$40,MATCH(ROW()-3,GF$4:GF$40,0)))</f>
        <v/>
      </c>
      <c r="GH40">
        <f>IF('Final Calculation Sheet'!$F$40="","",IF('Live Search'!$BO$41=1,'Final Calculation Sheet'!$F$40,""))</f>
        <v/>
      </c>
      <c r="GI40">
        <f>IF(GH40="","",COUNTIFS(GH$4:GH$40,"&lt;"&amp;GH40,GH$4:GH$40,"&lt;&gt;"&amp;"")+COUNTIF(GH$4:GH40,GH40))</f>
        <v/>
      </c>
      <c r="GJ40">
        <f>IF(ROW()-3&gt;COUNTIF(GH$4:GH$40,"&lt;&gt;"&amp;""),"",INDEX(GH$4:GH$40,MATCH(ROW()-3,GI$4:GI$40,0)))</f>
        <v/>
      </c>
      <c r="GK40">
        <f>GK39+IF(AND(GJ40&lt;&gt;"",COUNTIF(GJ$4:GJ40,GJ40)=1),1,0)</f>
        <v/>
      </c>
      <c r="GL40">
        <f>IF(ROW()-3&gt;MAX(GK$4:GK$40),"",INDEX(GJ$4:GJ$40,MATCH(ROW()-3,GK$4:GK$40,0)))</f>
        <v/>
      </c>
      <c r="GM40">
        <f>IF('Final Calculation Sheet'!$F$40="","",IF('Buyer Groups'!$C$4="",'Final Calculation Sheet'!$F$40,IF('Buyer Groups'!$C$4="(nonblank)",IF('Final Calculation Sheet'!$G$40&lt;&gt;"",'Final Calculation Sheet'!$F$40,""),IF('Buyer Groups'!$C$4="(blank)",IF('Final Calculation Sheet'!$G$40="",'Final Calculation Sheet'!$F$40,""),IF(ISNUMBER(SEARCH('Buyer Groups'!$C$4,'Final Calculation Sheet'!$G$40)),'Final Calculation Sheet'!$F$40,"")))))</f>
        <v/>
      </c>
      <c r="GN40">
        <f>IF(GM40="","",COUNTIFS(GM$4:GM$40,"&lt;"&amp;GM40,GM$4:GM$40,"&lt;&gt;"&amp;"")+COUNTIF(GM$4:GM40,GM40))</f>
        <v/>
      </c>
      <c r="GO40">
        <f>IF(ROW()-3&gt;COUNTIF(GM$4:GM$40,"&lt;&gt;"&amp;""),"",INDEX(GM$4:GM$40,MATCH(ROW()-3,GN$4:GN$40,0)))</f>
        <v/>
      </c>
      <c r="GP40">
        <f>GP39+IF(AND(GO40&lt;&gt;"",COUNTIF(GO$4:GO40,GO40)=1),1,0)</f>
        <v/>
      </c>
      <c r="GQ40">
        <f>IF(ROW()-3&gt;MAX(GP$4:GP$40),"",INDEX(GO$4:GO$40,MATCH(ROW()-3,GP$4:GP$40,0)))</f>
        <v/>
      </c>
      <c r="GR40">
        <f>IF('Final Calculation Sheet'!$B$40="","",IF(OR('Final Calculation Sheet'!$G$2="",ISNUMBER(SEARCH('Final Calculation Sheet'!$G$2,'Final Calculation Sheet'!$G$40))),'Final Calculation Sheet'!$B$40,""))</f>
        <v/>
      </c>
      <c r="GS40">
        <f>IF(GR40="","",COUNTIFS(GR$4:GR$40,"&lt;"&amp;GR40,GR$4:GR$40,"&lt;&gt;"&amp;"")+COUNTIF(GR$4:GR40,GR40))</f>
        <v/>
      </c>
      <c r="GT40">
        <f>IF(ROW()-3&gt;COUNTIF(GR$4:GR$40,"&lt;&gt;"&amp;""),"",INDEX(GR$4:GR$40,MATCH(ROW()-3,GS$4:GS$40,0)))</f>
        <v/>
      </c>
      <c r="GU40">
        <f>GU39+IF(AND(GT40&lt;&gt;"",COUNTIF(GT$4:GT40,GT40)=1),1,0)</f>
        <v/>
      </c>
      <c r="GV40">
        <f>IF(ROW()-3&gt;MAX(GU$4:GU$40),"",INDEX(GT$4:GT$40,MATCH(ROW()-3,GU$4:GU$40,0)))</f>
        <v/>
      </c>
      <c r="GW40">
        <f>IF('Final Calculation Sheet'!$B$40="","",IF('Buyer Groups'!$C$4="",'Final Calculation Sheet'!$B$40,IF('Buyer Groups'!$C$4="(nonblank)",IF('Final Calculation Sheet'!$G$40&lt;&gt;"",'Final Calculation Sheet'!$B$40,""),IF('Buyer Groups'!$C$4="(blank)",IF('Final Calculation Sheet'!$G$40="",'Final Calculation Sheet'!$B$40,""),IF(ISNUMBER(SEARCH('Buyer Groups'!$C$4,'Final Calculation Sheet'!$G$40)),'Final Calculation Sheet'!$B$40,"")))))</f>
        <v/>
      </c>
      <c r="GX40">
        <f>IF(GW40="","",COUNTIFS(GW$4:GW$40,"&lt;"&amp;GW40,GW$4:GW$40,"&lt;&gt;"&amp;"")+COUNTIF(GW$4:GW40,GW40))</f>
        <v/>
      </c>
      <c r="GY40">
        <f>IF(ROW()-3&gt;COUNTIF(GW$4:GW$40,"&lt;&gt;"&amp;""),"",INDEX(GW$4:GW$40,MATCH(ROW()-3,GX$4:GX$40,0)))</f>
        <v/>
      </c>
      <c r="GZ40">
        <f>GZ39+IF(AND(GY40&lt;&gt;"",COUNTIF(GY$4:GY40,GY40)=1),1,0)</f>
        <v/>
      </c>
      <c r="HA40">
        <f>IF(ROW()-3&gt;MAX(GZ$4:GZ$40),"",INDEX(GY$4:GY$40,MATCH(ROW()-3,GZ$4:GZ$40,0)))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G41" t="inlineStr">
        <is>
          <t>(blank)</t>
        </is>
      </c>
      <c r="GL41" t="inlineStr">
        <is>
          <t>(blank)</t>
        </is>
      </c>
      <c r="GQ41" t="inlineStr">
        <is>
          <t>(blank)</t>
        </is>
      </c>
      <c r="GV41" t="inlineStr">
        <is>
          <t>(blank)</t>
        </is>
      </c>
      <c r="HA41" t="inlineStr">
        <is>
          <t>(blank)</t>
        </is>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G42" t="inlineStr">
        <is>
          <t>(nonblank)</t>
        </is>
      </c>
      <c r="GL42" t="inlineStr">
        <is>
          <t>(nonblank)</t>
        </is>
      </c>
      <c r="GQ42" t="inlineStr">
        <is>
          <t>(nonblank)</t>
        </is>
      </c>
      <c r="GV42" t="inlineStr">
        <is>
          <t>(nonblank)</t>
        </is>
      </c>
      <c r="HA42" t="inlineStr">
        <is>
          <t>(nonblank)</t>
        </is>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2026-09-11T04:03:28Z</dcterms:modified>
  <cp:lastModifiedBy>S.M.C</cp:lastModifiedBy>
  <cp:revision>0</cp:revision>
</cp:coreProperties>
</file>