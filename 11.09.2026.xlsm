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Lists!$GB$4:INDEX(Lists!$GB$4:$GB$42,MAX(Lists!$GA$4:$GA$40)+2)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SUG_D_FULL">Lists!$Y$4:INDEX(Lists!$Y$4:$Y$42,MAX(Lists!$X$4:$X$40)+2)</definedName>
    <definedName name="SUG_B_DEP_FINAL">Lists!$GG$4:INDEX(Lists!$GG$4:$GG$42,MAX(Lists!$GF$4:$GF$40)+2)</definedName>
    <definedName name="SUG_B_DEP_LIVE">Lists!$GL$4:INDEX(Lists!$GL$4:$GL$42,MAX(Lists!$GK$4:$GK$40)+2)</definedName>
    <definedName name="SUGN_B_DEP">Lists!$GQ$4:INDEX(Lists!$GQ$4:$GQ$42,MAX(Lists!$GP$4:$GP$40)+2)</definedName>
    <definedName name="SUG_D_DEP_FINAL">Lists!$GV$4:INDEX(Lists!$GV$4:$GV$42,MAX(Lists!$GU$4:$GU$40)+2)</definedName>
    <definedName name="SUGN_D_DEP">Lists!$HA$4:INDEX(Lists!$HA$4:$HA$42,MAX(Lists!$GZ$4:$GZ$40)+2)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7">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10" fillId="0" borderId="0" applyAlignment="1" pivotButton="0" quotePrefix="0" xfId="0">
      <alignment vertical="center"/>
    </xf>
    <xf numFmtId="0" fontId="12" fillId="6" borderId="19" applyAlignment="1" pivotButton="0" quotePrefix="0" xfId="0">
      <alignment vertical="center"/>
    </xf>
  </cellXfs>
  <cellStyles count="1">
    <cellStyle name="Normal" xfId="0" builtinId="0"/>
  </cellStyles>
  <dxfs count="54">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
      <fill>
        <patternFill patternType="solid">
          <fgColor rgb="FFFFD966"/>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J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hidden="1" width="13" customWidth="1" style="137" min="36" max="36"/>
  </cols>
  <sheetData>
    <row r="1" ht="15.75" customHeight="1" s="137">
      <c r="A1" s="165">
        <f>COUNTIF($AJ$4:$AJ$40,TRUE)&amp;" of 37"</f>
        <v/>
      </c>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166" t="n"/>
      <c r="B2" s="166" t="n"/>
      <c r="C2" s="166" t="n"/>
      <c r="D2" s="166" t="n"/>
      <c r="E2" s="166" t="n"/>
      <c r="F2" s="166" t="n"/>
      <c r="G2" s="166" t="n"/>
      <c r="H2" s="166" t="n"/>
      <c r="I2" s="166" t="n"/>
      <c r="J2" s="166" t="n"/>
      <c r="K2" s="166" t="n"/>
      <c r="L2" s="166" t="n"/>
      <c r="M2" s="166" t="n"/>
      <c r="N2" s="166" t="n"/>
      <c r="O2" s="166" t="n"/>
      <c r="P2" s="166" t="n"/>
      <c r="Q2" s="166" t="n"/>
      <c r="R2" s="166" t="n"/>
      <c r="S2" s="166" t="n"/>
      <c r="T2" s="166" t="n"/>
      <c r="U2" s="166" t="n"/>
      <c r="V2" s="166" t="n"/>
      <c r="W2" s="166" t="n"/>
      <c r="X2" s="166" t="n"/>
      <c r="Y2" s="166" t="n"/>
      <c r="Z2" s="166" t="n"/>
      <c r="AA2" s="166" t="n"/>
      <c r="AB2" s="166" t="n"/>
      <c r="AC2" s="166" t="n"/>
      <c r="AD2" s="166" t="n"/>
      <c r="AE2" s="166" t="n"/>
      <c r="AF2" s="166" t="n"/>
      <c r="AG2" s="166" t="n"/>
      <c r="AH2" s="166"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J4">
        <f>AND(IF($A$2="",TRUE,ISNUMBER(SEARCH($A$2,$A4))),IF($B$2="",TRUE,ISNUMBER(SEARCH($B$2,$B4))),IF($C$2="",TRUE,ISNUMBER(SEARCH($C$2,$C4))),IF($D$2="",TRUE,ISNUMBER(SEARCH($D$2,$D4))),IF($E$2="",TRUE,ISNUMBER(SEARCH($E$2,$E4))),IF($F$2="",TRUE,ISNUMBER(SEARCH($F$2,$F4))),IF($G$2="",TRUE,ISNUMBER(SEARCH($G$2,$G4))),IF($H$2="",TRUE,ISNUMBER(SEARCH($H$2,$H4))),IF($I$2="",TRUE,ISNUMBER(SEARCH($I$2,$I4))),IF($J$2="",TRUE,ISNUMBER(SEARCH($J$2,$J4))),IF($K$2="",TRUE,ISNUMBER(SEARCH($K$2,$K4))),IF($L$2="",TRUE,ISNUMBER(SEARCH($L$2,$L4))),IF($M$2="",TRUE,ISNUMBER(SEARCH($M$2,$M4))),IF($N$2="",TRUE,ISNUMBER(SEARCH($N$2,$N4))),IF($O$2="",TRUE,ISNUMBER(SEARCH($O$2,$O4))),IF($P$2="",TRUE,ISNUMBER(SEARCH($P$2,$P4))),IF($Q$2="",TRUE,ISNUMBER(SEARCH($Q$2,$Q4))),IF($R$2="",TRUE,ISNUMBER(SEARCH($R$2,$R4))),IF($S$2="",TRUE,ISNUMBER(SEARCH($S$2,$S4))),IF($T$2="",TRUE,ISNUMBER(SEARCH($T$2,$T4))),IF($U$2="",TRUE,ISNUMBER(SEARCH($U$2,$U4))),IF($V$2="",TRUE,ISNUMBER(SEARCH($V$2,$V4))),IF($W$2="",TRUE,ISNUMBER(SEARCH($W$2,$W4))),IF($X$2="",TRUE,ISNUMBER(SEARCH($X$2,$X4))),IF($Y$2="",TRUE,ISNUMBER(SEARCH($Y$2,$Y4))),IF($Z$2="",TRUE,ISNUMBER(SEARCH($Z$2,$Z4))),IF($AA$2="",TRUE,ISNUMBER(SEARCH($AA$2,$AA4))),IF($AB$2="",TRUE,ISNUMBER(SEARCH($AB$2,$AB4))),IF($AC$2="",TRUE,ISNUMBER(SEARCH($AC$2,$AC4))),IF($AD$2="",TRUE,ISNUMBER(SEARCH($AD$2,$AD4))),IF($AE$2="",TRUE,ISNUMBER(SEARCH($AE$2,$AE4))),IF($AF$2="",TRUE,ISNUMBER(SEARCH($AF$2,$AF4))),IF($AG$2="",TRUE,ISNUMBER(SEARCH($AG$2,$AG4))),IF($AH$2="",TRUE,ISNUMBER(SEARCH($AH$2,$AH4))))</f>
        <v/>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J5">
        <f>AND(IF($A$2="",TRUE,ISNUMBER(SEARCH($A$2,$A5))),IF($B$2="",TRUE,ISNUMBER(SEARCH($B$2,$B5))),IF($C$2="",TRUE,ISNUMBER(SEARCH($C$2,$C5))),IF($D$2="",TRUE,ISNUMBER(SEARCH($D$2,$D5))),IF($E$2="",TRUE,ISNUMBER(SEARCH($E$2,$E5))),IF($F$2="",TRUE,ISNUMBER(SEARCH($F$2,$F5))),IF($G$2="",TRUE,ISNUMBER(SEARCH($G$2,$G5))),IF($H$2="",TRUE,ISNUMBER(SEARCH($H$2,$H5))),IF($I$2="",TRUE,ISNUMBER(SEARCH($I$2,$I5))),IF($J$2="",TRUE,ISNUMBER(SEARCH($J$2,$J5))),IF($K$2="",TRUE,ISNUMBER(SEARCH($K$2,$K5))),IF($L$2="",TRUE,ISNUMBER(SEARCH($L$2,$L5))),IF($M$2="",TRUE,ISNUMBER(SEARCH($M$2,$M5))),IF($N$2="",TRUE,ISNUMBER(SEARCH($N$2,$N5))),IF($O$2="",TRUE,ISNUMBER(SEARCH($O$2,$O5))),IF($P$2="",TRUE,ISNUMBER(SEARCH($P$2,$P5))),IF($Q$2="",TRUE,ISNUMBER(SEARCH($Q$2,$Q5))),IF($R$2="",TRUE,ISNUMBER(SEARCH($R$2,$R5))),IF($S$2="",TRUE,ISNUMBER(SEARCH($S$2,$S5))),IF($T$2="",TRUE,ISNUMBER(SEARCH($T$2,$T5))),IF($U$2="",TRUE,ISNUMBER(SEARCH($U$2,$U5))),IF($V$2="",TRUE,ISNUMBER(SEARCH($V$2,$V5))),IF($W$2="",TRUE,ISNUMBER(SEARCH($W$2,$W5))),IF($X$2="",TRUE,ISNUMBER(SEARCH($X$2,$X5))),IF($Y$2="",TRUE,ISNUMBER(SEARCH($Y$2,$Y5))),IF($Z$2="",TRUE,ISNUMBER(SEARCH($Z$2,$Z5))),IF($AA$2="",TRUE,ISNUMBER(SEARCH($AA$2,$AA5))),IF($AB$2="",TRUE,ISNUMBER(SEARCH($AB$2,$AB5))),IF($AC$2="",TRUE,ISNUMBER(SEARCH($AC$2,$AC5))),IF($AD$2="",TRUE,ISNUMBER(SEARCH($AD$2,$AD5))),IF($AE$2="",TRUE,ISNUMBER(SEARCH($AE$2,$AE5))),IF($AF$2="",TRUE,ISNUMBER(SEARCH($AF$2,$AF5))),IF($AG$2="",TRUE,ISNUMBER(SEARCH($AG$2,$AG5))),IF($AH$2="",TRUE,ISNUMBER(SEARCH($AH$2,$AH5))))</f>
        <v/>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J6">
        <f>AND(IF($A$2="",TRUE,ISNUMBER(SEARCH($A$2,$A6))),IF($B$2="",TRUE,ISNUMBER(SEARCH($B$2,$B6))),IF($C$2="",TRUE,ISNUMBER(SEARCH($C$2,$C6))),IF($D$2="",TRUE,ISNUMBER(SEARCH($D$2,$D6))),IF($E$2="",TRUE,ISNUMBER(SEARCH($E$2,$E6))),IF($F$2="",TRUE,ISNUMBER(SEARCH($F$2,$F6))),IF($G$2="",TRUE,ISNUMBER(SEARCH($G$2,$G6))),IF($H$2="",TRUE,ISNUMBER(SEARCH($H$2,$H6))),IF($I$2="",TRUE,ISNUMBER(SEARCH($I$2,$I6))),IF($J$2="",TRUE,ISNUMBER(SEARCH($J$2,$J6))),IF($K$2="",TRUE,ISNUMBER(SEARCH($K$2,$K6))),IF($L$2="",TRUE,ISNUMBER(SEARCH($L$2,$L6))),IF($M$2="",TRUE,ISNUMBER(SEARCH($M$2,$M6))),IF($N$2="",TRUE,ISNUMBER(SEARCH($N$2,$N6))),IF($O$2="",TRUE,ISNUMBER(SEARCH($O$2,$O6))),IF($P$2="",TRUE,ISNUMBER(SEARCH($P$2,$P6))),IF($Q$2="",TRUE,ISNUMBER(SEARCH($Q$2,$Q6))),IF($R$2="",TRUE,ISNUMBER(SEARCH($R$2,$R6))),IF($S$2="",TRUE,ISNUMBER(SEARCH($S$2,$S6))),IF($T$2="",TRUE,ISNUMBER(SEARCH($T$2,$T6))),IF($U$2="",TRUE,ISNUMBER(SEARCH($U$2,$U6))),IF($V$2="",TRUE,ISNUMBER(SEARCH($V$2,$V6))),IF($W$2="",TRUE,ISNUMBER(SEARCH($W$2,$W6))),IF($X$2="",TRUE,ISNUMBER(SEARCH($X$2,$X6))),IF($Y$2="",TRUE,ISNUMBER(SEARCH($Y$2,$Y6))),IF($Z$2="",TRUE,ISNUMBER(SEARCH($Z$2,$Z6))),IF($AA$2="",TRUE,ISNUMBER(SEARCH($AA$2,$AA6))),IF($AB$2="",TRUE,ISNUMBER(SEARCH($AB$2,$AB6))),IF($AC$2="",TRUE,ISNUMBER(SEARCH($AC$2,$AC6))),IF($AD$2="",TRUE,ISNUMBER(SEARCH($AD$2,$AD6))),IF($AE$2="",TRUE,ISNUMBER(SEARCH($AE$2,$AE6))),IF($AF$2="",TRUE,ISNUMBER(SEARCH($AF$2,$AF6))),IF($AG$2="",TRUE,ISNUMBER(SEARCH($AG$2,$AG6))),IF($AH$2="",TRUE,ISNUMBER(SEARCH($AH$2,$AH6))))</f>
        <v/>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J7">
        <f>AND(IF($A$2="",TRUE,ISNUMBER(SEARCH($A$2,$A7))),IF($B$2="",TRUE,ISNUMBER(SEARCH($B$2,$B7))),IF($C$2="",TRUE,ISNUMBER(SEARCH($C$2,$C7))),IF($D$2="",TRUE,ISNUMBER(SEARCH($D$2,$D7))),IF($E$2="",TRUE,ISNUMBER(SEARCH($E$2,$E7))),IF($F$2="",TRUE,ISNUMBER(SEARCH($F$2,$F7))),IF($G$2="",TRUE,ISNUMBER(SEARCH($G$2,$G7))),IF($H$2="",TRUE,ISNUMBER(SEARCH($H$2,$H7))),IF($I$2="",TRUE,ISNUMBER(SEARCH($I$2,$I7))),IF($J$2="",TRUE,ISNUMBER(SEARCH($J$2,$J7))),IF($K$2="",TRUE,ISNUMBER(SEARCH($K$2,$K7))),IF($L$2="",TRUE,ISNUMBER(SEARCH($L$2,$L7))),IF($M$2="",TRUE,ISNUMBER(SEARCH($M$2,$M7))),IF($N$2="",TRUE,ISNUMBER(SEARCH($N$2,$N7))),IF($O$2="",TRUE,ISNUMBER(SEARCH($O$2,$O7))),IF($P$2="",TRUE,ISNUMBER(SEARCH($P$2,$P7))),IF($Q$2="",TRUE,ISNUMBER(SEARCH($Q$2,$Q7))),IF($R$2="",TRUE,ISNUMBER(SEARCH($R$2,$R7))),IF($S$2="",TRUE,ISNUMBER(SEARCH($S$2,$S7))),IF($T$2="",TRUE,ISNUMBER(SEARCH($T$2,$T7))),IF($U$2="",TRUE,ISNUMBER(SEARCH($U$2,$U7))),IF($V$2="",TRUE,ISNUMBER(SEARCH($V$2,$V7))),IF($W$2="",TRUE,ISNUMBER(SEARCH($W$2,$W7))),IF($X$2="",TRUE,ISNUMBER(SEARCH($X$2,$X7))),IF($Y$2="",TRUE,ISNUMBER(SEARCH($Y$2,$Y7))),IF($Z$2="",TRUE,ISNUMBER(SEARCH($Z$2,$Z7))),IF($AA$2="",TRUE,ISNUMBER(SEARCH($AA$2,$AA7))),IF($AB$2="",TRUE,ISNUMBER(SEARCH($AB$2,$AB7))),IF($AC$2="",TRUE,ISNUMBER(SEARCH($AC$2,$AC7))),IF($AD$2="",TRUE,ISNUMBER(SEARCH($AD$2,$AD7))),IF($AE$2="",TRUE,ISNUMBER(SEARCH($AE$2,$AE7))),IF($AF$2="",TRUE,ISNUMBER(SEARCH($AF$2,$AF7))),IF($AG$2="",TRUE,ISNUMBER(SEARCH($AG$2,$AG7))),IF($AH$2="",TRUE,ISNUMBER(SEARCH($AH$2,$AH7))))</f>
        <v/>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J8">
        <f>AND(IF($A$2="",TRUE,ISNUMBER(SEARCH($A$2,$A8))),IF($B$2="",TRUE,ISNUMBER(SEARCH($B$2,$B8))),IF($C$2="",TRUE,ISNUMBER(SEARCH($C$2,$C8))),IF($D$2="",TRUE,ISNUMBER(SEARCH($D$2,$D8))),IF($E$2="",TRUE,ISNUMBER(SEARCH($E$2,$E8))),IF($F$2="",TRUE,ISNUMBER(SEARCH($F$2,$F8))),IF($G$2="",TRUE,ISNUMBER(SEARCH($G$2,$G8))),IF($H$2="",TRUE,ISNUMBER(SEARCH($H$2,$H8))),IF($I$2="",TRUE,ISNUMBER(SEARCH($I$2,$I8))),IF($J$2="",TRUE,ISNUMBER(SEARCH($J$2,$J8))),IF($K$2="",TRUE,ISNUMBER(SEARCH($K$2,$K8))),IF($L$2="",TRUE,ISNUMBER(SEARCH($L$2,$L8))),IF($M$2="",TRUE,ISNUMBER(SEARCH($M$2,$M8))),IF($N$2="",TRUE,ISNUMBER(SEARCH($N$2,$N8))),IF($O$2="",TRUE,ISNUMBER(SEARCH($O$2,$O8))),IF($P$2="",TRUE,ISNUMBER(SEARCH($P$2,$P8))),IF($Q$2="",TRUE,ISNUMBER(SEARCH($Q$2,$Q8))),IF($R$2="",TRUE,ISNUMBER(SEARCH($R$2,$R8))),IF($S$2="",TRUE,ISNUMBER(SEARCH($S$2,$S8))),IF($T$2="",TRUE,ISNUMBER(SEARCH($T$2,$T8))),IF($U$2="",TRUE,ISNUMBER(SEARCH($U$2,$U8))),IF($V$2="",TRUE,ISNUMBER(SEARCH($V$2,$V8))),IF($W$2="",TRUE,ISNUMBER(SEARCH($W$2,$W8))),IF($X$2="",TRUE,ISNUMBER(SEARCH($X$2,$X8))),IF($Y$2="",TRUE,ISNUMBER(SEARCH($Y$2,$Y8))),IF($Z$2="",TRUE,ISNUMBER(SEARCH($Z$2,$Z8))),IF($AA$2="",TRUE,ISNUMBER(SEARCH($AA$2,$AA8))),IF($AB$2="",TRUE,ISNUMBER(SEARCH($AB$2,$AB8))),IF($AC$2="",TRUE,ISNUMBER(SEARCH($AC$2,$AC8))),IF($AD$2="",TRUE,ISNUMBER(SEARCH($AD$2,$AD8))),IF($AE$2="",TRUE,ISNUMBER(SEARCH($AE$2,$AE8))),IF($AF$2="",TRUE,ISNUMBER(SEARCH($AF$2,$AF8))),IF($AG$2="",TRUE,ISNUMBER(SEARCH($AG$2,$AG8))),IF($AH$2="",TRUE,ISNUMBER(SEARCH($AH$2,$AH8))))</f>
        <v/>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J9">
        <f>AND(IF($A$2="",TRUE,ISNUMBER(SEARCH($A$2,$A9))),IF($B$2="",TRUE,ISNUMBER(SEARCH($B$2,$B9))),IF($C$2="",TRUE,ISNUMBER(SEARCH($C$2,$C9))),IF($D$2="",TRUE,ISNUMBER(SEARCH($D$2,$D9))),IF($E$2="",TRUE,ISNUMBER(SEARCH($E$2,$E9))),IF($F$2="",TRUE,ISNUMBER(SEARCH($F$2,$F9))),IF($G$2="",TRUE,ISNUMBER(SEARCH($G$2,$G9))),IF($H$2="",TRUE,ISNUMBER(SEARCH($H$2,$H9))),IF($I$2="",TRUE,ISNUMBER(SEARCH($I$2,$I9))),IF($J$2="",TRUE,ISNUMBER(SEARCH($J$2,$J9))),IF($K$2="",TRUE,ISNUMBER(SEARCH($K$2,$K9))),IF($L$2="",TRUE,ISNUMBER(SEARCH($L$2,$L9))),IF($M$2="",TRUE,ISNUMBER(SEARCH($M$2,$M9))),IF($N$2="",TRUE,ISNUMBER(SEARCH($N$2,$N9))),IF($O$2="",TRUE,ISNUMBER(SEARCH($O$2,$O9))),IF($P$2="",TRUE,ISNUMBER(SEARCH($P$2,$P9))),IF($Q$2="",TRUE,ISNUMBER(SEARCH($Q$2,$Q9))),IF($R$2="",TRUE,ISNUMBER(SEARCH($R$2,$R9))),IF($S$2="",TRUE,ISNUMBER(SEARCH($S$2,$S9))),IF($T$2="",TRUE,ISNUMBER(SEARCH($T$2,$T9))),IF($U$2="",TRUE,ISNUMBER(SEARCH($U$2,$U9))),IF($V$2="",TRUE,ISNUMBER(SEARCH($V$2,$V9))),IF($W$2="",TRUE,ISNUMBER(SEARCH($W$2,$W9))),IF($X$2="",TRUE,ISNUMBER(SEARCH($X$2,$X9))),IF($Y$2="",TRUE,ISNUMBER(SEARCH($Y$2,$Y9))),IF($Z$2="",TRUE,ISNUMBER(SEARCH($Z$2,$Z9))),IF($AA$2="",TRUE,ISNUMBER(SEARCH($AA$2,$AA9))),IF($AB$2="",TRUE,ISNUMBER(SEARCH($AB$2,$AB9))),IF($AC$2="",TRUE,ISNUMBER(SEARCH($AC$2,$AC9))),IF($AD$2="",TRUE,ISNUMBER(SEARCH($AD$2,$AD9))),IF($AE$2="",TRUE,ISNUMBER(SEARCH($AE$2,$AE9))),IF($AF$2="",TRUE,ISNUMBER(SEARCH($AF$2,$AF9))),IF($AG$2="",TRUE,ISNUMBER(SEARCH($AG$2,$AG9))),IF($AH$2="",TRUE,ISNUMBER(SEARCH($AH$2,$AH9))))</f>
        <v/>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J10">
        <f>AND(IF($A$2="",TRUE,ISNUMBER(SEARCH($A$2,$A10))),IF($B$2="",TRUE,ISNUMBER(SEARCH($B$2,$B10))),IF($C$2="",TRUE,ISNUMBER(SEARCH($C$2,$C10))),IF($D$2="",TRUE,ISNUMBER(SEARCH($D$2,$D10))),IF($E$2="",TRUE,ISNUMBER(SEARCH($E$2,$E10))),IF($F$2="",TRUE,ISNUMBER(SEARCH($F$2,$F10))),IF($G$2="",TRUE,ISNUMBER(SEARCH($G$2,$G10))),IF($H$2="",TRUE,ISNUMBER(SEARCH($H$2,$H10))),IF($I$2="",TRUE,ISNUMBER(SEARCH($I$2,$I10))),IF($J$2="",TRUE,ISNUMBER(SEARCH($J$2,$J10))),IF($K$2="",TRUE,ISNUMBER(SEARCH($K$2,$K10))),IF($L$2="",TRUE,ISNUMBER(SEARCH($L$2,$L10))),IF($M$2="",TRUE,ISNUMBER(SEARCH($M$2,$M10))),IF($N$2="",TRUE,ISNUMBER(SEARCH($N$2,$N10))),IF($O$2="",TRUE,ISNUMBER(SEARCH($O$2,$O10))),IF($P$2="",TRUE,ISNUMBER(SEARCH($P$2,$P10))),IF($Q$2="",TRUE,ISNUMBER(SEARCH($Q$2,$Q10))),IF($R$2="",TRUE,ISNUMBER(SEARCH($R$2,$R10))),IF($S$2="",TRUE,ISNUMBER(SEARCH($S$2,$S10))),IF($T$2="",TRUE,ISNUMBER(SEARCH($T$2,$T10))),IF($U$2="",TRUE,ISNUMBER(SEARCH($U$2,$U10))),IF($V$2="",TRUE,ISNUMBER(SEARCH($V$2,$V10))),IF($W$2="",TRUE,ISNUMBER(SEARCH($W$2,$W10))),IF($X$2="",TRUE,ISNUMBER(SEARCH($X$2,$X10))),IF($Y$2="",TRUE,ISNUMBER(SEARCH($Y$2,$Y10))),IF($Z$2="",TRUE,ISNUMBER(SEARCH($Z$2,$Z10))),IF($AA$2="",TRUE,ISNUMBER(SEARCH($AA$2,$AA10))),IF($AB$2="",TRUE,ISNUMBER(SEARCH($AB$2,$AB10))),IF($AC$2="",TRUE,ISNUMBER(SEARCH($AC$2,$AC10))),IF($AD$2="",TRUE,ISNUMBER(SEARCH($AD$2,$AD10))),IF($AE$2="",TRUE,ISNUMBER(SEARCH($AE$2,$AE10))),IF($AF$2="",TRUE,ISNUMBER(SEARCH($AF$2,$AF10))),IF($AG$2="",TRUE,ISNUMBER(SEARCH($AG$2,$AG10))),IF($AH$2="",TRUE,ISNUMBER(SEARCH($AH$2,$AH10))))</f>
        <v/>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J11">
        <f>AND(IF($A$2="",TRUE,ISNUMBER(SEARCH($A$2,$A11))),IF($B$2="",TRUE,ISNUMBER(SEARCH($B$2,$B11))),IF($C$2="",TRUE,ISNUMBER(SEARCH($C$2,$C11))),IF($D$2="",TRUE,ISNUMBER(SEARCH($D$2,$D11))),IF($E$2="",TRUE,ISNUMBER(SEARCH($E$2,$E11))),IF($F$2="",TRUE,ISNUMBER(SEARCH($F$2,$F11))),IF($G$2="",TRUE,ISNUMBER(SEARCH($G$2,$G11))),IF($H$2="",TRUE,ISNUMBER(SEARCH($H$2,$H11))),IF($I$2="",TRUE,ISNUMBER(SEARCH($I$2,$I11))),IF($J$2="",TRUE,ISNUMBER(SEARCH($J$2,$J11))),IF($K$2="",TRUE,ISNUMBER(SEARCH($K$2,$K11))),IF($L$2="",TRUE,ISNUMBER(SEARCH($L$2,$L11))),IF($M$2="",TRUE,ISNUMBER(SEARCH($M$2,$M11))),IF($N$2="",TRUE,ISNUMBER(SEARCH($N$2,$N11))),IF($O$2="",TRUE,ISNUMBER(SEARCH($O$2,$O11))),IF($P$2="",TRUE,ISNUMBER(SEARCH($P$2,$P11))),IF($Q$2="",TRUE,ISNUMBER(SEARCH($Q$2,$Q11))),IF($R$2="",TRUE,ISNUMBER(SEARCH($R$2,$R11))),IF($S$2="",TRUE,ISNUMBER(SEARCH($S$2,$S11))),IF($T$2="",TRUE,ISNUMBER(SEARCH($T$2,$T11))),IF($U$2="",TRUE,ISNUMBER(SEARCH($U$2,$U11))),IF($V$2="",TRUE,ISNUMBER(SEARCH($V$2,$V11))),IF($W$2="",TRUE,ISNUMBER(SEARCH($W$2,$W11))),IF($X$2="",TRUE,ISNUMBER(SEARCH($X$2,$X11))),IF($Y$2="",TRUE,ISNUMBER(SEARCH($Y$2,$Y11))),IF($Z$2="",TRUE,ISNUMBER(SEARCH($Z$2,$Z11))),IF($AA$2="",TRUE,ISNUMBER(SEARCH($AA$2,$AA11))),IF($AB$2="",TRUE,ISNUMBER(SEARCH($AB$2,$AB11))),IF($AC$2="",TRUE,ISNUMBER(SEARCH($AC$2,$AC11))),IF($AD$2="",TRUE,ISNUMBER(SEARCH($AD$2,$AD11))),IF($AE$2="",TRUE,ISNUMBER(SEARCH($AE$2,$AE11))),IF($AF$2="",TRUE,ISNUMBER(SEARCH($AF$2,$AF11))),IF($AG$2="",TRUE,ISNUMBER(SEARCH($AG$2,$AG11))),IF($AH$2="",TRUE,ISNUMBER(SEARCH($AH$2,$AH11))))</f>
        <v/>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J12">
        <f>AND(IF($A$2="",TRUE,ISNUMBER(SEARCH($A$2,$A12))),IF($B$2="",TRUE,ISNUMBER(SEARCH($B$2,$B12))),IF($C$2="",TRUE,ISNUMBER(SEARCH($C$2,$C12))),IF($D$2="",TRUE,ISNUMBER(SEARCH($D$2,$D12))),IF($E$2="",TRUE,ISNUMBER(SEARCH($E$2,$E12))),IF($F$2="",TRUE,ISNUMBER(SEARCH($F$2,$F12))),IF($G$2="",TRUE,ISNUMBER(SEARCH($G$2,$G12))),IF($H$2="",TRUE,ISNUMBER(SEARCH($H$2,$H12))),IF($I$2="",TRUE,ISNUMBER(SEARCH($I$2,$I12))),IF($J$2="",TRUE,ISNUMBER(SEARCH($J$2,$J12))),IF($K$2="",TRUE,ISNUMBER(SEARCH($K$2,$K12))),IF($L$2="",TRUE,ISNUMBER(SEARCH($L$2,$L12))),IF($M$2="",TRUE,ISNUMBER(SEARCH($M$2,$M12))),IF($N$2="",TRUE,ISNUMBER(SEARCH($N$2,$N12))),IF($O$2="",TRUE,ISNUMBER(SEARCH($O$2,$O12))),IF($P$2="",TRUE,ISNUMBER(SEARCH($P$2,$P12))),IF($Q$2="",TRUE,ISNUMBER(SEARCH($Q$2,$Q12))),IF($R$2="",TRUE,ISNUMBER(SEARCH($R$2,$R12))),IF($S$2="",TRUE,ISNUMBER(SEARCH($S$2,$S12))),IF($T$2="",TRUE,ISNUMBER(SEARCH($T$2,$T12))),IF($U$2="",TRUE,ISNUMBER(SEARCH($U$2,$U12))),IF($V$2="",TRUE,ISNUMBER(SEARCH($V$2,$V12))),IF($W$2="",TRUE,ISNUMBER(SEARCH($W$2,$W12))),IF($X$2="",TRUE,ISNUMBER(SEARCH($X$2,$X12))),IF($Y$2="",TRUE,ISNUMBER(SEARCH($Y$2,$Y12))),IF($Z$2="",TRUE,ISNUMBER(SEARCH($Z$2,$Z12))),IF($AA$2="",TRUE,ISNUMBER(SEARCH($AA$2,$AA12))),IF($AB$2="",TRUE,ISNUMBER(SEARCH($AB$2,$AB12))),IF($AC$2="",TRUE,ISNUMBER(SEARCH($AC$2,$AC12))),IF($AD$2="",TRUE,ISNUMBER(SEARCH($AD$2,$AD12))),IF($AE$2="",TRUE,ISNUMBER(SEARCH($AE$2,$AE12))),IF($AF$2="",TRUE,ISNUMBER(SEARCH($AF$2,$AF12))),IF($AG$2="",TRUE,ISNUMBER(SEARCH($AG$2,$AG12))),IF($AH$2="",TRUE,ISNUMBER(SEARCH($AH$2,$AH12))))</f>
        <v/>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J13">
        <f>AND(IF($A$2="",TRUE,ISNUMBER(SEARCH($A$2,$A13))),IF($B$2="",TRUE,ISNUMBER(SEARCH($B$2,$B13))),IF($C$2="",TRUE,ISNUMBER(SEARCH($C$2,$C13))),IF($D$2="",TRUE,ISNUMBER(SEARCH($D$2,$D13))),IF($E$2="",TRUE,ISNUMBER(SEARCH($E$2,$E13))),IF($F$2="",TRUE,ISNUMBER(SEARCH($F$2,$F13))),IF($G$2="",TRUE,ISNUMBER(SEARCH($G$2,$G13))),IF($H$2="",TRUE,ISNUMBER(SEARCH($H$2,$H13))),IF($I$2="",TRUE,ISNUMBER(SEARCH($I$2,$I13))),IF($J$2="",TRUE,ISNUMBER(SEARCH($J$2,$J13))),IF($K$2="",TRUE,ISNUMBER(SEARCH($K$2,$K13))),IF($L$2="",TRUE,ISNUMBER(SEARCH($L$2,$L13))),IF($M$2="",TRUE,ISNUMBER(SEARCH($M$2,$M13))),IF($N$2="",TRUE,ISNUMBER(SEARCH($N$2,$N13))),IF($O$2="",TRUE,ISNUMBER(SEARCH($O$2,$O13))),IF($P$2="",TRUE,ISNUMBER(SEARCH($P$2,$P13))),IF($Q$2="",TRUE,ISNUMBER(SEARCH($Q$2,$Q13))),IF($R$2="",TRUE,ISNUMBER(SEARCH($R$2,$R13))),IF($S$2="",TRUE,ISNUMBER(SEARCH($S$2,$S13))),IF($T$2="",TRUE,ISNUMBER(SEARCH($T$2,$T13))),IF($U$2="",TRUE,ISNUMBER(SEARCH($U$2,$U13))),IF($V$2="",TRUE,ISNUMBER(SEARCH($V$2,$V13))),IF($W$2="",TRUE,ISNUMBER(SEARCH($W$2,$W13))),IF($X$2="",TRUE,ISNUMBER(SEARCH($X$2,$X13))),IF($Y$2="",TRUE,ISNUMBER(SEARCH($Y$2,$Y13))),IF($Z$2="",TRUE,ISNUMBER(SEARCH($Z$2,$Z13))),IF($AA$2="",TRUE,ISNUMBER(SEARCH($AA$2,$AA13))),IF($AB$2="",TRUE,ISNUMBER(SEARCH($AB$2,$AB13))),IF($AC$2="",TRUE,ISNUMBER(SEARCH($AC$2,$AC13))),IF($AD$2="",TRUE,ISNUMBER(SEARCH($AD$2,$AD13))),IF($AE$2="",TRUE,ISNUMBER(SEARCH($AE$2,$AE13))),IF($AF$2="",TRUE,ISNUMBER(SEARCH($AF$2,$AF13))),IF($AG$2="",TRUE,ISNUMBER(SEARCH($AG$2,$AG13))),IF($AH$2="",TRUE,ISNUMBER(SEARCH($AH$2,$AH13))))</f>
        <v/>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J14">
        <f>AND(IF($A$2="",TRUE,ISNUMBER(SEARCH($A$2,$A14))),IF($B$2="",TRUE,ISNUMBER(SEARCH($B$2,$B14))),IF($C$2="",TRUE,ISNUMBER(SEARCH($C$2,$C14))),IF($D$2="",TRUE,ISNUMBER(SEARCH($D$2,$D14))),IF($E$2="",TRUE,ISNUMBER(SEARCH($E$2,$E14))),IF($F$2="",TRUE,ISNUMBER(SEARCH($F$2,$F14))),IF($G$2="",TRUE,ISNUMBER(SEARCH($G$2,$G14))),IF($H$2="",TRUE,ISNUMBER(SEARCH($H$2,$H14))),IF($I$2="",TRUE,ISNUMBER(SEARCH($I$2,$I14))),IF($J$2="",TRUE,ISNUMBER(SEARCH($J$2,$J14))),IF($K$2="",TRUE,ISNUMBER(SEARCH($K$2,$K14))),IF($L$2="",TRUE,ISNUMBER(SEARCH($L$2,$L14))),IF($M$2="",TRUE,ISNUMBER(SEARCH($M$2,$M14))),IF($N$2="",TRUE,ISNUMBER(SEARCH($N$2,$N14))),IF($O$2="",TRUE,ISNUMBER(SEARCH($O$2,$O14))),IF($P$2="",TRUE,ISNUMBER(SEARCH($P$2,$P14))),IF($Q$2="",TRUE,ISNUMBER(SEARCH($Q$2,$Q14))),IF($R$2="",TRUE,ISNUMBER(SEARCH($R$2,$R14))),IF($S$2="",TRUE,ISNUMBER(SEARCH($S$2,$S14))),IF($T$2="",TRUE,ISNUMBER(SEARCH($T$2,$T14))),IF($U$2="",TRUE,ISNUMBER(SEARCH($U$2,$U14))),IF($V$2="",TRUE,ISNUMBER(SEARCH($V$2,$V14))),IF($W$2="",TRUE,ISNUMBER(SEARCH($W$2,$W14))),IF($X$2="",TRUE,ISNUMBER(SEARCH($X$2,$X14))),IF($Y$2="",TRUE,ISNUMBER(SEARCH($Y$2,$Y14))),IF($Z$2="",TRUE,ISNUMBER(SEARCH($Z$2,$Z14))),IF($AA$2="",TRUE,ISNUMBER(SEARCH($AA$2,$AA14))),IF($AB$2="",TRUE,ISNUMBER(SEARCH($AB$2,$AB14))),IF($AC$2="",TRUE,ISNUMBER(SEARCH($AC$2,$AC14))),IF($AD$2="",TRUE,ISNUMBER(SEARCH($AD$2,$AD14))),IF($AE$2="",TRUE,ISNUMBER(SEARCH($AE$2,$AE14))),IF($AF$2="",TRUE,ISNUMBER(SEARCH($AF$2,$AF14))),IF($AG$2="",TRUE,ISNUMBER(SEARCH($AG$2,$AG14))),IF($AH$2="",TRUE,ISNUMBER(SEARCH($AH$2,$AH14))))</f>
        <v/>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J15">
        <f>AND(IF($A$2="",TRUE,ISNUMBER(SEARCH($A$2,$A15))),IF($B$2="",TRUE,ISNUMBER(SEARCH($B$2,$B15))),IF($C$2="",TRUE,ISNUMBER(SEARCH($C$2,$C15))),IF($D$2="",TRUE,ISNUMBER(SEARCH($D$2,$D15))),IF($E$2="",TRUE,ISNUMBER(SEARCH($E$2,$E15))),IF($F$2="",TRUE,ISNUMBER(SEARCH($F$2,$F15))),IF($G$2="",TRUE,ISNUMBER(SEARCH($G$2,$G15))),IF($H$2="",TRUE,ISNUMBER(SEARCH($H$2,$H15))),IF($I$2="",TRUE,ISNUMBER(SEARCH($I$2,$I15))),IF($J$2="",TRUE,ISNUMBER(SEARCH($J$2,$J15))),IF($K$2="",TRUE,ISNUMBER(SEARCH($K$2,$K15))),IF($L$2="",TRUE,ISNUMBER(SEARCH($L$2,$L15))),IF($M$2="",TRUE,ISNUMBER(SEARCH($M$2,$M15))),IF($N$2="",TRUE,ISNUMBER(SEARCH($N$2,$N15))),IF($O$2="",TRUE,ISNUMBER(SEARCH($O$2,$O15))),IF($P$2="",TRUE,ISNUMBER(SEARCH($P$2,$P15))),IF($Q$2="",TRUE,ISNUMBER(SEARCH($Q$2,$Q15))),IF($R$2="",TRUE,ISNUMBER(SEARCH($R$2,$R15))),IF($S$2="",TRUE,ISNUMBER(SEARCH($S$2,$S15))),IF($T$2="",TRUE,ISNUMBER(SEARCH($T$2,$T15))),IF($U$2="",TRUE,ISNUMBER(SEARCH($U$2,$U15))),IF($V$2="",TRUE,ISNUMBER(SEARCH($V$2,$V15))),IF($W$2="",TRUE,ISNUMBER(SEARCH($W$2,$W15))),IF($X$2="",TRUE,ISNUMBER(SEARCH($X$2,$X15))),IF($Y$2="",TRUE,ISNUMBER(SEARCH($Y$2,$Y15))),IF($Z$2="",TRUE,ISNUMBER(SEARCH($Z$2,$Z15))),IF($AA$2="",TRUE,ISNUMBER(SEARCH($AA$2,$AA15))),IF($AB$2="",TRUE,ISNUMBER(SEARCH($AB$2,$AB15))),IF($AC$2="",TRUE,ISNUMBER(SEARCH($AC$2,$AC15))),IF($AD$2="",TRUE,ISNUMBER(SEARCH($AD$2,$AD15))),IF($AE$2="",TRUE,ISNUMBER(SEARCH($AE$2,$AE15))),IF($AF$2="",TRUE,ISNUMBER(SEARCH($AF$2,$AF15))),IF($AG$2="",TRUE,ISNUMBER(SEARCH($AG$2,$AG15))),IF($AH$2="",TRUE,ISNUMBER(SEARCH($AH$2,$AH15))))</f>
        <v/>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J16">
        <f>AND(IF($A$2="",TRUE,ISNUMBER(SEARCH($A$2,$A16))),IF($B$2="",TRUE,ISNUMBER(SEARCH($B$2,$B16))),IF($C$2="",TRUE,ISNUMBER(SEARCH($C$2,$C16))),IF($D$2="",TRUE,ISNUMBER(SEARCH($D$2,$D16))),IF($E$2="",TRUE,ISNUMBER(SEARCH($E$2,$E16))),IF($F$2="",TRUE,ISNUMBER(SEARCH($F$2,$F16))),IF($G$2="",TRUE,ISNUMBER(SEARCH($G$2,$G16))),IF($H$2="",TRUE,ISNUMBER(SEARCH($H$2,$H16))),IF($I$2="",TRUE,ISNUMBER(SEARCH($I$2,$I16))),IF($J$2="",TRUE,ISNUMBER(SEARCH($J$2,$J16))),IF($K$2="",TRUE,ISNUMBER(SEARCH($K$2,$K16))),IF($L$2="",TRUE,ISNUMBER(SEARCH($L$2,$L16))),IF($M$2="",TRUE,ISNUMBER(SEARCH($M$2,$M16))),IF($N$2="",TRUE,ISNUMBER(SEARCH($N$2,$N16))),IF($O$2="",TRUE,ISNUMBER(SEARCH($O$2,$O16))),IF($P$2="",TRUE,ISNUMBER(SEARCH($P$2,$P16))),IF($Q$2="",TRUE,ISNUMBER(SEARCH($Q$2,$Q16))),IF($R$2="",TRUE,ISNUMBER(SEARCH($R$2,$R16))),IF($S$2="",TRUE,ISNUMBER(SEARCH($S$2,$S16))),IF($T$2="",TRUE,ISNUMBER(SEARCH($T$2,$T16))),IF($U$2="",TRUE,ISNUMBER(SEARCH($U$2,$U16))),IF($V$2="",TRUE,ISNUMBER(SEARCH($V$2,$V16))),IF($W$2="",TRUE,ISNUMBER(SEARCH($W$2,$W16))),IF($X$2="",TRUE,ISNUMBER(SEARCH($X$2,$X16))),IF($Y$2="",TRUE,ISNUMBER(SEARCH($Y$2,$Y16))),IF($Z$2="",TRUE,ISNUMBER(SEARCH($Z$2,$Z16))),IF($AA$2="",TRUE,ISNUMBER(SEARCH($AA$2,$AA16))),IF($AB$2="",TRUE,ISNUMBER(SEARCH($AB$2,$AB16))),IF($AC$2="",TRUE,ISNUMBER(SEARCH($AC$2,$AC16))),IF($AD$2="",TRUE,ISNUMBER(SEARCH($AD$2,$AD16))),IF($AE$2="",TRUE,ISNUMBER(SEARCH($AE$2,$AE16))),IF($AF$2="",TRUE,ISNUMBER(SEARCH($AF$2,$AF16))),IF($AG$2="",TRUE,ISNUMBER(SEARCH($AG$2,$AG16))),IF($AH$2="",TRUE,ISNUMBER(SEARCH($AH$2,$AH16))))</f>
        <v/>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J17">
        <f>AND(IF($A$2="",TRUE,ISNUMBER(SEARCH($A$2,$A17))),IF($B$2="",TRUE,ISNUMBER(SEARCH($B$2,$B17))),IF($C$2="",TRUE,ISNUMBER(SEARCH($C$2,$C17))),IF($D$2="",TRUE,ISNUMBER(SEARCH($D$2,$D17))),IF($E$2="",TRUE,ISNUMBER(SEARCH($E$2,$E17))),IF($F$2="",TRUE,ISNUMBER(SEARCH($F$2,$F17))),IF($G$2="",TRUE,ISNUMBER(SEARCH($G$2,$G17))),IF($H$2="",TRUE,ISNUMBER(SEARCH($H$2,$H17))),IF($I$2="",TRUE,ISNUMBER(SEARCH($I$2,$I17))),IF($J$2="",TRUE,ISNUMBER(SEARCH($J$2,$J17))),IF($K$2="",TRUE,ISNUMBER(SEARCH($K$2,$K17))),IF($L$2="",TRUE,ISNUMBER(SEARCH($L$2,$L17))),IF($M$2="",TRUE,ISNUMBER(SEARCH($M$2,$M17))),IF($N$2="",TRUE,ISNUMBER(SEARCH($N$2,$N17))),IF($O$2="",TRUE,ISNUMBER(SEARCH($O$2,$O17))),IF($P$2="",TRUE,ISNUMBER(SEARCH($P$2,$P17))),IF($Q$2="",TRUE,ISNUMBER(SEARCH($Q$2,$Q17))),IF($R$2="",TRUE,ISNUMBER(SEARCH($R$2,$R17))),IF($S$2="",TRUE,ISNUMBER(SEARCH($S$2,$S17))),IF($T$2="",TRUE,ISNUMBER(SEARCH($T$2,$T17))),IF($U$2="",TRUE,ISNUMBER(SEARCH($U$2,$U17))),IF($V$2="",TRUE,ISNUMBER(SEARCH($V$2,$V17))),IF($W$2="",TRUE,ISNUMBER(SEARCH($W$2,$W17))),IF($X$2="",TRUE,ISNUMBER(SEARCH($X$2,$X17))),IF($Y$2="",TRUE,ISNUMBER(SEARCH($Y$2,$Y17))),IF($Z$2="",TRUE,ISNUMBER(SEARCH($Z$2,$Z17))),IF($AA$2="",TRUE,ISNUMBER(SEARCH($AA$2,$AA17))),IF($AB$2="",TRUE,ISNUMBER(SEARCH($AB$2,$AB17))),IF($AC$2="",TRUE,ISNUMBER(SEARCH($AC$2,$AC17))),IF($AD$2="",TRUE,ISNUMBER(SEARCH($AD$2,$AD17))),IF($AE$2="",TRUE,ISNUMBER(SEARCH($AE$2,$AE17))),IF($AF$2="",TRUE,ISNUMBER(SEARCH($AF$2,$AF17))),IF($AG$2="",TRUE,ISNUMBER(SEARCH($AG$2,$AG17))),IF($AH$2="",TRUE,ISNUMBER(SEARCH($AH$2,$AH17))))</f>
        <v/>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J18">
        <f>AND(IF($A$2="",TRUE,ISNUMBER(SEARCH($A$2,$A18))),IF($B$2="",TRUE,ISNUMBER(SEARCH($B$2,$B18))),IF($C$2="",TRUE,ISNUMBER(SEARCH($C$2,$C18))),IF($D$2="",TRUE,ISNUMBER(SEARCH($D$2,$D18))),IF($E$2="",TRUE,ISNUMBER(SEARCH($E$2,$E18))),IF($F$2="",TRUE,ISNUMBER(SEARCH($F$2,$F18))),IF($G$2="",TRUE,ISNUMBER(SEARCH($G$2,$G18))),IF($H$2="",TRUE,ISNUMBER(SEARCH($H$2,$H18))),IF($I$2="",TRUE,ISNUMBER(SEARCH($I$2,$I18))),IF($J$2="",TRUE,ISNUMBER(SEARCH($J$2,$J18))),IF($K$2="",TRUE,ISNUMBER(SEARCH($K$2,$K18))),IF($L$2="",TRUE,ISNUMBER(SEARCH($L$2,$L18))),IF($M$2="",TRUE,ISNUMBER(SEARCH($M$2,$M18))),IF($N$2="",TRUE,ISNUMBER(SEARCH($N$2,$N18))),IF($O$2="",TRUE,ISNUMBER(SEARCH($O$2,$O18))),IF($P$2="",TRUE,ISNUMBER(SEARCH($P$2,$P18))),IF($Q$2="",TRUE,ISNUMBER(SEARCH($Q$2,$Q18))),IF($R$2="",TRUE,ISNUMBER(SEARCH($R$2,$R18))),IF($S$2="",TRUE,ISNUMBER(SEARCH($S$2,$S18))),IF($T$2="",TRUE,ISNUMBER(SEARCH($T$2,$T18))),IF($U$2="",TRUE,ISNUMBER(SEARCH($U$2,$U18))),IF($V$2="",TRUE,ISNUMBER(SEARCH($V$2,$V18))),IF($W$2="",TRUE,ISNUMBER(SEARCH($W$2,$W18))),IF($X$2="",TRUE,ISNUMBER(SEARCH($X$2,$X18))),IF($Y$2="",TRUE,ISNUMBER(SEARCH($Y$2,$Y18))),IF($Z$2="",TRUE,ISNUMBER(SEARCH($Z$2,$Z18))),IF($AA$2="",TRUE,ISNUMBER(SEARCH($AA$2,$AA18))),IF($AB$2="",TRUE,ISNUMBER(SEARCH($AB$2,$AB18))),IF($AC$2="",TRUE,ISNUMBER(SEARCH($AC$2,$AC18))),IF($AD$2="",TRUE,ISNUMBER(SEARCH($AD$2,$AD18))),IF($AE$2="",TRUE,ISNUMBER(SEARCH($AE$2,$AE18))),IF($AF$2="",TRUE,ISNUMBER(SEARCH($AF$2,$AF18))),IF($AG$2="",TRUE,ISNUMBER(SEARCH($AG$2,$AG18))),IF($AH$2="",TRUE,ISNUMBER(SEARCH($AH$2,$AH18))))</f>
        <v/>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J19">
        <f>AND(IF($A$2="",TRUE,ISNUMBER(SEARCH($A$2,$A19))),IF($B$2="",TRUE,ISNUMBER(SEARCH($B$2,$B19))),IF($C$2="",TRUE,ISNUMBER(SEARCH($C$2,$C19))),IF($D$2="",TRUE,ISNUMBER(SEARCH($D$2,$D19))),IF($E$2="",TRUE,ISNUMBER(SEARCH($E$2,$E19))),IF($F$2="",TRUE,ISNUMBER(SEARCH($F$2,$F19))),IF($G$2="",TRUE,ISNUMBER(SEARCH($G$2,$G19))),IF($H$2="",TRUE,ISNUMBER(SEARCH($H$2,$H19))),IF($I$2="",TRUE,ISNUMBER(SEARCH($I$2,$I19))),IF($J$2="",TRUE,ISNUMBER(SEARCH($J$2,$J19))),IF($K$2="",TRUE,ISNUMBER(SEARCH($K$2,$K19))),IF($L$2="",TRUE,ISNUMBER(SEARCH($L$2,$L19))),IF($M$2="",TRUE,ISNUMBER(SEARCH($M$2,$M19))),IF($N$2="",TRUE,ISNUMBER(SEARCH($N$2,$N19))),IF($O$2="",TRUE,ISNUMBER(SEARCH($O$2,$O19))),IF($P$2="",TRUE,ISNUMBER(SEARCH($P$2,$P19))),IF($Q$2="",TRUE,ISNUMBER(SEARCH($Q$2,$Q19))),IF($R$2="",TRUE,ISNUMBER(SEARCH($R$2,$R19))),IF($S$2="",TRUE,ISNUMBER(SEARCH($S$2,$S19))),IF($T$2="",TRUE,ISNUMBER(SEARCH($T$2,$T19))),IF($U$2="",TRUE,ISNUMBER(SEARCH($U$2,$U19))),IF($V$2="",TRUE,ISNUMBER(SEARCH($V$2,$V19))),IF($W$2="",TRUE,ISNUMBER(SEARCH($W$2,$W19))),IF($X$2="",TRUE,ISNUMBER(SEARCH($X$2,$X19))),IF($Y$2="",TRUE,ISNUMBER(SEARCH($Y$2,$Y19))),IF($Z$2="",TRUE,ISNUMBER(SEARCH($Z$2,$Z19))),IF($AA$2="",TRUE,ISNUMBER(SEARCH($AA$2,$AA19))),IF($AB$2="",TRUE,ISNUMBER(SEARCH($AB$2,$AB19))),IF($AC$2="",TRUE,ISNUMBER(SEARCH($AC$2,$AC19))),IF($AD$2="",TRUE,ISNUMBER(SEARCH($AD$2,$AD19))),IF($AE$2="",TRUE,ISNUMBER(SEARCH($AE$2,$AE19))),IF($AF$2="",TRUE,ISNUMBER(SEARCH($AF$2,$AF19))),IF($AG$2="",TRUE,ISNUMBER(SEARCH($AG$2,$AG19))),IF($AH$2="",TRUE,ISNUMBER(SEARCH($AH$2,$AH19))))</f>
        <v/>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J20">
        <f>AND(IF($A$2="",TRUE,ISNUMBER(SEARCH($A$2,$A20))),IF($B$2="",TRUE,ISNUMBER(SEARCH($B$2,$B20))),IF($C$2="",TRUE,ISNUMBER(SEARCH($C$2,$C20))),IF($D$2="",TRUE,ISNUMBER(SEARCH($D$2,$D20))),IF($E$2="",TRUE,ISNUMBER(SEARCH($E$2,$E20))),IF($F$2="",TRUE,ISNUMBER(SEARCH($F$2,$F20))),IF($G$2="",TRUE,ISNUMBER(SEARCH($G$2,$G20))),IF($H$2="",TRUE,ISNUMBER(SEARCH($H$2,$H20))),IF($I$2="",TRUE,ISNUMBER(SEARCH($I$2,$I20))),IF($J$2="",TRUE,ISNUMBER(SEARCH($J$2,$J20))),IF($K$2="",TRUE,ISNUMBER(SEARCH($K$2,$K20))),IF($L$2="",TRUE,ISNUMBER(SEARCH($L$2,$L20))),IF($M$2="",TRUE,ISNUMBER(SEARCH($M$2,$M20))),IF($N$2="",TRUE,ISNUMBER(SEARCH($N$2,$N20))),IF($O$2="",TRUE,ISNUMBER(SEARCH($O$2,$O20))),IF($P$2="",TRUE,ISNUMBER(SEARCH($P$2,$P20))),IF($Q$2="",TRUE,ISNUMBER(SEARCH($Q$2,$Q20))),IF($R$2="",TRUE,ISNUMBER(SEARCH($R$2,$R20))),IF($S$2="",TRUE,ISNUMBER(SEARCH($S$2,$S20))),IF($T$2="",TRUE,ISNUMBER(SEARCH($T$2,$T20))),IF($U$2="",TRUE,ISNUMBER(SEARCH($U$2,$U20))),IF($V$2="",TRUE,ISNUMBER(SEARCH($V$2,$V20))),IF($W$2="",TRUE,ISNUMBER(SEARCH($W$2,$W20))),IF($X$2="",TRUE,ISNUMBER(SEARCH($X$2,$X20))),IF($Y$2="",TRUE,ISNUMBER(SEARCH($Y$2,$Y20))),IF($Z$2="",TRUE,ISNUMBER(SEARCH($Z$2,$Z20))),IF($AA$2="",TRUE,ISNUMBER(SEARCH($AA$2,$AA20))),IF($AB$2="",TRUE,ISNUMBER(SEARCH($AB$2,$AB20))),IF($AC$2="",TRUE,ISNUMBER(SEARCH($AC$2,$AC20))),IF($AD$2="",TRUE,ISNUMBER(SEARCH($AD$2,$AD20))),IF($AE$2="",TRUE,ISNUMBER(SEARCH($AE$2,$AE20))),IF($AF$2="",TRUE,ISNUMBER(SEARCH($AF$2,$AF20))),IF($AG$2="",TRUE,ISNUMBER(SEARCH($AG$2,$AG20))),IF($AH$2="",TRUE,ISNUMBER(SEARCH($AH$2,$AH20))))</f>
        <v/>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J21">
        <f>AND(IF($A$2="",TRUE,ISNUMBER(SEARCH($A$2,$A21))),IF($B$2="",TRUE,ISNUMBER(SEARCH($B$2,$B21))),IF($C$2="",TRUE,ISNUMBER(SEARCH($C$2,$C21))),IF($D$2="",TRUE,ISNUMBER(SEARCH($D$2,$D21))),IF($E$2="",TRUE,ISNUMBER(SEARCH($E$2,$E21))),IF($F$2="",TRUE,ISNUMBER(SEARCH($F$2,$F21))),IF($G$2="",TRUE,ISNUMBER(SEARCH($G$2,$G21))),IF($H$2="",TRUE,ISNUMBER(SEARCH($H$2,$H21))),IF($I$2="",TRUE,ISNUMBER(SEARCH($I$2,$I21))),IF($J$2="",TRUE,ISNUMBER(SEARCH($J$2,$J21))),IF($K$2="",TRUE,ISNUMBER(SEARCH($K$2,$K21))),IF($L$2="",TRUE,ISNUMBER(SEARCH($L$2,$L21))),IF($M$2="",TRUE,ISNUMBER(SEARCH($M$2,$M21))),IF($N$2="",TRUE,ISNUMBER(SEARCH($N$2,$N21))),IF($O$2="",TRUE,ISNUMBER(SEARCH($O$2,$O21))),IF($P$2="",TRUE,ISNUMBER(SEARCH($P$2,$P21))),IF($Q$2="",TRUE,ISNUMBER(SEARCH($Q$2,$Q21))),IF($R$2="",TRUE,ISNUMBER(SEARCH($R$2,$R21))),IF($S$2="",TRUE,ISNUMBER(SEARCH($S$2,$S21))),IF($T$2="",TRUE,ISNUMBER(SEARCH($T$2,$T21))),IF($U$2="",TRUE,ISNUMBER(SEARCH($U$2,$U21))),IF($V$2="",TRUE,ISNUMBER(SEARCH($V$2,$V21))),IF($W$2="",TRUE,ISNUMBER(SEARCH($W$2,$W21))),IF($X$2="",TRUE,ISNUMBER(SEARCH($X$2,$X21))),IF($Y$2="",TRUE,ISNUMBER(SEARCH($Y$2,$Y21))),IF($Z$2="",TRUE,ISNUMBER(SEARCH($Z$2,$Z21))),IF($AA$2="",TRUE,ISNUMBER(SEARCH($AA$2,$AA21))),IF($AB$2="",TRUE,ISNUMBER(SEARCH($AB$2,$AB21))),IF($AC$2="",TRUE,ISNUMBER(SEARCH($AC$2,$AC21))),IF($AD$2="",TRUE,ISNUMBER(SEARCH($AD$2,$AD21))),IF($AE$2="",TRUE,ISNUMBER(SEARCH($AE$2,$AE21))),IF($AF$2="",TRUE,ISNUMBER(SEARCH($AF$2,$AF21))),IF($AG$2="",TRUE,ISNUMBER(SEARCH($AG$2,$AG21))),IF($AH$2="",TRUE,ISNUMBER(SEARCH($AH$2,$AH21))))</f>
        <v/>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J22">
        <f>AND(IF($A$2="",TRUE,ISNUMBER(SEARCH($A$2,$A22))),IF($B$2="",TRUE,ISNUMBER(SEARCH($B$2,$B22))),IF($C$2="",TRUE,ISNUMBER(SEARCH($C$2,$C22))),IF($D$2="",TRUE,ISNUMBER(SEARCH($D$2,$D22))),IF($E$2="",TRUE,ISNUMBER(SEARCH($E$2,$E22))),IF($F$2="",TRUE,ISNUMBER(SEARCH($F$2,$F22))),IF($G$2="",TRUE,ISNUMBER(SEARCH($G$2,$G22))),IF($H$2="",TRUE,ISNUMBER(SEARCH($H$2,$H22))),IF($I$2="",TRUE,ISNUMBER(SEARCH($I$2,$I22))),IF($J$2="",TRUE,ISNUMBER(SEARCH($J$2,$J22))),IF($K$2="",TRUE,ISNUMBER(SEARCH($K$2,$K22))),IF($L$2="",TRUE,ISNUMBER(SEARCH($L$2,$L22))),IF($M$2="",TRUE,ISNUMBER(SEARCH($M$2,$M22))),IF($N$2="",TRUE,ISNUMBER(SEARCH($N$2,$N22))),IF($O$2="",TRUE,ISNUMBER(SEARCH($O$2,$O22))),IF($P$2="",TRUE,ISNUMBER(SEARCH($P$2,$P22))),IF($Q$2="",TRUE,ISNUMBER(SEARCH($Q$2,$Q22))),IF($R$2="",TRUE,ISNUMBER(SEARCH($R$2,$R22))),IF($S$2="",TRUE,ISNUMBER(SEARCH($S$2,$S22))),IF($T$2="",TRUE,ISNUMBER(SEARCH($T$2,$T22))),IF($U$2="",TRUE,ISNUMBER(SEARCH($U$2,$U22))),IF($V$2="",TRUE,ISNUMBER(SEARCH($V$2,$V22))),IF($W$2="",TRUE,ISNUMBER(SEARCH($W$2,$W22))),IF($X$2="",TRUE,ISNUMBER(SEARCH($X$2,$X22))),IF($Y$2="",TRUE,ISNUMBER(SEARCH($Y$2,$Y22))),IF($Z$2="",TRUE,ISNUMBER(SEARCH($Z$2,$Z22))),IF($AA$2="",TRUE,ISNUMBER(SEARCH($AA$2,$AA22))),IF($AB$2="",TRUE,ISNUMBER(SEARCH($AB$2,$AB22))),IF($AC$2="",TRUE,ISNUMBER(SEARCH($AC$2,$AC22))),IF($AD$2="",TRUE,ISNUMBER(SEARCH($AD$2,$AD22))),IF($AE$2="",TRUE,ISNUMBER(SEARCH($AE$2,$AE22))),IF($AF$2="",TRUE,ISNUMBER(SEARCH($AF$2,$AF22))),IF($AG$2="",TRUE,ISNUMBER(SEARCH($AG$2,$AG22))),IF($AH$2="",TRUE,ISNUMBER(SEARCH($AH$2,$AH22))))</f>
        <v/>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J23">
        <f>AND(IF($A$2="",TRUE,ISNUMBER(SEARCH($A$2,$A23))),IF($B$2="",TRUE,ISNUMBER(SEARCH($B$2,$B23))),IF($C$2="",TRUE,ISNUMBER(SEARCH($C$2,$C23))),IF($D$2="",TRUE,ISNUMBER(SEARCH($D$2,$D23))),IF($E$2="",TRUE,ISNUMBER(SEARCH($E$2,$E23))),IF($F$2="",TRUE,ISNUMBER(SEARCH($F$2,$F23))),IF($G$2="",TRUE,ISNUMBER(SEARCH($G$2,$G23))),IF($H$2="",TRUE,ISNUMBER(SEARCH($H$2,$H23))),IF($I$2="",TRUE,ISNUMBER(SEARCH($I$2,$I23))),IF($J$2="",TRUE,ISNUMBER(SEARCH($J$2,$J23))),IF($K$2="",TRUE,ISNUMBER(SEARCH($K$2,$K23))),IF($L$2="",TRUE,ISNUMBER(SEARCH($L$2,$L23))),IF($M$2="",TRUE,ISNUMBER(SEARCH($M$2,$M23))),IF($N$2="",TRUE,ISNUMBER(SEARCH($N$2,$N23))),IF($O$2="",TRUE,ISNUMBER(SEARCH($O$2,$O23))),IF($P$2="",TRUE,ISNUMBER(SEARCH($P$2,$P23))),IF($Q$2="",TRUE,ISNUMBER(SEARCH($Q$2,$Q23))),IF($R$2="",TRUE,ISNUMBER(SEARCH($R$2,$R23))),IF($S$2="",TRUE,ISNUMBER(SEARCH($S$2,$S23))),IF($T$2="",TRUE,ISNUMBER(SEARCH($T$2,$T23))),IF($U$2="",TRUE,ISNUMBER(SEARCH($U$2,$U23))),IF($V$2="",TRUE,ISNUMBER(SEARCH($V$2,$V23))),IF($W$2="",TRUE,ISNUMBER(SEARCH($W$2,$W23))),IF($X$2="",TRUE,ISNUMBER(SEARCH($X$2,$X23))),IF($Y$2="",TRUE,ISNUMBER(SEARCH($Y$2,$Y23))),IF($Z$2="",TRUE,ISNUMBER(SEARCH($Z$2,$Z23))),IF($AA$2="",TRUE,ISNUMBER(SEARCH($AA$2,$AA23))),IF($AB$2="",TRUE,ISNUMBER(SEARCH($AB$2,$AB23))),IF($AC$2="",TRUE,ISNUMBER(SEARCH($AC$2,$AC23))),IF($AD$2="",TRUE,ISNUMBER(SEARCH($AD$2,$AD23))),IF($AE$2="",TRUE,ISNUMBER(SEARCH($AE$2,$AE23))),IF($AF$2="",TRUE,ISNUMBER(SEARCH($AF$2,$AF23))),IF($AG$2="",TRUE,ISNUMBER(SEARCH($AG$2,$AG23))),IF($AH$2="",TRUE,ISNUMBER(SEARCH($AH$2,$AH23))))</f>
        <v/>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J24">
        <f>AND(IF($A$2="",TRUE,ISNUMBER(SEARCH($A$2,$A24))),IF($B$2="",TRUE,ISNUMBER(SEARCH($B$2,$B24))),IF($C$2="",TRUE,ISNUMBER(SEARCH($C$2,$C24))),IF($D$2="",TRUE,ISNUMBER(SEARCH($D$2,$D24))),IF($E$2="",TRUE,ISNUMBER(SEARCH($E$2,$E24))),IF($F$2="",TRUE,ISNUMBER(SEARCH($F$2,$F24))),IF($G$2="",TRUE,ISNUMBER(SEARCH($G$2,$G24))),IF($H$2="",TRUE,ISNUMBER(SEARCH($H$2,$H24))),IF($I$2="",TRUE,ISNUMBER(SEARCH($I$2,$I24))),IF($J$2="",TRUE,ISNUMBER(SEARCH($J$2,$J24))),IF($K$2="",TRUE,ISNUMBER(SEARCH($K$2,$K24))),IF($L$2="",TRUE,ISNUMBER(SEARCH($L$2,$L24))),IF($M$2="",TRUE,ISNUMBER(SEARCH($M$2,$M24))),IF($N$2="",TRUE,ISNUMBER(SEARCH($N$2,$N24))),IF($O$2="",TRUE,ISNUMBER(SEARCH($O$2,$O24))),IF($P$2="",TRUE,ISNUMBER(SEARCH($P$2,$P24))),IF($Q$2="",TRUE,ISNUMBER(SEARCH($Q$2,$Q24))),IF($R$2="",TRUE,ISNUMBER(SEARCH($R$2,$R24))),IF($S$2="",TRUE,ISNUMBER(SEARCH($S$2,$S24))),IF($T$2="",TRUE,ISNUMBER(SEARCH($T$2,$T24))),IF($U$2="",TRUE,ISNUMBER(SEARCH($U$2,$U24))),IF($V$2="",TRUE,ISNUMBER(SEARCH($V$2,$V24))),IF($W$2="",TRUE,ISNUMBER(SEARCH($W$2,$W24))),IF($X$2="",TRUE,ISNUMBER(SEARCH($X$2,$X24))),IF($Y$2="",TRUE,ISNUMBER(SEARCH($Y$2,$Y24))),IF($Z$2="",TRUE,ISNUMBER(SEARCH($Z$2,$Z24))),IF($AA$2="",TRUE,ISNUMBER(SEARCH($AA$2,$AA24))),IF($AB$2="",TRUE,ISNUMBER(SEARCH($AB$2,$AB24))),IF($AC$2="",TRUE,ISNUMBER(SEARCH($AC$2,$AC24))),IF($AD$2="",TRUE,ISNUMBER(SEARCH($AD$2,$AD24))),IF($AE$2="",TRUE,ISNUMBER(SEARCH($AE$2,$AE24))),IF($AF$2="",TRUE,ISNUMBER(SEARCH($AF$2,$AF24))),IF($AG$2="",TRUE,ISNUMBER(SEARCH($AG$2,$AG24))),IF($AH$2="",TRUE,ISNUMBER(SEARCH($AH$2,$AH24))))</f>
        <v/>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J25">
        <f>AND(IF($A$2="",TRUE,ISNUMBER(SEARCH($A$2,$A25))),IF($B$2="",TRUE,ISNUMBER(SEARCH($B$2,$B25))),IF($C$2="",TRUE,ISNUMBER(SEARCH($C$2,$C25))),IF($D$2="",TRUE,ISNUMBER(SEARCH($D$2,$D25))),IF($E$2="",TRUE,ISNUMBER(SEARCH($E$2,$E25))),IF($F$2="",TRUE,ISNUMBER(SEARCH($F$2,$F25))),IF($G$2="",TRUE,ISNUMBER(SEARCH($G$2,$G25))),IF($H$2="",TRUE,ISNUMBER(SEARCH($H$2,$H25))),IF($I$2="",TRUE,ISNUMBER(SEARCH($I$2,$I25))),IF($J$2="",TRUE,ISNUMBER(SEARCH($J$2,$J25))),IF($K$2="",TRUE,ISNUMBER(SEARCH($K$2,$K25))),IF($L$2="",TRUE,ISNUMBER(SEARCH($L$2,$L25))),IF($M$2="",TRUE,ISNUMBER(SEARCH($M$2,$M25))),IF($N$2="",TRUE,ISNUMBER(SEARCH($N$2,$N25))),IF($O$2="",TRUE,ISNUMBER(SEARCH($O$2,$O25))),IF($P$2="",TRUE,ISNUMBER(SEARCH($P$2,$P25))),IF($Q$2="",TRUE,ISNUMBER(SEARCH($Q$2,$Q25))),IF($R$2="",TRUE,ISNUMBER(SEARCH($R$2,$R25))),IF($S$2="",TRUE,ISNUMBER(SEARCH($S$2,$S25))),IF($T$2="",TRUE,ISNUMBER(SEARCH($T$2,$T25))),IF($U$2="",TRUE,ISNUMBER(SEARCH($U$2,$U25))),IF($V$2="",TRUE,ISNUMBER(SEARCH($V$2,$V25))),IF($W$2="",TRUE,ISNUMBER(SEARCH($W$2,$W25))),IF($X$2="",TRUE,ISNUMBER(SEARCH($X$2,$X25))),IF($Y$2="",TRUE,ISNUMBER(SEARCH($Y$2,$Y25))),IF($Z$2="",TRUE,ISNUMBER(SEARCH($Z$2,$Z25))),IF($AA$2="",TRUE,ISNUMBER(SEARCH($AA$2,$AA25))),IF($AB$2="",TRUE,ISNUMBER(SEARCH($AB$2,$AB25))),IF($AC$2="",TRUE,ISNUMBER(SEARCH($AC$2,$AC25))),IF($AD$2="",TRUE,ISNUMBER(SEARCH($AD$2,$AD25))),IF($AE$2="",TRUE,ISNUMBER(SEARCH($AE$2,$AE25))),IF($AF$2="",TRUE,ISNUMBER(SEARCH($AF$2,$AF25))),IF($AG$2="",TRUE,ISNUMBER(SEARCH($AG$2,$AG25))),IF($AH$2="",TRUE,ISNUMBER(SEARCH($AH$2,$AH25))))</f>
        <v/>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J26">
        <f>AND(IF($A$2="",TRUE,ISNUMBER(SEARCH($A$2,$A26))),IF($B$2="",TRUE,ISNUMBER(SEARCH($B$2,$B26))),IF($C$2="",TRUE,ISNUMBER(SEARCH($C$2,$C26))),IF($D$2="",TRUE,ISNUMBER(SEARCH($D$2,$D26))),IF($E$2="",TRUE,ISNUMBER(SEARCH($E$2,$E26))),IF($F$2="",TRUE,ISNUMBER(SEARCH($F$2,$F26))),IF($G$2="",TRUE,ISNUMBER(SEARCH($G$2,$G26))),IF($H$2="",TRUE,ISNUMBER(SEARCH($H$2,$H26))),IF($I$2="",TRUE,ISNUMBER(SEARCH($I$2,$I26))),IF($J$2="",TRUE,ISNUMBER(SEARCH($J$2,$J26))),IF($K$2="",TRUE,ISNUMBER(SEARCH($K$2,$K26))),IF($L$2="",TRUE,ISNUMBER(SEARCH($L$2,$L26))),IF($M$2="",TRUE,ISNUMBER(SEARCH($M$2,$M26))),IF($N$2="",TRUE,ISNUMBER(SEARCH($N$2,$N26))),IF($O$2="",TRUE,ISNUMBER(SEARCH($O$2,$O26))),IF($P$2="",TRUE,ISNUMBER(SEARCH($P$2,$P26))),IF($Q$2="",TRUE,ISNUMBER(SEARCH($Q$2,$Q26))),IF($R$2="",TRUE,ISNUMBER(SEARCH($R$2,$R26))),IF($S$2="",TRUE,ISNUMBER(SEARCH($S$2,$S26))),IF($T$2="",TRUE,ISNUMBER(SEARCH($T$2,$T26))),IF($U$2="",TRUE,ISNUMBER(SEARCH($U$2,$U26))),IF($V$2="",TRUE,ISNUMBER(SEARCH($V$2,$V26))),IF($W$2="",TRUE,ISNUMBER(SEARCH($W$2,$W26))),IF($X$2="",TRUE,ISNUMBER(SEARCH($X$2,$X26))),IF($Y$2="",TRUE,ISNUMBER(SEARCH($Y$2,$Y26))),IF($Z$2="",TRUE,ISNUMBER(SEARCH($Z$2,$Z26))),IF($AA$2="",TRUE,ISNUMBER(SEARCH($AA$2,$AA26))),IF($AB$2="",TRUE,ISNUMBER(SEARCH($AB$2,$AB26))),IF($AC$2="",TRUE,ISNUMBER(SEARCH($AC$2,$AC26))),IF($AD$2="",TRUE,ISNUMBER(SEARCH($AD$2,$AD26))),IF($AE$2="",TRUE,ISNUMBER(SEARCH($AE$2,$AE26))),IF($AF$2="",TRUE,ISNUMBER(SEARCH($AF$2,$AF26))),IF($AG$2="",TRUE,ISNUMBER(SEARCH($AG$2,$AG26))),IF($AH$2="",TRUE,ISNUMBER(SEARCH($AH$2,$AH26))))</f>
        <v/>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
      </c>
      <c r="AD27" s="157">
        <f>S27-AC27</f>
        <v/>
      </c>
      <c r="AE27" s="153">
        <f>IF(AD27="","",IF(AD27&lt;=5,"SETTLED","OUTSTANDING"))</f>
        <v/>
      </c>
      <c r="AF27" s="153" t="n"/>
      <c r="AG27" s="158" t="n"/>
      <c r="AH27" s="159" t="n"/>
      <c r="AJ27">
        <f>AND(IF($A$2="",TRUE,ISNUMBER(SEARCH($A$2,$A27))),IF($B$2="",TRUE,ISNUMBER(SEARCH($B$2,$B27))),IF($C$2="",TRUE,ISNUMBER(SEARCH($C$2,$C27))),IF($D$2="",TRUE,ISNUMBER(SEARCH($D$2,$D27))),IF($E$2="",TRUE,ISNUMBER(SEARCH($E$2,$E27))),IF($F$2="",TRUE,ISNUMBER(SEARCH($F$2,$F27))),IF($G$2="",TRUE,ISNUMBER(SEARCH($G$2,$G27))),IF($H$2="",TRUE,ISNUMBER(SEARCH($H$2,$H27))),IF($I$2="",TRUE,ISNUMBER(SEARCH($I$2,$I27))),IF($J$2="",TRUE,ISNUMBER(SEARCH($J$2,$J27))),IF($K$2="",TRUE,ISNUMBER(SEARCH($K$2,$K27))),IF($L$2="",TRUE,ISNUMBER(SEARCH($L$2,$L27))),IF($M$2="",TRUE,ISNUMBER(SEARCH($M$2,$M27))),IF($N$2="",TRUE,ISNUMBER(SEARCH($N$2,$N27))),IF($O$2="",TRUE,ISNUMBER(SEARCH($O$2,$O27))),IF($P$2="",TRUE,ISNUMBER(SEARCH($P$2,$P27))),IF($Q$2="",TRUE,ISNUMBER(SEARCH($Q$2,$Q27))),IF($R$2="",TRUE,ISNUMBER(SEARCH($R$2,$R27))),IF($S$2="",TRUE,ISNUMBER(SEARCH($S$2,$S27))),IF($T$2="",TRUE,ISNUMBER(SEARCH($T$2,$T27))),IF($U$2="",TRUE,ISNUMBER(SEARCH($U$2,$U27))),IF($V$2="",TRUE,ISNUMBER(SEARCH($V$2,$V27))),IF($W$2="",TRUE,ISNUMBER(SEARCH($W$2,$W27))),IF($X$2="",TRUE,ISNUMBER(SEARCH($X$2,$X27))),IF($Y$2="",TRUE,ISNUMBER(SEARCH($Y$2,$Y27))),IF($Z$2="",TRUE,ISNUMBER(SEARCH($Z$2,$Z27))),IF($AA$2="",TRUE,ISNUMBER(SEARCH($AA$2,$AA27))),IF($AB$2="",TRUE,ISNUMBER(SEARCH($AB$2,$AB27))),IF($AC$2="",TRUE,ISNUMBER(SEARCH($AC$2,$AC27))),IF($AD$2="",TRUE,ISNUMBER(SEARCH($AD$2,$AD27))),IF($AE$2="",TRUE,ISNUMBER(SEARCH($AE$2,$AE27))),IF($AF$2="",TRUE,ISNUMBER(SEARCH($AF$2,$AF27))),IF($AG$2="",TRUE,ISNUMBER(SEARCH($AG$2,$AG27))),IF($AH$2="",TRUE,ISNUMBER(SEARCH($AH$2,$AH27))))</f>
        <v/>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J28">
        <f>AND(IF($A$2="",TRUE,ISNUMBER(SEARCH($A$2,$A28))),IF($B$2="",TRUE,ISNUMBER(SEARCH($B$2,$B28))),IF($C$2="",TRUE,ISNUMBER(SEARCH($C$2,$C28))),IF($D$2="",TRUE,ISNUMBER(SEARCH($D$2,$D28))),IF($E$2="",TRUE,ISNUMBER(SEARCH($E$2,$E28))),IF($F$2="",TRUE,ISNUMBER(SEARCH($F$2,$F28))),IF($G$2="",TRUE,ISNUMBER(SEARCH($G$2,$G28))),IF($H$2="",TRUE,ISNUMBER(SEARCH($H$2,$H28))),IF($I$2="",TRUE,ISNUMBER(SEARCH($I$2,$I28))),IF($J$2="",TRUE,ISNUMBER(SEARCH($J$2,$J28))),IF($K$2="",TRUE,ISNUMBER(SEARCH($K$2,$K28))),IF($L$2="",TRUE,ISNUMBER(SEARCH($L$2,$L28))),IF($M$2="",TRUE,ISNUMBER(SEARCH($M$2,$M28))),IF($N$2="",TRUE,ISNUMBER(SEARCH($N$2,$N28))),IF($O$2="",TRUE,ISNUMBER(SEARCH($O$2,$O28))),IF($P$2="",TRUE,ISNUMBER(SEARCH($P$2,$P28))),IF($Q$2="",TRUE,ISNUMBER(SEARCH($Q$2,$Q28))),IF($R$2="",TRUE,ISNUMBER(SEARCH($R$2,$R28))),IF($S$2="",TRUE,ISNUMBER(SEARCH($S$2,$S28))),IF($T$2="",TRUE,ISNUMBER(SEARCH($T$2,$T28))),IF($U$2="",TRUE,ISNUMBER(SEARCH($U$2,$U28))),IF($V$2="",TRUE,ISNUMBER(SEARCH($V$2,$V28))),IF($W$2="",TRUE,ISNUMBER(SEARCH($W$2,$W28))),IF($X$2="",TRUE,ISNUMBER(SEARCH($X$2,$X28))),IF($Y$2="",TRUE,ISNUMBER(SEARCH($Y$2,$Y28))),IF($Z$2="",TRUE,ISNUMBER(SEARCH($Z$2,$Z28))),IF($AA$2="",TRUE,ISNUMBER(SEARCH($AA$2,$AA28))),IF($AB$2="",TRUE,ISNUMBER(SEARCH($AB$2,$AB28))),IF($AC$2="",TRUE,ISNUMBER(SEARCH($AC$2,$AC28))),IF($AD$2="",TRUE,ISNUMBER(SEARCH($AD$2,$AD28))),IF($AE$2="",TRUE,ISNUMBER(SEARCH($AE$2,$AE28))),IF($AF$2="",TRUE,ISNUMBER(SEARCH($AF$2,$AF28))),IF($AG$2="",TRUE,ISNUMBER(SEARCH($AG$2,$AG28))),IF($AH$2="",TRUE,ISNUMBER(SEARCH($AH$2,$AH28))))</f>
        <v/>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
      </c>
      <c r="AD29" s="157">
        <f>S29-AC29</f>
        <v/>
      </c>
      <c r="AE29" s="153">
        <f>IF(AD29="","",IF(AD29&lt;=5,"SETTLED","OUTSTANDING"))</f>
        <v/>
      </c>
      <c r="AF29" s="153" t="n"/>
      <c r="AG29" s="158" t="n"/>
      <c r="AH29" s="159" t="n"/>
      <c r="AJ29">
        <f>AND(IF($A$2="",TRUE,ISNUMBER(SEARCH($A$2,$A29))),IF($B$2="",TRUE,ISNUMBER(SEARCH($B$2,$B29))),IF($C$2="",TRUE,ISNUMBER(SEARCH($C$2,$C29))),IF($D$2="",TRUE,ISNUMBER(SEARCH($D$2,$D29))),IF($E$2="",TRUE,ISNUMBER(SEARCH($E$2,$E29))),IF($F$2="",TRUE,ISNUMBER(SEARCH($F$2,$F29))),IF($G$2="",TRUE,ISNUMBER(SEARCH($G$2,$G29))),IF($H$2="",TRUE,ISNUMBER(SEARCH($H$2,$H29))),IF($I$2="",TRUE,ISNUMBER(SEARCH($I$2,$I29))),IF($J$2="",TRUE,ISNUMBER(SEARCH($J$2,$J29))),IF($K$2="",TRUE,ISNUMBER(SEARCH($K$2,$K29))),IF($L$2="",TRUE,ISNUMBER(SEARCH($L$2,$L29))),IF($M$2="",TRUE,ISNUMBER(SEARCH($M$2,$M29))),IF($N$2="",TRUE,ISNUMBER(SEARCH($N$2,$N29))),IF($O$2="",TRUE,ISNUMBER(SEARCH($O$2,$O29))),IF($P$2="",TRUE,ISNUMBER(SEARCH($P$2,$P29))),IF($Q$2="",TRUE,ISNUMBER(SEARCH($Q$2,$Q29))),IF($R$2="",TRUE,ISNUMBER(SEARCH($R$2,$R29))),IF($S$2="",TRUE,ISNUMBER(SEARCH($S$2,$S29))),IF($T$2="",TRUE,ISNUMBER(SEARCH($T$2,$T29))),IF($U$2="",TRUE,ISNUMBER(SEARCH($U$2,$U29))),IF($V$2="",TRUE,ISNUMBER(SEARCH($V$2,$V29))),IF($W$2="",TRUE,ISNUMBER(SEARCH($W$2,$W29))),IF($X$2="",TRUE,ISNUMBER(SEARCH($X$2,$X29))),IF($Y$2="",TRUE,ISNUMBER(SEARCH($Y$2,$Y29))),IF($Z$2="",TRUE,ISNUMBER(SEARCH($Z$2,$Z29))),IF($AA$2="",TRUE,ISNUMBER(SEARCH($AA$2,$AA29))),IF($AB$2="",TRUE,ISNUMBER(SEARCH($AB$2,$AB29))),IF($AC$2="",TRUE,ISNUMBER(SEARCH($AC$2,$AC29))),IF($AD$2="",TRUE,ISNUMBER(SEARCH($AD$2,$AD29))),IF($AE$2="",TRUE,ISNUMBER(SEARCH($AE$2,$AE29))),IF($AF$2="",TRUE,ISNUMBER(SEARCH($AF$2,$AF29))),IF($AG$2="",TRUE,ISNUMBER(SEARCH($AG$2,$AG29))),IF($AH$2="",TRUE,ISNUMBER(SEARCH($AH$2,$AH29))))</f>
        <v/>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J30">
        <f>AND(IF($A$2="",TRUE,ISNUMBER(SEARCH($A$2,$A30))),IF($B$2="",TRUE,ISNUMBER(SEARCH($B$2,$B30))),IF($C$2="",TRUE,ISNUMBER(SEARCH($C$2,$C30))),IF($D$2="",TRUE,ISNUMBER(SEARCH($D$2,$D30))),IF($E$2="",TRUE,ISNUMBER(SEARCH($E$2,$E30))),IF($F$2="",TRUE,ISNUMBER(SEARCH($F$2,$F30))),IF($G$2="",TRUE,ISNUMBER(SEARCH($G$2,$G30))),IF($H$2="",TRUE,ISNUMBER(SEARCH($H$2,$H30))),IF($I$2="",TRUE,ISNUMBER(SEARCH($I$2,$I30))),IF($J$2="",TRUE,ISNUMBER(SEARCH($J$2,$J30))),IF($K$2="",TRUE,ISNUMBER(SEARCH($K$2,$K30))),IF($L$2="",TRUE,ISNUMBER(SEARCH($L$2,$L30))),IF($M$2="",TRUE,ISNUMBER(SEARCH($M$2,$M30))),IF($N$2="",TRUE,ISNUMBER(SEARCH($N$2,$N30))),IF($O$2="",TRUE,ISNUMBER(SEARCH($O$2,$O30))),IF($P$2="",TRUE,ISNUMBER(SEARCH($P$2,$P30))),IF($Q$2="",TRUE,ISNUMBER(SEARCH($Q$2,$Q30))),IF($R$2="",TRUE,ISNUMBER(SEARCH($R$2,$R30))),IF($S$2="",TRUE,ISNUMBER(SEARCH($S$2,$S30))),IF($T$2="",TRUE,ISNUMBER(SEARCH($T$2,$T30))),IF($U$2="",TRUE,ISNUMBER(SEARCH($U$2,$U30))),IF($V$2="",TRUE,ISNUMBER(SEARCH($V$2,$V30))),IF($W$2="",TRUE,ISNUMBER(SEARCH($W$2,$W30))),IF($X$2="",TRUE,ISNUMBER(SEARCH($X$2,$X30))),IF($Y$2="",TRUE,ISNUMBER(SEARCH($Y$2,$Y30))),IF($Z$2="",TRUE,ISNUMBER(SEARCH($Z$2,$Z30))),IF($AA$2="",TRUE,ISNUMBER(SEARCH($AA$2,$AA30))),IF($AB$2="",TRUE,ISNUMBER(SEARCH($AB$2,$AB30))),IF($AC$2="",TRUE,ISNUMBER(SEARCH($AC$2,$AC30))),IF($AD$2="",TRUE,ISNUMBER(SEARCH($AD$2,$AD30))),IF($AE$2="",TRUE,ISNUMBER(SEARCH($AE$2,$AE30))),IF($AF$2="",TRUE,ISNUMBER(SEARCH($AF$2,$AF30))),IF($AG$2="",TRUE,ISNUMBER(SEARCH($AG$2,$AG30))),IF($AH$2="",TRUE,ISNUMBER(SEARCH($AH$2,$AH30))))</f>
        <v/>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J31">
        <f>AND(IF($A$2="",TRUE,ISNUMBER(SEARCH($A$2,$A31))),IF($B$2="",TRUE,ISNUMBER(SEARCH($B$2,$B31))),IF($C$2="",TRUE,ISNUMBER(SEARCH($C$2,$C31))),IF($D$2="",TRUE,ISNUMBER(SEARCH($D$2,$D31))),IF($E$2="",TRUE,ISNUMBER(SEARCH($E$2,$E31))),IF($F$2="",TRUE,ISNUMBER(SEARCH($F$2,$F31))),IF($G$2="",TRUE,ISNUMBER(SEARCH($G$2,$G31))),IF($H$2="",TRUE,ISNUMBER(SEARCH($H$2,$H31))),IF($I$2="",TRUE,ISNUMBER(SEARCH($I$2,$I31))),IF($J$2="",TRUE,ISNUMBER(SEARCH($J$2,$J31))),IF($K$2="",TRUE,ISNUMBER(SEARCH($K$2,$K31))),IF($L$2="",TRUE,ISNUMBER(SEARCH($L$2,$L31))),IF($M$2="",TRUE,ISNUMBER(SEARCH($M$2,$M31))),IF($N$2="",TRUE,ISNUMBER(SEARCH($N$2,$N31))),IF($O$2="",TRUE,ISNUMBER(SEARCH($O$2,$O31))),IF($P$2="",TRUE,ISNUMBER(SEARCH($P$2,$P31))),IF($Q$2="",TRUE,ISNUMBER(SEARCH($Q$2,$Q31))),IF($R$2="",TRUE,ISNUMBER(SEARCH($R$2,$R31))),IF($S$2="",TRUE,ISNUMBER(SEARCH($S$2,$S31))),IF($T$2="",TRUE,ISNUMBER(SEARCH($T$2,$T31))),IF($U$2="",TRUE,ISNUMBER(SEARCH($U$2,$U31))),IF($V$2="",TRUE,ISNUMBER(SEARCH($V$2,$V31))),IF($W$2="",TRUE,ISNUMBER(SEARCH($W$2,$W31))),IF($X$2="",TRUE,ISNUMBER(SEARCH($X$2,$X31))),IF($Y$2="",TRUE,ISNUMBER(SEARCH($Y$2,$Y31))),IF($Z$2="",TRUE,ISNUMBER(SEARCH($Z$2,$Z31))),IF($AA$2="",TRUE,ISNUMBER(SEARCH($AA$2,$AA31))),IF($AB$2="",TRUE,ISNUMBER(SEARCH($AB$2,$AB31))),IF($AC$2="",TRUE,ISNUMBER(SEARCH($AC$2,$AC31))),IF($AD$2="",TRUE,ISNUMBER(SEARCH($AD$2,$AD31))),IF($AE$2="",TRUE,ISNUMBER(SEARCH($AE$2,$AE31))),IF($AF$2="",TRUE,ISNUMBER(SEARCH($AF$2,$AF31))),IF($AG$2="",TRUE,ISNUMBER(SEARCH($AG$2,$AG31))),IF($AH$2="",TRUE,ISNUMBER(SEARCH($AH$2,$AH31))))</f>
        <v/>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J32">
        <f>AND(IF($A$2="",TRUE,ISNUMBER(SEARCH($A$2,$A32))),IF($B$2="",TRUE,ISNUMBER(SEARCH($B$2,$B32))),IF($C$2="",TRUE,ISNUMBER(SEARCH($C$2,$C32))),IF($D$2="",TRUE,ISNUMBER(SEARCH($D$2,$D32))),IF($E$2="",TRUE,ISNUMBER(SEARCH($E$2,$E32))),IF($F$2="",TRUE,ISNUMBER(SEARCH($F$2,$F32))),IF($G$2="",TRUE,ISNUMBER(SEARCH($G$2,$G32))),IF($H$2="",TRUE,ISNUMBER(SEARCH($H$2,$H32))),IF($I$2="",TRUE,ISNUMBER(SEARCH($I$2,$I32))),IF($J$2="",TRUE,ISNUMBER(SEARCH($J$2,$J32))),IF($K$2="",TRUE,ISNUMBER(SEARCH($K$2,$K32))),IF($L$2="",TRUE,ISNUMBER(SEARCH($L$2,$L32))),IF($M$2="",TRUE,ISNUMBER(SEARCH($M$2,$M32))),IF($N$2="",TRUE,ISNUMBER(SEARCH($N$2,$N32))),IF($O$2="",TRUE,ISNUMBER(SEARCH($O$2,$O32))),IF($P$2="",TRUE,ISNUMBER(SEARCH($P$2,$P32))),IF($Q$2="",TRUE,ISNUMBER(SEARCH($Q$2,$Q32))),IF($R$2="",TRUE,ISNUMBER(SEARCH($R$2,$R32))),IF($S$2="",TRUE,ISNUMBER(SEARCH($S$2,$S32))),IF($T$2="",TRUE,ISNUMBER(SEARCH($T$2,$T32))),IF($U$2="",TRUE,ISNUMBER(SEARCH($U$2,$U32))),IF($V$2="",TRUE,ISNUMBER(SEARCH($V$2,$V32))),IF($W$2="",TRUE,ISNUMBER(SEARCH($W$2,$W32))),IF($X$2="",TRUE,ISNUMBER(SEARCH($X$2,$X32))),IF($Y$2="",TRUE,ISNUMBER(SEARCH($Y$2,$Y32))),IF($Z$2="",TRUE,ISNUMBER(SEARCH($Z$2,$Z32))),IF($AA$2="",TRUE,ISNUMBER(SEARCH($AA$2,$AA32))),IF($AB$2="",TRUE,ISNUMBER(SEARCH($AB$2,$AB32))),IF($AC$2="",TRUE,ISNUMBER(SEARCH($AC$2,$AC32))),IF($AD$2="",TRUE,ISNUMBER(SEARCH($AD$2,$AD32))),IF($AE$2="",TRUE,ISNUMBER(SEARCH($AE$2,$AE32))),IF($AF$2="",TRUE,ISNUMBER(SEARCH($AF$2,$AF32))),IF($AG$2="",TRUE,ISNUMBER(SEARCH($AG$2,$AG32))),IF($AH$2="",TRUE,ISNUMBER(SEARCH($AH$2,$AH32))))</f>
        <v/>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J33">
        <f>AND(IF($A$2="",TRUE,ISNUMBER(SEARCH($A$2,$A33))),IF($B$2="",TRUE,ISNUMBER(SEARCH($B$2,$B33))),IF($C$2="",TRUE,ISNUMBER(SEARCH($C$2,$C33))),IF($D$2="",TRUE,ISNUMBER(SEARCH($D$2,$D33))),IF($E$2="",TRUE,ISNUMBER(SEARCH($E$2,$E33))),IF($F$2="",TRUE,ISNUMBER(SEARCH($F$2,$F33))),IF($G$2="",TRUE,ISNUMBER(SEARCH($G$2,$G33))),IF($H$2="",TRUE,ISNUMBER(SEARCH($H$2,$H33))),IF($I$2="",TRUE,ISNUMBER(SEARCH($I$2,$I33))),IF($J$2="",TRUE,ISNUMBER(SEARCH($J$2,$J33))),IF($K$2="",TRUE,ISNUMBER(SEARCH($K$2,$K33))),IF($L$2="",TRUE,ISNUMBER(SEARCH($L$2,$L33))),IF($M$2="",TRUE,ISNUMBER(SEARCH($M$2,$M33))),IF($N$2="",TRUE,ISNUMBER(SEARCH($N$2,$N33))),IF($O$2="",TRUE,ISNUMBER(SEARCH($O$2,$O33))),IF($P$2="",TRUE,ISNUMBER(SEARCH($P$2,$P33))),IF($Q$2="",TRUE,ISNUMBER(SEARCH($Q$2,$Q33))),IF($R$2="",TRUE,ISNUMBER(SEARCH($R$2,$R33))),IF($S$2="",TRUE,ISNUMBER(SEARCH($S$2,$S33))),IF($T$2="",TRUE,ISNUMBER(SEARCH($T$2,$T33))),IF($U$2="",TRUE,ISNUMBER(SEARCH($U$2,$U33))),IF($V$2="",TRUE,ISNUMBER(SEARCH($V$2,$V33))),IF($W$2="",TRUE,ISNUMBER(SEARCH($W$2,$W33))),IF($X$2="",TRUE,ISNUMBER(SEARCH($X$2,$X33))),IF($Y$2="",TRUE,ISNUMBER(SEARCH($Y$2,$Y33))),IF($Z$2="",TRUE,ISNUMBER(SEARCH($Z$2,$Z33))),IF($AA$2="",TRUE,ISNUMBER(SEARCH($AA$2,$AA33))),IF($AB$2="",TRUE,ISNUMBER(SEARCH($AB$2,$AB33))),IF($AC$2="",TRUE,ISNUMBER(SEARCH($AC$2,$AC33))),IF($AD$2="",TRUE,ISNUMBER(SEARCH($AD$2,$AD33))),IF($AE$2="",TRUE,ISNUMBER(SEARCH($AE$2,$AE33))),IF($AF$2="",TRUE,ISNUMBER(SEARCH($AF$2,$AF33))),IF($AG$2="",TRUE,ISNUMBER(SEARCH($AG$2,$AG33))),IF($AH$2="",TRUE,ISNUMBER(SEARCH($AH$2,$AH33))))</f>
        <v/>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J34">
        <f>AND(IF($A$2="",TRUE,ISNUMBER(SEARCH($A$2,$A34))),IF($B$2="",TRUE,ISNUMBER(SEARCH($B$2,$B34))),IF($C$2="",TRUE,ISNUMBER(SEARCH($C$2,$C34))),IF($D$2="",TRUE,ISNUMBER(SEARCH($D$2,$D34))),IF($E$2="",TRUE,ISNUMBER(SEARCH($E$2,$E34))),IF($F$2="",TRUE,ISNUMBER(SEARCH($F$2,$F34))),IF($G$2="",TRUE,ISNUMBER(SEARCH($G$2,$G34))),IF($H$2="",TRUE,ISNUMBER(SEARCH($H$2,$H34))),IF($I$2="",TRUE,ISNUMBER(SEARCH($I$2,$I34))),IF($J$2="",TRUE,ISNUMBER(SEARCH($J$2,$J34))),IF($K$2="",TRUE,ISNUMBER(SEARCH($K$2,$K34))),IF($L$2="",TRUE,ISNUMBER(SEARCH($L$2,$L34))),IF($M$2="",TRUE,ISNUMBER(SEARCH($M$2,$M34))),IF($N$2="",TRUE,ISNUMBER(SEARCH($N$2,$N34))),IF($O$2="",TRUE,ISNUMBER(SEARCH($O$2,$O34))),IF($P$2="",TRUE,ISNUMBER(SEARCH($P$2,$P34))),IF($Q$2="",TRUE,ISNUMBER(SEARCH($Q$2,$Q34))),IF($R$2="",TRUE,ISNUMBER(SEARCH($R$2,$R34))),IF($S$2="",TRUE,ISNUMBER(SEARCH($S$2,$S34))),IF($T$2="",TRUE,ISNUMBER(SEARCH($T$2,$T34))),IF($U$2="",TRUE,ISNUMBER(SEARCH($U$2,$U34))),IF($V$2="",TRUE,ISNUMBER(SEARCH($V$2,$V34))),IF($W$2="",TRUE,ISNUMBER(SEARCH($W$2,$W34))),IF($X$2="",TRUE,ISNUMBER(SEARCH($X$2,$X34))),IF($Y$2="",TRUE,ISNUMBER(SEARCH($Y$2,$Y34))),IF($Z$2="",TRUE,ISNUMBER(SEARCH($Z$2,$Z34))),IF($AA$2="",TRUE,ISNUMBER(SEARCH($AA$2,$AA34))),IF($AB$2="",TRUE,ISNUMBER(SEARCH($AB$2,$AB34))),IF($AC$2="",TRUE,ISNUMBER(SEARCH($AC$2,$AC34))),IF($AD$2="",TRUE,ISNUMBER(SEARCH($AD$2,$AD34))),IF($AE$2="",TRUE,ISNUMBER(SEARCH($AE$2,$AE34))),IF($AF$2="",TRUE,ISNUMBER(SEARCH($AF$2,$AF34))),IF($AG$2="",TRUE,ISNUMBER(SEARCH($AG$2,$AG34))),IF($AH$2="",TRUE,ISNUMBER(SEARCH($AH$2,$AH34))))</f>
        <v/>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J35">
        <f>AND(IF($A$2="",TRUE,ISNUMBER(SEARCH($A$2,$A35))),IF($B$2="",TRUE,ISNUMBER(SEARCH($B$2,$B35))),IF($C$2="",TRUE,ISNUMBER(SEARCH($C$2,$C35))),IF($D$2="",TRUE,ISNUMBER(SEARCH($D$2,$D35))),IF($E$2="",TRUE,ISNUMBER(SEARCH($E$2,$E35))),IF($F$2="",TRUE,ISNUMBER(SEARCH($F$2,$F35))),IF($G$2="",TRUE,ISNUMBER(SEARCH($G$2,$G35))),IF($H$2="",TRUE,ISNUMBER(SEARCH($H$2,$H35))),IF($I$2="",TRUE,ISNUMBER(SEARCH($I$2,$I35))),IF($J$2="",TRUE,ISNUMBER(SEARCH($J$2,$J35))),IF($K$2="",TRUE,ISNUMBER(SEARCH($K$2,$K35))),IF($L$2="",TRUE,ISNUMBER(SEARCH($L$2,$L35))),IF($M$2="",TRUE,ISNUMBER(SEARCH($M$2,$M35))),IF($N$2="",TRUE,ISNUMBER(SEARCH($N$2,$N35))),IF($O$2="",TRUE,ISNUMBER(SEARCH($O$2,$O35))),IF($P$2="",TRUE,ISNUMBER(SEARCH($P$2,$P35))),IF($Q$2="",TRUE,ISNUMBER(SEARCH($Q$2,$Q35))),IF($R$2="",TRUE,ISNUMBER(SEARCH($R$2,$R35))),IF($S$2="",TRUE,ISNUMBER(SEARCH($S$2,$S35))),IF($T$2="",TRUE,ISNUMBER(SEARCH($T$2,$T35))),IF($U$2="",TRUE,ISNUMBER(SEARCH($U$2,$U35))),IF($V$2="",TRUE,ISNUMBER(SEARCH($V$2,$V35))),IF($W$2="",TRUE,ISNUMBER(SEARCH($W$2,$W35))),IF($X$2="",TRUE,ISNUMBER(SEARCH($X$2,$X35))),IF($Y$2="",TRUE,ISNUMBER(SEARCH($Y$2,$Y35))),IF($Z$2="",TRUE,ISNUMBER(SEARCH($Z$2,$Z35))),IF($AA$2="",TRUE,ISNUMBER(SEARCH($AA$2,$AA35))),IF($AB$2="",TRUE,ISNUMBER(SEARCH($AB$2,$AB35))),IF($AC$2="",TRUE,ISNUMBER(SEARCH($AC$2,$AC35))),IF($AD$2="",TRUE,ISNUMBER(SEARCH($AD$2,$AD35))),IF($AE$2="",TRUE,ISNUMBER(SEARCH($AE$2,$AE35))),IF($AF$2="",TRUE,ISNUMBER(SEARCH($AF$2,$AF35))),IF($AG$2="",TRUE,ISNUMBER(SEARCH($AG$2,$AG35))),IF($AH$2="",TRUE,ISNUMBER(SEARCH($AH$2,$AH35))))</f>
        <v/>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
      </c>
      <c r="AD36" s="19">
        <f>S36-AC36</f>
        <v/>
      </c>
      <c r="AE36" s="20">
        <f>IF(AD36="","",IF(AD36&lt;=5,"SETTLED","OUTSTANDING"))</f>
        <v/>
      </c>
      <c r="AF36" s="20" t="n"/>
      <c r="AG36" s="21" t="n"/>
      <c r="AH36" s="22" t="n"/>
      <c r="AJ36">
        <f>AND(IF($A$2="",TRUE,ISNUMBER(SEARCH($A$2,$A36))),IF($B$2="",TRUE,ISNUMBER(SEARCH($B$2,$B36))),IF($C$2="",TRUE,ISNUMBER(SEARCH($C$2,$C36))),IF($D$2="",TRUE,ISNUMBER(SEARCH($D$2,$D36))),IF($E$2="",TRUE,ISNUMBER(SEARCH($E$2,$E36))),IF($F$2="",TRUE,ISNUMBER(SEARCH($F$2,$F36))),IF($G$2="",TRUE,ISNUMBER(SEARCH($G$2,$G36))),IF($H$2="",TRUE,ISNUMBER(SEARCH($H$2,$H36))),IF($I$2="",TRUE,ISNUMBER(SEARCH($I$2,$I36))),IF($J$2="",TRUE,ISNUMBER(SEARCH($J$2,$J36))),IF($K$2="",TRUE,ISNUMBER(SEARCH($K$2,$K36))),IF($L$2="",TRUE,ISNUMBER(SEARCH($L$2,$L36))),IF($M$2="",TRUE,ISNUMBER(SEARCH($M$2,$M36))),IF($N$2="",TRUE,ISNUMBER(SEARCH($N$2,$N36))),IF($O$2="",TRUE,ISNUMBER(SEARCH($O$2,$O36))),IF($P$2="",TRUE,ISNUMBER(SEARCH($P$2,$P36))),IF($Q$2="",TRUE,ISNUMBER(SEARCH($Q$2,$Q36))),IF($R$2="",TRUE,ISNUMBER(SEARCH($R$2,$R36))),IF($S$2="",TRUE,ISNUMBER(SEARCH($S$2,$S36))),IF($T$2="",TRUE,ISNUMBER(SEARCH($T$2,$T36))),IF($U$2="",TRUE,ISNUMBER(SEARCH($U$2,$U36))),IF($V$2="",TRUE,ISNUMBER(SEARCH($V$2,$V36))),IF($W$2="",TRUE,ISNUMBER(SEARCH($W$2,$W36))),IF($X$2="",TRUE,ISNUMBER(SEARCH($X$2,$X36))),IF($Y$2="",TRUE,ISNUMBER(SEARCH($Y$2,$Y36))),IF($Z$2="",TRUE,ISNUMBER(SEARCH($Z$2,$Z36))),IF($AA$2="",TRUE,ISNUMBER(SEARCH($AA$2,$AA36))),IF($AB$2="",TRUE,ISNUMBER(SEARCH($AB$2,$AB36))),IF($AC$2="",TRUE,ISNUMBER(SEARCH($AC$2,$AC36))),IF($AD$2="",TRUE,ISNUMBER(SEARCH($AD$2,$AD36))),IF($AE$2="",TRUE,ISNUMBER(SEARCH($AE$2,$AE36))),IF($AF$2="",TRUE,ISNUMBER(SEARCH($AF$2,$AF36))),IF($AG$2="",TRUE,ISNUMBER(SEARCH($AG$2,$AG36))),IF($AH$2="",TRUE,ISNUMBER(SEARCH($AH$2,$AH36))))</f>
        <v/>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J37">
        <f>AND(IF($A$2="",TRUE,ISNUMBER(SEARCH($A$2,$A37))),IF($B$2="",TRUE,ISNUMBER(SEARCH($B$2,$B37))),IF($C$2="",TRUE,ISNUMBER(SEARCH($C$2,$C37))),IF($D$2="",TRUE,ISNUMBER(SEARCH($D$2,$D37))),IF($E$2="",TRUE,ISNUMBER(SEARCH($E$2,$E37))),IF($F$2="",TRUE,ISNUMBER(SEARCH($F$2,$F37))),IF($G$2="",TRUE,ISNUMBER(SEARCH($G$2,$G37))),IF($H$2="",TRUE,ISNUMBER(SEARCH($H$2,$H37))),IF($I$2="",TRUE,ISNUMBER(SEARCH($I$2,$I37))),IF($J$2="",TRUE,ISNUMBER(SEARCH($J$2,$J37))),IF($K$2="",TRUE,ISNUMBER(SEARCH($K$2,$K37))),IF($L$2="",TRUE,ISNUMBER(SEARCH($L$2,$L37))),IF($M$2="",TRUE,ISNUMBER(SEARCH($M$2,$M37))),IF($N$2="",TRUE,ISNUMBER(SEARCH($N$2,$N37))),IF($O$2="",TRUE,ISNUMBER(SEARCH($O$2,$O37))),IF($P$2="",TRUE,ISNUMBER(SEARCH($P$2,$P37))),IF($Q$2="",TRUE,ISNUMBER(SEARCH($Q$2,$Q37))),IF($R$2="",TRUE,ISNUMBER(SEARCH($R$2,$R37))),IF($S$2="",TRUE,ISNUMBER(SEARCH($S$2,$S37))),IF($T$2="",TRUE,ISNUMBER(SEARCH($T$2,$T37))),IF($U$2="",TRUE,ISNUMBER(SEARCH($U$2,$U37))),IF($V$2="",TRUE,ISNUMBER(SEARCH($V$2,$V37))),IF($W$2="",TRUE,ISNUMBER(SEARCH($W$2,$W37))),IF($X$2="",TRUE,ISNUMBER(SEARCH($X$2,$X37))),IF($Y$2="",TRUE,ISNUMBER(SEARCH($Y$2,$Y37))),IF($Z$2="",TRUE,ISNUMBER(SEARCH($Z$2,$Z37))),IF($AA$2="",TRUE,ISNUMBER(SEARCH($AA$2,$AA37))),IF($AB$2="",TRUE,ISNUMBER(SEARCH($AB$2,$AB37))),IF($AC$2="",TRUE,ISNUMBER(SEARCH($AC$2,$AC37))),IF($AD$2="",TRUE,ISNUMBER(SEARCH($AD$2,$AD37))),IF($AE$2="",TRUE,ISNUMBER(SEARCH($AE$2,$AE37))),IF($AF$2="",TRUE,ISNUMBER(SEARCH($AF$2,$AF37))),IF($AG$2="",TRUE,ISNUMBER(SEARCH($AG$2,$AG37))),IF($AH$2="",TRUE,ISNUMBER(SEARCH($AH$2,$AH37))))</f>
        <v/>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J38">
        <f>AND(IF($A$2="",TRUE,ISNUMBER(SEARCH($A$2,$A38))),IF($B$2="",TRUE,ISNUMBER(SEARCH($B$2,$B38))),IF($C$2="",TRUE,ISNUMBER(SEARCH($C$2,$C38))),IF($D$2="",TRUE,ISNUMBER(SEARCH($D$2,$D38))),IF($E$2="",TRUE,ISNUMBER(SEARCH($E$2,$E38))),IF($F$2="",TRUE,ISNUMBER(SEARCH($F$2,$F38))),IF($G$2="",TRUE,ISNUMBER(SEARCH($G$2,$G38))),IF($H$2="",TRUE,ISNUMBER(SEARCH($H$2,$H38))),IF($I$2="",TRUE,ISNUMBER(SEARCH($I$2,$I38))),IF($J$2="",TRUE,ISNUMBER(SEARCH($J$2,$J38))),IF($K$2="",TRUE,ISNUMBER(SEARCH($K$2,$K38))),IF($L$2="",TRUE,ISNUMBER(SEARCH($L$2,$L38))),IF($M$2="",TRUE,ISNUMBER(SEARCH($M$2,$M38))),IF($N$2="",TRUE,ISNUMBER(SEARCH($N$2,$N38))),IF($O$2="",TRUE,ISNUMBER(SEARCH($O$2,$O38))),IF($P$2="",TRUE,ISNUMBER(SEARCH($P$2,$P38))),IF($Q$2="",TRUE,ISNUMBER(SEARCH($Q$2,$Q38))),IF($R$2="",TRUE,ISNUMBER(SEARCH($R$2,$R38))),IF($S$2="",TRUE,ISNUMBER(SEARCH($S$2,$S38))),IF($T$2="",TRUE,ISNUMBER(SEARCH($T$2,$T38))),IF($U$2="",TRUE,ISNUMBER(SEARCH($U$2,$U38))),IF($V$2="",TRUE,ISNUMBER(SEARCH($V$2,$V38))),IF($W$2="",TRUE,ISNUMBER(SEARCH($W$2,$W38))),IF($X$2="",TRUE,ISNUMBER(SEARCH($X$2,$X38))),IF($Y$2="",TRUE,ISNUMBER(SEARCH($Y$2,$Y38))),IF($Z$2="",TRUE,ISNUMBER(SEARCH($Z$2,$Z38))),IF($AA$2="",TRUE,ISNUMBER(SEARCH($AA$2,$AA38))),IF($AB$2="",TRUE,ISNUMBER(SEARCH($AB$2,$AB38))),IF($AC$2="",TRUE,ISNUMBER(SEARCH($AC$2,$AC38))),IF($AD$2="",TRUE,ISNUMBER(SEARCH($AD$2,$AD38))),IF($AE$2="",TRUE,ISNUMBER(SEARCH($AE$2,$AE38))),IF($AF$2="",TRUE,ISNUMBER(SEARCH($AF$2,$AF38))),IF($AG$2="",TRUE,ISNUMBER(SEARCH($AG$2,$AG38))),IF($AH$2="",TRUE,ISNUMBER(SEARCH($AH$2,$AH38))))</f>
        <v/>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J39">
        <f>AND(IF($A$2="",TRUE,ISNUMBER(SEARCH($A$2,$A39))),IF($B$2="",TRUE,ISNUMBER(SEARCH($B$2,$B39))),IF($C$2="",TRUE,ISNUMBER(SEARCH($C$2,$C39))),IF($D$2="",TRUE,ISNUMBER(SEARCH($D$2,$D39))),IF($E$2="",TRUE,ISNUMBER(SEARCH($E$2,$E39))),IF($F$2="",TRUE,ISNUMBER(SEARCH($F$2,$F39))),IF($G$2="",TRUE,ISNUMBER(SEARCH($G$2,$G39))),IF($H$2="",TRUE,ISNUMBER(SEARCH($H$2,$H39))),IF($I$2="",TRUE,ISNUMBER(SEARCH($I$2,$I39))),IF($J$2="",TRUE,ISNUMBER(SEARCH($J$2,$J39))),IF($K$2="",TRUE,ISNUMBER(SEARCH($K$2,$K39))),IF($L$2="",TRUE,ISNUMBER(SEARCH($L$2,$L39))),IF($M$2="",TRUE,ISNUMBER(SEARCH($M$2,$M39))),IF($N$2="",TRUE,ISNUMBER(SEARCH($N$2,$N39))),IF($O$2="",TRUE,ISNUMBER(SEARCH($O$2,$O39))),IF($P$2="",TRUE,ISNUMBER(SEARCH($P$2,$P39))),IF($Q$2="",TRUE,ISNUMBER(SEARCH($Q$2,$Q39))),IF($R$2="",TRUE,ISNUMBER(SEARCH($R$2,$R39))),IF($S$2="",TRUE,ISNUMBER(SEARCH($S$2,$S39))),IF($T$2="",TRUE,ISNUMBER(SEARCH($T$2,$T39))),IF($U$2="",TRUE,ISNUMBER(SEARCH($U$2,$U39))),IF($V$2="",TRUE,ISNUMBER(SEARCH($V$2,$V39))),IF($W$2="",TRUE,ISNUMBER(SEARCH($W$2,$W39))),IF($X$2="",TRUE,ISNUMBER(SEARCH($X$2,$X39))),IF($Y$2="",TRUE,ISNUMBER(SEARCH($Y$2,$Y39))),IF($Z$2="",TRUE,ISNUMBER(SEARCH($Z$2,$Z39))),IF($AA$2="",TRUE,ISNUMBER(SEARCH($AA$2,$AA39))),IF($AB$2="",TRUE,ISNUMBER(SEARCH($AB$2,$AB39))),IF($AC$2="",TRUE,ISNUMBER(SEARCH($AC$2,$AC39))),IF($AD$2="",TRUE,ISNUMBER(SEARCH($AD$2,$AD39))),IF($AE$2="",TRUE,ISNUMBER(SEARCH($AE$2,$AE39))),IF($AF$2="",TRUE,ISNUMBER(SEARCH($AF$2,$AF39))),IF($AG$2="",TRUE,ISNUMBER(SEARCH($AG$2,$AG39))),IF($AH$2="",TRUE,ISNUMBER(SEARCH($AH$2,$AH39))))</f>
        <v/>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J40">
        <f>AND(IF($A$2="",TRUE,ISNUMBER(SEARCH($A$2,$A40))),IF($B$2="",TRUE,ISNUMBER(SEARCH($B$2,$B40))),IF($C$2="",TRUE,ISNUMBER(SEARCH($C$2,$C40))),IF($D$2="",TRUE,ISNUMBER(SEARCH($D$2,$D40))),IF($E$2="",TRUE,ISNUMBER(SEARCH($E$2,$E40))),IF($F$2="",TRUE,ISNUMBER(SEARCH($F$2,$F40))),IF($G$2="",TRUE,ISNUMBER(SEARCH($G$2,$G40))),IF($H$2="",TRUE,ISNUMBER(SEARCH($H$2,$H40))),IF($I$2="",TRUE,ISNUMBER(SEARCH($I$2,$I40))),IF($J$2="",TRUE,ISNUMBER(SEARCH($J$2,$J40))),IF($K$2="",TRUE,ISNUMBER(SEARCH($K$2,$K40))),IF($L$2="",TRUE,ISNUMBER(SEARCH($L$2,$L40))),IF($M$2="",TRUE,ISNUMBER(SEARCH($M$2,$M40))),IF($N$2="",TRUE,ISNUMBER(SEARCH($N$2,$N40))),IF($O$2="",TRUE,ISNUMBER(SEARCH($O$2,$O40))),IF($P$2="",TRUE,ISNUMBER(SEARCH($P$2,$P40))),IF($Q$2="",TRUE,ISNUMBER(SEARCH($Q$2,$Q40))),IF($R$2="",TRUE,ISNUMBER(SEARCH($R$2,$R40))),IF($S$2="",TRUE,ISNUMBER(SEARCH($S$2,$S40))),IF($T$2="",TRUE,ISNUMBER(SEARCH($T$2,$T40))),IF($U$2="",TRUE,ISNUMBER(SEARCH($U$2,$U40))),IF($V$2="",TRUE,ISNUMBER(SEARCH($V$2,$V40))),IF($W$2="",TRUE,ISNUMBER(SEARCH($W$2,$W40))),IF($X$2="",TRUE,ISNUMBER(SEARCH($X$2,$X40))),IF($Y$2="",TRUE,ISNUMBER(SEARCH($Y$2,$Y40))),IF($Z$2="",TRUE,ISNUMBER(SEARCH($Z$2,$Z40))),IF($AA$2="",TRUE,ISNUMBER(SEARCH($AA$2,$AA40))),IF($AB$2="",TRUE,ISNUMBER(SEARCH($AB$2,$AB40))),IF($AC$2="",TRUE,ISNUMBER(SEARCH($AC$2,$AC40))),IF($AD$2="",TRUE,ISNUMBER(SEARCH($AD$2,$AD40))),IF($AE$2="",TRUE,ISNUMBER(SEARCH($AE$2,$AE40))),IF($AF$2="",TRUE,ISNUMBER(SEARCH($AF$2,$AF40))),IF($AG$2="",TRUE,ISNUMBER(SEARCH($AG$2,$AG40))),IF($AH$2="",TRUE,ISNUMBER(SEARCH($AH$2,$AH40))))</f>
        <v/>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conditionalFormatting sqref="A4:AH40">
    <cfRule type="expression" priority="4" dxfId="53">
      <formula>$AJ4=1</formula>
    </cfRule>
  </conditionalFormatting>
  <dataValidations count="34">
    <dataValidation sqref="A2" showDropDown="0" showInputMessage="0" showErrorMessage="0" allowBlank="0" type="list">
      <formula1>=SUG_F</formula1>
    </dataValidation>
    <dataValidation sqref="B2" showDropDown="0" showInputMessage="0" showErrorMessage="0" allowBlank="0" type="list">
      <formula1>=SUG_D_DEP_FINAL</formula1>
    </dataValidation>
    <dataValidation sqref="C2" showDropDown="0" showInputMessage="0" showErrorMessage="0" allowBlank="0" type="list">
      <formula1>=SUG_H</formula1>
    </dataValidation>
    <dataValidation sqref="D2" showDropDown="0" showInputMessage="0" showErrorMessage="0" allowBlank="0" type="list">
      <formula1>=SUG_E</formula1>
    </dataValidation>
    <dataValidation sqref="E2" showDropDown="0" showInputMessage="0" showErrorMessage="0" allowBlank="0" type="list">
      <formula1>=SUG_G</formula1>
    </dataValidation>
    <dataValidation sqref="F2" showDropDown="0" showInputMessage="0" showErrorMessage="0" allowBlank="0" type="list">
      <formula1>=SUG_B_DEP_FINAL</formula1>
    </dataValidation>
    <dataValidation sqref="G2" showDropDown="0" showInputMessage="0" showErrorMessage="0" allowBlank="0" type="list">
      <formula1>=SUG_C</formula1>
    </dataValidation>
    <dataValidation sqref="H2" showDropDown="0" showInputMessage="0" showErrorMessage="0" allowBlank="0" type="list">
      <formula1>=SUG_I</formula1>
    </dataValidation>
    <dataValidation sqref="I2" showDropDown="0" showInputMessage="0" showErrorMessage="0" allowBlank="0" type="list">
      <formula1>=SUG_J</formula1>
    </dataValidation>
    <dataValidation sqref="J2" showDropDown="0" showInputMessage="0" showErrorMessage="0" allowBlank="0" type="list">
      <formula1>=SUG_K</formula1>
    </dataValidation>
    <dataValidation sqref="K2" showDropDown="0" showInputMessage="0" showErrorMessage="0" allowBlank="0" type="list">
      <formula1>=SUG_L</formula1>
    </dataValidation>
    <dataValidation sqref="L2" showDropDown="0" showInputMessage="0" showErrorMessage="0" allowBlank="0" type="list">
      <formula1>=SUG_M</formula1>
    </dataValidation>
    <dataValidation sqref="M2" showDropDown="0" showInputMessage="0" showErrorMessage="0" allowBlank="0" type="list">
      <formula1>=SUG_N</formula1>
    </dataValidation>
    <dataValidation sqref="N2" showDropDown="0" showInputMessage="0" showErrorMessage="0" allowBlank="0" type="list">
      <formula1>=SUG_O</formula1>
    </dataValidation>
    <dataValidation sqref="O2" showDropDown="0" showInputMessage="0" showErrorMessage="0" allowBlank="0" type="list">
      <formula1>=SUG_P</formula1>
    </dataValidation>
    <dataValidation sqref="P2" showDropDown="0" showInputMessage="0" showErrorMessage="0" allowBlank="0" type="list">
      <formula1>=SUG_Q</formula1>
    </dataValidation>
    <dataValidation sqref="Q2" showDropDown="0" showInputMessage="0" showErrorMessage="0" allowBlank="0" type="list">
      <formula1>=SUG_R</formula1>
    </dataValidation>
    <dataValidation sqref="R2" showDropDown="0" showInputMessage="0" showErrorMessage="0" allowBlank="0" type="list">
      <formula1>=SUG_S</formula1>
    </dataValidation>
    <dataValidation sqref="S2" showDropDown="0" showInputMessage="0" showErrorMessage="0" allowBlank="0" type="list">
      <formula1>=SUG_T</formula1>
    </dataValidation>
    <dataValidation sqref="T2" showDropDown="0" showInputMessage="0" showErrorMessage="0" allowBlank="0" type="list">
      <formula1>=SUG_U</formula1>
    </dataValidation>
    <dataValidation sqref="U2" showDropDown="0" showInputMessage="0" showErrorMessage="0" allowBlank="0" type="list">
      <formula1>=SUG_V</formula1>
    </dataValidation>
    <dataValidation sqref="V2" showDropDown="0" showInputMessage="0" showErrorMessage="0" allowBlank="0" type="list">
      <formula1>=SUG_W</formula1>
    </dataValidation>
    <dataValidation sqref="W2" showDropDown="0" showInputMessage="0" showErrorMessage="0" allowBlank="0" type="list">
      <formula1>=SUG_X</formula1>
    </dataValidation>
    <dataValidation sqref="X2" showDropDown="0" showInputMessage="0" showErrorMessage="0" allowBlank="0" type="list">
      <formula1>=SUG_Y</formula1>
    </dataValidation>
    <dataValidation sqref="Y2" showDropDown="0" showInputMessage="0" showErrorMessage="0" allowBlank="0" type="list">
      <formula1>=SUG_Z</formula1>
    </dataValidation>
    <dataValidation sqref="Z2" showDropDown="0" showInputMessage="0" showErrorMessage="0" allowBlank="0" type="list">
      <formula1>=SUG_AA</formula1>
    </dataValidation>
    <dataValidation sqref="AA2" showDropDown="0" showInputMessage="0" showErrorMessage="0" allowBlank="0" type="list">
      <formula1>=SUG_AB</formula1>
    </dataValidation>
    <dataValidation sqref="AB2" showDropDown="0" showInputMessage="0" showErrorMessage="0" allowBlank="0" type="list">
      <formula1>=SUG_AC</formula1>
    </dataValidation>
    <dataValidation sqref="AC2" showDropDown="0" showInputMessage="0" showErrorMessage="0" allowBlank="0" type="list">
      <formula1>=SUG_AD</formula1>
    </dataValidation>
    <dataValidation sqref="AD2" showDropDown="0" showInputMessage="0" showErrorMessage="0" allowBlank="0" type="list">
      <formula1>=SUG_AE</formula1>
    </dataValidation>
    <dataValidation sqref="AE2" showDropDown="0" showInputMessage="0" showErrorMessage="0" allowBlank="0" type="list">
      <formula1>=SUG_AI</formula1>
    </dataValidation>
    <dataValidation sqref="AF2" showDropDown="0" showInputMessage="0" showErrorMessage="0" allowBlank="0" type="list">
      <formula1>=SUG_AF</formula1>
    </dataValidation>
    <dataValidation sqref="AG2" showDropDown="0" showInputMessage="0" showErrorMessage="0" allowBlank="0" type="list">
      <formula1>=SUG_AG</formula1>
    </dataValidation>
    <dataValidation sqref="AH2" showDropDown="0" showInputMessage="0" showErrorMessage="0" allowBlank="0" type="list">
      <formula1>=SUG_AH</formula1>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PILOT — the Lot Name dropdown (D4) now narrows to lots matching your other search cells and the search box; all other dropdowns still list everything.</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SUG_B_DEP_LIVE</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
      </c>
      <c r="C3" s="59" t="inlineStr">
        <is>
          <t>LOTS  ▸</t>
        </is>
      </c>
      <c r="D3" s="62">
        <f>COUNTA('Final Calculation Sheet'!$G$4:$G$40)</f>
        <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9">
        <f>IF(AE7&lt;=5,"SETTLED","OUTSTANDING")</f>
        <v/>
      </c>
      <c r="AG7" s="84" t="inlineStr">
        <is>
          <t>–</t>
        </is>
      </c>
      <c r="AH7" s="88" t="inlineStr">
        <is>
          <t>–</t>
        </is>
      </c>
      <c r="AI7" s="84" t="inlineStr">
        <is>
          <t>–</t>
        </is>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9">
        <f>IF(AE10&lt;=5,"SETTLED","OUTSTANDING")</f>
        <v/>
      </c>
      <c r="AG10" s="84" t="inlineStr">
        <is>
          <t>–</t>
        </is>
      </c>
      <c r="AH10" s="88" t="inlineStr">
        <is>
          <t>–</t>
        </is>
      </c>
      <c r="AI10" s="84" t="inlineStr">
        <is>
          <t>–</t>
        </is>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9">
        <f>IF(AE12&lt;=5,"SETTLED","OUTSTANDING")</f>
        <v/>
      </c>
      <c r="AG12" s="84" t="inlineStr">
        <is>
          <t>–</t>
        </is>
      </c>
      <c r="AH12" s="88" t="inlineStr">
        <is>
          <t>–</t>
        </is>
      </c>
      <c r="AI12" s="84" t="inlineStr">
        <is>
          <t>–</t>
        </is>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9">
        <f>IF(AE14&lt;=5,"SETTLED","OUTSTANDING")</f>
        <v/>
      </c>
      <c r="AG14" s="84" t="inlineStr">
        <is>
          <t>–</t>
        </is>
      </c>
      <c r="AH14" s="88" t="inlineStr">
        <is>
          <t>–</t>
        </is>
      </c>
      <c r="AI14" s="84" t="inlineStr">
        <is>
          <t>–</t>
        </is>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9">
        <f>IF(AE16&lt;=5,"SETTLED","OUTSTANDING")</f>
        <v/>
      </c>
      <c r="AG16" s="84" t="inlineStr">
        <is>
          <t>–</t>
        </is>
      </c>
      <c r="AH16" s="88" t="inlineStr">
        <is>
          <t>–</t>
        </is>
      </c>
      <c r="AI16" s="84" t="inlineStr">
        <is>
          <t>–</t>
        </is>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9">
        <f>IF(AE30&lt;=5,"SETTLED","OUTSTANDING")</f>
        <v/>
      </c>
      <c r="AG30" s="84" t="inlineStr">
        <is>
          <t>–</t>
        </is>
      </c>
      <c r="AH30" s="88" t="inlineStr">
        <is>
          <t>–</t>
        </is>
      </c>
      <c r="AI30" s="84" t="inlineStr">
        <is>
          <t>–</t>
        </is>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9">
        <f>IF(AE32&lt;=5,"SETTLED","OUTSTANDING")</f>
        <v/>
      </c>
      <c r="AG32" s="84" t="inlineStr">
        <is>
          <t>–</t>
        </is>
      </c>
      <c r="AH32" s="88" t="inlineStr">
        <is>
          <t>–</t>
        </is>
      </c>
      <c r="AI32" s="84" t="inlineStr">
        <is>
          <t>–</t>
        </is>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9">
        <f>IF(AE35&lt;=5,"SETTLED","OUTSTANDING")</f>
        <v/>
      </c>
      <c r="AG35" s="84" t="inlineStr">
        <is>
          <t>–</t>
        </is>
      </c>
      <c r="AH35" s="88" t="inlineStr">
        <is>
          <t>–</t>
        </is>
      </c>
      <c r="AI35" s="84" t="inlineStr">
        <is>
          <t>–</t>
        </is>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9">
        <f>IF(AE38&lt;=5,"SETTLED","OUTSTANDING")</f>
        <v/>
      </c>
      <c r="AG38" s="84" t="inlineStr">
        <is>
          <t>–</t>
        </is>
      </c>
      <c r="AH38" s="88" t="inlineStr">
        <is>
          <t>–</t>
        </is>
      </c>
      <c r="AI38" s="84" t="inlineStr">
        <is>
          <t>–</t>
        </is>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9">
        <f>IF(AE40&lt;=5,"SETTLED","OUTSTANDING")</f>
        <v/>
      </c>
      <c r="AG40" s="84" t="inlineStr">
        <is>
          <t>–</t>
        </is>
      </c>
      <c r="AH40" s="88" t="inlineStr">
        <is>
          <t>–</t>
        </is>
      </c>
      <c r="AI40" s="84" t="inlineStr">
        <is>
          <t>–</t>
        </is>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9">
        <f>IF(AE55&lt;=5,"SETTLED","OUTSTANDING")</f>
        <v/>
      </c>
      <c r="AG55" s="84" t="inlineStr">
        <is>
          <t>–</t>
        </is>
      </c>
      <c r="AH55" s="88" t="inlineStr">
        <is>
          <t>–</t>
        </is>
      </c>
      <c r="AI55" s="84" t="inlineStr">
        <is>
          <t>–</t>
        </is>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8">
        <f>IF(AE56&lt;=5,"SETTLED","OUTSTANDING")</f>
        <v/>
      </c>
      <c r="AG56" s="103" t="inlineStr">
        <is>
          <t>–</t>
        </is>
      </c>
      <c r="AH56" s="107" t="inlineStr">
        <is>
          <t>–</t>
        </is>
      </c>
      <c r="AI56" s="103" t="inlineStr">
        <is>
          <t>–</t>
        </is>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6">
        <f>IF(AE57&lt;=5,"SETTLED","OUTSTANDING")</f>
        <v/>
      </c>
      <c r="AG57" s="111" t="inlineStr">
        <is>
          <t>–</t>
        </is>
      </c>
      <c r="AH57" s="115" t="inlineStr">
        <is>
          <t>–</t>
        </is>
      </c>
      <c r="AI57" s="111" t="inlineStr">
        <is>
          <t>–</t>
        </is>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SUGN_B_DEP</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SUGN_D_DEP</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HA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DEP B-FINAL (Lot No by Final!G2)</t>
        </is>
      </c>
      <c r="GH3" t="inlineStr">
        <is>
          <t>DEP B-LIVE (Lot No by Live!C4)</t>
        </is>
      </c>
      <c r="GM3" t="inlineStr">
        <is>
          <t>DEP B-BG (Lot No by BuyerGroups!C4)</t>
        </is>
      </c>
      <c r="GR3" t="inlineStr">
        <is>
          <t>DEP D-FINAL (Lot Name by Final!G2)</t>
        </is>
      </c>
      <c r="GW3" t="inlineStr">
        <is>
          <t>DEP D-BG (Lot Name by BuyerGroups!C4)</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C4">
        <f>IF('Final Calculation Sheet'!$F$4="","",IF(TRIM('Final Calculation Sheet'!$G$2)="",'Final Calculation Sheet'!$F$4,IF(TRIM('Final Calculation Sheet'!$G$2)="(nonblank)",IF('Final Calculation Sheet'!$G$4&lt;&gt;"",'Final Calculation Sheet'!$F$4,""),IF(TRIM('Final Calculation Sheet'!$G$2)="(blank)",IF('Final Calculation Sheet'!$G$4="",'Final Calculation Sheet'!$F$4,""),IF(ISNUMBER(SEARCH(TRIM('Final Calculation Sheet'!$G$2),'Final Calculation Sheet'!$G$4)),'Final Calculation Sheet'!$F$4,"")))))</f>
        <v/>
      </c>
      <c r="GD4">
        <f>IF(GC4="","",COUNTIFS(GC$4:GC$40,"&lt;"&amp;GC4,GC$4:GC$40,"&lt;&gt;"&amp;"")+COUNTIF(GC$4:GC4,GC4))</f>
        <v/>
      </c>
      <c r="GE4">
        <f>IF(ROW()-3&gt;COUNTIF(GC$4:GC$40,"&lt;&gt;"&amp;""),"",INDEX(GC$4:GC$40,MATCH(ROW()-3,GD$4:GD$40,0)))</f>
        <v/>
      </c>
      <c r="GF4">
        <f>IF(AND(GE4&lt;&gt;"",COUNTIF(GE$4:GE4,GE4)=1),1,0)</f>
        <v/>
      </c>
      <c r="GG4">
        <f>IF(ROW()-3&gt;MAX(GF$4:GF$40),"",INDEX(GE$4:GE$40,MATCH(ROW()-3,GF$4:GF$40,0)))</f>
        <v/>
      </c>
      <c r="GH4">
        <f>IF('Final Calculation Sheet'!$F$4="","",IF('Live Search'!$BO$5=1,'Final Calculation Sheet'!$F$4,""))</f>
        <v/>
      </c>
      <c r="GI4">
        <f>IF(GH4="","",COUNTIFS(GH$4:GH$40,"&lt;"&amp;GH4,GH$4:GH$40,"&lt;&gt;"&amp;"")+COUNTIF(GH$4:GH4,GH4))</f>
        <v/>
      </c>
      <c r="GJ4">
        <f>IF(ROW()-3&gt;COUNTIF(GH$4:GH$40,"&lt;&gt;"&amp;""),"",INDEX(GH$4:GH$40,MATCH(ROW()-3,GI$4:GI$40,0)))</f>
        <v/>
      </c>
      <c r="GK4">
        <f>IF(AND(GJ4&lt;&gt;"",COUNTIF(GJ$4:GJ4,GJ4)=1),1,0)</f>
        <v/>
      </c>
      <c r="GL4">
        <f>IF(ROW()-3&gt;MAX(GK$4:GK$40),"",INDEX(GJ$4:GJ$40,MATCH(ROW()-3,GK$4:GK$40,0)))</f>
        <v/>
      </c>
      <c r="GM4">
        <f>IF('Final Calculation Sheet'!$F$4="","",IF(TRIM('Buyer Groups'!$C$4)="",'Final Calculation Sheet'!$F$4,IF(TRIM('Buyer Groups'!$C$4)="(nonblank)",IF('Final Calculation Sheet'!$G$4&lt;&gt;"",'Final Calculation Sheet'!$F$4,""),IF(TRIM('Buyer Groups'!$C$4)="(blank)",IF('Final Calculation Sheet'!$G$4="",'Final Calculation Sheet'!$F$4,""),IF(ISNUMBER(SEARCH(TRIM('Buyer Groups'!$C$4),'Final Calculation Sheet'!$G$4)),'Final Calculation Sheet'!$F$4,"")))))</f>
        <v/>
      </c>
      <c r="GN4">
        <f>IF(GM4="","",COUNTIFS(GM$4:GM$40,"&lt;"&amp;GM4,GM$4:GM$40,"&lt;&gt;"&amp;"")+COUNTIF(GM$4:GM4,GM4))</f>
        <v/>
      </c>
      <c r="GO4">
        <f>IF(ROW()-3&gt;COUNTIF(GM$4:GM$40,"&lt;&gt;"&amp;""),"",INDEX(GM$4:GM$40,MATCH(ROW()-3,GN$4:GN$40,0)))</f>
        <v/>
      </c>
      <c r="GP4">
        <f>IF(AND(GO4&lt;&gt;"",COUNTIF(GO$4:GO4,GO4)=1),1,0)</f>
        <v/>
      </c>
      <c r="GQ4">
        <f>IF(ROW()-3&gt;MAX(GP$4:GP$40),"",INDEX(GO$4:GO$40,MATCH(ROW()-3,GP$4:GP$40,0)))</f>
        <v/>
      </c>
      <c r="GR4">
        <f>IF('Final Calculation Sheet'!$B$4="","",IF(TRIM('Final Calculation Sheet'!$G$2)="",'Final Calculation Sheet'!$B$4,IF(TRIM('Final Calculation Sheet'!$G$2)="(nonblank)",IF('Final Calculation Sheet'!$G$4&lt;&gt;"",'Final Calculation Sheet'!$B$4,""),IF(TRIM('Final Calculation Sheet'!$G$2)="(blank)",IF('Final Calculation Sheet'!$G$4="",'Final Calculation Sheet'!$B$4,""),IF(ISNUMBER(SEARCH(TRIM('Final Calculation Sheet'!$G$2),'Final Calculation Sheet'!$G$4)),'Final Calculation Sheet'!$B$4,"")))))</f>
        <v/>
      </c>
      <c r="GS4">
        <f>IF(GR4="","",COUNTIFS(GR$4:GR$40,"&lt;"&amp;GR4,GR$4:GR$40,"&lt;&gt;"&amp;"")+COUNTIF(GR$4:GR4,GR4))</f>
        <v/>
      </c>
      <c r="GT4">
        <f>IF(ROW()-3&gt;COUNTIF(GR$4:GR$40,"&lt;&gt;"&amp;""),"",INDEX(GR$4:GR$40,MATCH(ROW()-3,GS$4:GS$40,0)))</f>
        <v/>
      </c>
      <c r="GU4">
        <f>IF(AND(GT4&lt;&gt;"",COUNTIF(GT$4:GT4,GT4)=1),1,0)</f>
        <v/>
      </c>
      <c r="GV4">
        <f>IF(ROW()-3&gt;MAX(GU$4:GU$40),"",INDEX(GT$4:GT$40,MATCH(ROW()-3,GU$4:GU$40,0)))</f>
        <v/>
      </c>
      <c r="GW4">
        <f>IF('Final Calculation Sheet'!$B$4="","",IF(TRIM('Buyer Groups'!$C$4)="",'Final Calculation Sheet'!$B$4,IF(TRIM('Buyer Groups'!$C$4)="(nonblank)",IF('Final Calculation Sheet'!$G$4&lt;&gt;"",'Final Calculation Sheet'!$B$4,""),IF(TRIM('Buyer Groups'!$C$4)="(blank)",IF('Final Calculation Sheet'!$G$4="",'Final Calculation Sheet'!$B$4,""),IF(ISNUMBER(SEARCH(TRIM('Buyer Groups'!$C$4),'Final Calculation Sheet'!$G$4)),'Final Calculation Sheet'!$B$4,"")))))</f>
        <v/>
      </c>
      <c r="GX4">
        <f>IF(GW4="","",COUNTIFS(GW$4:GW$40,"&lt;"&amp;GW4,GW$4:GW$40,"&lt;&gt;"&amp;"")+COUNTIF(GW$4:GW4,GW4))</f>
        <v/>
      </c>
      <c r="GY4">
        <f>IF(ROW()-3&gt;COUNTIF(GW$4:GW$40,"&lt;&gt;"&amp;""),"",INDEX(GW$4:GW$40,MATCH(ROW()-3,GX$4:GX$40,0)))</f>
        <v/>
      </c>
      <c r="GZ4">
        <f>IF(AND(GY4&lt;&gt;"",COUNTIF(GY$4:GY4,GY4)=1),1,0)</f>
        <v/>
      </c>
      <c r="HA4">
        <f>IF(ROW()-3&gt;MAX(GZ$4:GZ$40),"",INDEX(GY$4:GY$40,MATCH(ROW()-3,GZ$4:GZ$40,0)))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C5">
        <f>IF('Final Calculation Sheet'!$F$5="","",IF(TRIM('Final Calculation Sheet'!$G$2)="",'Final Calculation Sheet'!$F$5,IF(TRIM('Final Calculation Sheet'!$G$2)="(nonblank)",IF('Final Calculation Sheet'!$G$5&lt;&gt;"",'Final Calculation Sheet'!$F$5,""),IF(TRIM('Final Calculation Sheet'!$G$2)="(blank)",IF('Final Calculation Sheet'!$G$5="",'Final Calculation Sheet'!$F$5,""),IF(ISNUMBER(SEARCH(TRIM('Final Calculation Sheet'!$G$2),'Final Calculation Sheet'!$G$5)),'Final Calculation Sheet'!$F$5,"")))))</f>
        <v/>
      </c>
      <c r="GD5">
        <f>IF(GC5="","",COUNTIFS(GC$4:GC$40,"&lt;"&amp;GC5,GC$4:GC$40,"&lt;&gt;"&amp;"")+COUNTIF(GC$4:GC5,GC5))</f>
        <v/>
      </c>
      <c r="GE5">
        <f>IF(ROW()-3&gt;COUNTIF(GC$4:GC$40,"&lt;&gt;"&amp;""),"",INDEX(GC$4:GC$40,MATCH(ROW()-3,GD$4:GD$40,0)))</f>
        <v/>
      </c>
      <c r="GF5">
        <f>GF4+IF(AND(GE5&lt;&gt;"",COUNTIF(GE$4:GE5,GE5)=1),1,0)</f>
        <v/>
      </c>
      <c r="GG5">
        <f>IF(ROW()-3&gt;MAX(GF$4:GF$40),"",INDEX(GE$4:GE$40,MATCH(ROW()-3,GF$4:GF$40,0)))</f>
        <v/>
      </c>
      <c r="GH5">
        <f>IF('Final Calculation Sheet'!$F$5="","",IF('Live Search'!$BO$6=1,'Final Calculation Sheet'!$F$5,""))</f>
        <v/>
      </c>
      <c r="GI5">
        <f>IF(GH5="","",COUNTIFS(GH$4:GH$40,"&lt;"&amp;GH5,GH$4:GH$40,"&lt;&gt;"&amp;"")+COUNTIF(GH$4:GH5,GH5))</f>
        <v/>
      </c>
      <c r="GJ5">
        <f>IF(ROW()-3&gt;COUNTIF(GH$4:GH$40,"&lt;&gt;"&amp;""),"",INDEX(GH$4:GH$40,MATCH(ROW()-3,GI$4:GI$40,0)))</f>
        <v/>
      </c>
      <c r="GK5">
        <f>GK4+IF(AND(GJ5&lt;&gt;"",COUNTIF(GJ$4:GJ5,GJ5)=1),1,0)</f>
        <v/>
      </c>
      <c r="GL5">
        <f>IF(ROW()-3&gt;MAX(GK$4:GK$40),"",INDEX(GJ$4:GJ$40,MATCH(ROW()-3,GK$4:GK$40,0)))</f>
        <v/>
      </c>
      <c r="GM5">
        <f>IF('Final Calculation Sheet'!$F$5="","",IF(TRIM('Buyer Groups'!$C$4)="",'Final Calculation Sheet'!$F$5,IF(TRIM('Buyer Groups'!$C$4)="(nonblank)",IF('Final Calculation Sheet'!$G$5&lt;&gt;"",'Final Calculation Sheet'!$F$5,""),IF(TRIM('Buyer Groups'!$C$4)="(blank)",IF('Final Calculation Sheet'!$G$5="",'Final Calculation Sheet'!$F$5,""),IF(ISNUMBER(SEARCH(TRIM('Buyer Groups'!$C$4),'Final Calculation Sheet'!$G$5)),'Final Calculation Sheet'!$F$5,"")))))</f>
        <v/>
      </c>
      <c r="GN5">
        <f>IF(GM5="","",COUNTIFS(GM$4:GM$40,"&lt;"&amp;GM5,GM$4:GM$40,"&lt;&gt;"&amp;"")+COUNTIF(GM$4:GM5,GM5))</f>
        <v/>
      </c>
      <c r="GO5">
        <f>IF(ROW()-3&gt;COUNTIF(GM$4:GM$40,"&lt;&gt;"&amp;""),"",INDEX(GM$4:GM$40,MATCH(ROW()-3,GN$4:GN$40,0)))</f>
        <v/>
      </c>
      <c r="GP5">
        <f>GP4+IF(AND(GO5&lt;&gt;"",COUNTIF(GO$4:GO5,GO5)=1),1,0)</f>
        <v/>
      </c>
      <c r="GQ5">
        <f>IF(ROW()-3&gt;MAX(GP$4:GP$40),"",INDEX(GO$4:GO$40,MATCH(ROW()-3,GP$4:GP$40,0)))</f>
        <v/>
      </c>
      <c r="GR5">
        <f>IF('Final Calculation Sheet'!$B$5="","",IF(TRIM('Final Calculation Sheet'!$G$2)="",'Final Calculation Sheet'!$B$5,IF(TRIM('Final Calculation Sheet'!$G$2)="(nonblank)",IF('Final Calculation Sheet'!$G$5&lt;&gt;"",'Final Calculation Sheet'!$B$5,""),IF(TRIM('Final Calculation Sheet'!$G$2)="(blank)",IF('Final Calculation Sheet'!$G$5="",'Final Calculation Sheet'!$B$5,""),IF(ISNUMBER(SEARCH(TRIM('Final Calculation Sheet'!$G$2),'Final Calculation Sheet'!$G$5)),'Final Calculation Sheet'!$B$5,"")))))</f>
        <v/>
      </c>
      <c r="GS5">
        <f>IF(GR5="","",COUNTIFS(GR$4:GR$40,"&lt;"&amp;GR5,GR$4:GR$40,"&lt;&gt;"&amp;"")+COUNTIF(GR$4:GR5,GR5))</f>
        <v/>
      </c>
      <c r="GT5">
        <f>IF(ROW()-3&gt;COUNTIF(GR$4:GR$40,"&lt;&gt;"&amp;""),"",INDEX(GR$4:GR$40,MATCH(ROW()-3,GS$4:GS$40,0)))</f>
        <v/>
      </c>
      <c r="GU5">
        <f>GU4+IF(AND(GT5&lt;&gt;"",COUNTIF(GT$4:GT5,GT5)=1),1,0)</f>
        <v/>
      </c>
      <c r="GV5">
        <f>IF(ROW()-3&gt;MAX(GU$4:GU$40),"",INDEX(GT$4:GT$40,MATCH(ROW()-3,GU$4:GU$40,0)))</f>
        <v/>
      </c>
      <c r="GW5">
        <f>IF('Final Calculation Sheet'!$B$5="","",IF(TRIM('Buyer Groups'!$C$4)="",'Final Calculation Sheet'!$B$5,IF(TRIM('Buyer Groups'!$C$4)="(nonblank)",IF('Final Calculation Sheet'!$G$5&lt;&gt;"",'Final Calculation Sheet'!$B$5,""),IF(TRIM('Buyer Groups'!$C$4)="(blank)",IF('Final Calculation Sheet'!$G$5="",'Final Calculation Sheet'!$B$5,""),IF(ISNUMBER(SEARCH(TRIM('Buyer Groups'!$C$4),'Final Calculation Sheet'!$G$5)),'Final Calculation Sheet'!$B$5,"")))))</f>
        <v/>
      </c>
      <c r="GX5">
        <f>IF(GW5="","",COUNTIFS(GW$4:GW$40,"&lt;"&amp;GW5,GW$4:GW$40,"&lt;&gt;"&amp;"")+COUNTIF(GW$4:GW5,GW5))</f>
        <v/>
      </c>
      <c r="GY5">
        <f>IF(ROW()-3&gt;COUNTIF(GW$4:GW$40,"&lt;&gt;"&amp;""),"",INDEX(GW$4:GW$40,MATCH(ROW()-3,GX$4:GX$40,0)))</f>
        <v/>
      </c>
      <c r="GZ5">
        <f>GZ4+IF(AND(GY5&lt;&gt;"",COUNTIF(GY$4:GY5,GY5)=1),1,0)</f>
        <v/>
      </c>
      <c r="HA5">
        <f>IF(ROW()-3&gt;MAX(GZ$4:GZ$40),"",INDEX(GY$4:GY$40,MATCH(ROW()-3,GZ$4:GZ$40,0)))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IF('Final Calculation Sheet'!$F$6="","",IF(TRIM('Final Calculation Sheet'!$G$2)="",'Final Calculation Sheet'!$F$6,IF(TRIM('Final Calculation Sheet'!$G$2)="(nonblank)",IF('Final Calculation Sheet'!$G$6&lt;&gt;"",'Final Calculation Sheet'!$F$6,""),IF(TRIM('Final Calculation Sheet'!$G$2)="(blank)",IF('Final Calculation Sheet'!$G$6="",'Final Calculation Sheet'!$F$6,""),IF(ISNUMBER(SEARCH(TRIM('Final Calculation Sheet'!$G$2),'Final Calculation Sheet'!$G$6)),'Final Calculation Sheet'!$F$6,"")))))</f>
        <v/>
      </c>
      <c r="GD6">
        <f>IF(GC6="","",COUNTIFS(GC$4:GC$40,"&lt;"&amp;GC6,GC$4:GC$40,"&lt;&gt;"&amp;"")+COUNTIF(GC$4:GC6,GC6))</f>
        <v/>
      </c>
      <c r="GE6">
        <f>IF(ROW()-3&gt;COUNTIF(GC$4:GC$40,"&lt;&gt;"&amp;""),"",INDEX(GC$4:GC$40,MATCH(ROW()-3,GD$4:GD$40,0)))</f>
        <v/>
      </c>
      <c r="GF6">
        <f>GF5+IF(AND(GE6&lt;&gt;"",COUNTIF(GE$4:GE6,GE6)=1),1,0)</f>
        <v/>
      </c>
      <c r="GG6">
        <f>IF(ROW()-3&gt;MAX(GF$4:GF$40),"",INDEX(GE$4:GE$40,MATCH(ROW()-3,GF$4:GF$40,0)))</f>
        <v/>
      </c>
      <c r="GH6">
        <f>IF('Final Calculation Sheet'!$F$6="","",IF('Live Search'!$BO$7=1,'Final Calculation Sheet'!$F$6,""))</f>
        <v/>
      </c>
      <c r="GI6">
        <f>IF(GH6="","",COUNTIFS(GH$4:GH$40,"&lt;"&amp;GH6,GH$4:GH$40,"&lt;&gt;"&amp;"")+COUNTIF(GH$4:GH6,GH6))</f>
        <v/>
      </c>
      <c r="GJ6">
        <f>IF(ROW()-3&gt;COUNTIF(GH$4:GH$40,"&lt;&gt;"&amp;""),"",INDEX(GH$4:GH$40,MATCH(ROW()-3,GI$4:GI$40,0)))</f>
        <v/>
      </c>
      <c r="GK6">
        <f>GK5+IF(AND(GJ6&lt;&gt;"",COUNTIF(GJ$4:GJ6,GJ6)=1),1,0)</f>
        <v/>
      </c>
      <c r="GL6">
        <f>IF(ROW()-3&gt;MAX(GK$4:GK$40),"",INDEX(GJ$4:GJ$40,MATCH(ROW()-3,GK$4:GK$40,0)))</f>
        <v/>
      </c>
      <c r="GM6">
        <f>IF('Final Calculation Sheet'!$F$6="","",IF(TRIM('Buyer Groups'!$C$4)="",'Final Calculation Sheet'!$F$6,IF(TRIM('Buyer Groups'!$C$4)="(nonblank)",IF('Final Calculation Sheet'!$G$6&lt;&gt;"",'Final Calculation Sheet'!$F$6,""),IF(TRIM('Buyer Groups'!$C$4)="(blank)",IF('Final Calculation Sheet'!$G$6="",'Final Calculation Sheet'!$F$6,""),IF(ISNUMBER(SEARCH(TRIM('Buyer Groups'!$C$4),'Final Calculation Sheet'!$G$6)),'Final Calculation Sheet'!$F$6,"")))))</f>
        <v/>
      </c>
      <c r="GN6">
        <f>IF(GM6="","",COUNTIFS(GM$4:GM$40,"&lt;"&amp;GM6,GM$4:GM$40,"&lt;&gt;"&amp;"")+COUNTIF(GM$4:GM6,GM6))</f>
        <v/>
      </c>
      <c r="GO6">
        <f>IF(ROW()-3&gt;COUNTIF(GM$4:GM$40,"&lt;&gt;"&amp;""),"",INDEX(GM$4:GM$40,MATCH(ROW()-3,GN$4:GN$40,0)))</f>
        <v/>
      </c>
      <c r="GP6">
        <f>GP5+IF(AND(GO6&lt;&gt;"",COUNTIF(GO$4:GO6,GO6)=1),1,0)</f>
        <v/>
      </c>
      <c r="GQ6">
        <f>IF(ROW()-3&gt;MAX(GP$4:GP$40),"",INDEX(GO$4:GO$40,MATCH(ROW()-3,GP$4:GP$40,0)))</f>
        <v/>
      </c>
      <c r="GR6">
        <f>IF('Final Calculation Sheet'!$B$6="","",IF(TRIM('Final Calculation Sheet'!$G$2)="",'Final Calculation Sheet'!$B$6,IF(TRIM('Final Calculation Sheet'!$G$2)="(nonblank)",IF('Final Calculation Sheet'!$G$6&lt;&gt;"",'Final Calculation Sheet'!$B$6,""),IF(TRIM('Final Calculation Sheet'!$G$2)="(blank)",IF('Final Calculation Sheet'!$G$6="",'Final Calculation Sheet'!$B$6,""),IF(ISNUMBER(SEARCH(TRIM('Final Calculation Sheet'!$G$2),'Final Calculation Sheet'!$G$6)),'Final Calculation Sheet'!$B$6,"")))))</f>
        <v/>
      </c>
      <c r="GS6">
        <f>IF(GR6="","",COUNTIFS(GR$4:GR$40,"&lt;"&amp;GR6,GR$4:GR$40,"&lt;&gt;"&amp;"")+COUNTIF(GR$4:GR6,GR6))</f>
        <v/>
      </c>
      <c r="GT6">
        <f>IF(ROW()-3&gt;COUNTIF(GR$4:GR$40,"&lt;&gt;"&amp;""),"",INDEX(GR$4:GR$40,MATCH(ROW()-3,GS$4:GS$40,0)))</f>
        <v/>
      </c>
      <c r="GU6">
        <f>GU5+IF(AND(GT6&lt;&gt;"",COUNTIF(GT$4:GT6,GT6)=1),1,0)</f>
        <v/>
      </c>
      <c r="GV6">
        <f>IF(ROW()-3&gt;MAX(GU$4:GU$40),"",INDEX(GT$4:GT$40,MATCH(ROW()-3,GU$4:GU$40,0)))</f>
        <v/>
      </c>
      <c r="GW6">
        <f>IF('Final Calculation Sheet'!$B$6="","",IF(TRIM('Buyer Groups'!$C$4)="",'Final Calculation Sheet'!$B$6,IF(TRIM('Buyer Groups'!$C$4)="(nonblank)",IF('Final Calculation Sheet'!$G$6&lt;&gt;"",'Final Calculation Sheet'!$B$6,""),IF(TRIM('Buyer Groups'!$C$4)="(blank)",IF('Final Calculation Sheet'!$G$6="",'Final Calculation Sheet'!$B$6,""),IF(ISNUMBER(SEARCH(TRIM('Buyer Groups'!$C$4),'Final Calculation Sheet'!$G$6)),'Final Calculation Sheet'!$B$6,"")))))</f>
        <v/>
      </c>
      <c r="GX6">
        <f>IF(GW6="","",COUNTIFS(GW$4:GW$40,"&lt;"&amp;GW6,GW$4:GW$40,"&lt;&gt;"&amp;"")+COUNTIF(GW$4:GW6,GW6))</f>
        <v/>
      </c>
      <c r="GY6">
        <f>IF(ROW()-3&gt;COUNTIF(GW$4:GW$40,"&lt;&gt;"&amp;""),"",INDEX(GW$4:GW$40,MATCH(ROW()-3,GX$4:GX$40,0)))</f>
        <v/>
      </c>
      <c r="GZ6">
        <f>GZ5+IF(AND(GY6&lt;&gt;"",COUNTIF(GY$4:GY6,GY6)=1),1,0)</f>
        <v/>
      </c>
      <c r="HA6">
        <f>IF(ROW()-3&gt;MAX(GZ$4:GZ$40),"",INDEX(GY$4:GY$40,MATCH(ROW()-3,GZ$4:GZ$40,0)))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IF('Final Calculation Sheet'!$F$7="","",IF(TRIM('Final Calculation Sheet'!$G$2)="",'Final Calculation Sheet'!$F$7,IF(TRIM('Final Calculation Sheet'!$G$2)="(nonblank)",IF('Final Calculation Sheet'!$G$7&lt;&gt;"",'Final Calculation Sheet'!$F$7,""),IF(TRIM('Final Calculation Sheet'!$G$2)="(blank)",IF('Final Calculation Sheet'!$G$7="",'Final Calculation Sheet'!$F$7,""),IF(ISNUMBER(SEARCH(TRIM('Final Calculation Sheet'!$G$2),'Final Calculation Sheet'!$G$7)),'Final Calculation Sheet'!$F$7,"")))))</f>
        <v/>
      </c>
      <c r="GD7">
        <f>IF(GC7="","",COUNTIFS(GC$4:GC$40,"&lt;"&amp;GC7,GC$4:GC$40,"&lt;&gt;"&amp;"")+COUNTIF(GC$4:GC7,GC7))</f>
        <v/>
      </c>
      <c r="GE7">
        <f>IF(ROW()-3&gt;COUNTIF(GC$4:GC$40,"&lt;&gt;"&amp;""),"",INDEX(GC$4:GC$40,MATCH(ROW()-3,GD$4:GD$40,0)))</f>
        <v/>
      </c>
      <c r="GF7">
        <f>GF6+IF(AND(GE7&lt;&gt;"",COUNTIF(GE$4:GE7,GE7)=1),1,0)</f>
        <v/>
      </c>
      <c r="GG7">
        <f>IF(ROW()-3&gt;MAX(GF$4:GF$40),"",INDEX(GE$4:GE$40,MATCH(ROW()-3,GF$4:GF$40,0)))</f>
        <v/>
      </c>
      <c r="GH7">
        <f>IF('Final Calculation Sheet'!$F$7="","",IF('Live Search'!$BO$8=1,'Final Calculation Sheet'!$F$7,""))</f>
        <v/>
      </c>
      <c r="GI7">
        <f>IF(GH7="","",COUNTIFS(GH$4:GH$40,"&lt;"&amp;GH7,GH$4:GH$40,"&lt;&gt;"&amp;"")+COUNTIF(GH$4:GH7,GH7))</f>
        <v/>
      </c>
      <c r="GJ7">
        <f>IF(ROW()-3&gt;COUNTIF(GH$4:GH$40,"&lt;&gt;"&amp;""),"",INDEX(GH$4:GH$40,MATCH(ROW()-3,GI$4:GI$40,0)))</f>
        <v/>
      </c>
      <c r="GK7">
        <f>GK6+IF(AND(GJ7&lt;&gt;"",COUNTIF(GJ$4:GJ7,GJ7)=1),1,0)</f>
        <v/>
      </c>
      <c r="GL7">
        <f>IF(ROW()-3&gt;MAX(GK$4:GK$40),"",INDEX(GJ$4:GJ$40,MATCH(ROW()-3,GK$4:GK$40,0)))</f>
        <v/>
      </c>
      <c r="GM7">
        <f>IF('Final Calculation Sheet'!$F$7="","",IF(TRIM('Buyer Groups'!$C$4)="",'Final Calculation Sheet'!$F$7,IF(TRIM('Buyer Groups'!$C$4)="(nonblank)",IF('Final Calculation Sheet'!$G$7&lt;&gt;"",'Final Calculation Sheet'!$F$7,""),IF(TRIM('Buyer Groups'!$C$4)="(blank)",IF('Final Calculation Sheet'!$G$7="",'Final Calculation Sheet'!$F$7,""),IF(ISNUMBER(SEARCH(TRIM('Buyer Groups'!$C$4),'Final Calculation Sheet'!$G$7)),'Final Calculation Sheet'!$F$7,"")))))</f>
        <v/>
      </c>
      <c r="GN7">
        <f>IF(GM7="","",COUNTIFS(GM$4:GM$40,"&lt;"&amp;GM7,GM$4:GM$40,"&lt;&gt;"&amp;"")+COUNTIF(GM$4:GM7,GM7))</f>
        <v/>
      </c>
      <c r="GO7">
        <f>IF(ROW()-3&gt;COUNTIF(GM$4:GM$40,"&lt;&gt;"&amp;""),"",INDEX(GM$4:GM$40,MATCH(ROW()-3,GN$4:GN$40,0)))</f>
        <v/>
      </c>
      <c r="GP7">
        <f>GP6+IF(AND(GO7&lt;&gt;"",COUNTIF(GO$4:GO7,GO7)=1),1,0)</f>
        <v/>
      </c>
      <c r="GQ7">
        <f>IF(ROW()-3&gt;MAX(GP$4:GP$40),"",INDEX(GO$4:GO$40,MATCH(ROW()-3,GP$4:GP$40,0)))</f>
        <v/>
      </c>
      <c r="GR7">
        <f>IF('Final Calculation Sheet'!$B$7="","",IF(TRIM('Final Calculation Sheet'!$G$2)="",'Final Calculation Sheet'!$B$7,IF(TRIM('Final Calculation Sheet'!$G$2)="(nonblank)",IF('Final Calculation Sheet'!$G$7&lt;&gt;"",'Final Calculation Sheet'!$B$7,""),IF(TRIM('Final Calculation Sheet'!$G$2)="(blank)",IF('Final Calculation Sheet'!$G$7="",'Final Calculation Sheet'!$B$7,""),IF(ISNUMBER(SEARCH(TRIM('Final Calculation Sheet'!$G$2),'Final Calculation Sheet'!$G$7)),'Final Calculation Sheet'!$B$7,"")))))</f>
        <v/>
      </c>
      <c r="GS7">
        <f>IF(GR7="","",COUNTIFS(GR$4:GR$40,"&lt;"&amp;GR7,GR$4:GR$40,"&lt;&gt;"&amp;"")+COUNTIF(GR$4:GR7,GR7))</f>
        <v/>
      </c>
      <c r="GT7">
        <f>IF(ROW()-3&gt;COUNTIF(GR$4:GR$40,"&lt;&gt;"&amp;""),"",INDEX(GR$4:GR$40,MATCH(ROW()-3,GS$4:GS$40,0)))</f>
        <v/>
      </c>
      <c r="GU7">
        <f>GU6+IF(AND(GT7&lt;&gt;"",COUNTIF(GT$4:GT7,GT7)=1),1,0)</f>
        <v/>
      </c>
      <c r="GV7">
        <f>IF(ROW()-3&gt;MAX(GU$4:GU$40),"",INDEX(GT$4:GT$40,MATCH(ROW()-3,GU$4:GU$40,0)))</f>
        <v/>
      </c>
      <c r="GW7">
        <f>IF('Final Calculation Sheet'!$B$7="","",IF(TRIM('Buyer Groups'!$C$4)="",'Final Calculation Sheet'!$B$7,IF(TRIM('Buyer Groups'!$C$4)="(nonblank)",IF('Final Calculation Sheet'!$G$7&lt;&gt;"",'Final Calculation Sheet'!$B$7,""),IF(TRIM('Buyer Groups'!$C$4)="(blank)",IF('Final Calculation Sheet'!$G$7="",'Final Calculation Sheet'!$B$7,""),IF(ISNUMBER(SEARCH(TRIM('Buyer Groups'!$C$4),'Final Calculation Sheet'!$G$7)),'Final Calculation Sheet'!$B$7,"")))))</f>
        <v/>
      </c>
      <c r="GX7">
        <f>IF(GW7="","",COUNTIFS(GW$4:GW$40,"&lt;"&amp;GW7,GW$4:GW$40,"&lt;&gt;"&amp;"")+COUNTIF(GW$4:GW7,GW7))</f>
        <v/>
      </c>
      <c r="GY7">
        <f>IF(ROW()-3&gt;COUNTIF(GW$4:GW$40,"&lt;&gt;"&amp;""),"",INDEX(GW$4:GW$40,MATCH(ROW()-3,GX$4:GX$40,0)))</f>
        <v/>
      </c>
      <c r="GZ7">
        <f>GZ6+IF(AND(GY7&lt;&gt;"",COUNTIF(GY$4:GY7,GY7)=1),1,0)</f>
        <v/>
      </c>
      <c r="HA7">
        <f>IF(ROW()-3&gt;MAX(GZ$4:GZ$40),"",INDEX(GY$4:GY$40,MATCH(ROW()-3,GZ$4:GZ$40,0)))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IF('Final Calculation Sheet'!$F$8="","",IF(TRIM('Final Calculation Sheet'!$G$2)="",'Final Calculation Sheet'!$F$8,IF(TRIM('Final Calculation Sheet'!$G$2)="(nonblank)",IF('Final Calculation Sheet'!$G$8&lt;&gt;"",'Final Calculation Sheet'!$F$8,""),IF(TRIM('Final Calculation Sheet'!$G$2)="(blank)",IF('Final Calculation Sheet'!$G$8="",'Final Calculation Sheet'!$F$8,""),IF(ISNUMBER(SEARCH(TRIM('Final Calculation Sheet'!$G$2),'Final Calculation Sheet'!$G$8)),'Final Calculation Sheet'!$F$8,"")))))</f>
        <v/>
      </c>
      <c r="GD8">
        <f>IF(GC8="","",COUNTIFS(GC$4:GC$40,"&lt;"&amp;GC8,GC$4:GC$40,"&lt;&gt;"&amp;"")+COUNTIF(GC$4:GC8,GC8))</f>
        <v/>
      </c>
      <c r="GE8">
        <f>IF(ROW()-3&gt;COUNTIF(GC$4:GC$40,"&lt;&gt;"&amp;""),"",INDEX(GC$4:GC$40,MATCH(ROW()-3,GD$4:GD$40,0)))</f>
        <v/>
      </c>
      <c r="GF8">
        <f>GF7+IF(AND(GE8&lt;&gt;"",COUNTIF(GE$4:GE8,GE8)=1),1,0)</f>
        <v/>
      </c>
      <c r="GG8">
        <f>IF(ROW()-3&gt;MAX(GF$4:GF$40),"",INDEX(GE$4:GE$40,MATCH(ROW()-3,GF$4:GF$40,0)))</f>
        <v/>
      </c>
      <c r="GH8">
        <f>IF('Final Calculation Sheet'!$F$8="","",IF('Live Search'!$BO$9=1,'Final Calculation Sheet'!$F$8,""))</f>
        <v/>
      </c>
      <c r="GI8">
        <f>IF(GH8="","",COUNTIFS(GH$4:GH$40,"&lt;"&amp;GH8,GH$4:GH$40,"&lt;&gt;"&amp;"")+COUNTIF(GH$4:GH8,GH8))</f>
        <v/>
      </c>
      <c r="GJ8">
        <f>IF(ROW()-3&gt;COUNTIF(GH$4:GH$40,"&lt;&gt;"&amp;""),"",INDEX(GH$4:GH$40,MATCH(ROW()-3,GI$4:GI$40,0)))</f>
        <v/>
      </c>
      <c r="GK8">
        <f>GK7+IF(AND(GJ8&lt;&gt;"",COUNTIF(GJ$4:GJ8,GJ8)=1),1,0)</f>
        <v/>
      </c>
      <c r="GL8">
        <f>IF(ROW()-3&gt;MAX(GK$4:GK$40),"",INDEX(GJ$4:GJ$40,MATCH(ROW()-3,GK$4:GK$40,0)))</f>
        <v/>
      </c>
      <c r="GM8">
        <f>IF('Final Calculation Sheet'!$F$8="","",IF(TRIM('Buyer Groups'!$C$4)="",'Final Calculation Sheet'!$F$8,IF(TRIM('Buyer Groups'!$C$4)="(nonblank)",IF('Final Calculation Sheet'!$G$8&lt;&gt;"",'Final Calculation Sheet'!$F$8,""),IF(TRIM('Buyer Groups'!$C$4)="(blank)",IF('Final Calculation Sheet'!$G$8="",'Final Calculation Sheet'!$F$8,""),IF(ISNUMBER(SEARCH(TRIM('Buyer Groups'!$C$4),'Final Calculation Sheet'!$G$8)),'Final Calculation Sheet'!$F$8,"")))))</f>
        <v/>
      </c>
      <c r="GN8">
        <f>IF(GM8="","",COUNTIFS(GM$4:GM$40,"&lt;"&amp;GM8,GM$4:GM$40,"&lt;&gt;"&amp;"")+COUNTIF(GM$4:GM8,GM8))</f>
        <v/>
      </c>
      <c r="GO8">
        <f>IF(ROW()-3&gt;COUNTIF(GM$4:GM$40,"&lt;&gt;"&amp;""),"",INDEX(GM$4:GM$40,MATCH(ROW()-3,GN$4:GN$40,0)))</f>
        <v/>
      </c>
      <c r="GP8">
        <f>GP7+IF(AND(GO8&lt;&gt;"",COUNTIF(GO$4:GO8,GO8)=1),1,0)</f>
        <v/>
      </c>
      <c r="GQ8">
        <f>IF(ROW()-3&gt;MAX(GP$4:GP$40),"",INDEX(GO$4:GO$40,MATCH(ROW()-3,GP$4:GP$40,0)))</f>
        <v/>
      </c>
      <c r="GR8">
        <f>IF('Final Calculation Sheet'!$B$8="","",IF(TRIM('Final Calculation Sheet'!$G$2)="",'Final Calculation Sheet'!$B$8,IF(TRIM('Final Calculation Sheet'!$G$2)="(nonblank)",IF('Final Calculation Sheet'!$G$8&lt;&gt;"",'Final Calculation Sheet'!$B$8,""),IF(TRIM('Final Calculation Sheet'!$G$2)="(blank)",IF('Final Calculation Sheet'!$G$8="",'Final Calculation Sheet'!$B$8,""),IF(ISNUMBER(SEARCH(TRIM('Final Calculation Sheet'!$G$2),'Final Calculation Sheet'!$G$8)),'Final Calculation Sheet'!$B$8,"")))))</f>
        <v/>
      </c>
      <c r="GS8">
        <f>IF(GR8="","",COUNTIFS(GR$4:GR$40,"&lt;"&amp;GR8,GR$4:GR$40,"&lt;&gt;"&amp;"")+COUNTIF(GR$4:GR8,GR8))</f>
        <v/>
      </c>
      <c r="GT8">
        <f>IF(ROW()-3&gt;COUNTIF(GR$4:GR$40,"&lt;&gt;"&amp;""),"",INDEX(GR$4:GR$40,MATCH(ROW()-3,GS$4:GS$40,0)))</f>
        <v/>
      </c>
      <c r="GU8">
        <f>GU7+IF(AND(GT8&lt;&gt;"",COUNTIF(GT$4:GT8,GT8)=1),1,0)</f>
        <v/>
      </c>
      <c r="GV8">
        <f>IF(ROW()-3&gt;MAX(GU$4:GU$40),"",INDEX(GT$4:GT$40,MATCH(ROW()-3,GU$4:GU$40,0)))</f>
        <v/>
      </c>
      <c r="GW8">
        <f>IF('Final Calculation Sheet'!$B$8="","",IF(TRIM('Buyer Groups'!$C$4)="",'Final Calculation Sheet'!$B$8,IF(TRIM('Buyer Groups'!$C$4)="(nonblank)",IF('Final Calculation Sheet'!$G$8&lt;&gt;"",'Final Calculation Sheet'!$B$8,""),IF(TRIM('Buyer Groups'!$C$4)="(blank)",IF('Final Calculation Sheet'!$G$8="",'Final Calculation Sheet'!$B$8,""),IF(ISNUMBER(SEARCH(TRIM('Buyer Groups'!$C$4),'Final Calculation Sheet'!$G$8)),'Final Calculation Sheet'!$B$8,"")))))</f>
        <v/>
      </c>
      <c r="GX8">
        <f>IF(GW8="","",COUNTIFS(GW$4:GW$40,"&lt;"&amp;GW8,GW$4:GW$40,"&lt;&gt;"&amp;"")+COUNTIF(GW$4:GW8,GW8))</f>
        <v/>
      </c>
      <c r="GY8">
        <f>IF(ROW()-3&gt;COUNTIF(GW$4:GW$40,"&lt;&gt;"&amp;""),"",INDEX(GW$4:GW$40,MATCH(ROW()-3,GX$4:GX$40,0)))</f>
        <v/>
      </c>
      <c r="GZ8">
        <f>GZ7+IF(AND(GY8&lt;&gt;"",COUNTIF(GY$4:GY8,GY8)=1),1,0)</f>
        <v/>
      </c>
      <c r="HA8">
        <f>IF(ROW()-3&gt;MAX(GZ$4:GZ$40),"",INDEX(GY$4:GY$40,MATCH(ROW()-3,GZ$4:GZ$40,0)))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IF('Final Calculation Sheet'!$F$9="","",IF(TRIM('Final Calculation Sheet'!$G$2)="",'Final Calculation Sheet'!$F$9,IF(TRIM('Final Calculation Sheet'!$G$2)="(nonblank)",IF('Final Calculation Sheet'!$G$9&lt;&gt;"",'Final Calculation Sheet'!$F$9,""),IF(TRIM('Final Calculation Sheet'!$G$2)="(blank)",IF('Final Calculation Sheet'!$G$9="",'Final Calculation Sheet'!$F$9,""),IF(ISNUMBER(SEARCH(TRIM('Final Calculation Sheet'!$G$2),'Final Calculation Sheet'!$G$9)),'Final Calculation Sheet'!$F$9,"")))))</f>
        <v/>
      </c>
      <c r="GD9">
        <f>IF(GC9="","",COUNTIFS(GC$4:GC$40,"&lt;"&amp;GC9,GC$4:GC$40,"&lt;&gt;"&amp;"")+COUNTIF(GC$4:GC9,GC9))</f>
        <v/>
      </c>
      <c r="GE9">
        <f>IF(ROW()-3&gt;COUNTIF(GC$4:GC$40,"&lt;&gt;"&amp;""),"",INDEX(GC$4:GC$40,MATCH(ROW()-3,GD$4:GD$40,0)))</f>
        <v/>
      </c>
      <c r="GF9">
        <f>GF8+IF(AND(GE9&lt;&gt;"",COUNTIF(GE$4:GE9,GE9)=1),1,0)</f>
        <v/>
      </c>
      <c r="GG9">
        <f>IF(ROW()-3&gt;MAX(GF$4:GF$40),"",INDEX(GE$4:GE$40,MATCH(ROW()-3,GF$4:GF$40,0)))</f>
        <v/>
      </c>
      <c r="GH9">
        <f>IF('Final Calculation Sheet'!$F$9="","",IF('Live Search'!$BO$10=1,'Final Calculation Sheet'!$F$9,""))</f>
        <v/>
      </c>
      <c r="GI9">
        <f>IF(GH9="","",COUNTIFS(GH$4:GH$40,"&lt;"&amp;GH9,GH$4:GH$40,"&lt;&gt;"&amp;"")+COUNTIF(GH$4:GH9,GH9))</f>
        <v/>
      </c>
      <c r="GJ9">
        <f>IF(ROW()-3&gt;COUNTIF(GH$4:GH$40,"&lt;&gt;"&amp;""),"",INDEX(GH$4:GH$40,MATCH(ROW()-3,GI$4:GI$40,0)))</f>
        <v/>
      </c>
      <c r="GK9">
        <f>GK8+IF(AND(GJ9&lt;&gt;"",COUNTIF(GJ$4:GJ9,GJ9)=1),1,0)</f>
        <v/>
      </c>
      <c r="GL9">
        <f>IF(ROW()-3&gt;MAX(GK$4:GK$40),"",INDEX(GJ$4:GJ$40,MATCH(ROW()-3,GK$4:GK$40,0)))</f>
        <v/>
      </c>
      <c r="GM9">
        <f>IF('Final Calculation Sheet'!$F$9="","",IF(TRIM('Buyer Groups'!$C$4)="",'Final Calculation Sheet'!$F$9,IF(TRIM('Buyer Groups'!$C$4)="(nonblank)",IF('Final Calculation Sheet'!$G$9&lt;&gt;"",'Final Calculation Sheet'!$F$9,""),IF(TRIM('Buyer Groups'!$C$4)="(blank)",IF('Final Calculation Sheet'!$G$9="",'Final Calculation Sheet'!$F$9,""),IF(ISNUMBER(SEARCH(TRIM('Buyer Groups'!$C$4),'Final Calculation Sheet'!$G$9)),'Final Calculation Sheet'!$F$9,"")))))</f>
        <v/>
      </c>
      <c r="GN9">
        <f>IF(GM9="","",COUNTIFS(GM$4:GM$40,"&lt;"&amp;GM9,GM$4:GM$40,"&lt;&gt;"&amp;"")+COUNTIF(GM$4:GM9,GM9))</f>
        <v/>
      </c>
      <c r="GO9">
        <f>IF(ROW()-3&gt;COUNTIF(GM$4:GM$40,"&lt;&gt;"&amp;""),"",INDEX(GM$4:GM$40,MATCH(ROW()-3,GN$4:GN$40,0)))</f>
        <v/>
      </c>
      <c r="GP9">
        <f>GP8+IF(AND(GO9&lt;&gt;"",COUNTIF(GO$4:GO9,GO9)=1),1,0)</f>
        <v/>
      </c>
      <c r="GQ9">
        <f>IF(ROW()-3&gt;MAX(GP$4:GP$40),"",INDEX(GO$4:GO$40,MATCH(ROW()-3,GP$4:GP$40,0)))</f>
        <v/>
      </c>
      <c r="GR9">
        <f>IF('Final Calculation Sheet'!$B$9="","",IF(TRIM('Final Calculation Sheet'!$G$2)="",'Final Calculation Sheet'!$B$9,IF(TRIM('Final Calculation Sheet'!$G$2)="(nonblank)",IF('Final Calculation Sheet'!$G$9&lt;&gt;"",'Final Calculation Sheet'!$B$9,""),IF(TRIM('Final Calculation Sheet'!$G$2)="(blank)",IF('Final Calculation Sheet'!$G$9="",'Final Calculation Sheet'!$B$9,""),IF(ISNUMBER(SEARCH(TRIM('Final Calculation Sheet'!$G$2),'Final Calculation Sheet'!$G$9)),'Final Calculation Sheet'!$B$9,"")))))</f>
        <v/>
      </c>
      <c r="GS9">
        <f>IF(GR9="","",COUNTIFS(GR$4:GR$40,"&lt;"&amp;GR9,GR$4:GR$40,"&lt;&gt;"&amp;"")+COUNTIF(GR$4:GR9,GR9))</f>
        <v/>
      </c>
      <c r="GT9">
        <f>IF(ROW()-3&gt;COUNTIF(GR$4:GR$40,"&lt;&gt;"&amp;""),"",INDEX(GR$4:GR$40,MATCH(ROW()-3,GS$4:GS$40,0)))</f>
        <v/>
      </c>
      <c r="GU9">
        <f>GU8+IF(AND(GT9&lt;&gt;"",COUNTIF(GT$4:GT9,GT9)=1),1,0)</f>
        <v/>
      </c>
      <c r="GV9">
        <f>IF(ROW()-3&gt;MAX(GU$4:GU$40),"",INDEX(GT$4:GT$40,MATCH(ROW()-3,GU$4:GU$40,0)))</f>
        <v/>
      </c>
      <c r="GW9">
        <f>IF('Final Calculation Sheet'!$B$9="","",IF(TRIM('Buyer Groups'!$C$4)="",'Final Calculation Sheet'!$B$9,IF(TRIM('Buyer Groups'!$C$4)="(nonblank)",IF('Final Calculation Sheet'!$G$9&lt;&gt;"",'Final Calculation Sheet'!$B$9,""),IF(TRIM('Buyer Groups'!$C$4)="(blank)",IF('Final Calculation Sheet'!$G$9="",'Final Calculation Sheet'!$B$9,""),IF(ISNUMBER(SEARCH(TRIM('Buyer Groups'!$C$4),'Final Calculation Sheet'!$G$9)),'Final Calculation Sheet'!$B$9,"")))))</f>
        <v/>
      </c>
      <c r="GX9">
        <f>IF(GW9="","",COUNTIFS(GW$4:GW$40,"&lt;"&amp;GW9,GW$4:GW$40,"&lt;&gt;"&amp;"")+COUNTIF(GW$4:GW9,GW9))</f>
        <v/>
      </c>
      <c r="GY9">
        <f>IF(ROW()-3&gt;COUNTIF(GW$4:GW$40,"&lt;&gt;"&amp;""),"",INDEX(GW$4:GW$40,MATCH(ROW()-3,GX$4:GX$40,0)))</f>
        <v/>
      </c>
      <c r="GZ9">
        <f>GZ8+IF(AND(GY9&lt;&gt;"",COUNTIF(GY$4:GY9,GY9)=1),1,0)</f>
        <v/>
      </c>
      <c r="HA9">
        <f>IF(ROW()-3&gt;MAX(GZ$4:GZ$40),"",INDEX(GY$4:GY$40,MATCH(ROW()-3,GZ$4:GZ$40,0)))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IF('Final Calculation Sheet'!$F$10="","",IF(TRIM('Final Calculation Sheet'!$G$2)="",'Final Calculation Sheet'!$F$10,IF(TRIM('Final Calculation Sheet'!$G$2)="(nonblank)",IF('Final Calculation Sheet'!$G$10&lt;&gt;"",'Final Calculation Sheet'!$F$10,""),IF(TRIM('Final Calculation Sheet'!$G$2)="(blank)",IF('Final Calculation Sheet'!$G$10="",'Final Calculation Sheet'!$F$10,""),IF(ISNUMBER(SEARCH(TRIM('Final Calculation Sheet'!$G$2),'Final Calculation Sheet'!$G$10)),'Final Calculation Sheet'!$F$10,"")))))</f>
        <v/>
      </c>
      <c r="GD10">
        <f>IF(GC10="","",COUNTIFS(GC$4:GC$40,"&lt;"&amp;GC10,GC$4:GC$40,"&lt;&gt;"&amp;"")+COUNTIF(GC$4:GC10,GC10))</f>
        <v/>
      </c>
      <c r="GE10">
        <f>IF(ROW()-3&gt;COUNTIF(GC$4:GC$40,"&lt;&gt;"&amp;""),"",INDEX(GC$4:GC$40,MATCH(ROW()-3,GD$4:GD$40,0)))</f>
        <v/>
      </c>
      <c r="GF10">
        <f>GF9+IF(AND(GE10&lt;&gt;"",COUNTIF(GE$4:GE10,GE10)=1),1,0)</f>
        <v/>
      </c>
      <c r="GG10">
        <f>IF(ROW()-3&gt;MAX(GF$4:GF$40),"",INDEX(GE$4:GE$40,MATCH(ROW()-3,GF$4:GF$40,0)))</f>
        <v/>
      </c>
      <c r="GH10">
        <f>IF('Final Calculation Sheet'!$F$10="","",IF('Live Search'!$BO$11=1,'Final Calculation Sheet'!$F$10,""))</f>
        <v/>
      </c>
      <c r="GI10">
        <f>IF(GH10="","",COUNTIFS(GH$4:GH$40,"&lt;"&amp;GH10,GH$4:GH$40,"&lt;&gt;"&amp;"")+COUNTIF(GH$4:GH10,GH10))</f>
        <v/>
      </c>
      <c r="GJ10">
        <f>IF(ROW()-3&gt;COUNTIF(GH$4:GH$40,"&lt;&gt;"&amp;""),"",INDEX(GH$4:GH$40,MATCH(ROW()-3,GI$4:GI$40,0)))</f>
        <v/>
      </c>
      <c r="GK10">
        <f>GK9+IF(AND(GJ10&lt;&gt;"",COUNTIF(GJ$4:GJ10,GJ10)=1),1,0)</f>
        <v/>
      </c>
      <c r="GL10">
        <f>IF(ROW()-3&gt;MAX(GK$4:GK$40),"",INDEX(GJ$4:GJ$40,MATCH(ROW()-3,GK$4:GK$40,0)))</f>
        <v/>
      </c>
      <c r="GM10">
        <f>IF('Final Calculation Sheet'!$F$10="","",IF(TRIM('Buyer Groups'!$C$4)="",'Final Calculation Sheet'!$F$10,IF(TRIM('Buyer Groups'!$C$4)="(nonblank)",IF('Final Calculation Sheet'!$G$10&lt;&gt;"",'Final Calculation Sheet'!$F$10,""),IF(TRIM('Buyer Groups'!$C$4)="(blank)",IF('Final Calculation Sheet'!$G$10="",'Final Calculation Sheet'!$F$10,""),IF(ISNUMBER(SEARCH(TRIM('Buyer Groups'!$C$4),'Final Calculation Sheet'!$G$10)),'Final Calculation Sheet'!$F$10,"")))))</f>
        <v/>
      </c>
      <c r="GN10">
        <f>IF(GM10="","",COUNTIFS(GM$4:GM$40,"&lt;"&amp;GM10,GM$4:GM$40,"&lt;&gt;"&amp;"")+COUNTIF(GM$4:GM10,GM10))</f>
        <v/>
      </c>
      <c r="GO10">
        <f>IF(ROW()-3&gt;COUNTIF(GM$4:GM$40,"&lt;&gt;"&amp;""),"",INDEX(GM$4:GM$40,MATCH(ROW()-3,GN$4:GN$40,0)))</f>
        <v/>
      </c>
      <c r="GP10">
        <f>GP9+IF(AND(GO10&lt;&gt;"",COUNTIF(GO$4:GO10,GO10)=1),1,0)</f>
        <v/>
      </c>
      <c r="GQ10">
        <f>IF(ROW()-3&gt;MAX(GP$4:GP$40),"",INDEX(GO$4:GO$40,MATCH(ROW()-3,GP$4:GP$40,0)))</f>
        <v/>
      </c>
      <c r="GR10">
        <f>IF('Final Calculation Sheet'!$B$10="","",IF(TRIM('Final Calculation Sheet'!$G$2)="",'Final Calculation Sheet'!$B$10,IF(TRIM('Final Calculation Sheet'!$G$2)="(nonblank)",IF('Final Calculation Sheet'!$G$10&lt;&gt;"",'Final Calculation Sheet'!$B$10,""),IF(TRIM('Final Calculation Sheet'!$G$2)="(blank)",IF('Final Calculation Sheet'!$G$10="",'Final Calculation Sheet'!$B$10,""),IF(ISNUMBER(SEARCH(TRIM('Final Calculation Sheet'!$G$2),'Final Calculation Sheet'!$G$10)),'Final Calculation Sheet'!$B$10,"")))))</f>
        <v/>
      </c>
      <c r="GS10">
        <f>IF(GR10="","",COUNTIFS(GR$4:GR$40,"&lt;"&amp;GR10,GR$4:GR$40,"&lt;&gt;"&amp;"")+COUNTIF(GR$4:GR10,GR10))</f>
        <v/>
      </c>
      <c r="GT10">
        <f>IF(ROW()-3&gt;COUNTIF(GR$4:GR$40,"&lt;&gt;"&amp;""),"",INDEX(GR$4:GR$40,MATCH(ROW()-3,GS$4:GS$40,0)))</f>
        <v/>
      </c>
      <c r="GU10">
        <f>GU9+IF(AND(GT10&lt;&gt;"",COUNTIF(GT$4:GT10,GT10)=1),1,0)</f>
        <v/>
      </c>
      <c r="GV10">
        <f>IF(ROW()-3&gt;MAX(GU$4:GU$40),"",INDEX(GT$4:GT$40,MATCH(ROW()-3,GU$4:GU$40,0)))</f>
        <v/>
      </c>
      <c r="GW10">
        <f>IF('Final Calculation Sheet'!$B$10="","",IF(TRIM('Buyer Groups'!$C$4)="",'Final Calculation Sheet'!$B$10,IF(TRIM('Buyer Groups'!$C$4)="(nonblank)",IF('Final Calculation Sheet'!$G$10&lt;&gt;"",'Final Calculation Sheet'!$B$10,""),IF(TRIM('Buyer Groups'!$C$4)="(blank)",IF('Final Calculation Sheet'!$G$10="",'Final Calculation Sheet'!$B$10,""),IF(ISNUMBER(SEARCH(TRIM('Buyer Groups'!$C$4),'Final Calculation Sheet'!$G$10)),'Final Calculation Sheet'!$B$10,"")))))</f>
        <v/>
      </c>
      <c r="GX10">
        <f>IF(GW10="","",COUNTIFS(GW$4:GW$40,"&lt;"&amp;GW10,GW$4:GW$40,"&lt;&gt;"&amp;"")+COUNTIF(GW$4:GW10,GW10))</f>
        <v/>
      </c>
      <c r="GY10">
        <f>IF(ROW()-3&gt;COUNTIF(GW$4:GW$40,"&lt;&gt;"&amp;""),"",INDEX(GW$4:GW$40,MATCH(ROW()-3,GX$4:GX$40,0)))</f>
        <v/>
      </c>
      <c r="GZ10">
        <f>GZ9+IF(AND(GY10&lt;&gt;"",COUNTIF(GY$4:GY10,GY10)=1),1,0)</f>
        <v/>
      </c>
      <c r="HA10">
        <f>IF(ROW()-3&gt;MAX(GZ$4:GZ$40),"",INDEX(GY$4:GY$40,MATCH(ROW()-3,GZ$4:GZ$40,0)))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IF('Final Calculation Sheet'!$F$11="","",IF(TRIM('Final Calculation Sheet'!$G$2)="",'Final Calculation Sheet'!$F$11,IF(TRIM('Final Calculation Sheet'!$G$2)="(nonblank)",IF('Final Calculation Sheet'!$G$11&lt;&gt;"",'Final Calculation Sheet'!$F$11,""),IF(TRIM('Final Calculation Sheet'!$G$2)="(blank)",IF('Final Calculation Sheet'!$G$11="",'Final Calculation Sheet'!$F$11,""),IF(ISNUMBER(SEARCH(TRIM('Final Calculation Sheet'!$G$2),'Final Calculation Sheet'!$G$11)),'Final Calculation Sheet'!$F$11,"")))))</f>
        <v/>
      </c>
      <c r="GD11">
        <f>IF(GC11="","",COUNTIFS(GC$4:GC$40,"&lt;"&amp;GC11,GC$4:GC$40,"&lt;&gt;"&amp;"")+COUNTIF(GC$4:GC11,GC11))</f>
        <v/>
      </c>
      <c r="GE11">
        <f>IF(ROW()-3&gt;COUNTIF(GC$4:GC$40,"&lt;&gt;"&amp;""),"",INDEX(GC$4:GC$40,MATCH(ROW()-3,GD$4:GD$40,0)))</f>
        <v/>
      </c>
      <c r="GF11">
        <f>GF10+IF(AND(GE11&lt;&gt;"",COUNTIF(GE$4:GE11,GE11)=1),1,0)</f>
        <v/>
      </c>
      <c r="GG11">
        <f>IF(ROW()-3&gt;MAX(GF$4:GF$40),"",INDEX(GE$4:GE$40,MATCH(ROW()-3,GF$4:GF$40,0)))</f>
        <v/>
      </c>
      <c r="GH11">
        <f>IF('Final Calculation Sheet'!$F$11="","",IF('Live Search'!$BO$12=1,'Final Calculation Sheet'!$F$11,""))</f>
        <v/>
      </c>
      <c r="GI11">
        <f>IF(GH11="","",COUNTIFS(GH$4:GH$40,"&lt;"&amp;GH11,GH$4:GH$40,"&lt;&gt;"&amp;"")+COUNTIF(GH$4:GH11,GH11))</f>
        <v/>
      </c>
      <c r="GJ11">
        <f>IF(ROW()-3&gt;COUNTIF(GH$4:GH$40,"&lt;&gt;"&amp;""),"",INDEX(GH$4:GH$40,MATCH(ROW()-3,GI$4:GI$40,0)))</f>
        <v/>
      </c>
      <c r="GK11">
        <f>GK10+IF(AND(GJ11&lt;&gt;"",COUNTIF(GJ$4:GJ11,GJ11)=1),1,0)</f>
        <v/>
      </c>
      <c r="GL11">
        <f>IF(ROW()-3&gt;MAX(GK$4:GK$40),"",INDEX(GJ$4:GJ$40,MATCH(ROW()-3,GK$4:GK$40,0)))</f>
        <v/>
      </c>
      <c r="GM11">
        <f>IF('Final Calculation Sheet'!$F$11="","",IF(TRIM('Buyer Groups'!$C$4)="",'Final Calculation Sheet'!$F$11,IF(TRIM('Buyer Groups'!$C$4)="(nonblank)",IF('Final Calculation Sheet'!$G$11&lt;&gt;"",'Final Calculation Sheet'!$F$11,""),IF(TRIM('Buyer Groups'!$C$4)="(blank)",IF('Final Calculation Sheet'!$G$11="",'Final Calculation Sheet'!$F$11,""),IF(ISNUMBER(SEARCH(TRIM('Buyer Groups'!$C$4),'Final Calculation Sheet'!$G$11)),'Final Calculation Sheet'!$F$11,"")))))</f>
        <v/>
      </c>
      <c r="GN11">
        <f>IF(GM11="","",COUNTIFS(GM$4:GM$40,"&lt;"&amp;GM11,GM$4:GM$40,"&lt;&gt;"&amp;"")+COUNTIF(GM$4:GM11,GM11))</f>
        <v/>
      </c>
      <c r="GO11">
        <f>IF(ROW()-3&gt;COUNTIF(GM$4:GM$40,"&lt;&gt;"&amp;""),"",INDEX(GM$4:GM$40,MATCH(ROW()-3,GN$4:GN$40,0)))</f>
        <v/>
      </c>
      <c r="GP11">
        <f>GP10+IF(AND(GO11&lt;&gt;"",COUNTIF(GO$4:GO11,GO11)=1),1,0)</f>
        <v/>
      </c>
      <c r="GQ11">
        <f>IF(ROW()-3&gt;MAX(GP$4:GP$40),"",INDEX(GO$4:GO$40,MATCH(ROW()-3,GP$4:GP$40,0)))</f>
        <v/>
      </c>
      <c r="GR11">
        <f>IF('Final Calculation Sheet'!$B$11="","",IF(TRIM('Final Calculation Sheet'!$G$2)="",'Final Calculation Sheet'!$B$11,IF(TRIM('Final Calculation Sheet'!$G$2)="(nonblank)",IF('Final Calculation Sheet'!$G$11&lt;&gt;"",'Final Calculation Sheet'!$B$11,""),IF(TRIM('Final Calculation Sheet'!$G$2)="(blank)",IF('Final Calculation Sheet'!$G$11="",'Final Calculation Sheet'!$B$11,""),IF(ISNUMBER(SEARCH(TRIM('Final Calculation Sheet'!$G$2),'Final Calculation Sheet'!$G$11)),'Final Calculation Sheet'!$B$11,"")))))</f>
        <v/>
      </c>
      <c r="GS11">
        <f>IF(GR11="","",COUNTIFS(GR$4:GR$40,"&lt;"&amp;GR11,GR$4:GR$40,"&lt;&gt;"&amp;"")+COUNTIF(GR$4:GR11,GR11))</f>
        <v/>
      </c>
      <c r="GT11">
        <f>IF(ROW()-3&gt;COUNTIF(GR$4:GR$40,"&lt;&gt;"&amp;""),"",INDEX(GR$4:GR$40,MATCH(ROW()-3,GS$4:GS$40,0)))</f>
        <v/>
      </c>
      <c r="GU11">
        <f>GU10+IF(AND(GT11&lt;&gt;"",COUNTIF(GT$4:GT11,GT11)=1),1,0)</f>
        <v/>
      </c>
      <c r="GV11">
        <f>IF(ROW()-3&gt;MAX(GU$4:GU$40),"",INDEX(GT$4:GT$40,MATCH(ROW()-3,GU$4:GU$40,0)))</f>
        <v/>
      </c>
      <c r="GW11">
        <f>IF('Final Calculation Sheet'!$B$11="","",IF(TRIM('Buyer Groups'!$C$4)="",'Final Calculation Sheet'!$B$11,IF(TRIM('Buyer Groups'!$C$4)="(nonblank)",IF('Final Calculation Sheet'!$G$11&lt;&gt;"",'Final Calculation Sheet'!$B$11,""),IF(TRIM('Buyer Groups'!$C$4)="(blank)",IF('Final Calculation Sheet'!$G$11="",'Final Calculation Sheet'!$B$11,""),IF(ISNUMBER(SEARCH(TRIM('Buyer Groups'!$C$4),'Final Calculation Sheet'!$G$11)),'Final Calculation Sheet'!$B$11,"")))))</f>
        <v/>
      </c>
      <c r="GX11">
        <f>IF(GW11="","",COUNTIFS(GW$4:GW$40,"&lt;"&amp;GW11,GW$4:GW$40,"&lt;&gt;"&amp;"")+COUNTIF(GW$4:GW11,GW11))</f>
        <v/>
      </c>
      <c r="GY11">
        <f>IF(ROW()-3&gt;COUNTIF(GW$4:GW$40,"&lt;&gt;"&amp;""),"",INDEX(GW$4:GW$40,MATCH(ROW()-3,GX$4:GX$40,0)))</f>
        <v/>
      </c>
      <c r="GZ11">
        <f>GZ10+IF(AND(GY11&lt;&gt;"",COUNTIF(GY$4:GY11,GY11)=1),1,0)</f>
        <v/>
      </c>
      <c r="HA11">
        <f>IF(ROW()-3&gt;MAX(GZ$4:GZ$40),"",INDEX(GY$4:GY$40,MATCH(ROW()-3,GZ$4:GZ$40,0)))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IF('Final Calculation Sheet'!$F$12="","",IF(TRIM('Final Calculation Sheet'!$G$2)="",'Final Calculation Sheet'!$F$12,IF(TRIM('Final Calculation Sheet'!$G$2)="(nonblank)",IF('Final Calculation Sheet'!$G$12&lt;&gt;"",'Final Calculation Sheet'!$F$12,""),IF(TRIM('Final Calculation Sheet'!$G$2)="(blank)",IF('Final Calculation Sheet'!$G$12="",'Final Calculation Sheet'!$F$12,""),IF(ISNUMBER(SEARCH(TRIM('Final Calculation Sheet'!$G$2),'Final Calculation Sheet'!$G$12)),'Final Calculation Sheet'!$F$12,"")))))</f>
        <v/>
      </c>
      <c r="GD12">
        <f>IF(GC12="","",COUNTIFS(GC$4:GC$40,"&lt;"&amp;GC12,GC$4:GC$40,"&lt;&gt;"&amp;"")+COUNTIF(GC$4:GC12,GC12))</f>
        <v/>
      </c>
      <c r="GE12">
        <f>IF(ROW()-3&gt;COUNTIF(GC$4:GC$40,"&lt;&gt;"&amp;""),"",INDEX(GC$4:GC$40,MATCH(ROW()-3,GD$4:GD$40,0)))</f>
        <v/>
      </c>
      <c r="GF12">
        <f>GF11+IF(AND(GE12&lt;&gt;"",COUNTIF(GE$4:GE12,GE12)=1),1,0)</f>
        <v/>
      </c>
      <c r="GG12">
        <f>IF(ROW()-3&gt;MAX(GF$4:GF$40),"",INDEX(GE$4:GE$40,MATCH(ROW()-3,GF$4:GF$40,0)))</f>
        <v/>
      </c>
      <c r="GH12">
        <f>IF('Final Calculation Sheet'!$F$12="","",IF('Live Search'!$BO$13=1,'Final Calculation Sheet'!$F$12,""))</f>
        <v/>
      </c>
      <c r="GI12">
        <f>IF(GH12="","",COUNTIFS(GH$4:GH$40,"&lt;"&amp;GH12,GH$4:GH$40,"&lt;&gt;"&amp;"")+COUNTIF(GH$4:GH12,GH12))</f>
        <v/>
      </c>
      <c r="GJ12">
        <f>IF(ROW()-3&gt;COUNTIF(GH$4:GH$40,"&lt;&gt;"&amp;""),"",INDEX(GH$4:GH$40,MATCH(ROW()-3,GI$4:GI$40,0)))</f>
        <v/>
      </c>
      <c r="GK12">
        <f>GK11+IF(AND(GJ12&lt;&gt;"",COUNTIF(GJ$4:GJ12,GJ12)=1),1,0)</f>
        <v/>
      </c>
      <c r="GL12">
        <f>IF(ROW()-3&gt;MAX(GK$4:GK$40),"",INDEX(GJ$4:GJ$40,MATCH(ROW()-3,GK$4:GK$40,0)))</f>
        <v/>
      </c>
      <c r="GM12">
        <f>IF('Final Calculation Sheet'!$F$12="","",IF(TRIM('Buyer Groups'!$C$4)="",'Final Calculation Sheet'!$F$12,IF(TRIM('Buyer Groups'!$C$4)="(nonblank)",IF('Final Calculation Sheet'!$G$12&lt;&gt;"",'Final Calculation Sheet'!$F$12,""),IF(TRIM('Buyer Groups'!$C$4)="(blank)",IF('Final Calculation Sheet'!$G$12="",'Final Calculation Sheet'!$F$12,""),IF(ISNUMBER(SEARCH(TRIM('Buyer Groups'!$C$4),'Final Calculation Sheet'!$G$12)),'Final Calculation Sheet'!$F$12,"")))))</f>
        <v/>
      </c>
      <c r="GN12">
        <f>IF(GM12="","",COUNTIFS(GM$4:GM$40,"&lt;"&amp;GM12,GM$4:GM$40,"&lt;&gt;"&amp;"")+COUNTIF(GM$4:GM12,GM12))</f>
        <v/>
      </c>
      <c r="GO12">
        <f>IF(ROW()-3&gt;COUNTIF(GM$4:GM$40,"&lt;&gt;"&amp;""),"",INDEX(GM$4:GM$40,MATCH(ROW()-3,GN$4:GN$40,0)))</f>
        <v/>
      </c>
      <c r="GP12">
        <f>GP11+IF(AND(GO12&lt;&gt;"",COUNTIF(GO$4:GO12,GO12)=1),1,0)</f>
        <v/>
      </c>
      <c r="GQ12">
        <f>IF(ROW()-3&gt;MAX(GP$4:GP$40),"",INDEX(GO$4:GO$40,MATCH(ROW()-3,GP$4:GP$40,0)))</f>
        <v/>
      </c>
      <c r="GR12">
        <f>IF('Final Calculation Sheet'!$B$12="","",IF(TRIM('Final Calculation Sheet'!$G$2)="",'Final Calculation Sheet'!$B$12,IF(TRIM('Final Calculation Sheet'!$G$2)="(nonblank)",IF('Final Calculation Sheet'!$G$12&lt;&gt;"",'Final Calculation Sheet'!$B$12,""),IF(TRIM('Final Calculation Sheet'!$G$2)="(blank)",IF('Final Calculation Sheet'!$G$12="",'Final Calculation Sheet'!$B$12,""),IF(ISNUMBER(SEARCH(TRIM('Final Calculation Sheet'!$G$2),'Final Calculation Sheet'!$G$12)),'Final Calculation Sheet'!$B$12,"")))))</f>
        <v/>
      </c>
      <c r="GS12">
        <f>IF(GR12="","",COUNTIFS(GR$4:GR$40,"&lt;"&amp;GR12,GR$4:GR$40,"&lt;&gt;"&amp;"")+COUNTIF(GR$4:GR12,GR12))</f>
        <v/>
      </c>
      <c r="GT12">
        <f>IF(ROW()-3&gt;COUNTIF(GR$4:GR$40,"&lt;&gt;"&amp;""),"",INDEX(GR$4:GR$40,MATCH(ROW()-3,GS$4:GS$40,0)))</f>
        <v/>
      </c>
      <c r="GU12">
        <f>GU11+IF(AND(GT12&lt;&gt;"",COUNTIF(GT$4:GT12,GT12)=1),1,0)</f>
        <v/>
      </c>
      <c r="GV12">
        <f>IF(ROW()-3&gt;MAX(GU$4:GU$40),"",INDEX(GT$4:GT$40,MATCH(ROW()-3,GU$4:GU$40,0)))</f>
        <v/>
      </c>
      <c r="GW12">
        <f>IF('Final Calculation Sheet'!$B$12="","",IF(TRIM('Buyer Groups'!$C$4)="",'Final Calculation Sheet'!$B$12,IF(TRIM('Buyer Groups'!$C$4)="(nonblank)",IF('Final Calculation Sheet'!$G$12&lt;&gt;"",'Final Calculation Sheet'!$B$12,""),IF(TRIM('Buyer Groups'!$C$4)="(blank)",IF('Final Calculation Sheet'!$G$12="",'Final Calculation Sheet'!$B$12,""),IF(ISNUMBER(SEARCH(TRIM('Buyer Groups'!$C$4),'Final Calculation Sheet'!$G$12)),'Final Calculation Sheet'!$B$12,"")))))</f>
        <v/>
      </c>
      <c r="GX12">
        <f>IF(GW12="","",COUNTIFS(GW$4:GW$40,"&lt;"&amp;GW12,GW$4:GW$40,"&lt;&gt;"&amp;"")+COUNTIF(GW$4:GW12,GW12))</f>
        <v/>
      </c>
      <c r="GY12">
        <f>IF(ROW()-3&gt;COUNTIF(GW$4:GW$40,"&lt;&gt;"&amp;""),"",INDEX(GW$4:GW$40,MATCH(ROW()-3,GX$4:GX$40,0)))</f>
        <v/>
      </c>
      <c r="GZ12">
        <f>GZ11+IF(AND(GY12&lt;&gt;"",COUNTIF(GY$4:GY12,GY12)=1),1,0)</f>
        <v/>
      </c>
      <c r="HA12">
        <f>IF(ROW()-3&gt;MAX(GZ$4:GZ$40),"",INDEX(GY$4:GY$40,MATCH(ROW()-3,GZ$4:GZ$40,0)))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IF('Final Calculation Sheet'!$F$13="","",IF(TRIM('Final Calculation Sheet'!$G$2)="",'Final Calculation Sheet'!$F$13,IF(TRIM('Final Calculation Sheet'!$G$2)="(nonblank)",IF('Final Calculation Sheet'!$G$13&lt;&gt;"",'Final Calculation Sheet'!$F$13,""),IF(TRIM('Final Calculation Sheet'!$G$2)="(blank)",IF('Final Calculation Sheet'!$G$13="",'Final Calculation Sheet'!$F$13,""),IF(ISNUMBER(SEARCH(TRIM('Final Calculation Sheet'!$G$2),'Final Calculation Sheet'!$G$13)),'Final Calculation Sheet'!$F$13,"")))))</f>
        <v/>
      </c>
      <c r="GD13">
        <f>IF(GC13="","",COUNTIFS(GC$4:GC$40,"&lt;"&amp;GC13,GC$4:GC$40,"&lt;&gt;"&amp;"")+COUNTIF(GC$4:GC13,GC13))</f>
        <v/>
      </c>
      <c r="GE13">
        <f>IF(ROW()-3&gt;COUNTIF(GC$4:GC$40,"&lt;&gt;"&amp;""),"",INDEX(GC$4:GC$40,MATCH(ROW()-3,GD$4:GD$40,0)))</f>
        <v/>
      </c>
      <c r="GF13">
        <f>GF12+IF(AND(GE13&lt;&gt;"",COUNTIF(GE$4:GE13,GE13)=1),1,0)</f>
        <v/>
      </c>
      <c r="GG13">
        <f>IF(ROW()-3&gt;MAX(GF$4:GF$40),"",INDEX(GE$4:GE$40,MATCH(ROW()-3,GF$4:GF$40,0)))</f>
        <v/>
      </c>
      <c r="GH13">
        <f>IF('Final Calculation Sheet'!$F$13="","",IF('Live Search'!$BO$14=1,'Final Calculation Sheet'!$F$13,""))</f>
        <v/>
      </c>
      <c r="GI13">
        <f>IF(GH13="","",COUNTIFS(GH$4:GH$40,"&lt;"&amp;GH13,GH$4:GH$40,"&lt;&gt;"&amp;"")+COUNTIF(GH$4:GH13,GH13))</f>
        <v/>
      </c>
      <c r="GJ13">
        <f>IF(ROW()-3&gt;COUNTIF(GH$4:GH$40,"&lt;&gt;"&amp;""),"",INDEX(GH$4:GH$40,MATCH(ROW()-3,GI$4:GI$40,0)))</f>
        <v/>
      </c>
      <c r="GK13">
        <f>GK12+IF(AND(GJ13&lt;&gt;"",COUNTIF(GJ$4:GJ13,GJ13)=1),1,0)</f>
        <v/>
      </c>
      <c r="GL13">
        <f>IF(ROW()-3&gt;MAX(GK$4:GK$40),"",INDEX(GJ$4:GJ$40,MATCH(ROW()-3,GK$4:GK$40,0)))</f>
        <v/>
      </c>
      <c r="GM13">
        <f>IF('Final Calculation Sheet'!$F$13="","",IF(TRIM('Buyer Groups'!$C$4)="",'Final Calculation Sheet'!$F$13,IF(TRIM('Buyer Groups'!$C$4)="(nonblank)",IF('Final Calculation Sheet'!$G$13&lt;&gt;"",'Final Calculation Sheet'!$F$13,""),IF(TRIM('Buyer Groups'!$C$4)="(blank)",IF('Final Calculation Sheet'!$G$13="",'Final Calculation Sheet'!$F$13,""),IF(ISNUMBER(SEARCH(TRIM('Buyer Groups'!$C$4),'Final Calculation Sheet'!$G$13)),'Final Calculation Sheet'!$F$13,"")))))</f>
        <v/>
      </c>
      <c r="GN13">
        <f>IF(GM13="","",COUNTIFS(GM$4:GM$40,"&lt;"&amp;GM13,GM$4:GM$40,"&lt;&gt;"&amp;"")+COUNTIF(GM$4:GM13,GM13))</f>
        <v/>
      </c>
      <c r="GO13">
        <f>IF(ROW()-3&gt;COUNTIF(GM$4:GM$40,"&lt;&gt;"&amp;""),"",INDEX(GM$4:GM$40,MATCH(ROW()-3,GN$4:GN$40,0)))</f>
        <v/>
      </c>
      <c r="GP13">
        <f>GP12+IF(AND(GO13&lt;&gt;"",COUNTIF(GO$4:GO13,GO13)=1),1,0)</f>
        <v/>
      </c>
      <c r="GQ13">
        <f>IF(ROW()-3&gt;MAX(GP$4:GP$40),"",INDEX(GO$4:GO$40,MATCH(ROW()-3,GP$4:GP$40,0)))</f>
        <v/>
      </c>
      <c r="GR13">
        <f>IF('Final Calculation Sheet'!$B$13="","",IF(TRIM('Final Calculation Sheet'!$G$2)="",'Final Calculation Sheet'!$B$13,IF(TRIM('Final Calculation Sheet'!$G$2)="(nonblank)",IF('Final Calculation Sheet'!$G$13&lt;&gt;"",'Final Calculation Sheet'!$B$13,""),IF(TRIM('Final Calculation Sheet'!$G$2)="(blank)",IF('Final Calculation Sheet'!$G$13="",'Final Calculation Sheet'!$B$13,""),IF(ISNUMBER(SEARCH(TRIM('Final Calculation Sheet'!$G$2),'Final Calculation Sheet'!$G$13)),'Final Calculation Sheet'!$B$13,"")))))</f>
        <v/>
      </c>
      <c r="GS13">
        <f>IF(GR13="","",COUNTIFS(GR$4:GR$40,"&lt;"&amp;GR13,GR$4:GR$40,"&lt;&gt;"&amp;"")+COUNTIF(GR$4:GR13,GR13))</f>
        <v/>
      </c>
      <c r="GT13">
        <f>IF(ROW()-3&gt;COUNTIF(GR$4:GR$40,"&lt;&gt;"&amp;""),"",INDEX(GR$4:GR$40,MATCH(ROW()-3,GS$4:GS$40,0)))</f>
        <v/>
      </c>
      <c r="GU13">
        <f>GU12+IF(AND(GT13&lt;&gt;"",COUNTIF(GT$4:GT13,GT13)=1),1,0)</f>
        <v/>
      </c>
      <c r="GV13">
        <f>IF(ROW()-3&gt;MAX(GU$4:GU$40),"",INDEX(GT$4:GT$40,MATCH(ROW()-3,GU$4:GU$40,0)))</f>
        <v/>
      </c>
      <c r="GW13">
        <f>IF('Final Calculation Sheet'!$B$13="","",IF(TRIM('Buyer Groups'!$C$4)="",'Final Calculation Sheet'!$B$13,IF(TRIM('Buyer Groups'!$C$4)="(nonblank)",IF('Final Calculation Sheet'!$G$13&lt;&gt;"",'Final Calculation Sheet'!$B$13,""),IF(TRIM('Buyer Groups'!$C$4)="(blank)",IF('Final Calculation Sheet'!$G$13="",'Final Calculation Sheet'!$B$13,""),IF(ISNUMBER(SEARCH(TRIM('Buyer Groups'!$C$4),'Final Calculation Sheet'!$G$13)),'Final Calculation Sheet'!$B$13,"")))))</f>
        <v/>
      </c>
      <c r="GX13">
        <f>IF(GW13="","",COUNTIFS(GW$4:GW$40,"&lt;"&amp;GW13,GW$4:GW$40,"&lt;&gt;"&amp;"")+COUNTIF(GW$4:GW13,GW13))</f>
        <v/>
      </c>
      <c r="GY13">
        <f>IF(ROW()-3&gt;COUNTIF(GW$4:GW$40,"&lt;&gt;"&amp;""),"",INDEX(GW$4:GW$40,MATCH(ROW()-3,GX$4:GX$40,0)))</f>
        <v/>
      </c>
      <c r="GZ13">
        <f>GZ12+IF(AND(GY13&lt;&gt;"",COUNTIF(GY$4:GY13,GY13)=1),1,0)</f>
        <v/>
      </c>
      <c r="HA13">
        <f>IF(ROW()-3&gt;MAX(GZ$4:GZ$40),"",INDEX(GY$4:GY$40,MATCH(ROW()-3,GZ$4:GZ$40,0)))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IF('Final Calculation Sheet'!$F$14="","",IF(TRIM('Final Calculation Sheet'!$G$2)="",'Final Calculation Sheet'!$F$14,IF(TRIM('Final Calculation Sheet'!$G$2)="(nonblank)",IF('Final Calculation Sheet'!$G$14&lt;&gt;"",'Final Calculation Sheet'!$F$14,""),IF(TRIM('Final Calculation Sheet'!$G$2)="(blank)",IF('Final Calculation Sheet'!$G$14="",'Final Calculation Sheet'!$F$14,""),IF(ISNUMBER(SEARCH(TRIM('Final Calculation Sheet'!$G$2),'Final Calculation Sheet'!$G$14)),'Final Calculation Sheet'!$F$14,"")))))</f>
        <v/>
      </c>
      <c r="GD14">
        <f>IF(GC14="","",COUNTIFS(GC$4:GC$40,"&lt;"&amp;GC14,GC$4:GC$40,"&lt;&gt;"&amp;"")+COUNTIF(GC$4:GC14,GC14))</f>
        <v/>
      </c>
      <c r="GE14">
        <f>IF(ROW()-3&gt;COUNTIF(GC$4:GC$40,"&lt;&gt;"&amp;""),"",INDEX(GC$4:GC$40,MATCH(ROW()-3,GD$4:GD$40,0)))</f>
        <v/>
      </c>
      <c r="GF14">
        <f>GF13+IF(AND(GE14&lt;&gt;"",COUNTIF(GE$4:GE14,GE14)=1),1,0)</f>
        <v/>
      </c>
      <c r="GG14">
        <f>IF(ROW()-3&gt;MAX(GF$4:GF$40),"",INDEX(GE$4:GE$40,MATCH(ROW()-3,GF$4:GF$40,0)))</f>
        <v/>
      </c>
      <c r="GH14">
        <f>IF('Final Calculation Sheet'!$F$14="","",IF('Live Search'!$BO$15=1,'Final Calculation Sheet'!$F$14,""))</f>
        <v/>
      </c>
      <c r="GI14">
        <f>IF(GH14="","",COUNTIFS(GH$4:GH$40,"&lt;"&amp;GH14,GH$4:GH$40,"&lt;&gt;"&amp;"")+COUNTIF(GH$4:GH14,GH14))</f>
        <v/>
      </c>
      <c r="GJ14">
        <f>IF(ROW()-3&gt;COUNTIF(GH$4:GH$40,"&lt;&gt;"&amp;""),"",INDEX(GH$4:GH$40,MATCH(ROW()-3,GI$4:GI$40,0)))</f>
        <v/>
      </c>
      <c r="GK14">
        <f>GK13+IF(AND(GJ14&lt;&gt;"",COUNTIF(GJ$4:GJ14,GJ14)=1),1,0)</f>
        <v/>
      </c>
      <c r="GL14">
        <f>IF(ROW()-3&gt;MAX(GK$4:GK$40),"",INDEX(GJ$4:GJ$40,MATCH(ROW()-3,GK$4:GK$40,0)))</f>
        <v/>
      </c>
      <c r="GM14">
        <f>IF('Final Calculation Sheet'!$F$14="","",IF(TRIM('Buyer Groups'!$C$4)="",'Final Calculation Sheet'!$F$14,IF(TRIM('Buyer Groups'!$C$4)="(nonblank)",IF('Final Calculation Sheet'!$G$14&lt;&gt;"",'Final Calculation Sheet'!$F$14,""),IF(TRIM('Buyer Groups'!$C$4)="(blank)",IF('Final Calculation Sheet'!$G$14="",'Final Calculation Sheet'!$F$14,""),IF(ISNUMBER(SEARCH(TRIM('Buyer Groups'!$C$4),'Final Calculation Sheet'!$G$14)),'Final Calculation Sheet'!$F$14,"")))))</f>
        <v/>
      </c>
      <c r="GN14">
        <f>IF(GM14="","",COUNTIFS(GM$4:GM$40,"&lt;"&amp;GM14,GM$4:GM$40,"&lt;&gt;"&amp;"")+COUNTIF(GM$4:GM14,GM14))</f>
        <v/>
      </c>
      <c r="GO14">
        <f>IF(ROW()-3&gt;COUNTIF(GM$4:GM$40,"&lt;&gt;"&amp;""),"",INDEX(GM$4:GM$40,MATCH(ROW()-3,GN$4:GN$40,0)))</f>
        <v/>
      </c>
      <c r="GP14">
        <f>GP13+IF(AND(GO14&lt;&gt;"",COUNTIF(GO$4:GO14,GO14)=1),1,0)</f>
        <v/>
      </c>
      <c r="GQ14">
        <f>IF(ROW()-3&gt;MAX(GP$4:GP$40),"",INDEX(GO$4:GO$40,MATCH(ROW()-3,GP$4:GP$40,0)))</f>
        <v/>
      </c>
      <c r="GR14">
        <f>IF('Final Calculation Sheet'!$B$14="","",IF(TRIM('Final Calculation Sheet'!$G$2)="",'Final Calculation Sheet'!$B$14,IF(TRIM('Final Calculation Sheet'!$G$2)="(nonblank)",IF('Final Calculation Sheet'!$G$14&lt;&gt;"",'Final Calculation Sheet'!$B$14,""),IF(TRIM('Final Calculation Sheet'!$G$2)="(blank)",IF('Final Calculation Sheet'!$G$14="",'Final Calculation Sheet'!$B$14,""),IF(ISNUMBER(SEARCH(TRIM('Final Calculation Sheet'!$G$2),'Final Calculation Sheet'!$G$14)),'Final Calculation Sheet'!$B$14,"")))))</f>
        <v/>
      </c>
      <c r="GS14">
        <f>IF(GR14="","",COUNTIFS(GR$4:GR$40,"&lt;"&amp;GR14,GR$4:GR$40,"&lt;&gt;"&amp;"")+COUNTIF(GR$4:GR14,GR14))</f>
        <v/>
      </c>
      <c r="GT14">
        <f>IF(ROW()-3&gt;COUNTIF(GR$4:GR$40,"&lt;&gt;"&amp;""),"",INDEX(GR$4:GR$40,MATCH(ROW()-3,GS$4:GS$40,0)))</f>
        <v/>
      </c>
      <c r="GU14">
        <f>GU13+IF(AND(GT14&lt;&gt;"",COUNTIF(GT$4:GT14,GT14)=1),1,0)</f>
        <v/>
      </c>
      <c r="GV14">
        <f>IF(ROW()-3&gt;MAX(GU$4:GU$40),"",INDEX(GT$4:GT$40,MATCH(ROW()-3,GU$4:GU$40,0)))</f>
        <v/>
      </c>
      <c r="GW14">
        <f>IF('Final Calculation Sheet'!$B$14="","",IF(TRIM('Buyer Groups'!$C$4)="",'Final Calculation Sheet'!$B$14,IF(TRIM('Buyer Groups'!$C$4)="(nonblank)",IF('Final Calculation Sheet'!$G$14&lt;&gt;"",'Final Calculation Sheet'!$B$14,""),IF(TRIM('Buyer Groups'!$C$4)="(blank)",IF('Final Calculation Sheet'!$G$14="",'Final Calculation Sheet'!$B$14,""),IF(ISNUMBER(SEARCH(TRIM('Buyer Groups'!$C$4),'Final Calculation Sheet'!$G$14)),'Final Calculation Sheet'!$B$14,"")))))</f>
        <v/>
      </c>
      <c r="GX14">
        <f>IF(GW14="","",COUNTIFS(GW$4:GW$40,"&lt;"&amp;GW14,GW$4:GW$40,"&lt;&gt;"&amp;"")+COUNTIF(GW$4:GW14,GW14))</f>
        <v/>
      </c>
      <c r="GY14">
        <f>IF(ROW()-3&gt;COUNTIF(GW$4:GW$40,"&lt;&gt;"&amp;""),"",INDEX(GW$4:GW$40,MATCH(ROW()-3,GX$4:GX$40,0)))</f>
        <v/>
      </c>
      <c r="GZ14">
        <f>GZ13+IF(AND(GY14&lt;&gt;"",COUNTIF(GY$4:GY14,GY14)=1),1,0)</f>
        <v/>
      </c>
      <c r="HA14">
        <f>IF(ROW()-3&gt;MAX(GZ$4:GZ$40),"",INDEX(GY$4:GY$40,MATCH(ROW()-3,GZ$4:GZ$40,0)))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IF('Final Calculation Sheet'!$F$15="","",IF(TRIM('Final Calculation Sheet'!$G$2)="",'Final Calculation Sheet'!$F$15,IF(TRIM('Final Calculation Sheet'!$G$2)="(nonblank)",IF('Final Calculation Sheet'!$G$15&lt;&gt;"",'Final Calculation Sheet'!$F$15,""),IF(TRIM('Final Calculation Sheet'!$G$2)="(blank)",IF('Final Calculation Sheet'!$G$15="",'Final Calculation Sheet'!$F$15,""),IF(ISNUMBER(SEARCH(TRIM('Final Calculation Sheet'!$G$2),'Final Calculation Sheet'!$G$15)),'Final Calculation Sheet'!$F$15,"")))))</f>
        <v/>
      </c>
      <c r="GD15">
        <f>IF(GC15="","",COUNTIFS(GC$4:GC$40,"&lt;"&amp;GC15,GC$4:GC$40,"&lt;&gt;"&amp;"")+COUNTIF(GC$4:GC15,GC15))</f>
        <v/>
      </c>
      <c r="GE15">
        <f>IF(ROW()-3&gt;COUNTIF(GC$4:GC$40,"&lt;&gt;"&amp;""),"",INDEX(GC$4:GC$40,MATCH(ROW()-3,GD$4:GD$40,0)))</f>
        <v/>
      </c>
      <c r="GF15">
        <f>GF14+IF(AND(GE15&lt;&gt;"",COUNTIF(GE$4:GE15,GE15)=1),1,0)</f>
        <v/>
      </c>
      <c r="GG15">
        <f>IF(ROW()-3&gt;MAX(GF$4:GF$40),"",INDEX(GE$4:GE$40,MATCH(ROW()-3,GF$4:GF$40,0)))</f>
        <v/>
      </c>
      <c r="GH15">
        <f>IF('Final Calculation Sheet'!$F$15="","",IF('Live Search'!$BO$16=1,'Final Calculation Sheet'!$F$15,""))</f>
        <v/>
      </c>
      <c r="GI15">
        <f>IF(GH15="","",COUNTIFS(GH$4:GH$40,"&lt;"&amp;GH15,GH$4:GH$40,"&lt;&gt;"&amp;"")+COUNTIF(GH$4:GH15,GH15))</f>
        <v/>
      </c>
      <c r="GJ15">
        <f>IF(ROW()-3&gt;COUNTIF(GH$4:GH$40,"&lt;&gt;"&amp;""),"",INDEX(GH$4:GH$40,MATCH(ROW()-3,GI$4:GI$40,0)))</f>
        <v/>
      </c>
      <c r="GK15">
        <f>GK14+IF(AND(GJ15&lt;&gt;"",COUNTIF(GJ$4:GJ15,GJ15)=1),1,0)</f>
        <v/>
      </c>
      <c r="GL15">
        <f>IF(ROW()-3&gt;MAX(GK$4:GK$40),"",INDEX(GJ$4:GJ$40,MATCH(ROW()-3,GK$4:GK$40,0)))</f>
        <v/>
      </c>
      <c r="GM15">
        <f>IF('Final Calculation Sheet'!$F$15="","",IF(TRIM('Buyer Groups'!$C$4)="",'Final Calculation Sheet'!$F$15,IF(TRIM('Buyer Groups'!$C$4)="(nonblank)",IF('Final Calculation Sheet'!$G$15&lt;&gt;"",'Final Calculation Sheet'!$F$15,""),IF(TRIM('Buyer Groups'!$C$4)="(blank)",IF('Final Calculation Sheet'!$G$15="",'Final Calculation Sheet'!$F$15,""),IF(ISNUMBER(SEARCH(TRIM('Buyer Groups'!$C$4),'Final Calculation Sheet'!$G$15)),'Final Calculation Sheet'!$F$15,"")))))</f>
        <v/>
      </c>
      <c r="GN15">
        <f>IF(GM15="","",COUNTIFS(GM$4:GM$40,"&lt;"&amp;GM15,GM$4:GM$40,"&lt;&gt;"&amp;"")+COUNTIF(GM$4:GM15,GM15))</f>
        <v/>
      </c>
      <c r="GO15">
        <f>IF(ROW()-3&gt;COUNTIF(GM$4:GM$40,"&lt;&gt;"&amp;""),"",INDEX(GM$4:GM$40,MATCH(ROW()-3,GN$4:GN$40,0)))</f>
        <v/>
      </c>
      <c r="GP15">
        <f>GP14+IF(AND(GO15&lt;&gt;"",COUNTIF(GO$4:GO15,GO15)=1),1,0)</f>
        <v/>
      </c>
      <c r="GQ15">
        <f>IF(ROW()-3&gt;MAX(GP$4:GP$40),"",INDEX(GO$4:GO$40,MATCH(ROW()-3,GP$4:GP$40,0)))</f>
        <v/>
      </c>
      <c r="GR15">
        <f>IF('Final Calculation Sheet'!$B$15="","",IF(TRIM('Final Calculation Sheet'!$G$2)="",'Final Calculation Sheet'!$B$15,IF(TRIM('Final Calculation Sheet'!$G$2)="(nonblank)",IF('Final Calculation Sheet'!$G$15&lt;&gt;"",'Final Calculation Sheet'!$B$15,""),IF(TRIM('Final Calculation Sheet'!$G$2)="(blank)",IF('Final Calculation Sheet'!$G$15="",'Final Calculation Sheet'!$B$15,""),IF(ISNUMBER(SEARCH(TRIM('Final Calculation Sheet'!$G$2),'Final Calculation Sheet'!$G$15)),'Final Calculation Sheet'!$B$15,"")))))</f>
        <v/>
      </c>
      <c r="GS15">
        <f>IF(GR15="","",COUNTIFS(GR$4:GR$40,"&lt;"&amp;GR15,GR$4:GR$40,"&lt;&gt;"&amp;"")+COUNTIF(GR$4:GR15,GR15))</f>
        <v/>
      </c>
      <c r="GT15">
        <f>IF(ROW()-3&gt;COUNTIF(GR$4:GR$40,"&lt;&gt;"&amp;""),"",INDEX(GR$4:GR$40,MATCH(ROW()-3,GS$4:GS$40,0)))</f>
        <v/>
      </c>
      <c r="GU15">
        <f>GU14+IF(AND(GT15&lt;&gt;"",COUNTIF(GT$4:GT15,GT15)=1),1,0)</f>
        <v/>
      </c>
      <c r="GV15">
        <f>IF(ROW()-3&gt;MAX(GU$4:GU$40),"",INDEX(GT$4:GT$40,MATCH(ROW()-3,GU$4:GU$40,0)))</f>
        <v/>
      </c>
      <c r="GW15">
        <f>IF('Final Calculation Sheet'!$B$15="","",IF(TRIM('Buyer Groups'!$C$4)="",'Final Calculation Sheet'!$B$15,IF(TRIM('Buyer Groups'!$C$4)="(nonblank)",IF('Final Calculation Sheet'!$G$15&lt;&gt;"",'Final Calculation Sheet'!$B$15,""),IF(TRIM('Buyer Groups'!$C$4)="(blank)",IF('Final Calculation Sheet'!$G$15="",'Final Calculation Sheet'!$B$15,""),IF(ISNUMBER(SEARCH(TRIM('Buyer Groups'!$C$4),'Final Calculation Sheet'!$G$15)),'Final Calculation Sheet'!$B$15,"")))))</f>
        <v/>
      </c>
      <c r="GX15">
        <f>IF(GW15="","",COUNTIFS(GW$4:GW$40,"&lt;"&amp;GW15,GW$4:GW$40,"&lt;&gt;"&amp;"")+COUNTIF(GW$4:GW15,GW15))</f>
        <v/>
      </c>
      <c r="GY15">
        <f>IF(ROW()-3&gt;COUNTIF(GW$4:GW$40,"&lt;&gt;"&amp;""),"",INDEX(GW$4:GW$40,MATCH(ROW()-3,GX$4:GX$40,0)))</f>
        <v/>
      </c>
      <c r="GZ15">
        <f>GZ14+IF(AND(GY15&lt;&gt;"",COUNTIF(GY$4:GY15,GY15)=1),1,0)</f>
        <v/>
      </c>
      <c r="HA15">
        <f>IF(ROW()-3&gt;MAX(GZ$4:GZ$40),"",INDEX(GY$4:GY$40,MATCH(ROW()-3,GZ$4:GZ$40,0)))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IF('Final Calculation Sheet'!$F$16="","",IF(TRIM('Final Calculation Sheet'!$G$2)="",'Final Calculation Sheet'!$F$16,IF(TRIM('Final Calculation Sheet'!$G$2)="(nonblank)",IF('Final Calculation Sheet'!$G$16&lt;&gt;"",'Final Calculation Sheet'!$F$16,""),IF(TRIM('Final Calculation Sheet'!$G$2)="(blank)",IF('Final Calculation Sheet'!$G$16="",'Final Calculation Sheet'!$F$16,""),IF(ISNUMBER(SEARCH(TRIM('Final Calculation Sheet'!$G$2),'Final Calculation Sheet'!$G$16)),'Final Calculation Sheet'!$F$16,"")))))</f>
        <v/>
      </c>
      <c r="GD16">
        <f>IF(GC16="","",COUNTIFS(GC$4:GC$40,"&lt;"&amp;GC16,GC$4:GC$40,"&lt;&gt;"&amp;"")+COUNTIF(GC$4:GC16,GC16))</f>
        <v/>
      </c>
      <c r="GE16">
        <f>IF(ROW()-3&gt;COUNTIF(GC$4:GC$40,"&lt;&gt;"&amp;""),"",INDEX(GC$4:GC$40,MATCH(ROW()-3,GD$4:GD$40,0)))</f>
        <v/>
      </c>
      <c r="GF16">
        <f>GF15+IF(AND(GE16&lt;&gt;"",COUNTIF(GE$4:GE16,GE16)=1),1,0)</f>
        <v/>
      </c>
      <c r="GG16">
        <f>IF(ROW()-3&gt;MAX(GF$4:GF$40),"",INDEX(GE$4:GE$40,MATCH(ROW()-3,GF$4:GF$40,0)))</f>
        <v/>
      </c>
      <c r="GH16">
        <f>IF('Final Calculation Sheet'!$F$16="","",IF('Live Search'!$BO$17=1,'Final Calculation Sheet'!$F$16,""))</f>
        <v/>
      </c>
      <c r="GI16">
        <f>IF(GH16="","",COUNTIFS(GH$4:GH$40,"&lt;"&amp;GH16,GH$4:GH$40,"&lt;&gt;"&amp;"")+COUNTIF(GH$4:GH16,GH16))</f>
        <v/>
      </c>
      <c r="GJ16">
        <f>IF(ROW()-3&gt;COUNTIF(GH$4:GH$40,"&lt;&gt;"&amp;""),"",INDEX(GH$4:GH$40,MATCH(ROW()-3,GI$4:GI$40,0)))</f>
        <v/>
      </c>
      <c r="GK16">
        <f>GK15+IF(AND(GJ16&lt;&gt;"",COUNTIF(GJ$4:GJ16,GJ16)=1),1,0)</f>
        <v/>
      </c>
      <c r="GL16">
        <f>IF(ROW()-3&gt;MAX(GK$4:GK$40),"",INDEX(GJ$4:GJ$40,MATCH(ROW()-3,GK$4:GK$40,0)))</f>
        <v/>
      </c>
      <c r="GM16">
        <f>IF('Final Calculation Sheet'!$F$16="","",IF(TRIM('Buyer Groups'!$C$4)="",'Final Calculation Sheet'!$F$16,IF(TRIM('Buyer Groups'!$C$4)="(nonblank)",IF('Final Calculation Sheet'!$G$16&lt;&gt;"",'Final Calculation Sheet'!$F$16,""),IF(TRIM('Buyer Groups'!$C$4)="(blank)",IF('Final Calculation Sheet'!$G$16="",'Final Calculation Sheet'!$F$16,""),IF(ISNUMBER(SEARCH(TRIM('Buyer Groups'!$C$4),'Final Calculation Sheet'!$G$16)),'Final Calculation Sheet'!$F$16,"")))))</f>
        <v/>
      </c>
      <c r="GN16">
        <f>IF(GM16="","",COUNTIFS(GM$4:GM$40,"&lt;"&amp;GM16,GM$4:GM$40,"&lt;&gt;"&amp;"")+COUNTIF(GM$4:GM16,GM16))</f>
        <v/>
      </c>
      <c r="GO16">
        <f>IF(ROW()-3&gt;COUNTIF(GM$4:GM$40,"&lt;&gt;"&amp;""),"",INDEX(GM$4:GM$40,MATCH(ROW()-3,GN$4:GN$40,0)))</f>
        <v/>
      </c>
      <c r="GP16">
        <f>GP15+IF(AND(GO16&lt;&gt;"",COUNTIF(GO$4:GO16,GO16)=1),1,0)</f>
        <v/>
      </c>
      <c r="GQ16">
        <f>IF(ROW()-3&gt;MAX(GP$4:GP$40),"",INDEX(GO$4:GO$40,MATCH(ROW()-3,GP$4:GP$40,0)))</f>
        <v/>
      </c>
      <c r="GR16">
        <f>IF('Final Calculation Sheet'!$B$16="","",IF(TRIM('Final Calculation Sheet'!$G$2)="",'Final Calculation Sheet'!$B$16,IF(TRIM('Final Calculation Sheet'!$G$2)="(nonblank)",IF('Final Calculation Sheet'!$G$16&lt;&gt;"",'Final Calculation Sheet'!$B$16,""),IF(TRIM('Final Calculation Sheet'!$G$2)="(blank)",IF('Final Calculation Sheet'!$G$16="",'Final Calculation Sheet'!$B$16,""),IF(ISNUMBER(SEARCH(TRIM('Final Calculation Sheet'!$G$2),'Final Calculation Sheet'!$G$16)),'Final Calculation Sheet'!$B$16,"")))))</f>
        <v/>
      </c>
      <c r="GS16">
        <f>IF(GR16="","",COUNTIFS(GR$4:GR$40,"&lt;"&amp;GR16,GR$4:GR$40,"&lt;&gt;"&amp;"")+COUNTIF(GR$4:GR16,GR16))</f>
        <v/>
      </c>
      <c r="GT16">
        <f>IF(ROW()-3&gt;COUNTIF(GR$4:GR$40,"&lt;&gt;"&amp;""),"",INDEX(GR$4:GR$40,MATCH(ROW()-3,GS$4:GS$40,0)))</f>
        <v/>
      </c>
      <c r="GU16">
        <f>GU15+IF(AND(GT16&lt;&gt;"",COUNTIF(GT$4:GT16,GT16)=1),1,0)</f>
        <v/>
      </c>
      <c r="GV16">
        <f>IF(ROW()-3&gt;MAX(GU$4:GU$40),"",INDEX(GT$4:GT$40,MATCH(ROW()-3,GU$4:GU$40,0)))</f>
        <v/>
      </c>
      <c r="GW16">
        <f>IF('Final Calculation Sheet'!$B$16="","",IF(TRIM('Buyer Groups'!$C$4)="",'Final Calculation Sheet'!$B$16,IF(TRIM('Buyer Groups'!$C$4)="(nonblank)",IF('Final Calculation Sheet'!$G$16&lt;&gt;"",'Final Calculation Sheet'!$B$16,""),IF(TRIM('Buyer Groups'!$C$4)="(blank)",IF('Final Calculation Sheet'!$G$16="",'Final Calculation Sheet'!$B$16,""),IF(ISNUMBER(SEARCH(TRIM('Buyer Groups'!$C$4),'Final Calculation Sheet'!$G$16)),'Final Calculation Sheet'!$B$16,"")))))</f>
        <v/>
      </c>
      <c r="GX16">
        <f>IF(GW16="","",COUNTIFS(GW$4:GW$40,"&lt;"&amp;GW16,GW$4:GW$40,"&lt;&gt;"&amp;"")+COUNTIF(GW$4:GW16,GW16))</f>
        <v/>
      </c>
      <c r="GY16">
        <f>IF(ROW()-3&gt;COUNTIF(GW$4:GW$40,"&lt;&gt;"&amp;""),"",INDEX(GW$4:GW$40,MATCH(ROW()-3,GX$4:GX$40,0)))</f>
        <v/>
      </c>
      <c r="GZ16">
        <f>GZ15+IF(AND(GY16&lt;&gt;"",COUNTIF(GY$4:GY16,GY16)=1),1,0)</f>
        <v/>
      </c>
      <c r="HA16">
        <f>IF(ROW()-3&gt;MAX(GZ$4:GZ$40),"",INDEX(GY$4:GY$40,MATCH(ROW()-3,GZ$4:GZ$40,0)))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IF('Final Calculation Sheet'!$F$17="","",IF(TRIM('Final Calculation Sheet'!$G$2)="",'Final Calculation Sheet'!$F$17,IF(TRIM('Final Calculation Sheet'!$G$2)="(nonblank)",IF('Final Calculation Sheet'!$G$17&lt;&gt;"",'Final Calculation Sheet'!$F$17,""),IF(TRIM('Final Calculation Sheet'!$G$2)="(blank)",IF('Final Calculation Sheet'!$G$17="",'Final Calculation Sheet'!$F$17,""),IF(ISNUMBER(SEARCH(TRIM('Final Calculation Sheet'!$G$2),'Final Calculation Sheet'!$G$17)),'Final Calculation Sheet'!$F$17,"")))))</f>
        <v/>
      </c>
      <c r="GD17">
        <f>IF(GC17="","",COUNTIFS(GC$4:GC$40,"&lt;"&amp;GC17,GC$4:GC$40,"&lt;&gt;"&amp;"")+COUNTIF(GC$4:GC17,GC17))</f>
        <v/>
      </c>
      <c r="GE17">
        <f>IF(ROW()-3&gt;COUNTIF(GC$4:GC$40,"&lt;&gt;"&amp;""),"",INDEX(GC$4:GC$40,MATCH(ROW()-3,GD$4:GD$40,0)))</f>
        <v/>
      </c>
      <c r="GF17">
        <f>GF16+IF(AND(GE17&lt;&gt;"",COUNTIF(GE$4:GE17,GE17)=1),1,0)</f>
        <v/>
      </c>
      <c r="GG17">
        <f>IF(ROW()-3&gt;MAX(GF$4:GF$40),"",INDEX(GE$4:GE$40,MATCH(ROW()-3,GF$4:GF$40,0)))</f>
        <v/>
      </c>
      <c r="GH17">
        <f>IF('Final Calculation Sheet'!$F$17="","",IF('Live Search'!$BO$18=1,'Final Calculation Sheet'!$F$17,""))</f>
        <v/>
      </c>
      <c r="GI17">
        <f>IF(GH17="","",COUNTIFS(GH$4:GH$40,"&lt;"&amp;GH17,GH$4:GH$40,"&lt;&gt;"&amp;"")+COUNTIF(GH$4:GH17,GH17))</f>
        <v/>
      </c>
      <c r="GJ17">
        <f>IF(ROW()-3&gt;COUNTIF(GH$4:GH$40,"&lt;&gt;"&amp;""),"",INDEX(GH$4:GH$40,MATCH(ROW()-3,GI$4:GI$40,0)))</f>
        <v/>
      </c>
      <c r="GK17">
        <f>GK16+IF(AND(GJ17&lt;&gt;"",COUNTIF(GJ$4:GJ17,GJ17)=1),1,0)</f>
        <v/>
      </c>
      <c r="GL17">
        <f>IF(ROW()-3&gt;MAX(GK$4:GK$40),"",INDEX(GJ$4:GJ$40,MATCH(ROW()-3,GK$4:GK$40,0)))</f>
        <v/>
      </c>
      <c r="GM17">
        <f>IF('Final Calculation Sheet'!$F$17="","",IF(TRIM('Buyer Groups'!$C$4)="",'Final Calculation Sheet'!$F$17,IF(TRIM('Buyer Groups'!$C$4)="(nonblank)",IF('Final Calculation Sheet'!$G$17&lt;&gt;"",'Final Calculation Sheet'!$F$17,""),IF(TRIM('Buyer Groups'!$C$4)="(blank)",IF('Final Calculation Sheet'!$G$17="",'Final Calculation Sheet'!$F$17,""),IF(ISNUMBER(SEARCH(TRIM('Buyer Groups'!$C$4),'Final Calculation Sheet'!$G$17)),'Final Calculation Sheet'!$F$17,"")))))</f>
        <v/>
      </c>
      <c r="GN17">
        <f>IF(GM17="","",COUNTIFS(GM$4:GM$40,"&lt;"&amp;GM17,GM$4:GM$40,"&lt;&gt;"&amp;"")+COUNTIF(GM$4:GM17,GM17))</f>
        <v/>
      </c>
      <c r="GO17">
        <f>IF(ROW()-3&gt;COUNTIF(GM$4:GM$40,"&lt;&gt;"&amp;""),"",INDEX(GM$4:GM$40,MATCH(ROW()-3,GN$4:GN$40,0)))</f>
        <v/>
      </c>
      <c r="GP17">
        <f>GP16+IF(AND(GO17&lt;&gt;"",COUNTIF(GO$4:GO17,GO17)=1),1,0)</f>
        <v/>
      </c>
      <c r="GQ17">
        <f>IF(ROW()-3&gt;MAX(GP$4:GP$40),"",INDEX(GO$4:GO$40,MATCH(ROW()-3,GP$4:GP$40,0)))</f>
        <v/>
      </c>
      <c r="GR17">
        <f>IF('Final Calculation Sheet'!$B$17="","",IF(TRIM('Final Calculation Sheet'!$G$2)="",'Final Calculation Sheet'!$B$17,IF(TRIM('Final Calculation Sheet'!$G$2)="(nonblank)",IF('Final Calculation Sheet'!$G$17&lt;&gt;"",'Final Calculation Sheet'!$B$17,""),IF(TRIM('Final Calculation Sheet'!$G$2)="(blank)",IF('Final Calculation Sheet'!$G$17="",'Final Calculation Sheet'!$B$17,""),IF(ISNUMBER(SEARCH(TRIM('Final Calculation Sheet'!$G$2),'Final Calculation Sheet'!$G$17)),'Final Calculation Sheet'!$B$17,"")))))</f>
        <v/>
      </c>
      <c r="GS17">
        <f>IF(GR17="","",COUNTIFS(GR$4:GR$40,"&lt;"&amp;GR17,GR$4:GR$40,"&lt;&gt;"&amp;"")+COUNTIF(GR$4:GR17,GR17))</f>
        <v/>
      </c>
      <c r="GT17">
        <f>IF(ROW()-3&gt;COUNTIF(GR$4:GR$40,"&lt;&gt;"&amp;""),"",INDEX(GR$4:GR$40,MATCH(ROW()-3,GS$4:GS$40,0)))</f>
        <v/>
      </c>
      <c r="GU17">
        <f>GU16+IF(AND(GT17&lt;&gt;"",COUNTIF(GT$4:GT17,GT17)=1),1,0)</f>
        <v/>
      </c>
      <c r="GV17">
        <f>IF(ROW()-3&gt;MAX(GU$4:GU$40),"",INDEX(GT$4:GT$40,MATCH(ROW()-3,GU$4:GU$40,0)))</f>
        <v/>
      </c>
      <c r="GW17">
        <f>IF('Final Calculation Sheet'!$B$17="","",IF(TRIM('Buyer Groups'!$C$4)="",'Final Calculation Sheet'!$B$17,IF(TRIM('Buyer Groups'!$C$4)="(nonblank)",IF('Final Calculation Sheet'!$G$17&lt;&gt;"",'Final Calculation Sheet'!$B$17,""),IF(TRIM('Buyer Groups'!$C$4)="(blank)",IF('Final Calculation Sheet'!$G$17="",'Final Calculation Sheet'!$B$17,""),IF(ISNUMBER(SEARCH(TRIM('Buyer Groups'!$C$4),'Final Calculation Sheet'!$G$17)),'Final Calculation Sheet'!$B$17,"")))))</f>
        <v/>
      </c>
      <c r="GX17">
        <f>IF(GW17="","",COUNTIFS(GW$4:GW$40,"&lt;"&amp;GW17,GW$4:GW$40,"&lt;&gt;"&amp;"")+COUNTIF(GW$4:GW17,GW17))</f>
        <v/>
      </c>
      <c r="GY17">
        <f>IF(ROW()-3&gt;COUNTIF(GW$4:GW$40,"&lt;&gt;"&amp;""),"",INDEX(GW$4:GW$40,MATCH(ROW()-3,GX$4:GX$40,0)))</f>
        <v/>
      </c>
      <c r="GZ17">
        <f>GZ16+IF(AND(GY17&lt;&gt;"",COUNTIF(GY$4:GY17,GY17)=1),1,0)</f>
        <v/>
      </c>
      <c r="HA17">
        <f>IF(ROW()-3&gt;MAX(GZ$4:GZ$40),"",INDEX(GY$4:GY$40,MATCH(ROW()-3,GZ$4:GZ$40,0)))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IF('Final Calculation Sheet'!$F$18="","",IF(TRIM('Final Calculation Sheet'!$G$2)="",'Final Calculation Sheet'!$F$18,IF(TRIM('Final Calculation Sheet'!$G$2)="(nonblank)",IF('Final Calculation Sheet'!$G$18&lt;&gt;"",'Final Calculation Sheet'!$F$18,""),IF(TRIM('Final Calculation Sheet'!$G$2)="(blank)",IF('Final Calculation Sheet'!$G$18="",'Final Calculation Sheet'!$F$18,""),IF(ISNUMBER(SEARCH(TRIM('Final Calculation Sheet'!$G$2),'Final Calculation Sheet'!$G$18)),'Final Calculation Sheet'!$F$18,"")))))</f>
        <v/>
      </c>
      <c r="GD18">
        <f>IF(GC18="","",COUNTIFS(GC$4:GC$40,"&lt;"&amp;GC18,GC$4:GC$40,"&lt;&gt;"&amp;"")+COUNTIF(GC$4:GC18,GC18))</f>
        <v/>
      </c>
      <c r="GE18">
        <f>IF(ROW()-3&gt;COUNTIF(GC$4:GC$40,"&lt;&gt;"&amp;""),"",INDEX(GC$4:GC$40,MATCH(ROW()-3,GD$4:GD$40,0)))</f>
        <v/>
      </c>
      <c r="GF18">
        <f>GF17+IF(AND(GE18&lt;&gt;"",COUNTIF(GE$4:GE18,GE18)=1),1,0)</f>
        <v/>
      </c>
      <c r="GG18">
        <f>IF(ROW()-3&gt;MAX(GF$4:GF$40),"",INDEX(GE$4:GE$40,MATCH(ROW()-3,GF$4:GF$40,0)))</f>
        <v/>
      </c>
      <c r="GH18">
        <f>IF('Final Calculation Sheet'!$F$18="","",IF('Live Search'!$BO$19=1,'Final Calculation Sheet'!$F$18,""))</f>
        <v/>
      </c>
      <c r="GI18">
        <f>IF(GH18="","",COUNTIFS(GH$4:GH$40,"&lt;"&amp;GH18,GH$4:GH$40,"&lt;&gt;"&amp;"")+COUNTIF(GH$4:GH18,GH18))</f>
        <v/>
      </c>
      <c r="GJ18">
        <f>IF(ROW()-3&gt;COUNTIF(GH$4:GH$40,"&lt;&gt;"&amp;""),"",INDEX(GH$4:GH$40,MATCH(ROW()-3,GI$4:GI$40,0)))</f>
        <v/>
      </c>
      <c r="GK18">
        <f>GK17+IF(AND(GJ18&lt;&gt;"",COUNTIF(GJ$4:GJ18,GJ18)=1),1,0)</f>
        <v/>
      </c>
      <c r="GL18">
        <f>IF(ROW()-3&gt;MAX(GK$4:GK$40),"",INDEX(GJ$4:GJ$40,MATCH(ROW()-3,GK$4:GK$40,0)))</f>
        <v/>
      </c>
      <c r="GM18">
        <f>IF('Final Calculation Sheet'!$F$18="","",IF(TRIM('Buyer Groups'!$C$4)="",'Final Calculation Sheet'!$F$18,IF(TRIM('Buyer Groups'!$C$4)="(nonblank)",IF('Final Calculation Sheet'!$G$18&lt;&gt;"",'Final Calculation Sheet'!$F$18,""),IF(TRIM('Buyer Groups'!$C$4)="(blank)",IF('Final Calculation Sheet'!$G$18="",'Final Calculation Sheet'!$F$18,""),IF(ISNUMBER(SEARCH(TRIM('Buyer Groups'!$C$4),'Final Calculation Sheet'!$G$18)),'Final Calculation Sheet'!$F$18,"")))))</f>
        <v/>
      </c>
      <c r="GN18">
        <f>IF(GM18="","",COUNTIFS(GM$4:GM$40,"&lt;"&amp;GM18,GM$4:GM$40,"&lt;&gt;"&amp;"")+COUNTIF(GM$4:GM18,GM18))</f>
        <v/>
      </c>
      <c r="GO18">
        <f>IF(ROW()-3&gt;COUNTIF(GM$4:GM$40,"&lt;&gt;"&amp;""),"",INDEX(GM$4:GM$40,MATCH(ROW()-3,GN$4:GN$40,0)))</f>
        <v/>
      </c>
      <c r="GP18">
        <f>GP17+IF(AND(GO18&lt;&gt;"",COUNTIF(GO$4:GO18,GO18)=1),1,0)</f>
        <v/>
      </c>
      <c r="GQ18">
        <f>IF(ROW()-3&gt;MAX(GP$4:GP$40),"",INDEX(GO$4:GO$40,MATCH(ROW()-3,GP$4:GP$40,0)))</f>
        <v/>
      </c>
      <c r="GR18">
        <f>IF('Final Calculation Sheet'!$B$18="","",IF(TRIM('Final Calculation Sheet'!$G$2)="",'Final Calculation Sheet'!$B$18,IF(TRIM('Final Calculation Sheet'!$G$2)="(nonblank)",IF('Final Calculation Sheet'!$G$18&lt;&gt;"",'Final Calculation Sheet'!$B$18,""),IF(TRIM('Final Calculation Sheet'!$G$2)="(blank)",IF('Final Calculation Sheet'!$G$18="",'Final Calculation Sheet'!$B$18,""),IF(ISNUMBER(SEARCH(TRIM('Final Calculation Sheet'!$G$2),'Final Calculation Sheet'!$G$18)),'Final Calculation Sheet'!$B$18,"")))))</f>
        <v/>
      </c>
      <c r="GS18">
        <f>IF(GR18="","",COUNTIFS(GR$4:GR$40,"&lt;"&amp;GR18,GR$4:GR$40,"&lt;&gt;"&amp;"")+COUNTIF(GR$4:GR18,GR18))</f>
        <v/>
      </c>
      <c r="GT18">
        <f>IF(ROW()-3&gt;COUNTIF(GR$4:GR$40,"&lt;&gt;"&amp;""),"",INDEX(GR$4:GR$40,MATCH(ROW()-3,GS$4:GS$40,0)))</f>
        <v/>
      </c>
      <c r="GU18">
        <f>GU17+IF(AND(GT18&lt;&gt;"",COUNTIF(GT$4:GT18,GT18)=1),1,0)</f>
        <v/>
      </c>
      <c r="GV18">
        <f>IF(ROW()-3&gt;MAX(GU$4:GU$40),"",INDEX(GT$4:GT$40,MATCH(ROW()-3,GU$4:GU$40,0)))</f>
        <v/>
      </c>
      <c r="GW18">
        <f>IF('Final Calculation Sheet'!$B$18="","",IF(TRIM('Buyer Groups'!$C$4)="",'Final Calculation Sheet'!$B$18,IF(TRIM('Buyer Groups'!$C$4)="(nonblank)",IF('Final Calculation Sheet'!$G$18&lt;&gt;"",'Final Calculation Sheet'!$B$18,""),IF(TRIM('Buyer Groups'!$C$4)="(blank)",IF('Final Calculation Sheet'!$G$18="",'Final Calculation Sheet'!$B$18,""),IF(ISNUMBER(SEARCH(TRIM('Buyer Groups'!$C$4),'Final Calculation Sheet'!$G$18)),'Final Calculation Sheet'!$B$18,"")))))</f>
        <v/>
      </c>
      <c r="GX18">
        <f>IF(GW18="","",COUNTIFS(GW$4:GW$40,"&lt;"&amp;GW18,GW$4:GW$40,"&lt;&gt;"&amp;"")+COUNTIF(GW$4:GW18,GW18))</f>
        <v/>
      </c>
      <c r="GY18">
        <f>IF(ROW()-3&gt;COUNTIF(GW$4:GW$40,"&lt;&gt;"&amp;""),"",INDEX(GW$4:GW$40,MATCH(ROW()-3,GX$4:GX$40,0)))</f>
        <v/>
      </c>
      <c r="GZ18">
        <f>GZ17+IF(AND(GY18&lt;&gt;"",COUNTIF(GY$4:GY18,GY18)=1),1,0)</f>
        <v/>
      </c>
      <c r="HA18">
        <f>IF(ROW()-3&gt;MAX(GZ$4:GZ$40),"",INDEX(GY$4:GY$40,MATCH(ROW()-3,GZ$4:GZ$40,0)))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IF('Final Calculation Sheet'!$F$19="","",IF(TRIM('Final Calculation Sheet'!$G$2)="",'Final Calculation Sheet'!$F$19,IF(TRIM('Final Calculation Sheet'!$G$2)="(nonblank)",IF('Final Calculation Sheet'!$G$19&lt;&gt;"",'Final Calculation Sheet'!$F$19,""),IF(TRIM('Final Calculation Sheet'!$G$2)="(blank)",IF('Final Calculation Sheet'!$G$19="",'Final Calculation Sheet'!$F$19,""),IF(ISNUMBER(SEARCH(TRIM('Final Calculation Sheet'!$G$2),'Final Calculation Sheet'!$G$19)),'Final Calculation Sheet'!$F$19,"")))))</f>
        <v/>
      </c>
      <c r="GD19">
        <f>IF(GC19="","",COUNTIFS(GC$4:GC$40,"&lt;"&amp;GC19,GC$4:GC$40,"&lt;&gt;"&amp;"")+COUNTIF(GC$4:GC19,GC19))</f>
        <v/>
      </c>
      <c r="GE19">
        <f>IF(ROW()-3&gt;COUNTIF(GC$4:GC$40,"&lt;&gt;"&amp;""),"",INDEX(GC$4:GC$40,MATCH(ROW()-3,GD$4:GD$40,0)))</f>
        <v/>
      </c>
      <c r="GF19">
        <f>GF18+IF(AND(GE19&lt;&gt;"",COUNTIF(GE$4:GE19,GE19)=1),1,0)</f>
        <v/>
      </c>
      <c r="GG19">
        <f>IF(ROW()-3&gt;MAX(GF$4:GF$40),"",INDEX(GE$4:GE$40,MATCH(ROW()-3,GF$4:GF$40,0)))</f>
        <v/>
      </c>
      <c r="GH19">
        <f>IF('Final Calculation Sheet'!$F$19="","",IF('Live Search'!$BO$20=1,'Final Calculation Sheet'!$F$19,""))</f>
        <v/>
      </c>
      <c r="GI19">
        <f>IF(GH19="","",COUNTIFS(GH$4:GH$40,"&lt;"&amp;GH19,GH$4:GH$40,"&lt;&gt;"&amp;"")+COUNTIF(GH$4:GH19,GH19))</f>
        <v/>
      </c>
      <c r="GJ19">
        <f>IF(ROW()-3&gt;COUNTIF(GH$4:GH$40,"&lt;&gt;"&amp;""),"",INDEX(GH$4:GH$40,MATCH(ROW()-3,GI$4:GI$40,0)))</f>
        <v/>
      </c>
      <c r="GK19">
        <f>GK18+IF(AND(GJ19&lt;&gt;"",COUNTIF(GJ$4:GJ19,GJ19)=1),1,0)</f>
        <v/>
      </c>
      <c r="GL19">
        <f>IF(ROW()-3&gt;MAX(GK$4:GK$40),"",INDEX(GJ$4:GJ$40,MATCH(ROW()-3,GK$4:GK$40,0)))</f>
        <v/>
      </c>
      <c r="GM19">
        <f>IF('Final Calculation Sheet'!$F$19="","",IF(TRIM('Buyer Groups'!$C$4)="",'Final Calculation Sheet'!$F$19,IF(TRIM('Buyer Groups'!$C$4)="(nonblank)",IF('Final Calculation Sheet'!$G$19&lt;&gt;"",'Final Calculation Sheet'!$F$19,""),IF(TRIM('Buyer Groups'!$C$4)="(blank)",IF('Final Calculation Sheet'!$G$19="",'Final Calculation Sheet'!$F$19,""),IF(ISNUMBER(SEARCH(TRIM('Buyer Groups'!$C$4),'Final Calculation Sheet'!$G$19)),'Final Calculation Sheet'!$F$19,"")))))</f>
        <v/>
      </c>
      <c r="GN19">
        <f>IF(GM19="","",COUNTIFS(GM$4:GM$40,"&lt;"&amp;GM19,GM$4:GM$40,"&lt;&gt;"&amp;"")+COUNTIF(GM$4:GM19,GM19))</f>
        <v/>
      </c>
      <c r="GO19">
        <f>IF(ROW()-3&gt;COUNTIF(GM$4:GM$40,"&lt;&gt;"&amp;""),"",INDEX(GM$4:GM$40,MATCH(ROW()-3,GN$4:GN$40,0)))</f>
        <v/>
      </c>
      <c r="GP19">
        <f>GP18+IF(AND(GO19&lt;&gt;"",COUNTIF(GO$4:GO19,GO19)=1),1,0)</f>
        <v/>
      </c>
      <c r="GQ19">
        <f>IF(ROW()-3&gt;MAX(GP$4:GP$40),"",INDEX(GO$4:GO$40,MATCH(ROW()-3,GP$4:GP$40,0)))</f>
        <v/>
      </c>
      <c r="GR19">
        <f>IF('Final Calculation Sheet'!$B$19="","",IF(TRIM('Final Calculation Sheet'!$G$2)="",'Final Calculation Sheet'!$B$19,IF(TRIM('Final Calculation Sheet'!$G$2)="(nonblank)",IF('Final Calculation Sheet'!$G$19&lt;&gt;"",'Final Calculation Sheet'!$B$19,""),IF(TRIM('Final Calculation Sheet'!$G$2)="(blank)",IF('Final Calculation Sheet'!$G$19="",'Final Calculation Sheet'!$B$19,""),IF(ISNUMBER(SEARCH(TRIM('Final Calculation Sheet'!$G$2),'Final Calculation Sheet'!$G$19)),'Final Calculation Sheet'!$B$19,"")))))</f>
        <v/>
      </c>
      <c r="GS19">
        <f>IF(GR19="","",COUNTIFS(GR$4:GR$40,"&lt;"&amp;GR19,GR$4:GR$40,"&lt;&gt;"&amp;"")+COUNTIF(GR$4:GR19,GR19))</f>
        <v/>
      </c>
      <c r="GT19">
        <f>IF(ROW()-3&gt;COUNTIF(GR$4:GR$40,"&lt;&gt;"&amp;""),"",INDEX(GR$4:GR$40,MATCH(ROW()-3,GS$4:GS$40,0)))</f>
        <v/>
      </c>
      <c r="GU19">
        <f>GU18+IF(AND(GT19&lt;&gt;"",COUNTIF(GT$4:GT19,GT19)=1),1,0)</f>
        <v/>
      </c>
      <c r="GV19">
        <f>IF(ROW()-3&gt;MAX(GU$4:GU$40),"",INDEX(GT$4:GT$40,MATCH(ROW()-3,GU$4:GU$40,0)))</f>
        <v/>
      </c>
      <c r="GW19">
        <f>IF('Final Calculation Sheet'!$B$19="","",IF(TRIM('Buyer Groups'!$C$4)="",'Final Calculation Sheet'!$B$19,IF(TRIM('Buyer Groups'!$C$4)="(nonblank)",IF('Final Calculation Sheet'!$G$19&lt;&gt;"",'Final Calculation Sheet'!$B$19,""),IF(TRIM('Buyer Groups'!$C$4)="(blank)",IF('Final Calculation Sheet'!$G$19="",'Final Calculation Sheet'!$B$19,""),IF(ISNUMBER(SEARCH(TRIM('Buyer Groups'!$C$4),'Final Calculation Sheet'!$G$19)),'Final Calculation Sheet'!$B$19,"")))))</f>
        <v/>
      </c>
      <c r="GX19">
        <f>IF(GW19="","",COUNTIFS(GW$4:GW$40,"&lt;"&amp;GW19,GW$4:GW$40,"&lt;&gt;"&amp;"")+COUNTIF(GW$4:GW19,GW19))</f>
        <v/>
      </c>
      <c r="GY19">
        <f>IF(ROW()-3&gt;COUNTIF(GW$4:GW$40,"&lt;&gt;"&amp;""),"",INDEX(GW$4:GW$40,MATCH(ROW()-3,GX$4:GX$40,0)))</f>
        <v/>
      </c>
      <c r="GZ19">
        <f>GZ18+IF(AND(GY19&lt;&gt;"",COUNTIF(GY$4:GY19,GY19)=1),1,0)</f>
        <v/>
      </c>
      <c r="HA19">
        <f>IF(ROW()-3&gt;MAX(GZ$4:GZ$40),"",INDEX(GY$4:GY$40,MATCH(ROW()-3,GZ$4:GZ$40,0)))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IF('Final Calculation Sheet'!$F$20="","",IF(TRIM('Final Calculation Sheet'!$G$2)="",'Final Calculation Sheet'!$F$20,IF(TRIM('Final Calculation Sheet'!$G$2)="(nonblank)",IF('Final Calculation Sheet'!$G$20&lt;&gt;"",'Final Calculation Sheet'!$F$20,""),IF(TRIM('Final Calculation Sheet'!$G$2)="(blank)",IF('Final Calculation Sheet'!$G$20="",'Final Calculation Sheet'!$F$20,""),IF(ISNUMBER(SEARCH(TRIM('Final Calculation Sheet'!$G$2),'Final Calculation Sheet'!$G$20)),'Final Calculation Sheet'!$F$20,"")))))</f>
        <v/>
      </c>
      <c r="GD20">
        <f>IF(GC20="","",COUNTIFS(GC$4:GC$40,"&lt;"&amp;GC20,GC$4:GC$40,"&lt;&gt;"&amp;"")+COUNTIF(GC$4:GC20,GC20))</f>
        <v/>
      </c>
      <c r="GE20">
        <f>IF(ROW()-3&gt;COUNTIF(GC$4:GC$40,"&lt;&gt;"&amp;""),"",INDEX(GC$4:GC$40,MATCH(ROW()-3,GD$4:GD$40,0)))</f>
        <v/>
      </c>
      <c r="GF20">
        <f>GF19+IF(AND(GE20&lt;&gt;"",COUNTIF(GE$4:GE20,GE20)=1),1,0)</f>
        <v/>
      </c>
      <c r="GG20">
        <f>IF(ROW()-3&gt;MAX(GF$4:GF$40),"",INDEX(GE$4:GE$40,MATCH(ROW()-3,GF$4:GF$40,0)))</f>
        <v/>
      </c>
      <c r="GH20">
        <f>IF('Final Calculation Sheet'!$F$20="","",IF('Live Search'!$BO$21=1,'Final Calculation Sheet'!$F$20,""))</f>
        <v/>
      </c>
      <c r="GI20">
        <f>IF(GH20="","",COUNTIFS(GH$4:GH$40,"&lt;"&amp;GH20,GH$4:GH$40,"&lt;&gt;"&amp;"")+COUNTIF(GH$4:GH20,GH20))</f>
        <v/>
      </c>
      <c r="GJ20">
        <f>IF(ROW()-3&gt;COUNTIF(GH$4:GH$40,"&lt;&gt;"&amp;""),"",INDEX(GH$4:GH$40,MATCH(ROW()-3,GI$4:GI$40,0)))</f>
        <v/>
      </c>
      <c r="GK20">
        <f>GK19+IF(AND(GJ20&lt;&gt;"",COUNTIF(GJ$4:GJ20,GJ20)=1),1,0)</f>
        <v/>
      </c>
      <c r="GL20">
        <f>IF(ROW()-3&gt;MAX(GK$4:GK$40),"",INDEX(GJ$4:GJ$40,MATCH(ROW()-3,GK$4:GK$40,0)))</f>
        <v/>
      </c>
      <c r="GM20">
        <f>IF('Final Calculation Sheet'!$F$20="","",IF(TRIM('Buyer Groups'!$C$4)="",'Final Calculation Sheet'!$F$20,IF(TRIM('Buyer Groups'!$C$4)="(nonblank)",IF('Final Calculation Sheet'!$G$20&lt;&gt;"",'Final Calculation Sheet'!$F$20,""),IF(TRIM('Buyer Groups'!$C$4)="(blank)",IF('Final Calculation Sheet'!$G$20="",'Final Calculation Sheet'!$F$20,""),IF(ISNUMBER(SEARCH(TRIM('Buyer Groups'!$C$4),'Final Calculation Sheet'!$G$20)),'Final Calculation Sheet'!$F$20,"")))))</f>
        <v/>
      </c>
      <c r="GN20">
        <f>IF(GM20="","",COUNTIFS(GM$4:GM$40,"&lt;"&amp;GM20,GM$4:GM$40,"&lt;&gt;"&amp;"")+COUNTIF(GM$4:GM20,GM20))</f>
        <v/>
      </c>
      <c r="GO20">
        <f>IF(ROW()-3&gt;COUNTIF(GM$4:GM$40,"&lt;&gt;"&amp;""),"",INDEX(GM$4:GM$40,MATCH(ROW()-3,GN$4:GN$40,0)))</f>
        <v/>
      </c>
      <c r="GP20">
        <f>GP19+IF(AND(GO20&lt;&gt;"",COUNTIF(GO$4:GO20,GO20)=1),1,0)</f>
        <v/>
      </c>
      <c r="GQ20">
        <f>IF(ROW()-3&gt;MAX(GP$4:GP$40),"",INDEX(GO$4:GO$40,MATCH(ROW()-3,GP$4:GP$40,0)))</f>
        <v/>
      </c>
      <c r="GR20">
        <f>IF('Final Calculation Sheet'!$B$20="","",IF(TRIM('Final Calculation Sheet'!$G$2)="",'Final Calculation Sheet'!$B$20,IF(TRIM('Final Calculation Sheet'!$G$2)="(nonblank)",IF('Final Calculation Sheet'!$G$20&lt;&gt;"",'Final Calculation Sheet'!$B$20,""),IF(TRIM('Final Calculation Sheet'!$G$2)="(blank)",IF('Final Calculation Sheet'!$G$20="",'Final Calculation Sheet'!$B$20,""),IF(ISNUMBER(SEARCH(TRIM('Final Calculation Sheet'!$G$2),'Final Calculation Sheet'!$G$20)),'Final Calculation Sheet'!$B$20,"")))))</f>
        <v/>
      </c>
      <c r="GS20">
        <f>IF(GR20="","",COUNTIFS(GR$4:GR$40,"&lt;"&amp;GR20,GR$4:GR$40,"&lt;&gt;"&amp;"")+COUNTIF(GR$4:GR20,GR20))</f>
        <v/>
      </c>
      <c r="GT20">
        <f>IF(ROW()-3&gt;COUNTIF(GR$4:GR$40,"&lt;&gt;"&amp;""),"",INDEX(GR$4:GR$40,MATCH(ROW()-3,GS$4:GS$40,0)))</f>
        <v/>
      </c>
      <c r="GU20">
        <f>GU19+IF(AND(GT20&lt;&gt;"",COUNTIF(GT$4:GT20,GT20)=1),1,0)</f>
        <v/>
      </c>
      <c r="GV20">
        <f>IF(ROW()-3&gt;MAX(GU$4:GU$40),"",INDEX(GT$4:GT$40,MATCH(ROW()-3,GU$4:GU$40,0)))</f>
        <v/>
      </c>
      <c r="GW20">
        <f>IF('Final Calculation Sheet'!$B$20="","",IF(TRIM('Buyer Groups'!$C$4)="",'Final Calculation Sheet'!$B$20,IF(TRIM('Buyer Groups'!$C$4)="(nonblank)",IF('Final Calculation Sheet'!$G$20&lt;&gt;"",'Final Calculation Sheet'!$B$20,""),IF(TRIM('Buyer Groups'!$C$4)="(blank)",IF('Final Calculation Sheet'!$G$20="",'Final Calculation Sheet'!$B$20,""),IF(ISNUMBER(SEARCH(TRIM('Buyer Groups'!$C$4),'Final Calculation Sheet'!$G$20)),'Final Calculation Sheet'!$B$20,"")))))</f>
        <v/>
      </c>
      <c r="GX20">
        <f>IF(GW20="","",COUNTIFS(GW$4:GW$40,"&lt;"&amp;GW20,GW$4:GW$40,"&lt;&gt;"&amp;"")+COUNTIF(GW$4:GW20,GW20))</f>
        <v/>
      </c>
      <c r="GY20">
        <f>IF(ROW()-3&gt;COUNTIF(GW$4:GW$40,"&lt;&gt;"&amp;""),"",INDEX(GW$4:GW$40,MATCH(ROW()-3,GX$4:GX$40,0)))</f>
        <v/>
      </c>
      <c r="GZ20">
        <f>GZ19+IF(AND(GY20&lt;&gt;"",COUNTIF(GY$4:GY20,GY20)=1),1,0)</f>
        <v/>
      </c>
      <c r="HA20">
        <f>IF(ROW()-3&gt;MAX(GZ$4:GZ$40),"",INDEX(GY$4:GY$40,MATCH(ROW()-3,GZ$4:GZ$40,0)))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IF('Final Calculation Sheet'!$F$21="","",IF(TRIM('Final Calculation Sheet'!$G$2)="",'Final Calculation Sheet'!$F$21,IF(TRIM('Final Calculation Sheet'!$G$2)="(nonblank)",IF('Final Calculation Sheet'!$G$21&lt;&gt;"",'Final Calculation Sheet'!$F$21,""),IF(TRIM('Final Calculation Sheet'!$G$2)="(blank)",IF('Final Calculation Sheet'!$G$21="",'Final Calculation Sheet'!$F$21,""),IF(ISNUMBER(SEARCH(TRIM('Final Calculation Sheet'!$G$2),'Final Calculation Sheet'!$G$21)),'Final Calculation Sheet'!$F$21,"")))))</f>
        <v/>
      </c>
      <c r="GD21">
        <f>IF(GC21="","",COUNTIFS(GC$4:GC$40,"&lt;"&amp;GC21,GC$4:GC$40,"&lt;&gt;"&amp;"")+COUNTIF(GC$4:GC21,GC21))</f>
        <v/>
      </c>
      <c r="GE21">
        <f>IF(ROW()-3&gt;COUNTIF(GC$4:GC$40,"&lt;&gt;"&amp;""),"",INDEX(GC$4:GC$40,MATCH(ROW()-3,GD$4:GD$40,0)))</f>
        <v/>
      </c>
      <c r="GF21">
        <f>GF20+IF(AND(GE21&lt;&gt;"",COUNTIF(GE$4:GE21,GE21)=1),1,0)</f>
        <v/>
      </c>
      <c r="GG21">
        <f>IF(ROW()-3&gt;MAX(GF$4:GF$40),"",INDEX(GE$4:GE$40,MATCH(ROW()-3,GF$4:GF$40,0)))</f>
        <v/>
      </c>
      <c r="GH21">
        <f>IF('Final Calculation Sheet'!$F$21="","",IF('Live Search'!$BO$22=1,'Final Calculation Sheet'!$F$21,""))</f>
        <v/>
      </c>
      <c r="GI21">
        <f>IF(GH21="","",COUNTIFS(GH$4:GH$40,"&lt;"&amp;GH21,GH$4:GH$40,"&lt;&gt;"&amp;"")+COUNTIF(GH$4:GH21,GH21))</f>
        <v/>
      </c>
      <c r="GJ21">
        <f>IF(ROW()-3&gt;COUNTIF(GH$4:GH$40,"&lt;&gt;"&amp;""),"",INDEX(GH$4:GH$40,MATCH(ROW()-3,GI$4:GI$40,0)))</f>
        <v/>
      </c>
      <c r="GK21">
        <f>GK20+IF(AND(GJ21&lt;&gt;"",COUNTIF(GJ$4:GJ21,GJ21)=1),1,0)</f>
        <v/>
      </c>
      <c r="GL21">
        <f>IF(ROW()-3&gt;MAX(GK$4:GK$40),"",INDEX(GJ$4:GJ$40,MATCH(ROW()-3,GK$4:GK$40,0)))</f>
        <v/>
      </c>
      <c r="GM21">
        <f>IF('Final Calculation Sheet'!$F$21="","",IF(TRIM('Buyer Groups'!$C$4)="",'Final Calculation Sheet'!$F$21,IF(TRIM('Buyer Groups'!$C$4)="(nonblank)",IF('Final Calculation Sheet'!$G$21&lt;&gt;"",'Final Calculation Sheet'!$F$21,""),IF(TRIM('Buyer Groups'!$C$4)="(blank)",IF('Final Calculation Sheet'!$G$21="",'Final Calculation Sheet'!$F$21,""),IF(ISNUMBER(SEARCH(TRIM('Buyer Groups'!$C$4),'Final Calculation Sheet'!$G$21)),'Final Calculation Sheet'!$F$21,"")))))</f>
        <v/>
      </c>
      <c r="GN21">
        <f>IF(GM21="","",COUNTIFS(GM$4:GM$40,"&lt;"&amp;GM21,GM$4:GM$40,"&lt;&gt;"&amp;"")+COUNTIF(GM$4:GM21,GM21))</f>
        <v/>
      </c>
      <c r="GO21">
        <f>IF(ROW()-3&gt;COUNTIF(GM$4:GM$40,"&lt;&gt;"&amp;""),"",INDEX(GM$4:GM$40,MATCH(ROW()-3,GN$4:GN$40,0)))</f>
        <v/>
      </c>
      <c r="GP21">
        <f>GP20+IF(AND(GO21&lt;&gt;"",COUNTIF(GO$4:GO21,GO21)=1),1,0)</f>
        <v/>
      </c>
      <c r="GQ21">
        <f>IF(ROW()-3&gt;MAX(GP$4:GP$40),"",INDEX(GO$4:GO$40,MATCH(ROW()-3,GP$4:GP$40,0)))</f>
        <v/>
      </c>
      <c r="GR21">
        <f>IF('Final Calculation Sheet'!$B$21="","",IF(TRIM('Final Calculation Sheet'!$G$2)="",'Final Calculation Sheet'!$B$21,IF(TRIM('Final Calculation Sheet'!$G$2)="(nonblank)",IF('Final Calculation Sheet'!$G$21&lt;&gt;"",'Final Calculation Sheet'!$B$21,""),IF(TRIM('Final Calculation Sheet'!$G$2)="(blank)",IF('Final Calculation Sheet'!$G$21="",'Final Calculation Sheet'!$B$21,""),IF(ISNUMBER(SEARCH(TRIM('Final Calculation Sheet'!$G$2),'Final Calculation Sheet'!$G$21)),'Final Calculation Sheet'!$B$21,"")))))</f>
        <v/>
      </c>
      <c r="GS21">
        <f>IF(GR21="","",COUNTIFS(GR$4:GR$40,"&lt;"&amp;GR21,GR$4:GR$40,"&lt;&gt;"&amp;"")+COUNTIF(GR$4:GR21,GR21))</f>
        <v/>
      </c>
      <c r="GT21">
        <f>IF(ROW()-3&gt;COUNTIF(GR$4:GR$40,"&lt;&gt;"&amp;""),"",INDEX(GR$4:GR$40,MATCH(ROW()-3,GS$4:GS$40,0)))</f>
        <v/>
      </c>
      <c r="GU21">
        <f>GU20+IF(AND(GT21&lt;&gt;"",COUNTIF(GT$4:GT21,GT21)=1),1,0)</f>
        <v/>
      </c>
      <c r="GV21">
        <f>IF(ROW()-3&gt;MAX(GU$4:GU$40),"",INDEX(GT$4:GT$40,MATCH(ROW()-3,GU$4:GU$40,0)))</f>
        <v/>
      </c>
      <c r="GW21">
        <f>IF('Final Calculation Sheet'!$B$21="","",IF(TRIM('Buyer Groups'!$C$4)="",'Final Calculation Sheet'!$B$21,IF(TRIM('Buyer Groups'!$C$4)="(nonblank)",IF('Final Calculation Sheet'!$G$21&lt;&gt;"",'Final Calculation Sheet'!$B$21,""),IF(TRIM('Buyer Groups'!$C$4)="(blank)",IF('Final Calculation Sheet'!$G$21="",'Final Calculation Sheet'!$B$21,""),IF(ISNUMBER(SEARCH(TRIM('Buyer Groups'!$C$4),'Final Calculation Sheet'!$G$21)),'Final Calculation Sheet'!$B$21,"")))))</f>
        <v/>
      </c>
      <c r="GX21">
        <f>IF(GW21="","",COUNTIFS(GW$4:GW$40,"&lt;"&amp;GW21,GW$4:GW$40,"&lt;&gt;"&amp;"")+COUNTIF(GW$4:GW21,GW21))</f>
        <v/>
      </c>
      <c r="GY21">
        <f>IF(ROW()-3&gt;COUNTIF(GW$4:GW$40,"&lt;&gt;"&amp;""),"",INDEX(GW$4:GW$40,MATCH(ROW()-3,GX$4:GX$40,0)))</f>
        <v/>
      </c>
      <c r="GZ21">
        <f>GZ20+IF(AND(GY21&lt;&gt;"",COUNTIF(GY$4:GY21,GY21)=1),1,0)</f>
        <v/>
      </c>
      <c r="HA21">
        <f>IF(ROW()-3&gt;MAX(GZ$4:GZ$40),"",INDEX(GY$4:GY$40,MATCH(ROW()-3,GZ$4:GZ$40,0)))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IF('Final Calculation Sheet'!$F$22="","",IF(TRIM('Final Calculation Sheet'!$G$2)="",'Final Calculation Sheet'!$F$22,IF(TRIM('Final Calculation Sheet'!$G$2)="(nonblank)",IF('Final Calculation Sheet'!$G$22&lt;&gt;"",'Final Calculation Sheet'!$F$22,""),IF(TRIM('Final Calculation Sheet'!$G$2)="(blank)",IF('Final Calculation Sheet'!$G$22="",'Final Calculation Sheet'!$F$22,""),IF(ISNUMBER(SEARCH(TRIM('Final Calculation Sheet'!$G$2),'Final Calculation Sheet'!$G$22)),'Final Calculation Sheet'!$F$22,"")))))</f>
        <v/>
      </c>
      <c r="GD22">
        <f>IF(GC22="","",COUNTIFS(GC$4:GC$40,"&lt;"&amp;GC22,GC$4:GC$40,"&lt;&gt;"&amp;"")+COUNTIF(GC$4:GC22,GC22))</f>
        <v/>
      </c>
      <c r="GE22">
        <f>IF(ROW()-3&gt;COUNTIF(GC$4:GC$40,"&lt;&gt;"&amp;""),"",INDEX(GC$4:GC$40,MATCH(ROW()-3,GD$4:GD$40,0)))</f>
        <v/>
      </c>
      <c r="GF22">
        <f>GF21+IF(AND(GE22&lt;&gt;"",COUNTIF(GE$4:GE22,GE22)=1),1,0)</f>
        <v/>
      </c>
      <c r="GG22">
        <f>IF(ROW()-3&gt;MAX(GF$4:GF$40),"",INDEX(GE$4:GE$40,MATCH(ROW()-3,GF$4:GF$40,0)))</f>
        <v/>
      </c>
      <c r="GH22">
        <f>IF('Final Calculation Sheet'!$F$22="","",IF('Live Search'!$BO$23=1,'Final Calculation Sheet'!$F$22,""))</f>
        <v/>
      </c>
      <c r="GI22">
        <f>IF(GH22="","",COUNTIFS(GH$4:GH$40,"&lt;"&amp;GH22,GH$4:GH$40,"&lt;&gt;"&amp;"")+COUNTIF(GH$4:GH22,GH22))</f>
        <v/>
      </c>
      <c r="GJ22">
        <f>IF(ROW()-3&gt;COUNTIF(GH$4:GH$40,"&lt;&gt;"&amp;""),"",INDEX(GH$4:GH$40,MATCH(ROW()-3,GI$4:GI$40,0)))</f>
        <v/>
      </c>
      <c r="GK22">
        <f>GK21+IF(AND(GJ22&lt;&gt;"",COUNTIF(GJ$4:GJ22,GJ22)=1),1,0)</f>
        <v/>
      </c>
      <c r="GL22">
        <f>IF(ROW()-3&gt;MAX(GK$4:GK$40),"",INDEX(GJ$4:GJ$40,MATCH(ROW()-3,GK$4:GK$40,0)))</f>
        <v/>
      </c>
      <c r="GM22">
        <f>IF('Final Calculation Sheet'!$F$22="","",IF(TRIM('Buyer Groups'!$C$4)="",'Final Calculation Sheet'!$F$22,IF(TRIM('Buyer Groups'!$C$4)="(nonblank)",IF('Final Calculation Sheet'!$G$22&lt;&gt;"",'Final Calculation Sheet'!$F$22,""),IF(TRIM('Buyer Groups'!$C$4)="(blank)",IF('Final Calculation Sheet'!$G$22="",'Final Calculation Sheet'!$F$22,""),IF(ISNUMBER(SEARCH(TRIM('Buyer Groups'!$C$4),'Final Calculation Sheet'!$G$22)),'Final Calculation Sheet'!$F$22,"")))))</f>
        <v/>
      </c>
      <c r="GN22">
        <f>IF(GM22="","",COUNTIFS(GM$4:GM$40,"&lt;"&amp;GM22,GM$4:GM$40,"&lt;&gt;"&amp;"")+COUNTIF(GM$4:GM22,GM22))</f>
        <v/>
      </c>
      <c r="GO22">
        <f>IF(ROW()-3&gt;COUNTIF(GM$4:GM$40,"&lt;&gt;"&amp;""),"",INDEX(GM$4:GM$40,MATCH(ROW()-3,GN$4:GN$40,0)))</f>
        <v/>
      </c>
      <c r="GP22">
        <f>GP21+IF(AND(GO22&lt;&gt;"",COUNTIF(GO$4:GO22,GO22)=1),1,0)</f>
        <v/>
      </c>
      <c r="GQ22">
        <f>IF(ROW()-3&gt;MAX(GP$4:GP$40),"",INDEX(GO$4:GO$40,MATCH(ROW()-3,GP$4:GP$40,0)))</f>
        <v/>
      </c>
      <c r="GR22">
        <f>IF('Final Calculation Sheet'!$B$22="","",IF(TRIM('Final Calculation Sheet'!$G$2)="",'Final Calculation Sheet'!$B$22,IF(TRIM('Final Calculation Sheet'!$G$2)="(nonblank)",IF('Final Calculation Sheet'!$G$22&lt;&gt;"",'Final Calculation Sheet'!$B$22,""),IF(TRIM('Final Calculation Sheet'!$G$2)="(blank)",IF('Final Calculation Sheet'!$G$22="",'Final Calculation Sheet'!$B$22,""),IF(ISNUMBER(SEARCH(TRIM('Final Calculation Sheet'!$G$2),'Final Calculation Sheet'!$G$22)),'Final Calculation Sheet'!$B$22,"")))))</f>
        <v/>
      </c>
      <c r="GS22">
        <f>IF(GR22="","",COUNTIFS(GR$4:GR$40,"&lt;"&amp;GR22,GR$4:GR$40,"&lt;&gt;"&amp;"")+COUNTIF(GR$4:GR22,GR22))</f>
        <v/>
      </c>
      <c r="GT22">
        <f>IF(ROW()-3&gt;COUNTIF(GR$4:GR$40,"&lt;&gt;"&amp;""),"",INDEX(GR$4:GR$40,MATCH(ROW()-3,GS$4:GS$40,0)))</f>
        <v/>
      </c>
      <c r="GU22">
        <f>GU21+IF(AND(GT22&lt;&gt;"",COUNTIF(GT$4:GT22,GT22)=1),1,0)</f>
        <v/>
      </c>
      <c r="GV22">
        <f>IF(ROW()-3&gt;MAX(GU$4:GU$40),"",INDEX(GT$4:GT$40,MATCH(ROW()-3,GU$4:GU$40,0)))</f>
        <v/>
      </c>
      <c r="GW22">
        <f>IF('Final Calculation Sheet'!$B$22="","",IF(TRIM('Buyer Groups'!$C$4)="",'Final Calculation Sheet'!$B$22,IF(TRIM('Buyer Groups'!$C$4)="(nonblank)",IF('Final Calculation Sheet'!$G$22&lt;&gt;"",'Final Calculation Sheet'!$B$22,""),IF(TRIM('Buyer Groups'!$C$4)="(blank)",IF('Final Calculation Sheet'!$G$22="",'Final Calculation Sheet'!$B$22,""),IF(ISNUMBER(SEARCH(TRIM('Buyer Groups'!$C$4),'Final Calculation Sheet'!$G$22)),'Final Calculation Sheet'!$B$22,"")))))</f>
        <v/>
      </c>
      <c r="GX22">
        <f>IF(GW22="","",COUNTIFS(GW$4:GW$40,"&lt;"&amp;GW22,GW$4:GW$40,"&lt;&gt;"&amp;"")+COUNTIF(GW$4:GW22,GW22))</f>
        <v/>
      </c>
      <c r="GY22">
        <f>IF(ROW()-3&gt;COUNTIF(GW$4:GW$40,"&lt;&gt;"&amp;""),"",INDEX(GW$4:GW$40,MATCH(ROW()-3,GX$4:GX$40,0)))</f>
        <v/>
      </c>
      <c r="GZ22">
        <f>GZ21+IF(AND(GY22&lt;&gt;"",COUNTIF(GY$4:GY22,GY22)=1),1,0)</f>
        <v/>
      </c>
      <c r="HA22">
        <f>IF(ROW()-3&gt;MAX(GZ$4:GZ$40),"",INDEX(GY$4:GY$40,MATCH(ROW()-3,GZ$4:GZ$40,0)))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IF('Final Calculation Sheet'!$F$23="","",IF(TRIM('Final Calculation Sheet'!$G$2)="",'Final Calculation Sheet'!$F$23,IF(TRIM('Final Calculation Sheet'!$G$2)="(nonblank)",IF('Final Calculation Sheet'!$G$23&lt;&gt;"",'Final Calculation Sheet'!$F$23,""),IF(TRIM('Final Calculation Sheet'!$G$2)="(blank)",IF('Final Calculation Sheet'!$G$23="",'Final Calculation Sheet'!$F$23,""),IF(ISNUMBER(SEARCH(TRIM('Final Calculation Sheet'!$G$2),'Final Calculation Sheet'!$G$23)),'Final Calculation Sheet'!$F$23,"")))))</f>
        <v/>
      </c>
      <c r="GD23">
        <f>IF(GC23="","",COUNTIFS(GC$4:GC$40,"&lt;"&amp;GC23,GC$4:GC$40,"&lt;&gt;"&amp;"")+COUNTIF(GC$4:GC23,GC23))</f>
        <v/>
      </c>
      <c r="GE23">
        <f>IF(ROW()-3&gt;COUNTIF(GC$4:GC$40,"&lt;&gt;"&amp;""),"",INDEX(GC$4:GC$40,MATCH(ROW()-3,GD$4:GD$40,0)))</f>
        <v/>
      </c>
      <c r="GF23">
        <f>GF22+IF(AND(GE23&lt;&gt;"",COUNTIF(GE$4:GE23,GE23)=1),1,0)</f>
        <v/>
      </c>
      <c r="GG23">
        <f>IF(ROW()-3&gt;MAX(GF$4:GF$40),"",INDEX(GE$4:GE$40,MATCH(ROW()-3,GF$4:GF$40,0)))</f>
        <v/>
      </c>
      <c r="GH23">
        <f>IF('Final Calculation Sheet'!$F$23="","",IF('Live Search'!$BO$24=1,'Final Calculation Sheet'!$F$23,""))</f>
        <v/>
      </c>
      <c r="GI23">
        <f>IF(GH23="","",COUNTIFS(GH$4:GH$40,"&lt;"&amp;GH23,GH$4:GH$40,"&lt;&gt;"&amp;"")+COUNTIF(GH$4:GH23,GH23))</f>
        <v/>
      </c>
      <c r="GJ23">
        <f>IF(ROW()-3&gt;COUNTIF(GH$4:GH$40,"&lt;&gt;"&amp;""),"",INDEX(GH$4:GH$40,MATCH(ROW()-3,GI$4:GI$40,0)))</f>
        <v/>
      </c>
      <c r="GK23">
        <f>GK22+IF(AND(GJ23&lt;&gt;"",COUNTIF(GJ$4:GJ23,GJ23)=1),1,0)</f>
        <v/>
      </c>
      <c r="GL23">
        <f>IF(ROW()-3&gt;MAX(GK$4:GK$40),"",INDEX(GJ$4:GJ$40,MATCH(ROW()-3,GK$4:GK$40,0)))</f>
        <v/>
      </c>
      <c r="GM23">
        <f>IF('Final Calculation Sheet'!$F$23="","",IF(TRIM('Buyer Groups'!$C$4)="",'Final Calculation Sheet'!$F$23,IF(TRIM('Buyer Groups'!$C$4)="(nonblank)",IF('Final Calculation Sheet'!$G$23&lt;&gt;"",'Final Calculation Sheet'!$F$23,""),IF(TRIM('Buyer Groups'!$C$4)="(blank)",IF('Final Calculation Sheet'!$G$23="",'Final Calculation Sheet'!$F$23,""),IF(ISNUMBER(SEARCH(TRIM('Buyer Groups'!$C$4),'Final Calculation Sheet'!$G$23)),'Final Calculation Sheet'!$F$23,"")))))</f>
        <v/>
      </c>
      <c r="GN23">
        <f>IF(GM23="","",COUNTIFS(GM$4:GM$40,"&lt;"&amp;GM23,GM$4:GM$40,"&lt;&gt;"&amp;"")+COUNTIF(GM$4:GM23,GM23))</f>
        <v/>
      </c>
      <c r="GO23">
        <f>IF(ROW()-3&gt;COUNTIF(GM$4:GM$40,"&lt;&gt;"&amp;""),"",INDEX(GM$4:GM$40,MATCH(ROW()-3,GN$4:GN$40,0)))</f>
        <v/>
      </c>
      <c r="GP23">
        <f>GP22+IF(AND(GO23&lt;&gt;"",COUNTIF(GO$4:GO23,GO23)=1),1,0)</f>
        <v/>
      </c>
      <c r="GQ23">
        <f>IF(ROW()-3&gt;MAX(GP$4:GP$40),"",INDEX(GO$4:GO$40,MATCH(ROW()-3,GP$4:GP$40,0)))</f>
        <v/>
      </c>
      <c r="GR23">
        <f>IF('Final Calculation Sheet'!$B$23="","",IF(TRIM('Final Calculation Sheet'!$G$2)="",'Final Calculation Sheet'!$B$23,IF(TRIM('Final Calculation Sheet'!$G$2)="(nonblank)",IF('Final Calculation Sheet'!$G$23&lt;&gt;"",'Final Calculation Sheet'!$B$23,""),IF(TRIM('Final Calculation Sheet'!$G$2)="(blank)",IF('Final Calculation Sheet'!$G$23="",'Final Calculation Sheet'!$B$23,""),IF(ISNUMBER(SEARCH(TRIM('Final Calculation Sheet'!$G$2),'Final Calculation Sheet'!$G$23)),'Final Calculation Sheet'!$B$23,"")))))</f>
        <v/>
      </c>
      <c r="GS23">
        <f>IF(GR23="","",COUNTIFS(GR$4:GR$40,"&lt;"&amp;GR23,GR$4:GR$40,"&lt;&gt;"&amp;"")+COUNTIF(GR$4:GR23,GR23))</f>
        <v/>
      </c>
      <c r="GT23">
        <f>IF(ROW()-3&gt;COUNTIF(GR$4:GR$40,"&lt;&gt;"&amp;""),"",INDEX(GR$4:GR$40,MATCH(ROW()-3,GS$4:GS$40,0)))</f>
        <v/>
      </c>
      <c r="GU23">
        <f>GU22+IF(AND(GT23&lt;&gt;"",COUNTIF(GT$4:GT23,GT23)=1),1,0)</f>
        <v/>
      </c>
      <c r="GV23">
        <f>IF(ROW()-3&gt;MAX(GU$4:GU$40),"",INDEX(GT$4:GT$40,MATCH(ROW()-3,GU$4:GU$40,0)))</f>
        <v/>
      </c>
      <c r="GW23">
        <f>IF('Final Calculation Sheet'!$B$23="","",IF(TRIM('Buyer Groups'!$C$4)="",'Final Calculation Sheet'!$B$23,IF(TRIM('Buyer Groups'!$C$4)="(nonblank)",IF('Final Calculation Sheet'!$G$23&lt;&gt;"",'Final Calculation Sheet'!$B$23,""),IF(TRIM('Buyer Groups'!$C$4)="(blank)",IF('Final Calculation Sheet'!$G$23="",'Final Calculation Sheet'!$B$23,""),IF(ISNUMBER(SEARCH(TRIM('Buyer Groups'!$C$4),'Final Calculation Sheet'!$G$23)),'Final Calculation Sheet'!$B$23,"")))))</f>
        <v/>
      </c>
      <c r="GX23">
        <f>IF(GW23="","",COUNTIFS(GW$4:GW$40,"&lt;"&amp;GW23,GW$4:GW$40,"&lt;&gt;"&amp;"")+COUNTIF(GW$4:GW23,GW23))</f>
        <v/>
      </c>
      <c r="GY23">
        <f>IF(ROW()-3&gt;COUNTIF(GW$4:GW$40,"&lt;&gt;"&amp;""),"",INDEX(GW$4:GW$40,MATCH(ROW()-3,GX$4:GX$40,0)))</f>
        <v/>
      </c>
      <c r="GZ23">
        <f>GZ22+IF(AND(GY23&lt;&gt;"",COUNTIF(GY$4:GY23,GY23)=1),1,0)</f>
        <v/>
      </c>
      <c r="HA23">
        <f>IF(ROW()-3&gt;MAX(GZ$4:GZ$40),"",INDEX(GY$4:GY$40,MATCH(ROW()-3,GZ$4:GZ$40,0)))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IF('Final Calculation Sheet'!$F$24="","",IF(TRIM('Final Calculation Sheet'!$G$2)="",'Final Calculation Sheet'!$F$24,IF(TRIM('Final Calculation Sheet'!$G$2)="(nonblank)",IF('Final Calculation Sheet'!$G$24&lt;&gt;"",'Final Calculation Sheet'!$F$24,""),IF(TRIM('Final Calculation Sheet'!$G$2)="(blank)",IF('Final Calculation Sheet'!$G$24="",'Final Calculation Sheet'!$F$24,""),IF(ISNUMBER(SEARCH(TRIM('Final Calculation Sheet'!$G$2),'Final Calculation Sheet'!$G$24)),'Final Calculation Sheet'!$F$24,"")))))</f>
        <v/>
      </c>
      <c r="GD24">
        <f>IF(GC24="","",COUNTIFS(GC$4:GC$40,"&lt;"&amp;GC24,GC$4:GC$40,"&lt;&gt;"&amp;"")+COUNTIF(GC$4:GC24,GC24))</f>
        <v/>
      </c>
      <c r="GE24">
        <f>IF(ROW()-3&gt;COUNTIF(GC$4:GC$40,"&lt;&gt;"&amp;""),"",INDEX(GC$4:GC$40,MATCH(ROW()-3,GD$4:GD$40,0)))</f>
        <v/>
      </c>
      <c r="GF24">
        <f>GF23+IF(AND(GE24&lt;&gt;"",COUNTIF(GE$4:GE24,GE24)=1),1,0)</f>
        <v/>
      </c>
      <c r="GG24">
        <f>IF(ROW()-3&gt;MAX(GF$4:GF$40),"",INDEX(GE$4:GE$40,MATCH(ROW()-3,GF$4:GF$40,0)))</f>
        <v/>
      </c>
      <c r="GH24">
        <f>IF('Final Calculation Sheet'!$F$24="","",IF('Live Search'!$BO$25=1,'Final Calculation Sheet'!$F$24,""))</f>
        <v/>
      </c>
      <c r="GI24">
        <f>IF(GH24="","",COUNTIFS(GH$4:GH$40,"&lt;"&amp;GH24,GH$4:GH$40,"&lt;&gt;"&amp;"")+COUNTIF(GH$4:GH24,GH24))</f>
        <v/>
      </c>
      <c r="GJ24">
        <f>IF(ROW()-3&gt;COUNTIF(GH$4:GH$40,"&lt;&gt;"&amp;""),"",INDEX(GH$4:GH$40,MATCH(ROW()-3,GI$4:GI$40,0)))</f>
        <v/>
      </c>
      <c r="GK24">
        <f>GK23+IF(AND(GJ24&lt;&gt;"",COUNTIF(GJ$4:GJ24,GJ24)=1),1,0)</f>
        <v/>
      </c>
      <c r="GL24">
        <f>IF(ROW()-3&gt;MAX(GK$4:GK$40),"",INDEX(GJ$4:GJ$40,MATCH(ROW()-3,GK$4:GK$40,0)))</f>
        <v/>
      </c>
      <c r="GM24">
        <f>IF('Final Calculation Sheet'!$F$24="","",IF(TRIM('Buyer Groups'!$C$4)="",'Final Calculation Sheet'!$F$24,IF(TRIM('Buyer Groups'!$C$4)="(nonblank)",IF('Final Calculation Sheet'!$G$24&lt;&gt;"",'Final Calculation Sheet'!$F$24,""),IF(TRIM('Buyer Groups'!$C$4)="(blank)",IF('Final Calculation Sheet'!$G$24="",'Final Calculation Sheet'!$F$24,""),IF(ISNUMBER(SEARCH(TRIM('Buyer Groups'!$C$4),'Final Calculation Sheet'!$G$24)),'Final Calculation Sheet'!$F$24,"")))))</f>
        <v/>
      </c>
      <c r="GN24">
        <f>IF(GM24="","",COUNTIFS(GM$4:GM$40,"&lt;"&amp;GM24,GM$4:GM$40,"&lt;&gt;"&amp;"")+COUNTIF(GM$4:GM24,GM24))</f>
        <v/>
      </c>
      <c r="GO24">
        <f>IF(ROW()-3&gt;COUNTIF(GM$4:GM$40,"&lt;&gt;"&amp;""),"",INDEX(GM$4:GM$40,MATCH(ROW()-3,GN$4:GN$40,0)))</f>
        <v/>
      </c>
      <c r="GP24">
        <f>GP23+IF(AND(GO24&lt;&gt;"",COUNTIF(GO$4:GO24,GO24)=1),1,0)</f>
        <v/>
      </c>
      <c r="GQ24">
        <f>IF(ROW()-3&gt;MAX(GP$4:GP$40),"",INDEX(GO$4:GO$40,MATCH(ROW()-3,GP$4:GP$40,0)))</f>
        <v/>
      </c>
      <c r="GR24">
        <f>IF('Final Calculation Sheet'!$B$24="","",IF(TRIM('Final Calculation Sheet'!$G$2)="",'Final Calculation Sheet'!$B$24,IF(TRIM('Final Calculation Sheet'!$G$2)="(nonblank)",IF('Final Calculation Sheet'!$G$24&lt;&gt;"",'Final Calculation Sheet'!$B$24,""),IF(TRIM('Final Calculation Sheet'!$G$2)="(blank)",IF('Final Calculation Sheet'!$G$24="",'Final Calculation Sheet'!$B$24,""),IF(ISNUMBER(SEARCH(TRIM('Final Calculation Sheet'!$G$2),'Final Calculation Sheet'!$G$24)),'Final Calculation Sheet'!$B$24,"")))))</f>
        <v/>
      </c>
      <c r="GS24">
        <f>IF(GR24="","",COUNTIFS(GR$4:GR$40,"&lt;"&amp;GR24,GR$4:GR$40,"&lt;&gt;"&amp;"")+COUNTIF(GR$4:GR24,GR24))</f>
        <v/>
      </c>
      <c r="GT24">
        <f>IF(ROW()-3&gt;COUNTIF(GR$4:GR$40,"&lt;&gt;"&amp;""),"",INDEX(GR$4:GR$40,MATCH(ROW()-3,GS$4:GS$40,0)))</f>
        <v/>
      </c>
      <c r="GU24">
        <f>GU23+IF(AND(GT24&lt;&gt;"",COUNTIF(GT$4:GT24,GT24)=1),1,0)</f>
        <v/>
      </c>
      <c r="GV24">
        <f>IF(ROW()-3&gt;MAX(GU$4:GU$40),"",INDEX(GT$4:GT$40,MATCH(ROW()-3,GU$4:GU$40,0)))</f>
        <v/>
      </c>
      <c r="GW24">
        <f>IF('Final Calculation Sheet'!$B$24="","",IF(TRIM('Buyer Groups'!$C$4)="",'Final Calculation Sheet'!$B$24,IF(TRIM('Buyer Groups'!$C$4)="(nonblank)",IF('Final Calculation Sheet'!$G$24&lt;&gt;"",'Final Calculation Sheet'!$B$24,""),IF(TRIM('Buyer Groups'!$C$4)="(blank)",IF('Final Calculation Sheet'!$G$24="",'Final Calculation Sheet'!$B$24,""),IF(ISNUMBER(SEARCH(TRIM('Buyer Groups'!$C$4),'Final Calculation Sheet'!$G$24)),'Final Calculation Sheet'!$B$24,"")))))</f>
        <v/>
      </c>
      <c r="GX24">
        <f>IF(GW24="","",COUNTIFS(GW$4:GW$40,"&lt;"&amp;GW24,GW$4:GW$40,"&lt;&gt;"&amp;"")+COUNTIF(GW$4:GW24,GW24))</f>
        <v/>
      </c>
      <c r="GY24">
        <f>IF(ROW()-3&gt;COUNTIF(GW$4:GW$40,"&lt;&gt;"&amp;""),"",INDEX(GW$4:GW$40,MATCH(ROW()-3,GX$4:GX$40,0)))</f>
        <v/>
      </c>
      <c r="GZ24">
        <f>GZ23+IF(AND(GY24&lt;&gt;"",COUNTIF(GY$4:GY24,GY24)=1),1,0)</f>
        <v/>
      </c>
      <c r="HA24">
        <f>IF(ROW()-3&gt;MAX(GZ$4:GZ$40),"",INDEX(GY$4:GY$40,MATCH(ROW()-3,GZ$4:GZ$40,0)))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IF('Final Calculation Sheet'!$F$25="","",IF(TRIM('Final Calculation Sheet'!$G$2)="",'Final Calculation Sheet'!$F$25,IF(TRIM('Final Calculation Sheet'!$G$2)="(nonblank)",IF('Final Calculation Sheet'!$G$25&lt;&gt;"",'Final Calculation Sheet'!$F$25,""),IF(TRIM('Final Calculation Sheet'!$G$2)="(blank)",IF('Final Calculation Sheet'!$G$25="",'Final Calculation Sheet'!$F$25,""),IF(ISNUMBER(SEARCH(TRIM('Final Calculation Sheet'!$G$2),'Final Calculation Sheet'!$G$25)),'Final Calculation Sheet'!$F$25,"")))))</f>
        <v/>
      </c>
      <c r="GD25">
        <f>IF(GC25="","",COUNTIFS(GC$4:GC$40,"&lt;"&amp;GC25,GC$4:GC$40,"&lt;&gt;"&amp;"")+COUNTIF(GC$4:GC25,GC25))</f>
        <v/>
      </c>
      <c r="GE25">
        <f>IF(ROW()-3&gt;COUNTIF(GC$4:GC$40,"&lt;&gt;"&amp;""),"",INDEX(GC$4:GC$40,MATCH(ROW()-3,GD$4:GD$40,0)))</f>
        <v/>
      </c>
      <c r="GF25">
        <f>GF24+IF(AND(GE25&lt;&gt;"",COUNTIF(GE$4:GE25,GE25)=1),1,0)</f>
        <v/>
      </c>
      <c r="GG25">
        <f>IF(ROW()-3&gt;MAX(GF$4:GF$40),"",INDEX(GE$4:GE$40,MATCH(ROW()-3,GF$4:GF$40,0)))</f>
        <v/>
      </c>
      <c r="GH25">
        <f>IF('Final Calculation Sheet'!$F$25="","",IF('Live Search'!$BO$26=1,'Final Calculation Sheet'!$F$25,""))</f>
        <v/>
      </c>
      <c r="GI25">
        <f>IF(GH25="","",COUNTIFS(GH$4:GH$40,"&lt;"&amp;GH25,GH$4:GH$40,"&lt;&gt;"&amp;"")+COUNTIF(GH$4:GH25,GH25))</f>
        <v/>
      </c>
      <c r="GJ25">
        <f>IF(ROW()-3&gt;COUNTIF(GH$4:GH$40,"&lt;&gt;"&amp;""),"",INDEX(GH$4:GH$40,MATCH(ROW()-3,GI$4:GI$40,0)))</f>
        <v/>
      </c>
      <c r="GK25">
        <f>GK24+IF(AND(GJ25&lt;&gt;"",COUNTIF(GJ$4:GJ25,GJ25)=1),1,0)</f>
        <v/>
      </c>
      <c r="GL25">
        <f>IF(ROW()-3&gt;MAX(GK$4:GK$40),"",INDEX(GJ$4:GJ$40,MATCH(ROW()-3,GK$4:GK$40,0)))</f>
        <v/>
      </c>
      <c r="GM25">
        <f>IF('Final Calculation Sheet'!$F$25="","",IF(TRIM('Buyer Groups'!$C$4)="",'Final Calculation Sheet'!$F$25,IF(TRIM('Buyer Groups'!$C$4)="(nonblank)",IF('Final Calculation Sheet'!$G$25&lt;&gt;"",'Final Calculation Sheet'!$F$25,""),IF(TRIM('Buyer Groups'!$C$4)="(blank)",IF('Final Calculation Sheet'!$G$25="",'Final Calculation Sheet'!$F$25,""),IF(ISNUMBER(SEARCH(TRIM('Buyer Groups'!$C$4),'Final Calculation Sheet'!$G$25)),'Final Calculation Sheet'!$F$25,"")))))</f>
        <v/>
      </c>
      <c r="GN25">
        <f>IF(GM25="","",COUNTIFS(GM$4:GM$40,"&lt;"&amp;GM25,GM$4:GM$40,"&lt;&gt;"&amp;"")+COUNTIF(GM$4:GM25,GM25))</f>
        <v/>
      </c>
      <c r="GO25">
        <f>IF(ROW()-3&gt;COUNTIF(GM$4:GM$40,"&lt;&gt;"&amp;""),"",INDEX(GM$4:GM$40,MATCH(ROW()-3,GN$4:GN$40,0)))</f>
        <v/>
      </c>
      <c r="GP25">
        <f>GP24+IF(AND(GO25&lt;&gt;"",COUNTIF(GO$4:GO25,GO25)=1),1,0)</f>
        <v/>
      </c>
      <c r="GQ25">
        <f>IF(ROW()-3&gt;MAX(GP$4:GP$40),"",INDEX(GO$4:GO$40,MATCH(ROW()-3,GP$4:GP$40,0)))</f>
        <v/>
      </c>
      <c r="GR25">
        <f>IF('Final Calculation Sheet'!$B$25="","",IF(TRIM('Final Calculation Sheet'!$G$2)="",'Final Calculation Sheet'!$B$25,IF(TRIM('Final Calculation Sheet'!$G$2)="(nonblank)",IF('Final Calculation Sheet'!$G$25&lt;&gt;"",'Final Calculation Sheet'!$B$25,""),IF(TRIM('Final Calculation Sheet'!$G$2)="(blank)",IF('Final Calculation Sheet'!$G$25="",'Final Calculation Sheet'!$B$25,""),IF(ISNUMBER(SEARCH(TRIM('Final Calculation Sheet'!$G$2),'Final Calculation Sheet'!$G$25)),'Final Calculation Sheet'!$B$25,"")))))</f>
        <v/>
      </c>
      <c r="GS25">
        <f>IF(GR25="","",COUNTIFS(GR$4:GR$40,"&lt;"&amp;GR25,GR$4:GR$40,"&lt;&gt;"&amp;"")+COUNTIF(GR$4:GR25,GR25))</f>
        <v/>
      </c>
      <c r="GT25">
        <f>IF(ROW()-3&gt;COUNTIF(GR$4:GR$40,"&lt;&gt;"&amp;""),"",INDEX(GR$4:GR$40,MATCH(ROW()-3,GS$4:GS$40,0)))</f>
        <v/>
      </c>
      <c r="GU25">
        <f>GU24+IF(AND(GT25&lt;&gt;"",COUNTIF(GT$4:GT25,GT25)=1),1,0)</f>
        <v/>
      </c>
      <c r="GV25">
        <f>IF(ROW()-3&gt;MAX(GU$4:GU$40),"",INDEX(GT$4:GT$40,MATCH(ROW()-3,GU$4:GU$40,0)))</f>
        <v/>
      </c>
      <c r="GW25">
        <f>IF('Final Calculation Sheet'!$B$25="","",IF(TRIM('Buyer Groups'!$C$4)="",'Final Calculation Sheet'!$B$25,IF(TRIM('Buyer Groups'!$C$4)="(nonblank)",IF('Final Calculation Sheet'!$G$25&lt;&gt;"",'Final Calculation Sheet'!$B$25,""),IF(TRIM('Buyer Groups'!$C$4)="(blank)",IF('Final Calculation Sheet'!$G$25="",'Final Calculation Sheet'!$B$25,""),IF(ISNUMBER(SEARCH(TRIM('Buyer Groups'!$C$4),'Final Calculation Sheet'!$G$25)),'Final Calculation Sheet'!$B$25,"")))))</f>
        <v/>
      </c>
      <c r="GX25">
        <f>IF(GW25="","",COUNTIFS(GW$4:GW$40,"&lt;"&amp;GW25,GW$4:GW$40,"&lt;&gt;"&amp;"")+COUNTIF(GW$4:GW25,GW25))</f>
        <v/>
      </c>
      <c r="GY25">
        <f>IF(ROW()-3&gt;COUNTIF(GW$4:GW$40,"&lt;&gt;"&amp;""),"",INDEX(GW$4:GW$40,MATCH(ROW()-3,GX$4:GX$40,0)))</f>
        <v/>
      </c>
      <c r="GZ25">
        <f>GZ24+IF(AND(GY25&lt;&gt;"",COUNTIF(GY$4:GY25,GY25)=1),1,0)</f>
        <v/>
      </c>
      <c r="HA25">
        <f>IF(ROW()-3&gt;MAX(GZ$4:GZ$40),"",INDEX(GY$4:GY$40,MATCH(ROW()-3,GZ$4:GZ$40,0)))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IF('Final Calculation Sheet'!$F$26="","",IF(TRIM('Final Calculation Sheet'!$G$2)="",'Final Calculation Sheet'!$F$26,IF(TRIM('Final Calculation Sheet'!$G$2)="(nonblank)",IF('Final Calculation Sheet'!$G$26&lt;&gt;"",'Final Calculation Sheet'!$F$26,""),IF(TRIM('Final Calculation Sheet'!$G$2)="(blank)",IF('Final Calculation Sheet'!$G$26="",'Final Calculation Sheet'!$F$26,""),IF(ISNUMBER(SEARCH(TRIM('Final Calculation Sheet'!$G$2),'Final Calculation Sheet'!$G$26)),'Final Calculation Sheet'!$F$26,"")))))</f>
        <v/>
      </c>
      <c r="GD26">
        <f>IF(GC26="","",COUNTIFS(GC$4:GC$40,"&lt;"&amp;GC26,GC$4:GC$40,"&lt;&gt;"&amp;"")+COUNTIF(GC$4:GC26,GC26))</f>
        <v/>
      </c>
      <c r="GE26">
        <f>IF(ROW()-3&gt;COUNTIF(GC$4:GC$40,"&lt;&gt;"&amp;""),"",INDEX(GC$4:GC$40,MATCH(ROW()-3,GD$4:GD$40,0)))</f>
        <v/>
      </c>
      <c r="GF26">
        <f>GF25+IF(AND(GE26&lt;&gt;"",COUNTIF(GE$4:GE26,GE26)=1),1,0)</f>
        <v/>
      </c>
      <c r="GG26">
        <f>IF(ROW()-3&gt;MAX(GF$4:GF$40),"",INDEX(GE$4:GE$40,MATCH(ROW()-3,GF$4:GF$40,0)))</f>
        <v/>
      </c>
      <c r="GH26">
        <f>IF('Final Calculation Sheet'!$F$26="","",IF('Live Search'!$BO$27=1,'Final Calculation Sheet'!$F$26,""))</f>
        <v/>
      </c>
      <c r="GI26">
        <f>IF(GH26="","",COUNTIFS(GH$4:GH$40,"&lt;"&amp;GH26,GH$4:GH$40,"&lt;&gt;"&amp;"")+COUNTIF(GH$4:GH26,GH26))</f>
        <v/>
      </c>
      <c r="GJ26">
        <f>IF(ROW()-3&gt;COUNTIF(GH$4:GH$40,"&lt;&gt;"&amp;""),"",INDEX(GH$4:GH$40,MATCH(ROW()-3,GI$4:GI$40,0)))</f>
        <v/>
      </c>
      <c r="GK26">
        <f>GK25+IF(AND(GJ26&lt;&gt;"",COUNTIF(GJ$4:GJ26,GJ26)=1),1,0)</f>
        <v/>
      </c>
      <c r="GL26">
        <f>IF(ROW()-3&gt;MAX(GK$4:GK$40),"",INDEX(GJ$4:GJ$40,MATCH(ROW()-3,GK$4:GK$40,0)))</f>
        <v/>
      </c>
      <c r="GM26">
        <f>IF('Final Calculation Sheet'!$F$26="","",IF(TRIM('Buyer Groups'!$C$4)="",'Final Calculation Sheet'!$F$26,IF(TRIM('Buyer Groups'!$C$4)="(nonblank)",IF('Final Calculation Sheet'!$G$26&lt;&gt;"",'Final Calculation Sheet'!$F$26,""),IF(TRIM('Buyer Groups'!$C$4)="(blank)",IF('Final Calculation Sheet'!$G$26="",'Final Calculation Sheet'!$F$26,""),IF(ISNUMBER(SEARCH(TRIM('Buyer Groups'!$C$4),'Final Calculation Sheet'!$G$26)),'Final Calculation Sheet'!$F$26,"")))))</f>
        <v/>
      </c>
      <c r="GN26">
        <f>IF(GM26="","",COUNTIFS(GM$4:GM$40,"&lt;"&amp;GM26,GM$4:GM$40,"&lt;&gt;"&amp;"")+COUNTIF(GM$4:GM26,GM26))</f>
        <v/>
      </c>
      <c r="GO26">
        <f>IF(ROW()-3&gt;COUNTIF(GM$4:GM$40,"&lt;&gt;"&amp;""),"",INDEX(GM$4:GM$40,MATCH(ROW()-3,GN$4:GN$40,0)))</f>
        <v/>
      </c>
      <c r="GP26">
        <f>GP25+IF(AND(GO26&lt;&gt;"",COUNTIF(GO$4:GO26,GO26)=1),1,0)</f>
        <v/>
      </c>
      <c r="GQ26">
        <f>IF(ROW()-3&gt;MAX(GP$4:GP$40),"",INDEX(GO$4:GO$40,MATCH(ROW()-3,GP$4:GP$40,0)))</f>
        <v/>
      </c>
      <c r="GR26">
        <f>IF('Final Calculation Sheet'!$B$26="","",IF(TRIM('Final Calculation Sheet'!$G$2)="",'Final Calculation Sheet'!$B$26,IF(TRIM('Final Calculation Sheet'!$G$2)="(nonblank)",IF('Final Calculation Sheet'!$G$26&lt;&gt;"",'Final Calculation Sheet'!$B$26,""),IF(TRIM('Final Calculation Sheet'!$G$2)="(blank)",IF('Final Calculation Sheet'!$G$26="",'Final Calculation Sheet'!$B$26,""),IF(ISNUMBER(SEARCH(TRIM('Final Calculation Sheet'!$G$2),'Final Calculation Sheet'!$G$26)),'Final Calculation Sheet'!$B$26,"")))))</f>
        <v/>
      </c>
      <c r="GS26">
        <f>IF(GR26="","",COUNTIFS(GR$4:GR$40,"&lt;"&amp;GR26,GR$4:GR$40,"&lt;&gt;"&amp;"")+COUNTIF(GR$4:GR26,GR26))</f>
        <v/>
      </c>
      <c r="GT26">
        <f>IF(ROW()-3&gt;COUNTIF(GR$4:GR$40,"&lt;&gt;"&amp;""),"",INDEX(GR$4:GR$40,MATCH(ROW()-3,GS$4:GS$40,0)))</f>
        <v/>
      </c>
      <c r="GU26">
        <f>GU25+IF(AND(GT26&lt;&gt;"",COUNTIF(GT$4:GT26,GT26)=1),1,0)</f>
        <v/>
      </c>
      <c r="GV26">
        <f>IF(ROW()-3&gt;MAX(GU$4:GU$40),"",INDEX(GT$4:GT$40,MATCH(ROW()-3,GU$4:GU$40,0)))</f>
        <v/>
      </c>
      <c r="GW26">
        <f>IF('Final Calculation Sheet'!$B$26="","",IF(TRIM('Buyer Groups'!$C$4)="",'Final Calculation Sheet'!$B$26,IF(TRIM('Buyer Groups'!$C$4)="(nonblank)",IF('Final Calculation Sheet'!$G$26&lt;&gt;"",'Final Calculation Sheet'!$B$26,""),IF(TRIM('Buyer Groups'!$C$4)="(blank)",IF('Final Calculation Sheet'!$G$26="",'Final Calculation Sheet'!$B$26,""),IF(ISNUMBER(SEARCH(TRIM('Buyer Groups'!$C$4),'Final Calculation Sheet'!$G$26)),'Final Calculation Sheet'!$B$26,"")))))</f>
        <v/>
      </c>
      <c r="GX26">
        <f>IF(GW26="","",COUNTIFS(GW$4:GW$40,"&lt;"&amp;GW26,GW$4:GW$40,"&lt;&gt;"&amp;"")+COUNTIF(GW$4:GW26,GW26))</f>
        <v/>
      </c>
      <c r="GY26">
        <f>IF(ROW()-3&gt;COUNTIF(GW$4:GW$40,"&lt;&gt;"&amp;""),"",INDEX(GW$4:GW$40,MATCH(ROW()-3,GX$4:GX$40,0)))</f>
        <v/>
      </c>
      <c r="GZ26">
        <f>GZ25+IF(AND(GY26&lt;&gt;"",COUNTIF(GY$4:GY26,GY26)=1),1,0)</f>
        <v/>
      </c>
      <c r="HA26">
        <f>IF(ROW()-3&gt;MAX(GZ$4:GZ$40),"",INDEX(GY$4:GY$40,MATCH(ROW()-3,GZ$4:GZ$40,0)))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IF('Final Calculation Sheet'!$F$27="","",IF(TRIM('Final Calculation Sheet'!$G$2)="",'Final Calculation Sheet'!$F$27,IF(TRIM('Final Calculation Sheet'!$G$2)="(nonblank)",IF('Final Calculation Sheet'!$G$27&lt;&gt;"",'Final Calculation Sheet'!$F$27,""),IF(TRIM('Final Calculation Sheet'!$G$2)="(blank)",IF('Final Calculation Sheet'!$G$27="",'Final Calculation Sheet'!$F$27,""),IF(ISNUMBER(SEARCH(TRIM('Final Calculation Sheet'!$G$2),'Final Calculation Sheet'!$G$27)),'Final Calculation Sheet'!$F$27,"")))))</f>
        <v/>
      </c>
      <c r="GD27">
        <f>IF(GC27="","",COUNTIFS(GC$4:GC$40,"&lt;"&amp;GC27,GC$4:GC$40,"&lt;&gt;"&amp;"")+COUNTIF(GC$4:GC27,GC27))</f>
        <v/>
      </c>
      <c r="GE27">
        <f>IF(ROW()-3&gt;COUNTIF(GC$4:GC$40,"&lt;&gt;"&amp;""),"",INDEX(GC$4:GC$40,MATCH(ROW()-3,GD$4:GD$40,0)))</f>
        <v/>
      </c>
      <c r="GF27">
        <f>GF26+IF(AND(GE27&lt;&gt;"",COUNTIF(GE$4:GE27,GE27)=1),1,0)</f>
        <v/>
      </c>
      <c r="GG27">
        <f>IF(ROW()-3&gt;MAX(GF$4:GF$40),"",INDEX(GE$4:GE$40,MATCH(ROW()-3,GF$4:GF$40,0)))</f>
        <v/>
      </c>
      <c r="GH27">
        <f>IF('Final Calculation Sheet'!$F$27="","",IF('Live Search'!$BO$28=1,'Final Calculation Sheet'!$F$27,""))</f>
        <v/>
      </c>
      <c r="GI27">
        <f>IF(GH27="","",COUNTIFS(GH$4:GH$40,"&lt;"&amp;GH27,GH$4:GH$40,"&lt;&gt;"&amp;"")+COUNTIF(GH$4:GH27,GH27))</f>
        <v/>
      </c>
      <c r="GJ27">
        <f>IF(ROW()-3&gt;COUNTIF(GH$4:GH$40,"&lt;&gt;"&amp;""),"",INDEX(GH$4:GH$40,MATCH(ROW()-3,GI$4:GI$40,0)))</f>
        <v/>
      </c>
      <c r="GK27">
        <f>GK26+IF(AND(GJ27&lt;&gt;"",COUNTIF(GJ$4:GJ27,GJ27)=1),1,0)</f>
        <v/>
      </c>
      <c r="GL27">
        <f>IF(ROW()-3&gt;MAX(GK$4:GK$40),"",INDEX(GJ$4:GJ$40,MATCH(ROW()-3,GK$4:GK$40,0)))</f>
        <v/>
      </c>
      <c r="GM27">
        <f>IF('Final Calculation Sheet'!$F$27="","",IF(TRIM('Buyer Groups'!$C$4)="",'Final Calculation Sheet'!$F$27,IF(TRIM('Buyer Groups'!$C$4)="(nonblank)",IF('Final Calculation Sheet'!$G$27&lt;&gt;"",'Final Calculation Sheet'!$F$27,""),IF(TRIM('Buyer Groups'!$C$4)="(blank)",IF('Final Calculation Sheet'!$G$27="",'Final Calculation Sheet'!$F$27,""),IF(ISNUMBER(SEARCH(TRIM('Buyer Groups'!$C$4),'Final Calculation Sheet'!$G$27)),'Final Calculation Sheet'!$F$27,"")))))</f>
        <v/>
      </c>
      <c r="GN27">
        <f>IF(GM27="","",COUNTIFS(GM$4:GM$40,"&lt;"&amp;GM27,GM$4:GM$40,"&lt;&gt;"&amp;"")+COUNTIF(GM$4:GM27,GM27))</f>
        <v/>
      </c>
      <c r="GO27">
        <f>IF(ROW()-3&gt;COUNTIF(GM$4:GM$40,"&lt;&gt;"&amp;""),"",INDEX(GM$4:GM$40,MATCH(ROW()-3,GN$4:GN$40,0)))</f>
        <v/>
      </c>
      <c r="GP27">
        <f>GP26+IF(AND(GO27&lt;&gt;"",COUNTIF(GO$4:GO27,GO27)=1),1,0)</f>
        <v/>
      </c>
      <c r="GQ27">
        <f>IF(ROW()-3&gt;MAX(GP$4:GP$40),"",INDEX(GO$4:GO$40,MATCH(ROW()-3,GP$4:GP$40,0)))</f>
        <v/>
      </c>
      <c r="GR27">
        <f>IF('Final Calculation Sheet'!$B$27="","",IF(TRIM('Final Calculation Sheet'!$G$2)="",'Final Calculation Sheet'!$B$27,IF(TRIM('Final Calculation Sheet'!$G$2)="(nonblank)",IF('Final Calculation Sheet'!$G$27&lt;&gt;"",'Final Calculation Sheet'!$B$27,""),IF(TRIM('Final Calculation Sheet'!$G$2)="(blank)",IF('Final Calculation Sheet'!$G$27="",'Final Calculation Sheet'!$B$27,""),IF(ISNUMBER(SEARCH(TRIM('Final Calculation Sheet'!$G$2),'Final Calculation Sheet'!$G$27)),'Final Calculation Sheet'!$B$27,"")))))</f>
        <v/>
      </c>
      <c r="GS27">
        <f>IF(GR27="","",COUNTIFS(GR$4:GR$40,"&lt;"&amp;GR27,GR$4:GR$40,"&lt;&gt;"&amp;"")+COUNTIF(GR$4:GR27,GR27))</f>
        <v/>
      </c>
      <c r="GT27">
        <f>IF(ROW()-3&gt;COUNTIF(GR$4:GR$40,"&lt;&gt;"&amp;""),"",INDEX(GR$4:GR$40,MATCH(ROW()-3,GS$4:GS$40,0)))</f>
        <v/>
      </c>
      <c r="GU27">
        <f>GU26+IF(AND(GT27&lt;&gt;"",COUNTIF(GT$4:GT27,GT27)=1),1,0)</f>
        <v/>
      </c>
      <c r="GV27">
        <f>IF(ROW()-3&gt;MAX(GU$4:GU$40),"",INDEX(GT$4:GT$40,MATCH(ROW()-3,GU$4:GU$40,0)))</f>
        <v/>
      </c>
      <c r="GW27">
        <f>IF('Final Calculation Sheet'!$B$27="","",IF(TRIM('Buyer Groups'!$C$4)="",'Final Calculation Sheet'!$B$27,IF(TRIM('Buyer Groups'!$C$4)="(nonblank)",IF('Final Calculation Sheet'!$G$27&lt;&gt;"",'Final Calculation Sheet'!$B$27,""),IF(TRIM('Buyer Groups'!$C$4)="(blank)",IF('Final Calculation Sheet'!$G$27="",'Final Calculation Sheet'!$B$27,""),IF(ISNUMBER(SEARCH(TRIM('Buyer Groups'!$C$4),'Final Calculation Sheet'!$G$27)),'Final Calculation Sheet'!$B$27,"")))))</f>
        <v/>
      </c>
      <c r="GX27">
        <f>IF(GW27="","",COUNTIFS(GW$4:GW$40,"&lt;"&amp;GW27,GW$4:GW$40,"&lt;&gt;"&amp;"")+COUNTIF(GW$4:GW27,GW27))</f>
        <v/>
      </c>
      <c r="GY27">
        <f>IF(ROW()-3&gt;COUNTIF(GW$4:GW$40,"&lt;&gt;"&amp;""),"",INDEX(GW$4:GW$40,MATCH(ROW()-3,GX$4:GX$40,0)))</f>
        <v/>
      </c>
      <c r="GZ27">
        <f>GZ26+IF(AND(GY27&lt;&gt;"",COUNTIF(GY$4:GY27,GY27)=1),1,0)</f>
        <v/>
      </c>
      <c r="HA27">
        <f>IF(ROW()-3&gt;MAX(GZ$4:GZ$40),"",INDEX(GY$4:GY$40,MATCH(ROW()-3,GZ$4:GZ$40,0)))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IF('Final Calculation Sheet'!$F$28="","",IF(TRIM('Final Calculation Sheet'!$G$2)="",'Final Calculation Sheet'!$F$28,IF(TRIM('Final Calculation Sheet'!$G$2)="(nonblank)",IF('Final Calculation Sheet'!$G$28&lt;&gt;"",'Final Calculation Sheet'!$F$28,""),IF(TRIM('Final Calculation Sheet'!$G$2)="(blank)",IF('Final Calculation Sheet'!$G$28="",'Final Calculation Sheet'!$F$28,""),IF(ISNUMBER(SEARCH(TRIM('Final Calculation Sheet'!$G$2),'Final Calculation Sheet'!$G$28)),'Final Calculation Sheet'!$F$28,"")))))</f>
        <v/>
      </c>
      <c r="GD28">
        <f>IF(GC28="","",COUNTIFS(GC$4:GC$40,"&lt;"&amp;GC28,GC$4:GC$40,"&lt;&gt;"&amp;"")+COUNTIF(GC$4:GC28,GC28))</f>
        <v/>
      </c>
      <c r="GE28">
        <f>IF(ROW()-3&gt;COUNTIF(GC$4:GC$40,"&lt;&gt;"&amp;""),"",INDEX(GC$4:GC$40,MATCH(ROW()-3,GD$4:GD$40,0)))</f>
        <v/>
      </c>
      <c r="GF28">
        <f>GF27+IF(AND(GE28&lt;&gt;"",COUNTIF(GE$4:GE28,GE28)=1),1,0)</f>
        <v/>
      </c>
      <c r="GG28">
        <f>IF(ROW()-3&gt;MAX(GF$4:GF$40),"",INDEX(GE$4:GE$40,MATCH(ROW()-3,GF$4:GF$40,0)))</f>
        <v/>
      </c>
      <c r="GH28">
        <f>IF('Final Calculation Sheet'!$F$28="","",IF('Live Search'!$BO$29=1,'Final Calculation Sheet'!$F$28,""))</f>
        <v/>
      </c>
      <c r="GI28">
        <f>IF(GH28="","",COUNTIFS(GH$4:GH$40,"&lt;"&amp;GH28,GH$4:GH$40,"&lt;&gt;"&amp;"")+COUNTIF(GH$4:GH28,GH28))</f>
        <v/>
      </c>
      <c r="GJ28">
        <f>IF(ROW()-3&gt;COUNTIF(GH$4:GH$40,"&lt;&gt;"&amp;""),"",INDEX(GH$4:GH$40,MATCH(ROW()-3,GI$4:GI$40,0)))</f>
        <v/>
      </c>
      <c r="GK28">
        <f>GK27+IF(AND(GJ28&lt;&gt;"",COUNTIF(GJ$4:GJ28,GJ28)=1),1,0)</f>
        <v/>
      </c>
      <c r="GL28">
        <f>IF(ROW()-3&gt;MAX(GK$4:GK$40),"",INDEX(GJ$4:GJ$40,MATCH(ROW()-3,GK$4:GK$40,0)))</f>
        <v/>
      </c>
      <c r="GM28">
        <f>IF('Final Calculation Sheet'!$F$28="","",IF(TRIM('Buyer Groups'!$C$4)="",'Final Calculation Sheet'!$F$28,IF(TRIM('Buyer Groups'!$C$4)="(nonblank)",IF('Final Calculation Sheet'!$G$28&lt;&gt;"",'Final Calculation Sheet'!$F$28,""),IF(TRIM('Buyer Groups'!$C$4)="(blank)",IF('Final Calculation Sheet'!$G$28="",'Final Calculation Sheet'!$F$28,""),IF(ISNUMBER(SEARCH(TRIM('Buyer Groups'!$C$4),'Final Calculation Sheet'!$G$28)),'Final Calculation Sheet'!$F$28,"")))))</f>
        <v/>
      </c>
      <c r="GN28">
        <f>IF(GM28="","",COUNTIFS(GM$4:GM$40,"&lt;"&amp;GM28,GM$4:GM$40,"&lt;&gt;"&amp;"")+COUNTIF(GM$4:GM28,GM28))</f>
        <v/>
      </c>
      <c r="GO28">
        <f>IF(ROW()-3&gt;COUNTIF(GM$4:GM$40,"&lt;&gt;"&amp;""),"",INDEX(GM$4:GM$40,MATCH(ROW()-3,GN$4:GN$40,0)))</f>
        <v/>
      </c>
      <c r="GP28">
        <f>GP27+IF(AND(GO28&lt;&gt;"",COUNTIF(GO$4:GO28,GO28)=1),1,0)</f>
        <v/>
      </c>
      <c r="GQ28">
        <f>IF(ROW()-3&gt;MAX(GP$4:GP$40),"",INDEX(GO$4:GO$40,MATCH(ROW()-3,GP$4:GP$40,0)))</f>
        <v/>
      </c>
      <c r="GR28">
        <f>IF('Final Calculation Sheet'!$B$28="","",IF(TRIM('Final Calculation Sheet'!$G$2)="",'Final Calculation Sheet'!$B$28,IF(TRIM('Final Calculation Sheet'!$G$2)="(nonblank)",IF('Final Calculation Sheet'!$G$28&lt;&gt;"",'Final Calculation Sheet'!$B$28,""),IF(TRIM('Final Calculation Sheet'!$G$2)="(blank)",IF('Final Calculation Sheet'!$G$28="",'Final Calculation Sheet'!$B$28,""),IF(ISNUMBER(SEARCH(TRIM('Final Calculation Sheet'!$G$2),'Final Calculation Sheet'!$G$28)),'Final Calculation Sheet'!$B$28,"")))))</f>
        <v/>
      </c>
      <c r="GS28">
        <f>IF(GR28="","",COUNTIFS(GR$4:GR$40,"&lt;"&amp;GR28,GR$4:GR$40,"&lt;&gt;"&amp;"")+COUNTIF(GR$4:GR28,GR28))</f>
        <v/>
      </c>
      <c r="GT28">
        <f>IF(ROW()-3&gt;COUNTIF(GR$4:GR$40,"&lt;&gt;"&amp;""),"",INDEX(GR$4:GR$40,MATCH(ROW()-3,GS$4:GS$40,0)))</f>
        <v/>
      </c>
      <c r="GU28">
        <f>GU27+IF(AND(GT28&lt;&gt;"",COUNTIF(GT$4:GT28,GT28)=1),1,0)</f>
        <v/>
      </c>
      <c r="GV28">
        <f>IF(ROW()-3&gt;MAX(GU$4:GU$40),"",INDEX(GT$4:GT$40,MATCH(ROW()-3,GU$4:GU$40,0)))</f>
        <v/>
      </c>
      <c r="GW28">
        <f>IF('Final Calculation Sheet'!$B$28="","",IF(TRIM('Buyer Groups'!$C$4)="",'Final Calculation Sheet'!$B$28,IF(TRIM('Buyer Groups'!$C$4)="(nonblank)",IF('Final Calculation Sheet'!$G$28&lt;&gt;"",'Final Calculation Sheet'!$B$28,""),IF(TRIM('Buyer Groups'!$C$4)="(blank)",IF('Final Calculation Sheet'!$G$28="",'Final Calculation Sheet'!$B$28,""),IF(ISNUMBER(SEARCH(TRIM('Buyer Groups'!$C$4),'Final Calculation Sheet'!$G$28)),'Final Calculation Sheet'!$B$28,"")))))</f>
        <v/>
      </c>
      <c r="GX28">
        <f>IF(GW28="","",COUNTIFS(GW$4:GW$40,"&lt;"&amp;GW28,GW$4:GW$40,"&lt;&gt;"&amp;"")+COUNTIF(GW$4:GW28,GW28))</f>
        <v/>
      </c>
      <c r="GY28">
        <f>IF(ROW()-3&gt;COUNTIF(GW$4:GW$40,"&lt;&gt;"&amp;""),"",INDEX(GW$4:GW$40,MATCH(ROW()-3,GX$4:GX$40,0)))</f>
        <v/>
      </c>
      <c r="GZ28">
        <f>GZ27+IF(AND(GY28&lt;&gt;"",COUNTIF(GY$4:GY28,GY28)=1),1,0)</f>
        <v/>
      </c>
      <c r="HA28">
        <f>IF(ROW()-3&gt;MAX(GZ$4:GZ$40),"",INDEX(GY$4:GY$40,MATCH(ROW()-3,GZ$4:GZ$40,0)))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IF('Final Calculation Sheet'!$F$29="","",IF(TRIM('Final Calculation Sheet'!$G$2)="",'Final Calculation Sheet'!$F$29,IF(TRIM('Final Calculation Sheet'!$G$2)="(nonblank)",IF('Final Calculation Sheet'!$G$29&lt;&gt;"",'Final Calculation Sheet'!$F$29,""),IF(TRIM('Final Calculation Sheet'!$G$2)="(blank)",IF('Final Calculation Sheet'!$G$29="",'Final Calculation Sheet'!$F$29,""),IF(ISNUMBER(SEARCH(TRIM('Final Calculation Sheet'!$G$2),'Final Calculation Sheet'!$G$29)),'Final Calculation Sheet'!$F$29,"")))))</f>
        <v/>
      </c>
      <c r="GD29">
        <f>IF(GC29="","",COUNTIFS(GC$4:GC$40,"&lt;"&amp;GC29,GC$4:GC$40,"&lt;&gt;"&amp;"")+COUNTIF(GC$4:GC29,GC29))</f>
        <v/>
      </c>
      <c r="GE29">
        <f>IF(ROW()-3&gt;COUNTIF(GC$4:GC$40,"&lt;&gt;"&amp;""),"",INDEX(GC$4:GC$40,MATCH(ROW()-3,GD$4:GD$40,0)))</f>
        <v/>
      </c>
      <c r="GF29">
        <f>GF28+IF(AND(GE29&lt;&gt;"",COUNTIF(GE$4:GE29,GE29)=1),1,0)</f>
        <v/>
      </c>
      <c r="GG29">
        <f>IF(ROW()-3&gt;MAX(GF$4:GF$40),"",INDEX(GE$4:GE$40,MATCH(ROW()-3,GF$4:GF$40,0)))</f>
        <v/>
      </c>
      <c r="GH29">
        <f>IF('Final Calculation Sheet'!$F$29="","",IF('Live Search'!$BO$30=1,'Final Calculation Sheet'!$F$29,""))</f>
        <v/>
      </c>
      <c r="GI29">
        <f>IF(GH29="","",COUNTIFS(GH$4:GH$40,"&lt;"&amp;GH29,GH$4:GH$40,"&lt;&gt;"&amp;"")+COUNTIF(GH$4:GH29,GH29))</f>
        <v/>
      </c>
      <c r="GJ29">
        <f>IF(ROW()-3&gt;COUNTIF(GH$4:GH$40,"&lt;&gt;"&amp;""),"",INDEX(GH$4:GH$40,MATCH(ROW()-3,GI$4:GI$40,0)))</f>
        <v/>
      </c>
      <c r="GK29">
        <f>GK28+IF(AND(GJ29&lt;&gt;"",COUNTIF(GJ$4:GJ29,GJ29)=1),1,0)</f>
        <v/>
      </c>
      <c r="GL29">
        <f>IF(ROW()-3&gt;MAX(GK$4:GK$40),"",INDEX(GJ$4:GJ$40,MATCH(ROW()-3,GK$4:GK$40,0)))</f>
        <v/>
      </c>
      <c r="GM29">
        <f>IF('Final Calculation Sheet'!$F$29="","",IF(TRIM('Buyer Groups'!$C$4)="",'Final Calculation Sheet'!$F$29,IF(TRIM('Buyer Groups'!$C$4)="(nonblank)",IF('Final Calculation Sheet'!$G$29&lt;&gt;"",'Final Calculation Sheet'!$F$29,""),IF(TRIM('Buyer Groups'!$C$4)="(blank)",IF('Final Calculation Sheet'!$G$29="",'Final Calculation Sheet'!$F$29,""),IF(ISNUMBER(SEARCH(TRIM('Buyer Groups'!$C$4),'Final Calculation Sheet'!$G$29)),'Final Calculation Sheet'!$F$29,"")))))</f>
        <v/>
      </c>
      <c r="GN29">
        <f>IF(GM29="","",COUNTIFS(GM$4:GM$40,"&lt;"&amp;GM29,GM$4:GM$40,"&lt;&gt;"&amp;"")+COUNTIF(GM$4:GM29,GM29))</f>
        <v/>
      </c>
      <c r="GO29">
        <f>IF(ROW()-3&gt;COUNTIF(GM$4:GM$40,"&lt;&gt;"&amp;""),"",INDEX(GM$4:GM$40,MATCH(ROW()-3,GN$4:GN$40,0)))</f>
        <v/>
      </c>
      <c r="GP29">
        <f>GP28+IF(AND(GO29&lt;&gt;"",COUNTIF(GO$4:GO29,GO29)=1),1,0)</f>
        <v/>
      </c>
      <c r="GQ29">
        <f>IF(ROW()-3&gt;MAX(GP$4:GP$40),"",INDEX(GO$4:GO$40,MATCH(ROW()-3,GP$4:GP$40,0)))</f>
        <v/>
      </c>
      <c r="GR29">
        <f>IF('Final Calculation Sheet'!$B$29="","",IF(TRIM('Final Calculation Sheet'!$G$2)="",'Final Calculation Sheet'!$B$29,IF(TRIM('Final Calculation Sheet'!$G$2)="(nonblank)",IF('Final Calculation Sheet'!$G$29&lt;&gt;"",'Final Calculation Sheet'!$B$29,""),IF(TRIM('Final Calculation Sheet'!$G$2)="(blank)",IF('Final Calculation Sheet'!$G$29="",'Final Calculation Sheet'!$B$29,""),IF(ISNUMBER(SEARCH(TRIM('Final Calculation Sheet'!$G$2),'Final Calculation Sheet'!$G$29)),'Final Calculation Sheet'!$B$29,"")))))</f>
        <v/>
      </c>
      <c r="GS29">
        <f>IF(GR29="","",COUNTIFS(GR$4:GR$40,"&lt;"&amp;GR29,GR$4:GR$40,"&lt;&gt;"&amp;"")+COUNTIF(GR$4:GR29,GR29))</f>
        <v/>
      </c>
      <c r="GT29">
        <f>IF(ROW()-3&gt;COUNTIF(GR$4:GR$40,"&lt;&gt;"&amp;""),"",INDEX(GR$4:GR$40,MATCH(ROW()-3,GS$4:GS$40,0)))</f>
        <v/>
      </c>
      <c r="GU29">
        <f>GU28+IF(AND(GT29&lt;&gt;"",COUNTIF(GT$4:GT29,GT29)=1),1,0)</f>
        <v/>
      </c>
      <c r="GV29">
        <f>IF(ROW()-3&gt;MAX(GU$4:GU$40),"",INDEX(GT$4:GT$40,MATCH(ROW()-3,GU$4:GU$40,0)))</f>
        <v/>
      </c>
      <c r="GW29">
        <f>IF('Final Calculation Sheet'!$B$29="","",IF(TRIM('Buyer Groups'!$C$4)="",'Final Calculation Sheet'!$B$29,IF(TRIM('Buyer Groups'!$C$4)="(nonblank)",IF('Final Calculation Sheet'!$G$29&lt;&gt;"",'Final Calculation Sheet'!$B$29,""),IF(TRIM('Buyer Groups'!$C$4)="(blank)",IF('Final Calculation Sheet'!$G$29="",'Final Calculation Sheet'!$B$29,""),IF(ISNUMBER(SEARCH(TRIM('Buyer Groups'!$C$4),'Final Calculation Sheet'!$G$29)),'Final Calculation Sheet'!$B$29,"")))))</f>
        <v/>
      </c>
      <c r="GX29">
        <f>IF(GW29="","",COUNTIFS(GW$4:GW$40,"&lt;"&amp;GW29,GW$4:GW$40,"&lt;&gt;"&amp;"")+COUNTIF(GW$4:GW29,GW29))</f>
        <v/>
      </c>
      <c r="GY29">
        <f>IF(ROW()-3&gt;COUNTIF(GW$4:GW$40,"&lt;&gt;"&amp;""),"",INDEX(GW$4:GW$40,MATCH(ROW()-3,GX$4:GX$40,0)))</f>
        <v/>
      </c>
      <c r="GZ29">
        <f>GZ28+IF(AND(GY29&lt;&gt;"",COUNTIF(GY$4:GY29,GY29)=1),1,0)</f>
        <v/>
      </c>
      <c r="HA29">
        <f>IF(ROW()-3&gt;MAX(GZ$4:GZ$40),"",INDEX(GY$4:GY$40,MATCH(ROW()-3,GZ$4:GZ$40,0)))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IF('Final Calculation Sheet'!$F$30="","",IF(TRIM('Final Calculation Sheet'!$G$2)="",'Final Calculation Sheet'!$F$30,IF(TRIM('Final Calculation Sheet'!$G$2)="(nonblank)",IF('Final Calculation Sheet'!$G$30&lt;&gt;"",'Final Calculation Sheet'!$F$30,""),IF(TRIM('Final Calculation Sheet'!$G$2)="(blank)",IF('Final Calculation Sheet'!$G$30="",'Final Calculation Sheet'!$F$30,""),IF(ISNUMBER(SEARCH(TRIM('Final Calculation Sheet'!$G$2),'Final Calculation Sheet'!$G$30)),'Final Calculation Sheet'!$F$30,"")))))</f>
        <v/>
      </c>
      <c r="GD30">
        <f>IF(GC30="","",COUNTIFS(GC$4:GC$40,"&lt;"&amp;GC30,GC$4:GC$40,"&lt;&gt;"&amp;"")+COUNTIF(GC$4:GC30,GC30))</f>
        <v/>
      </c>
      <c r="GE30">
        <f>IF(ROW()-3&gt;COUNTIF(GC$4:GC$40,"&lt;&gt;"&amp;""),"",INDEX(GC$4:GC$40,MATCH(ROW()-3,GD$4:GD$40,0)))</f>
        <v/>
      </c>
      <c r="GF30">
        <f>GF29+IF(AND(GE30&lt;&gt;"",COUNTIF(GE$4:GE30,GE30)=1),1,0)</f>
        <v/>
      </c>
      <c r="GG30">
        <f>IF(ROW()-3&gt;MAX(GF$4:GF$40),"",INDEX(GE$4:GE$40,MATCH(ROW()-3,GF$4:GF$40,0)))</f>
        <v/>
      </c>
      <c r="GH30">
        <f>IF('Final Calculation Sheet'!$F$30="","",IF('Live Search'!$BO$31=1,'Final Calculation Sheet'!$F$30,""))</f>
        <v/>
      </c>
      <c r="GI30">
        <f>IF(GH30="","",COUNTIFS(GH$4:GH$40,"&lt;"&amp;GH30,GH$4:GH$40,"&lt;&gt;"&amp;"")+COUNTIF(GH$4:GH30,GH30))</f>
        <v/>
      </c>
      <c r="GJ30">
        <f>IF(ROW()-3&gt;COUNTIF(GH$4:GH$40,"&lt;&gt;"&amp;""),"",INDEX(GH$4:GH$40,MATCH(ROW()-3,GI$4:GI$40,0)))</f>
        <v/>
      </c>
      <c r="GK30">
        <f>GK29+IF(AND(GJ30&lt;&gt;"",COUNTIF(GJ$4:GJ30,GJ30)=1),1,0)</f>
        <v/>
      </c>
      <c r="GL30">
        <f>IF(ROW()-3&gt;MAX(GK$4:GK$40),"",INDEX(GJ$4:GJ$40,MATCH(ROW()-3,GK$4:GK$40,0)))</f>
        <v/>
      </c>
      <c r="GM30">
        <f>IF('Final Calculation Sheet'!$F$30="","",IF(TRIM('Buyer Groups'!$C$4)="",'Final Calculation Sheet'!$F$30,IF(TRIM('Buyer Groups'!$C$4)="(nonblank)",IF('Final Calculation Sheet'!$G$30&lt;&gt;"",'Final Calculation Sheet'!$F$30,""),IF(TRIM('Buyer Groups'!$C$4)="(blank)",IF('Final Calculation Sheet'!$G$30="",'Final Calculation Sheet'!$F$30,""),IF(ISNUMBER(SEARCH(TRIM('Buyer Groups'!$C$4),'Final Calculation Sheet'!$G$30)),'Final Calculation Sheet'!$F$30,"")))))</f>
        <v/>
      </c>
      <c r="GN30">
        <f>IF(GM30="","",COUNTIFS(GM$4:GM$40,"&lt;"&amp;GM30,GM$4:GM$40,"&lt;&gt;"&amp;"")+COUNTIF(GM$4:GM30,GM30))</f>
        <v/>
      </c>
      <c r="GO30">
        <f>IF(ROW()-3&gt;COUNTIF(GM$4:GM$40,"&lt;&gt;"&amp;""),"",INDEX(GM$4:GM$40,MATCH(ROW()-3,GN$4:GN$40,0)))</f>
        <v/>
      </c>
      <c r="GP30">
        <f>GP29+IF(AND(GO30&lt;&gt;"",COUNTIF(GO$4:GO30,GO30)=1),1,0)</f>
        <v/>
      </c>
      <c r="GQ30">
        <f>IF(ROW()-3&gt;MAX(GP$4:GP$40),"",INDEX(GO$4:GO$40,MATCH(ROW()-3,GP$4:GP$40,0)))</f>
        <v/>
      </c>
      <c r="GR30">
        <f>IF('Final Calculation Sheet'!$B$30="","",IF(TRIM('Final Calculation Sheet'!$G$2)="",'Final Calculation Sheet'!$B$30,IF(TRIM('Final Calculation Sheet'!$G$2)="(nonblank)",IF('Final Calculation Sheet'!$G$30&lt;&gt;"",'Final Calculation Sheet'!$B$30,""),IF(TRIM('Final Calculation Sheet'!$G$2)="(blank)",IF('Final Calculation Sheet'!$G$30="",'Final Calculation Sheet'!$B$30,""),IF(ISNUMBER(SEARCH(TRIM('Final Calculation Sheet'!$G$2),'Final Calculation Sheet'!$G$30)),'Final Calculation Sheet'!$B$30,"")))))</f>
        <v/>
      </c>
      <c r="GS30">
        <f>IF(GR30="","",COUNTIFS(GR$4:GR$40,"&lt;"&amp;GR30,GR$4:GR$40,"&lt;&gt;"&amp;"")+COUNTIF(GR$4:GR30,GR30))</f>
        <v/>
      </c>
      <c r="GT30">
        <f>IF(ROW()-3&gt;COUNTIF(GR$4:GR$40,"&lt;&gt;"&amp;""),"",INDEX(GR$4:GR$40,MATCH(ROW()-3,GS$4:GS$40,0)))</f>
        <v/>
      </c>
      <c r="GU30">
        <f>GU29+IF(AND(GT30&lt;&gt;"",COUNTIF(GT$4:GT30,GT30)=1),1,0)</f>
        <v/>
      </c>
      <c r="GV30">
        <f>IF(ROW()-3&gt;MAX(GU$4:GU$40),"",INDEX(GT$4:GT$40,MATCH(ROW()-3,GU$4:GU$40,0)))</f>
        <v/>
      </c>
      <c r="GW30">
        <f>IF('Final Calculation Sheet'!$B$30="","",IF(TRIM('Buyer Groups'!$C$4)="",'Final Calculation Sheet'!$B$30,IF(TRIM('Buyer Groups'!$C$4)="(nonblank)",IF('Final Calculation Sheet'!$G$30&lt;&gt;"",'Final Calculation Sheet'!$B$30,""),IF(TRIM('Buyer Groups'!$C$4)="(blank)",IF('Final Calculation Sheet'!$G$30="",'Final Calculation Sheet'!$B$30,""),IF(ISNUMBER(SEARCH(TRIM('Buyer Groups'!$C$4),'Final Calculation Sheet'!$G$30)),'Final Calculation Sheet'!$B$30,"")))))</f>
        <v/>
      </c>
      <c r="GX30">
        <f>IF(GW30="","",COUNTIFS(GW$4:GW$40,"&lt;"&amp;GW30,GW$4:GW$40,"&lt;&gt;"&amp;"")+COUNTIF(GW$4:GW30,GW30))</f>
        <v/>
      </c>
      <c r="GY30">
        <f>IF(ROW()-3&gt;COUNTIF(GW$4:GW$40,"&lt;&gt;"&amp;""),"",INDEX(GW$4:GW$40,MATCH(ROW()-3,GX$4:GX$40,0)))</f>
        <v/>
      </c>
      <c r="GZ30">
        <f>GZ29+IF(AND(GY30&lt;&gt;"",COUNTIF(GY$4:GY30,GY30)=1),1,0)</f>
        <v/>
      </c>
      <c r="HA30">
        <f>IF(ROW()-3&gt;MAX(GZ$4:GZ$40),"",INDEX(GY$4:GY$40,MATCH(ROW()-3,GZ$4:GZ$40,0)))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IF('Final Calculation Sheet'!$F$31="","",IF(TRIM('Final Calculation Sheet'!$G$2)="",'Final Calculation Sheet'!$F$31,IF(TRIM('Final Calculation Sheet'!$G$2)="(nonblank)",IF('Final Calculation Sheet'!$G$31&lt;&gt;"",'Final Calculation Sheet'!$F$31,""),IF(TRIM('Final Calculation Sheet'!$G$2)="(blank)",IF('Final Calculation Sheet'!$G$31="",'Final Calculation Sheet'!$F$31,""),IF(ISNUMBER(SEARCH(TRIM('Final Calculation Sheet'!$G$2),'Final Calculation Sheet'!$G$31)),'Final Calculation Sheet'!$F$31,"")))))</f>
        <v/>
      </c>
      <c r="GD31">
        <f>IF(GC31="","",COUNTIFS(GC$4:GC$40,"&lt;"&amp;GC31,GC$4:GC$40,"&lt;&gt;"&amp;"")+COUNTIF(GC$4:GC31,GC31))</f>
        <v/>
      </c>
      <c r="GE31">
        <f>IF(ROW()-3&gt;COUNTIF(GC$4:GC$40,"&lt;&gt;"&amp;""),"",INDEX(GC$4:GC$40,MATCH(ROW()-3,GD$4:GD$40,0)))</f>
        <v/>
      </c>
      <c r="GF31">
        <f>GF30+IF(AND(GE31&lt;&gt;"",COUNTIF(GE$4:GE31,GE31)=1),1,0)</f>
        <v/>
      </c>
      <c r="GG31">
        <f>IF(ROW()-3&gt;MAX(GF$4:GF$40),"",INDEX(GE$4:GE$40,MATCH(ROW()-3,GF$4:GF$40,0)))</f>
        <v/>
      </c>
      <c r="GH31">
        <f>IF('Final Calculation Sheet'!$F$31="","",IF('Live Search'!$BO$32=1,'Final Calculation Sheet'!$F$31,""))</f>
        <v/>
      </c>
      <c r="GI31">
        <f>IF(GH31="","",COUNTIFS(GH$4:GH$40,"&lt;"&amp;GH31,GH$4:GH$40,"&lt;&gt;"&amp;"")+COUNTIF(GH$4:GH31,GH31))</f>
        <v/>
      </c>
      <c r="GJ31">
        <f>IF(ROW()-3&gt;COUNTIF(GH$4:GH$40,"&lt;&gt;"&amp;""),"",INDEX(GH$4:GH$40,MATCH(ROW()-3,GI$4:GI$40,0)))</f>
        <v/>
      </c>
      <c r="GK31">
        <f>GK30+IF(AND(GJ31&lt;&gt;"",COUNTIF(GJ$4:GJ31,GJ31)=1),1,0)</f>
        <v/>
      </c>
      <c r="GL31">
        <f>IF(ROW()-3&gt;MAX(GK$4:GK$40),"",INDEX(GJ$4:GJ$40,MATCH(ROW()-3,GK$4:GK$40,0)))</f>
        <v/>
      </c>
      <c r="GM31">
        <f>IF('Final Calculation Sheet'!$F$31="","",IF(TRIM('Buyer Groups'!$C$4)="",'Final Calculation Sheet'!$F$31,IF(TRIM('Buyer Groups'!$C$4)="(nonblank)",IF('Final Calculation Sheet'!$G$31&lt;&gt;"",'Final Calculation Sheet'!$F$31,""),IF(TRIM('Buyer Groups'!$C$4)="(blank)",IF('Final Calculation Sheet'!$G$31="",'Final Calculation Sheet'!$F$31,""),IF(ISNUMBER(SEARCH(TRIM('Buyer Groups'!$C$4),'Final Calculation Sheet'!$G$31)),'Final Calculation Sheet'!$F$31,"")))))</f>
        <v/>
      </c>
      <c r="GN31">
        <f>IF(GM31="","",COUNTIFS(GM$4:GM$40,"&lt;"&amp;GM31,GM$4:GM$40,"&lt;&gt;"&amp;"")+COUNTIF(GM$4:GM31,GM31))</f>
        <v/>
      </c>
      <c r="GO31">
        <f>IF(ROW()-3&gt;COUNTIF(GM$4:GM$40,"&lt;&gt;"&amp;""),"",INDEX(GM$4:GM$40,MATCH(ROW()-3,GN$4:GN$40,0)))</f>
        <v/>
      </c>
      <c r="GP31">
        <f>GP30+IF(AND(GO31&lt;&gt;"",COUNTIF(GO$4:GO31,GO31)=1),1,0)</f>
        <v/>
      </c>
      <c r="GQ31">
        <f>IF(ROW()-3&gt;MAX(GP$4:GP$40),"",INDEX(GO$4:GO$40,MATCH(ROW()-3,GP$4:GP$40,0)))</f>
        <v/>
      </c>
      <c r="GR31">
        <f>IF('Final Calculation Sheet'!$B$31="","",IF(TRIM('Final Calculation Sheet'!$G$2)="",'Final Calculation Sheet'!$B$31,IF(TRIM('Final Calculation Sheet'!$G$2)="(nonblank)",IF('Final Calculation Sheet'!$G$31&lt;&gt;"",'Final Calculation Sheet'!$B$31,""),IF(TRIM('Final Calculation Sheet'!$G$2)="(blank)",IF('Final Calculation Sheet'!$G$31="",'Final Calculation Sheet'!$B$31,""),IF(ISNUMBER(SEARCH(TRIM('Final Calculation Sheet'!$G$2),'Final Calculation Sheet'!$G$31)),'Final Calculation Sheet'!$B$31,"")))))</f>
        <v/>
      </c>
      <c r="GS31">
        <f>IF(GR31="","",COUNTIFS(GR$4:GR$40,"&lt;"&amp;GR31,GR$4:GR$40,"&lt;&gt;"&amp;"")+COUNTIF(GR$4:GR31,GR31))</f>
        <v/>
      </c>
      <c r="GT31">
        <f>IF(ROW()-3&gt;COUNTIF(GR$4:GR$40,"&lt;&gt;"&amp;""),"",INDEX(GR$4:GR$40,MATCH(ROW()-3,GS$4:GS$40,0)))</f>
        <v/>
      </c>
      <c r="GU31">
        <f>GU30+IF(AND(GT31&lt;&gt;"",COUNTIF(GT$4:GT31,GT31)=1),1,0)</f>
        <v/>
      </c>
      <c r="GV31">
        <f>IF(ROW()-3&gt;MAX(GU$4:GU$40),"",INDEX(GT$4:GT$40,MATCH(ROW()-3,GU$4:GU$40,0)))</f>
        <v/>
      </c>
      <c r="GW31">
        <f>IF('Final Calculation Sheet'!$B$31="","",IF(TRIM('Buyer Groups'!$C$4)="",'Final Calculation Sheet'!$B$31,IF(TRIM('Buyer Groups'!$C$4)="(nonblank)",IF('Final Calculation Sheet'!$G$31&lt;&gt;"",'Final Calculation Sheet'!$B$31,""),IF(TRIM('Buyer Groups'!$C$4)="(blank)",IF('Final Calculation Sheet'!$G$31="",'Final Calculation Sheet'!$B$31,""),IF(ISNUMBER(SEARCH(TRIM('Buyer Groups'!$C$4),'Final Calculation Sheet'!$G$31)),'Final Calculation Sheet'!$B$31,"")))))</f>
        <v/>
      </c>
      <c r="GX31">
        <f>IF(GW31="","",COUNTIFS(GW$4:GW$40,"&lt;"&amp;GW31,GW$4:GW$40,"&lt;&gt;"&amp;"")+COUNTIF(GW$4:GW31,GW31))</f>
        <v/>
      </c>
      <c r="GY31">
        <f>IF(ROW()-3&gt;COUNTIF(GW$4:GW$40,"&lt;&gt;"&amp;""),"",INDEX(GW$4:GW$40,MATCH(ROW()-3,GX$4:GX$40,0)))</f>
        <v/>
      </c>
      <c r="GZ31">
        <f>GZ30+IF(AND(GY31&lt;&gt;"",COUNTIF(GY$4:GY31,GY31)=1),1,0)</f>
        <v/>
      </c>
      <c r="HA31">
        <f>IF(ROW()-3&gt;MAX(GZ$4:GZ$40),"",INDEX(GY$4:GY$40,MATCH(ROW()-3,GZ$4:GZ$40,0)))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IF('Final Calculation Sheet'!$F$32="","",IF(TRIM('Final Calculation Sheet'!$G$2)="",'Final Calculation Sheet'!$F$32,IF(TRIM('Final Calculation Sheet'!$G$2)="(nonblank)",IF('Final Calculation Sheet'!$G$32&lt;&gt;"",'Final Calculation Sheet'!$F$32,""),IF(TRIM('Final Calculation Sheet'!$G$2)="(blank)",IF('Final Calculation Sheet'!$G$32="",'Final Calculation Sheet'!$F$32,""),IF(ISNUMBER(SEARCH(TRIM('Final Calculation Sheet'!$G$2),'Final Calculation Sheet'!$G$32)),'Final Calculation Sheet'!$F$32,"")))))</f>
        <v/>
      </c>
      <c r="GD32">
        <f>IF(GC32="","",COUNTIFS(GC$4:GC$40,"&lt;"&amp;GC32,GC$4:GC$40,"&lt;&gt;"&amp;"")+COUNTIF(GC$4:GC32,GC32))</f>
        <v/>
      </c>
      <c r="GE32">
        <f>IF(ROW()-3&gt;COUNTIF(GC$4:GC$40,"&lt;&gt;"&amp;""),"",INDEX(GC$4:GC$40,MATCH(ROW()-3,GD$4:GD$40,0)))</f>
        <v/>
      </c>
      <c r="GF32">
        <f>GF31+IF(AND(GE32&lt;&gt;"",COUNTIF(GE$4:GE32,GE32)=1),1,0)</f>
        <v/>
      </c>
      <c r="GG32">
        <f>IF(ROW()-3&gt;MAX(GF$4:GF$40),"",INDEX(GE$4:GE$40,MATCH(ROW()-3,GF$4:GF$40,0)))</f>
        <v/>
      </c>
      <c r="GH32">
        <f>IF('Final Calculation Sheet'!$F$32="","",IF('Live Search'!$BO$33=1,'Final Calculation Sheet'!$F$32,""))</f>
        <v/>
      </c>
      <c r="GI32">
        <f>IF(GH32="","",COUNTIFS(GH$4:GH$40,"&lt;"&amp;GH32,GH$4:GH$40,"&lt;&gt;"&amp;"")+COUNTIF(GH$4:GH32,GH32))</f>
        <v/>
      </c>
      <c r="GJ32">
        <f>IF(ROW()-3&gt;COUNTIF(GH$4:GH$40,"&lt;&gt;"&amp;""),"",INDEX(GH$4:GH$40,MATCH(ROW()-3,GI$4:GI$40,0)))</f>
        <v/>
      </c>
      <c r="GK32">
        <f>GK31+IF(AND(GJ32&lt;&gt;"",COUNTIF(GJ$4:GJ32,GJ32)=1),1,0)</f>
        <v/>
      </c>
      <c r="GL32">
        <f>IF(ROW()-3&gt;MAX(GK$4:GK$40),"",INDEX(GJ$4:GJ$40,MATCH(ROW()-3,GK$4:GK$40,0)))</f>
        <v/>
      </c>
      <c r="GM32">
        <f>IF('Final Calculation Sheet'!$F$32="","",IF(TRIM('Buyer Groups'!$C$4)="",'Final Calculation Sheet'!$F$32,IF(TRIM('Buyer Groups'!$C$4)="(nonblank)",IF('Final Calculation Sheet'!$G$32&lt;&gt;"",'Final Calculation Sheet'!$F$32,""),IF(TRIM('Buyer Groups'!$C$4)="(blank)",IF('Final Calculation Sheet'!$G$32="",'Final Calculation Sheet'!$F$32,""),IF(ISNUMBER(SEARCH(TRIM('Buyer Groups'!$C$4),'Final Calculation Sheet'!$G$32)),'Final Calculation Sheet'!$F$32,"")))))</f>
        <v/>
      </c>
      <c r="GN32">
        <f>IF(GM32="","",COUNTIFS(GM$4:GM$40,"&lt;"&amp;GM32,GM$4:GM$40,"&lt;&gt;"&amp;"")+COUNTIF(GM$4:GM32,GM32))</f>
        <v/>
      </c>
      <c r="GO32">
        <f>IF(ROW()-3&gt;COUNTIF(GM$4:GM$40,"&lt;&gt;"&amp;""),"",INDEX(GM$4:GM$40,MATCH(ROW()-3,GN$4:GN$40,0)))</f>
        <v/>
      </c>
      <c r="GP32">
        <f>GP31+IF(AND(GO32&lt;&gt;"",COUNTIF(GO$4:GO32,GO32)=1),1,0)</f>
        <v/>
      </c>
      <c r="GQ32">
        <f>IF(ROW()-3&gt;MAX(GP$4:GP$40),"",INDEX(GO$4:GO$40,MATCH(ROW()-3,GP$4:GP$40,0)))</f>
        <v/>
      </c>
      <c r="GR32">
        <f>IF('Final Calculation Sheet'!$B$32="","",IF(TRIM('Final Calculation Sheet'!$G$2)="",'Final Calculation Sheet'!$B$32,IF(TRIM('Final Calculation Sheet'!$G$2)="(nonblank)",IF('Final Calculation Sheet'!$G$32&lt;&gt;"",'Final Calculation Sheet'!$B$32,""),IF(TRIM('Final Calculation Sheet'!$G$2)="(blank)",IF('Final Calculation Sheet'!$G$32="",'Final Calculation Sheet'!$B$32,""),IF(ISNUMBER(SEARCH(TRIM('Final Calculation Sheet'!$G$2),'Final Calculation Sheet'!$G$32)),'Final Calculation Sheet'!$B$32,"")))))</f>
        <v/>
      </c>
      <c r="GS32">
        <f>IF(GR32="","",COUNTIFS(GR$4:GR$40,"&lt;"&amp;GR32,GR$4:GR$40,"&lt;&gt;"&amp;"")+COUNTIF(GR$4:GR32,GR32))</f>
        <v/>
      </c>
      <c r="GT32">
        <f>IF(ROW()-3&gt;COUNTIF(GR$4:GR$40,"&lt;&gt;"&amp;""),"",INDEX(GR$4:GR$40,MATCH(ROW()-3,GS$4:GS$40,0)))</f>
        <v/>
      </c>
      <c r="GU32">
        <f>GU31+IF(AND(GT32&lt;&gt;"",COUNTIF(GT$4:GT32,GT32)=1),1,0)</f>
        <v/>
      </c>
      <c r="GV32">
        <f>IF(ROW()-3&gt;MAX(GU$4:GU$40),"",INDEX(GT$4:GT$40,MATCH(ROW()-3,GU$4:GU$40,0)))</f>
        <v/>
      </c>
      <c r="GW32">
        <f>IF('Final Calculation Sheet'!$B$32="","",IF(TRIM('Buyer Groups'!$C$4)="",'Final Calculation Sheet'!$B$32,IF(TRIM('Buyer Groups'!$C$4)="(nonblank)",IF('Final Calculation Sheet'!$G$32&lt;&gt;"",'Final Calculation Sheet'!$B$32,""),IF(TRIM('Buyer Groups'!$C$4)="(blank)",IF('Final Calculation Sheet'!$G$32="",'Final Calculation Sheet'!$B$32,""),IF(ISNUMBER(SEARCH(TRIM('Buyer Groups'!$C$4),'Final Calculation Sheet'!$G$32)),'Final Calculation Sheet'!$B$32,"")))))</f>
        <v/>
      </c>
      <c r="GX32">
        <f>IF(GW32="","",COUNTIFS(GW$4:GW$40,"&lt;"&amp;GW32,GW$4:GW$40,"&lt;&gt;"&amp;"")+COUNTIF(GW$4:GW32,GW32))</f>
        <v/>
      </c>
      <c r="GY32">
        <f>IF(ROW()-3&gt;COUNTIF(GW$4:GW$40,"&lt;&gt;"&amp;""),"",INDEX(GW$4:GW$40,MATCH(ROW()-3,GX$4:GX$40,0)))</f>
        <v/>
      </c>
      <c r="GZ32">
        <f>GZ31+IF(AND(GY32&lt;&gt;"",COUNTIF(GY$4:GY32,GY32)=1),1,0)</f>
        <v/>
      </c>
      <c r="HA32">
        <f>IF(ROW()-3&gt;MAX(GZ$4:GZ$40),"",INDEX(GY$4:GY$40,MATCH(ROW()-3,GZ$4:GZ$40,0)))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IF('Final Calculation Sheet'!$F$33="","",IF(TRIM('Final Calculation Sheet'!$G$2)="",'Final Calculation Sheet'!$F$33,IF(TRIM('Final Calculation Sheet'!$G$2)="(nonblank)",IF('Final Calculation Sheet'!$G$33&lt;&gt;"",'Final Calculation Sheet'!$F$33,""),IF(TRIM('Final Calculation Sheet'!$G$2)="(blank)",IF('Final Calculation Sheet'!$G$33="",'Final Calculation Sheet'!$F$33,""),IF(ISNUMBER(SEARCH(TRIM('Final Calculation Sheet'!$G$2),'Final Calculation Sheet'!$G$33)),'Final Calculation Sheet'!$F$33,"")))))</f>
        <v/>
      </c>
      <c r="GD33">
        <f>IF(GC33="","",COUNTIFS(GC$4:GC$40,"&lt;"&amp;GC33,GC$4:GC$40,"&lt;&gt;"&amp;"")+COUNTIF(GC$4:GC33,GC33))</f>
        <v/>
      </c>
      <c r="GE33">
        <f>IF(ROW()-3&gt;COUNTIF(GC$4:GC$40,"&lt;&gt;"&amp;""),"",INDEX(GC$4:GC$40,MATCH(ROW()-3,GD$4:GD$40,0)))</f>
        <v/>
      </c>
      <c r="GF33">
        <f>GF32+IF(AND(GE33&lt;&gt;"",COUNTIF(GE$4:GE33,GE33)=1),1,0)</f>
        <v/>
      </c>
      <c r="GG33">
        <f>IF(ROW()-3&gt;MAX(GF$4:GF$40),"",INDEX(GE$4:GE$40,MATCH(ROW()-3,GF$4:GF$40,0)))</f>
        <v/>
      </c>
      <c r="GH33">
        <f>IF('Final Calculation Sheet'!$F$33="","",IF('Live Search'!$BO$34=1,'Final Calculation Sheet'!$F$33,""))</f>
        <v/>
      </c>
      <c r="GI33">
        <f>IF(GH33="","",COUNTIFS(GH$4:GH$40,"&lt;"&amp;GH33,GH$4:GH$40,"&lt;&gt;"&amp;"")+COUNTIF(GH$4:GH33,GH33))</f>
        <v/>
      </c>
      <c r="GJ33">
        <f>IF(ROW()-3&gt;COUNTIF(GH$4:GH$40,"&lt;&gt;"&amp;""),"",INDEX(GH$4:GH$40,MATCH(ROW()-3,GI$4:GI$40,0)))</f>
        <v/>
      </c>
      <c r="GK33">
        <f>GK32+IF(AND(GJ33&lt;&gt;"",COUNTIF(GJ$4:GJ33,GJ33)=1),1,0)</f>
        <v/>
      </c>
      <c r="GL33">
        <f>IF(ROW()-3&gt;MAX(GK$4:GK$40),"",INDEX(GJ$4:GJ$40,MATCH(ROW()-3,GK$4:GK$40,0)))</f>
        <v/>
      </c>
      <c r="GM33">
        <f>IF('Final Calculation Sheet'!$F$33="","",IF(TRIM('Buyer Groups'!$C$4)="",'Final Calculation Sheet'!$F$33,IF(TRIM('Buyer Groups'!$C$4)="(nonblank)",IF('Final Calculation Sheet'!$G$33&lt;&gt;"",'Final Calculation Sheet'!$F$33,""),IF(TRIM('Buyer Groups'!$C$4)="(blank)",IF('Final Calculation Sheet'!$G$33="",'Final Calculation Sheet'!$F$33,""),IF(ISNUMBER(SEARCH(TRIM('Buyer Groups'!$C$4),'Final Calculation Sheet'!$G$33)),'Final Calculation Sheet'!$F$33,"")))))</f>
        <v/>
      </c>
      <c r="GN33">
        <f>IF(GM33="","",COUNTIFS(GM$4:GM$40,"&lt;"&amp;GM33,GM$4:GM$40,"&lt;&gt;"&amp;"")+COUNTIF(GM$4:GM33,GM33))</f>
        <v/>
      </c>
      <c r="GO33">
        <f>IF(ROW()-3&gt;COUNTIF(GM$4:GM$40,"&lt;&gt;"&amp;""),"",INDEX(GM$4:GM$40,MATCH(ROW()-3,GN$4:GN$40,0)))</f>
        <v/>
      </c>
      <c r="GP33">
        <f>GP32+IF(AND(GO33&lt;&gt;"",COUNTIF(GO$4:GO33,GO33)=1),1,0)</f>
        <v/>
      </c>
      <c r="GQ33">
        <f>IF(ROW()-3&gt;MAX(GP$4:GP$40),"",INDEX(GO$4:GO$40,MATCH(ROW()-3,GP$4:GP$40,0)))</f>
        <v/>
      </c>
      <c r="GR33">
        <f>IF('Final Calculation Sheet'!$B$33="","",IF(TRIM('Final Calculation Sheet'!$G$2)="",'Final Calculation Sheet'!$B$33,IF(TRIM('Final Calculation Sheet'!$G$2)="(nonblank)",IF('Final Calculation Sheet'!$G$33&lt;&gt;"",'Final Calculation Sheet'!$B$33,""),IF(TRIM('Final Calculation Sheet'!$G$2)="(blank)",IF('Final Calculation Sheet'!$G$33="",'Final Calculation Sheet'!$B$33,""),IF(ISNUMBER(SEARCH(TRIM('Final Calculation Sheet'!$G$2),'Final Calculation Sheet'!$G$33)),'Final Calculation Sheet'!$B$33,"")))))</f>
        <v/>
      </c>
      <c r="GS33">
        <f>IF(GR33="","",COUNTIFS(GR$4:GR$40,"&lt;"&amp;GR33,GR$4:GR$40,"&lt;&gt;"&amp;"")+COUNTIF(GR$4:GR33,GR33))</f>
        <v/>
      </c>
      <c r="GT33">
        <f>IF(ROW()-3&gt;COUNTIF(GR$4:GR$40,"&lt;&gt;"&amp;""),"",INDEX(GR$4:GR$40,MATCH(ROW()-3,GS$4:GS$40,0)))</f>
        <v/>
      </c>
      <c r="GU33">
        <f>GU32+IF(AND(GT33&lt;&gt;"",COUNTIF(GT$4:GT33,GT33)=1),1,0)</f>
        <v/>
      </c>
      <c r="GV33">
        <f>IF(ROW()-3&gt;MAX(GU$4:GU$40),"",INDEX(GT$4:GT$40,MATCH(ROW()-3,GU$4:GU$40,0)))</f>
        <v/>
      </c>
      <c r="GW33">
        <f>IF('Final Calculation Sheet'!$B$33="","",IF(TRIM('Buyer Groups'!$C$4)="",'Final Calculation Sheet'!$B$33,IF(TRIM('Buyer Groups'!$C$4)="(nonblank)",IF('Final Calculation Sheet'!$G$33&lt;&gt;"",'Final Calculation Sheet'!$B$33,""),IF(TRIM('Buyer Groups'!$C$4)="(blank)",IF('Final Calculation Sheet'!$G$33="",'Final Calculation Sheet'!$B$33,""),IF(ISNUMBER(SEARCH(TRIM('Buyer Groups'!$C$4),'Final Calculation Sheet'!$G$33)),'Final Calculation Sheet'!$B$33,"")))))</f>
        <v/>
      </c>
      <c r="GX33">
        <f>IF(GW33="","",COUNTIFS(GW$4:GW$40,"&lt;"&amp;GW33,GW$4:GW$40,"&lt;&gt;"&amp;"")+COUNTIF(GW$4:GW33,GW33))</f>
        <v/>
      </c>
      <c r="GY33">
        <f>IF(ROW()-3&gt;COUNTIF(GW$4:GW$40,"&lt;&gt;"&amp;""),"",INDEX(GW$4:GW$40,MATCH(ROW()-3,GX$4:GX$40,0)))</f>
        <v/>
      </c>
      <c r="GZ33">
        <f>GZ32+IF(AND(GY33&lt;&gt;"",COUNTIF(GY$4:GY33,GY33)=1),1,0)</f>
        <v/>
      </c>
      <c r="HA33">
        <f>IF(ROW()-3&gt;MAX(GZ$4:GZ$40),"",INDEX(GY$4:GY$40,MATCH(ROW()-3,GZ$4:GZ$40,0)))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IF('Final Calculation Sheet'!$F$34="","",IF(TRIM('Final Calculation Sheet'!$G$2)="",'Final Calculation Sheet'!$F$34,IF(TRIM('Final Calculation Sheet'!$G$2)="(nonblank)",IF('Final Calculation Sheet'!$G$34&lt;&gt;"",'Final Calculation Sheet'!$F$34,""),IF(TRIM('Final Calculation Sheet'!$G$2)="(blank)",IF('Final Calculation Sheet'!$G$34="",'Final Calculation Sheet'!$F$34,""),IF(ISNUMBER(SEARCH(TRIM('Final Calculation Sheet'!$G$2),'Final Calculation Sheet'!$G$34)),'Final Calculation Sheet'!$F$34,"")))))</f>
        <v/>
      </c>
      <c r="GD34">
        <f>IF(GC34="","",COUNTIFS(GC$4:GC$40,"&lt;"&amp;GC34,GC$4:GC$40,"&lt;&gt;"&amp;"")+COUNTIF(GC$4:GC34,GC34))</f>
        <v/>
      </c>
      <c r="GE34">
        <f>IF(ROW()-3&gt;COUNTIF(GC$4:GC$40,"&lt;&gt;"&amp;""),"",INDEX(GC$4:GC$40,MATCH(ROW()-3,GD$4:GD$40,0)))</f>
        <v/>
      </c>
      <c r="GF34">
        <f>GF33+IF(AND(GE34&lt;&gt;"",COUNTIF(GE$4:GE34,GE34)=1),1,0)</f>
        <v/>
      </c>
      <c r="GG34">
        <f>IF(ROW()-3&gt;MAX(GF$4:GF$40),"",INDEX(GE$4:GE$40,MATCH(ROW()-3,GF$4:GF$40,0)))</f>
        <v/>
      </c>
      <c r="GH34">
        <f>IF('Final Calculation Sheet'!$F$34="","",IF('Live Search'!$BO$35=1,'Final Calculation Sheet'!$F$34,""))</f>
        <v/>
      </c>
      <c r="GI34">
        <f>IF(GH34="","",COUNTIFS(GH$4:GH$40,"&lt;"&amp;GH34,GH$4:GH$40,"&lt;&gt;"&amp;"")+COUNTIF(GH$4:GH34,GH34))</f>
        <v/>
      </c>
      <c r="GJ34">
        <f>IF(ROW()-3&gt;COUNTIF(GH$4:GH$40,"&lt;&gt;"&amp;""),"",INDEX(GH$4:GH$40,MATCH(ROW()-3,GI$4:GI$40,0)))</f>
        <v/>
      </c>
      <c r="GK34">
        <f>GK33+IF(AND(GJ34&lt;&gt;"",COUNTIF(GJ$4:GJ34,GJ34)=1),1,0)</f>
        <v/>
      </c>
      <c r="GL34">
        <f>IF(ROW()-3&gt;MAX(GK$4:GK$40),"",INDEX(GJ$4:GJ$40,MATCH(ROW()-3,GK$4:GK$40,0)))</f>
        <v/>
      </c>
      <c r="GM34">
        <f>IF('Final Calculation Sheet'!$F$34="","",IF(TRIM('Buyer Groups'!$C$4)="",'Final Calculation Sheet'!$F$34,IF(TRIM('Buyer Groups'!$C$4)="(nonblank)",IF('Final Calculation Sheet'!$G$34&lt;&gt;"",'Final Calculation Sheet'!$F$34,""),IF(TRIM('Buyer Groups'!$C$4)="(blank)",IF('Final Calculation Sheet'!$G$34="",'Final Calculation Sheet'!$F$34,""),IF(ISNUMBER(SEARCH(TRIM('Buyer Groups'!$C$4),'Final Calculation Sheet'!$G$34)),'Final Calculation Sheet'!$F$34,"")))))</f>
        <v/>
      </c>
      <c r="GN34">
        <f>IF(GM34="","",COUNTIFS(GM$4:GM$40,"&lt;"&amp;GM34,GM$4:GM$40,"&lt;&gt;"&amp;"")+COUNTIF(GM$4:GM34,GM34))</f>
        <v/>
      </c>
      <c r="GO34">
        <f>IF(ROW()-3&gt;COUNTIF(GM$4:GM$40,"&lt;&gt;"&amp;""),"",INDEX(GM$4:GM$40,MATCH(ROW()-3,GN$4:GN$40,0)))</f>
        <v/>
      </c>
      <c r="GP34">
        <f>GP33+IF(AND(GO34&lt;&gt;"",COUNTIF(GO$4:GO34,GO34)=1),1,0)</f>
        <v/>
      </c>
      <c r="GQ34">
        <f>IF(ROW()-3&gt;MAX(GP$4:GP$40),"",INDEX(GO$4:GO$40,MATCH(ROW()-3,GP$4:GP$40,0)))</f>
        <v/>
      </c>
      <c r="GR34">
        <f>IF('Final Calculation Sheet'!$B$34="","",IF(TRIM('Final Calculation Sheet'!$G$2)="",'Final Calculation Sheet'!$B$34,IF(TRIM('Final Calculation Sheet'!$G$2)="(nonblank)",IF('Final Calculation Sheet'!$G$34&lt;&gt;"",'Final Calculation Sheet'!$B$34,""),IF(TRIM('Final Calculation Sheet'!$G$2)="(blank)",IF('Final Calculation Sheet'!$G$34="",'Final Calculation Sheet'!$B$34,""),IF(ISNUMBER(SEARCH(TRIM('Final Calculation Sheet'!$G$2),'Final Calculation Sheet'!$G$34)),'Final Calculation Sheet'!$B$34,"")))))</f>
        <v/>
      </c>
      <c r="GS34">
        <f>IF(GR34="","",COUNTIFS(GR$4:GR$40,"&lt;"&amp;GR34,GR$4:GR$40,"&lt;&gt;"&amp;"")+COUNTIF(GR$4:GR34,GR34))</f>
        <v/>
      </c>
      <c r="GT34">
        <f>IF(ROW()-3&gt;COUNTIF(GR$4:GR$40,"&lt;&gt;"&amp;""),"",INDEX(GR$4:GR$40,MATCH(ROW()-3,GS$4:GS$40,0)))</f>
        <v/>
      </c>
      <c r="GU34">
        <f>GU33+IF(AND(GT34&lt;&gt;"",COUNTIF(GT$4:GT34,GT34)=1),1,0)</f>
        <v/>
      </c>
      <c r="GV34">
        <f>IF(ROW()-3&gt;MAX(GU$4:GU$40),"",INDEX(GT$4:GT$40,MATCH(ROW()-3,GU$4:GU$40,0)))</f>
        <v/>
      </c>
      <c r="GW34">
        <f>IF('Final Calculation Sheet'!$B$34="","",IF(TRIM('Buyer Groups'!$C$4)="",'Final Calculation Sheet'!$B$34,IF(TRIM('Buyer Groups'!$C$4)="(nonblank)",IF('Final Calculation Sheet'!$G$34&lt;&gt;"",'Final Calculation Sheet'!$B$34,""),IF(TRIM('Buyer Groups'!$C$4)="(blank)",IF('Final Calculation Sheet'!$G$34="",'Final Calculation Sheet'!$B$34,""),IF(ISNUMBER(SEARCH(TRIM('Buyer Groups'!$C$4),'Final Calculation Sheet'!$G$34)),'Final Calculation Sheet'!$B$34,"")))))</f>
        <v/>
      </c>
      <c r="GX34">
        <f>IF(GW34="","",COUNTIFS(GW$4:GW$40,"&lt;"&amp;GW34,GW$4:GW$40,"&lt;&gt;"&amp;"")+COUNTIF(GW$4:GW34,GW34))</f>
        <v/>
      </c>
      <c r="GY34">
        <f>IF(ROW()-3&gt;COUNTIF(GW$4:GW$40,"&lt;&gt;"&amp;""),"",INDEX(GW$4:GW$40,MATCH(ROW()-3,GX$4:GX$40,0)))</f>
        <v/>
      </c>
      <c r="GZ34">
        <f>GZ33+IF(AND(GY34&lt;&gt;"",COUNTIF(GY$4:GY34,GY34)=1),1,0)</f>
        <v/>
      </c>
      <c r="HA34">
        <f>IF(ROW()-3&gt;MAX(GZ$4:GZ$40),"",INDEX(GY$4:GY$40,MATCH(ROW()-3,GZ$4:GZ$40,0)))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IF('Final Calculation Sheet'!$F$35="","",IF(TRIM('Final Calculation Sheet'!$G$2)="",'Final Calculation Sheet'!$F$35,IF(TRIM('Final Calculation Sheet'!$G$2)="(nonblank)",IF('Final Calculation Sheet'!$G$35&lt;&gt;"",'Final Calculation Sheet'!$F$35,""),IF(TRIM('Final Calculation Sheet'!$G$2)="(blank)",IF('Final Calculation Sheet'!$G$35="",'Final Calculation Sheet'!$F$35,""),IF(ISNUMBER(SEARCH(TRIM('Final Calculation Sheet'!$G$2),'Final Calculation Sheet'!$G$35)),'Final Calculation Sheet'!$F$35,"")))))</f>
        <v/>
      </c>
      <c r="GD35">
        <f>IF(GC35="","",COUNTIFS(GC$4:GC$40,"&lt;"&amp;GC35,GC$4:GC$40,"&lt;&gt;"&amp;"")+COUNTIF(GC$4:GC35,GC35))</f>
        <v/>
      </c>
      <c r="GE35">
        <f>IF(ROW()-3&gt;COUNTIF(GC$4:GC$40,"&lt;&gt;"&amp;""),"",INDEX(GC$4:GC$40,MATCH(ROW()-3,GD$4:GD$40,0)))</f>
        <v/>
      </c>
      <c r="GF35">
        <f>GF34+IF(AND(GE35&lt;&gt;"",COUNTIF(GE$4:GE35,GE35)=1),1,0)</f>
        <v/>
      </c>
      <c r="GG35">
        <f>IF(ROW()-3&gt;MAX(GF$4:GF$40),"",INDEX(GE$4:GE$40,MATCH(ROW()-3,GF$4:GF$40,0)))</f>
        <v/>
      </c>
      <c r="GH35">
        <f>IF('Final Calculation Sheet'!$F$35="","",IF('Live Search'!$BO$36=1,'Final Calculation Sheet'!$F$35,""))</f>
        <v/>
      </c>
      <c r="GI35">
        <f>IF(GH35="","",COUNTIFS(GH$4:GH$40,"&lt;"&amp;GH35,GH$4:GH$40,"&lt;&gt;"&amp;"")+COUNTIF(GH$4:GH35,GH35))</f>
        <v/>
      </c>
      <c r="GJ35">
        <f>IF(ROW()-3&gt;COUNTIF(GH$4:GH$40,"&lt;&gt;"&amp;""),"",INDEX(GH$4:GH$40,MATCH(ROW()-3,GI$4:GI$40,0)))</f>
        <v/>
      </c>
      <c r="GK35">
        <f>GK34+IF(AND(GJ35&lt;&gt;"",COUNTIF(GJ$4:GJ35,GJ35)=1),1,0)</f>
        <v/>
      </c>
      <c r="GL35">
        <f>IF(ROW()-3&gt;MAX(GK$4:GK$40),"",INDEX(GJ$4:GJ$40,MATCH(ROW()-3,GK$4:GK$40,0)))</f>
        <v/>
      </c>
      <c r="GM35">
        <f>IF('Final Calculation Sheet'!$F$35="","",IF(TRIM('Buyer Groups'!$C$4)="",'Final Calculation Sheet'!$F$35,IF(TRIM('Buyer Groups'!$C$4)="(nonblank)",IF('Final Calculation Sheet'!$G$35&lt;&gt;"",'Final Calculation Sheet'!$F$35,""),IF(TRIM('Buyer Groups'!$C$4)="(blank)",IF('Final Calculation Sheet'!$G$35="",'Final Calculation Sheet'!$F$35,""),IF(ISNUMBER(SEARCH(TRIM('Buyer Groups'!$C$4),'Final Calculation Sheet'!$G$35)),'Final Calculation Sheet'!$F$35,"")))))</f>
        <v/>
      </c>
      <c r="GN35">
        <f>IF(GM35="","",COUNTIFS(GM$4:GM$40,"&lt;"&amp;GM35,GM$4:GM$40,"&lt;&gt;"&amp;"")+COUNTIF(GM$4:GM35,GM35))</f>
        <v/>
      </c>
      <c r="GO35">
        <f>IF(ROW()-3&gt;COUNTIF(GM$4:GM$40,"&lt;&gt;"&amp;""),"",INDEX(GM$4:GM$40,MATCH(ROW()-3,GN$4:GN$40,0)))</f>
        <v/>
      </c>
      <c r="GP35">
        <f>GP34+IF(AND(GO35&lt;&gt;"",COUNTIF(GO$4:GO35,GO35)=1),1,0)</f>
        <v/>
      </c>
      <c r="GQ35">
        <f>IF(ROW()-3&gt;MAX(GP$4:GP$40),"",INDEX(GO$4:GO$40,MATCH(ROW()-3,GP$4:GP$40,0)))</f>
        <v/>
      </c>
      <c r="GR35">
        <f>IF('Final Calculation Sheet'!$B$35="","",IF(TRIM('Final Calculation Sheet'!$G$2)="",'Final Calculation Sheet'!$B$35,IF(TRIM('Final Calculation Sheet'!$G$2)="(nonblank)",IF('Final Calculation Sheet'!$G$35&lt;&gt;"",'Final Calculation Sheet'!$B$35,""),IF(TRIM('Final Calculation Sheet'!$G$2)="(blank)",IF('Final Calculation Sheet'!$G$35="",'Final Calculation Sheet'!$B$35,""),IF(ISNUMBER(SEARCH(TRIM('Final Calculation Sheet'!$G$2),'Final Calculation Sheet'!$G$35)),'Final Calculation Sheet'!$B$35,"")))))</f>
        <v/>
      </c>
      <c r="GS35">
        <f>IF(GR35="","",COUNTIFS(GR$4:GR$40,"&lt;"&amp;GR35,GR$4:GR$40,"&lt;&gt;"&amp;"")+COUNTIF(GR$4:GR35,GR35))</f>
        <v/>
      </c>
      <c r="GT35">
        <f>IF(ROW()-3&gt;COUNTIF(GR$4:GR$40,"&lt;&gt;"&amp;""),"",INDEX(GR$4:GR$40,MATCH(ROW()-3,GS$4:GS$40,0)))</f>
        <v/>
      </c>
      <c r="GU35">
        <f>GU34+IF(AND(GT35&lt;&gt;"",COUNTIF(GT$4:GT35,GT35)=1),1,0)</f>
        <v/>
      </c>
      <c r="GV35">
        <f>IF(ROW()-3&gt;MAX(GU$4:GU$40),"",INDEX(GT$4:GT$40,MATCH(ROW()-3,GU$4:GU$40,0)))</f>
        <v/>
      </c>
      <c r="GW35">
        <f>IF('Final Calculation Sheet'!$B$35="","",IF(TRIM('Buyer Groups'!$C$4)="",'Final Calculation Sheet'!$B$35,IF(TRIM('Buyer Groups'!$C$4)="(nonblank)",IF('Final Calculation Sheet'!$G$35&lt;&gt;"",'Final Calculation Sheet'!$B$35,""),IF(TRIM('Buyer Groups'!$C$4)="(blank)",IF('Final Calculation Sheet'!$G$35="",'Final Calculation Sheet'!$B$35,""),IF(ISNUMBER(SEARCH(TRIM('Buyer Groups'!$C$4),'Final Calculation Sheet'!$G$35)),'Final Calculation Sheet'!$B$35,"")))))</f>
        <v/>
      </c>
      <c r="GX35">
        <f>IF(GW35="","",COUNTIFS(GW$4:GW$40,"&lt;"&amp;GW35,GW$4:GW$40,"&lt;&gt;"&amp;"")+COUNTIF(GW$4:GW35,GW35))</f>
        <v/>
      </c>
      <c r="GY35">
        <f>IF(ROW()-3&gt;COUNTIF(GW$4:GW$40,"&lt;&gt;"&amp;""),"",INDEX(GW$4:GW$40,MATCH(ROW()-3,GX$4:GX$40,0)))</f>
        <v/>
      </c>
      <c r="GZ35">
        <f>GZ34+IF(AND(GY35&lt;&gt;"",COUNTIF(GY$4:GY35,GY35)=1),1,0)</f>
        <v/>
      </c>
      <c r="HA35">
        <f>IF(ROW()-3&gt;MAX(GZ$4:GZ$40),"",INDEX(GY$4:GY$40,MATCH(ROW()-3,GZ$4:GZ$40,0)))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IF('Final Calculation Sheet'!$F$36="","",IF(TRIM('Final Calculation Sheet'!$G$2)="",'Final Calculation Sheet'!$F$36,IF(TRIM('Final Calculation Sheet'!$G$2)="(nonblank)",IF('Final Calculation Sheet'!$G$36&lt;&gt;"",'Final Calculation Sheet'!$F$36,""),IF(TRIM('Final Calculation Sheet'!$G$2)="(blank)",IF('Final Calculation Sheet'!$G$36="",'Final Calculation Sheet'!$F$36,""),IF(ISNUMBER(SEARCH(TRIM('Final Calculation Sheet'!$G$2),'Final Calculation Sheet'!$G$36)),'Final Calculation Sheet'!$F$36,"")))))</f>
        <v/>
      </c>
      <c r="GD36">
        <f>IF(GC36="","",COUNTIFS(GC$4:GC$40,"&lt;"&amp;GC36,GC$4:GC$40,"&lt;&gt;"&amp;"")+COUNTIF(GC$4:GC36,GC36))</f>
        <v/>
      </c>
      <c r="GE36">
        <f>IF(ROW()-3&gt;COUNTIF(GC$4:GC$40,"&lt;&gt;"&amp;""),"",INDEX(GC$4:GC$40,MATCH(ROW()-3,GD$4:GD$40,0)))</f>
        <v/>
      </c>
      <c r="GF36">
        <f>GF35+IF(AND(GE36&lt;&gt;"",COUNTIF(GE$4:GE36,GE36)=1),1,0)</f>
        <v/>
      </c>
      <c r="GG36">
        <f>IF(ROW()-3&gt;MAX(GF$4:GF$40),"",INDEX(GE$4:GE$40,MATCH(ROW()-3,GF$4:GF$40,0)))</f>
        <v/>
      </c>
      <c r="GH36">
        <f>IF('Final Calculation Sheet'!$F$36="","",IF('Live Search'!$BO$37=1,'Final Calculation Sheet'!$F$36,""))</f>
        <v/>
      </c>
      <c r="GI36">
        <f>IF(GH36="","",COUNTIFS(GH$4:GH$40,"&lt;"&amp;GH36,GH$4:GH$40,"&lt;&gt;"&amp;"")+COUNTIF(GH$4:GH36,GH36))</f>
        <v/>
      </c>
      <c r="GJ36">
        <f>IF(ROW()-3&gt;COUNTIF(GH$4:GH$40,"&lt;&gt;"&amp;""),"",INDEX(GH$4:GH$40,MATCH(ROW()-3,GI$4:GI$40,0)))</f>
        <v/>
      </c>
      <c r="GK36">
        <f>GK35+IF(AND(GJ36&lt;&gt;"",COUNTIF(GJ$4:GJ36,GJ36)=1),1,0)</f>
        <v/>
      </c>
      <c r="GL36">
        <f>IF(ROW()-3&gt;MAX(GK$4:GK$40),"",INDEX(GJ$4:GJ$40,MATCH(ROW()-3,GK$4:GK$40,0)))</f>
        <v/>
      </c>
      <c r="GM36">
        <f>IF('Final Calculation Sheet'!$F$36="","",IF(TRIM('Buyer Groups'!$C$4)="",'Final Calculation Sheet'!$F$36,IF(TRIM('Buyer Groups'!$C$4)="(nonblank)",IF('Final Calculation Sheet'!$G$36&lt;&gt;"",'Final Calculation Sheet'!$F$36,""),IF(TRIM('Buyer Groups'!$C$4)="(blank)",IF('Final Calculation Sheet'!$G$36="",'Final Calculation Sheet'!$F$36,""),IF(ISNUMBER(SEARCH(TRIM('Buyer Groups'!$C$4),'Final Calculation Sheet'!$G$36)),'Final Calculation Sheet'!$F$36,"")))))</f>
        <v/>
      </c>
      <c r="GN36">
        <f>IF(GM36="","",COUNTIFS(GM$4:GM$40,"&lt;"&amp;GM36,GM$4:GM$40,"&lt;&gt;"&amp;"")+COUNTIF(GM$4:GM36,GM36))</f>
        <v/>
      </c>
      <c r="GO36">
        <f>IF(ROW()-3&gt;COUNTIF(GM$4:GM$40,"&lt;&gt;"&amp;""),"",INDEX(GM$4:GM$40,MATCH(ROW()-3,GN$4:GN$40,0)))</f>
        <v/>
      </c>
      <c r="GP36">
        <f>GP35+IF(AND(GO36&lt;&gt;"",COUNTIF(GO$4:GO36,GO36)=1),1,0)</f>
        <v/>
      </c>
      <c r="GQ36">
        <f>IF(ROW()-3&gt;MAX(GP$4:GP$40),"",INDEX(GO$4:GO$40,MATCH(ROW()-3,GP$4:GP$40,0)))</f>
        <v/>
      </c>
      <c r="GR36">
        <f>IF('Final Calculation Sheet'!$B$36="","",IF(TRIM('Final Calculation Sheet'!$G$2)="",'Final Calculation Sheet'!$B$36,IF(TRIM('Final Calculation Sheet'!$G$2)="(nonblank)",IF('Final Calculation Sheet'!$G$36&lt;&gt;"",'Final Calculation Sheet'!$B$36,""),IF(TRIM('Final Calculation Sheet'!$G$2)="(blank)",IF('Final Calculation Sheet'!$G$36="",'Final Calculation Sheet'!$B$36,""),IF(ISNUMBER(SEARCH(TRIM('Final Calculation Sheet'!$G$2),'Final Calculation Sheet'!$G$36)),'Final Calculation Sheet'!$B$36,"")))))</f>
        <v/>
      </c>
      <c r="GS36">
        <f>IF(GR36="","",COUNTIFS(GR$4:GR$40,"&lt;"&amp;GR36,GR$4:GR$40,"&lt;&gt;"&amp;"")+COUNTIF(GR$4:GR36,GR36))</f>
        <v/>
      </c>
      <c r="GT36">
        <f>IF(ROW()-3&gt;COUNTIF(GR$4:GR$40,"&lt;&gt;"&amp;""),"",INDEX(GR$4:GR$40,MATCH(ROW()-3,GS$4:GS$40,0)))</f>
        <v/>
      </c>
      <c r="GU36">
        <f>GU35+IF(AND(GT36&lt;&gt;"",COUNTIF(GT$4:GT36,GT36)=1),1,0)</f>
        <v/>
      </c>
      <c r="GV36">
        <f>IF(ROW()-3&gt;MAX(GU$4:GU$40),"",INDEX(GT$4:GT$40,MATCH(ROW()-3,GU$4:GU$40,0)))</f>
        <v/>
      </c>
      <c r="GW36">
        <f>IF('Final Calculation Sheet'!$B$36="","",IF(TRIM('Buyer Groups'!$C$4)="",'Final Calculation Sheet'!$B$36,IF(TRIM('Buyer Groups'!$C$4)="(nonblank)",IF('Final Calculation Sheet'!$G$36&lt;&gt;"",'Final Calculation Sheet'!$B$36,""),IF(TRIM('Buyer Groups'!$C$4)="(blank)",IF('Final Calculation Sheet'!$G$36="",'Final Calculation Sheet'!$B$36,""),IF(ISNUMBER(SEARCH(TRIM('Buyer Groups'!$C$4),'Final Calculation Sheet'!$G$36)),'Final Calculation Sheet'!$B$36,"")))))</f>
        <v/>
      </c>
      <c r="GX36">
        <f>IF(GW36="","",COUNTIFS(GW$4:GW$40,"&lt;"&amp;GW36,GW$4:GW$40,"&lt;&gt;"&amp;"")+COUNTIF(GW$4:GW36,GW36))</f>
        <v/>
      </c>
      <c r="GY36">
        <f>IF(ROW()-3&gt;COUNTIF(GW$4:GW$40,"&lt;&gt;"&amp;""),"",INDEX(GW$4:GW$40,MATCH(ROW()-3,GX$4:GX$40,0)))</f>
        <v/>
      </c>
      <c r="GZ36">
        <f>GZ35+IF(AND(GY36&lt;&gt;"",COUNTIF(GY$4:GY36,GY36)=1),1,0)</f>
        <v/>
      </c>
      <c r="HA36">
        <f>IF(ROW()-3&gt;MAX(GZ$4:GZ$40),"",INDEX(GY$4:GY$40,MATCH(ROW()-3,GZ$4:GZ$40,0)))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IF('Final Calculation Sheet'!$F$37="","",IF(TRIM('Final Calculation Sheet'!$G$2)="",'Final Calculation Sheet'!$F$37,IF(TRIM('Final Calculation Sheet'!$G$2)="(nonblank)",IF('Final Calculation Sheet'!$G$37&lt;&gt;"",'Final Calculation Sheet'!$F$37,""),IF(TRIM('Final Calculation Sheet'!$G$2)="(blank)",IF('Final Calculation Sheet'!$G$37="",'Final Calculation Sheet'!$F$37,""),IF(ISNUMBER(SEARCH(TRIM('Final Calculation Sheet'!$G$2),'Final Calculation Sheet'!$G$37)),'Final Calculation Sheet'!$F$37,"")))))</f>
        <v/>
      </c>
      <c r="GD37">
        <f>IF(GC37="","",COUNTIFS(GC$4:GC$40,"&lt;"&amp;GC37,GC$4:GC$40,"&lt;&gt;"&amp;"")+COUNTIF(GC$4:GC37,GC37))</f>
        <v/>
      </c>
      <c r="GE37">
        <f>IF(ROW()-3&gt;COUNTIF(GC$4:GC$40,"&lt;&gt;"&amp;""),"",INDEX(GC$4:GC$40,MATCH(ROW()-3,GD$4:GD$40,0)))</f>
        <v/>
      </c>
      <c r="GF37">
        <f>GF36+IF(AND(GE37&lt;&gt;"",COUNTIF(GE$4:GE37,GE37)=1),1,0)</f>
        <v/>
      </c>
      <c r="GG37">
        <f>IF(ROW()-3&gt;MAX(GF$4:GF$40),"",INDEX(GE$4:GE$40,MATCH(ROW()-3,GF$4:GF$40,0)))</f>
        <v/>
      </c>
      <c r="GH37">
        <f>IF('Final Calculation Sheet'!$F$37="","",IF('Live Search'!$BO$38=1,'Final Calculation Sheet'!$F$37,""))</f>
        <v/>
      </c>
      <c r="GI37">
        <f>IF(GH37="","",COUNTIFS(GH$4:GH$40,"&lt;"&amp;GH37,GH$4:GH$40,"&lt;&gt;"&amp;"")+COUNTIF(GH$4:GH37,GH37))</f>
        <v/>
      </c>
      <c r="GJ37">
        <f>IF(ROW()-3&gt;COUNTIF(GH$4:GH$40,"&lt;&gt;"&amp;""),"",INDEX(GH$4:GH$40,MATCH(ROW()-3,GI$4:GI$40,0)))</f>
        <v/>
      </c>
      <c r="GK37">
        <f>GK36+IF(AND(GJ37&lt;&gt;"",COUNTIF(GJ$4:GJ37,GJ37)=1),1,0)</f>
        <v/>
      </c>
      <c r="GL37">
        <f>IF(ROW()-3&gt;MAX(GK$4:GK$40),"",INDEX(GJ$4:GJ$40,MATCH(ROW()-3,GK$4:GK$40,0)))</f>
        <v/>
      </c>
      <c r="GM37">
        <f>IF('Final Calculation Sheet'!$F$37="","",IF(TRIM('Buyer Groups'!$C$4)="",'Final Calculation Sheet'!$F$37,IF(TRIM('Buyer Groups'!$C$4)="(nonblank)",IF('Final Calculation Sheet'!$G$37&lt;&gt;"",'Final Calculation Sheet'!$F$37,""),IF(TRIM('Buyer Groups'!$C$4)="(blank)",IF('Final Calculation Sheet'!$G$37="",'Final Calculation Sheet'!$F$37,""),IF(ISNUMBER(SEARCH(TRIM('Buyer Groups'!$C$4),'Final Calculation Sheet'!$G$37)),'Final Calculation Sheet'!$F$37,"")))))</f>
        <v/>
      </c>
      <c r="GN37">
        <f>IF(GM37="","",COUNTIFS(GM$4:GM$40,"&lt;"&amp;GM37,GM$4:GM$40,"&lt;&gt;"&amp;"")+COUNTIF(GM$4:GM37,GM37))</f>
        <v/>
      </c>
      <c r="GO37">
        <f>IF(ROW()-3&gt;COUNTIF(GM$4:GM$40,"&lt;&gt;"&amp;""),"",INDEX(GM$4:GM$40,MATCH(ROW()-3,GN$4:GN$40,0)))</f>
        <v/>
      </c>
      <c r="GP37">
        <f>GP36+IF(AND(GO37&lt;&gt;"",COUNTIF(GO$4:GO37,GO37)=1),1,0)</f>
        <v/>
      </c>
      <c r="GQ37">
        <f>IF(ROW()-3&gt;MAX(GP$4:GP$40),"",INDEX(GO$4:GO$40,MATCH(ROW()-3,GP$4:GP$40,0)))</f>
        <v/>
      </c>
      <c r="GR37">
        <f>IF('Final Calculation Sheet'!$B$37="","",IF(TRIM('Final Calculation Sheet'!$G$2)="",'Final Calculation Sheet'!$B$37,IF(TRIM('Final Calculation Sheet'!$G$2)="(nonblank)",IF('Final Calculation Sheet'!$G$37&lt;&gt;"",'Final Calculation Sheet'!$B$37,""),IF(TRIM('Final Calculation Sheet'!$G$2)="(blank)",IF('Final Calculation Sheet'!$G$37="",'Final Calculation Sheet'!$B$37,""),IF(ISNUMBER(SEARCH(TRIM('Final Calculation Sheet'!$G$2),'Final Calculation Sheet'!$G$37)),'Final Calculation Sheet'!$B$37,"")))))</f>
        <v/>
      </c>
      <c r="GS37">
        <f>IF(GR37="","",COUNTIFS(GR$4:GR$40,"&lt;"&amp;GR37,GR$4:GR$40,"&lt;&gt;"&amp;"")+COUNTIF(GR$4:GR37,GR37))</f>
        <v/>
      </c>
      <c r="GT37">
        <f>IF(ROW()-3&gt;COUNTIF(GR$4:GR$40,"&lt;&gt;"&amp;""),"",INDEX(GR$4:GR$40,MATCH(ROW()-3,GS$4:GS$40,0)))</f>
        <v/>
      </c>
      <c r="GU37">
        <f>GU36+IF(AND(GT37&lt;&gt;"",COUNTIF(GT$4:GT37,GT37)=1),1,0)</f>
        <v/>
      </c>
      <c r="GV37">
        <f>IF(ROW()-3&gt;MAX(GU$4:GU$40),"",INDEX(GT$4:GT$40,MATCH(ROW()-3,GU$4:GU$40,0)))</f>
        <v/>
      </c>
      <c r="GW37">
        <f>IF('Final Calculation Sheet'!$B$37="","",IF(TRIM('Buyer Groups'!$C$4)="",'Final Calculation Sheet'!$B$37,IF(TRIM('Buyer Groups'!$C$4)="(nonblank)",IF('Final Calculation Sheet'!$G$37&lt;&gt;"",'Final Calculation Sheet'!$B$37,""),IF(TRIM('Buyer Groups'!$C$4)="(blank)",IF('Final Calculation Sheet'!$G$37="",'Final Calculation Sheet'!$B$37,""),IF(ISNUMBER(SEARCH(TRIM('Buyer Groups'!$C$4),'Final Calculation Sheet'!$G$37)),'Final Calculation Sheet'!$B$37,"")))))</f>
        <v/>
      </c>
      <c r="GX37">
        <f>IF(GW37="","",COUNTIFS(GW$4:GW$40,"&lt;"&amp;GW37,GW$4:GW$40,"&lt;&gt;"&amp;"")+COUNTIF(GW$4:GW37,GW37))</f>
        <v/>
      </c>
      <c r="GY37">
        <f>IF(ROW()-3&gt;COUNTIF(GW$4:GW$40,"&lt;&gt;"&amp;""),"",INDEX(GW$4:GW$40,MATCH(ROW()-3,GX$4:GX$40,0)))</f>
        <v/>
      </c>
      <c r="GZ37">
        <f>GZ36+IF(AND(GY37&lt;&gt;"",COUNTIF(GY$4:GY37,GY37)=1),1,0)</f>
        <v/>
      </c>
      <c r="HA37">
        <f>IF(ROW()-3&gt;MAX(GZ$4:GZ$40),"",INDEX(GY$4:GY$40,MATCH(ROW()-3,GZ$4:GZ$40,0)))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IF('Final Calculation Sheet'!$F$38="","",IF(TRIM('Final Calculation Sheet'!$G$2)="",'Final Calculation Sheet'!$F$38,IF(TRIM('Final Calculation Sheet'!$G$2)="(nonblank)",IF('Final Calculation Sheet'!$G$38&lt;&gt;"",'Final Calculation Sheet'!$F$38,""),IF(TRIM('Final Calculation Sheet'!$G$2)="(blank)",IF('Final Calculation Sheet'!$G$38="",'Final Calculation Sheet'!$F$38,""),IF(ISNUMBER(SEARCH(TRIM('Final Calculation Sheet'!$G$2),'Final Calculation Sheet'!$G$38)),'Final Calculation Sheet'!$F$38,"")))))</f>
        <v/>
      </c>
      <c r="GD38">
        <f>IF(GC38="","",COUNTIFS(GC$4:GC$40,"&lt;"&amp;GC38,GC$4:GC$40,"&lt;&gt;"&amp;"")+COUNTIF(GC$4:GC38,GC38))</f>
        <v/>
      </c>
      <c r="GE38">
        <f>IF(ROW()-3&gt;COUNTIF(GC$4:GC$40,"&lt;&gt;"&amp;""),"",INDEX(GC$4:GC$40,MATCH(ROW()-3,GD$4:GD$40,0)))</f>
        <v/>
      </c>
      <c r="GF38">
        <f>GF37+IF(AND(GE38&lt;&gt;"",COUNTIF(GE$4:GE38,GE38)=1),1,0)</f>
        <v/>
      </c>
      <c r="GG38">
        <f>IF(ROW()-3&gt;MAX(GF$4:GF$40),"",INDEX(GE$4:GE$40,MATCH(ROW()-3,GF$4:GF$40,0)))</f>
        <v/>
      </c>
      <c r="GH38">
        <f>IF('Final Calculation Sheet'!$F$38="","",IF('Live Search'!$BO$39=1,'Final Calculation Sheet'!$F$38,""))</f>
        <v/>
      </c>
      <c r="GI38">
        <f>IF(GH38="","",COUNTIFS(GH$4:GH$40,"&lt;"&amp;GH38,GH$4:GH$40,"&lt;&gt;"&amp;"")+COUNTIF(GH$4:GH38,GH38))</f>
        <v/>
      </c>
      <c r="GJ38">
        <f>IF(ROW()-3&gt;COUNTIF(GH$4:GH$40,"&lt;&gt;"&amp;""),"",INDEX(GH$4:GH$40,MATCH(ROW()-3,GI$4:GI$40,0)))</f>
        <v/>
      </c>
      <c r="GK38">
        <f>GK37+IF(AND(GJ38&lt;&gt;"",COUNTIF(GJ$4:GJ38,GJ38)=1),1,0)</f>
        <v/>
      </c>
      <c r="GL38">
        <f>IF(ROW()-3&gt;MAX(GK$4:GK$40),"",INDEX(GJ$4:GJ$40,MATCH(ROW()-3,GK$4:GK$40,0)))</f>
        <v/>
      </c>
      <c r="GM38">
        <f>IF('Final Calculation Sheet'!$F$38="","",IF(TRIM('Buyer Groups'!$C$4)="",'Final Calculation Sheet'!$F$38,IF(TRIM('Buyer Groups'!$C$4)="(nonblank)",IF('Final Calculation Sheet'!$G$38&lt;&gt;"",'Final Calculation Sheet'!$F$38,""),IF(TRIM('Buyer Groups'!$C$4)="(blank)",IF('Final Calculation Sheet'!$G$38="",'Final Calculation Sheet'!$F$38,""),IF(ISNUMBER(SEARCH(TRIM('Buyer Groups'!$C$4),'Final Calculation Sheet'!$G$38)),'Final Calculation Sheet'!$F$38,"")))))</f>
        <v/>
      </c>
      <c r="GN38">
        <f>IF(GM38="","",COUNTIFS(GM$4:GM$40,"&lt;"&amp;GM38,GM$4:GM$40,"&lt;&gt;"&amp;"")+COUNTIF(GM$4:GM38,GM38))</f>
        <v/>
      </c>
      <c r="GO38">
        <f>IF(ROW()-3&gt;COUNTIF(GM$4:GM$40,"&lt;&gt;"&amp;""),"",INDEX(GM$4:GM$40,MATCH(ROW()-3,GN$4:GN$40,0)))</f>
        <v/>
      </c>
      <c r="GP38">
        <f>GP37+IF(AND(GO38&lt;&gt;"",COUNTIF(GO$4:GO38,GO38)=1),1,0)</f>
        <v/>
      </c>
      <c r="GQ38">
        <f>IF(ROW()-3&gt;MAX(GP$4:GP$40),"",INDEX(GO$4:GO$40,MATCH(ROW()-3,GP$4:GP$40,0)))</f>
        <v/>
      </c>
      <c r="GR38">
        <f>IF('Final Calculation Sheet'!$B$38="","",IF(TRIM('Final Calculation Sheet'!$G$2)="",'Final Calculation Sheet'!$B$38,IF(TRIM('Final Calculation Sheet'!$G$2)="(nonblank)",IF('Final Calculation Sheet'!$G$38&lt;&gt;"",'Final Calculation Sheet'!$B$38,""),IF(TRIM('Final Calculation Sheet'!$G$2)="(blank)",IF('Final Calculation Sheet'!$G$38="",'Final Calculation Sheet'!$B$38,""),IF(ISNUMBER(SEARCH(TRIM('Final Calculation Sheet'!$G$2),'Final Calculation Sheet'!$G$38)),'Final Calculation Sheet'!$B$38,"")))))</f>
        <v/>
      </c>
      <c r="GS38">
        <f>IF(GR38="","",COUNTIFS(GR$4:GR$40,"&lt;"&amp;GR38,GR$4:GR$40,"&lt;&gt;"&amp;"")+COUNTIF(GR$4:GR38,GR38))</f>
        <v/>
      </c>
      <c r="GT38">
        <f>IF(ROW()-3&gt;COUNTIF(GR$4:GR$40,"&lt;&gt;"&amp;""),"",INDEX(GR$4:GR$40,MATCH(ROW()-3,GS$4:GS$40,0)))</f>
        <v/>
      </c>
      <c r="GU38">
        <f>GU37+IF(AND(GT38&lt;&gt;"",COUNTIF(GT$4:GT38,GT38)=1),1,0)</f>
        <v/>
      </c>
      <c r="GV38">
        <f>IF(ROW()-3&gt;MAX(GU$4:GU$40),"",INDEX(GT$4:GT$40,MATCH(ROW()-3,GU$4:GU$40,0)))</f>
        <v/>
      </c>
      <c r="GW38">
        <f>IF('Final Calculation Sheet'!$B$38="","",IF(TRIM('Buyer Groups'!$C$4)="",'Final Calculation Sheet'!$B$38,IF(TRIM('Buyer Groups'!$C$4)="(nonblank)",IF('Final Calculation Sheet'!$G$38&lt;&gt;"",'Final Calculation Sheet'!$B$38,""),IF(TRIM('Buyer Groups'!$C$4)="(blank)",IF('Final Calculation Sheet'!$G$38="",'Final Calculation Sheet'!$B$38,""),IF(ISNUMBER(SEARCH(TRIM('Buyer Groups'!$C$4),'Final Calculation Sheet'!$G$38)),'Final Calculation Sheet'!$B$38,"")))))</f>
        <v/>
      </c>
      <c r="GX38">
        <f>IF(GW38="","",COUNTIFS(GW$4:GW$40,"&lt;"&amp;GW38,GW$4:GW$40,"&lt;&gt;"&amp;"")+COUNTIF(GW$4:GW38,GW38))</f>
        <v/>
      </c>
      <c r="GY38">
        <f>IF(ROW()-3&gt;COUNTIF(GW$4:GW$40,"&lt;&gt;"&amp;""),"",INDEX(GW$4:GW$40,MATCH(ROW()-3,GX$4:GX$40,0)))</f>
        <v/>
      </c>
      <c r="GZ38">
        <f>GZ37+IF(AND(GY38&lt;&gt;"",COUNTIF(GY$4:GY38,GY38)=1),1,0)</f>
        <v/>
      </c>
      <c r="HA38">
        <f>IF(ROW()-3&gt;MAX(GZ$4:GZ$40),"",INDEX(GY$4:GY$40,MATCH(ROW()-3,GZ$4:GZ$40,0)))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IF('Final Calculation Sheet'!$F$39="","",IF(TRIM('Final Calculation Sheet'!$G$2)="",'Final Calculation Sheet'!$F$39,IF(TRIM('Final Calculation Sheet'!$G$2)="(nonblank)",IF('Final Calculation Sheet'!$G$39&lt;&gt;"",'Final Calculation Sheet'!$F$39,""),IF(TRIM('Final Calculation Sheet'!$G$2)="(blank)",IF('Final Calculation Sheet'!$G$39="",'Final Calculation Sheet'!$F$39,""),IF(ISNUMBER(SEARCH(TRIM('Final Calculation Sheet'!$G$2),'Final Calculation Sheet'!$G$39)),'Final Calculation Sheet'!$F$39,"")))))</f>
        <v/>
      </c>
      <c r="GD39">
        <f>IF(GC39="","",COUNTIFS(GC$4:GC$40,"&lt;"&amp;GC39,GC$4:GC$40,"&lt;&gt;"&amp;"")+COUNTIF(GC$4:GC39,GC39))</f>
        <v/>
      </c>
      <c r="GE39">
        <f>IF(ROW()-3&gt;COUNTIF(GC$4:GC$40,"&lt;&gt;"&amp;""),"",INDEX(GC$4:GC$40,MATCH(ROW()-3,GD$4:GD$40,0)))</f>
        <v/>
      </c>
      <c r="GF39">
        <f>GF38+IF(AND(GE39&lt;&gt;"",COUNTIF(GE$4:GE39,GE39)=1),1,0)</f>
        <v/>
      </c>
      <c r="GG39">
        <f>IF(ROW()-3&gt;MAX(GF$4:GF$40),"",INDEX(GE$4:GE$40,MATCH(ROW()-3,GF$4:GF$40,0)))</f>
        <v/>
      </c>
      <c r="GH39">
        <f>IF('Final Calculation Sheet'!$F$39="","",IF('Live Search'!$BO$40=1,'Final Calculation Sheet'!$F$39,""))</f>
        <v/>
      </c>
      <c r="GI39">
        <f>IF(GH39="","",COUNTIFS(GH$4:GH$40,"&lt;"&amp;GH39,GH$4:GH$40,"&lt;&gt;"&amp;"")+COUNTIF(GH$4:GH39,GH39))</f>
        <v/>
      </c>
      <c r="GJ39">
        <f>IF(ROW()-3&gt;COUNTIF(GH$4:GH$40,"&lt;&gt;"&amp;""),"",INDEX(GH$4:GH$40,MATCH(ROW()-3,GI$4:GI$40,0)))</f>
        <v/>
      </c>
      <c r="GK39">
        <f>GK38+IF(AND(GJ39&lt;&gt;"",COUNTIF(GJ$4:GJ39,GJ39)=1),1,0)</f>
        <v/>
      </c>
      <c r="GL39">
        <f>IF(ROW()-3&gt;MAX(GK$4:GK$40),"",INDEX(GJ$4:GJ$40,MATCH(ROW()-3,GK$4:GK$40,0)))</f>
        <v/>
      </c>
      <c r="GM39">
        <f>IF('Final Calculation Sheet'!$F$39="","",IF(TRIM('Buyer Groups'!$C$4)="",'Final Calculation Sheet'!$F$39,IF(TRIM('Buyer Groups'!$C$4)="(nonblank)",IF('Final Calculation Sheet'!$G$39&lt;&gt;"",'Final Calculation Sheet'!$F$39,""),IF(TRIM('Buyer Groups'!$C$4)="(blank)",IF('Final Calculation Sheet'!$G$39="",'Final Calculation Sheet'!$F$39,""),IF(ISNUMBER(SEARCH(TRIM('Buyer Groups'!$C$4),'Final Calculation Sheet'!$G$39)),'Final Calculation Sheet'!$F$39,"")))))</f>
        <v/>
      </c>
      <c r="GN39">
        <f>IF(GM39="","",COUNTIFS(GM$4:GM$40,"&lt;"&amp;GM39,GM$4:GM$40,"&lt;&gt;"&amp;"")+COUNTIF(GM$4:GM39,GM39))</f>
        <v/>
      </c>
      <c r="GO39">
        <f>IF(ROW()-3&gt;COUNTIF(GM$4:GM$40,"&lt;&gt;"&amp;""),"",INDEX(GM$4:GM$40,MATCH(ROW()-3,GN$4:GN$40,0)))</f>
        <v/>
      </c>
      <c r="GP39">
        <f>GP38+IF(AND(GO39&lt;&gt;"",COUNTIF(GO$4:GO39,GO39)=1),1,0)</f>
        <v/>
      </c>
      <c r="GQ39">
        <f>IF(ROW()-3&gt;MAX(GP$4:GP$40),"",INDEX(GO$4:GO$40,MATCH(ROW()-3,GP$4:GP$40,0)))</f>
        <v/>
      </c>
      <c r="GR39">
        <f>IF('Final Calculation Sheet'!$B$39="","",IF(TRIM('Final Calculation Sheet'!$G$2)="",'Final Calculation Sheet'!$B$39,IF(TRIM('Final Calculation Sheet'!$G$2)="(nonblank)",IF('Final Calculation Sheet'!$G$39&lt;&gt;"",'Final Calculation Sheet'!$B$39,""),IF(TRIM('Final Calculation Sheet'!$G$2)="(blank)",IF('Final Calculation Sheet'!$G$39="",'Final Calculation Sheet'!$B$39,""),IF(ISNUMBER(SEARCH(TRIM('Final Calculation Sheet'!$G$2),'Final Calculation Sheet'!$G$39)),'Final Calculation Sheet'!$B$39,"")))))</f>
        <v/>
      </c>
      <c r="GS39">
        <f>IF(GR39="","",COUNTIFS(GR$4:GR$40,"&lt;"&amp;GR39,GR$4:GR$40,"&lt;&gt;"&amp;"")+COUNTIF(GR$4:GR39,GR39))</f>
        <v/>
      </c>
      <c r="GT39">
        <f>IF(ROW()-3&gt;COUNTIF(GR$4:GR$40,"&lt;&gt;"&amp;""),"",INDEX(GR$4:GR$40,MATCH(ROW()-3,GS$4:GS$40,0)))</f>
        <v/>
      </c>
      <c r="GU39">
        <f>GU38+IF(AND(GT39&lt;&gt;"",COUNTIF(GT$4:GT39,GT39)=1),1,0)</f>
        <v/>
      </c>
      <c r="GV39">
        <f>IF(ROW()-3&gt;MAX(GU$4:GU$40),"",INDEX(GT$4:GT$40,MATCH(ROW()-3,GU$4:GU$40,0)))</f>
        <v/>
      </c>
      <c r="GW39">
        <f>IF('Final Calculation Sheet'!$B$39="","",IF(TRIM('Buyer Groups'!$C$4)="",'Final Calculation Sheet'!$B$39,IF(TRIM('Buyer Groups'!$C$4)="(nonblank)",IF('Final Calculation Sheet'!$G$39&lt;&gt;"",'Final Calculation Sheet'!$B$39,""),IF(TRIM('Buyer Groups'!$C$4)="(blank)",IF('Final Calculation Sheet'!$G$39="",'Final Calculation Sheet'!$B$39,""),IF(ISNUMBER(SEARCH(TRIM('Buyer Groups'!$C$4),'Final Calculation Sheet'!$G$39)),'Final Calculation Sheet'!$B$39,"")))))</f>
        <v/>
      </c>
      <c r="GX39">
        <f>IF(GW39="","",COUNTIFS(GW$4:GW$40,"&lt;"&amp;GW39,GW$4:GW$40,"&lt;&gt;"&amp;"")+COUNTIF(GW$4:GW39,GW39))</f>
        <v/>
      </c>
      <c r="GY39">
        <f>IF(ROW()-3&gt;COUNTIF(GW$4:GW$40,"&lt;&gt;"&amp;""),"",INDEX(GW$4:GW$40,MATCH(ROW()-3,GX$4:GX$40,0)))</f>
        <v/>
      </c>
      <c r="GZ39">
        <f>GZ38+IF(AND(GY39&lt;&gt;"",COUNTIF(GY$4:GY39,GY39)=1),1,0)</f>
        <v/>
      </c>
      <c r="HA39">
        <f>IF(ROW()-3&gt;MAX(GZ$4:GZ$40),"",INDEX(GY$4:GY$40,MATCH(ROW()-3,GZ$4:GZ$40,0)))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IF('Final Calculation Sheet'!$F$40="","",IF(TRIM('Final Calculation Sheet'!$G$2)="",'Final Calculation Sheet'!$F$40,IF(TRIM('Final Calculation Sheet'!$G$2)="(nonblank)",IF('Final Calculation Sheet'!$G$40&lt;&gt;"",'Final Calculation Sheet'!$F$40,""),IF(TRIM('Final Calculation Sheet'!$G$2)="(blank)",IF('Final Calculation Sheet'!$G$40="",'Final Calculation Sheet'!$F$40,""),IF(ISNUMBER(SEARCH(TRIM('Final Calculation Sheet'!$G$2),'Final Calculation Sheet'!$G$40)),'Final Calculation Sheet'!$F$40,"")))))</f>
        <v/>
      </c>
      <c r="GD40">
        <f>IF(GC40="","",COUNTIFS(GC$4:GC$40,"&lt;"&amp;GC40,GC$4:GC$40,"&lt;&gt;"&amp;"")+COUNTIF(GC$4:GC40,GC40))</f>
        <v/>
      </c>
      <c r="GE40">
        <f>IF(ROW()-3&gt;COUNTIF(GC$4:GC$40,"&lt;&gt;"&amp;""),"",INDEX(GC$4:GC$40,MATCH(ROW()-3,GD$4:GD$40,0)))</f>
        <v/>
      </c>
      <c r="GF40">
        <f>GF39+IF(AND(GE40&lt;&gt;"",COUNTIF(GE$4:GE40,GE40)=1),1,0)</f>
        <v/>
      </c>
      <c r="GG40">
        <f>IF(ROW()-3&gt;MAX(GF$4:GF$40),"",INDEX(GE$4:GE$40,MATCH(ROW()-3,GF$4:GF$40,0)))</f>
        <v/>
      </c>
      <c r="GH40">
        <f>IF('Final Calculation Sheet'!$F$40="","",IF('Live Search'!$BO$41=1,'Final Calculation Sheet'!$F$40,""))</f>
        <v/>
      </c>
      <c r="GI40">
        <f>IF(GH40="","",COUNTIFS(GH$4:GH$40,"&lt;"&amp;GH40,GH$4:GH$40,"&lt;&gt;"&amp;"")+COUNTIF(GH$4:GH40,GH40))</f>
        <v/>
      </c>
      <c r="GJ40">
        <f>IF(ROW()-3&gt;COUNTIF(GH$4:GH$40,"&lt;&gt;"&amp;""),"",INDEX(GH$4:GH$40,MATCH(ROW()-3,GI$4:GI$40,0)))</f>
        <v/>
      </c>
      <c r="GK40">
        <f>GK39+IF(AND(GJ40&lt;&gt;"",COUNTIF(GJ$4:GJ40,GJ40)=1),1,0)</f>
        <v/>
      </c>
      <c r="GL40">
        <f>IF(ROW()-3&gt;MAX(GK$4:GK$40),"",INDEX(GJ$4:GJ$40,MATCH(ROW()-3,GK$4:GK$40,0)))</f>
        <v/>
      </c>
      <c r="GM40">
        <f>IF('Final Calculation Sheet'!$F$40="","",IF(TRIM('Buyer Groups'!$C$4)="",'Final Calculation Sheet'!$F$40,IF(TRIM('Buyer Groups'!$C$4)="(nonblank)",IF('Final Calculation Sheet'!$G$40&lt;&gt;"",'Final Calculation Sheet'!$F$40,""),IF(TRIM('Buyer Groups'!$C$4)="(blank)",IF('Final Calculation Sheet'!$G$40="",'Final Calculation Sheet'!$F$40,""),IF(ISNUMBER(SEARCH(TRIM('Buyer Groups'!$C$4),'Final Calculation Sheet'!$G$40)),'Final Calculation Sheet'!$F$40,"")))))</f>
        <v/>
      </c>
      <c r="GN40">
        <f>IF(GM40="","",COUNTIFS(GM$4:GM$40,"&lt;"&amp;GM40,GM$4:GM$40,"&lt;&gt;"&amp;"")+COUNTIF(GM$4:GM40,GM40))</f>
        <v/>
      </c>
      <c r="GO40">
        <f>IF(ROW()-3&gt;COUNTIF(GM$4:GM$40,"&lt;&gt;"&amp;""),"",INDEX(GM$4:GM$40,MATCH(ROW()-3,GN$4:GN$40,0)))</f>
        <v/>
      </c>
      <c r="GP40">
        <f>GP39+IF(AND(GO40&lt;&gt;"",COUNTIF(GO$4:GO40,GO40)=1),1,0)</f>
        <v/>
      </c>
      <c r="GQ40">
        <f>IF(ROW()-3&gt;MAX(GP$4:GP$40),"",INDEX(GO$4:GO$40,MATCH(ROW()-3,GP$4:GP$40,0)))</f>
        <v/>
      </c>
      <c r="GR40">
        <f>IF('Final Calculation Sheet'!$B$40="","",IF(TRIM('Final Calculation Sheet'!$G$2)="",'Final Calculation Sheet'!$B$40,IF(TRIM('Final Calculation Sheet'!$G$2)="(nonblank)",IF('Final Calculation Sheet'!$G$40&lt;&gt;"",'Final Calculation Sheet'!$B$40,""),IF(TRIM('Final Calculation Sheet'!$G$2)="(blank)",IF('Final Calculation Sheet'!$G$40="",'Final Calculation Sheet'!$B$40,""),IF(ISNUMBER(SEARCH(TRIM('Final Calculation Sheet'!$G$2),'Final Calculation Sheet'!$G$40)),'Final Calculation Sheet'!$B$40,"")))))</f>
        <v/>
      </c>
      <c r="GS40">
        <f>IF(GR40="","",COUNTIFS(GR$4:GR$40,"&lt;"&amp;GR40,GR$4:GR$40,"&lt;&gt;"&amp;"")+COUNTIF(GR$4:GR40,GR40))</f>
        <v/>
      </c>
      <c r="GT40">
        <f>IF(ROW()-3&gt;COUNTIF(GR$4:GR$40,"&lt;&gt;"&amp;""),"",INDEX(GR$4:GR$40,MATCH(ROW()-3,GS$4:GS$40,0)))</f>
        <v/>
      </c>
      <c r="GU40">
        <f>GU39+IF(AND(GT40&lt;&gt;"",COUNTIF(GT$4:GT40,GT40)=1),1,0)</f>
        <v/>
      </c>
      <c r="GV40">
        <f>IF(ROW()-3&gt;MAX(GU$4:GU$40),"",INDEX(GT$4:GT$40,MATCH(ROW()-3,GU$4:GU$40,0)))</f>
        <v/>
      </c>
      <c r="GW40">
        <f>IF('Final Calculation Sheet'!$B$40="","",IF(TRIM('Buyer Groups'!$C$4)="",'Final Calculation Sheet'!$B$40,IF(TRIM('Buyer Groups'!$C$4)="(nonblank)",IF('Final Calculation Sheet'!$G$40&lt;&gt;"",'Final Calculation Sheet'!$B$40,""),IF(TRIM('Buyer Groups'!$C$4)="(blank)",IF('Final Calculation Sheet'!$G$40="",'Final Calculation Sheet'!$B$40,""),IF(ISNUMBER(SEARCH(TRIM('Buyer Groups'!$C$4),'Final Calculation Sheet'!$G$40)),'Final Calculation Sheet'!$B$40,"")))))</f>
        <v/>
      </c>
      <c r="GX40">
        <f>IF(GW40="","",COUNTIFS(GW$4:GW$40,"&lt;"&amp;GW40,GW$4:GW$40,"&lt;&gt;"&amp;"")+COUNTIF(GW$4:GW40,GW40))</f>
        <v/>
      </c>
      <c r="GY40">
        <f>IF(ROW()-3&gt;COUNTIF(GW$4:GW$40,"&lt;&gt;"&amp;""),"",INDEX(GW$4:GW$40,MATCH(ROW()-3,GX$4:GX$40,0)))</f>
        <v/>
      </c>
      <c r="GZ40">
        <f>GZ39+IF(AND(GY40&lt;&gt;"",COUNTIF(GY$4:GY40,GY40)=1),1,0)</f>
        <v/>
      </c>
      <c r="HA40">
        <f>IF(ROW()-3&gt;MAX(GZ$4:GZ$40),"",INDEX(GY$4:GY$40,MATCH(ROW()-3,GZ$4:GZ$40,0)))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G41" t="inlineStr">
        <is>
          <t>(blank)</t>
        </is>
      </c>
      <c r="GL41" t="inlineStr">
        <is>
          <t>(blank)</t>
        </is>
      </c>
      <c r="GQ41" t="inlineStr">
        <is>
          <t>(blank)</t>
        </is>
      </c>
      <c r="GV41" t="inlineStr">
        <is>
          <t>(blank)</t>
        </is>
      </c>
      <c r="HA41" t="inlineStr">
        <is>
          <t>(blank)</t>
        </is>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G42" t="inlineStr">
        <is>
          <t>(nonblank)</t>
        </is>
      </c>
      <c r="GL42" t="inlineStr">
        <is>
          <t>(nonblank)</t>
        </is>
      </c>
      <c r="GQ42" t="inlineStr">
        <is>
          <t>(nonblank)</t>
        </is>
      </c>
      <c r="GV42" t="inlineStr">
        <is>
          <t>(nonblank)</t>
        </is>
      </c>
      <c r="HA42" t="inlineStr">
        <is>
          <t>(nonblank)</t>
        </is>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2026-09-11T04:08:56Z</dcterms:modified>
  <cp:lastModifiedBy>S.M.C</cp:lastModifiedBy>
  <cp:revision>0</cp:revision>
</cp:coreProperties>
</file>