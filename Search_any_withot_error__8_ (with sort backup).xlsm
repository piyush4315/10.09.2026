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codeName="{3D1A710C-6663-3D7B-7F91-EC182F24A4BC}"/>
  <workbookPr codeName="ThisWorkbook"/>
  <mc:AlternateContent xmlns:mc="http://schemas.openxmlformats.org/markup-compatibility/2006">
    <mc:Choice Requires="x15">
      <x15ac:absPath xmlns:x15ac="http://schemas.microsoft.com/office/spreadsheetml/2010/11/ac" url="C:\Users\S.M.C\Downloads\"/>
    </mc:Choice>
  </mc:AlternateContent>
  <xr:revisionPtr revIDLastSave="0" documentId="13_ncr:1_{150D4591-2D01-4C1A-AEE5-825BFEE2C2E7}" xr6:coauthVersionLast="36" xr6:coauthVersionMax="36" xr10:uidLastSave="{00000000-0000-0000-0000-000000000000}"/>
  <bookViews>
    <workbookView xWindow="0" yWindow="0" windowWidth="28800" windowHeight="11385" tabRatio="500" activeTab="1" xr2:uid="{00000000-000D-0000-FFFF-FFFF00000000}"/>
  </bookViews>
  <sheets>
    <sheet name="Final Calculation Sheet" sheetId="1" r:id="rId1"/>
    <sheet name="Live Search" sheetId="2" r:id="rId2"/>
    <sheet name="Buyer Groups" sheetId="3" r:id="rId3"/>
    <sheet name="Lists" sheetId="4" state="hidden" r:id="rId4"/>
    <sheet name="LS_Backup" sheetId="5" state="hidden" r:id="rId5"/>
  </sheets>
  <definedNames>
    <definedName name="_xlnm._FilterDatabase" localSheetId="2" hidden="1">'Buyer Groups'!$A$5:$AI$55</definedName>
    <definedName name="_xlnm._FilterDatabase" localSheetId="0" hidden="1">'Final Calculation Sheet'!$A$3:$AG$43</definedName>
    <definedName name="_xlnm.Print_Titles" localSheetId="1">'Live Search'!$5:$5</definedName>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Lists!$Y$4:INDEX(Lists!$Y$4:$Y$42,MAX(Lists!$X$4:$X$40)+2)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none</definedName>
    <definedName name="SUGN_AB">none</definedName>
    <definedName name="SUGN_AC">none</definedName>
    <definedName name="SUGN_AD">none</definedName>
    <definedName name="SUGN_AE">none</definedName>
    <definedName name="SUGN_AF">none</definedName>
    <definedName name="SUGN_AG">none</definedName>
    <definedName name="SUGN_AH">none</definedName>
    <definedName name="SUGN_AI">none</definedName>
    <definedName name="SUGN_B">none</definedName>
    <definedName name="SUGN_C">none</definedName>
    <definedName name="SUGN_D">none</definedName>
    <definedName name="SUGN_E">none</definedName>
    <definedName name="SUGN_F">none</definedName>
    <definedName name="SUGN_G">none</definedName>
    <definedName name="SUGN_H">none</definedName>
    <definedName name="SUGN_I">none</definedName>
    <definedName name="SUGN_J">none</definedName>
    <definedName name="SUGN_K">none</definedName>
    <definedName name="SUGN_L">none</definedName>
    <definedName name="SUGN_M">none</definedName>
    <definedName name="SUGN_N">none</definedName>
    <definedName name="SUGN_O">none</definedName>
    <definedName name="SUGN_P">none</definedName>
    <definedName name="SUGN_Q">none</definedName>
    <definedName name="SUGN_R">none</definedName>
    <definedName name="SUGN_S">none</definedName>
    <definedName name="SUGN_T">none</definedName>
    <definedName name="SUGN_U">none</definedName>
    <definedName name="SUGN_V">none</definedName>
    <definedName name="SUGN_W">none</definedName>
    <definedName name="SUGN_X">none</definedName>
    <definedName name="SUGN_Y">none</definedName>
    <definedName name="SUGN_Z">none</definedName>
  </definedNames>
  <calcPr calcId="191029" iterateDelta="1E-4"/>
  <extLst>
    <ext xmlns:loext="http://schemas.libreoffice.org/" uri="{7626C862-2A13-11E5-B345-FEFF819CDC9F}">
      <loext:extCalcPr stringRefSyntax="ExcelA1"/>
    </ext>
  </extLst>
</workbook>
</file>

<file path=xl/calcChain.xml><?xml version="1.0" encoding="utf-8"?>
<calcChain xmlns="http://schemas.openxmlformats.org/spreadsheetml/2006/main">
  <c r="AI38" i="5" l="1"/>
  <c r="AH38" i="5"/>
  <c r="AG38" i="5"/>
  <c r="AF38" i="5"/>
  <c r="AE38" i="5"/>
  <c r="AD38" i="5"/>
  <c r="AC38" i="5"/>
  <c r="AB38" i="5"/>
  <c r="AA38" i="5"/>
  <c r="Z38" i="5"/>
  <c r="Y38" i="5"/>
  <c r="X38" i="5"/>
  <c r="W38" i="5"/>
  <c r="V38" i="5"/>
  <c r="U38" i="5"/>
  <c r="T38" i="5"/>
  <c r="S38" i="5"/>
  <c r="R38" i="5"/>
  <c r="Q38" i="5"/>
  <c r="P38" i="5"/>
  <c r="O38" i="5"/>
  <c r="N38" i="5"/>
  <c r="M38" i="5"/>
  <c r="L38" i="5"/>
  <c r="K38" i="5"/>
  <c r="J38" i="5"/>
  <c r="I38" i="5"/>
  <c r="H38" i="5"/>
  <c r="G38" i="5"/>
  <c r="F38" i="5"/>
  <c r="E38" i="5"/>
  <c r="D38" i="5"/>
  <c r="C38" i="5"/>
  <c r="B38" i="5"/>
  <c r="A38" i="5"/>
  <c r="AI37" i="5"/>
  <c r="AH37" i="5"/>
  <c r="AG37" i="5"/>
  <c r="AF37" i="5"/>
  <c r="AE37" i="5"/>
  <c r="AD37" i="5"/>
  <c r="AC37" i="5"/>
  <c r="AB37" i="5"/>
  <c r="AA37" i="5"/>
  <c r="Z37" i="5"/>
  <c r="Y37" i="5"/>
  <c r="X37" i="5"/>
  <c r="W37" i="5"/>
  <c r="V37" i="5"/>
  <c r="U37" i="5"/>
  <c r="T37" i="5"/>
  <c r="S37" i="5"/>
  <c r="R37" i="5"/>
  <c r="Q37" i="5"/>
  <c r="P37" i="5"/>
  <c r="O37" i="5"/>
  <c r="N37" i="5"/>
  <c r="M37" i="5"/>
  <c r="L37" i="5"/>
  <c r="K37" i="5"/>
  <c r="J37" i="5"/>
  <c r="I37" i="5"/>
  <c r="H37" i="5"/>
  <c r="G37" i="5"/>
  <c r="F37" i="5"/>
  <c r="E37" i="5"/>
  <c r="D37" i="5"/>
  <c r="C37" i="5"/>
  <c r="B37" i="5"/>
  <c r="A37" i="5"/>
  <c r="AI36" i="5"/>
  <c r="AH36" i="5"/>
  <c r="AG36" i="5"/>
  <c r="AF36" i="5"/>
  <c r="AE36" i="5"/>
  <c r="AD36" i="5"/>
  <c r="AC36" i="5"/>
  <c r="AB36" i="5"/>
  <c r="AA36" i="5"/>
  <c r="Z36" i="5"/>
  <c r="Y36" i="5"/>
  <c r="X36" i="5"/>
  <c r="W36" i="5"/>
  <c r="V36" i="5"/>
  <c r="U36" i="5"/>
  <c r="T36" i="5"/>
  <c r="S36" i="5"/>
  <c r="R36" i="5"/>
  <c r="Q36" i="5"/>
  <c r="P36" i="5"/>
  <c r="O36" i="5"/>
  <c r="N36" i="5"/>
  <c r="M36" i="5"/>
  <c r="L36" i="5"/>
  <c r="K36" i="5"/>
  <c r="J36" i="5"/>
  <c r="I36" i="5"/>
  <c r="H36" i="5"/>
  <c r="G36" i="5"/>
  <c r="F36" i="5"/>
  <c r="E36" i="5"/>
  <c r="D36" i="5"/>
  <c r="C36" i="5"/>
  <c r="B36" i="5"/>
  <c r="A36" i="5"/>
  <c r="AI35" i="5"/>
  <c r="AH35" i="5"/>
  <c r="AG35" i="5"/>
  <c r="AF35" i="5"/>
  <c r="AE35" i="5"/>
  <c r="AD35" i="5"/>
  <c r="AC35" i="5"/>
  <c r="AB35" i="5"/>
  <c r="AA35" i="5"/>
  <c r="Z35" i="5"/>
  <c r="Y35" i="5"/>
  <c r="X35" i="5"/>
  <c r="W35" i="5"/>
  <c r="V35" i="5"/>
  <c r="U35" i="5"/>
  <c r="T35" i="5"/>
  <c r="S35" i="5"/>
  <c r="R35" i="5"/>
  <c r="Q35" i="5"/>
  <c r="P35" i="5"/>
  <c r="O35" i="5"/>
  <c r="N35" i="5"/>
  <c r="M35" i="5"/>
  <c r="L35" i="5"/>
  <c r="K35" i="5"/>
  <c r="J35" i="5"/>
  <c r="I35" i="5"/>
  <c r="H35" i="5"/>
  <c r="G35" i="5"/>
  <c r="F35" i="5"/>
  <c r="E35" i="5"/>
  <c r="D35" i="5"/>
  <c r="C35" i="5"/>
  <c r="B35" i="5"/>
  <c r="A35" i="5"/>
  <c r="AI34" i="5"/>
  <c r="AH34" i="5"/>
  <c r="AG34" i="5"/>
  <c r="AF34" i="5"/>
  <c r="AE34" i="5"/>
  <c r="AD34" i="5"/>
  <c r="AC34" i="5"/>
  <c r="AB34" i="5"/>
  <c r="AA34" i="5"/>
  <c r="Z34" i="5"/>
  <c r="Y34" i="5"/>
  <c r="X34" i="5"/>
  <c r="W34" i="5"/>
  <c r="V34" i="5"/>
  <c r="U34" i="5"/>
  <c r="T34" i="5"/>
  <c r="S34" i="5"/>
  <c r="R34" i="5"/>
  <c r="Q34" i="5"/>
  <c r="P34" i="5"/>
  <c r="O34" i="5"/>
  <c r="N34" i="5"/>
  <c r="M34" i="5"/>
  <c r="L34" i="5"/>
  <c r="K34" i="5"/>
  <c r="J34" i="5"/>
  <c r="I34" i="5"/>
  <c r="H34" i="5"/>
  <c r="G34" i="5"/>
  <c r="F34" i="5"/>
  <c r="E34" i="5"/>
  <c r="D34" i="5"/>
  <c r="C34" i="5"/>
  <c r="B34" i="5"/>
  <c r="A34" i="5"/>
  <c r="AI33" i="5"/>
  <c r="AH33" i="5"/>
  <c r="AG33" i="5"/>
  <c r="AF33" i="5"/>
  <c r="AE33" i="5"/>
  <c r="AD33" i="5"/>
  <c r="AC33" i="5"/>
  <c r="AB33" i="5"/>
  <c r="AA33" i="5"/>
  <c r="Z33" i="5"/>
  <c r="Y33" i="5"/>
  <c r="X33" i="5"/>
  <c r="W33" i="5"/>
  <c r="V33" i="5"/>
  <c r="U33" i="5"/>
  <c r="T33" i="5"/>
  <c r="S33" i="5"/>
  <c r="R33" i="5"/>
  <c r="Q33" i="5"/>
  <c r="P33" i="5"/>
  <c r="O33" i="5"/>
  <c r="N33" i="5"/>
  <c r="M33" i="5"/>
  <c r="L33" i="5"/>
  <c r="K33" i="5"/>
  <c r="J33" i="5"/>
  <c r="I33" i="5"/>
  <c r="H33" i="5"/>
  <c r="G33" i="5"/>
  <c r="F33" i="5"/>
  <c r="E33" i="5"/>
  <c r="D33" i="5"/>
  <c r="C33" i="5"/>
  <c r="B33" i="5"/>
  <c r="A33" i="5"/>
  <c r="AI32" i="5"/>
  <c r="AH32" i="5"/>
  <c r="AG32" i="5"/>
  <c r="AF32" i="5"/>
  <c r="AE32" i="5"/>
  <c r="AD32" i="5"/>
  <c r="AC32" i="5"/>
  <c r="AB32" i="5"/>
  <c r="AA32" i="5"/>
  <c r="Z32" i="5"/>
  <c r="Y32" i="5"/>
  <c r="X32" i="5"/>
  <c r="W32" i="5"/>
  <c r="V32" i="5"/>
  <c r="U32" i="5"/>
  <c r="T32" i="5"/>
  <c r="S32" i="5"/>
  <c r="R32" i="5"/>
  <c r="Q32" i="5"/>
  <c r="P32" i="5"/>
  <c r="O32" i="5"/>
  <c r="N32" i="5"/>
  <c r="M32" i="5"/>
  <c r="L32" i="5"/>
  <c r="K32" i="5"/>
  <c r="J32" i="5"/>
  <c r="I32" i="5"/>
  <c r="H32" i="5"/>
  <c r="G32" i="5"/>
  <c r="F32" i="5"/>
  <c r="E32" i="5"/>
  <c r="D32" i="5"/>
  <c r="C32" i="5"/>
  <c r="B32" i="5"/>
  <c r="A32" i="5"/>
  <c r="AI31" i="5"/>
  <c r="AH31" i="5"/>
  <c r="AG31" i="5"/>
  <c r="AF31" i="5"/>
  <c r="AE31" i="5"/>
  <c r="AD31" i="5"/>
  <c r="AC31" i="5"/>
  <c r="AB31" i="5"/>
  <c r="AA31" i="5"/>
  <c r="Z31" i="5"/>
  <c r="Y31" i="5"/>
  <c r="X31" i="5"/>
  <c r="W31" i="5"/>
  <c r="V31" i="5"/>
  <c r="U31" i="5"/>
  <c r="T31" i="5"/>
  <c r="S31" i="5"/>
  <c r="R31" i="5"/>
  <c r="Q31" i="5"/>
  <c r="P31" i="5"/>
  <c r="O31" i="5"/>
  <c r="N31" i="5"/>
  <c r="M31" i="5"/>
  <c r="L31" i="5"/>
  <c r="K31" i="5"/>
  <c r="J31" i="5"/>
  <c r="I31" i="5"/>
  <c r="H31" i="5"/>
  <c r="G31" i="5"/>
  <c r="F31" i="5"/>
  <c r="E31" i="5"/>
  <c r="D31" i="5"/>
  <c r="C31" i="5"/>
  <c r="B31" i="5"/>
  <c r="A31" i="5"/>
  <c r="AI30" i="5"/>
  <c r="AH30" i="5"/>
  <c r="AG30" i="5"/>
  <c r="AF30" i="5"/>
  <c r="AE30" i="5"/>
  <c r="AD30" i="5"/>
  <c r="AC30" i="5"/>
  <c r="AB30" i="5"/>
  <c r="AA30" i="5"/>
  <c r="Z30" i="5"/>
  <c r="Y30" i="5"/>
  <c r="X30" i="5"/>
  <c r="W30" i="5"/>
  <c r="V30" i="5"/>
  <c r="U30" i="5"/>
  <c r="T30" i="5"/>
  <c r="S30" i="5"/>
  <c r="R30" i="5"/>
  <c r="Q30" i="5"/>
  <c r="P30" i="5"/>
  <c r="O30" i="5"/>
  <c r="N30" i="5"/>
  <c r="M30" i="5"/>
  <c r="L30" i="5"/>
  <c r="K30" i="5"/>
  <c r="J30" i="5"/>
  <c r="I30" i="5"/>
  <c r="H30" i="5"/>
  <c r="G30" i="5"/>
  <c r="F30" i="5"/>
  <c r="E30" i="5"/>
  <c r="D30" i="5"/>
  <c r="C30" i="5"/>
  <c r="B30" i="5"/>
  <c r="A30" i="5"/>
  <c r="AI29" i="5"/>
  <c r="AH29" i="5"/>
  <c r="AG29" i="5"/>
  <c r="AF29" i="5"/>
  <c r="AE29" i="5"/>
  <c r="AD29" i="5"/>
  <c r="AC29" i="5"/>
  <c r="AB29" i="5"/>
  <c r="AA29" i="5"/>
  <c r="Z29" i="5"/>
  <c r="Y29" i="5"/>
  <c r="X29" i="5"/>
  <c r="W29" i="5"/>
  <c r="V29" i="5"/>
  <c r="U29" i="5"/>
  <c r="T29" i="5"/>
  <c r="S29" i="5"/>
  <c r="R29" i="5"/>
  <c r="Q29" i="5"/>
  <c r="P29" i="5"/>
  <c r="O29" i="5"/>
  <c r="N29" i="5"/>
  <c r="M29" i="5"/>
  <c r="L29" i="5"/>
  <c r="K29" i="5"/>
  <c r="J29" i="5"/>
  <c r="I29" i="5"/>
  <c r="H29" i="5"/>
  <c r="G29" i="5"/>
  <c r="F29" i="5"/>
  <c r="E29" i="5"/>
  <c r="D29" i="5"/>
  <c r="C29" i="5"/>
  <c r="B29" i="5"/>
  <c r="A29" i="5"/>
  <c r="AI28" i="5"/>
  <c r="AH28" i="5"/>
  <c r="AG28" i="5"/>
  <c r="AF28" i="5"/>
  <c r="AE28" i="5"/>
  <c r="AD28" i="5"/>
  <c r="AC28" i="5"/>
  <c r="AB28" i="5"/>
  <c r="AA28" i="5"/>
  <c r="Z28" i="5"/>
  <c r="Y28" i="5"/>
  <c r="X28" i="5"/>
  <c r="W28" i="5"/>
  <c r="V28" i="5"/>
  <c r="U28" i="5"/>
  <c r="T28" i="5"/>
  <c r="S28" i="5"/>
  <c r="R28" i="5"/>
  <c r="Q28" i="5"/>
  <c r="P28" i="5"/>
  <c r="O28" i="5"/>
  <c r="N28" i="5"/>
  <c r="M28" i="5"/>
  <c r="L28" i="5"/>
  <c r="K28" i="5"/>
  <c r="J28" i="5"/>
  <c r="I28" i="5"/>
  <c r="H28" i="5"/>
  <c r="G28" i="5"/>
  <c r="F28" i="5"/>
  <c r="E28" i="5"/>
  <c r="D28" i="5"/>
  <c r="C28" i="5"/>
  <c r="B28" i="5"/>
  <c r="A28"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B27" i="5"/>
  <c r="A27"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B26" i="5"/>
  <c r="A26" i="5"/>
  <c r="AI25"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G25" i="5"/>
  <c r="F25" i="5"/>
  <c r="E25" i="5"/>
  <c r="D25" i="5"/>
  <c r="C25" i="5"/>
  <c r="B25" i="5"/>
  <c r="A25" i="5"/>
  <c r="AI24" i="5"/>
  <c r="AH24" i="5"/>
  <c r="AG24" i="5"/>
  <c r="AF24" i="5"/>
  <c r="AE24" i="5"/>
  <c r="AD24" i="5"/>
  <c r="AC24" i="5"/>
  <c r="AB24" i="5"/>
  <c r="AA24" i="5"/>
  <c r="Z24" i="5"/>
  <c r="Y24" i="5"/>
  <c r="X24" i="5"/>
  <c r="W24" i="5"/>
  <c r="V24" i="5"/>
  <c r="U24" i="5"/>
  <c r="T24" i="5"/>
  <c r="S24" i="5"/>
  <c r="R24" i="5"/>
  <c r="Q24" i="5"/>
  <c r="P24" i="5"/>
  <c r="O24" i="5"/>
  <c r="N24" i="5"/>
  <c r="M24" i="5"/>
  <c r="L24" i="5"/>
  <c r="K24" i="5"/>
  <c r="J24" i="5"/>
  <c r="I24" i="5"/>
  <c r="H24" i="5"/>
  <c r="G24" i="5"/>
  <c r="F24" i="5"/>
  <c r="E24" i="5"/>
  <c r="D24" i="5"/>
  <c r="C24" i="5"/>
  <c r="B24" i="5"/>
  <c r="A24" i="5"/>
  <c r="AI23" i="5"/>
  <c r="AH23" i="5"/>
  <c r="AG23" i="5"/>
  <c r="AF23" i="5"/>
  <c r="AE23" i="5"/>
  <c r="AD23" i="5"/>
  <c r="AC23" i="5"/>
  <c r="AB23" i="5"/>
  <c r="AA23" i="5"/>
  <c r="Z23" i="5"/>
  <c r="Y23" i="5"/>
  <c r="X23" i="5"/>
  <c r="W23" i="5"/>
  <c r="V23" i="5"/>
  <c r="U23" i="5"/>
  <c r="T23" i="5"/>
  <c r="S23" i="5"/>
  <c r="R23" i="5"/>
  <c r="Q23" i="5"/>
  <c r="P23" i="5"/>
  <c r="O23" i="5"/>
  <c r="N23" i="5"/>
  <c r="M23" i="5"/>
  <c r="L23" i="5"/>
  <c r="K23" i="5"/>
  <c r="J23" i="5"/>
  <c r="I23" i="5"/>
  <c r="H23" i="5"/>
  <c r="G23" i="5"/>
  <c r="F23" i="5"/>
  <c r="E23" i="5"/>
  <c r="D23" i="5"/>
  <c r="C23" i="5"/>
  <c r="B23" i="5"/>
  <c r="A23" i="5"/>
  <c r="AI22" i="5"/>
  <c r="AH22" i="5"/>
  <c r="AG22" i="5"/>
  <c r="AF22" i="5"/>
  <c r="AE22" i="5"/>
  <c r="AD22" i="5"/>
  <c r="AC22" i="5"/>
  <c r="AB22" i="5"/>
  <c r="AA22" i="5"/>
  <c r="Z22" i="5"/>
  <c r="Y22" i="5"/>
  <c r="X22" i="5"/>
  <c r="W22" i="5"/>
  <c r="V22" i="5"/>
  <c r="U22" i="5"/>
  <c r="T22" i="5"/>
  <c r="S22" i="5"/>
  <c r="R22" i="5"/>
  <c r="Q22" i="5"/>
  <c r="P22" i="5"/>
  <c r="O22" i="5"/>
  <c r="N22" i="5"/>
  <c r="M22" i="5"/>
  <c r="L22" i="5"/>
  <c r="K22" i="5"/>
  <c r="J22" i="5"/>
  <c r="I22" i="5"/>
  <c r="H22" i="5"/>
  <c r="G22" i="5"/>
  <c r="F22" i="5"/>
  <c r="E22" i="5"/>
  <c r="D22" i="5"/>
  <c r="C22" i="5"/>
  <c r="B22" i="5"/>
  <c r="A22" i="5"/>
  <c r="AI21"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G21" i="5"/>
  <c r="F21" i="5"/>
  <c r="E21" i="5"/>
  <c r="D21" i="5"/>
  <c r="C21" i="5"/>
  <c r="B21" i="5"/>
  <c r="A21"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B20" i="5"/>
  <c r="A20"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19" i="5"/>
  <c r="B19" i="5"/>
  <c r="A19" i="5"/>
  <c r="AI18" i="5"/>
  <c r="AH18" i="5"/>
  <c r="AG18" i="5"/>
  <c r="AF18" i="5"/>
  <c r="AE18" i="5"/>
  <c r="AD18" i="5"/>
  <c r="AC18" i="5"/>
  <c r="AB18" i="5"/>
  <c r="AA18" i="5"/>
  <c r="Z18" i="5"/>
  <c r="Y18" i="5"/>
  <c r="X18" i="5"/>
  <c r="W18" i="5"/>
  <c r="V18" i="5"/>
  <c r="U18" i="5"/>
  <c r="T18" i="5"/>
  <c r="S18" i="5"/>
  <c r="R18" i="5"/>
  <c r="Q18" i="5"/>
  <c r="P18" i="5"/>
  <c r="O18" i="5"/>
  <c r="N18" i="5"/>
  <c r="M18" i="5"/>
  <c r="L18" i="5"/>
  <c r="K18" i="5"/>
  <c r="J18" i="5"/>
  <c r="I18" i="5"/>
  <c r="H18" i="5"/>
  <c r="G18" i="5"/>
  <c r="F18" i="5"/>
  <c r="E18" i="5"/>
  <c r="D18" i="5"/>
  <c r="C18" i="5"/>
  <c r="B18" i="5"/>
  <c r="A18"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B17" i="5"/>
  <c r="A17" i="5"/>
  <c r="AI16" i="5"/>
  <c r="AH16" i="5"/>
  <c r="AG16" i="5"/>
  <c r="AF16" i="5"/>
  <c r="AE16" i="5"/>
  <c r="AD16" i="5"/>
  <c r="AC16" i="5"/>
  <c r="AB16" i="5"/>
  <c r="AA16" i="5"/>
  <c r="Z16" i="5"/>
  <c r="Y16" i="5"/>
  <c r="X16" i="5"/>
  <c r="W16" i="5"/>
  <c r="V16" i="5"/>
  <c r="U16" i="5"/>
  <c r="T16" i="5"/>
  <c r="S16" i="5"/>
  <c r="R16" i="5"/>
  <c r="Q16" i="5"/>
  <c r="P16" i="5"/>
  <c r="O16" i="5"/>
  <c r="N16" i="5"/>
  <c r="M16" i="5"/>
  <c r="L16" i="5"/>
  <c r="K16" i="5"/>
  <c r="J16" i="5"/>
  <c r="I16" i="5"/>
  <c r="H16" i="5"/>
  <c r="G16" i="5"/>
  <c r="F16" i="5"/>
  <c r="E16" i="5"/>
  <c r="D16" i="5"/>
  <c r="C16" i="5"/>
  <c r="B16" i="5"/>
  <c r="A16"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C15" i="5"/>
  <c r="B15" i="5"/>
  <c r="A15" i="5"/>
  <c r="AI14" i="5"/>
  <c r="AH14" i="5"/>
  <c r="AG14" i="5"/>
  <c r="AF14" i="5"/>
  <c r="AE14" i="5"/>
  <c r="AD14" i="5"/>
  <c r="AC14" i="5"/>
  <c r="AB14" i="5"/>
  <c r="AA14" i="5"/>
  <c r="Z14" i="5"/>
  <c r="Y14" i="5"/>
  <c r="X14" i="5"/>
  <c r="W14" i="5"/>
  <c r="V14" i="5"/>
  <c r="U14" i="5"/>
  <c r="T14" i="5"/>
  <c r="S14" i="5"/>
  <c r="R14" i="5"/>
  <c r="Q14" i="5"/>
  <c r="P14" i="5"/>
  <c r="O14" i="5"/>
  <c r="N14" i="5"/>
  <c r="M14" i="5"/>
  <c r="L14" i="5"/>
  <c r="K14" i="5"/>
  <c r="J14" i="5"/>
  <c r="I14" i="5"/>
  <c r="H14" i="5"/>
  <c r="G14" i="5"/>
  <c r="F14" i="5"/>
  <c r="E14" i="5"/>
  <c r="D14" i="5"/>
  <c r="C14" i="5"/>
  <c r="B14" i="5"/>
  <c r="A14" i="5"/>
  <c r="AI13" i="5"/>
  <c r="AH13" i="5"/>
  <c r="AG13" i="5"/>
  <c r="AF13" i="5"/>
  <c r="AE13" i="5"/>
  <c r="AD13" i="5"/>
  <c r="AC13" i="5"/>
  <c r="AB13" i="5"/>
  <c r="AA13" i="5"/>
  <c r="Z13" i="5"/>
  <c r="Y13" i="5"/>
  <c r="X13" i="5"/>
  <c r="W13" i="5"/>
  <c r="V13" i="5"/>
  <c r="U13" i="5"/>
  <c r="T13" i="5"/>
  <c r="S13" i="5"/>
  <c r="R13" i="5"/>
  <c r="Q13" i="5"/>
  <c r="P13" i="5"/>
  <c r="O13" i="5"/>
  <c r="N13" i="5"/>
  <c r="M13" i="5"/>
  <c r="L13" i="5"/>
  <c r="K13" i="5"/>
  <c r="J13" i="5"/>
  <c r="I13" i="5"/>
  <c r="H13" i="5"/>
  <c r="G13" i="5"/>
  <c r="F13" i="5"/>
  <c r="E13" i="5"/>
  <c r="D13" i="5"/>
  <c r="C13" i="5"/>
  <c r="B13" i="5"/>
  <c r="A13" i="5"/>
  <c r="AI12" i="5"/>
  <c r="AH12" i="5"/>
  <c r="AG12" i="5"/>
  <c r="AF12" i="5"/>
  <c r="AE12" i="5"/>
  <c r="AD12" i="5"/>
  <c r="AC12" i="5"/>
  <c r="AB12" i="5"/>
  <c r="AA12" i="5"/>
  <c r="Z12" i="5"/>
  <c r="Y12" i="5"/>
  <c r="X12" i="5"/>
  <c r="W12" i="5"/>
  <c r="V12" i="5"/>
  <c r="U12" i="5"/>
  <c r="T12" i="5"/>
  <c r="S12" i="5"/>
  <c r="R12" i="5"/>
  <c r="Q12" i="5"/>
  <c r="P12" i="5"/>
  <c r="O12" i="5"/>
  <c r="N12" i="5"/>
  <c r="M12" i="5"/>
  <c r="L12" i="5"/>
  <c r="K12" i="5"/>
  <c r="J12" i="5"/>
  <c r="I12" i="5"/>
  <c r="H12" i="5"/>
  <c r="G12" i="5"/>
  <c r="F12" i="5"/>
  <c r="E12" i="5"/>
  <c r="D12" i="5"/>
  <c r="C12" i="5"/>
  <c r="B12" i="5"/>
  <c r="A12" i="5"/>
  <c r="AI11" i="5"/>
  <c r="AH11" i="5"/>
  <c r="AG11" i="5"/>
  <c r="AF11" i="5"/>
  <c r="AE11" i="5"/>
  <c r="AD11" i="5"/>
  <c r="AC11" i="5"/>
  <c r="AB11" i="5"/>
  <c r="AA11" i="5"/>
  <c r="Z11" i="5"/>
  <c r="Y11" i="5"/>
  <c r="X11" i="5"/>
  <c r="W11" i="5"/>
  <c r="V11" i="5"/>
  <c r="U11" i="5"/>
  <c r="T11" i="5"/>
  <c r="S11" i="5"/>
  <c r="R11" i="5"/>
  <c r="Q11" i="5"/>
  <c r="P11" i="5"/>
  <c r="O11" i="5"/>
  <c r="N11" i="5"/>
  <c r="M11" i="5"/>
  <c r="L11" i="5"/>
  <c r="K11" i="5"/>
  <c r="J11" i="5"/>
  <c r="I11" i="5"/>
  <c r="H11" i="5"/>
  <c r="G11" i="5"/>
  <c r="F11" i="5"/>
  <c r="E11" i="5"/>
  <c r="D11" i="5"/>
  <c r="C11" i="5"/>
  <c r="B11" i="5"/>
  <c r="A11"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D10" i="5"/>
  <c r="C10" i="5"/>
  <c r="B10" i="5"/>
  <c r="A10" i="5"/>
  <c r="AI9" i="5"/>
  <c r="AH9" i="5"/>
  <c r="AG9" i="5"/>
  <c r="AF9" i="5"/>
  <c r="AE9" i="5"/>
  <c r="AD9" i="5"/>
  <c r="AC9" i="5"/>
  <c r="AB9" i="5"/>
  <c r="AA9" i="5"/>
  <c r="Z9" i="5"/>
  <c r="Y9" i="5"/>
  <c r="X9" i="5"/>
  <c r="W9" i="5"/>
  <c r="V9" i="5"/>
  <c r="U9" i="5"/>
  <c r="T9" i="5"/>
  <c r="S9" i="5"/>
  <c r="R9" i="5"/>
  <c r="Q9" i="5"/>
  <c r="P9" i="5"/>
  <c r="O9" i="5"/>
  <c r="N9" i="5"/>
  <c r="M9" i="5"/>
  <c r="L9" i="5"/>
  <c r="K9" i="5"/>
  <c r="J9" i="5"/>
  <c r="I9" i="5"/>
  <c r="H9" i="5"/>
  <c r="G9" i="5"/>
  <c r="F9" i="5"/>
  <c r="E9" i="5"/>
  <c r="D9" i="5"/>
  <c r="C9" i="5"/>
  <c r="B9" i="5"/>
  <c r="A9"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D8" i="5"/>
  <c r="C8" i="5"/>
  <c r="B8" i="5"/>
  <c r="A8" i="5"/>
  <c r="AI7" i="5"/>
  <c r="AH7" i="5"/>
  <c r="AG7" i="5"/>
  <c r="AF7" i="5"/>
  <c r="AE7" i="5"/>
  <c r="AD7" i="5"/>
  <c r="AC7" i="5"/>
  <c r="AB7" i="5"/>
  <c r="AA7" i="5"/>
  <c r="Z7" i="5"/>
  <c r="Y7" i="5"/>
  <c r="X7" i="5"/>
  <c r="W7" i="5"/>
  <c r="V7" i="5"/>
  <c r="U7" i="5"/>
  <c r="T7" i="5"/>
  <c r="S7" i="5"/>
  <c r="R7" i="5"/>
  <c r="Q7" i="5"/>
  <c r="P7" i="5"/>
  <c r="O7" i="5"/>
  <c r="N7" i="5"/>
  <c r="M7" i="5"/>
  <c r="L7" i="5"/>
  <c r="K7" i="5"/>
  <c r="J7" i="5"/>
  <c r="I7" i="5"/>
  <c r="H7" i="5"/>
  <c r="G7" i="5"/>
  <c r="F7" i="5"/>
  <c r="E7" i="5"/>
  <c r="D7" i="5"/>
  <c r="C7" i="5"/>
  <c r="B7" i="5"/>
  <c r="A7" i="5"/>
  <c r="AI6" i="5"/>
  <c r="AH6" i="5"/>
  <c r="AG6" i="5"/>
  <c r="AF6" i="5"/>
  <c r="AE6" i="5"/>
  <c r="AD6" i="5"/>
  <c r="AC6" i="5"/>
  <c r="AB6" i="5"/>
  <c r="AA6" i="5"/>
  <c r="Z6" i="5"/>
  <c r="Y6" i="5"/>
  <c r="X6" i="5"/>
  <c r="W6" i="5"/>
  <c r="V6" i="5"/>
  <c r="U6" i="5"/>
  <c r="T6" i="5"/>
  <c r="S6" i="5"/>
  <c r="R6" i="5"/>
  <c r="Q6" i="5"/>
  <c r="P6" i="5"/>
  <c r="O6" i="5"/>
  <c r="N6" i="5"/>
  <c r="M6" i="5"/>
  <c r="L6" i="5"/>
  <c r="K6" i="5"/>
  <c r="J6" i="5"/>
  <c r="I6" i="5"/>
  <c r="H6" i="5"/>
  <c r="G6" i="5"/>
  <c r="F6" i="5"/>
  <c r="E6" i="5"/>
  <c r="D6" i="5"/>
  <c r="C6" i="5"/>
  <c r="B6" i="5"/>
  <c r="A6" i="5"/>
  <c r="AI5" i="5"/>
  <c r="AH5" i="5"/>
  <c r="AG5" i="5"/>
  <c r="AF5" i="5"/>
  <c r="AE5" i="5"/>
  <c r="AD5" i="5"/>
  <c r="AC5" i="5"/>
  <c r="AB5" i="5"/>
  <c r="AA5" i="5"/>
  <c r="Z5" i="5"/>
  <c r="Y5" i="5"/>
  <c r="X5" i="5"/>
  <c r="W5" i="5"/>
  <c r="V5" i="5"/>
  <c r="U5" i="5"/>
  <c r="T5" i="5"/>
  <c r="S5" i="5"/>
  <c r="R5" i="5"/>
  <c r="Q5" i="5"/>
  <c r="P5" i="5"/>
  <c r="O5" i="5"/>
  <c r="N5" i="5"/>
  <c r="M5" i="5"/>
  <c r="L5" i="5"/>
  <c r="K5" i="5"/>
  <c r="J5" i="5"/>
  <c r="I5" i="5"/>
  <c r="H5" i="5"/>
  <c r="G5" i="5"/>
  <c r="F5" i="5"/>
  <c r="E5" i="5"/>
  <c r="D5" i="5"/>
  <c r="C5" i="5"/>
  <c r="B5" i="5"/>
  <c r="A5" i="5"/>
  <c r="AI4" i="5"/>
  <c r="AH4" i="5"/>
  <c r="AG4" i="5"/>
  <c r="AF4" i="5"/>
  <c r="AE4" i="5"/>
  <c r="AD4" i="5"/>
  <c r="AC4" i="5"/>
  <c r="AB4" i="5"/>
  <c r="AA4" i="5"/>
  <c r="Z4" i="5"/>
  <c r="Y4" i="5"/>
  <c r="X4" i="5"/>
  <c r="W4" i="5"/>
  <c r="V4" i="5"/>
  <c r="U4" i="5"/>
  <c r="T4" i="5"/>
  <c r="S4" i="5"/>
  <c r="R4" i="5"/>
  <c r="Q4" i="5"/>
  <c r="P4" i="5"/>
  <c r="O4" i="5"/>
  <c r="N4" i="5"/>
  <c r="M4" i="5"/>
  <c r="L4" i="5"/>
  <c r="K4" i="5"/>
  <c r="J4" i="5"/>
  <c r="I4" i="5"/>
  <c r="H4" i="5"/>
  <c r="G4" i="5"/>
  <c r="F4" i="5"/>
  <c r="E4" i="5"/>
  <c r="D4" i="5"/>
  <c r="C4" i="5"/>
  <c r="B4" i="5"/>
  <c r="A4" i="5"/>
  <c r="AI3" i="5"/>
  <c r="AH3" i="5"/>
  <c r="AG3" i="5"/>
  <c r="AF3" i="5"/>
  <c r="AE3" i="5"/>
  <c r="AD3" i="5"/>
  <c r="AC3" i="5"/>
  <c r="AB3" i="5"/>
  <c r="AA3" i="5"/>
  <c r="Z3" i="5"/>
  <c r="Y3" i="5"/>
  <c r="X3" i="5"/>
  <c r="W3" i="5"/>
  <c r="V3" i="5"/>
  <c r="U3" i="5"/>
  <c r="T3" i="5"/>
  <c r="S3" i="5"/>
  <c r="R3" i="5"/>
  <c r="Q3" i="5"/>
  <c r="P3" i="5"/>
  <c r="O3" i="5"/>
  <c r="N3" i="5"/>
  <c r="M3" i="5"/>
  <c r="L3" i="5"/>
  <c r="K3" i="5"/>
  <c r="J3" i="5"/>
  <c r="I3" i="5"/>
  <c r="H3" i="5"/>
  <c r="G3" i="5"/>
  <c r="F3" i="5"/>
  <c r="E3" i="5"/>
  <c r="D3" i="5"/>
  <c r="C3" i="5"/>
  <c r="B3" i="5"/>
  <c r="A3" i="5"/>
  <c r="AI2" i="5"/>
  <c r="AH2" i="5"/>
  <c r="AG2" i="5"/>
  <c r="AF2" i="5"/>
  <c r="AE2" i="5"/>
  <c r="AD2" i="5"/>
  <c r="AC2" i="5"/>
  <c r="AB2" i="5"/>
  <c r="AA2" i="5"/>
  <c r="Z2" i="5"/>
  <c r="Y2" i="5"/>
  <c r="X2" i="5"/>
  <c r="W2" i="5"/>
  <c r="V2" i="5"/>
  <c r="U2" i="5"/>
  <c r="T2" i="5"/>
  <c r="S2" i="5"/>
  <c r="R2" i="5"/>
  <c r="Q2" i="5"/>
  <c r="P2" i="5"/>
  <c r="O2" i="5"/>
  <c r="N2" i="5"/>
  <c r="M2" i="5"/>
  <c r="L2" i="5"/>
  <c r="K2" i="5"/>
  <c r="J2" i="5"/>
  <c r="I2" i="5"/>
  <c r="H2" i="5"/>
  <c r="G2" i="5"/>
  <c r="F2" i="5"/>
  <c r="E2" i="5"/>
  <c r="D2" i="5"/>
  <c r="C2" i="5"/>
  <c r="B2" i="5"/>
  <c r="A2" i="5"/>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FV40" i="4"/>
  <c r="FU40" i="4"/>
  <c r="FP40" i="4"/>
  <c r="FO40" i="4"/>
  <c r="FJ40" i="4"/>
  <c r="FK40" i="4" s="1"/>
  <c r="FE40" i="4"/>
  <c r="FF40" i="4" s="1"/>
  <c r="EP40" i="4"/>
  <c r="EK40" i="4"/>
  <c r="EA40" i="4"/>
  <c r="DV40" i="4"/>
  <c r="DL40" i="4"/>
  <c r="DG40" i="4"/>
  <c r="CM40" i="4"/>
  <c r="AT40" i="4"/>
  <c r="AO40" i="4"/>
  <c r="AJ40" i="4"/>
  <c r="AE40" i="4"/>
  <c r="Z40" i="4"/>
  <c r="U40" i="4"/>
  <c r="P40" i="4"/>
  <c r="K40" i="4"/>
  <c r="F40" i="4"/>
  <c r="A40" i="4"/>
  <c r="FV39" i="4"/>
  <c r="FU39" i="4"/>
  <c r="FO39" i="4"/>
  <c r="FP39" i="4" s="1"/>
  <c r="FK39" i="4"/>
  <c r="FJ39" i="4"/>
  <c r="FE39" i="4"/>
  <c r="FF39" i="4" s="1"/>
  <c r="EP39" i="4"/>
  <c r="EK39" i="4"/>
  <c r="EA39" i="4"/>
  <c r="DV39" i="4"/>
  <c r="DL39" i="4"/>
  <c r="DG39" i="4"/>
  <c r="CM39" i="4"/>
  <c r="AT39" i="4"/>
  <c r="AO39" i="4"/>
  <c r="AJ39" i="4"/>
  <c r="AE39" i="4"/>
  <c r="Z39" i="4"/>
  <c r="U39" i="4"/>
  <c r="P39" i="4"/>
  <c r="K39" i="4"/>
  <c r="F39" i="4"/>
  <c r="A39" i="4"/>
  <c r="FV38" i="4"/>
  <c r="FU38" i="4"/>
  <c r="FO38" i="4"/>
  <c r="FJ38" i="4"/>
  <c r="FE38" i="4"/>
  <c r="EP38" i="4"/>
  <c r="EQ38" i="4" s="1"/>
  <c r="EL38" i="4"/>
  <c r="EK38" i="4"/>
  <c r="EA38" i="4"/>
  <c r="DV38" i="4"/>
  <c r="DL38" i="4"/>
  <c r="DG38" i="4"/>
  <c r="CM38" i="4"/>
  <c r="AT38" i="4"/>
  <c r="AO38" i="4"/>
  <c r="AJ38" i="4"/>
  <c r="AE38" i="4"/>
  <c r="Z38" i="4"/>
  <c r="U38" i="4"/>
  <c r="P38" i="4"/>
  <c r="K38" i="4"/>
  <c r="F38" i="4"/>
  <c r="A38" i="4"/>
  <c r="FV37" i="4"/>
  <c r="FU37" i="4"/>
  <c r="FO37" i="4"/>
  <c r="FJ37" i="4"/>
  <c r="FE37" i="4"/>
  <c r="EP37" i="4"/>
  <c r="EQ37" i="4" s="1"/>
  <c r="EL37" i="4"/>
  <c r="EK37" i="4"/>
  <c r="EA37" i="4"/>
  <c r="DV37" i="4"/>
  <c r="DL37" i="4"/>
  <c r="CM37" i="4"/>
  <c r="AT37" i="4"/>
  <c r="AO37" i="4"/>
  <c r="AJ37" i="4"/>
  <c r="AE37" i="4"/>
  <c r="Z37" i="4"/>
  <c r="U37" i="4"/>
  <c r="P37" i="4"/>
  <c r="K37" i="4"/>
  <c r="F37" i="4"/>
  <c r="A37" i="4"/>
  <c r="FV36" i="4"/>
  <c r="FU36" i="4"/>
  <c r="FO36" i="4"/>
  <c r="FP36" i="4" s="1"/>
  <c r="FK36" i="4"/>
  <c r="FJ36" i="4"/>
  <c r="FF36" i="4"/>
  <c r="FE36" i="4"/>
  <c r="EQ36" i="4"/>
  <c r="EP36" i="4"/>
  <c r="EL36" i="4"/>
  <c r="EK36" i="4"/>
  <c r="EA36" i="4"/>
  <c r="DV36" i="4"/>
  <c r="DW36" i="4" s="1"/>
  <c r="DL36" i="4"/>
  <c r="DG36" i="4"/>
  <c r="CM36" i="4"/>
  <c r="AT36" i="4"/>
  <c r="AO36" i="4"/>
  <c r="AJ36" i="4"/>
  <c r="AE36" i="4"/>
  <c r="Z36" i="4"/>
  <c r="U36" i="4"/>
  <c r="P36" i="4"/>
  <c r="K36" i="4"/>
  <c r="F36" i="4"/>
  <c r="A36" i="4"/>
  <c r="FV35" i="4"/>
  <c r="FU35" i="4"/>
  <c r="FO35" i="4"/>
  <c r="FJ35" i="4"/>
  <c r="FE35" i="4"/>
  <c r="EP35" i="4"/>
  <c r="EQ35" i="4" s="1"/>
  <c r="EK35" i="4"/>
  <c r="EL35" i="4" s="1"/>
  <c r="EA35" i="4"/>
  <c r="DV35" i="4"/>
  <c r="DL35" i="4"/>
  <c r="DG35" i="4"/>
  <c r="CM35" i="4"/>
  <c r="AT35" i="4"/>
  <c r="AO35" i="4"/>
  <c r="AJ35" i="4"/>
  <c r="AE35" i="4"/>
  <c r="Z35" i="4"/>
  <c r="U35" i="4"/>
  <c r="P35" i="4"/>
  <c r="K35" i="4"/>
  <c r="F35" i="4"/>
  <c r="A35" i="4"/>
  <c r="FV34" i="4"/>
  <c r="FU34" i="4"/>
  <c r="FO34" i="4"/>
  <c r="FJ34" i="4"/>
  <c r="FE34" i="4"/>
  <c r="EQ34" i="4"/>
  <c r="EP34" i="4"/>
  <c r="EK34" i="4"/>
  <c r="EL34" i="4" s="1"/>
  <c r="EA34" i="4"/>
  <c r="DV34" i="4"/>
  <c r="DL34" i="4"/>
  <c r="DG34" i="4"/>
  <c r="CM34" i="4"/>
  <c r="AT34" i="4"/>
  <c r="AO34" i="4"/>
  <c r="AJ34" i="4"/>
  <c r="AE34" i="4"/>
  <c r="Z34" i="4"/>
  <c r="U34" i="4"/>
  <c r="P34" i="4"/>
  <c r="K34" i="4"/>
  <c r="F34" i="4"/>
  <c r="A34" i="4"/>
  <c r="FV33" i="4"/>
  <c r="FU33" i="4"/>
  <c r="FO33" i="4"/>
  <c r="FJ33" i="4"/>
  <c r="FE33" i="4"/>
  <c r="EQ33" i="4"/>
  <c r="EP33" i="4"/>
  <c r="EL33" i="4"/>
  <c r="EK33" i="4"/>
  <c r="EA33" i="4"/>
  <c r="DV33" i="4"/>
  <c r="DL33" i="4"/>
  <c r="CM33" i="4"/>
  <c r="AT33" i="4"/>
  <c r="AO33" i="4"/>
  <c r="AJ33" i="4"/>
  <c r="AE33" i="4"/>
  <c r="Z33" i="4"/>
  <c r="U33" i="4"/>
  <c r="P33" i="4"/>
  <c r="K33" i="4"/>
  <c r="F33" i="4"/>
  <c r="A33" i="4"/>
  <c r="FV32" i="4"/>
  <c r="FU32" i="4"/>
  <c r="FO32" i="4"/>
  <c r="FJ32" i="4"/>
  <c r="FE32" i="4"/>
  <c r="EP32" i="4"/>
  <c r="EQ32" i="4" s="1"/>
  <c r="EK32" i="4"/>
  <c r="EL32" i="4" s="1"/>
  <c r="EA32" i="4"/>
  <c r="DV32" i="4"/>
  <c r="DL32" i="4"/>
  <c r="CM32" i="4"/>
  <c r="AT32" i="4"/>
  <c r="AO32" i="4"/>
  <c r="AJ32" i="4"/>
  <c r="AE32" i="4"/>
  <c r="Z32" i="4"/>
  <c r="U32" i="4"/>
  <c r="P32" i="4"/>
  <c r="K32" i="4"/>
  <c r="F32" i="4"/>
  <c r="A32" i="4"/>
  <c r="FV31" i="4"/>
  <c r="FU31" i="4"/>
  <c r="FO31" i="4"/>
  <c r="FJ31" i="4"/>
  <c r="FE31" i="4"/>
  <c r="EQ31" i="4"/>
  <c r="EP31" i="4"/>
  <c r="EK31" i="4"/>
  <c r="EL31" i="4" s="1"/>
  <c r="EA31" i="4"/>
  <c r="DV31" i="4"/>
  <c r="DL31" i="4"/>
  <c r="DG31" i="4"/>
  <c r="CM31" i="4"/>
  <c r="AT31" i="4"/>
  <c r="AO31" i="4"/>
  <c r="AJ31" i="4"/>
  <c r="AE31" i="4"/>
  <c r="Z31" i="4"/>
  <c r="U31" i="4"/>
  <c r="P31" i="4"/>
  <c r="K31" i="4"/>
  <c r="F31" i="4"/>
  <c r="A31" i="4"/>
  <c r="FV30" i="4"/>
  <c r="FU30" i="4"/>
  <c r="FO30" i="4"/>
  <c r="FJ30" i="4"/>
  <c r="FE30" i="4"/>
  <c r="EQ30" i="4"/>
  <c r="EP30" i="4"/>
  <c r="EL30" i="4"/>
  <c r="EK30" i="4"/>
  <c r="EA30" i="4"/>
  <c r="DV30" i="4"/>
  <c r="DL30" i="4"/>
  <c r="CM30" i="4"/>
  <c r="AT30" i="4"/>
  <c r="AO30" i="4"/>
  <c r="AJ30" i="4"/>
  <c r="AE30" i="4"/>
  <c r="Z30" i="4"/>
  <c r="U30" i="4"/>
  <c r="P30" i="4"/>
  <c r="K30" i="4"/>
  <c r="F30" i="4"/>
  <c r="A30" i="4"/>
  <c r="FV29" i="4"/>
  <c r="FU29" i="4"/>
  <c r="FO29" i="4"/>
  <c r="FP29" i="4" s="1"/>
  <c r="FK29" i="4"/>
  <c r="FJ29" i="4"/>
  <c r="FE29" i="4"/>
  <c r="FF29" i="4" s="1"/>
  <c r="EP29" i="4"/>
  <c r="EQ29" i="4" s="1"/>
  <c r="EK29" i="4"/>
  <c r="EL29" i="4" s="1"/>
  <c r="EA29" i="4"/>
  <c r="DW29" i="4"/>
  <c r="DV29" i="4"/>
  <c r="DL29" i="4"/>
  <c r="DG29" i="4"/>
  <c r="CM29" i="4"/>
  <c r="AT29" i="4"/>
  <c r="AO29" i="4"/>
  <c r="AJ29" i="4"/>
  <c r="AE29" i="4"/>
  <c r="Z29" i="4"/>
  <c r="U29" i="4"/>
  <c r="P29" i="4"/>
  <c r="K29" i="4"/>
  <c r="F29" i="4"/>
  <c r="A29" i="4"/>
  <c r="FV28" i="4"/>
  <c r="FU28" i="4"/>
  <c r="FO28" i="4"/>
  <c r="FJ28" i="4"/>
  <c r="FE28" i="4"/>
  <c r="EP28" i="4"/>
  <c r="EQ28" i="4" s="1"/>
  <c r="EK28" i="4"/>
  <c r="EL28" i="4" s="1"/>
  <c r="EA28" i="4"/>
  <c r="DV28" i="4"/>
  <c r="DL28" i="4"/>
  <c r="DG28" i="4"/>
  <c r="CM28" i="4"/>
  <c r="AT28" i="4"/>
  <c r="AO28" i="4"/>
  <c r="AJ28" i="4"/>
  <c r="AE28" i="4"/>
  <c r="Z28" i="4"/>
  <c r="U28" i="4"/>
  <c r="P28" i="4"/>
  <c r="K28" i="4"/>
  <c r="F28" i="4"/>
  <c r="A28" i="4"/>
  <c r="FV27" i="4"/>
  <c r="FU27" i="4"/>
  <c r="FP27" i="4"/>
  <c r="FO27" i="4"/>
  <c r="FK27" i="4"/>
  <c r="FJ27" i="4"/>
  <c r="FE27" i="4"/>
  <c r="FF27" i="4" s="1"/>
  <c r="EQ27" i="4"/>
  <c r="EP27" i="4"/>
  <c r="EK27" i="4"/>
  <c r="EL27" i="4" s="1"/>
  <c r="EA27" i="4"/>
  <c r="DW27" i="4"/>
  <c r="DV27" i="4"/>
  <c r="DL27" i="4"/>
  <c r="DG27" i="4"/>
  <c r="CM27" i="4"/>
  <c r="AT27" i="4"/>
  <c r="AO27" i="4"/>
  <c r="AJ27" i="4"/>
  <c r="AE27" i="4"/>
  <c r="Z27" i="4"/>
  <c r="U27" i="4"/>
  <c r="P27" i="4"/>
  <c r="K27" i="4"/>
  <c r="F27" i="4"/>
  <c r="A27" i="4"/>
  <c r="FV26" i="4"/>
  <c r="FU26" i="4"/>
  <c r="FO26" i="4"/>
  <c r="FJ26" i="4"/>
  <c r="FE26" i="4"/>
  <c r="EP26" i="4"/>
  <c r="EQ26" i="4" s="1"/>
  <c r="EL26" i="4"/>
  <c r="EK26" i="4"/>
  <c r="EA26" i="4"/>
  <c r="DV26" i="4"/>
  <c r="DL26" i="4"/>
  <c r="CM26" i="4"/>
  <c r="AT26" i="4"/>
  <c r="AO26" i="4"/>
  <c r="AJ26" i="4"/>
  <c r="AE26" i="4"/>
  <c r="Z26" i="4"/>
  <c r="U26" i="4"/>
  <c r="P26" i="4"/>
  <c r="K26" i="4"/>
  <c r="F26" i="4"/>
  <c r="A26" i="4"/>
  <c r="FV25" i="4"/>
  <c r="FU25" i="4"/>
  <c r="FO25" i="4"/>
  <c r="FJ25" i="4"/>
  <c r="FE25" i="4"/>
  <c r="EQ25" i="4"/>
  <c r="EP25" i="4"/>
  <c r="EL25" i="4"/>
  <c r="EK25" i="4"/>
  <c r="EA25" i="4"/>
  <c r="DV25" i="4"/>
  <c r="DL25" i="4"/>
  <c r="DG25" i="4"/>
  <c r="CM25" i="4"/>
  <c r="AT25" i="4"/>
  <c r="AO25" i="4"/>
  <c r="AJ25" i="4"/>
  <c r="AE25" i="4"/>
  <c r="Z25" i="4"/>
  <c r="U25" i="4"/>
  <c r="P25" i="4"/>
  <c r="K25" i="4"/>
  <c r="F25" i="4"/>
  <c r="A25" i="4"/>
  <c r="FV24" i="4"/>
  <c r="FU24" i="4"/>
  <c r="FO24" i="4"/>
  <c r="FJ24" i="4"/>
  <c r="FE24" i="4"/>
  <c r="EP24" i="4"/>
  <c r="EQ24" i="4" s="1"/>
  <c r="EK24" i="4"/>
  <c r="EL24" i="4" s="1"/>
  <c r="EA24" i="4"/>
  <c r="DV24" i="4"/>
  <c r="DL24" i="4"/>
  <c r="CM24" i="4"/>
  <c r="AT24" i="4"/>
  <c r="AO24" i="4"/>
  <c r="AJ24" i="4"/>
  <c r="AE24" i="4"/>
  <c r="Z24" i="4"/>
  <c r="U24" i="4"/>
  <c r="P24" i="4"/>
  <c r="K24" i="4"/>
  <c r="F24" i="4"/>
  <c r="A24" i="4"/>
  <c r="FV23" i="4"/>
  <c r="FU23" i="4"/>
  <c r="FO23" i="4"/>
  <c r="FJ23" i="4"/>
  <c r="FE23" i="4"/>
  <c r="EQ23" i="4"/>
  <c r="EP23" i="4"/>
  <c r="EK23" i="4"/>
  <c r="EL23" i="4" s="1"/>
  <c r="EA23" i="4"/>
  <c r="DV23" i="4"/>
  <c r="DL23" i="4"/>
  <c r="DG23" i="4"/>
  <c r="CM23" i="4"/>
  <c r="AT23" i="4"/>
  <c r="AO23" i="4"/>
  <c r="AJ23" i="4"/>
  <c r="AE23" i="4"/>
  <c r="Z23" i="4"/>
  <c r="U23" i="4"/>
  <c r="P23" i="4"/>
  <c r="K23" i="4"/>
  <c r="F23" i="4"/>
  <c r="A23" i="4"/>
  <c r="FV22" i="4"/>
  <c r="FU22" i="4"/>
  <c r="FO22" i="4"/>
  <c r="FJ22" i="4"/>
  <c r="FE22" i="4"/>
  <c r="EP22" i="4"/>
  <c r="EQ22" i="4" s="1"/>
  <c r="EL22" i="4"/>
  <c r="EK22" i="4"/>
  <c r="EA22" i="4"/>
  <c r="DV22" i="4"/>
  <c r="DL22" i="4"/>
  <c r="CM22" i="4"/>
  <c r="AT22" i="4"/>
  <c r="AO22" i="4"/>
  <c r="AJ22" i="4"/>
  <c r="AE22" i="4"/>
  <c r="Z22" i="4"/>
  <c r="U22" i="4"/>
  <c r="P22" i="4"/>
  <c r="K22" i="4"/>
  <c r="F22" i="4"/>
  <c r="A22" i="4"/>
  <c r="FV21" i="4"/>
  <c r="FU21" i="4"/>
  <c r="FO21" i="4"/>
  <c r="FJ21" i="4"/>
  <c r="FE21" i="4"/>
  <c r="EP21" i="4"/>
  <c r="EQ21" i="4" s="1"/>
  <c r="EK21" i="4"/>
  <c r="EL21" i="4" s="1"/>
  <c r="EA21" i="4"/>
  <c r="DV21" i="4"/>
  <c r="DL21" i="4"/>
  <c r="CM21" i="4"/>
  <c r="AT21" i="4"/>
  <c r="AO21" i="4"/>
  <c r="AJ21" i="4"/>
  <c r="AE21" i="4"/>
  <c r="Z21" i="4"/>
  <c r="U21" i="4"/>
  <c r="P21" i="4"/>
  <c r="K21" i="4"/>
  <c r="F21" i="4"/>
  <c r="A21" i="4"/>
  <c r="FV20" i="4"/>
  <c r="FU20" i="4"/>
  <c r="FO20" i="4"/>
  <c r="FJ20" i="4"/>
  <c r="FE20" i="4"/>
  <c r="EP20" i="4"/>
  <c r="EQ20" i="4" s="1"/>
  <c r="EL20" i="4"/>
  <c r="EK20" i="4"/>
  <c r="EA20" i="4"/>
  <c r="DV20" i="4"/>
  <c r="DL20" i="4"/>
  <c r="DG20" i="4"/>
  <c r="CM20" i="4"/>
  <c r="AT20" i="4"/>
  <c r="AO20" i="4"/>
  <c r="AJ20" i="4"/>
  <c r="AE20" i="4"/>
  <c r="Z20" i="4"/>
  <c r="U20" i="4"/>
  <c r="P20" i="4"/>
  <c r="K20" i="4"/>
  <c r="F20" i="4"/>
  <c r="A20" i="4"/>
  <c r="FV19" i="4"/>
  <c r="FU19" i="4"/>
  <c r="FO19" i="4"/>
  <c r="FJ19" i="4"/>
  <c r="FE19" i="4"/>
  <c r="EQ19" i="4"/>
  <c r="EP19" i="4"/>
  <c r="EK19" i="4"/>
  <c r="EL19" i="4" s="1"/>
  <c r="EA19" i="4"/>
  <c r="DV19" i="4"/>
  <c r="DL19" i="4"/>
  <c r="CM19" i="4"/>
  <c r="AT19" i="4"/>
  <c r="AO19" i="4"/>
  <c r="AJ19" i="4"/>
  <c r="AE19" i="4"/>
  <c r="Z19" i="4"/>
  <c r="U19" i="4"/>
  <c r="P19" i="4"/>
  <c r="K19" i="4"/>
  <c r="F19" i="4"/>
  <c r="A19" i="4"/>
  <c r="FV18" i="4"/>
  <c r="FU18" i="4"/>
  <c r="FO18" i="4"/>
  <c r="FJ18" i="4"/>
  <c r="FE18" i="4"/>
  <c r="EQ18" i="4"/>
  <c r="EP18" i="4"/>
  <c r="EL18" i="4"/>
  <c r="EK18" i="4"/>
  <c r="EA18" i="4"/>
  <c r="DV18" i="4"/>
  <c r="DL18" i="4"/>
  <c r="CM18" i="4"/>
  <c r="AT18" i="4"/>
  <c r="AO18" i="4"/>
  <c r="AJ18" i="4"/>
  <c r="AE18" i="4"/>
  <c r="Z18" i="4"/>
  <c r="U18" i="4"/>
  <c r="P18" i="4"/>
  <c r="K18" i="4"/>
  <c r="F18" i="4"/>
  <c r="A18" i="4"/>
  <c r="FV17" i="4"/>
  <c r="FU17" i="4"/>
  <c r="FO17" i="4"/>
  <c r="FJ17" i="4"/>
  <c r="FE17" i="4"/>
  <c r="EQ17" i="4"/>
  <c r="EP17" i="4"/>
  <c r="EL17" i="4"/>
  <c r="EK17" i="4"/>
  <c r="EA17" i="4"/>
  <c r="DL17" i="4"/>
  <c r="DG17" i="4"/>
  <c r="CM17" i="4"/>
  <c r="AT17" i="4"/>
  <c r="AO17" i="4"/>
  <c r="AJ17" i="4"/>
  <c r="AE17" i="4"/>
  <c r="Z17" i="4"/>
  <c r="U17" i="4"/>
  <c r="P17" i="4"/>
  <c r="K17" i="4"/>
  <c r="F17" i="4"/>
  <c r="A17" i="4"/>
  <c r="FV16" i="4"/>
  <c r="FU16" i="4"/>
  <c r="FO16" i="4"/>
  <c r="FJ16" i="4"/>
  <c r="FE16" i="4"/>
  <c r="EP16" i="4"/>
  <c r="EQ16" i="4" s="1"/>
  <c r="EL16" i="4"/>
  <c r="EK16" i="4"/>
  <c r="EA16" i="4"/>
  <c r="DV16" i="4"/>
  <c r="DL16" i="4"/>
  <c r="DG16" i="4"/>
  <c r="CM16" i="4"/>
  <c r="AT16" i="4"/>
  <c r="AO16" i="4"/>
  <c r="AJ16" i="4"/>
  <c r="AE16" i="4"/>
  <c r="Z16" i="4"/>
  <c r="U16" i="4"/>
  <c r="P16" i="4"/>
  <c r="K16" i="4"/>
  <c r="F16" i="4"/>
  <c r="A16" i="4"/>
  <c r="FV15" i="4"/>
  <c r="FU15" i="4"/>
  <c r="FO15" i="4"/>
  <c r="FJ15" i="4"/>
  <c r="FE15" i="4"/>
  <c r="EQ15" i="4"/>
  <c r="EP15" i="4"/>
  <c r="EK15" i="4"/>
  <c r="EL15" i="4" s="1"/>
  <c r="EA15" i="4"/>
  <c r="DV15" i="4"/>
  <c r="DL15" i="4"/>
  <c r="DG15" i="4"/>
  <c r="CM15" i="4"/>
  <c r="AT15" i="4"/>
  <c r="AO15" i="4"/>
  <c r="AJ15" i="4"/>
  <c r="AE15" i="4"/>
  <c r="Z15" i="4"/>
  <c r="U15" i="4"/>
  <c r="P15" i="4"/>
  <c r="K15" i="4"/>
  <c r="F15" i="4"/>
  <c r="A15" i="4"/>
  <c r="FV14" i="4"/>
  <c r="FU14" i="4"/>
  <c r="FO14" i="4"/>
  <c r="FJ14" i="4"/>
  <c r="FE14" i="4"/>
  <c r="EQ14" i="4"/>
  <c r="EP14" i="4"/>
  <c r="EL14" i="4"/>
  <c r="EK14" i="4"/>
  <c r="EA14" i="4"/>
  <c r="DV14" i="4"/>
  <c r="DL14" i="4"/>
  <c r="CM14" i="4"/>
  <c r="AT14" i="4"/>
  <c r="AO14" i="4"/>
  <c r="AJ14" i="4"/>
  <c r="AE14" i="4"/>
  <c r="Z14" i="4"/>
  <c r="U14" i="4"/>
  <c r="P14" i="4"/>
  <c r="K14" i="4"/>
  <c r="F14" i="4"/>
  <c r="A14" i="4"/>
  <c r="FV13" i="4"/>
  <c r="FU13" i="4"/>
  <c r="FO13" i="4"/>
  <c r="FJ13" i="4"/>
  <c r="FE13" i="4"/>
  <c r="EQ13" i="4"/>
  <c r="EP13" i="4"/>
  <c r="EL13" i="4"/>
  <c r="EK13" i="4"/>
  <c r="EA13" i="4"/>
  <c r="DV13" i="4"/>
  <c r="DL13" i="4"/>
  <c r="DG13" i="4"/>
  <c r="CM13" i="4"/>
  <c r="AT13" i="4"/>
  <c r="AO13" i="4"/>
  <c r="AJ13" i="4"/>
  <c r="AE13" i="4"/>
  <c r="Z13" i="4"/>
  <c r="U13" i="4"/>
  <c r="P13" i="4"/>
  <c r="K13" i="4"/>
  <c r="F13" i="4"/>
  <c r="A13" i="4"/>
  <c r="FV12" i="4"/>
  <c r="FU12" i="4"/>
  <c r="FO12" i="4"/>
  <c r="FJ12" i="4"/>
  <c r="FE12" i="4"/>
  <c r="EP12" i="4"/>
  <c r="EQ12" i="4" s="1"/>
  <c r="EK12" i="4"/>
  <c r="EL12" i="4" s="1"/>
  <c r="EA12" i="4"/>
  <c r="DV12" i="4"/>
  <c r="DL12" i="4"/>
  <c r="CM12" i="4"/>
  <c r="AT12" i="4"/>
  <c r="AO12" i="4"/>
  <c r="AJ12" i="4"/>
  <c r="AE12" i="4"/>
  <c r="Z12" i="4"/>
  <c r="U12" i="4"/>
  <c r="P12" i="4"/>
  <c r="K12" i="4"/>
  <c r="F12" i="4"/>
  <c r="A12" i="4"/>
  <c r="FV11" i="4"/>
  <c r="FU11" i="4"/>
  <c r="FO11" i="4"/>
  <c r="FJ11" i="4"/>
  <c r="FE11" i="4"/>
  <c r="EQ11" i="4"/>
  <c r="EP11" i="4"/>
  <c r="EK11" i="4"/>
  <c r="EL11" i="4" s="1"/>
  <c r="EA11" i="4"/>
  <c r="DV11" i="4"/>
  <c r="DL11" i="4"/>
  <c r="CM11" i="4"/>
  <c r="AT11" i="4"/>
  <c r="AO11" i="4"/>
  <c r="AJ11" i="4"/>
  <c r="AE11" i="4"/>
  <c r="Z11" i="4"/>
  <c r="U11" i="4"/>
  <c r="P11" i="4"/>
  <c r="K11" i="4"/>
  <c r="F11" i="4"/>
  <c r="A11" i="4"/>
  <c r="FV10" i="4"/>
  <c r="FU10" i="4"/>
  <c r="FO10" i="4"/>
  <c r="FJ10" i="4"/>
  <c r="FE10" i="4"/>
  <c r="EP10" i="4"/>
  <c r="EQ10" i="4" s="1"/>
  <c r="EL10" i="4"/>
  <c r="EK10" i="4"/>
  <c r="EA10" i="4"/>
  <c r="DV10" i="4"/>
  <c r="DL10" i="4"/>
  <c r="CM10" i="4"/>
  <c r="AT10" i="4"/>
  <c r="AO10" i="4"/>
  <c r="AJ10" i="4"/>
  <c r="AE10" i="4"/>
  <c r="Z10" i="4"/>
  <c r="U10" i="4"/>
  <c r="P10" i="4"/>
  <c r="K10" i="4"/>
  <c r="F10" i="4"/>
  <c r="A10" i="4"/>
  <c r="FV9" i="4"/>
  <c r="FU9" i="4"/>
  <c r="FO9" i="4"/>
  <c r="FJ9" i="4"/>
  <c r="FE9" i="4"/>
  <c r="EP9" i="4"/>
  <c r="EQ9" i="4" s="1"/>
  <c r="EK9" i="4"/>
  <c r="EL9" i="4" s="1"/>
  <c r="EA9" i="4"/>
  <c r="DV9" i="4"/>
  <c r="DL9" i="4"/>
  <c r="CM9" i="4"/>
  <c r="AT9" i="4"/>
  <c r="AO9" i="4"/>
  <c r="AJ9" i="4"/>
  <c r="AE9" i="4"/>
  <c r="Z9" i="4"/>
  <c r="U9" i="4"/>
  <c r="P9" i="4"/>
  <c r="K9" i="4"/>
  <c r="F9" i="4"/>
  <c r="A9" i="4"/>
  <c r="FV8" i="4"/>
  <c r="FU8" i="4"/>
  <c r="FO8" i="4"/>
  <c r="FJ8" i="4"/>
  <c r="FE8" i="4"/>
  <c r="EP8" i="4"/>
  <c r="EQ8" i="4" s="1"/>
  <c r="EL8" i="4"/>
  <c r="EK8" i="4"/>
  <c r="EA8" i="4"/>
  <c r="DV8" i="4"/>
  <c r="DL8" i="4"/>
  <c r="CM8" i="4"/>
  <c r="AT8" i="4"/>
  <c r="AO8" i="4"/>
  <c r="AJ8" i="4"/>
  <c r="AE8" i="4"/>
  <c r="Z8" i="4"/>
  <c r="U8" i="4"/>
  <c r="P8" i="4"/>
  <c r="K8" i="4"/>
  <c r="F8" i="4"/>
  <c r="A8" i="4"/>
  <c r="FV7" i="4"/>
  <c r="FU7" i="4"/>
  <c r="FO7" i="4"/>
  <c r="FJ7" i="4"/>
  <c r="FE7" i="4"/>
  <c r="EQ7" i="4"/>
  <c r="EP7" i="4"/>
  <c r="EK7" i="4"/>
  <c r="EL7" i="4" s="1"/>
  <c r="EA7" i="4"/>
  <c r="DL7" i="4"/>
  <c r="DG7" i="4"/>
  <c r="CM7" i="4"/>
  <c r="AT7" i="4"/>
  <c r="AO7" i="4"/>
  <c r="AJ7" i="4"/>
  <c r="AE7" i="4"/>
  <c r="Z7" i="4"/>
  <c r="U7" i="4"/>
  <c r="P7" i="4"/>
  <c r="K7" i="4"/>
  <c r="F7" i="4"/>
  <c r="A7" i="4"/>
  <c r="FV6" i="4"/>
  <c r="FU6" i="4"/>
  <c r="FO6" i="4"/>
  <c r="FJ6" i="4"/>
  <c r="FE6" i="4"/>
  <c r="EP6" i="4"/>
  <c r="EQ6" i="4" s="1"/>
  <c r="EL6" i="4"/>
  <c r="EK6" i="4"/>
  <c r="EA6" i="4"/>
  <c r="DL6" i="4"/>
  <c r="DG6" i="4"/>
  <c r="CM6" i="4"/>
  <c r="AT6" i="4"/>
  <c r="AO6" i="4"/>
  <c r="AP6" i="4" s="1"/>
  <c r="AJ6" i="4"/>
  <c r="AE6" i="4"/>
  <c r="Z6" i="4"/>
  <c r="U6" i="4"/>
  <c r="V6" i="4" s="1"/>
  <c r="P6" i="4"/>
  <c r="K6" i="4"/>
  <c r="F6" i="4"/>
  <c r="A6" i="4"/>
  <c r="B6" i="4" s="1"/>
  <c r="FU5" i="4"/>
  <c r="FP5" i="4"/>
  <c r="FO5" i="4"/>
  <c r="FJ5" i="4"/>
  <c r="FE5" i="4"/>
  <c r="FF5" i="4" s="1"/>
  <c r="EQ5" i="4"/>
  <c r="EP5" i="4"/>
  <c r="EK5" i="4"/>
  <c r="EL5" i="4" s="1"/>
  <c r="EA5" i="4"/>
  <c r="DV5" i="4"/>
  <c r="DL5" i="4"/>
  <c r="CM5" i="4"/>
  <c r="AT5" i="4"/>
  <c r="AO5" i="4"/>
  <c r="AP5" i="4" s="1"/>
  <c r="AJ5" i="4"/>
  <c r="AE5" i="4"/>
  <c r="Z5" i="4"/>
  <c r="U5" i="4"/>
  <c r="V5" i="4" s="1"/>
  <c r="P5" i="4"/>
  <c r="K5" i="4"/>
  <c r="F5" i="4"/>
  <c r="A5" i="4"/>
  <c r="B5" i="4" s="1"/>
  <c r="FW4" i="4"/>
  <c r="FU4" i="4"/>
  <c r="FV4" i="4" s="1"/>
  <c r="FP4" i="4"/>
  <c r="FO4" i="4"/>
  <c r="FJ4" i="4"/>
  <c r="FF4" i="4"/>
  <c r="FE4" i="4"/>
  <c r="EP4" i="4"/>
  <c r="EL4" i="4"/>
  <c r="EK4" i="4"/>
  <c r="EA4" i="4"/>
  <c r="DV4" i="4"/>
  <c r="DL4" i="4"/>
  <c r="DG4" i="4"/>
  <c r="CN4" i="4"/>
  <c r="CM4" i="4"/>
  <c r="AT4" i="4"/>
  <c r="AU5" i="4" s="1"/>
  <c r="AP4" i="4"/>
  <c r="AO4" i="4"/>
  <c r="AP8" i="4" s="1"/>
  <c r="AJ4" i="4"/>
  <c r="AF4" i="4"/>
  <c r="AE4" i="4"/>
  <c r="AF8" i="4" s="1"/>
  <c r="Z4" i="4"/>
  <c r="AA5" i="4" s="1"/>
  <c r="V4" i="4"/>
  <c r="U4" i="4"/>
  <c r="V8" i="4" s="1"/>
  <c r="P4" i="4"/>
  <c r="L4" i="4"/>
  <c r="K4" i="4"/>
  <c r="L8" i="4" s="1"/>
  <c r="F4" i="4"/>
  <c r="G5" i="4" s="1"/>
  <c r="B4" i="4"/>
  <c r="C5" i="4" s="1"/>
  <c r="A4" i="4"/>
  <c r="B8" i="4" s="1"/>
  <c r="AL96" i="3"/>
  <c r="AH96" i="3" s="1"/>
  <c r="AG96" i="3"/>
  <c r="AD96" i="3"/>
  <c r="AB96" i="3"/>
  <c r="Y96" i="3"/>
  <c r="V96" i="3"/>
  <c r="T96" i="3"/>
  <c r="Q96" i="3"/>
  <c r="N96" i="3"/>
  <c r="L96" i="3"/>
  <c r="I96" i="3"/>
  <c r="F96" i="3"/>
  <c r="D96" i="3"/>
  <c r="B96" i="3"/>
  <c r="A96" i="3"/>
  <c r="AL95" i="3"/>
  <c r="AH95" i="3"/>
  <c r="AG95" i="3"/>
  <c r="AF95" i="3"/>
  <c r="AD95" i="3"/>
  <c r="AC95" i="3"/>
  <c r="AB95" i="3"/>
  <c r="Z95" i="3"/>
  <c r="Y95" i="3"/>
  <c r="X95" i="3"/>
  <c r="V95" i="3"/>
  <c r="U95" i="3"/>
  <c r="T95" i="3"/>
  <c r="R95" i="3"/>
  <c r="Q95" i="3"/>
  <c r="P95" i="3"/>
  <c r="N95" i="3"/>
  <c r="M95" i="3"/>
  <c r="L95" i="3"/>
  <c r="J95" i="3"/>
  <c r="I95" i="3"/>
  <c r="H95" i="3"/>
  <c r="F95" i="3"/>
  <c r="E95" i="3"/>
  <c r="D95" i="3"/>
  <c r="B95" i="3"/>
  <c r="A95" i="3"/>
  <c r="AL94" i="3"/>
  <c r="AH94" i="3" s="1"/>
  <c r="AD94" i="3"/>
  <c r="Y94" i="3"/>
  <c r="T94" i="3"/>
  <c r="N94" i="3"/>
  <c r="I94" i="3"/>
  <c r="D94" i="3"/>
  <c r="AL93" i="3"/>
  <c r="AG93" i="3" s="1"/>
  <c r="AH93" i="3"/>
  <c r="AF93" i="3"/>
  <c r="AD93" i="3"/>
  <c r="AC93" i="3"/>
  <c r="Z93" i="3"/>
  <c r="Y93" i="3"/>
  <c r="X93" i="3"/>
  <c r="U93" i="3"/>
  <c r="T93" i="3"/>
  <c r="R93" i="3"/>
  <c r="P93" i="3"/>
  <c r="N93" i="3"/>
  <c r="M93" i="3"/>
  <c r="J93" i="3"/>
  <c r="I93" i="3"/>
  <c r="H93" i="3"/>
  <c r="E93" i="3"/>
  <c r="D93" i="3"/>
  <c r="B93" i="3"/>
  <c r="AL92" i="3"/>
  <c r="AH92" i="3" s="1"/>
  <c r="AG92" i="3"/>
  <c r="AD92" i="3"/>
  <c r="AB92" i="3"/>
  <c r="Y92" i="3"/>
  <c r="V92" i="3"/>
  <c r="T92" i="3"/>
  <c r="Q92" i="3"/>
  <c r="N92" i="3"/>
  <c r="L92" i="3"/>
  <c r="I92" i="3"/>
  <c r="F92" i="3"/>
  <c r="D92" i="3"/>
  <c r="A92" i="3"/>
  <c r="AL91" i="3"/>
  <c r="AH91" i="3"/>
  <c r="AG91" i="3"/>
  <c r="AF91" i="3"/>
  <c r="AD91" i="3"/>
  <c r="AC91" i="3"/>
  <c r="AB91" i="3"/>
  <c r="Z91" i="3"/>
  <c r="Y91" i="3"/>
  <c r="X91" i="3"/>
  <c r="V91" i="3"/>
  <c r="U91" i="3"/>
  <c r="T91" i="3"/>
  <c r="R91" i="3"/>
  <c r="Q91" i="3"/>
  <c r="P91" i="3"/>
  <c r="N91" i="3"/>
  <c r="M91" i="3"/>
  <c r="L91" i="3"/>
  <c r="J91" i="3"/>
  <c r="I91" i="3"/>
  <c r="H91" i="3"/>
  <c r="F91" i="3"/>
  <c r="E91" i="3"/>
  <c r="D91" i="3"/>
  <c r="B91" i="3"/>
  <c r="A91" i="3"/>
  <c r="AL90" i="3"/>
  <c r="AD90" i="3" s="1"/>
  <c r="T90" i="3"/>
  <c r="N90" i="3"/>
  <c r="AL89" i="3"/>
  <c r="AG89" i="3" s="1"/>
  <c r="AH89" i="3"/>
  <c r="AF89" i="3"/>
  <c r="AD89" i="3"/>
  <c r="AC89" i="3"/>
  <c r="Z89" i="3"/>
  <c r="Y89" i="3"/>
  <c r="X89" i="3"/>
  <c r="U89" i="3"/>
  <c r="T89" i="3"/>
  <c r="R89" i="3"/>
  <c r="P89" i="3"/>
  <c r="N89" i="3"/>
  <c r="M89" i="3"/>
  <c r="J89" i="3"/>
  <c r="I89" i="3"/>
  <c r="H89" i="3"/>
  <c r="E89" i="3"/>
  <c r="D89" i="3"/>
  <c r="B89" i="3"/>
  <c r="AL88" i="3"/>
  <c r="AG88" i="3" s="1"/>
  <c r="Y88" i="3"/>
  <c r="N88" i="3"/>
  <c r="D88" i="3"/>
  <c r="AL87" i="3"/>
  <c r="AH87" i="3"/>
  <c r="AG87" i="3"/>
  <c r="AF87" i="3"/>
  <c r="AD87" i="3"/>
  <c r="AC87" i="3"/>
  <c r="AB87" i="3"/>
  <c r="Z87" i="3"/>
  <c r="Y87" i="3"/>
  <c r="X87" i="3"/>
  <c r="V87" i="3"/>
  <c r="U87" i="3"/>
  <c r="T87" i="3"/>
  <c r="R87" i="3"/>
  <c r="Q87" i="3"/>
  <c r="P87" i="3"/>
  <c r="N87" i="3"/>
  <c r="M87" i="3"/>
  <c r="L87" i="3"/>
  <c r="J87" i="3"/>
  <c r="I87" i="3"/>
  <c r="H87" i="3"/>
  <c r="F87" i="3"/>
  <c r="E87" i="3"/>
  <c r="D87" i="3"/>
  <c r="B87" i="3"/>
  <c r="A87" i="3"/>
  <c r="AL86" i="3"/>
  <c r="AG86" i="3" s="1"/>
  <c r="AD86" i="3"/>
  <c r="AB86" i="3"/>
  <c r="V86" i="3"/>
  <c r="U86" i="3"/>
  <c r="P86" i="3"/>
  <c r="N86" i="3"/>
  <c r="I86" i="3"/>
  <c r="F86" i="3"/>
  <c r="A86" i="3"/>
  <c r="AL85" i="3"/>
  <c r="AH85" i="3" s="1"/>
  <c r="AD85" i="3"/>
  <c r="AC85" i="3"/>
  <c r="X85" i="3"/>
  <c r="U85" i="3"/>
  <c r="P85" i="3"/>
  <c r="N85" i="3"/>
  <c r="I85" i="3"/>
  <c r="H85" i="3"/>
  <c r="B85" i="3"/>
  <c r="AL84" i="3"/>
  <c r="AH84" i="3" s="1"/>
  <c r="AC84" i="3"/>
  <c r="V84" i="3"/>
  <c r="N84" i="3"/>
  <c r="H84" i="3"/>
  <c r="A84" i="3"/>
  <c r="AL83" i="3"/>
  <c r="AH83" i="3"/>
  <c r="AG83" i="3"/>
  <c r="AF83" i="3"/>
  <c r="AD83" i="3"/>
  <c r="AC83" i="3"/>
  <c r="AB83" i="3"/>
  <c r="Z83" i="3"/>
  <c r="Y83" i="3"/>
  <c r="X83" i="3"/>
  <c r="V83" i="3"/>
  <c r="U83" i="3"/>
  <c r="T83" i="3"/>
  <c r="R83" i="3"/>
  <c r="Q83" i="3"/>
  <c r="P83" i="3"/>
  <c r="N83" i="3"/>
  <c r="M83" i="3"/>
  <c r="L83" i="3"/>
  <c r="J83" i="3"/>
  <c r="I83" i="3"/>
  <c r="H83" i="3"/>
  <c r="F83" i="3"/>
  <c r="E83" i="3"/>
  <c r="D83" i="3"/>
  <c r="B83" i="3"/>
  <c r="A83" i="3"/>
  <c r="AL82" i="3"/>
  <c r="AG82" i="3" s="1"/>
  <c r="AB82" i="3"/>
  <c r="U82" i="3"/>
  <c r="N82" i="3"/>
  <c r="F82" i="3"/>
  <c r="AL81" i="3"/>
  <c r="AH81" i="3" s="1"/>
  <c r="AC81" i="3"/>
  <c r="U81" i="3"/>
  <c r="N81" i="3"/>
  <c r="H81" i="3"/>
  <c r="AL80" i="3"/>
  <c r="AH80" i="3" s="1"/>
  <c r="AC80" i="3"/>
  <c r="V80" i="3"/>
  <c r="N80" i="3"/>
  <c r="H80" i="3"/>
  <c r="A80" i="3"/>
  <c r="AL79" i="3"/>
  <c r="AH79" i="3"/>
  <c r="AG79" i="3"/>
  <c r="AF79" i="3"/>
  <c r="AD79" i="3"/>
  <c r="AC79" i="3"/>
  <c r="AB79" i="3"/>
  <c r="Z79" i="3"/>
  <c r="Y79" i="3"/>
  <c r="X79" i="3"/>
  <c r="V79" i="3"/>
  <c r="U79" i="3"/>
  <c r="T79" i="3"/>
  <c r="R79" i="3"/>
  <c r="Q79" i="3"/>
  <c r="P79" i="3"/>
  <c r="N79" i="3"/>
  <c r="M79" i="3"/>
  <c r="L79" i="3"/>
  <c r="J79" i="3"/>
  <c r="I79" i="3"/>
  <c r="H79" i="3"/>
  <c r="G79" i="3"/>
  <c r="F79" i="3"/>
  <c r="E79" i="3"/>
  <c r="D79" i="3"/>
  <c r="C79" i="3"/>
  <c r="B79" i="3"/>
  <c r="A79" i="3"/>
  <c r="AL78" i="3"/>
  <c r="AI78" i="3"/>
  <c r="AH78" i="3"/>
  <c r="AE78" i="3"/>
  <c r="AD78" i="3"/>
  <c r="AB78" i="3"/>
  <c r="Z78" i="3"/>
  <c r="X78" i="3"/>
  <c r="W78" i="3"/>
  <c r="T78" i="3"/>
  <c r="S78" i="3"/>
  <c r="R78" i="3"/>
  <c r="O78" i="3"/>
  <c r="N78" i="3"/>
  <c r="L78" i="3"/>
  <c r="J78" i="3"/>
  <c r="H78" i="3"/>
  <c r="G78" i="3"/>
  <c r="D78" i="3"/>
  <c r="C78" i="3"/>
  <c r="B78" i="3"/>
  <c r="AL77" i="3"/>
  <c r="AI77" i="3"/>
  <c r="AH77" i="3"/>
  <c r="AF77" i="3"/>
  <c r="AE77" i="3"/>
  <c r="AD77" i="3"/>
  <c r="AB77" i="3"/>
  <c r="AA77" i="3"/>
  <c r="Z77" i="3"/>
  <c r="X77" i="3"/>
  <c r="W77" i="3"/>
  <c r="V77" i="3"/>
  <c r="T77" i="3"/>
  <c r="S77" i="3"/>
  <c r="R77" i="3"/>
  <c r="P77" i="3"/>
  <c r="O77" i="3"/>
  <c r="N77" i="3"/>
  <c r="L77" i="3"/>
  <c r="K77" i="3"/>
  <c r="J77" i="3"/>
  <c r="H77" i="3"/>
  <c r="G77" i="3"/>
  <c r="F77" i="3"/>
  <c r="D77" i="3"/>
  <c r="C77" i="3"/>
  <c r="B77" i="3"/>
  <c r="AL76" i="3"/>
  <c r="AI76" i="3" s="1"/>
  <c r="AE76" i="3"/>
  <c r="Z76" i="3"/>
  <c r="T76" i="3"/>
  <c r="O76" i="3"/>
  <c r="J76" i="3"/>
  <c r="D76" i="3"/>
  <c r="AL75" i="3"/>
  <c r="AH75" i="3" s="1"/>
  <c r="AI75" i="3"/>
  <c r="AE75" i="3"/>
  <c r="AD75" i="3"/>
  <c r="Z75" i="3"/>
  <c r="X75" i="3"/>
  <c r="T75" i="3"/>
  <c r="S75" i="3"/>
  <c r="O75" i="3"/>
  <c r="N75" i="3"/>
  <c r="J75" i="3"/>
  <c r="H75" i="3"/>
  <c r="D75" i="3"/>
  <c r="C75" i="3"/>
  <c r="AL74" i="3"/>
  <c r="AI74" i="3"/>
  <c r="AH74" i="3"/>
  <c r="AE74" i="3"/>
  <c r="AD74" i="3"/>
  <c r="AB74" i="3"/>
  <c r="Z74" i="3"/>
  <c r="X74" i="3"/>
  <c r="W74" i="3"/>
  <c r="T74" i="3"/>
  <c r="S74" i="3"/>
  <c r="R74" i="3"/>
  <c r="O74" i="3"/>
  <c r="N74" i="3"/>
  <c r="L74" i="3"/>
  <c r="J74" i="3"/>
  <c r="H74" i="3"/>
  <c r="G74" i="3"/>
  <c r="D74" i="3"/>
  <c r="C74" i="3"/>
  <c r="B74" i="3"/>
  <c r="AL73" i="3"/>
  <c r="AI73" i="3"/>
  <c r="AH73" i="3"/>
  <c r="AF73" i="3"/>
  <c r="AE73" i="3"/>
  <c r="AD73" i="3"/>
  <c r="AB73" i="3"/>
  <c r="AA73" i="3"/>
  <c r="Z73" i="3"/>
  <c r="X73" i="3"/>
  <c r="W73" i="3"/>
  <c r="V73" i="3"/>
  <c r="T73" i="3"/>
  <c r="S73" i="3"/>
  <c r="R73" i="3"/>
  <c r="P73" i="3"/>
  <c r="O73" i="3"/>
  <c r="N73" i="3"/>
  <c r="L73" i="3"/>
  <c r="K73" i="3"/>
  <c r="J73" i="3"/>
  <c r="H73" i="3"/>
  <c r="G73" i="3"/>
  <c r="F73" i="3"/>
  <c r="D73" i="3"/>
  <c r="C73" i="3"/>
  <c r="B73" i="3"/>
  <c r="AL72" i="3"/>
  <c r="AG72" i="3" s="1"/>
  <c r="AE72" i="3"/>
  <c r="AA72" i="3"/>
  <c r="W72" i="3"/>
  <c r="S72" i="3"/>
  <c r="O72" i="3"/>
  <c r="K72" i="3"/>
  <c r="G72" i="3"/>
  <c r="C72" i="3"/>
  <c r="AL71" i="3"/>
  <c r="AH71" i="3" s="1"/>
  <c r="AI71" i="3"/>
  <c r="AF71" i="3"/>
  <c r="AE71" i="3"/>
  <c r="AB71" i="3"/>
  <c r="AA71" i="3"/>
  <c r="X71" i="3"/>
  <c r="W71" i="3"/>
  <c r="T71" i="3"/>
  <c r="S71" i="3"/>
  <c r="P71" i="3"/>
  <c r="O71" i="3"/>
  <c r="L71" i="3"/>
  <c r="K71" i="3"/>
  <c r="H71" i="3"/>
  <c r="G71" i="3"/>
  <c r="D71" i="3"/>
  <c r="C71" i="3"/>
  <c r="AL70" i="3"/>
  <c r="AH70" i="3" s="1"/>
  <c r="AI70" i="3"/>
  <c r="AF70" i="3"/>
  <c r="AE70" i="3"/>
  <c r="AB70" i="3"/>
  <c r="AA70" i="3"/>
  <c r="X70" i="3"/>
  <c r="W70" i="3"/>
  <c r="T70" i="3"/>
  <c r="S70" i="3"/>
  <c r="P70" i="3"/>
  <c r="O70" i="3"/>
  <c r="L70" i="3"/>
  <c r="K70" i="3"/>
  <c r="H70" i="3"/>
  <c r="G70" i="3"/>
  <c r="D70" i="3"/>
  <c r="C70" i="3"/>
  <c r="AL69" i="3"/>
  <c r="AH69" i="3" s="1"/>
  <c r="AI69" i="3"/>
  <c r="AF69" i="3"/>
  <c r="AE69" i="3"/>
  <c r="AB69" i="3"/>
  <c r="AA69" i="3"/>
  <c r="X69" i="3"/>
  <c r="W69" i="3"/>
  <c r="T69" i="3"/>
  <c r="S69" i="3"/>
  <c r="P69" i="3"/>
  <c r="O69" i="3"/>
  <c r="L69" i="3"/>
  <c r="K69" i="3"/>
  <c r="H69" i="3"/>
  <c r="G69" i="3"/>
  <c r="D69" i="3"/>
  <c r="C69" i="3"/>
  <c r="AL68" i="3"/>
  <c r="AH68" i="3" s="1"/>
  <c r="AI68" i="3"/>
  <c r="AF68" i="3"/>
  <c r="AE68" i="3"/>
  <c r="AB68" i="3"/>
  <c r="AA68" i="3"/>
  <c r="X68" i="3"/>
  <c r="W68" i="3"/>
  <c r="T68" i="3"/>
  <c r="S68" i="3"/>
  <c r="P68" i="3"/>
  <c r="O68" i="3"/>
  <c r="L68" i="3"/>
  <c r="K68" i="3"/>
  <c r="H68" i="3"/>
  <c r="G68" i="3"/>
  <c r="D68" i="3"/>
  <c r="C68" i="3"/>
  <c r="AL67" i="3"/>
  <c r="AH67" i="3" s="1"/>
  <c r="AI67" i="3"/>
  <c r="AF67" i="3"/>
  <c r="AE67" i="3"/>
  <c r="AB67" i="3"/>
  <c r="AA67" i="3"/>
  <c r="X67" i="3"/>
  <c r="W67" i="3"/>
  <c r="T67" i="3"/>
  <c r="S67" i="3"/>
  <c r="P67" i="3"/>
  <c r="O67" i="3"/>
  <c r="L67" i="3"/>
  <c r="K67" i="3"/>
  <c r="H67" i="3"/>
  <c r="G67" i="3"/>
  <c r="D67" i="3"/>
  <c r="C67" i="3"/>
  <c r="AL66" i="3"/>
  <c r="AH66" i="3" s="1"/>
  <c r="AI66" i="3"/>
  <c r="AF66" i="3"/>
  <c r="AE66" i="3"/>
  <c r="AB66" i="3"/>
  <c r="AA66" i="3"/>
  <c r="X66" i="3"/>
  <c r="W66" i="3"/>
  <c r="T66" i="3"/>
  <c r="S66" i="3"/>
  <c r="P66" i="3"/>
  <c r="O66" i="3"/>
  <c r="L66" i="3"/>
  <c r="K66" i="3"/>
  <c r="H66" i="3"/>
  <c r="G66" i="3"/>
  <c r="D66" i="3"/>
  <c r="C66" i="3"/>
  <c r="AL65" i="3"/>
  <c r="AH65" i="3" s="1"/>
  <c r="AI65" i="3"/>
  <c r="AF65" i="3"/>
  <c r="AE65" i="3"/>
  <c r="AB65" i="3"/>
  <c r="AA65" i="3"/>
  <c r="X65" i="3"/>
  <c r="W65" i="3"/>
  <c r="T65" i="3"/>
  <c r="S65" i="3"/>
  <c r="P65" i="3"/>
  <c r="O65" i="3"/>
  <c r="L65" i="3"/>
  <c r="K65" i="3"/>
  <c r="H65" i="3"/>
  <c r="G65" i="3"/>
  <c r="D65" i="3"/>
  <c r="C65" i="3"/>
  <c r="AL64" i="3"/>
  <c r="AH64" i="3" s="1"/>
  <c r="AI64" i="3"/>
  <c r="AF64" i="3"/>
  <c r="AE64" i="3"/>
  <c r="AB64" i="3"/>
  <c r="AA64" i="3"/>
  <c r="X64" i="3"/>
  <c r="W64" i="3"/>
  <c r="T64" i="3"/>
  <c r="S64" i="3"/>
  <c r="P64" i="3"/>
  <c r="O64" i="3"/>
  <c r="L64" i="3"/>
  <c r="K64" i="3"/>
  <c r="H64" i="3"/>
  <c r="G64" i="3"/>
  <c r="D64" i="3"/>
  <c r="C64" i="3"/>
  <c r="AL63" i="3"/>
  <c r="AH63" i="3" s="1"/>
  <c r="AI63" i="3"/>
  <c r="AF63" i="3"/>
  <c r="AE63" i="3"/>
  <c r="AB63" i="3"/>
  <c r="AA63" i="3"/>
  <c r="X63" i="3"/>
  <c r="W63" i="3"/>
  <c r="T63" i="3"/>
  <c r="S63" i="3"/>
  <c r="P63" i="3"/>
  <c r="O63" i="3"/>
  <c r="L63" i="3"/>
  <c r="K63" i="3"/>
  <c r="H63" i="3"/>
  <c r="G63" i="3"/>
  <c r="D63" i="3"/>
  <c r="C63" i="3"/>
  <c r="AL62" i="3"/>
  <c r="AH62" i="3" s="1"/>
  <c r="AI62" i="3"/>
  <c r="AF62" i="3"/>
  <c r="AE62" i="3"/>
  <c r="AB62" i="3"/>
  <c r="AA62" i="3"/>
  <c r="X62" i="3"/>
  <c r="W62" i="3"/>
  <c r="T62" i="3"/>
  <c r="S62" i="3"/>
  <c r="P62" i="3"/>
  <c r="O62" i="3"/>
  <c r="L62" i="3"/>
  <c r="K62" i="3"/>
  <c r="H62" i="3"/>
  <c r="G62" i="3"/>
  <c r="D62" i="3"/>
  <c r="C62" i="3"/>
  <c r="AL61" i="3"/>
  <c r="AH61" i="3" s="1"/>
  <c r="AI61" i="3"/>
  <c r="AF61" i="3"/>
  <c r="AE61" i="3"/>
  <c r="AB61" i="3"/>
  <c r="AA61" i="3"/>
  <c r="X61" i="3"/>
  <c r="W61" i="3"/>
  <c r="T61" i="3"/>
  <c r="S61" i="3"/>
  <c r="P61" i="3"/>
  <c r="O61" i="3"/>
  <c r="L61" i="3"/>
  <c r="K61" i="3"/>
  <c r="H61" i="3"/>
  <c r="G61" i="3"/>
  <c r="D61" i="3"/>
  <c r="C61" i="3"/>
  <c r="AL60" i="3"/>
  <c r="AH60" i="3" s="1"/>
  <c r="AI60" i="3"/>
  <c r="AF60" i="3"/>
  <c r="AE60" i="3"/>
  <c r="AB60" i="3"/>
  <c r="AA60" i="3"/>
  <c r="X60" i="3"/>
  <c r="W60" i="3"/>
  <c r="T60" i="3"/>
  <c r="S60" i="3"/>
  <c r="P60" i="3"/>
  <c r="O60" i="3"/>
  <c r="L60" i="3"/>
  <c r="K60" i="3"/>
  <c r="H60" i="3"/>
  <c r="G60" i="3"/>
  <c r="D60" i="3"/>
  <c r="C60" i="3"/>
  <c r="C59" i="3"/>
  <c r="AB57" i="3"/>
  <c r="I57" i="3"/>
  <c r="F57" i="3"/>
  <c r="C57" i="3"/>
  <c r="C56" i="3"/>
  <c r="C55" i="3"/>
  <c r="AH54" i="3"/>
  <c r="AG54" i="3"/>
  <c r="AF54" i="3"/>
  <c r="AC54" i="3"/>
  <c r="AB54" i="3"/>
  <c r="Z54" i="3"/>
  <c r="Y54" i="3"/>
  <c r="W54" i="3"/>
  <c r="V54" i="3"/>
  <c r="R54" i="3"/>
  <c r="I54" i="3"/>
  <c r="H54" i="3"/>
  <c r="G54" i="3"/>
  <c r="F54" i="3"/>
  <c r="E54" i="3"/>
  <c r="D54" i="3"/>
  <c r="C54" i="3"/>
  <c r="B54" i="3"/>
  <c r="AH53" i="3"/>
  <c r="AG53" i="3"/>
  <c r="AF53" i="3"/>
  <c r="AC53" i="3"/>
  <c r="AB53" i="3"/>
  <c r="AB55" i="3" s="1"/>
  <c r="Z53" i="3"/>
  <c r="Y53" i="3"/>
  <c r="W53" i="3"/>
  <c r="V53" i="3"/>
  <c r="R53" i="3"/>
  <c r="I53" i="3"/>
  <c r="H53" i="3"/>
  <c r="G53" i="3"/>
  <c r="F53" i="3"/>
  <c r="E53" i="3"/>
  <c r="D53" i="3"/>
  <c r="C53" i="3"/>
  <c r="B53" i="3"/>
  <c r="AH52" i="3"/>
  <c r="AG52" i="3"/>
  <c r="AF52" i="3"/>
  <c r="AC52" i="3"/>
  <c r="AB52" i="3"/>
  <c r="Z52" i="3"/>
  <c r="Y52" i="3"/>
  <c r="Y55" i="3" s="1"/>
  <c r="W52" i="3"/>
  <c r="V52" i="3"/>
  <c r="V55" i="3" s="1"/>
  <c r="R52" i="3"/>
  <c r="I52" i="3"/>
  <c r="I55" i="3" s="1"/>
  <c r="H52" i="3"/>
  <c r="G52" i="3"/>
  <c r="F52" i="3"/>
  <c r="F55" i="3" s="1"/>
  <c r="E52" i="3"/>
  <c r="D52" i="3"/>
  <c r="C52" i="3"/>
  <c r="B52" i="3"/>
  <c r="C51" i="3"/>
  <c r="AH50" i="3"/>
  <c r="AG50" i="3"/>
  <c r="AF50" i="3"/>
  <c r="AC50" i="3"/>
  <c r="AB50" i="3"/>
  <c r="Z50" i="3"/>
  <c r="Y50" i="3"/>
  <c r="W50" i="3"/>
  <c r="V50" i="3"/>
  <c r="R50" i="3"/>
  <c r="I50" i="3"/>
  <c r="H50" i="3"/>
  <c r="G50" i="3"/>
  <c r="F50" i="3"/>
  <c r="E50" i="3"/>
  <c r="D50" i="3"/>
  <c r="C50" i="3"/>
  <c r="B50" i="3"/>
  <c r="AH49" i="3"/>
  <c r="AG49" i="3"/>
  <c r="AF49" i="3"/>
  <c r="AC49" i="3"/>
  <c r="AB49" i="3"/>
  <c r="Z49" i="3"/>
  <c r="Y49" i="3"/>
  <c r="W49" i="3"/>
  <c r="V49" i="3"/>
  <c r="R49" i="3"/>
  <c r="I49" i="3"/>
  <c r="H49" i="3"/>
  <c r="G49" i="3"/>
  <c r="F49" i="3"/>
  <c r="E49" i="3"/>
  <c r="D49" i="3"/>
  <c r="C49" i="3"/>
  <c r="B49" i="3"/>
  <c r="AH48" i="3"/>
  <c r="AG48" i="3"/>
  <c r="AF48" i="3"/>
  <c r="AC48" i="3"/>
  <c r="AB48" i="3"/>
  <c r="Z48" i="3"/>
  <c r="Y48" i="3"/>
  <c r="W48" i="3"/>
  <c r="V48" i="3"/>
  <c r="R48" i="3"/>
  <c r="I48" i="3"/>
  <c r="H48" i="3"/>
  <c r="G48" i="3"/>
  <c r="F48" i="3"/>
  <c r="E48" i="3"/>
  <c r="D48" i="3"/>
  <c r="C48" i="3"/>
  <c r="B48" i="3"/>
  <c r="AH47" i="3"/>
  <c r="AG47" i="3"/>
  <c r="AF47" i="3"/>
  <c r="AC47" i="3"/>
  <c r="AB47" i="3"/>
  <c r="Z47" i="3"/>
  <c r="Y47" i="3"/>
  <c r="W47" i="3"/>
  <c r="V47" i="3"/>
  <c r="R47" i="3"/>
  <c r="I47" i="3"/>
  <c r="H47" i="3"/>
  <c r="G47" i="3"/>
  <c r="F47" i="3"/>
  <c r="E47" i="3"/>
  <c r="D47" i="3"/>
  <c r="C47" i="3"/>
  <c r="B47" i="3"/>
  <c r="AH46" i="3"/>
  <c r="AG46" i="3"/>
  <c r="AF46" i="3"/>
  <c r="AC46" i="3"/>
  <c r="AB46" i="3"/>
  <c r="Z46" i="3"/>
  <c r="W46" i="3"/>
  <c r="V46" i="3"/>
  <c r="R46" i="3"/>
  <c r="I46" i="3"/>
  <c r="H46" i="3"/>
  <c r="G46" i="3"/>
  <c r="F46" i="3"/>
  <c r="E46" i="3"/>
  <c r="D46" i="3"/>
  <c r="C46" i="3"/>
  <c r="B46" i="3"/>
  <c r="AH45" i="3"/>
  <c r="AG45" i="3"/>
  <c r="AF45" i="3"/>
  <c r="AC45" i="3"/>
  <c r="AB45" i="3"/>
  <c r="AB51" i="3" s="1"/>
  <c r="Z45" i="3"/>
  <c r="Y45" i="3"/>
  <c r="W45" i="3"/>
  <c r="V45" i="3"/>
  <c r="R45" i="3"/>
  <c r="I45" i="3"/>
  <c r="H45" i="3"/>
  <c r="G45" i="3"/>
  <c r="F45" i="3"/>
  <c r="E45" i="3"/>
  <c r="D45" i="3"/>
  <c r="C45" i="3"/>
  <c r="B45" i="3"/>
  <c r="AH44" i="3"/>
  <c r="AG44" i="3"/>
  <c r="AF44" i="3"/>
  <c r="AC44" i="3"/>
  <c r="AB44" i="3"/>
  <c r="Z44" i="3"/>
  <c r="Y44" i="3"/>
  <c r="W44" i="3"/>
  <c r="V44" i="3"/>
  <c r="V51" i="3" s="1"/>
  <c r="R44" i="3"/>
  <c r="I44" i="3"/>
  <c r="I51" i="3" s="1"/>
  <c r="H44" i="3"/>
  <c r="G44" i="3"/>
  <c r="F44" i="3"/>
  <c r="F51" i="3" s="1"/>
  <c r="E44" i="3"/>
  <c r="D44" i="3"/>
  <c r="C44" i="3"/>
  <c r="B44" i="3"/>
  <c r="I43" i="3"/>
  <c r="F43" i="3"/>
  <c r="C43" i="3"/>
  <c r="AJ42" i="3"/>
  <c r="AK42" i="3" s="1"/>
  <c r="AH42" i="3"/>
  <c r="AG42" i="3"/>
  <c r="AF42" i="3"/>
  <c r="AC42" i="3"/>
  <c r="AB42" i="3"/>
  <c r="Z42" i="3"/>
  <c r="Y42" i="3"/>
  <c r="W42" i="3"/>
  <c r="R42" i="3"/>
  <c r="I42" i="3"/>
  <c r="H42" i="3"/>
  <c r="G42" i="3"/>
  <c r="F42" i="3"/>
  <c r="E42" i="3"/>
  <c r="D42" i="3"/>
  <c r="C42" i="3"/>
  <c r="B42" i="3"/>
  <c r="AJ41" i="3"/>
  <c r="AK41" i="3" s="1"/>
  <c r="AH41" i="3"/>
  <c r="AG41" i="3"/>
  <c r="AF41" i="3"/>
  <c r="AC41" i="3"/>
  <c r="AB41" i="3"/>
  <c r="AB43" i="3" s="1"/>
  <c r="Z41" i="3"/>
  <c r="Y41" i="3"/>
  <c r="Y43" i="3" s="1"/>
  <c r="W41" i="3"/>
  <c r="R41" i="3"/>
  <c r="I41" i="3"/>
  <c r="H41" i="3"/>
  <c r="G41" i="3"/>
  <c r="F41" i="3"/>
  <c r="E41" i="3"/>
  <c r="D41" i="3"/>
  <c r="C41" i="3"/>
  <c r="B41" i="3"/>
  <c r="AJ40" i="3"/>
  <c r="AK40" i="3" s="1"/>
  <c r="V40" i="3"/>
  <c r="I40" i="3"/>
  <c r="F40" i="3"/>
  <c r="C40" i="3"/>
  <c r="AJ39" i="3"/>
  <c r="AK39" i="3" s="1"/>
  <c r="AH39" i="3"/>
  <c r="AG39" i="3"/>
  <c r="AF39" i="3"/>
  <c r="AC39" i="3"/>
  <c r="AB39" i="3"/>
  <c r="AB40" i="3" s="1"/>
  <c r="Z39" i="3"/>
  <c r="Y39" i="3"/>
  <c r="Y40" i="3" s="1"/>
  <c r="W39" i="3"/>
  <c r="V39" i="3"/>
  <c r="R39" i="3"/>
  <c r="I39" i="3"/>
  <c r="H39" i="3"/>
  <c r="G39" i="3"/>
  <c r="F39" i="3"/>
  <c r="E39" i="3"/>
  <c r="D39" i="3"/>
  <c r="C39" i="3"/>
  <c r="B39" i="3"/>
  <c r="AJ38" i="3"/>
  <c r="AK38" i="3" s="1"/>
  <c r="V38" i="3"/>
  <c r="F38" i="3"/>
  <c r="C38" i="3"/>
  <c r="AK37" i="3"/>
  <c r="AJ37" i="3"/>
  <c r="AH37" i="3"/>
  <c r="AG37" i="3"/>
  <c r="AF37" i="3"/>
  <c r="AC37" i="3"/>
  <c r="AB37" i="3"/>
  <c r="Z37" i="3"/>
  <c r="Y37" i="3"/>
  <c r="W37" i="3"/>
  <c r="V37" i="3"/>
  <c r="R37" i="3"/>
  <c r="I37" i="3"/>
  <c r="H37" i="3"/>
  <c r="G37" i="3"/>
  <c r="F37" i="3"/>
  <c r="E37" i="3"/>
  <c r="D37" i="3"/>
  <c r="C37" i="3"/>
  <c r="B37" i="3"/>
  <c r="AJ36" i="3"/>
  <c r="AK36" i="3" s="1"/>
  <c r="AH36" i="3"/>
  <c r="AG36" i="3"/>
  <c r="AF36" i="3"/>
  <c r="AC36" i="3"/>
  <c r="AB36" i="3"/>
  <c r="AB38" i="3" s="1"/>
  <c r="Z36" i="3"/>
  <c r="Y36" i="3"/>
  <c r="Y38" i="3" s="1"/>
  <c r="W36" i="3"/>
  <c r="V36" i="3"/>
  <c r="R36" i="3"/>
  <c r="I36" i="3"/>
  <c r="I38" i="3" s="1"/>
  <c r="H36" i="3"/>
  <c r="G36" i="3"/>
  <c r="F36" i="3"/>
  <c r="E36" i="3"/>
  <c r="D36" i="3"/>
  <c r="C36" i="3"/>
  <c r="B36" i="3"/>
  <c r="AJ35" i="3"/>
  <c r="AK35" i="3" s="1"/>
  <c r="C35" i="3"/>
  <c r="AJ34" i="3"/>
  <c r="AK34" i="3" s="1"/>
  <c r="AH34" i="3"/>
  <c r="AG34" i="3"/>
  <c r="AF34" i="3"/>
  <c r="AC34" i="3"/>
  <c r="AB34" i="3"/>
  <c r="Z34" i="3"/>
  <c r="Y34" i="3"/>
  <c r="W34" i="3"/>
  <c r="V34" i="3"/>
  <c r="R34" i="3"/>
  <c r="I34" i="3"/>
  <c r="H34" i="3"/>
  <c r="G34" i="3"/>
  <c r="F34" i="3"/>
  <c r="E34" i="3"/>
  <c r="D34" i="3"/>
  <c r="C34" i="3"/>
  <c r="B34" i="3"/>
  <c r="AJ33" i="3"/>
  <c r="AK33" i="3" s="1"/>
  <c r="AH33" i="3"/>
  <c r="AG33" i="3"/>
  <c r="AF33" i="3"/>
  <c r="AC33" i="3"/>
  <c r="AB33" i="3"/>
  <c r="AB35" i="3" s="1"/>
  <c r="Z33" i="3"/>
  <c r="Y33" i="3"/>
  <c r="Y35" i="3" s="1"/>
  <c r="W33" i="3"/>
  <c r="R33" i="3"/>
  <c r="I33" i="3"/>
  <c r="I35" i="3" s="1"/>
  <c r="H33" i="3"/>
  <c r="G33" i="3"/>
  <c r="F33" i="3"/>
  <c r="F35" i="3" s="1"/>
  <c r="E33" i="3"/>
  <c r="D33" i="3"/>
  <c r="C33" i="3"/>
  <c r="B33" i="3"/>
  <c r="AJ32" i="3"/>
  <c r="AK32" i="3" s="1"/>
  <c r="F32" i="3"/>
  <c r="C32" i="3"/>
  <c r="AJ31" i="3"/>
  <c r="AK31" i="3" s="1"/>
  <c r="AH31" i="3"/>
  <c r="AG31" i="3"/>
  <c r="AF31" i="3"/>
  <c r="AC31" i="3"/>
  <c r="AB31" i="3"/>
  <c r="AB32" i="3" s="1"/>
  <c r="Z31" i="3"/>
  <c r="Y31" i="3"/>
  <c r="Y32" i="3" s="1"/>
  <c r="W31" i="3"/>
  <c r="R31" i="3"/>
  <c r="I31" i="3"/>
  <c r="I32" i="3" s="1"/>
  <c r="H31" i="3"/>
  <c r="G31" i="3"/>
  <c r="F31" i="3"/>
  <c r="E31" i="3"/>
  <c r="D31" i="3"/>
  <c r="C31" i="3"/>
  <c r="B31" i="3"/>
  <c r="AJ30" i="3"/>
  <c r="AK30" i="3" s="1"/>
  <c r="C30" i="3"/>
  <c r="AJ29" i="3"/>
  <c r="AK29" i="3" s="1"/>
  <c r="AH29" i="3"/>
  <c r="AG29" i="3"/>
  <c r="AF29" i="3"/>
  <c r="AC29" i="3"/>
  <c r="AB29" i="3"/>
  <c r="Z29" i="3"/>
  <c r="Y29" i="3"/>
  <c r="W29" i="3"/>
  <c r="R29" i="3"/>
  <c r="I29" i="3"/>
  <c r="H29" i="3"/>
  <c r="G29" i="3"/>
  <c r="F29" i="3"/>
  <c r="E29" i="3"/>
  <c r="D29" i="3"/>
  <c r="C29" i="3"/>
  <c r="B29" i="3"/>
  <c r="AJ28" i="3"/>
  <c r="AK28" i="3" s="1"/>
  <c r="AH28" i="3"/>
  <c r="AG28" i="3"/>
  <c r="AF28" i="3"/>
  <c r="AC28" i="3"/>
  <c r="AB28" i="3"/>
  <c r="Z28" i="3"/>
  <c r="Y28" i="3"/>
  <c r="W28" i="3"/>
  <c r="R28" i="3"/>
  <c r="I28" i="3"/>
  <c r="H28" i="3"/>
  <c r="G28" i="3"/>
  <c r="F28" i="3"/>
  <c r="E28" i="3"/>
  <c r="D28" i="3"/>
  <c r="C28" i="3"/>
  <c r="B28" i="3"/>
  <c r="AJ27" i="3"/>
  <c r="AK27" i="3" s="1"/>
  <c r="AH27" i="3"/>
  <c r="AG27" i="3"/>
  <c r="AF27" i="3"/>
  <c r="AC27" i="3"/>
  <c r="AB27" i="3"/>
  <c r="Z27" i="3"/>
  <c r="Y27" i="3"/>
  <c r="W27" i="3"/>
  <c r="R27" i="3"/>
  <c r="I27" i="3"/>
  <c r="H27" i="3"/>
  <c r="G27" i="3"/>
  <c r="F27" i="3"/>
  <c r="E27" i="3"/>
  <c r="D27" i="3"/>
  <c r="C27" i="3"/>
  <c r="B27" i="3"/>
  <c r="AJ26" i="3"/>
  <c r="AK26" i="3" s="1"/>
  <c r="AH26" i="3"/>
  <c r="AG26" i="3"/>
  <c r="AF26" i="3"/>
  <c r="AC26" i="3"/>
  <c r="AB26" i="3"/>
  <c r="Z26" i="3"/>
  <c r="Y26" i="3"/>
  <c r="W26" i="3"/>
  <c r="R26" i="3"/>
  <c r="I26" i="3"/>
  <c r="H26" i="3"/>
  <c r="G26" i="3"/>
  <c r="F26" i="3"/>
  <c r="E26" i="3"/>
  <c r="D26" i="3"/>
  <c r="C26" i="3"/>
  <c r="B26" i="3"/>
  <c r="AJ25" i="3"/>
  <c r="AK25" i="3" s="1"/>
  <c r="AH25" i="3"/>
  <c r="AG25" i="3"/>
  <c r="AF25" i="3"/>
  <c r="AC25" i="3"/>
  <c r="AB25" i="3"/>
  <c r="Z25" i="3"/>
  <c r="Y25" i="3"/>
  <c r="W25" i="3"/>
  <c r="R25" i="3"/>
  <c r="I25" i="3"/>
  <c r="H25" i="3"/>
  <c r="G25" i="3"/>
  <c r="F25" i="3"/>
  <c r="E25" i="3"/>
  <c r="D25" i="3"/>
  <c r="C25" i="3"/>
  <c r="B25" i="3"/>
  <c r="AJ24" i="3"/>
  <c r="AK24" i="3" s="1"/>
  <c r="AH24" i="3"/>
  <c r="AG24" i="3"/>
  <c r="AF24" i="3"/>
  <c r="AC24" i="3"/>
  <c r="AB24" i="3"/>
  <c r="Z24" i="3"/>
  <c r="Y24" i="3"/>
  <c r="W24" i="3"/>
  <c r="R24" i="3"/>
  <c r="I24" i="3"/>
  <c r="H24" i="3"/>
  <c r="G24" i="3"/>
  <c r="F24" i="3"/>
  <c r="E24" i="3"/>
  <c r="D24" i="3"/>
  <c r="C24" i="3"/>
  <c r="B24" i="3"/>
  <c r="AJ23" i="3"/>
  <c r="AK23" i="3" s="1"/>
  <c r="AH23" i="3"/>
  <c r="AG23" i="3"/>
  <c r="AF23" i="3"/>
  <c r="AC23" i="3"/>
  <c r="AB23" i="3"/>
  <c r="Z23" i="3"/>
  <c r="Y23" i="3"/>
  <c r="W23" i="3"/>
  <c r="R23" i="3"/>
  <c r="I23" i="3"/>
  <c r="H23" i="3"/>
  <c r="G23" i="3"/>
  <c r="F23" i="3"/>
  <c r="E23" i="3"/>
  <c r="D23" i="3"/>
  <c r="C23" i="3"/>
  <c r="B23" i="3"/>
  <c r="AJ22" i="3"/>
  <c r="AK22" i="3" s="1"/>
  <c r="AH22" i="3"/>
  <c r="AG22" i="3"/>
  <c r="AF22" i="3"/>
  <c r="AC22" i="3"/>
  <c r="AB22" i="3"/>
  <c r="Z22" i="3"/>
  <c r="Y22" i="3"/>
  <c r="W22" i="3"/>
  <c r="R22" i="3"/>
  <c r="I22" i="3"/>
  <c r="H22" i="3"/>
  <c r="G22" i="3"/>
  <c r="F22" i="3"/>
  <c r="E22" i="3"/>
  <c r="D22" i="3"/>
  <c r="C22" i="3"/>
  <c r="B22" i="3"/>
  <c r="AJ21" i="3"/>
  <c r="AK21" i="3" s="1"/>
  <c r="AH21" i="3"/>
  <c r="AG21" i="3"/>
  <c r="AF21" i="3"/>
  <c r="AC21" i="3"/>
  <c r="AB21" i="3"/>
  <c r="Z21" i="3"/>
  <c r="Y21" i="3"/>
  <c r="W21" i="3"/>
  <c r="R21" i="3"/>
  <c r="I21" i="3"/>
  <c r="H21" i="3"/>
  <c r="G21" i="3"/>
  <c r="F21" i="3"/>
  <c r="E21" i="3"/>
  <c r="D21" i="3"/>
  <c r="C21" i="3"/>
  <c r="B21" i="3"/>
  <c r="AJ20" i="3"/>
  <c r="AK20" i="3" s="1"/>
  <c r="AH20" i="3"/>
  <c r="AG20" i="3"/>
  <c r="AF20" i="3"/>
  <c r="AC20" i="3"/>
  <c r="AB20" i="3"/>
  <c r="Z20" i="3"/>
  <c r="Y20" i="3"/>
  <c r="W20" i="3"/>
  <c r="R20" i="3"/>
  <c r="I20" i="3"/>
  <c r="H20" i="3"/>
  <c r="G20" i="3"/>
  <c r="F20" i="3"/>
  <c r="E20" i="3"/>
  <c r="D20" i="3"/>
  <c r="C20" i="3"/>
  <c r="B20" i="3"/>
  <c r="AJ19" i="3"/>
  <c r="AK19" i="3" s="1"/>
  <c r="AH19" i="3"/>
  <c r="AG19" i="3"/>
  <c r="AF19" i="3"/>
  <c r="AC19" i="3"/>
  <c r="AB19" i="3"/>
  <c r="Z19" i="3"/>
  <c r="Y19" i="3"/>
  <c r="W19" i="3"/>
  <c r="R19" i="3"/>
  <c r="I19" i="3"/>
  <c r="H19" i="3"/>
  <c r="G19" i="3"/>
  <c r="F19" i="3"/>
  <c r="E19" i="3"/>
  <c r="D19" i="3"/>
  <c r="C19" i="3"/>
  <c r="B19" i="3"/>
  <c r="AJ18" i="3"/>
  <c r="AK18" i="3" s="1"/>
  <c r="AH18" i="3"/>
  <c r="AG18" i="3"/>
  <c r="AF18" i="3"/>
  <c r="AC18" i="3"/>
  <c r="AB18" i="3"/>
  <c r="Z18" i="3"/>
  <c r="Y18" i="3"/>
  <c r="W18" i="3"/>
  <c r="R18" i="3"/>
  <c r="I18" i="3"/>
  <c r="H18" i="3"/>
  <c r="G18" i="3"/>
  <c r="F18" i="3"/>
  <c r="E18" i="3"/>
  <c r="D18" i="3"/>
  <c r="C18" i="3"/>
  <c r="B18" i="3"/>
  <c r="AJ17" i="3"/>
  <c r="AK17" i="3" s="1"/>
  <c r="AH17" i="3"/>
  <c r="AG17" i="3"/>
  <c r="AF17" i="3"/>
  <c r="AC17" i="3"/>
  <c r="AB17" i="3"/>
  <c r="AB30" i="3" s="1"/>
  <c r="Z17" i="3"/>
  <c r="Y17" i="3"/>
  <c r="Y30" i="3" s="1"/>
  <c r="W17" i="3"/>
  <c r="R17" i="3"/>
  <c r="I17" i="3"/>
  <c r="I30" i="3" s="1"/>
  <c r="H17" i="3"/>
  <c r="G17" i="3"/>
  <c r="F17" i="3"/>
  <c r="F30" i="3" s="1"/>
  <c r="E17" i="3"/>
  <c r="D17" i="3"/>
  <c r="C17" i="3"/>
  <c r="B17" i="3"/>
  <c r="AJ16" i="3"/>
  <c r="AK16" i="3" s="1"/>
  <c r="V16" i="3"/>
  <c r="I16" i="3"/>
  <c r="F16" i="3"/>
  <c r="C16" i="3"/>
  <c r="AJ15" i="3"/>
  <c r="AK15" i="3" s="1"/>
  <c r="AH15" i="3"/>
  <c r="AG15" i="3"/>
  <c r="AF15" i="3"/>
  <c r="AC15" i="3"/>
  <c r="AB15" i="3"/>
  <c r="AB16" i="3" s="1"/>
  <c r="Z15" i="3"/>
  <c r="Y15" i="3"/>
  <c r="Y16" i="3" s="1"/>
  <c r="W15" i="3"/>
  <c r="V15" i="3"/>
  <c r="R15" i="3"/>
  <c r="I15" i="3"/>
  <c r="H15" i="3"/>
  <c r="G15" i="3"/>
  <c r="F15" i="3"/>
  <c r="E15" i="3"/>
  <c r="D15" i="3"/>
  <c r="C15" i="3"/>
  <c r="B15" i="3"/>
  <c r="AJ14" i="3"/>
  <c r="AK14" i="3" s="1"/>
  <c r="V14" i="3"/>
  <c r="I14" i="3"/>
  <c r="F14" i="3"/>
  <c r="C14" i="3"/>
  <c r="AJ13" i="3"/>
  <c r="AK13" i="3" s="1"/>
  <c r="AH13" i="3"/>
  <c r="AG13" i="3"/>
  <c r="AF13" i="3"/>
  <c r="AC13" i="3"/>
  <c r="AB13" i="3"/>
  <c r="AB14" i="3" s="1"/>
  <c r="Z13" i="3"/>
  <c r="Y13" i="3"/>
  <c r="Y14" i="3" s="1"/>
  <c r="W13" i="3"/>
  <c r="V13" i="3"/>
  <c r="R13" i="3"/>
  <c r="I13" i="3"/>
  <c r="H13" i="3"/>
  <c r="G13" i="3"/>
  <c r="F13" i="3"/>
  <c r="E13" i="3"/>
  <c r="D13" i="3"/>
  <c r="C13" i="3"/>
  <c r="B13" i="3"/>
  <c r="AJ12" i="3"/>
  <c r="AK12" i="3" s="1"/>
  <c r="AB12" i="3"/>
  <c r="V12" i="3"/>
  <c r="I12" i="3"/>
  <c r="F12" i="3"/>
  <c r="C12" i="3"/>
  <c r="AJ11" i="3"/>
  <c r="AK11" i="3" s="1"/>
  <c r="AH11" i="3"/>
  <c r="AG11" i="3"/>
  <c r="AF11" i="3"/>
  <c r="AC11" i="3"/>
  <c r="AB11" i="3"/>
  <c r="Z11" i="3"/>
  <c r="Y11" i="3"/>
  <c r="Y12" i="3" s="1"/>
  <c r="W11" i="3"/>
  <c r="V11" i="3"/>
  <c r="R11" i="3"/>
  <c r="I11" i="3"/>
  <c r="H11" i="3"/>
  <c r="G11" i="3"/>
  <c r="F11" i="3"/>
  <c r="E11" i="3"/>
  <c r="D11" i="3"/>
  <c r="C11" i="3"/>
  <c r="B11" i="3"/>
  <c r="AJ10" i="3"/>
  <c r="AK10" i="3" s="1"/>
  <c r="V10" i="3"/>
  <c r="F10" i="3"/>
  <c r="C10" i="3"/>
  <c r="AJ9" i="3"/>
  <c r="AK9" i="3" s="1"/>
  <c r="AH9" i="3"/>
  <c r="AG9" i="3"/>
  <c r="AF9" i="3"/>
  <c r="AC9" i="3"/>
  <c r="AB9" i="3"/>
  <c r="Z9" i="3"/>
  <c r="W9" i="3"/>
  <c r="V9" i="3"/>
  <c r="R9" i="3"/>
  <c r="I9" i="3"/>
  <c r="H9" i="3"/>
  <c r="G9" i="3"/>
  <c r="F9" i="3"/>
  <c r="E9" i="3"/>
  <c r="D9" i="3"/>
  <c r="C9" i="3"/>
  <c r="B9" i="3"/>
  <c r="AJ8" i="3"/>
  <c r="AK8" i="3" s="1"/>
  <c r="AH8" i="3"/>
  <c r="AG8" i="3"/>
  <c r="AF8" i="3"/>
  <c r="AC8" i="3"/>
  <c r="AB8" i="3"/>
  <c r="AB10" i="3" s="1"/>
  <c r="Z8" i="3"/>
  <c r="W8" i="3"/>
  <c r="V8" i="3"/>
  <c r="R8" i="3"/>
  <c r="I8" i="3"/>
  <c r="I10" i="3" s="1"/>
  <c r="H8" i="3"/>
  <c r="G8" i="3"/>
  <c r="F8" i="3"/>
  <c r="E8" i="3"/>
  <c r="D8" i="3"/>
  <c r="C8" i="3"/>
  <c r="B8" i="3"/>
  <c r="AJ7" i="3"/>
  <c r="AK7" i="3" s="1"/>
  <c r="V7" i="3"/>
  <c r="F7" i="3"/>
  <c r="F56" i="3" s="1"/>
  <c r="C7" i="3"/>
  <c r="AJ6" i="3"/>
  <c r="AK6" i="3" s="1"/>
  <c r="AH6" i="3"/>
  <c r="AG6" i="3"/>
  <c r="AF6" i="3"/>
  <c r="AC6" i="3"/>
  <c r="AB6" i="3"/>
  <c r="AB7" i="3" s="1"/>
  <c r="AB56" i="3" s="1"/>
  <c r="Z6" i="3"/>
  <c r="Y6" i="3"/>
  <c r="Y7" i="3" s="1"/>
  <c r="W6" i="3"/>
  <c r="V6" i="3"/>
  <c r="R6" i="3"/>
  <c r="I6" i="3"/>
  <c r="I7" i="3" s="1"/>
  <c r="I56" i="3" s="1"/>
  <c r="H6" i="3"/>
  <c r="G6" i="3"/>
  <c r="F6" i="3"/>
  <c r="E6" i="3"/>
  <c r="D6" i="3"/>
  <c r="C6" i="3"/>
  <c r="B6" i="3"/>
  <c r="D3" i="3"/>
  <c r="B3" i="3"/>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AM41" i="2" s="1"/>
  <c r="BM41" i="2"/>
  <c r="AZ41" i="2"/>
  <c r="AK41" i="2"/>
  <c r="CU40" i="2"/>
  <c r="CT40" i="2"/>
  <c r="CS40" i="2"/>
  <c r="CR40" i="2"/>
  <c r="CQ40" i="2"/>
  <c r="CP40" i="2"/>
  <c r="CO40" i="2"/>
  <c r="CN40" i="2"/>
  <c r="CM40" i="2"/>
  <c r="CL40" i="2"/>
  <c r="CK40" i="2"/>
  <c r="CJ40" i="2"/>
  <c r="CI40" i="2"/>
  <c r="CH40" i="2"/>
  <c r="CG40" i="2"/>
  <c r="CF40" i="2"/>
  <c r="CE40" i="2"/>
  <c r="CD40" i="2"/>
  <c r="CC40" i="2"/>
  <c r="CB40" i="2"/>
  <c r="CA40" i="2"/>
  <c r="BZ40" i="2"/>
  <c r="BY40" i="2"/>
  <c r="BX40" i="2"/>
  <c r="BW40" i="2"/>
  <c r="BV40" i="2"/>
  <c r="BU40" i="2"/>
  <c r="BT40" i="2"/>
  <c r="BS40" i="2"/>
  <c r="BR40" i="2"/>
  <c r="BQ40" i="2"/>
  <c r="BP40" i="2"/>
  <c r="BO40" i="2"/>
  <c r="BN40" i="2"/>
  <c r="BM40" i="2"/>
  <c r="AZ40" i="2"/>
  <c r="AK40" i="2"/>
  <c r="CU39" i="2"/>
  <c r="CT39" i="2"/>
  <c r="CS39" i="2"/>
  <c r="CR39" i="2"/>
  <c r="CQ39" i="2"/>
  <c r="CP39" i="2"/>
  <c r="CO39" i="2"/>
  <c r="CN39" i="2"/>
  <c r="CM39" i="2"/>
  <c r="CL39" i="2"/>
  <c r="CK39" i="2"/>
  <c r="CJ39" i="2"/>
  <c r="CI39" i="2"/>
  <c r="CH39" i="2"/>
  <c r="CG39" i="2"/>
  <c r="CF39" i="2"/>
  <c r="CE39" i="2"/>
  <c r="CD39" i="2"/>
  <c r="CC39" i="2"/>
  <c r="CB39" i="2"/>
  <c r="CA39" i="2"/>
  <c r="BZ39" i="2"/>
  <c r="BY39" i="2"/>
  <c r="BX39" i="2"/>
  <c r="BW39" i="2"/>
  <c r="BV39" i="2"/>
  <c r="BU39" i="2"/>
  <c r="BT39" i="2"/>
  <c r="BS39" i="2"/>
  <c r="BR39" i="2"/>
  <c r="BQ39" i="2"/>
  <c r="BP39" i="2"/>
  <c r="BO39" i="2"/>
  <c r="BN39" i="2"/>
  <c r="BM39" i="2"/>
  <c r="AZ39" i="2"/>
  <c r="AK39" i="2"/>
  <c r="CU38" i="2"/>
  <c r="CT38" i="2"/>
  <c r="CS38" i="2"/>
  <c r="CR38" i="2"/>
  <c r="CQ38" i="2"/>
  <c r="CP38" i="2"/>
  <c r="CO38" i="2"/>
  <c r="CN38" i="2"/>
  <c r="CM38" i="2"/>
  <c r="CL38" i="2"/>
  <c r="CK38" i="2"/>
  <c r="CJ38" i="2"/>
  <c r="CI38" i="2"/>
  <c r="CH38" i="2"/>
  <c r="CG38" i="2"/>
  <c r="CF38" i="2"/>
  <c r="CE38" i="2"/>
  <c r="CD38" i="2"/>
  <c r="CC38" i="2"/>
  <c r="CB38" i="2"/>
  <c r="CA38" i="2"/>
  <c r="BZ38" i="2"/>
  <c r="BY38" i="2"/>
  <c r="BX38" i="2"/>
  <c r="BW38" i="2"/>
  <c r="BV38" i="2"/>
  <c r="BU38" i="2"/>
  <c r="BT38" i="2"/>
  <c r="BS38" i="2"/>
  <c r="BR38" i="2"/>
  <c r="BQ38" i="2"/>
  <c r="BP38" i="2"/>
  <c r="BO38" i="2"/>
  <c r="BN38" i="2"/>
  <c r="BM38" i="2"/>
  <c r="AZ38" i="2"/>
  <c r="AK38" i="2"/>
  <c r="CU37" i="2"/>
  <c r="CT37" i="2"/>
  <c r="CS37" i="2"/>
  <c r="CR37" i="2"/>
  <c r="CQ37" i="2"/>
  <c r="CP37" i="2"/>
  <c r="CO37" i="2"/>
  <c r="CN37" i="2"/>
  <c r="CM37" i="2"/>
  <c r="CL37" i="2"/>
  <c r="CK37" i="2"/>
  <c r="CJ37" i="2"/>
  <c r="CI37" i="2"/>
  <c r="CH37" i="2"/>
  <c r="CG37" i="2"/>
  <c r="CF37" i="2"/>
  <c r="CE37" i="2"/>
  <c r="CD37" i="2"/>
  <c r="CC37" i="2"/>
  <c r="CB37" i="2"/>
  <c r="CA37" i="2"/>
  <c r="BZ37" i="2"/>
  <c r="BY37" i="2"/>
  <c r="BX37" i="2"/>
  <c r="BW37" i="2"/>
  <c r="BV37" i="2"/>
  <c r="BU37" i="2"/>
  <c r="BT37" i="2"/>
  <c r="BS37" i="2"/>
  <c r="BR37" i="2"/>
  <c r="BQ37" i="2"/>
  <c r="BP37" i="2"/>
  <c r="BO37" i="2"/>
  <c r="BN37" i="2"/>
  <c r="BM37" i="2"/>
  <c r="AZ37" i="2"/>
  <c r="AK37" i="2"/>
  <c r="CU36" i="2"/>
  <c r="CT36" i="2"/>
  <c r="CS36" i="2"/>
  <c r="CR36" i="2"/>
  <c r="CQ36" i="2"/>
  <c r="CP36" i="2"/>
  <c r="CO36" i="2"/>
  <c r="CN36" i="2"/>
  <c r="CM36" i="2"/>
  <c r="CL36" i="2"/>
  <c r="CK36" i="2"/>
  <c r="CJ36" i="2"/>
  <c r="CI36" i="2"/>
  <c r="CH36" i="2"/>
  <c r="CG36" i="2"/>
  <c r="CF36" i="2"/>
  <c r="CE36" i="2"/>
  <c r="CD36" i="2"/>
  <c r="CC36" i="2"/>
  <c r="CB36" i="2"/>
  <c r="CA36" i="2"/>
  <c r="BZ36" i="2"/>
  <c r="BY36" i="2"/>
  <c r="BX36" i="2"/>
  <c r="BW36" i="2"/>
  <c r="BV36" i="2"/>
  <c r="BU36" i="2"/>
  <c r="BT36" i="2"/>
  <c r="BS36" i="2"/>
  <c r="BR36" i="2"/>
  <c r="BQ36" i="2"/>
  <c r="BP36" i="2"/>
  <c r="BO36" i="2"/>
  <c r="BN36" i="2"/>
  <c r="BM36" i="2"/>
  <c r="AZ36" i="2"/>
  <c r="AK36"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AZ35" i="2"/>
  <c r="AK35"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AZ34" i="2"/>
  <c r="AK34"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AZ33" i="2"/>
  <c r="AK33"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AZ32" i="2"/>
  <c r="AK32" i="2"/>
  <c r="CU31" i="2"/>
  <c r="CT31" i="2"/>
  <c r="CS31" i="2"/>
  <c r="CR31" i="2"/>
  <c r="CQ31" i="2"/>
  <c r="CP31" i="2"/>
  <c r="CO31" i="2"/>
  <c r="CN31" i="2"/>
  <c r="CM31" i="2"/>
  <c r="CL31" i="2"/>
  <c r="CK31" i="2"/>
  <c r="CJ31" i="2"/>
  <c r="CI31" i="2"/>
  <c r="CH31" i="2"/>
  <c r="CG31" i="2"/>
  <c r="CF31" i="2"/>
  <c r="CE31" i="2"/>
  <c r="CD31" i="2"/>
  <c r="CC31" i="2"/>
  <c r="CB31" i="2"/>
  <c r="CA31" i="2"/>
  <c r="BZ31" i="2"/>
  <c r="BY31" i="2"/>
  <c r="BX31" i="2"/>
  <c r="BW31" i="2"/>
  <c r="BV31" i="2"/>
  <c r="BU31" i="2"/>
  <c r="BT31" i="2"/>
  <c r="BS31" i="2"/>
  <c r="BR31" i="2"/>
  <c r="BQ31" i="2"/>
  <c r="BP31" i="2"/>
  <c r="BO31" i="2"/>
  <c r="BN31" i="2"/>
  <c r="BM31" i="2"/>
  <c r="AZ31" i="2"/>
  <c r="AK31" i="2"/>
  <c r="CU30" i="2"/>
  <c r="CT30" i="2"/>
  <c r="CS30" i="2"/>
  <c r="CR30" i="2"/>
  <c r="CQ30" i="2"/>
  <c r="CP30" i="2"/>
  <c r="CO30" i="2"/>
  <c r="CN30" i="2"/>
  <c r="CM30" i="2"/>
  <c r="CL30" i="2"/>
  <c r="CK30" i="2"/>
  <c r="CJ30" i="2"/>
  <c r="CI30" i="2"/>
  <c r="CH30" i="2"/>
  <c r="CG30" i="2"/>
  <c r="CF30" i="2"/>
  <c r="CE30" i="2"/>
  <c r="CD30" i="2"/>
  <c r="CC30" i="2"/>
  <c r="CB30" i="2"/>
  <c r="CA30" i="2"/>
  <c r="BZ30" i="2"/>
  <c r="BY30" i="2"/>
  <c r="BX30" i="2"/>
  <c r="BW30" i="2"/>
  <c r="BV30" i="2"/>
  <c r="BU30" i="2"/>
  <c r="BT30" i="2"/>
  <c r="BS30" i="2"/>
  <c r="BR30" i="2"/>
  <c r="BQ30" i="2"/>
  <c r="BP30" i="2"/>
  <c r="BO30" i="2"/>
  <c r="BN30" i="2"/>
  <c r="BM30" i="2"/>
  <c r="AZ30" i="2"/>
  <c r="AK30" i="2"/>
  <c r="CU29" i="2"/>
  <c r="CT29" i="2"/>
  <c r="CS29" i="2"/>
  <c r="CR29" i="2"/>
  <c r="CQ29" i="2"/>
  <c r="CP29" i="2"/>
  <c r="CO29" i="2"/>
  <c r="CN29" i="2"/>
  <c r="CM29" i="2"/>
  <c r="CL29" i="2"/>
  <c r="CK29" i="2"/>
  <c r="CJ29" i="2"/>
  <c r="CI29" i="2"/>
  <c r="CH29" i="2"/>
  <c r="CG29" i="2"/>
  <c r="CF29" i="2"/>
  <c r="CE29" i="2"/>
  <c r="CD29" i="2"/>
  <c r="CC29" i="2"/>
  <c r="CB29" i="2"/>
  <c r="CA29" i="2"/>
  <c r="BZ29" i="2"/>
  <c r="BY29" i="2"/>
  <c r="BX29" i="2"/>
  <c r="BW29" i="2"/>
  <c r="BV29" i="2"/>
  <c r="BU29" i="2"/>
  <c r="BT29" i="2"/>
  <c r="BS29" i="2"/>
  <c r="BR29" i="2"/>
  <c r="BQ29" i="2"/>
  <c r="BP29" i="2"/>
  <c r="BO29" i="2"/>
  <c r="BN29" i="2"/>
  <c r="BM29" i="2"/>
  <c r="AZ29" i="2"/>
  <c r="AK29" i="2"/>
  <c r="CU28" i="2"/>
  <c r="CT28" i="2"/>
  <c r="CS28" i="2"/>
  <c r="CR28" i="2"/>
  <c r="CQ28" i="2"/>
  <c r="CP28" i="2"/>
  <c r="CO28" i="2"/>
  <c r="CN28" i="2"/>
  <c r="CM28" i="2"/>
  <c r="CL28" i="2"/>
  <c r="CK28" i="2"/>
  <c r="CJ28" i="2"/>
  <c r="CI28" i="2"/>
  <c r="CH28" i="2"/>
  <c r="CG28" i="2"/>
  <c r="CF28" i="2"/>
  <c r="CE28" i="2"/>
  <c r="CD28" i="2"/>
  <c r="CC28" i="2"/>
  <c r="CB28" i="2"/>
  <c r="CA28" i="2"/>
  <c r="BZ28" i="2"/>
  <c r="BY28" i="2"/>
  <c r="BX28" i="2"/>
  <c r="BW28" i="2"/>
  <c r="BV28" i="2"/>
  <c r="BU28" i="2"/>
  <c r="BT28" i="2"/>
  <c r="BS28" i="2"/>
  <c r="BR28" i="2"/>
  <c r="BQ28" i="2"/>
  <c r="BP28" i="2"/>
  <c r="BO28" i="2"/>
  <c r="BN28" i="2"/>
  <c r="BM28" i="2"/>
  <c r="AZ28" i="2"/>
  <c r="AK28" i="2"/>
  <c r="CU27" i="2"/>
  <c r="CT27" i="2"/>
  <c r="CS27" i="2"/>
  <c r="CR27" i="2"/>
  <c r="CQ27" i="2"/>
  <c r="CP27" i="2"/>
  <c r="CO27" i="2"/>
  <c r="CN27" i="2"/>
  <c r="CM27" i="2"/>
  <c r="CL27" i="2"/>
  <c r="CK27" i="2"/>
  <c r="CJ27" i="2"/>
  <c r="CI27" i="2"/>
  <c r="CH27" i="2"/>
  <c r="CG27" i="2"/>
  <c r="CF27" i="2"/>
  <c r="CE27" i="2"/>
  <c r="CD27" i="2"/>
  <c r="CC27" i="2"/>
  <c r="CB27" i="2"/>
  <c r="CA27" i="2"/>
  <c r="BZ27" i="2"/>
  <c r="BY27" i="2"/>
  <c r="BX27" i="2"/>
  <c r="BW27" i="2"/>
  <c r="BV27" i="2"/>
  <c r="BU27" i="2"/>
  <c r="BT27" i="2"/>
  <c r="BS27" i="2"/>
  <c r="BR27" i="2"/>
  <c r="BQ27" i="2"/>
  <c r="BP27" i="2"/>
  <c r="BO27" i="2"/>
  <c r="BN27" i="2"/>
  <c r="BM27" i="2"/>
  <c r="AZ27" i="2"/>
  <c r="AK27" i="2"/>
  <c r="CU26" i="2"/>
  <c r="CT26" i="2"/>
  <c r="CS26" i="2"/>
  <c r="CR26" i="2"/>
  <c r="CQ26" i="2"/>
  <c r="CP26" i="2"/>
  <c r="CO26" i="2"/>
  <c r="CN26" i="2"/>
  <c r="CM26" i="2"/>
  <c r="CL26" i="2"/>
  <c r="CK26" i="2"/>
  <c r="CJ26" i="2"/>
  <c r="CI26" i="2"/>
  <c r="CH26" i="2"/>
  <c r="CG26" i="2"/>
  <c r="CF26" i="2"/>
  <c r="CE26" i="2"/>
  <c r="CD26" i="2"/>
  <c r="CC26" i="2"/>
  <c r="CB26" i="2"/>
  <c r="CA26" i="2"/>
  <c r="BZ26" i="2"/>
  <c r="BY26" i="2"/>
  <c r="BX26" i="2"/>
  <c r="BW26" i="2"/>
  <c r="BV26" i="2"/>
  <c r="BU26" i="2"/>
  <c r="BT26" i="2"/>
  <c r="BS26" i="2"/>
  <c r="BR26" i="2"/>
  <c r="BQ26" i="2"/>
  <c r="BP26" i="2"/>
  <c r="BO26" i="2"/>
  <c r="BN26" i="2"/>
  <c r="BM26" i="2"/>
  <c r="AZ26" i="2"/>
  <c r="AK26" i="2"/>
  <c r="CU25" i="2"/>
  <c r="CT25" i="2"/>
  <c r="CS25" i="2"/>
  <c r="CR25" i="2"/>
  <c r="CQ25" i="2"/>
  <c r="CP25" i="2"/>
  <c r="CO25" i="2"/>
  <c r="CN25" i="2"/>
  <c r="CM25" i="2"/>
  <c r="CL25" i="2"/>
  <c r="CK25" i="2"/>
  <c r="CJ25" i="2"/>
  <c r="CI25" i="2"/>
  <c r="CH25" i="2"/>
  <c r="CG25" i="2"/>
  <c r="CF25" i="2"/>
  <c r="CE25" i="2"/>
  <c r="CD25" i="2"/>
  <c r="CC25" i="2"/>
  <c r="CB25" i="2"/>
  <c r="CA25" i="2"/>
  <c r="BZ25" i="2"/>
  <c r="BY25" i="2"/>
  <c r="BX25" i="2"/>
  <c r="BW25" i="2"/>
  <c r="BV25" i="2"/>
  <c r="BU25" i="2"/>
  <c r="BT25" i="2"/>
  <c r="BS25" i="2"/>
  <c r="BR25" i="2"/>
  <c r="BQ25" i="2"/>
  <c r="BP25" i="2"/>
  <c r="BO25" i="2"/>
  <c r="BN25" i="2"/>
  <c r="BM25" i="2"/>
  <c r="AZ25" i="2"/>
  <c r="AK25" i="2"/>
  <c r="CU24" i="2"/>
  <c r="CT24" i="2"/>
  <c r="CS24" i="2"/>
  <c r="CR24" i="2"/>
  <c r="CQ24" i="2"/>
  <c r="CP24" i="2"/>
  <c r="CO24" i="2"/>
  <c r="CN24" i="2"/>
  <c r="CM24" i="2"/>
  <c r="CL24" i="2"/>
  <c r="CK24" i="2"/>
  <c r="CJ24" i="2"/>
  <c r="CI24" i="2"/>
  <c r="CH24" i="2"/>
  <c r="CG24" i="2"/>
  <c r="CF24" i="2"/>
  <c r="CE24" i="2"/>
  <c r="CD24" i="2"/>
  <c r="CC24" i="2"/>
  <c r="CB24" i="2"/>
  <c r="CA24" i="2"/>
  <c r="BZ24" i="2"/>
  <c r="BY24" i="2"/>
  <c r="BX24" i="2"/>
  <c r="BW24" i="2"/>
  <c r="BV24" i="2"/>
  <c r="BU24" i="2"/>
  <c r="BT24" i="2"/>
  <c r="BS24" i="2"/>
  <c r="BR24" i="2"/>
  <c r="BQ24" i="2"/>
  <c r="BP24" i="2"/>
  <c r="BO24" i="2"/>
  <c r="BN24" i="2"/>
  <c r="BM24" i="2"/>
  <c r="AZ24" i="2"/>
  <c r="AK24" i="2"/>
  <c r="CU23" i="2"/>
  <c r="CT23" i="2"/>
  <c r="CS23" i="2"/>
  <c r="CR23" i="2"/>
  <c r="CQ23" i="2"/>
  <c r="CP23" i="2"/>
  <c r="CO23" i="2"/>
  <c r="CN23" i="2"/>
  <c r="CM23" i="2"/>
  <c r="CL23" i="2"/>
  <c r="CK23" i="2"/>
  <c r="CJ23" i="2"/>
  <c r="CI23" i="2"/>
  <c r="CH23" i="2"/>
  <c r="CG23" i="2"/>
  <c r="CF23" i="2"/>
  <c r="CE23" i="2"/>
  <c r="CD23" i="2"/>
  <c r="CC23" i="2"/>
  <c r="CB23" i="2"/>
  <c r="CA23" i="2"/>
  <c r="BZ23" i="2"/>
  <c r="BY23" i="2"/>
  <c r="BX23" i="2"/>
  <c r="BW23" i="2"/>
  <c r="BV23" i="2"/>
  <c r="BU23" i="2"/>
  <c r="BT23" i="2"/>
  <c r="BS23" i="2"/>
  <c r="BR23" i="2"/>
  <c r="BQ23" i="2"/>
  <c r="BP23" i="2"/>
  <c r="BO23" i="2"/>
  <c r="BN23" i="2"/>
  <c r="BM23" i="2"/>
  <c r="AZ23" i="2"/>
  <c r="AK23"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AZ22" i="2"/>
  <c r="AK22" i="2"/>
  <c r="CU21" i="2"/>
  <c r="CT21" i="2"/>
  <c r="CS21" i="2"/>
  <c r="CR21" i="2"/>
  <c r="CQ21" i="2"/>
  <c r="CP21" i="2"/>
  <c r="CO21" i="2"/>
  <c r="CN21" i="2"/>
  <c r="CM21" i="2"/>
  <c r="CL21" i="2"/>
  <c r="CK21" i="2"/>
  <c r="CJ21" i="2"/>
  <c r="CI21" i="2"/>
  <c r="CH21" i="2"/>
  <c r="CG21" i="2"/>
  <c r="CF21" i="2"/>
  <c r="CE21" i="2"/>
  <c r="CD21" i="2"/>
  <c r="CC21" i="2"/>
  <c r="CB21" i="2"/>
  <c r="CA21" i="2"/>
  <c r="BZ21" i="2"/>
  <c r="BY21" i="2"/>
  <c r="BX21" i="2"/>
  <c r="BW21" i="2"/>
  <c r="BV21" i="2"/>
  <c r="BU21" i="2"/>
  <c r="BT21" i="2"/>
  <c r="BS21" i="2"/>
  <c r="BR21" i="2"/>
  <c r="BQ21" i="2"/>
  <c r="BP21" i="2"/>
  <c r="BO21" i="2"/>
  <c r="BN21" i="2"/>
  <c r="BM21" i="2"/>
  <c r="AZ21" i="2"/>
  <c r="AK21" i="2"/>
  <c r="CU20" i="2"/>
  <c r="CT20" i="2"/>
  <c r="CS20" i="2"/>
  <c r="CR20" i="2"/>
  <c r="CQ20" i="2"/>
  <c r="CP20" i="2"/>
  <c r="CO20" i="2"/>
  <c r="CN20" i="2"/>
  <c r="CM20" i="2"/>
  <c r="CL20" i="2"/>
  <c r="CK20" i="2"/>
  <c r="CJ20" i="2"/>
  <c r="CI20" i="2"/>
  <c r="CH20" i="2"/>
  <c r="CG20" i="2"/>
  <c r="CF20" i="2"/>
  <c r="CE20" i="2"/>
  <c r="CD20" i="2"/>
  <c r="CC20" i="2"/>
  <c r="CB20" i="2"/>
  <c r="CA20" i="2"/>
  <c r="BZ20" i="2"/>
  <c r="BY20" i="2"/>
  <c r="BX20" i="2"/>
  <c r="BW20" i="2"/>
  <c r="BV20" i="2"/>
  <c r="BU20" i="2"/>
  <c r="BT20" i="2"/>
  <c r="BS20" i="2"/>
  <c r="BR20" i="2"/>
  <c r="BQ20" i="2"/>
  <c r="BP20" i="2"/>
  <c r="BO20" i="2"/>
  <c r="BN20" i="2"/>
  <c r="BM20" i="2"/>
  <c r="AZ20" i="2"/>
  <c r="AK20" i="2"/>
  <c r="CU19" i="2"/>
  <c r="CT19" i="2"/>
  <c r="CS19" i="2"/>
  <c r="CR19" i="2"/>
  <c r="CQ19" i="2"/>
  <c r="CP19" i="2"/>
  <c r="CO19" i="2"/>
  <c r="CN19" i="2"/>
  <c r="CM19" i="2"/>
  <c r="CL19" i="2"/>
  <c r="CK19" i="2"/>
  <c r="CJ19" i="2"/>
  <c r="CI19" i="2"/>
  <c r="CH19" i="2"/>
  <c r="CG19" i="2"/>
  <c r="CF19" i="2"/>
  <c r="CE19" i="2"/>
  <c r="CD19" i="2"/>
  <c r="CC19" i="2"/>
  <c r="CB19" i="2"/>
  <c r="CA19" i="2"/>
  <c r="BZ19" i="2"/>
  <c r="BY19" i="2"/>
  <c r="BX19" i="2"/>
  <c r="BW19" i="2"/>
  <c r="BV19" i="2"/>
  <c r="BU19" i="2"/>
  <c r="BT19" i="2"/>
  <c r="BS19" i="2"/>
  <c r="BR19" i="2"/>
  <c r="BQ19" i="2"/>
  <c r="BP19" i="2"/>
  <c r="BO19" i="2"/>
  <c r="BN19" i="2"/>
  <c r="BM19" i="2"/>
  <c r="AZ19" i="2"/>
  <c r="AK19"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AZ18" i="2"/>
  <c r="AK18" i="2"/>
  <c r="CU17" i="2"/>
  <c r="CT17" i="2"/>
  <c r="CS17" i="2"/>
  <c r="CR17" i="2"/>
  <c r="CQ17" i="2"/>
  <c r="CP17" i="2"/>
  <c r="CO17" i="2"/>
  <c r="CN17" i="2"/>
  <c r="CM17" i="2"/>
  <c r="CL17" i="2"/>
  <c r="CK17" i="2"/>
  <c r="CJ17" i="2"/>
  <c r="CI17" i="2"/>
  <c r="CH17" i="2"/>
  <c r="CG17" i="2"/>
  <c r="CF17" i="2"/>
  <c r="CE17" i="2"/>
  <c r="CD17" i="2"/>
  <c r="CC17" i="2"/>
  <c r="CB17" i="2"/>
  <c r="CA17" i="2"/>
  <c r="BZ17" i="2"/>
  <c r="BY17" i="2"/>
  <c r="BX17" i="2"/>
  <c r="BW17" i="2"/>
  <c r="BV17" i="2"/>
  <c r="BU17" i="2"/>
  <c r="BT17" i="2"/>
  <c r="BS17" i="2"/>
  <c r="BR17" i="2"/>
  <c r="BQ17" i="2"/>
  <c r="BP17" i="2"/>
  <c r="BO17" i="2"/>
  <c r="BN17" i="2"/>
  <c r="BM17" i="2"/>
  <c r="AZ17" i="2"/>
  <c r="AK17" i="2"/>
  <c r="CU16" i="2"/>
  <c r="CT16" i="2"/>
  <c r="CS16" i="2"/>
  <c r="CR16" i="2"/>
  <c r="CQ16" i="2"/>
  <c r="CP16" i="2"/>
  <c r="CO16" i="2"/>
  <c r="CN16" i="2"/>
  <c r="CM16" i="2"/>
  <c r="CL16" i="2"/>
  <c r="CK16" i="2"/>
  <c r="CJ16" i="2"/>
  <c r="CI16" i="2"/>
  <c r="CH16" i="2"/>
  <c r="CG16" i="2"/>
  <c r="CF16" i="2"/>
  <c r="CE16" i="2"/>
  <c r="CD16" i="2"/>
  <c r="CC16" i="2"/>
  <c r="CB16" i="2"/>
  <c r="CA16" i="2"/>
  <c r="BZ16" i="2"/>
  <c r="BY16" i="2"/>
  <c r="BX16" i="2"/>
  <c r="BW16" i="2"/>
  <c r="BV16" i="2"/>
  <c r="BU16" i="2"/>
  <c r="BT16" i="2"/>
  <c r="BS16" i="2"/>
  <c r="BR16" i="2"/>
  <c r="BQ16" i="2"/>
  <c r="BP16" i="2"/>
  <c r="BO16" i="2"/>
  <c r="BN16" i="2"/>
  <c r="BM16" i="2"/>
  <c r="AZ16" i="2"/>
  <c r="AK16" i="2"/>
  <c r="CU15" i="2"/>
  <c r="CT15" i="2"/>
  <c r="CS15" i="2"/>
  <c r="CR15" i="2"/>
  <c r="CQ15" i="2"/>
  <c r="CP15" i="2"/>
  <c r="CO15" i="2"/>
  <c r="CN15" i="2"/>
  <c r="CM15" i="2"/>
  <c r="CL15" i="2"/>
  <c r="CK15" i="2"/>
  <c r="CJ15" i="2"/>
  <c r="CI15" i="2"/>
  <c r="CH15" i="2"/>
  <c r="CG15" i="2"/>
  <c r="CF15" i="2"/>
  <c r="CE15" i="2"/>
  <c r="CD15" i="2"/>
  <c r="CC15" i="2"/>
  <c r="CB15" i="2"/>
  <c r="CA15" i="2"/>
  <c r="BZ15" i="2"/>
  <c r="BY15" i="2"/>
  <c r="BX15" i="2"/>
  <c r="BW15" i="2"/>
  <c r="BV15" i="2"/>
  <c r="BU15" i="2"/>
  <c r="BT15" i="2"/>
  <c r="BS15" i="2"/>
  <c r="BR15" i="2"/>
  <c r="BQ15" i="2"/>
  <c r="BP15" i="2"/>
  <c r="BO15" i="2"/>
  <c r="BN15" i="2"/>
  <c r="BM15" i="2"/>
  <c r="AZ15" i="2"/>
  <c r="AK15" i="2"/>
  <c r="CU14" i="2"/>
  <c r="CT14" i="2"/>
  <c r="CS14" i="2"/>
  <c r="CR14" i="2"/>
  <c r="CQ14" i="2"/>
  <c r="CP14" i="2"/>
  <c r="CO14" i="2"/>
  <c r="CN14" i="2"/>
  <c r="CM14" i="2"/>
  <c r="CL14" i="2"/>
  <c r="CK14" i="2"/>
  <c r="CJ14" i="2"/>
  <c r="CI14" i="2"/>
  <c r="CH14" i="2"/>
  <c r="CG14" i="2"/>
  <c r="CF14" i="2"/>
  <c r="CE14" i="2"/>
  <c r="CD14" i="2"/>
  <c r="CC14" i="2"/>
  <c r="CB14" i="2"/>
  <c r="CA14" i="2"/>
  <c r="BZ14" i="2"/>
  <c r="BY14" i="2"/>
  <c r="BX14" i="2"/>
  <c r="BW14" i="2"/>
  <c r="BV14" i="2"/>
  <c r="BU14" i="2"/>
  <c r="BT14" i="2"/>
  <c r="BS14" i="2"/>
  <c r="BR14" i="2"/>
  <c r="BQ14" i="2"/>
  <c r="BP14" i="2"/>
  <c r="BO14" i="2"/>
  <c r="BN14" i="2"/>
  <c r="BM14" i="2"/>
  <c r="AZ14" i="2"/>
  <c r="AK14" i="2"/>
  <c r="CU13" i="2"/>
  <c r="CT13" i="2"/>
  <c r="CS13" i="2"/>
  <c r="CR13" i="2"/>
  <c r="CQ13" i="2"/>
  <c r="CP13" i="2"/>
  <c r="CO13" i="2"/>
  <c r="CN13" i="2"/>
  <c r="CM13" i="2"/>
  <c r="CL13" i="2"/>
  <c r="CK13" i="2"/>
  <c r="CJ13" i="2"/>
  <c r="CI13" i="2"/>
  <c r="CH13" i="2"/>
  <c r="CG13" i="2"/>
  <c r="CF13" i="2"/>
  <c r="CE13" i="2"/>
  <c r="CD13" i="2"/>
  <c r="CC13" i="2"/>
  <c r="CB13" i="2"/>
  <c r="CA13" i="2"/>
  <c r="BZ13" i="2"/>
  <c r="BY13" i="2"/>
  <c r="BX13" i="2"/>
  <c r="BW13" i="2"/>
  <c r="BV13" i="2"/>
  <c r="BU13" i="2"/>
  <c r="BT13" i="2"/>
  <c r="BS13" i="2"/>
  <c r="BR13" i="2"/>
  <c r="BQ13" i="2"/>
  <c r="BP13" i="2"/>
  <c r="BO13" i="2"/>
  <c r="BN13" i="2"/>
  <c r="BM13" i="2"/>
  <c r="AZ13" i="2"/>
  <c r="AK13" i="2"/>
  <c r="CU12" i="2"/>
  <c r="CT12" i="2"/>
  <c r="CS12" i="2"/>
  <c r="CR12" i="2"/>
  <c r="CQ12" i="2"/>
  <c r="CP12" i="2"/>
  <c r="CO12" i="2"/>
  <c r="CN12" i="2"/>
  <c r="CM12" i="2"/>
  <c r="CL12" i="2"/>
  <c r="CK12" i="2"/>
  <c r="CJ12" i="2"/>
  <c r="CI12" i="2"/>
  <c r="CH12" i="2"/>
  <c r="CG12" i="2"/>
  <c r="CF12" i="2"/>
  <c r="CE12" i="2"/>
  <c r="CD12" i="2"/>
  <c r="CC12" i="2"/>
  <c r="CB12" i="2"/>
  <c r="CA12" i="2"/>
  <c r="BZ12" i="2"/>
  <c r="BY12" i="2"/>
  <c r="BX12" i="2"/>
  <c r="BW12" i="2"/>
  <c r="BV12" i="2"/>
  <c r="BU12" i="2"/>
  <c r="BT12" i="2"/>
  <c r="BS12" i="2"/>
  <c r="BR12" i="2"/>
  <c r="BQ12" i="2"/>
  <c r="BP12" i="2"/>
  <c r="BO12" i="2"/>
  <c r="BN12" i="2"/>
  <c r="BM12" i="2"/>
  <c r="AZ12" i="2"/>
  <c r="AK12" i="2"/>
  <c r="AJ12" i="2"/>
  <c r="CU11" i="2"/>
  <c r="CT11" i="2"/>
  <c r="CS11" i="2"/>
  <c r="CR11" i="2"/>
  <c r="CQ11" i="2"/>
  <c r="CP11" i="2"/>
  <c r="CO11" i="2"/>
  <c r="CN11" i="2"/>
  <c r="CM11" i="2"/>
  <c r="CL11" i="2"/>
  <c r="CK11" i="2"/>
  <c r="CJ11" i="2"/>
  <c r="CI11" i="2"/>
  <c r="CH11" i="2"/>
  <c r="CG11" i="2"/>
  <c r="CF11" i="2"/>
  <c r="CE11" i="2"/>
  <c r="CD11" i="2"/>
  <c r="CC11" i="2"/>
  <c r="CB11" i="2"/>
  <c r="CA11" i="2"/>
  <c r="BZ11" i="2"/>
  <c r="BY11" i="2"/>
  <c r="BX11" i="2"/>
  <c r="BW11" i="2"/>
  <c r="BV11" i="2"/>
  <c r="BU11" i="2"/>
  <c r="BT11" i="2"/>
  <c r="BS11" i="2"/>
  <c r="BR11" i="2"/>
  <c r="BQ11" i="2"/>
  <c r="BP11" i="2"/>
  <c r="BO11" i="2"/>
  <c r="BN11" i="2"/>
  <c r="BM11" i="2"/>
  <c r="AZ11" i="2"/>
  <c r="AK11" i="2"/>
  <c r="AJ11" i="2"/>
  <c r="CU10" i="2"/>
  <c r="CT10" i="2"/>
  <c r="CS10" i="2"/>
  <c r="CR10" i="2"/>
  <c r="CQ10" i="2"/>
  <c r="CP10" i="2"/>
  <c r="CO10" i="2"/>
  <c r="CN10" i="2"/>
  <c r="CM10" i="2"/>
  <c r="CL10" i="2"/>
  <c r="CK10" i="2"/>
  <c r="CJ10" i="2"/>
  <c r="CI10" i="2"/>
  <c r="CH10" i="2"/>
  <c r="CG10" i="2"/>
  <c r="CF10" i="2"/>
  <c r="CE10" i="2"/>
  <c r="CD10" i="2"/>
  <c r="CC10" i="2"/>
  <c r="CB10" i="2"/>
  <c r="CA10" i="2"/>
  <c r="BZ10" i="2"/>
  <c r="BY10" i="2"/>
  <c r="BX10" i="2"/>
  <c r="BW10" i="2"/>
  <c r="BV10" i="2"/>
  <c r="BU10" i="2"/>
  <c r="BT10" i="2"/>
  <c r="BS10" i="2"/>
  <c r="BR10" i="2"/>
  <c r="BQ10" i="2"/>
  <c r="BP10" i="2"/>
  <c r="BO10" i="2"/>
  <c r="BN10" i="2"/>
  <c r="BM10" i="2"/>
  <c r="AZ10" i="2"/>
  <c r="AK10" i="2"/>
  <c r="AJ10" i="2"/>
  <c r="CU9" i="2"/>
  <c r="CT9" i="2"/>
  <c r="CS9" i="2"/>
  <c r="CR9" i="2"/>
  <c r="CQ9" i="2"/>
  <c r="CP9" i="2"/>
  <c r="CO9" i="2"/>
  <c r="CN9" i="2"/>
  <c r="CM9" i="2"/>
  <c r="CL9" i="2"/>
  <c r="CK9" i="2"/>
  <c r="CJ9" i="2"/>
  <c r="CI9" i="2"/>
  <c r="CH9" i="2"/>
  <c r="CG9" i="2"/>
  <c r="CF9" i="2"/>
  <c r="CE9" i="2"/>
  <c r="CD9" i="2"/>
  <c r="CC9" i="2"/>
  <c r="CB9" i="2"/>
  <c r="CA9" i="2"/>
  <c r="BZ9" i="2"/>
  <c r="BY9" i="2"/>
  <c r="BX9" i="2"/>
  <c r="BW9" i="2"/>
  <c r="BV9" i="2"/>
  <c r="BU9" i="2"/>
  <c r="BT9" i="2"/>
  <c r="BS9" i="2"/>
  <c r="BR9" i="2"/>
  <c r="BQ9" i="2"/>
  <c r="BP9" i="2"/>
  <c r="BO9" i="2"/>
  <c r="BN9" i="2"/>
  <c r="BM9" i="2"/>
  <c r="AZ9" i="2"/>
  <c r="AK9" i="2"/>
  <c r="AJ9" i="2"/>
  <c r="CU8" i="2"/>
  <c r="CT8" i="2"/>
  <c r="CS8" i="2"/>
  <c r="CR8" i="2"/>
  <c r="CQ8" i="2"/>
  <c r="CP8" i="2"/>
  <c r="CO8"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AZ8" i="2"/>
  <c r="AK8" i="2"/>
  <c r="AJ8" i="2"/>
  <c r="CU7" i="2"/>
  <c r="CT7" i="2"/>
  <c r="CS7" i="2"/>
  <c r="CR7" i="2"/>
  <c r="CQ7" i="2"/>
  <c r="CP7" i="2"/>
  <c r="CO7"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AZ7" i="2"/>
  <c r="AK7" i="2"/>
  <c r="AJ7" i="2"/>
  <c r="CU6" i="2"/>
  <c r="CT6" i="2"/>
  <c r="CS6" i="2"/>
  <c r="CR6" i="2"/>
  <c r="CQ6" i="2"/>
  <c r="CP6" i="2"/>
  <c r="CO6"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AZ6" i="2"/>
  <c r="AL6" i="2"/>
  <c r="AL7" i="2" s="1"/>
  <c r="AL8" i="2" s="1"/>
  <c r="AL9" i="2" s="1"/>
  <c r="AL10" i="2" s="1"/>
  <c r="AL11" i="2" s="1"/>
  <c r="AL12" i="2" s="1"/>
  <c r="AL13" i="2" s="1"/>
  <c r="AL14" i="2" s="1"/>
  <c r="AL15" i="2" s="1"/>
  <c r="AL16" i="2" s="1"/>
  <c r="AL17" i="2" s="1"/>
  <c r="AL18" i="2" s="1"/>
  <c r="AL19" i="2" s="1"/>
  <c r="AL20" i="2" s="1"/>
  <c r="AL21" i="2" s="1"/>
  <c r="AL22" i="2" s="1"/>
  <c r="AL23" i="2" s="1"/>
  <c r="AL24" i="2" s="1"/>
  <c r="AL25" i="2" s="1"/>
  <c r="AL26" i="2" s="1"/>
  <c r="AL27" i="2" s="1"/>
  <c r="AL28" i="2" s="1"/>
  <c r="AL29" i="2" s="1"/>
  <c r="AL30" i="2" s="1"/>
  <c r="AL31" i="2" s="1"/>
  <c r="AL32" i="2" s="1"/>
  <c r="AL33" i="2" s="1"/>
  <c r="AL34" i="2" s="1"/>
  <c r="AL35" i="2" s="1"/>
  <c r="AL36" i="2" s="1"/>
  <c r="AL37" i="2" s="1"/>
  <c r="AL38" i="2" s="1"/>
  <c r="AL39" i="2" s="1"/>
  <c r="AL40" i="2" s="1"/>
  <c r="AL41" i="2" s="1"/>
  <c r="AK6" i="2"/>
  <c r="AJ6" i="2"/>
  <c r="CU5" i="2"/>
  <c r="CT5" i="2"/>
  <c r="CS5" i="2"/>
  <c r="CR5" i="2"/>
  <c r="CQ5" i="2"/>
  <c r="CP5" i="2"/>
  <c r="CO5" i="2"/>
  <c r="CN5" i="2"/>
  <c r="CM5" i="2"/>
  <c r="CL5" i="2"/>
  <c r="CK5" i="2"/>
  <c r="CJ5" i="2"/>
  <c r="CI5" i="2"/>
  <c r="CH5" i="2"/>
  <c r="CG5" i="2"/>
  <c r="CF5" i="2"/>
  <c r="CE5" i="2"/>
  <c r="CD5" i="2"/>
  <c r="CC5" i="2"/>
  <c r="CB5" i="2"/>
  <c r="CA5" i="2"/>
  <c r="BZ5" i="2"/>
  <c r="BY5" i="2"/>
  <c r="BX5" i="2"/>
  <c r="BW5" i="2"/>
  <c r="BV5" i="2"/>
  <c r="BU5" i="2"/>
  <c r="BT5" i="2"/>
  <c r="BS5" i="2"/>
  <c r="BR5" i="2"/>
  <c r="BQ5" i="2"/>
  <c r="BP5" i="2"/>
  <c r="BO5" i="2"/>
  <c r="BN5" i="2"/>
  <c r="BM5" i="2"/>
  <c r="AZ5" i="2"/>
  <c r="AL5" i="2"/>
  <c r="AK5" i="2"/>
  <c r="AJ5" i="2"/>
  <c r="AQ4" i="2"/>
  <c r="AR4" i="2" s="1"/>
  <c r="AR7" i="2" s="1"/>
  <c r="AS8" i="2" s="1"/>
  <c r="AJ4" i="2"/>
  <c r="I3" i="2"/>
  <c r="H42" i="1"/>
  <c r="AA41" i="1"/>
  <c r="H41" i="1"/>
  <c r="AC40" i="1"/>
  <c r="Z40" i="1"/>
  <c r="T40" i="1"/>
  <c r="S40" i="1"/>
  <c r="R40" i="1"/>
  <c r="W40" i="1" s="1"/>
  <c r="N40" i="1"/>
  <c r="M40" i="1"/>
  <c r="L40" i="1"/>
  <c r="K40" i="1"/>
  <c r="J40" i="1"/>
  <c r="I40" i="1"/>
  <c r="AC39" i="1"/>
  <c r="Z39" i="1"/>
  <c r="T39" i="1"/>
  <c r="R39" i="1"/>
  <c r="N39" i="1"/>
  <c r="M39" i="1"/>
  <c r="L39" i="1"/>
  <c r="I39" i="1"/>
  <c r="AC38" i="1"/>
  <c r="Z38" i="1"/>
  <c r="W38" i="1"/>
  <c r="T38" i="1"/>
  <c r="R38" i="1"/>
  <c r="N38" i="1"/>
  <c r="M38" i="1"/>
  <c r="L38" i="1"/>
  <c r="I38" i="1"/>
  <c r="Z37" i="1"/>
  <c r="U37" i="1"/>
  <c r="T37" i="1"/>
  <c r="R37" i="1"/>
  <c r="N37" i="1"/>
  <c r="M37" i="1"/>
  <c r="L37" i="1"/>
  <c r="I37" i="1"/>
  <c r="AD36" i="1"/>
  <c r="AC36" i="1"/>
  <c r="Z36" i="1"/>
  <c r="W36" i="1"/>
  <c r="T36" i="1"/>
  <c r="S36" i="1"/>
  <c r="R36" i="1"/>
  <c r="O36" i="1"/>
  <c r="N36" i="1"/>
  <c r="M36" i="1"/>
  <c r="L36" i="1"/>
  <c r="K36" i="1"/>
  <c r="J36" i="1"/>
  <c r="I36" i="1"/>
  <c r="AC35" i="1"/>
  <c r="Z35" i="1"/>
  <c r="T35" i="1"/>
  <c r="S35" i="1"/>
  <c r="R35" i="1"/>
  <c r="W35" i="1" s="1"/>
  <c r="N35" i="1"/>
  <c r="M35" i="1"/>
  <c r="L35" i="1"/>
  <c r="K35" i="1"/>
  <c r="J35" i="1"/>
  <c r="I35" i="1"/>
  <c r="AC34" i="1"/>
  <c r="Z34" i="1"/>
  <c r="T34" i="1"/>
  <c r="R34" i="1"/>
  <c r="N34" i="1"/>
  <c r="M34" i="1"/>
  <c r="L34" i="1"/>
  <c r="I34" i="1"/>
  <c r="Z33" i="1"/>
  <c r="U33" i="1"/>
  <c r="AC33" i="1" s="1"/>
  <c r="T33" i="1"/>
  <c r="R33" i="1"/>
  <c r="W33" i="1" s="1"/>
  <c r="N33" i="1"/>
  <c r="M33" i="1"/>
  <c r="L33" i="1"/>
  <c r="I33" i="1"/>
  <c r="Z32" i="1"/>
  <c r="U32" i="1"/>
  <c r="AC32" i="1" s="1"/>
  <c r="T32" i="1"/>
  <c r="R32" i="1"/>
  <c r="W32" i="1" s="1"/>
  <c r="N32" i="1"/>
  <c r="M32" i="1"/>
  <c r="L32" i="1"/>
  <c r="I32" i="1"/>
  <c r="J32" i="1" s="1"/>
  <c r="AC31" i="1"/>
  <c r="Z31" i="1"/>
  <c r="T31" i="1"/>
  <c r="R31" i="1"/>
  <c r="W31" i="1" s="1"/>
  <c r="N31" i="1"/>
  <c r="M31" i="1"/>
  <c r="L31" i="1"/>
  <c r="I31" i="1"/>
  <c r="Z30" i="1"/>
  <c r="U30" i="1"/>
  <c r="T30" i="1"/>
  <c r="R30" i="1"/>
  <c r="N30" i="1"/>
  <c r="M30" i="1"/>
  <c r="L30" i="1"/>
  <c r="I30" i="1"/>
  <c r="AD29" i="1"/>
  <c r="AC29" i="1"/>
  <c r="Z29" i="1"/>
  <c r="W29" i="1"/>
  <c r="T29" i="1"/>
  <c r="S29" i="1"/>
  <c r="R29" i="1"/>
  <c r="O29" i="1"/>
  <c r="N29" i="1"/>
  <c r="M29" i="1"/>
  <c r="L29" i="1"/>
  <c r="K29" i="1"/>
  <c r="J29" i="1"/>
  <c r="I29" i="1"/>
  <c r="AC28" i="1"/>
  <c r="Z28" i="1"/>
  <c r="T28" i="1"/>
  <c r="S28" i="1"/>
  <c r="R28" i="1"/>
  <c r="W28" i="1" s="1"/>
  <c r="N28" i="1"/>
  <c r="M28" i="1"/>
  <c r="L28" i="1"/>
  <c r="K28" i="1"/>
  <c r="J28" i="1"/>
  <c r="I28" i="1"/>
  <c r="AC27" i="1"/>
  <c r="Z27" i="1"/>
  <c r="T27" i="1"/>
  <c r="S27" i="1"/>
  <c r="R27" i="1"/>
  <c r="N27" i="1"/>
  <c r="M27" i="1"/>
  <c r="L27" i="1"/>
  <c r="I27" i="1"/>
  <c r="Z26" i="1"/>
  <c r="U26" i="1"/>
  <c r="AC26" i="1" s="1"/>
  <c r="T26" i="1"/>
  <c r="S26" i="1"/>
  <c r="R26" i="1"/>
  <c r="N26" i="1"/>
  <c r="M26" i="1"/>
  <c r="L26" i="1"/>
  <c r="J26" i="1"/>
  <c r="I26" i="1"/>
  <c r="AC25" i="1"/>
  <c r="Z25" i="1"/>
  <c r="W25" i="1"/>
  <c r="T25" i="1"/>
  <c r="R25" i="1"/>
  <c r="N25" i="1"/>
  <c r="M25" i="1"/>
  <c r="L25" i="1"/>
  <c r="I25" i="1"/>
  <c r="Z24" i="1"/>
  <c r="W24" i="1"/>
  <c r="U24" i="1"/>
  <c r="T24" i="1"/>
  <c r="R24" i="1"/>
  <c r="N24" i="1"/>
  <c r="M24" i="1"/>
  <c r="L24" i="1"/>
  <c r="I24" i="1"/>
  <c r="AD23" i="1"/>
  <c r="AC23" i="1"/>
  <c r="Z23" i="1"/>
  <c r="W23" i="1"/>
  <c r="T23" i="1"/>
  <c r="S23" i="1"/>
  <c r="R23" i="1"/>
  <c r="O23" i="1"/>
  <c r="N23" i="1"/>
  <c r="M23" i="1"/>
  <c r="L23" i="1"/>
  <c r="K23" i="1"/>
  <c r="J23" i="1"/>
  <c r="I23" i="1"/>
  <c r="Z22" i="1"/>
  <c r="T22" i="1"/>
  <c r="S22" i="1"/>
  <c r="R22" i="1"/>
  <c r="N22" i="1"/>
  <c r="M22" i="1"/>
  <c r="L22" i="1"/>
  <c r="K22" i="1"/>
  <c r="J22" i="1"/>
  <c r="I22" i="1"/>
  <c r="Z21" i="1"/>
  <c r="U21" i="1"/>
  <c r="AC21" i="1" s="1"/>
  <c r="T21" i="1"/>
  <c r="S21" i="1"/>
  <c r="R21" i="1"/>
  <c r="N21" i="1"/>
  <c r="M21" i="1"/>
  <c r="L21" i="1"/>
  <c r="K21" i="1"/>
  <c r="J21" i="1"/>
  <c r="I21" i="1"/>
  <c r="AC20" i="1"/>
  <c r="Z20" i="1"/>
  <c r="W20" i="1"/>
  <c r="T20" i="1"/>
  <c r="R20" i="1"/>
  <c r="O20" i="1"/>
  <c r="N20" i="1"/>
  <c r="M20" i="1"/>
  <c r="L20" i="1"/>
  <c r="K20" i="1"/>
  <c r="I20" i="1"/>
  <c r="Z19" i="1"/>
  <c r="U19" i="1"/>
  <c r="T19" i="1"/>
  <c r="R19" i="1"/>
  <c r="O19" i="1"/>
  <c r="N19" i="1"/>
  <c r="M19" i="1"/>
  <c r="L19" i="1"/>
  <c r="P19" i="1" s="1"/>
  <c r="K19" i="1"/>
  <c r="I19" i="1"/>
  <c r="Z18" i="1"/>
  <c r="U18" i="1"/>
  <c r="T18" i="1"/>
  <c r="R18" i="1"/>
  <c r="O18" i="1"/>
  <c r="N18" i="1"/>
  <c r="M18" i="1"/>
  <c r="L18" i="1"/>
  <c r="K18" i="1"/>
  <c r="I18" i="1"/>
  <c r="Z17" i="1"/>
  <c r="W17" i="1"/>
  <c r="T17" i="1"/>
  <c r="R17" i="1"/>
  <c r="O17" i="1"/>
  <c r="N17" i="1"/>
  <c r="M17" i="1"/>
  <c r="L17" i="1"/>
  <c r="K17" i="1"/>
  <c r="I17" i="1"/>
  <c r="AD16" i="1"/>
  <c r="AC16" i="1"/>
  <c r="Z16" i="1"/>
  <c r="W16" i="1"/>
  <c r="T16" i="1"/>
  <c r="S16" i="1"/>
  <c r="R16" i="1"/>
  <c r="O16" i="1"/>
  <c r="P16" i="1" s="1"/>
  <c r="N16" i="1"/>
  <c r="M16" i="1"/>
  <c r="L16" i="1"/>
  <c r="K16" i="1"/>
  <c r="J16" i="1"/>
  <c r="I16" i="1"/>
  <c r="AC15" i="1"/>
  <c r="Z15" i="1"/>
  <c r="T15" i="1"/>
  <c r="S15" i="1"/>
  <c r="R15" i="1"/>
  <c r="W15" i="1" s="1"/>
  <c r="N15" i="1"/>
  <c r="M15" i="1"/>
  <c r="O15" i="1" s="1"/>
  <c r="L15" i="1"/>
  <c r="J15" i="1"/>
  <c r="I15" i="1"/>
  <c r="K15" i="1" s="1"/>
  <c r="Z14" i="1"/>
  <c r="T14" i="1"/>
  <c r="S14" i="1"/>
  <c r="R14" i="1"/>
  <c r="N14" i="1"/>
  <c r="M14" i="1"/>
  <c r="O14" i="1" s="1"/>
  <c r="L14" i="1"/>
  <c r="J14" i="1"/>
  <c r="I14" i="1"/>
  <c r="K14" i="1" s="1"/>
  <c r="AC13" i="1"/>
  <c r="Z13" i="1"/>
  <c r="T13" i="1"/>
  <c r="R13" i="1"/>
  <c r="S13" i="1" s="1"/>
  <c r="N13" i="1"/>
  <c r="M13" i="1"/>
  <c r="L13" i="1"/>
  <c r="I13" i="1"/>
  <c r="J13" i="1" s="1"/>
  <c r="Z12" i="1"/>
  <c r="U12" i="1"/>
  <c r="AC12" i="1" s="1"/>
  <c r="T12" i="1"/>
  <c r="R12" i="1"/>
  <c r="S12" i="1" s="1"/>
  <c r="N12" i="1"/>
  <c r="M12" i="1"/>
  <c r="L12" i="1"/>
  <c r="I12" i="1"/>
  <c r="K12" i="1" s="1"/>
  <c r="Z11" i="1"/>
  <c r="U11" i="1"/>
  <c r="AC11" i="1" s="1"/>
  <c r="T11" i="1"/>
  <c r="R11" i="1"/>
  <c r="N11" i="1"/>
  <c r="M11" i="1"/>
  <c r="O11" i="1" s="1"/>
  <c r="L11" i="1"/>
  <c r="I11" i="1"/>
  <c r="Z10" i="1"/>
  <c r="U10" i="1"/>
  <c r="AC10" i="1" s="1"/>
  <c r="T10" i="1"/>
  <c r="R10" i="1"/>
  <c r="S10" i="1" s="1"/>
  <c r="N10" i="1"/>
  <c r="M10" i="1"/>
  <c r="L10" i="1"/>
  <c r="I10" i="1"/>
  <c r="K10" i="1" s="1"/>
  <c r="Z9" i="1"/>
  <c r="U9" i="1"/>
  <c r="AC9" i="1" s="1"/>
  <c r="T9" i="1"/>
  <c r="R9" i="1"/>
  <c r="N9" i="1"/>
  <c r="M9" i="1"/>
  <c r="L9" i="1"/>
  <c r="I9" i="1"/>
  <c r="K9" i="1" s="1"/>
  <c r="Z8" i="1"/>
  <c r="U8" i="1"/>
  <c r="AC8" i="1" s="1"/>
  <c r="T8" i="1"/>
  <c r="R8" i="1"/>
  <c r="N8" i="1"/>
  <c r="M8" i="1"/>
  <c r="L8" i="1"/>
  <c r="I8" i="1"/>
  <c r="Z7" i="1"/>
  <c r="T7" i="1"/>
  <c r="R7" i="1"/>
  <c r="S7" i="1" s="1"/>
  <c r="N7" i="1"/>
  <c r="M7" i="1"/>
  <c r="L7" i="1"/>
  <c r="I7" i="1"/>
  <c r="Z6" i="1"/>
  <c r="T6" i="1"/>
  <c r="R6" i="1"/>
  <c r="N6" i="1"/>
  <c r="M6" i="1"/>
  <c r="L6" i="1"/>
  <c r="I6" i="1"/>
  <c r="K6" i="1" s="1"/>
  <c r="Z5" i="1"/>
  <c r="U5" i="1"/>
  <c r="AC5" i="1" s="1"/>
  <c r="T5" i="1"/>
  <c r="R5" i="1"/>
  <c r="W5" i="1" s="1"/>
  <c r="N5" i="1"/>
  <c r="M5" i="1"/>
  <c r="L5" i="1"/>
  <c r="I5" i="1"/>
  <c r="AC4" i="1"/>
  <c r="Z4" i="1"/>
  <c r="W4" i="1"/>
  <c r="T4" i="1"/>
  <c r="R4" i="1"/>
  <c r="O4" i="1"/>
  <c r="N4" i="1"/>
  <c r="M4" i="1"/>
  <c r="L4" i="1"/>
  <c r="K4" i="1"/>
  <c r="I4" i="1"/>
  <c r="AM16" i="2" l="1"/>
  <c r="AM17" i="2"/>
  <c r="AM18" i="2"/>
  <c r="AM19" i="2"/>
  <c r="AM20" i="2"/>
  <c r="AM21" i="2"/>
  <c r="AM22" i="2"/>
  <c r="AM23" i="2"/>
  <c r="AM24" i="2"/>
  <c r="AM25" i="2"/>
  <c r="AM32" i="2"/>
  <c r="AM33" i="2"/>
  <c r="BD5" i="2"/>
  <c r="AM27" i="2"/>
  <c r="BA6" i="2"/>
  <c r="AM5" i="2"/>
  <c r="AM8" i="2"/>
  <c r="AM10" i="2"/>
  <c r="AM35" i="2"/>
  <c r="AM31" i="2"/>
  <c r="AM40" i="2"/>
  <c r="AM6" i="2"/>
  <c r="BA39" i="2"/>
  <c r="AM12" i="2"/>
  <c r="AM36" i="2"/>
  <c r="AM37" i="2"/>
  <c r="AM38" i="2"/>
  <c r="AM7" i="2"/>
  <c r="AM9" i="2"/>
  <c r="AM13" i="2"/>
  <c r="AM14" i="2"/>
  <c r="AM15" i="2"/>
  <c r="AM26" i="2"/>
  <c r="AM39" i="2"/>
  <c r="BA16" i="2"/>
  <c r="AM28" i="2"/>
  <c r="AM29" i="2"/>
  <c r="AM30" i="2"/>
  <c r="BA21" i="2"/>
  <c r="AM11" i="2"/>
  <c r="AM34" i="2"/>
  <c r="DQ5" i="4"/>
  <c r="X17" i="3"/>
  <c r="BI6" i="4"/>
  <c r="L8" i="3"/>
  <c r="EU8" i="4"/>
  <c r="AD33" i="3"/>
  <c r="EU9" i="4"/>
  <c r="AD41" i="3"/>
  <c r="EU10" i="4"/>
  <c r="AD18" i="3"/>
  <c r="CC11" i="4"/>
  <c r="P19" i="3"/>
  <c r="P11" i="1"/>
  <c r="EU11" i="4"/>
  <c r="AD19" i="3"/>
  <c r="EU12" i="4"/>
  <c r="AD20" i="3"/>
  <c r="DQ15" i="4"/>
  <c r="X11" i="3"/>
  <c r="X12" i="3" s="1"/>
  <c r="CW7" i="4"/>
  <c r="T9" i="3"/>
  <c r="BI15" i="4"/>
  <c r="L11" i="3"/>
  <c r="L12" i="3" s="1"/>
  <c r="CH16" i="4"/>
  <c r="Q45" i="3"/>
  <c r="CC14" i="4"/>
  <c r="P42" i="3"/>
  <c r="P14" i="1"/>
  <c r="EU21" i="4"/>
  <c r="AD31" i="3"/>
  <c r="AD32" i="3" s="1"/>
  <c r="BD32" i="4"/>
  <c r="K27" i="3"/>
  <c r="DQ32" i="4"/>
  <c r="X27" i="3"/>
  <c r="DQ33" i="4"/>
  <c r="X28" i="3"/>
  <c r="CH19" i="4"/>
  <c r="Q22" i="3"/>
  <c r="DQ31" i="4"/>
  <c r="X39" i="3"/>
  <c r="X40" i="3" s="1"/>
  <c r="EU5" i="4"/>
  <c r="AD17" i="3"/>
  <c r="BI9" i="4"/>
  <c r="L41" i="3"/>
  <c r="BI10" i="4"/>
  <c r="L18" i="3"/>
  <c r="CW10" i="4"/>
  <c r="T18" i="3"/>
  <c r="AD10" i="1"/>
  <c r="BI12" i="4"/>
  <c r="L20" i="3"/>
  <c r="CW12" i="4"/>
  <c r="T20" i="3"/>
  <c r="AD12" i="1"/>
  <c r="BD13" i="4"/>
  <c r="K44" i="3"/>
  <c r="CW13" i="4"/>
  <c r="T44" i="3"/>
  <c r="AD13" i="1"/>
  <c r="BI14" i="4"/>
  <c r="L42" i="3"/>
  <c r="CC15" i="4"/>
  <c r="P11" i="3"/>
  <c r="P12" i="3" s="1"/>
  <c r="P15" i="1"/>
  <c r="DQ4" i="4"/>
  <c r="X6" i="3"/>
  <c r="X7" i="3" s="1"/>
  <c r="BS5" i="4"/>
  <c r="N17" i="3"/>
  <c r="CR6" i="4"/>
  <c r="S8" i="3"/>
  <c r="AY8" i="4"/>
  <c r="J33" i="3"/>
  <c r="CR9" i="4"/>
  <c r="S41" i="3"/>
  <c r="EF14" i="4"/>
  <c r="AA42" i="3"/>
  <c r="EU15" i="4"/>
  <c r="AD11" i="3"/>
  <c r="AD12" i="3" s="1"/>
  <c r="DB16" i="4"/>
  <c r="U45" i="3"/>
  <c r="DQ17" i="4"/>
  <c r="X46" i="3"/>
  <c r="BN18" i="4"/>
  <c r="M21" i="3"/>
  <c r="DG18" i="4"/>
  <c r="V21" i="3"/>
  <c r="BN20" i="4"/>
  <c r="M34" i="3"/>
  <c r="P20" i="1"/>
  <c r="EF26" i="4"/>
  <c r="AA25" i="3"/>
  <c r="BD28" i="4"/>
  <c r="K53" i="3"/>
  <c r="CR30" i="4"/>
  <c r="S26" i="3"/>
  <c r="S30" i="1"/>
  <c r="AY34" i="4"/>
  <c r="J49" i="3"/>
  <c r="K34" i="1"/>
  <c r="J34" i="1"/>
  <c r="EZ36" i="4"/>
  <c r="AI50" i="3"/>
  <c r="AE50" i="3"/>
  <c r="BN38" i="4"/>
  <c r="M13" i="3"/>
  <c r="M14" i="3" s="1"/>
  <c r="BF5" i="2"/>
  <c r="BA17" i="2"/>
  <c r="BA20" i="2"/>
  <c r="BA24" i="2"/>
  <c r="BA32" i="2"/>
  <c r="AY5" i="4"/>
  <c r="J17" i="3"/>
  <c r="BS6" i="4"/>
  <c r="N8" i="3"/>
  <c r="CR8" i="4"/>
  <c r="S33" i="3"/>
  <c r="EF13" i="4"/>
  <c r="AA44" i="3"/>
  <c r="CW15" i="4"/>
  <c r="T11" i="3"/>
  <c r="T12" i="3" s="1"/>
  <c r="EF21" i="4"/>
  <c r="AA31" i="3"/>
  <c r="AA32" i="3" s="1"/>
  <c r="BD22" i="4"/>
  <c r="K23" i="3"/>
  <c r="BX22" i="4"/>
  <c r="O23" i="3"/>
  <c r="BI23" i="4"/>
  <c r="L47" i="3"/>
  <c r="CC23" i="4"/>
  <c r="P47" i="3"/>
  <c r="DB23" i="4"/>
  <c r="U47" i="3"/>
  <c r="EZ23" i="4"/>
  <c r="AI47" i="3"/>
  <c r="AE47" i="3"/>
  <c r="DG24" i="4"/>
  <c r="V24" i="3"/>
  <c r="AC24" i="1"/>
  <c r="AY25" i="4"/>
  <c r="J52" i="3"/>
  <c r="K25" i="1"/>
  <c r="J25" i="1"/>
  <c r="CW26" i="4"/>
  <c r="T25" i="3"/>
  <c r="AD26" i="1"/>
  <c r="BS27" i="4"/>
  <c r="N15" i="3"/>
  <c r="N16" i="3" s="1"/>
  <c r="O27" i="1"/>
  <c r="BX28" i="4"/>
  <c r="O53" i="3"/>
  <c r="BN30" i="4"/>
  <c r="M26" i="3"/>
  <c r="BS31" i="4"/>
  <c r="N39" i="3"/>
  <c r="N40" i="3" s="1"/>
  <c r="O31" i="1"/>
  <c r="EU32" i="4"/>
  <c r="AD27" i="3"/>
  <c r="CR34" i="4"/>
  <c r="S49" i="3"/>
  <c r="W34" i="1"/>
  <c r="S34" i="1"/>
  <c r="DG37" i="4"/>
  <c r="V29" i="3"/>
  <c r="AC37" i="1"/>
  <c r="EF4" i="4"/>
  <c r="AA57" i="3"/>
  <c r="AA6" i="3"/>
  <c r="AA7" i="3" s="1"/>
  <c r="Z41" i="1"/>
  <c r="EF5" i="4"/>
  <c r="AA17" i="3"/>
  <c r="J6" i="1"/>
  <c r="BX6" i="4"/>
  <c r="O8" i="3"/>
  <c r="S6" i="1"/>
  <c r="EF7" i="4"/>
  <c r="AA9" i="3"/>
  <c r="J8" i="1"/>
  <c r="BX8" i="4"/>
  <c r="O33" i="3"/>
  <c r="S8" i="1"/>
  <c r="EF9" i="4"/>
  <c r="AA41" i="3"/>
  <c r="J10" i="1"/>
  <c r="BX10" i="4"/>
  <c r="O18" i="3"/>
  <c r="BX11" i="4"/>
  <c r="O19" i="3"/>
  <c r="EF12" i="4"/>
  <c r="AA20" i="3"/>
  <c r="DB14" i="4"/>
  <c r="U42" i="3"/>
  <c r="AD15" i="1"/>
  <c r="BN16" i="4"/>
  <c r="M45" i="3"/>
  <c r="AY17" i="4"/>
  <c r="J46" i="3"/>
  <c r="CR17" i="4"/>
  <c r="S46" i="3"/>
  <c r="AY18" i="4"/>
  <c r="J21" i="3"/>
  <c r="BS18" i="4"/>
  <c r="N21" i="3"/>
  <c r="CR18" i="4"/>
  <c r="S21" i="3"/>
  <c r="W18" i="1"/>
  <c r="AY19" i="4"/>
  <c r="J22" i="3"/>
  <c r="BS19" i="4"/>
  <c r="N22" i="3"/>
  <c r="CR19" i="4"/>
  <c r="S22" i="3"/>
  <c r="W19" i="1"/>
  <c r="AY20" i="4"/>
  <c r="J34" i="3"/>
  <c r="BS20" i="4"/>
  <c r="N34" i="3"/>
  <c r="CR20" i="4"/>
  <c r="S34" i="3"/>
  <c r="CW21" i="4"/>
  <c r="T31" i="3"/>
  <c r="T32" i="3" s="1"/>
  <c r="DB22" i="4"/>
  <c r="U23" i="3"/>
  <c r="BN23" i="4"/>
  <c r="M47" i="3"/>
  <c r="P23" i="1"/>
  <c r="AY24" i="4"/>
  <c r="J24" i="3"/>
  <c r="K24" i="1"/>
  <c r="J24" i="1"/>
  <c r="DQ24" i="4"/>
  <c r="X24" i="3"/>
  <c r="BN25" i="4"/>
  <c r="M52" i="3"/>
  <c r="CR25" i="4"/>
  <c r="S52" i="3"/>
  <c r="S25" i="1"/>
  <c r="BS26" i="4"/>
  <c r="N25" i="3"/>
  <c r="O26" i="1"/>
  <c r="AY27" i="4"/>
  <c r="J15" i="3"/>
  <c r="J16" i="3" s="1"/>
  <c r="K27" i="1"/>
  <c r="BX27" i="4"/>
  <c r="O15" i="3"/>
  <c r="O16" i="3" s="1"/>
  <c r="BI28" i="4"/>
  <c r="L53" i="3"/>
  <c r="BS30" i="4"/>
  <c r="N26" i="3"/>
  <c r="O30" i="1"/>
  <c r="BS33" i="4"/>
  <c r="N28" i="3"/>
  <c r="O33" i="1"/>
  <c r="BD35" i="4"/>
  <c r="K54" i="3"/>
  <c r="BA36" i="2"/>
  <c r="BN4" i="4"/>
  <c r="M57" i="3"/>
  <c r="M6" i="3"/>
  <c r="M7" i="3" s="1"/>
  <c r="L41" i="1"/>
  <c r="CR5" i="4"/>
  <c r="S17" i="3"/>
  <c r="AY7" i="4"/>
  <c r="J9" i="3"/>
  <c r="BS7" i="4"/>
  <c r="N9" i="3"/>
  <c r="BS8" i="4"/>
  <c r="N33" i="3"/>
  <c r="N35" i="3" s="1"/>
  <c r="W8" i="1"/>
  <c r="BS9" i="4"/>
  <c r="N41" i="3"/>
  <c r="W9" i="1"/>
  <c r="BS10" i="4"/>
  <c r="N18" i="3"/>
  <c r="AY11" i="4"/>
  <c r="J19" i="3"/>
  <c r="CR11" i="4"/>
  <c r="S19" i="3"/>
  <c r="W11" i="1"/>
  <c r="BS12" i="4"/>
  <c r="N20" i="3"/>
  <c r="AY13" i="4"/>
  <c r="J44" i="3"/>
  <c r="BS13" i="4"/>
  <c r="N44" i="3"/>
  <c r="CW14" i="4"/>
  <c r="T42" i="3"/>
  <c r="BD15" i="4"/>
  <c r="K11" i="3"/>
  <c r="K12" i="3" s="1"/>
  <c r="BI16" i="4"/>
  <c r="L45" i="3"/>
  <c r="CC16" i="4"/>
  <c r="P45" i="3"/>
  <c r="EZ16" i="4"/>
  <c r="AI45" i="3"/>
  <c r="AE45" i="3"/>
  <c r="BN17" i="4"/>
  <c r="M46" i="3"/>
  <c r="P17" i="1"/>
  <c r="P18" i="1"/>
  <c r="BN19" i="4"/>
  <c r="M22" i="3"/>
  <c r="DG19" i="4"/>
  <c r="V22" i="3"/>
  <c r="DQ20" i="4"/>
  <c r="X34" i="3"/>
  <c r="CW22" i="4"/>
  <c r="T23" i="3"/>
  <c r="EF25" i="4"/>
  <c r="AA52" i="3"/>
  <c r="DB28" i="4"/>
  <c r="U53" i="3"/>
  <c r="AY32" i="4"/>
  <c r="J27" i="3"/>
  <c r="K32" i="1"/>
  <c r="BX32" i="4"/>
  <c r="O27" i="3"/>
  <c r="DB36" i="4"/>
  <c r="U50" i="3"/>
  <c r="CW40" i="4"/>
  <c r="T37" i="3"/>
  <c r="AD40" i="1"/>
  <c r="AY4" i="4"/>
  <c r="J57" i="3"/>
  <c r="J6" i="3"/>
  <c r="J7" i="3" s="1"/>
  <c r="I41" i="1"/>
  <c r="BS4" i="4"/>
  <c r="N57" i="3"/>
  <c r="N6" i="3"/>
  <c r="N7" i="3" s="1"/>
  <c r="M41" i="1"/>
  <c r="CR4" i="4"/>
  <c r="S57" i="3"/>
  <c r="S6" i="3"/>
  <c r="S7" i="3" s="1"/>
  <c r="R41" i="1"/>
  <c r="R42" i="1" s="1"/>
  <c r="J5" i="1"/>
  <c r="BX5" i="4"/>
  <c r="O17" i="3"/>
  <c r="S5" i="1"/>
  <c r="EF6" i="4"/>
  <c r="AA8" i="3"/>
  <c r="AA10" i="3" s="1"/>
  <c r="J7" i="1"/>
  <c r="BX7" i="4"/>
  <c r="O9" i="3"/>
  <c r="EF8" i="4"/>
  <c r="AA33" i="3"/>
  <c r="J9" i="1"/>
  <c r="BX9" i="4"/>
  <c r="O41" i="3"/>
  <c r="S9" i="1"/>
  <c r="EF10" i="4"/>
  <c r="AA18" i="3"/>
  <c r="J11" i="1"/>
  <c r="S11" i="1"/>
  <c r="EF11" i="4"/>
  <c r="AA19" i="3"/>
  <c r="J12" i="1"/>
  <c r="BX12" i="4"/>
  <c r="O20" i="3"/>
  <c r="BX13" i="4"/>
  <c r="O44" i="3"/>
  <c r="EU13" i="4"/>
  <c r="AD44" i="3"/>
  <c r="DB15" i="4"/>
  <c r="U11" i="3"/>
  <c r="U12" i="3" s="1"/>
  <c r="DQ16" i="4"/>
  <c r="X45" i="3"/>
  <c r="BS17" i="4"/>
  <c r="N46" i="3"/>
  <c r="X17" i="1"/>
  <c r="EF20" i="4"/>
  <c r="AA34" i="3"/>
  <c r="BD21" i="4"/>
  <c r="K31" i="3"/>
  <c r="K32" i="3" s="1"/>
  <c r="BX21" i="4"/>
  <c r="O31" i="3"/>
  <c r="O32" i="3" s="1"/>
  <c r="BI22" i="4"/>
  <c r="L23" i="3"/>
  <c r="O22" i="1"/>
  <c r="DQ23" i="4"/>
  <c r="X47" i="3"/>
  <c r="EF27" i="4"/>
  <c r="AA15" i="3"/>
  <c r="AA16" i="3" s="1"/>
  <c r="O28" i="1"/>
  <c r="CR32" i="4"/>
  <c r="S27" i="3"/>
  <c r="EU33" i="4"/>
  <c r="AD28" i="3"/>
  <c r="BX35" i="4"/>
  <c r="O54" i="3"/>
  <c r="O35" i="1"/>
  <c r="BI36" i="4"/>
  <c r="L50" i="3"/>
  <c r="CC36" i="4"/>
  <c r="P50" i="3"/>
  <c r="P36" i="1"/>
  <c r="AY39" i="4"/>
  <c r="J36" i="3"/>
  <c r="K39" i="1"/>
  <c r="J39" i="1"/>
  <c r="CR39" i="4"/>
  <c r="S36" i="3"/>
  <c r="W39" i="1"/>
  <c r="S39" i="1"/>
  <c r="AR6" i="2"/>
  <c r="AR9" i="2" s="1"/>
  <c r="AR5" i="2"/>
  <c r="AS4" i="2" s="1"/>
  <c r="J4" i="1"/>
  <c r="BX4" i="4"/>
  <c r="O57" i="3"/>
  <c r="O6" i="3"/>
  <c r="O7" i="3" s="1"/>
  <c r="S4" i="1"/>
  <c r="EU4" i="4"/>
  <c r="AD6" i="3"/>
  <c r="AD7" i="3" s="1"/>
  <c r="K5" i="1"/>
  <c r="O5" i="1"/>
  <c r="DB5" i="4"/>
  <c r="U17" i="3"/>
  <c r="O6" i="1"/>
  <c r="DB6" i="4"/>
  <c r="U8" i="3"/>
  <c r="K7" i="1"/>
  <c r="O7" i="1"/>
  <c r="DB7" i="4"/>
  <c r="U9" i="3"/>
  <c r="K8" i="1"/>
  <c r="O8" i="1"/>
  <c r="DB8" i="4"/>
  <c r="U33" i="3"/>
  <c r="O9" i="1"/>
  <c r="DB9" i="4"/>
  <c r="U41" i="3"/>
  <c r="U43" i="3" s="1"/>
  <c r="O10" i="1"/>
  <c r="DB10" i="4"/>
  <c r="U18" i="3"/>
  <c r="K11" i="1"/>
  <c r="DB11" i="4"/>
  <c r="U19" i="3"/>
  <c r="O12" i="1"/>
  <c r="DB12" i="4"/>
  <c r="U20" i="3"/>
  <c r="K13" i="1"/>
  <c r="O13" i="1"/>
  <c r="DB13" i="4"/>
  <c r="U44" i="3"/>
  <c r="BN14" i="4"/>
  <c r="M42" i="3"/>
  <c r="U14" i="1"/>
  <c r="BN15" i="4"/>
  <c r="M11" i="3"/>
  <c r="M12" i="3" s="1"/>
  <c r="AY16" i="4"/>
  <c r="J45" i="3"/>
  <c r="BS16" i="4"/>
  <c r="N45" i="3"/>
  <c r="CR16" i="4"/>
  <c r="S45" i="3"/>
  <c r="EF16" i="4"/>
  <c r="AA45" i="3"/>
  <c r="J17" i="1"/>
  <c r="BX17" i="4"/>
  <c r="O46" i="3"/>
  <c r="S17" i="1"/>
  <c r="EF17" i="4"/>
  <c r="AA46" i="3"/>
  <c r="J18" i="1"/>
  <c r="BX18" i="4"/>
  <c r="O21" i="3"/>
  <c r="S18" i="1"/>
  <c r="EF18" i="4"/>
  <c r="AA21" i="3"/>
  <c r="J19" i="1"/>
  <c r="BX19" i="4"/>
  <c r="O22" i="3"/>
  <c r="S19" i="1"/>
  <c r="EF19" i="4"/>
  <c r="AA22" i="3"/>
  <c r="J20" i="1"/>
  <c r="BX20" i="4"/>
  <c r="O34" i="3"/>
  <c r="S20" i="1"/>
  <c r="EU20" i="4"/>
  <c r="AD34" i="3"/>
  <c r="BI21" i="4"/>
  <c r="L31" i="3"/>
  <c r="L32" i="3" s="1"/>
  <c r="O21" i="1"/>
  <c r="DB21" i="4"/>
  <c r="U31" i="3"/>
  <c r="U32" i="3" s="1"/>
  <c r="AD21" i="1"/>
  <c r="BN22" i="4"/>
  <c r="M23" i="3"/>
  <c r="U22" i="1"/>
  <c r="BN24" i="4"/>
  <c r="M24" i="3"/>
  <c r="CR24" i="4"/>
  <c r="S24" i="3"/>
  <c r="S24" i="1"/>
  <c r="BS25" i="4"/>
  <c r="N52" i="3"/>
  <c r="O25" i="1"/>
  <c r="AY26" i="4"/>
  <c r="J25" i="3"/>
  <c r="K26" i="1"/>
  <c r="BX26" i="4"/>
  <c r="O25" i="3"/>
  <c r="EU26" i="4"/>
  <c r="AD25" i="3"/>
  <c r="J27" i="1"/>
  <c r="CR27" i="4"/>
  <c r="S15" i="3"/>
  <c r="S16" i="3" s="1"/>
  <c r="W27" i="1"/>
  <c r="EU27" i="4"/>
  <c r="AD15" i="3"/>
  <c r="AD16" i="3" s="1"/>
  <c r="DQ28" i="4"/>
  <c r="X53" i="3"/>
  <c r="EU28" i="4"/>
  <c r="AD53" i="3"/>
  <c r="BI29" i="4"/>
  <c r="L48" i="3"/>
  <c r="CC29" i="4"/>
  <c r="P48" i="3"/>
  <c r="DB29" i="4"/>
  <c r="U48" i="3"/>
  <c r="EZ29" i="4"/>
  <c r="AI48" i="3"/>
  <c r="AE48" i="3"/>
  <c r="DG30" i="4"/>
  <c r="V26" i="3"/>
  <c r="AC30" i="1"/>
  <c r="AY31" i="4"/>
  <c r="J39" i="3"/>
  <c r="J40" i="3" s="1"/>
  <c r="K31" i="1"/>
  <c r="J31" i="1"/>
  <c r="EF31" i="4"/>
  <c r="AA39" i="3"/>
  <c r="AA40" i="3" s="1"/>
  <c r="S32" i="1"/>
  <c r="BS34" i="4"/>
  <c r="N49" i="3"/>
  <c r="O34" i="1"/>
  <c r="EF34" i="4"/>
  <c r="AA49" i="3"/>
  <c r="DQ35" i="4"/>
  <c r="X54" i="3"/>
  <c r="EU35" i="4"/>
  <c r="AD54" i="3"/>
  <c r="BN37" i="4"/>
  <c r="M29" i="3"/>
  <c r="DQ38" i="4"/>
  <c r="X13" i="3"/>
  <c r="X14" i="3" s="1"/>
  <c r="BD40" i="4"/>
  <c r="K37" i="3"/>
  <c r="BX40" i="4"/>
  <c r="O37" i="3"/>
  <c r="O40" i="1"/>
  <c r="N41" i="1"/>
  <c r="BA8" i="2"/>
  <c r="P4" i="1"/>
  <c r="AY6" i="4"/>
  <c r="J8" i="3"/>
  <c r="J10" i="3" s="1"/>
  <c r="CR7" i="4"/>
  <c r="S9" i="3"/>
  <c r="AY9" i="4"/>
  <c r="J41" i="3"/>
  <c r="AY10" i="4"/>
  <c r="J18" i="3"/>
  <c r="CR10" i="4"/>
  <c r="S18" i="3"/>
  <c r="W10" i="1"/>
  <c r="BS11" i="4"/>
  <c r="N19" i="3"/>
  <c r="AY12" i="4"/>
  <c r="J20" i="3"/>
  <c r="CR12" i="4"/>
  <c r="S20" i="3"/>
  <c r="W12" i="1"/>
  <c r="CR13" i="4"/>
  <c r="S44" i="3"/>
  <c r="BD14" i="4"/>
  <c r="K42" i="3"/>
  <c r="BX14" i="4"/>
  <c r="O42" i="3"/>
  <c r="BX15" i="4"/>
  <c r="O11" i="3"/>
  <c r="O12" i="3" s="1"/>
  <c r="BI4" i="4"/>
  <c r="L6" i="3"/>
  <c r="L7" i="3" s="1"/>
  <c r="CC4" i="4"/>
  <c r="P6" i="3"/>
  <c r="P7" i="3" s="1"/>
  <c r="DB4" i="4"/>
  <c r="U57" i="3"/>
  <c r="U6" i="3"/>
  <c r="U7" i="3" s="1"/>
  <c r="T41" i="1"/>
  <c r="U42" i="1" s="1"/>
  <c r="BN5" i="4"/>
  <c r="M17" i="3"/>
  <c r="DG5" i="4"/>
  <c r="V57" i="3"/>
  <c r="V17" i="3"/>
  <c r="U41" i="1"/>
  <c r="BN6" i="4"/>
  <c r="M8" i="3"/>
  <c r="M10" i="3" s="1"/>
  <c r="W6" i="1"/>
  <c r="X57" i="3" s="1"/>
  <c r="BN7" i="4"/>
  <c r="M9" i="3"/>
  <c r="W7" i="1"/>
  <c r="BN8" i="4"/>
  <c r="M33" i="3"/>
  <c r="M35" i="3" s="1"/>
  <c r="DG8" i="4"/>
  <c r="V33" i="3"/>
  <c r="V35" i="3" s="1"/>
  <c r="BN9" i="4"/>
  <c r="M41" i="3"/>
  <c r="M43" i="3" s="1"/>
  <c r="DG9" i="4"/>
  <c r="V41" i="3"/>
  <c r="BN10" i="4"/>
  <c r="M18" i="3"/>
  <c r="DG10" i="4"/>
  <c r="V18" i="3"/>
  <c r="BN11" i="4"/>
  <c r="M19" i="3"/>
  <c r="DG11" i="4"/>
  <c r="V19" i="3"/>
  <c r="BN12" i="4"/>
  <c r="M20" i="3"/>
  <c r="DG12" i="4"/>
  <c r="V20" i="3"/>
  <c r="BN13" i="4"/>
  <c r="M44" i="3"/>
  <c r="W13" i="1"/>
  <c r="AY14" i="4"/>
  <c r="J42" i="3"/>
  <c r="BS14" i="4"/>
  <c r="N42" i="3"/>
  <c r="CR14" i="4"/>
  <c r="S42" i="3"/>
  <c r="W14" i="1"/>
  <c r="AY15" i="4"/>
  <c r="J11" i="3"/>
  <c r="J12" i="3" s="1"/>
  <c r="BS15" i="4"/>
  <c r="N11" i="3"/>
  <c r="N12" i="3" s="1"/>
  <c r="CR15" i="4"/>
  <c r="S11" i="3"/>
  <c r="S12" i="3" s="1"/>
  <c r="EF15" i="4"/>
  <c r="AA11" i="3"/>
  <c r="AA12" i="3" s="1"/>
  <c r="BD16" i="4"/>
  <c r="K45" i="3"/>
  <c r="BX16" i="4"/>
  <c r="O45" i="3"/>
  <c r="CW16" i="4"/>
  <c r="T45" i="3"/>
  <c r="EU16" i="4"/>
  <c r="AD45" i="3"/>
  <c r="BI17" i="4"/>
  <c r="L46" i="3"/>
  <c r="CC17" i="4"/>
  <c r="P46" i="3"/>
  <c r="DB17" i="4"/>
  <c r="U46" i="3"/>
  <c r="BI18" i="4"/>
  <c r="L21" i="3"/>
  <c r="CC18" i="4"/>
  <c r="P21" i="3"/>
  <c r="DB18" i="4"/>
  <c r="U21" i="3"/>
  <c r="AC18" i="1"/>
  <c r="BI19" i="4"/>
  <c r="L22" i="3"/>
  <c r="CC19" i="4"/>
  <c r="P22" i="3"/>
  <c r="DB19" i="4"/>
  <c r="U22" i="3"/>
  <c r="AC19" i="1"/>
  <c r="BI20" i="4"/>
  <c r="L34" i="3"/>
  <c r="CC20" i="4"/>
  <c r="P34" i="3"/>
  <c r="DB20" i="4"/>
  <c r="U34" i="3"/>
  <c r="BN21" i="4"/>
  <c r="M31" i="3"/>
  <c r="M32" i="3" s="1"/>
  <c r="DG21" i="4"/>
  <c r="V31" i="3"/>
  <c r="V32" i="3" s="1"/>
  <c r="BS24" i="4"/>
  <c r="N24" i="3"/>
  <c r="O24" i="1"/>
  <c r="O41" i="1" s="1"/>
  <c r="DQ25" i="4"/>
  <c r="X52" i="3"/>
  <c r="X55" i="3" s="1"/>
  <c r="BD26" i="4"/>
  <c r="K25" i="3"/>
  <c r="CR26" i="4"/>
  <c r="S25" i="3"/>
  <c r="W26" i="1"/>
  <c r="CW27" i="4"/>
  <c r="T15" i="3"/>
  <c r="T16" i="3" s="1"/>
  <c r="AD27" i="1"/>
  <c r="CW28" i="4"/>
  <c r="T53" i="3"/>
  <c r="AD28" i="1"/>
  <c r="BN29" i="4"/>
  <c r="M48" i="3"/>
  <c r="P29" i="1"/>
  <c r="DQ29" i="4"/>
  <c r="X48" i="3"/>
  <c r="AY30" i="4"/>
  <c r="J26" i="3"/>
  <c r="K30" i="1"/>
  <c r="J30" i="1"/>
  <c r="W30" i="1"/>
  <c r="BN31" i="4"/>
  <c r="M39" i="3"/>
  <c r="M40" i="3" s="1"/>
  <c r="CR31" i="4"/>
  <c r="S39" i="3"/>
  <c r="S40" i="3" s="1"/>
  <c r="S31" i="1"/>
  <c r="BS32" i="4"/>
  <c r="N27" i="3"/>
  <c r="O32" i="1"/>
  <c r="AY33" i="4"/>
  <c r="J28" i="3"/>
  <c r="K33" i="1"/>
  <c r="J33" i="1"/>
  <c r="CR33" i="4"/>
  <c r="S28" i="3"/>
  <c r="S33" i="1"/>
  <c r="CW35" i="4"/>
  <c r="T54" i="3"/>
  <c r="AD35" i="1"/>
  <c r="BS39" i="4"/>
  <c r="N36" i="3"/>
  <c r="O39" i="1"/>
  <c r="EF39" i="4"/>
  <c r="AA36" i="3"/>
  <c r="DQ40" i="4"/>
  <c r="X37" i="3"/>
  <c r="EU40" i="4"/>
  <c r="AD37" i="3"/>
  <c r="S42" i="1"/>
  <c r="BA25" i="2"/>
  <c r="BA7" i="2"/>
  <c r="BD9" i="2"/>
  <c r="BA11" i="2"/>
  <c r="BA12" i="2"/>
  <c r="BA13" i="2"/>
  <c r="BA14" i="2"/>
  <c r="BA18" i="2"/>
  <c r="BA22" i="2"/>
  <c r="BA28" i="2"/>
  <c r="EF32" i="4"/>
  <c r="AA27" i="3"/>
  <c r="BX33" i="4"/>
  <c r="O28" i="3"/>
  <c r="EF33" i="4"/>
  <c r="AA28" i="3"/>
  <c r="BX34" i="4"/>
  <c r="O49" i="3"/>
  <c r="EU34" i="4"/>
  <c r="AD49" i="3"/>
  <c r="BI35" i="4"/>
  <c r="L54" i="3"/>
  <c r="DB35" i="4"/>
  <c r="U54" i="3"/>
  <c r="BN36" i="4"/>
  <c r="M50" i="3"/>
  <c r="DQ36" i="4"/>
  <c r="X50" i="3"/>
  <c r="AY37" i="4"/>
  <c r="J29" i="3"/>
  <c r="BS37" i="4"/>
  <c r="N29" i="3"/>
  <c r="CR37" i="4"/>
  <c r="S29" i="3"/>
  <c r="W37" i="1"/>
  <c r="AY38" i="4"/>
  <c r="J13" i="3"/>
  <c r="J14" i="3" s="1"/>
  <c r="BS38" i="4"/>
  <c r="N13" i="3"/>
  <c r="N14" i="3" s="1"/>
  <c r="CR38" i="4"/>
  <c r="S13" i="3"/>
  <c r="S14" i="3" s="1"/>
  <c r="EF38" i="4"/>
  <c r="AA13" i="3"/>
  <c r="AA14" i="3" s="1"/>
  <c r="BX39" i="4"/>
  <c r="O36" i="3"/>
  <c r="O38" i="3" s="1"/>
  <c r="EU39" i="4"/>
  <c r="AD36" i="3"/>
  <c r="AD38" i="3" s="1"/>
  <c r="BI40" i="4"/>
  <c r="L37" i="3"/>
  <c r="DB40" i="4"/>
  <c r="U37" i="3"/>
  <c r="L42" i="1"/>
  <c r="BD10" i="2"/>
  <c r="BA26" i="2"/>
  <c r="BA30" i="2"/>
  <c r="BA34" i="2"/>
  <c r="BA38" i="2"/>
  <c r="BA41" i="2"/>
  <c r="AY21" i="4"/>
  <c r="J31" i="3"/>
  <c r="J32" i="3" s="1"/>
  <c r="BS21" i="4"/>
  <c r="N31" i="3"/>
  <c r="N32" i="3" s="1"/>
  <c r="CR21" i="4"/>
  <c r="S31" i="3"/>
  <c r="S32" i="3" s="1"/>
  <c r="W21" i="1"/>
  <c r="AY22" i="4"/>
  <c r="J23" i="3"/>
  <c r="BS22" i="4"/>
  <c r="N23" i="3"/>
  <c r="CR22" i="4"/>
  <c r="S23" i="3"/>
  <c r="W22" i="1"/>
  <c r="AY23" i="4"/>
  <c r="J47" i="3"/>
  <c r="BS23" i="4"/>
  <c r="N47" i="3"/>
  <c r="CR23" i="4"/>
  <c r="S47" i="3"/>
  <c r="EF23" i="4"/>
  <c r="AA47" i="3"/>
  <c r="BX24" i="4"/>
  <c r="O24" i="3"/>
  <c r="EF24" i="4"/>
  <c r="AA24" i="3"/>
  <c r="BX25" i="4"/>
  <c r="O52" i="3"/>
  <c r="O55" i="3" s="1"/>
  <c r="EU25" i="4"/>
  <c r="AD52" i="3"/>
  <c r="AD55" i="3" s="1"/>
  <c r="DB26" i="4"/>
  <c r="U25" i="3"/>
  <c r="DB27" i="4"/>
  <c r="U15" i="3"/>
  <c r="U16" i="3" s="1"/>
  <c r="BN28" i="4"/>
  <c r="M53" i="3"/>
  <c r="AY29" i="4"/>
  <c r="J48" i="3"/>
  <c r="BS29" i="4"/>
  <c r="N48" i="3"/>
  <c r="CR29" i="4"/>
  <c r="S48" i="3"/>
  <c r="EF29" i="4"/>
  <c r="AA48" i="3"/>
  <c r="BX30" i="4"/>
  <c r="O26" i="3"/>
  <c r="EF30" i="4"/>
  <c r="AA26" i="3"/>
  <c r="BX31" i="4"/>
  <c r="O39" i="3"/>
  <c r="O40" i="3" s="1"/>
  <c r="EU31" i="4"/>
  <c r="AD39" i="3"/>
  <c r="AD40" i="3" s="1"/>
  <c r="DB32" i="4"/>
  <c r="U27" i="3"/>
  <c r="DB33" i="4"/>
  <c r="U28" i="3"/>
  <c r="DB34" i="4"/>
  <c r="U49" i="3"/>
  <c r="BN35" i="4"/>
  <c r="M54" i="3"/>
  <c r="AY36" i="4"/>
  <c r="J50" i="3"/>
  <c r="BS36" i="4"/>
  <c r="N50" i="3"/>
  <c r="CR36" i="4"/>
  <c r="S50" i="3"/>
  <c r="EF36" i="4"/>
  <c r="AA50" i="3"/>
  <c r="J37" i="1"/>
  <c r="BX37" i="4"/>
  <c r="O29" i="3"/>
  <c r="S37" i="1"/>
  <c r="EF37" i="4"/>
  <c r="AA29" i="3"/>
  <c r="J38" i="1"/>
  <c r="BX38" i="4"/>
  <c r="O13" i="3"/>
  <c r="O14" i="3" s="1"/>
  <c r="S38" i="1"/>
  <c r="EU38" i="4"/>
  <c r="AD13" i="3"/>
  <c r="AD14" i="3" s="1"/>
  <c r="DB39" i="4"/>
  <c r="U36" i="3"/>
  <c r="U38" i="3" s="1"/>
  <c r="BN40" i="4"/>
  <c r="M37" i="3"/>
  <c r="I42" i="1"/>
  <c r="K42" i="1" s="1"/>
  <c r="M42" i="1"/>
  <c r="BD4" i="2"/>
  <c r="BA5" i="2"/>
  <c r="BD6" i="2"/>
  <c r="BA9" i="2"/>
  <c r="BD11" i="2"/>
  <c r="BA15" i="2"/>
  <c r="BA19" i="2"/>
  <c r="BA23" i="2"/>
  <c r="BA27" i="2"/>
  <c r="BA31" i="2"/>
  <c r="BA35" i="2"/>
  <c r="BA40" i="2"/>
  <c r="EF22" i="4"/>
  <c r="AA23" i="3"/>
  <c r="BD23" i="4"/>
  <c r="K47" i="3"/>
  <c r="BX23" i="4"/>
  <c r="O47" i="3"/>
  <c r="CW23" i="4"/>
  <c r="T47" i="3"/>
  <c r="EU23" i="4"/>
  <c r="AD47" i="3"/>
  <c r="DB24" i="4"/>
  <c r="U24" i="3"/>
  <c r="DB25" i="4"/>
  <c r="U52" i="3"/>
  <c r="U55" i="3" s="1"/>
  <c r="BN26" i="4"/>
  <c r="M25" i="3"/>
  <c r="DG26" i="4"/>
  <c r="V25" i="3"/>
  <c r="BN27" i="4"/>
  <c r="M15" i="3"/>
  <c r="M16" i="3" s="1"/>
  <c r="AY28" i="4"/>
  <c r="J53" i="3"/>
  <c r="BS28" i="4"/>
  <c r="N53" i="3"/>
  <c r="CR28" i="4"/>
  <c r="S53" i="3"/>
  <c r="EF28" i="4"/>
  <c r="AA53" i="3"/>
  <c r="BD29" i="4"/>
  <c r="K48" i="3"/>
  <c r="BX29" i="4"/>
  <c r="O48" i="3"/>
  <c r="CW29" i="4"/>
  <c r="T48" i="3"/>
  <c r="EU29" i="4"/>
  <c r="AD48" i="3"/>
  <c r="DB30" i="4"/>
  <c r="U26" i="3"/>
  <c r="DB31" i="4"/>
  <c r="U39" i="3"/>
  <c r="U40" i="3" s="1"/>
  <c r="BN32" i="4"/>
  <c r="M27" i="3"/>
  <c r="DG32" i="4"/>
  <c r="V27" i="3"/>
  <c r="BN33" i="4"/>
  <c r="M28" i="3"/>
  <c r="DG33" i="4"/>
  <c r="V28" i="3"/>
  <c r="BN34" i="4"/>
  <c r="M49" i="3"/>
  <c r="AY35" i="4"/>
  <c r="J54" i="3"/>
  <c r="BS35" i="4"/>
  <c r="N54" i="3"/>
  <c r="CR35" i="4"/>
  <c r="S54" i="3"/>
  <c r="EF35" i="4"/>
  <c r="AA54" i="3"/>
  <c r="BD36" i="4"/>
  <c r="K50" i="3"/>
  <c r="BX36" i="4"/>
  <c r="BY36" i="4" s="1"/>
  <c r="O50" i="3"/>
  <c r="CW36" i="4"/>
  <c r="T50" i="3"/>
  <c r="EU36" i="4"/>
  <c r="AD50" i="3"/>
  <c r="K37" i="1"/>
  <c r="O37" i="1"/>
  <c r="DB37" i="4"/>
  <c r="U29" i="3"/>
  <c r="K38" i="1"/>
  <c r="O38" i="1"/>
  <c r="DB38" i="4"/>
  <c r="DC38" i="4" s="1"/>
  <c r="U13" i="3"/>
  <c r="U14" i="3" s="1"/>
  <c r="BN39" i="4"/>
  <c r="BO39" i="4" s="1"/>
  <c r="M36" i="3"/>
  <c r="M38" i="3" s="1"/>
  <c r="AY40" i="4"/>
  <c r="AZ40" i="4" s="1"/>
  <c r="J37" i="3"/>
  <c r="BS40" i="4"/>
  <c r="BT40" i="4" s="1"/>
  <c r="N37" i="3"/>
  <c r="CR40" i="4"/>
  <c r="CS40" i="4" s="1"/>
  <c r="S37" i="3"/>
  <c r="EF40" i="4"/>
  <c r="AA37" i="3"/>
  <c r="J42" i="1"/>
  <c r="N42" i="1"/>
  <c r="BD7" i="2"/>
  <c r="BD8" i="2"/>
  <c r="BA10" i="2"/>
  <c r="BD12" i="2"/>
  <c r="BD13" i="2"/>
  <c r="BA29" i="2"/>
  <c r="BA33" i="2"/>
  <c r="BA37" i="2"/>
  <c r="A60" i="3"/>
  <c r="E60" i="3"/>
  <c r="I60" i="3"/>
  <c r="M60" i="3"/>
  <c r="Q60" i="3"/>
  <c r="U60" i="3"/>
  <c r="Y60" i="3"/>
  <c r="AC60" i="3"/>
  <c r="AG60" i="3"/>
  <c r="A61" i="3"/>
  <c r="E61" i="3"/>
  <c r="I61" i="3"/>
  <c r="M61" i="3"/>
  <c r="Q61" i="3"/>
  <c r="U61" i="3"/>
  <c r="Y61" i="3"/>
  <c r="AC61" i="3"/>
  <c r="AG61" i="3"/>
  <c r="A62" i="3"/>
  <c r="E62" i="3"/>
  <c r="I62" i="3"/>
  <c r="M62" i="3"/>
  <c r="Q62" i="3"/>
  <c r="U62" i="3"/>
  <c r="Y62" i="3"/>
  <c r="AC62" i="3"/>
  <c r="AG62" i="3"/>
  <c r="A63" i="3"/>
  <c r="E63" i="3"/>
  <c r="I63" i="3"/>
  <c r="M63" i="3"/>
  <c r="Q63" i="3"/>
  <c r="U63" i="3"/>
  <c r="Y63" i="3"/>
  <c r="AC63" i="3"/>
  <c r="AG63" i="3"/>
  <c r="A64" i="3"/>
  <c r="E64" i="3"/>
  <c r="I64" i="3"/>
  <c r="M64" i="3"/>
  <c r="Q64" i="3"/>
  <c r="U64" i="3"/>
  <c r="Y64" i="3"/>
  <c r="AC64" i="3"/>
  <c r="AG64" i="3"/>
  <c r="A65" i="3"/>
  <c r="E65" i="3"/>
  <c r="I65" i="3"/>
  <c r="M65" i="3"/>
  <c r="Q65" i="3"/>
  <c r="U65" i="3"/>
  <c r="Y65" i="3"/>
  <c r="AC65" i="3"/>
  <c r="AG65" i="3"/>
  <c r="A66" i="3"/>
  <c r="E66" i="3"/>
  <c r="I66" i="3"/>
  <c r="M66" i="3"/>
  <c r="Q66" i="3"/>
  <c r="U66" i="3"/>
  <c r="Y66" i="3"/>
  <c r="AC66" i="3"/>
  <c r="AG66" i="3"/>
  <c r="A67" i="3"/>
  <c r="E67" i="3"/>
  <c r="I67" i="3"/>
  <c r="M67" i="3"/>
  <c r="Q67" i="3"/>
  <c r="U67" i="3"/>
  <c r="Y67" i="3"/>
  <c r="AC67" i="3"/>
  <c r="AG67" i="3"/>
  <c r="A68" i="3"/>
  <c r="E68" i="3"/>
  <c r="I68" i="3"/>
  <c r="M68" i="3"/>
  <c r="Q68" i="3"/>
  <c r="U68" i="3"/>
  <c r="Y68" i="3"/>
  <c r="AC68" i="3"/>
  <c r="AG68" i="3"/>
  <c r="A69" i="3"/>
  <c r="E69" i="3"/>
  <c r="I69" i="3"/>
  <c r="M69" i="3"/>
  <c r="Q69" i="3"/>
  <c r="U69" i="3"/>
  <c r="Y69" i="3"/>
  <c r="AC69" i="3"/>
  <c r="AG69" i="3"/>
  <c r="A70" i="3"/>
  <c r="E70" i="3"/>
  <c r="I70" i="3"/>
  <c r="M70" i="3"/>
  <c r="Q70" i="3"/>
  <c r="U70" i="3"/>
  <c r="Y70" i="3"/>
  <c r="AC70" i="3"/>
  <c r="AG70" i="3"/>
  <c r="A71" i="3"/>
  <c r="E71" i="3"/>
  <c r="I71" i="3"/>
  <c r="M71" i="3"/>
  <c r="Q71" i="3"/>
  <c r="U71" i="3"/>
  <c r="Y71" i="3"/>
  <c r="AC71" i="3"/>
  <c r="AG71" i="3"/>
  <c r="A72" i="3"/>
  <c r="E72" i="3"/>
  <c r="I72" i="3"/>
  <c r="M72" i="3"/>
  <c r="Q72" i="3"/>
  <c r="U72" i="3"/>
  <c r="Y72" i="3"/>
  <c r="AC72" i="3"/>
  <c r="AH72" i="3"/>
  <c r="AG74" i="3"/>
  <c r="AC74" i="3"/>
  <c r="Y74" i="3"/>
  <c r="U74" i="3"/>
  <c r="Q74" i="3"/>
  <c r="M74" i="3"/>
  <c r="I74" i="3"/>
  <c r="E74" i="3"/>
  <c r="A74" i="3"/>
  <c r="F75" i="3"/>
  <c r="K75" i="3"/>
  <c r="P75" i="3"/>
  <c r="V75" i="3"/>
  <c r="AA75" i="3"/>
  <c r="AF75" i="3"/>
  <c r="B76" i="3"/>
  <c r="G76" i="3"/>
  <c r="L76" i="3"/>
  <c r="R76" i="3"/>
  <c r="W76" i="3"/>
  <c r="AB76" i="3"/>
  <c r="AH76" i="3"/>
  <c r="AG78" i="3"/>
  <c r="AC78" i="3"/>
  <c r="Y78" i="3"/>
  <c r="U78" i="3"/>
  <c r="Q78" i="3"/>
  <c r="M78" i="3"/>
  <c r="I78" i="3"/>
  <c r="E78" i="3"/>
  <c r="A78" i="3"/>
  <c r="D80" i="3"/>
  <c r="L80" i="3"/>
  <c r="R80" i="3"/>
  <c r="Y80" i="3"/>
  <c r="AG80" i="3"/>
  <c r="D81" i="3"/>
  <c r="J81" i="3"/>
  <c r="R81" i="3"/>
  <c r="Y81" i="3"/>
  <c r="AF81" i="3"/>
  <c r="D82" i="3"/>
  <c r="J82" i="3"/>
  <c r="Q82" i="3"/>
  <c r="Y82" i="3"/>
  <c r="AF82" i="3"/>
  <c r="D84" i="3"/>
  <c r="L84" i="3"/>
  <c r="R84" i="3"/>
  <c r="Y84" i="3"/>
  <c r="AG84" i="3"/>
  <c r="D85" i="3"/>
  <c r="J85" i="3"/>
  <c r="R85" i="3"/>
  <c r="Y85" i="3"/>
  <c r="AF85" i="3"/>
  <c r="D86" i="3"/>
  <c r="J86" i="3"/>
  <c r="Q86" i="3"/>
  <c r="Y86" i="3"/>
  <c r="AF86" i="3"/>
  <c r="F88" i="3"/>
  <c r="Q88" i="3"/>
  <c r="AB88" i="3"/>
  <c r="D90" i="3"/>
  <c r="Y90" i="3"/>
  <c r="B60" i="3"/>
  <c r="F60" i="3"/>
  <c r="J60" i="3"/>
  <c r="N60" i="3"/>
  <c r="R60" i="3"/>
  <c r="V60" i="3"/>
  <c r="Z60" i="3"/>
  <c r="AD60" i="3"/>
  <c r="B61" i="3"/>
  <c r="F61" i="3"/>
  <c r="J61" i="3"/>
  <c r="N61" i="3"/>
  <c r="R61" i="3"/>
  <c r="V61" i="3"/>
  <c r="Z61" i="3"/>
  <c r="AD61" i="3"/>
  <c r="B62" i="3"/>
  <c r="F62" i="3"/>
  <c r="J62" i="3"/>
  <c r="N62" i="3"/>
  <c r="R62" i="3"/>
  <c r="V62" i="3"/>
  <c r="Z62" i="3"/>
  <c r="AD62" i="3"/>
  <c r="B63" i="3"/>
  <c r="F63" i="3"/>
  <c r="J63" i="3"/>
  <c r="N63" i="3"/>
  <c r="R63" i="3"/>
  <c r="V63" i="3"/>
  <c r="Z63" i="3"/>
  <c r="AD63" i="3"/>
  <c r="B64" i="3"/>
  <c r="F64" i="3"/>
  <c r="J64" i="3"/>
  <c r="N64" i="3"/>
  <c r="R64" i="3"/>
  <c r="V64" i="3"/>
  <c r="Z64" i="3"/>
  <c r="AD64" i="3"/>
  <c r="B65" i="3"/>
  <c r="F65" i="3"/>
  <c r="J65" i="3"/>
  <c r="N65" i="3"/>
  <c r="R65" i="3"/>
  <c r="V65" i="3"/>
  <c r="Z65" i="3"/>
  <c r="AD65" i="3"/>
  <c r="B66" i="3"/>
  <c r="F66" i="3"/>
  <c r="J66" i="3"/>
  <c r="N66" i="3"/>
  <c r="R66" i="3"/>
  <c r="V66" i="3"/>
  <c r="Z66" i="3"/>
  <c r="AD66" i="3"/>
  <c r="B67" i="3"/>
  <c r="F67" i="3"/>
  <c r="J67" i="3"/>
  <c r="N67" i="3"/>
  <c r="R67" i="3"/>
  <c r="V67" i="3"/>
  <c r="Z67" i="3"/>
  <c r="AD67" i="3"/>
  <c r="B68" i="3"/>
  <c r="F68" i="3"/>
  <c r="J68" i="3"/>
  <c r="N68" i="3"/>
  <c r="R68" i="3"/>
  <c r="V68" i="3"/>
  <c r="Z68" i="3"/>
  <c r="AD68" i="3"/>
  <c r="B69" i="3"/>
  <c r="F69" i="3"/>
  <c r="J69" i="3"/>
  <c r="N69" i="3"/>
  <c r="R69" i="3"/>
  <c r="V69" i="3"/>
  <c r="Z69" i="3"/>
  <c r="AD69" i="3"/>
  <c r="B70" i="3"/>
  <c r="F70" i="3"/>
  <c r="J70" i="3"/>
  <c r="N70" i="3"/>
  <c r="R70" i="3"/>
  <c r="V70" i="3"/>
  <c r="Z70" i="3"/>
  <c r="AD70" i="3"/>
  <c r="B71" i="3"/>
  <c r="F71" i="3"/>
  <c r="J71" i="3"/>
  <c r="N71" i="3"/>
  <c r="R71" i="3"/>
  <c r="V71" i="3"/>
  <c r="Z71" i="3"/>
  <c r="AD71" i="3"/>
  <c r="B72" i="3"/>
  <c r="F72" i="3"/>
  <c r="J72" i="3"/>
  <c r="N72" i="3"/>
  <c r="R72" i="3"/>
  <c r="V72" i="3"/>
  <c r="Z72" i="3"/>
  <c r="AD72" i="3"/>
  <c r="AI72" i="3"/>
  <c r="AG73" i="3"/>
  <c r="AC73" i="3"/>
  <c r="Y73" i="3"/>
  <c r="U73" i="3"/>
  <c r="Q73" i="3"/>
  <c r="M73" i="3"/>
  <c r="I73" i="3"/>
  <c r="E73" i="3"/>
  <c r="A73" i="3"/>
  <c r="F74" i="3"/>
  <c r="K74" i="3"/>
  <c r="P74" i="3"/>
  <c r="V74" i="3"/>
  <c r="AA74" i="3"/>
  <c r="AF74" i="3"/>
  <c r="B75" i="3"/>
  <c r="G75" i="3"/>
  <c r="L75" i="3"/>
  <c r="R75" i="3"/>
  <c r="W75" i="3"/>
  <c r="AB75" i="3"/>
  <c r="C76" i="3"/>
  <c r="H76" i="3"/>
  <c r="N76" i="3"/>
  <c r="S76" i="3"/>
  <c r="X76" i="3"/>
  <c r="AD76" i="3"/>
  <c r="AG77" i="3"/>
  <c r="AC77" i="3"/>
  <c r="Y77" i="3"/>
  <c r="U77" i="3"/>
  <c r="Q77" i="3"/>
  <c r="M77" i="3"/>
  <c r="I77" i="3"/>
  <c r="E77" i="3"/>
  <c r="A77" i="3"/>
  <c r="F78" i="3"/>
  <c r="K78" i="3"/>
  <c r="P78" i="3"/>
  <c r="V78" i="3"/>
  <c r="AA78" i="3"/>
  <c r="AF78" i="3"/>
  <c r="F80" i="3"/>
  <c r="M80" i="3"/>
  <c r="T80" i="3"/>
  <c r="AB80" i="3"/>
  <c r="E81" i="3"/>
  <c r="M81" i="3"/>
  <c r="T81" i="3"/>
  <c r="Z81" i="3"/>
  <c r="E82" i="3"/>
  <c r="L82" i="3"/>
  <c r="T82" i="3"/>
  <c r="Z82" i="3"/>
  <c r="F84" i="3"/>
  <c r="M84" i="3"/>
  <c r="T84" i="3"/>
  <c r="AB84" i="3"/>
  <c r="E85" i="3"/>
  <c r="M85" i="3"/>
  <c r="T85" i="3"/>
  <c r="Z85" i="3"/>
  <c r="E86" i="3"/>
  <c r="L86" i="3"/>
  <c r="T86" i="3"/>
  <c r="Z86" i="3"/>
  <c r="I88" i="3"/>
  <c r="T88" i="3"/>
  <c r="AD88" i="3"/>
  <c r="I90" i="3"/>
  <c r="AG76" i="3"/>
  <c r="AC76" i="3"/>
  <c r="Y76" i="3"/>
  <c r="U76" i="3"/>
  <c r="Q76" i="3"/>
  <c r="M76" i="3"/>
  <c r="I76" i="3"/>
  <c r="E76" i="3"/>
  <c r="A76" i="3"/>
  <c r="AI80" i="3"/>
  <c r="AE80" i="3"/>
  <c r="AA80" i="3"/>
  <c r="W80" i="3"/>
  <c r="S80" i="3"/>
  <c r="O80" i="3"/>
  <c r="K80" i="3"/>
  <c r="G80" i="3"/>
  <c r="C80" i="3"/>
  <c r="AF80" i="3"/>
  <c r="Z80" i="3"/>
  <c r="U80" i="3"/>
  <c r="P80" i="3"/>
  <c r="J80" i="3"/>
  <c r="E80" i="3"/>
  <c r="AI81" i="3"/>
  <c r="AE81" i="3"/>
  <c r="AA81" i="3"/>
  <c r="W81" i="3"/>
  <c r="S81" i="3"/>
  <c r="O81" i="3"/>
  <c r="K81" i="3"/>
  <c r="G81" i="3"/>
  <c r="C81" i="3"/>
  <c r="AG81" i="3"/>
  <c r="AB81" i="3"/>
  <c r="V81" i="3"/>
  <c r="Q81" i="3"/>
  <c r="L81" i="3"/>
  <c r="F81" i="3"/>
  <c r="A81" i="3"/>
  <c r="AI82" i="3"/>
  <c r="AE82" i="3"/>
  <c r="AA82" i="3"/>
  <c r="W82" i="3"/>
  <c r="S82" i="3"/>
  <c r="O82" i="3"/>
  <c r="K82" i="3"/>
  <c r="G82" i="3"/>
  <c r="C82" i="3"/>
  <c r="AH82" i="3"/>
  <c r="AC82" i="3"/>
  <c r="X82" i="3"/>
  <c r="R82" i="3"/>
  <c r="M82" i="3"/>
  <c r="H82" i="3"/>
  <c r="B82" i="3"/>
  <c r="AI84" i="3"/>
  <c r="AE84" i="3"/>
  <c r="AA84" i="3"/>
  <c r="W84" i="3"/>
  <c r="S84" i="3"/>
  <c r="O84" i="3"/>
  <c r="K84" i="3"/>
  <c r="G84" i="3"/>
  <c r="C84" i="3"/>
  <c r="AF84" i="3"/>
  <c r="Z84" i="3"/>
  <c r="U84" i="3"/>
  <c r="P84" i="3"/>
  <c r="J84" i="3"/>
  <c r="E84" i="3"/>
  <c r="AI85" i="3"/>
  <c r="AE85" i="3"/>
  <c r="AA85" i="3"/>
  <c r="W85" i="3"/>
  <c r="S85" i="3"/>
  <c r="O85" i="3"/>
  <c r="K85" i="3"/>
  <c r="G85" i="3"/>
  <c r="C85" i="3"/>
  <c r="AG85" i="3"/>
  <c r="AB85" i="3"/>
  <c r="V85" i="3"/>
  <c r="Q85" i="3"/>
  <c r="L85" i="3"/>
  <c r="F85" i="3"/>
  <c r="A85" i="3"/>
  <c r="AI86" i="3"/>
  <c r="AE86" i="3"/>
  <c r="AA86" i="3"/>
  <c r="W86" i="3"/>
  <c r="S86" i="3"/>
  <c r="O86" i="3"/>
  <c r="K86" i="3"/>
  <c r="G86" i="3"/>
  <c r="C86" i="3"/>
  <c r="AH86" i="3"/>
  <c r="AC86" i="3"/>
  <c r="X86" i="3"/>
  <c r="R86" i="3"/>
  <c r="M86" i="3"/>
  <c r="H86" i="3"/>
  <c r="B86" i="3"/>
  <c r="A88" i="3"/>
  <c r="L88" i="3"/>
  <c r="V88" i="3"/>
  <c r="AI90" i="3"/>
  <c r="AE90" i="3"/>
  <c r="AA90" i="3"/>
  <c r="W90" i="3"/>
  <c r="S90" i="3"/>
  <c r="O90" i="3"/>
  <c r="K90" i="3"/>
  <c r="G90" i="3"/>
  <c r="C90" i="3"/>
  <c r="AG90" i="3"/>
  <c r="AB90" i="3"/>
  <c r="V90" i="3"/>
  <c r="Q90" i="3"/>
  <c r="L90" i="3"/>
  <c r="F90" i="3"/>
  <c r="A90" i="3"/>
  <c r="AF90" i="3"/>
  <c r="Z90" i="3"/>
  <c r="U90" i="3"/>
  <c r="P90" i="3"/>
  <c r="J90" i="3"/>
  <c r="E90" i="3"/>
  <c r="AH90" i="3"/>
  <c r="AC90" i="3"/>
  <c r="X90" i="3"/>
  <c r="R90" i="3"/>
  <c r="M90" i="3"/>
  <c r="H90" i="3"/>
  <c r="B90" i="3"/>
  <c r="D72" i="3"/>
  <c r="H72" i="3"/>
  <c r="L72" i="3"/>
  <c r="P72" i="3"/>
  <c r="T72" i="3"/>
  <c r="X72" i="3"/>
  <c r="AB72" i="3"/>
  <c r="AF72" i="3"/>
  <c r="AG75" i="3"/>
  <c r="AC75" i="3"/>
  <c r="Y75" i="3"/>
  <c r="U75" i="3"/>
  <c r="Q75" i="3"/>
  <c r="M75" i="3"/>
  <c r="I75" i="3"/>
  <c r="E75" i="3"/>
  <c r="A75" i="3"/>
  <c r="F76" i="3"/>
  <c r="K76" i="3"/>
  <c r="P76" i="3"/>
  <c r="V76" i="3"/>
  <c r="AA76" i="3"/>
  <c r="AF76" i="3"/>
  <c r="B80" i="3"/>
  <c r="I80" i="3"/>
  <c r="Q80" i="3"/>
  <c r="X80" i="3"/>
  <c r="AD80" i="3"/>
  <c r="B81" i="3"/>
  <c r="I81" i="3"/>
  <c r="P81" i="3"/>
  <c r="X81" i="3"/>
  <c r="AD81" i="3"/>
  <c r="A82" i="3"/>
  <c r="I82" i="3"/>
  <c r="P82" i="3"/>
  <c r="V82" i="3"/>
  <c r="AD82" i="3"/>
  <c r="B84" i="3"/>
  <c r="I84" i="3"/>
  <c r="Q84" i="3"/>
  <c r="X84" i="3"/>
  <c r="AD84" i="3"/>
  <c r="AI88" i="3"/>
  <c r="AE88" i="3"/>
  <c r="AA88" i="3"/>
  <c r="W88" i="3"/>
  <c r="S88" i="3"/>
  <c r="O88" i="3"/>
  <c r="K88" i="3"/>
  <c r="G88" i="3"/>
  <c r="C88" i="3"/>
  <c r="AH88" i="3"/>
  <c r="AC88" i="3"/>
  <c r="X88" i="3"/>
  <c r="R88" i="3"/>
  <c r="M88" i="3"/>
  <c r="H88" i="3"/>
  <c r="B88" i="3"/>
  <c r="AF88" i="3"/>
  <c r="Z88" i="3"/>
  <c r="U88" i="3"/>
  <c r="P88" i="3"/>
  <c r="J88" i="3"/>
  <c r="E88" i="3"/>
  <c r="AI79" i="3"/>
  <c r="AE79" i="3"/>
  <c r="AA79" i="3"/>
  <c r="W79" i="3"/>
  <c r="S79" i="3"/>
  <c r="O79" i="3"/>
  <c r="K79" i="3"/>
  <c r="AI83" i="3"/>
  <c r="AE83" i="3"/>
  <c r="AA83" i="3"/>
  <c r="W83" i="3"/>
  <c r="S83" i="3"/>
  <c r="O83" i="3"/>
  <c r="K83" i="3"/>
  <c r="G83" i="3"/>
  <c r="C83" i="3"/>
  <c r="AI87" i="3"/>
  <c r="AE87" i="3"/>
  <c r="AA87" i="3"/>
  <c r="W87" i="3"/>
  <c r="S87" i="3"/>
  <c r="O87" i="3"/>
  <c r="K87" i="3"/>
  <c r="G87" i="3"/>
  <c r="C87" i="3"/>
  <c r="A89" i="3"/>
  <c r="F89" i="3"/>
  <c r="L89" i="3"/>
  <c r="Q89" i="3"/>
  <c r="V89" i="3"/>
  <c r="AB89" i="3"/>
  <c r="AI91" i="3"/>
  <c r="AE91" i="3"/>
  <c r="AA91" i="3"/>
  <c r="W91" i="3"/>
  <c r="S91" i="3"/>
  <c r="O91" i="3"/>
  <c r="K91" i="3"/>
  <c r="G91" i="3"/>
  <c r="C91" i="3"/>
  <c r="E92" i="3"/>
  <c r="J92" i="3"/>
  <c r="P92" i="3"/>
  <c r="U92" i="3"/>
  <c r="Z92" i="3"/>
  <c r="AF92" i="3"/>
  <c r="A93" i="3"/>
  <c r="F93" i="3"/>
  <c r="L93" i="3"/>
  <c r="Q93" i="3"/>
  <c r="V93" i="3"/>
  <c r="AB93" i="3"/>
  <c r="B94" i="3"/>
  <c r="H94" i="3"/>
  <c r="M94" i="3"/>
  <c r="R94" i="3"/>
  <c r="X94" i="3"/>
  <c r="AC94" i="3"/>
  <c r="AI95" i="3"/>
  <c r="AE95" i="3"/>
  <c r="AA95" i="3"/>
  <c r="W95" i="3"/>
  <c r="S95" i="3"/>
  <c r="O95" i="3"/>
  <c r="K95" i="3"/>
  <c r="G95" i="3"/>
  <c r="C95" i="3"/>
  <c r="E96" i="3"/>
  <c r="J96" i="3"/>
  <c r="P96" i="3"/>
  <c r="U96" i="3"/>
  <c r="Z96" i="3"/>
  <c r="AF96" i="3"/>
  <c r="DM40" i="4"/>
  <c r="DM36" i="4"/>
  <c r="DM31" i="4"/>
  <c r="DM29" i="4"/>
  <c r="DM37" i="4"/>
  <c r="DM28" i="4"/>
  <c r="DM21" i="4"/>
  <c r="DM32" i="4"/>
  <c r="DM17" i="4"/>
  <c r="DM13" i="4"/>
  <c r="DM25" i="4"/>
  <c r="DM27" i="4"/>
  <c r="DM19" i="4"/>
  <c r="DM16" i="4"/>
  <c r="DM11" i="4"/>
  <c r="DM9" i="4"/>
  <c r="DM20" i="4"/>
  <c r="DM15" i="4"/>
  <c r="DM12" i="4"/>
  <c r="DM4" i="4"/>
  <c r="DN30" i="4" s="1"/>
  <c r="DM5" i="4"/>
  <c r="DM6" i="4"/>
  <c r="FK31" i="4"/>
  <c r="FK30" i="4"/>
  <c r="FK34" i="4"/>
  <c r="FK23" i="4"/>
  <c r="FK38" i="4"/>
  <c r="FK21" i="4"/>
  <c r="FL16" i="4"/>
  <c r="FK15" i="4"/>
  <c r="FK11" i="4"/>
  <c r="FK18" i="4"/>
  <c r="FK19" i="4"/>
  <c r="FK10" i="4"/>
  <c r="FK17" i="4"/>
  <c r="FK14" i="4"/>
  <c r="FK4" i="4"/>
  <c r="FL38" i="4" s="1"/>
  <c r="FK7" i="4"/>
  <c r="FK5" i="4"/>
  <c r="FL37" i="4" s="1"/>
  <c r="AI94" i="3"/>
  <c r="AE94" i="3"/>
  <c r="AA94" i="3"/>
  <c r="W94" i="3"/>
  <c r="S94" i="3"/>
  <c r="O94" i="3"/>
  <c r="K94" i="3"/>
  <c r="G94" i="3"/>
  <c r="C94" i="3"/>
  <c r="Q29" i="4"/>
  <c r="Q36" i="4"/>
  <c r="Q32" i="4"/>
  <c r="Q40" i="4"/>
  <c r="Q31" i="4"/>
  <c r="Q21" i="4"/>
  <c r="Q24" i="4"/>
  <c r="Q20" i="4"/>
  <c r="Q17" i="4"/>
  <c r="Q13" i="4"/>
  <c r="Q25" i="4"/>
  <c r="Q19" i="4"/>
  <c r="Q15" i="4"/>
  <c r="Q12" i="4"/>
  <c r="Q9" i="4"/>
  <c r="Q7" i="4"/>
  <c r="Q16" i="4"/>
  <c r="Q8" i="4"/>
  <c r="Q4" i="4"/>
  <c r="R34" i="4" s="1"/>
  <c r="Q5" i="4"/>
  <c r="R37" i="4" s="1"/>
  <c r="AK40" i="4"/>
  <c r="AK29" i="4"/>
  <c r="AK36" i="4"/>
  <c r="AK32" i="4"/>
  <c r="AK31" i="4"/>
  <c r="AK21" i="4"/>
  <c r="AK24" i="4"/>
  <c r="AK20" i="4"/>
  <c r="AK17" i="4"/>
  <c r="AK13" i="4"/>
  <c r="AK25" i="4"/>
  <c r="AK15" i="4"/>
  <c r="AK12" i="4"/>
  <c r="AK9" i="4"/>
  <c r="AK7" i="4"/>
  <c r="AK19" i="4"/>
  <c r="AK16" i="4"/>
  <c r="AK8" i="4"/>
  <c r="AK4" i="4"/>
  <c r="AL34" i="4" s="1"/>
  <c r="AK5" i="4"/>
  <c r="AL37" i="4" s="1"/>
  <c r="CN5" i="4"/>
  <c r="CO9" i="4" s="1"/>
  <c r="Q6" i="4"/>
  <c r="AK6" i="4"/>
  <c r="G7" i="4"/>
  <c r="AA7" i="4"/>
  <c r="AU7" i="4"/>
  <c r="DM8" i="4"/>
  <c r="AI89" i="3"/>
  <c r="AE89" i="3"/>
  <c r="AA89" i="3"/>
  <c r="W89" i="3"/>
  <c r="S89" i="3"/>
  <c r="O89" i="3"/>
  <c r="K89" i="3"/>
  <c r="G89" i="3"/>
  <c r="C89" i="3"/>
  <c r="B92" i="3"/>
  <c r="H92" i="3"/>
  <c r="M92" i="3"/>
  <c r="R92" i="3"/>
  <c r="X92" i="3"/>
  <c r="AC92" i="3"/>
  <c r="AI93" i="3"/>
  <c r="AE93" i="3"/>
  <c r="AA93" i="3"/>
  <c r="W93" i="3"/>
  <c r="S93" i="3"/>
  <c r="O93" i="3"/>
  <c r="K93" i="3"/>
  <c r="G93" i="3"/>
  <c r="C93" i="3"/>
  <c r="E94" i="3"/>
  <c r="J94" i="3"/>
  <c r="P94" i="3"/>
  <c r="U94" i="3"/>
  <c r="Z94" i="3"/>
  <c r="AF94" i="3"/>
  <c r="H96" i="3"/>
  <c r="M96" i="3"/>
  <c r="R96" i="3"/>
  <c r="X96" i="3"/>
  <c r="AC96" i="3"/>
  <c r="R4" i="4"/>
  <c r="S4" i="4" s="1"/>
  <c r="AL4" i="4"/>
  <c r="AM4" i="4" s="1"/>
  <c r="EQ39" i="4"/>
  <c r="ER39" i="4"/>
  <c r="EQ4" i="4"/>
  <c r="ER33" i="4" s="1"/>
  <c r="AI92" i="3"/>
  <c r="AE92" i="3"/>
  <c r="AA92" i="3"/>
  <c r="W92" i="3"/>
  <c r="S92" i="3"/>
  <c r="O92" i="3"/>
  <c r="K92" i="3"/>
  <c r="G92" i="3"/>
  <c r="C92" i="3"/>
  <c r="A94" i="3"/>
  <c r="F94" i="3"/>
  <c r="L94" i="3"/>
  <c r="Q94" i="3"/>
  <c r="V94" i="3"/>
  <c r="AB94" i="3"/>
  <c r="AG94" i="3"/>
  <c r="AI96" i="3"/>
  <c r="AE96" i="3"/>
  <c r="AA96" i="3"/>
  <c r="W96" i="3"/>
  <c r="S96" i="3"/>
  <c r="O96" i="3"/>
  <c r="K96" i="3"/>
  <c r="G96" i="3"/>
  <c r="C96" i="3"/>
  <c r="G39" i="4"/>
  <c r="G31" i="4"/>
  <c r="G34" i="4"/>
  <c r="G33" i="4"/>
  <c r="G27" i="4"/>
  <c r="G36" i="4"/>
  <c r="G25" i="4"/>
  <c r="G22" i="4"/>
  <c r="G19" i="4"/>
  <c r="G15" i="4"/>
  <c r="G11" i="4"/>
  <c r="G23" i="4"/>
  <c r="G21" i="4"/>
  <c r="G30" i="4"/>
  <c r="G18" i="4"/>
  <c r="G14" i="4"/>
  <c r="G13" i="4"/>
  <c r="G17" i="4"/>
  <c r="G4" i="4"/>
  <c r="H39" i="4" s="1"/>
  <c r="AA40" i="4"/>
  <c r="AA39" i="4"/>
  <c r="AA31" i="4"/>
  <c r="AA34" i="4"/>
  <c r="AA33" i="4"/>
  <c r="AA27" i="4"/>
  <c r="AA25" i="4"/>
  <c r="AA22" i="4"/>
  <c r="AA19" i="4"/>
  <c r="AA15" i="4"/>
  <c r="AA11" i="4"/>
  <c r="AA30" i="4"/>
  <c r="AA23" i="4"/>
  <c r="AA36" i="4"/>
  <c r="AA18" i="4"/>
  <c r="AA14" i="4"/>
  <c r="AA13" i="4"/>
  <c r="AA17" i="4"/>
  <c r="AA4" i="4"/>
  <c r="AB40" i="4" s="1"/>
  <c r="AU40" i="4"/>
  <c r="AU39" i="4"/>
  <c r="AU31" i="4"/>
  <c r="AU34" i="4"/>
  <c r="AU33" i="4"/>
  <c r="AU27" i="4"/>
  <c r="AU36" i="4"/>
  <c r="AU25" i="4"/>
  <c r="AU22" i="4"/>
  <c r="AU19" i="4"/>
  <c r="AU15" i="4"/>
  <c r="AU11" i="4"/>
  <c r="AU23" i="4"/>
  <c r="AU30" i="4"/>
  <c r="AU18" i="4"/>
  <c r="AU14" i="4"/>
  <c r="AU13" i="4"/>
  <c r="AU17" i="4"/>
  <c r="AU4" i="4"/>
  <c r="AV4" i="4" s="1"/>
  <c r="AW4" i="4" s="1"/>
  <c r="M4" i="4"/>
  <c r="N4" i="4" s="1"/>
  <c r="M5" i="4"/>
  <c r="L5" i="4"/>
  <c r="AF5" i="4"/>
  <c r="FV5" i="4"/>
  <c r="FW5" i="4" s="1"/>
  <c r="FF6" i="4"/>
  <c r="FG10" i="4" s="1"/>
  <c r="B7" i="4"/>
  <c r="V7" i="4"/>
  <c r="W5" i="4" s="1"/>
  <c r="AP7" i="4"/>
  <c r="AQ5" i="4" s="1"/>
  <c r="DM7" i="4"/>
  <c r="B9" i="4"/>
  <c r="V9" i="4"/>
  <c r="AP9" i="4"/>
  <c r="FP9" i="4"/>
  <c r="G10" i="4"/>
  <c r="AA10" i="4"/>
  <c r="AU10" i="4"/>
  <c r="V12" i="4"/>
  <c r="FF12" i="4"/>
  <c r="AF14" i="4"/>
  <c r="C4" i="4"/>
  <c r="D4" i="4" s="1"/>
  <c r="L32" i="4"/>
  <c r="L35" i="4"/>
  <c r="L28" i="4"/>
  <c r="L20" i="4"/>
  <c r="L16" i="4"/>
  <c r="L12" i="4"/>
  <c r="L39" i="4"/>
  <c r="L31" i="4"/>
  <c r="L24" i="4"/>
  <c r="L22" i="4"/>
  <c r="L23" i="4"/>
  <c r="L19" i="4"/>
  <c r="L11" i="4"/>
  <c r="L18" i="4"/>
  <c r="L15" i="4"/>
  <c r="AF32" i="4"/>
  <c r="AG34" i="4"/>
  <c r="AF35" i="4"/>
  <c r="AF30" i="4"/>
  <c r="AF39" i="4"/>
  <c r="AF28" i="4"/>
  <c r="AF20" i="4"/>
  <c r="AF16" i="4"/>
  <c r="AF12" i="4"/>
  <c r="AF31" i="4"/>
  <c r="AG35" i="4"/>
  <c r="AF24" i="4"/>
  <c r="AF19" i="4"/>
  <c r="AF11" i="4"/>
  <c r="AF18" i="4"/>
  <c r="AF23" i="4"/>
  <c r="AF15" i="4"/>
  <c r="AQ4" i="4"/>
  <c r="AR4" i="4" s="1"/>
  <c r="CO37" i="4"/>
  <c r="CN32" i="4"/>
  <c r="CN35" i="4"/>
  <c r="CN30" i="4"/>
  <c r="CN28" i="4"/>
  <c r="CN31" i="4"/>
  <c r="CN24" i="4"/>
  <c r="CN26" i="4"/>
  <c r="CN16" i="4"/>
  <c r="CN12" i="4"/>
  <c r="CN20" i="4"/>
  <c r="CN18" i="4"/>
  <c r="CN10" i="4"/>
  <c r="CN11" i="4"/>
  <c r="CN7" i="4"/>
  <c r="CN8" i="4"/>
  <c r="CN15" i="4"/>
  <c r="EB32" i="4"/>
  <c r="EB35" i="4"/>
  <c r="EB34" i="4"/>
  <c r="EB28" i="4"/>
  <c r="EB24" i="4"/>
  <c r="EB31" i="4"/>
  <c r="EB30" i="4"/>
  <c r="EB16" i="4"/>
  <c r="EB12" i="4"/>
  <c r="EC18" i="4"/>
  <c r="EB19" i="4"/>
  <c r="EB20" i="4"/>
  <c r="EB22" i="4"/>
  <c r="EB15" i="4"/>
  <c r="EB14" i="4"/>
  <c r="EB27" i="4"/>
  <c r="EB18" i="4"/>
  <c r="EB6" i="4"/>
  <c r="FP32" i="4"/>
  <c r="FP34" i="4"/>
  <c r="FP28" i="4"/>
  <c r="FQ22" i="4"/>
  <c r="FP35" i="4"/>
  <c r="FQ23" i="4"/>
  <c r="FP20" i="4"/>
  <c r="FP31" i="4"/>
  <c r="FQ24" i="4"/>
  <c r="FQ20" i="4"/>
  <c r="FP16" i="4"/>
  <c r="FP12" i="4"/>
  <c r="FP24" i="4"/>
  <c r="FP22" i="4"/>
  <c r="FP19" i="4"/>
  <c r="FP15" i="4"/>
  <c r="FP8" i="4"/>
  <c r="FQ9" i="4" s="1"/>
  <c r="FP6" i="4"/>
  <c r="FQ4" i="4" s="1"/>
  <c r="FR4" i="4" s="1"/>
  <c r="FQ15" i="4"/>
  <c r="FP14" i="4"/>
  <c r="EB5" i="4"/>
  <c r="EC19" i="4" s="1"/>
  <c r="CN6" i="4"/>
  <c r="CO40" i="4" s="1"/>
  <c r="C7" i="4"/>
  <c r="L7" i="4"/>
  <c r="W7" i="4"/>
  <c r="AF7" i="4"/>
  <c r="FF7" i="4"/>
  <c r="FG13" i="4" s="1"/>
  <c r="L10" i="4"/>
  <c r="AF10" i="4"/>
  <c r="FP10" i="4"/>
  <c r="Q11" i="4"/>
  <c r="EB11" i="4"/>
  <c r="V13" i="4"/>
  <c r="AK14" i="4"/>
  <c r="EB4" i="4"/>
  <c r="EC39" i="4" s="1"/>
  <c r="G6" i="4"/>
  <c r="H38" i="4" s="1"/>
  <c r="AA6" i="4"/>
  <c r="AB39" i="4" s="1"/>
  <c r="AU6" i="4"/>
  <c r="FK6" i="4"/>
  <c r="FL40" i="4" s="1"/>
  <c r="EB7" i="4"/>
  <c r="FP7" i="4"/>
  <c r="EB8" i="4"/>
  <c r="EC6" i="4" s="1"/>
  <c r="FF8" i="4"/>
  <c r="G9" i="4"/>
  <c r="AA9" i="4"/>
  <c r="AU9" i="4"/>
  <c r="FF9" i="4"/>
  <c r="Q10" i="4"/>
  <c r="AK10" i="4"/>
  <c r="EB10" i="4"/>
  <c r="B12" i="4"/>
  <c r="AP12" i="4"/>
  <c r="FK13" i="4"/>
  <c r="L14" i="4"/>
  <c r="B64" i="4"/>
  <c r="B60" i="4"/>
  <c r="B56" i="4"/>
  <c r="B52" i="4"/>
  <c r="B48" i="4"/>
  <c r="B44" i="4"/>
  <c r="B38" i="4"/>
  <c r="B113" i="4"/>
  <c r="B105" i="4"/>
  <c r="B97" i="4"/>
  <c r="B89" i="4"/>
  <c r="B81" i="4"/>
  <c r="B73" i="4"/>
  <c r="B65" i="4"/>
  <c r="B37" i="4"/>
  <c r="B109" i="4"/>
  <c r="B93" i="4"/>
  <c r="B77" i="4"/>
  <c r="B61" i="4"/>
  <c r="B45" i="4"/>
  <c r="B101" i="4"/>
  <c r="B69" i="4"/>
  <c r="B36" i="4"/>
  <c r="B29" i="4"/>
  <c r="B26" i="4"/>
  <c r="B85" i="4"/>
  <c r="B33" i="4"/>
  <c r="B30" i="4"/>
  <c r="B20" i="4"/>
  <c r="B18" i="4"/>
  <c r="B14" i="4"/>
  <c r="B53" i="4"/>
  <c r="C8" i="4"/>
  <c r="B25" i="4"/>
  <c r="B21" i="4"/>
  <c r="B17" i="4"/>
  <c r="B24" i="4"/>
  <c r="C9" i="4"/>
  <c r="B22" i="4"/>
  <c r="B10" i="4"/>
  <c r="C107" i="4" s="1"/>
  <c r="C6" i="4"/>
  <c r="B16" i="4"/>
  <c r="W39" i="4"/>
  <c r="V38" i="4"/>
  <c r="V40" i="4"/>
  <c r="W38" i="4"/>
  <c r="V37" i="4"/>
  <c r="W35" i="4"/>
  <c r="V30" i="4"/>
  <c r="W28" i="4"/>
  <c r="V36" i="4"/>
  <c r="V29" i="4"/>
  <c r="V26" i="4"/>
  <c r="V33" i="4"/>
  <c r="V20" i="4"/>
  <c r="V18" i="4"/>
  <c r="V14" i="4"/>
  <c r="V25" i="4"/>
  <c r="V22" i="4"/>
  <c r="V17" i="4"/>
  <c r="W9" i="4"/>
  <c r="V10" i="4"/>
  <c r="W36" i="4" s="1"/>
  <c r="W6" i="4"/>
  <c r="V16" i="4"/>
  <c r="AQ39" i="4"/>
  <c r="AP38" i="4"/>
  <c r="AP40" i="4"/>
  <c r="AP37" i="4"/>
  <c r="AP30" i="4"/>
  <c r="AP36" i="4"/>
  <c r="AP29" i="4"/>
  <c r="AP26" i="4"/>
  <c r="AP33" i="4"/>
  <c r="AP20" i="4"/>
  <c r="AQ19" i="4"/>
  <c r="AP18" i="4"/>
  <c r="AP14" i="4"/>
  <c r="AQ12" i="4"/>
  <c r="AP25" i="4"/>
  <c r="AQ18" i="4"/>
  <c r="AP17" i="4"/>
  <c r="AP22" i="4"/>
  <c r="AP10" i="4"/>
  <c r="AQ7" i="4" s="1"/>
  <c r="AP24" i="4"/>
  <c r="AP16" i="4"/>
  <c r="FG40" i="4"/>
  <c r="FG37" i="4"/>
  <c r="FF37" i="4"/>
  <c r="FF38" i="4"/>
  <c r="FF30" i="4"/>
  <c r="FG39" i="4"/>
  <c r="FF33" i="4"/>
  <c r="FF26" i="4"/>
  <c r="FF32" i="4"/>
  <c r="FG22" i="4"/>
  <c r="FG21" i="4"/>
  <c r="FF18" i="4"/>
  <c r="FG15" i="4"/>
  <c r="FF14" i="4"/>
  <c r="FF10" i="4"/>
  <c r="FG38" i="4" s="1"/>
  <c r="FF13" i="4"/>
  <c r="FF24" i="4"/>
  <c r="FF22" i="4"/>
  <c r="FF17" i="4"/>
  <c r="L6" i="4"/>
  <c r="M37" i="4" s="1"/>
  <c r="AF6" i="4"/>
  <c r="AG4" i="4" s="1"/>
  <c r="AH4" i="4" s="1"/>
  <c r="FK9" i="4"/>
  <c r="AK11" i="4"/>
  <c r="FP11" i="4"/>
  <c r="FQ16" i="4" s="1"/>
  <c r="B13" i="4"/>
  <c r="AP13" i="4"/>
  <c r="FP13" i="4"/>
  <c r="Q14" i="4"/>
  <c r="CN14" i="4"/>
  <c r="FF15" i="4"/>
  <c r="FF23" i="4"/>
  <c r="L9" i="4"/>
  <c r="AF9" i="4"/>
  <c r="DM10" i="4"/>
  <c r="FF11" i="4"/>
  <c r="FG8" i="4" s="1"/>
  <c r="L13" i="4"/>
  <c r="AF13" i="4"/>
  <c r="CN13" i="4"/>
  <c r="B15" i="4"/>
  <c r="V15" i="4"/>
  <c r="AP15" i="4"/>
  <c r="FF16" i="4"/>
  <c r="DM18" i="4"/>
  <c r="CN19" i="4"/>
  <c r="DM23" i="4"/>
  <c r="EB26" i="4"/>
  <c r="G8" i="4"/>
  <c r="AA8" i="4"/>
  <c r="AU8" i="4"/>
  <c r="FK8" i="4"/>
  <c r="EB9" i="4"/>
  <c r="FK12" i="4"/>
  <c r="EB13" i="4"/>
  <c r="DM14" i="4"/>
  <c r="G16" i="4"/>
  <c r="AA16" i="4"/>
  <c r="AU16" i="4"/>
  <c r="FK16" i="4"/>
  <c r="EB17" i="4"/>
  <c r="FF21" i="4"/>
  <c r="FK28" i="4"/>
  <c r="CN9" i="4"/>
  <c r="CO7" i="4" s="1"/>
  <c r="B11" i="4"/>
  <c r="C14" i="4" s="1"/>
  <c r="V11" i="4"/>
  <c r="W27" i="4" s="1"/>
  <c r="AP11" i="4"/>
  <c r="AQ31" i="4" s="1"/>
  <c r="G12" i="4"/>
  <c r="AA12" i="4"/>
  <c r="AU12" i="4"/>
  <c r="FP18" i="4"/>
  <c r="AA21" i="4"/>
  <c r="AF22" i="4"/>
  <c r="V24" i="4"/>
  <c r="AA29" i="4"/>
  <c r="FP30" i="4"/>
  <c r="Q34" i="4"/>
  <c r="FP17" i="4"/>
  <c r="Q18" i="4"/>
  <c r="AK18" i="4"/>
  <c r="FF20" i="4"/>
  <c r="FK22" i="4"/>
  <c r="AK23" i="4"/>
  <c r="FK24" i="4"/>
  <c r="CN27" i="4"/>
  <c r="L30" i="4"/>
  <c r="L17" i="4"/>
  <c r="AF17" i="4"/>
  <c r="CN17" i="4"/>
  <c r="B19" i="4"/>
  <c r="V19" i="4"/>
  <c r="AP19" i="4"/>
  <c r="AU21" i="4"/>
  <c r="CN22" i="4"/>
  <c r="CN25" i="4"/>
  <c r="FF25" i="4"/>
  <c r="G26" i="4"/>
  <c r="AA26" i="4"/>
  <c r="AU26" i="4"/>
  <c r="G29" i="4"/>
  <c r="AU29" i="4"/>
  <c r="AK30" i="4"/>
  <c r="FP33" i="4"/>
  <c r="FP21" i="4"/>
  <c r="Q23" i="4"/>
  <c r="FP23" i="4"/>
  <c r="FK25" i="4"/>
  <c r="L26" i="4"/>
  <c r="AF26" i="4"/>
  <c r="Q28" i="4"/>
  <c r="AK28" i="4"/>
  <c r="CN34" i="4"/>
  <c r="Q35" i="4"/>
  <c r="EB36" i="4"/>
  <c r="V32" i="4"/>
  <c r="V35" i="4"/>
  <c r="AA37" i="4"/>
  <c r="G20" i="4"/>
  <c r="AA20" i="4"/>
  <c r="AU20" i="4"/>
  <c r="L21" i="4"/>
  <c r="Q22" i="4"/>
  <c r="AK22" i="4"/>
  <c r="DM22" i="4"/>
  <c r="G24" i="4"/>
  <c r="AA24" i="4"/>
  <c r="AU24" i="4"/>
  <c r="DM24" i="4"/>
  <c r="FP26" i="4"/>
  <c r="Q27" i="4"/>
  <c r="AK27" i="4"/>
  <c r="L29" i="4"/>
  <c r="AF29" i="4"/>
  <c r="CN33" i="4"/>
  <c r="FF34" i="4"/>
  <c r="B57" i="4"/>
  <c r="FF19" i="4"/>
  <c r="FK20" i="4"/>
  <c r="V21" i="4"/>
  <c r="AF21" i="4"/>
  <c r="AP21" i="4"/>
  <c r="B23" i="4"/>
  <c r="V23" i="4"/>
  <c r="AP23" i="4"/>
  <c r="CN23" i="4"/>
  <c r="EB23" i="4"/>
  <c r="EB25" i="4"/>
  <c r="FK26" i="4"/>
  <c r="L27" i="4"/>
  <c r="AF27" i="4"/>
  <c r="B28" i="4"/>
  <c r="V28" i="4"/>
  <c r="AP28" i="4"/>
  <c r="FF28" i="4"/>
  <c r="B32" i="4"/>
  <c r="AP32" i="4"/>
  <c r="L34" i="4"/>
  <c r="L38" i="4"/>
  <c r="CN39" i="4"/>
  <c r="B51" i="4"/>
  <c r="EB21" i="4"/>
  <c r="FP25" i="4"/>
  <c r="Q26" i="4"/>
  <c r="AK26" i="4"/>
  <c r="B27" i="4"/>
  <c r="V27" i="4"/>
  <c r="AP27" i="4"/>
  <c r="G28" i="4"/>
  <c r="AA28" i="4"/>
  <c r="AU28" i="4"/>
  <c r="FF31" i="4"/>
  <c r="L33" i="4"/>
  <c r="AF33" i="4"/>
  <c r="AF34" i="4"/>
  <c r="AK35" i="4"/>
  <c r="CN21" i="4"/>
  <c r="L25" i="4"/>
  <c r="AF25" i="4"/>
  <c r="DM26" i="4"/>
  <c r="Q30" i="4"/>
  <c r="Q33" i="4"/>
  <c r="AK33" i="4"/>
  <c r="FK33" i="4"/>
  <c r="AK34" i="4"/>
  <c r="B35" i="4"/>
  <c r="AP35" i="4"/>
  <c r="FF35" i="4"/>
  <c r="G37" i="4"/>
  <c r="AU37" i="4"/>
  <c r="CN36" i="4"/>
  <c r="FK37" i="4"/>
  <c r="AA38" i="4"/>
  <c r="DM39" i="4"/>
  <c r="B54" i="4"/>
  <c r="B83" i="4"/>
  <c r="EB29" i="4"/>
  <c r="B31" i="4"/>
  <c r="V31" i="4"/>
  <c r="AP31" i="4"/>
  <c r="FK32" i="4"/>
  <c r="DM33" i="4"/>
  <c r="EB33" i="4"/>
  <c r="DM34" i="4"/>
  <c r="FK35" i="4"/>
  <c r="FP37" i="4"/>
  <c r="AF38" i="4"/>
  <c r="EB38" i="4"/>
  <c r="EQ40" i="4"/>
  <c r="ER38" i="4" s="1"/>
  <c r="B41" i="4"/>
  <c r="CN29" i="4"/>
  <c r="DM30" i="4"/>
  <c r="G32" i="4"/>
  <c r="AA32" i="4"/>
  <c r="AU32" i="4"/>
  <c r="B34" i="4"/>
  <c r="V34" i="4"/>
  <c r="AP34" i="4"/>
  <c r="G35" i="4"/>
  <c r="AA35" i="4"/>
  <c r="AU35" i="4"/>
  <c r="DM35" i="4"/>
  <c r="L37" i="4"/>
  <c r="AF37" i="4"/>
  <c r="G38" i="4"/>
  <c r="AU38" i="4"/>
  <c r="B67" i="4"/>
  <c r="B99" i="4"/>
  <c r="Q37" i="4"/>
  <c r="AK37" i="4"/>
  <c r="CN37" i="4"/>
  <c r="EB39" i="4"/>
  <c r="CN40" i="4"/>
  <c r="B43" i="4"/>
  <c r="B49" i="4"/>
  <c r="B59" i="4"/>
  <c r="L36" i="4"/>
  <c r="AF36" i="4"/>
  <c r="EB37" i="4"/>
  <c r="CN38" i="4"/>
  <c r="DM38" i="4"/>
  <c r="B46" i="4"/>
  <c r="B62" i="4"/>
  <c r="B75" i="4"/>
  <c r="B91" i="4"/>
  <c r="B107" i="4"/>
  <c r="B39" i="4"/>
  <c r="V39" i="4"/>
  <c r="AP39" i="4"/>
  <c r="G40" i="4"/>
  <c r="B47" i="4"/>
  <c r="B55" i="4"/>
  <c r="B63" i="4"/>
  <c r="Q38" i="4"/>
  <c r="AK38" i="4"/>
  <c r="FP38" i="4"/>
  <c r="Q39" i="4"/>
  <c r="AK39" i="4"/>
  <c r="EL39" i="4"/>
  <c r="EM40" i="4" s="1"/>
  <c r="B40" i="4"/>
  <c r="EB40" i="4"/>
  <c r="B42" i="4"/>
  <c r="B50" i="4"/>
  <c r="B58" i="4"/>
  <c r="B71" i="4"/>
  <c r="B79" i="4"/>
  <c r="B87" i="4"/>
  <c r="B95" i="4"/>
  <c r="B103" i="4"/>
  <c r="B111" i="4"/>
  <c r="EL40" i="4"/>
  <c r="B68" i="4"/>
  <c r="B72" i="4"/>
  <c r="B76" i="4"/>
  <c r="B80" i="4"/>
  <c r="B84" i="4"/>
  <c r="B88" i="4"/>
  <c r="B92" i="4"/>
  <c r="B96" i="4"/>
  <c r="B100" i="4"/>
  <c r="B104" i="4"/>
  <c r="B108" i="4"/>
  <c r="B112" i="4"/>
  <c r="L40" i="4"/>
  <c r="AF40" i="4"/>
  <c r="B66" i="4"/>
  <c r="B70" i="4"/>
  <c r="B74" i="4"/>
  <c r="B78" i="4"/>
  <c r="B82" i="4"/>
  <c r="B86" i="4"/>
  <c r="B90" i="4"/>
  <c r="B94" i="4"/>
  <c r="B98" i="4"/>
  <c r="B102" i="4"/>
  <c r="B106" i="4"/>
  <c r="B110" i="4"/>
  <c r="B114" i="4"/>
  <c r="H3" i="2" l="1"/>
  <c r="AA43" i="3"/>
  <c r="EG40" i="4"/>
  <c r="AA35" i="3"/>
  <c r="FS40" i="4"/>
  <c r="FS37" i="4"/>
  <c r="FS39" i="4"/>
  <c r="FS35" i="4"/>
  <c r="FS38" i="4"/>
  <c r="FS31" i="4"/>
  <c r="FS32" i="4"/>
  <c r="FS29" i="4"/>
  <c r="FS33" i="4"/>
  <c r="FS30" i="4"/>
  <c r="FS28" i="4"/>
  <c r="FS24" i="4"/>
  <c r="FS20" i="4"/>
  <c r="FS22" i="4"/>
  <c r="FS21" i="4"/>
  <c r="FS36" i="4"/>
  <c r="FS27" i="4"/>
  <c r="FS15" i="4"/>
  <c r="FS11" i="4"/>
  <c r="FS19" i="4"/>
  <c r="FS16" i="4"/>
  <c r="FS12" i="4"/>
  <c r="FS8" i="4"/>
  <c r="FS34" i="4"/>
  <c r="FS26" i="4"/>
  <c r="FS25" i="4"/>
  <c r="FS18" i="4"/>
  <c r="FS23" i="4"/>
  <c r="FS10" i="4"/>
  <c r="FS9" i="4"/>
  <c r="FS13" i="4"/>
  <c r="FS7" i="4"/>
  <c r="FS17" i="4"/>
  <c r="FS14" i="4"/>
  <c r="FS6" i="4"/>
  <c r="FS5" i="4"/>
  <c r="FS4" i="4"/>
  <c r="CY4" i="3" s="1"/>
  <c r="FW6" i="4"/>
  <c r="FW7" i="4" s="1"/>
  <c r="FW8" i="4" s="1"/>
  <c r="FW9" i="4" s="1"/>
  <c r="FW10" i="4" s="1"/>
  <c r="FW11" i="4" s="1"/>
  <c r="FW12" i="4" s="1"/>
  <c r="FW13" i="4" s="1"/>
  <c r="FW14" i="4" s="1"/>
  <c r="FW15" i="4" s="1"/>
  <c r="FW16" i="4" s="1"/>
  <c r="FW17" i="4" s="1"/>
  <c r="FW18" i="4" s="1"/>
  <c r="FW19" i="4" s="1"/>
  <c r="FW20" i="4" s="1"/>
  <c r="FW21" i="4" s="1"/>
  <c r="FW22" i="4" s="1"/>
  <c r="FW23" i="4" s="1"/>
  <c r="FW24" i="4" s="1"/>
  <c r="FW25" i="4" s="1"/>
  <c r="FW26" i="4" s="1"/>
  <c r="FW27" i="4" s="1"/>
  <c r="FW28" i="4" s="1"/>
  <c r="FW29" i="4" s="1"/>
  <c r="FW30" i="4" s="1"/>
  <c r="FW31" i="4" s="1"/>
  <c r="FW32" i="4" s="1"/>
  <c r="FW33" i="4" s="1"/>
  <c r="FW34" i="4" s="1"/>
  <c r="FW35" i="4" s="1"/>
  <c r="FW36" i="4" s="1"/>
  <c r="FW37" i="4" s="1"/>
  <c r="FW38" i="4" s="1"/>
  <c r="FW39" i="4" s="1"/>
  <c r="FW40" i="4" s="1"/>
  <c r="FX37" i="4"/>
  <c r="FX23" i="4"/>
  <c r="FX11" i="4"/>
  <c r="FX13" i="4"/>
  <c r="FX4" i="4"/>
  <c r="DA4" i="3" s="1"/>
  <c r="FX28" i="4"/>
  <c r="FX22" i="4"/>
  <c r="FX18" i="4"/>
  <c r="FX10" i="4"/>
  <c r="FX34" i="4"/>
  <c r="FX24" i="4"/>
  <c r="FX30" i="4"/>
  <c r="FX9" i="4"/>
  <c r="FX40" i="4"/>
  <c r="FX38" i="4"/>
  <c r="FX15" i="4"/>
  <c r="FX16" i="4"/>
  <c r="FX6" i="4"/>
  <c r="FX5" i="4"/>
  <c r="AS5" i="2"/>
  <c r="AS7" i="2"/>
  <c r="AT8" i="2" s="1"/>
  <c r="AS6" i="2"/>
  <c r="AS9" i="2" s="1"/>
  <c r="AT4" i="2"/>
  <c r="AQ14" i="4"/>
  <c r="FG6" i="4"/>
  <c r="FG27" i="4"/>
  <c r="FG18" i="4"/>
  <c r="FG25" i="4"/>
  <c r="FG28" i="4"/>
  <c r="FG32" i="4"/>
  <c r="FG35" i="4"/>
  <c r="EM25" i="4"/>
  <c r="EM19" i="4"/>
  <c r="EM12" i="4"/>
  <c r="EM15" i="4"/>
  <c r="EM33" i="4"/>
  <c r="EM24" i="4"/>
  <c r="EM29" i="4"/>
  <c r="EM31" i="4"/>
  <c r="AQ9" i="4"/>
  <c r="AQ17" i="4"/>
  <c r="AQ15" i="4"/>
  <c r="AQ26" i="4"/>
  <c r="AQ20" i="4"/>
  <c r="AQ37" i="4"/>
  <c r="AQ35" i="4"/>
  <c r="W25" i="4"/>
  <c r="W17" i="4"/>
  <c r="W8" i="4"/>
  <c r="W20" i="4"/>
  <c r="W37" i="4"/>
  <c r="W31" i="4"/>
  <c r="C10" i="4"/>
  <c r="C11" i="4"/>
  <c r="C19" i="4"/>
  <c r="C28" i="4"/>
  <c r="C31" i="4"/>
  <c r="C43" i="4"/>
  <c r="C55" i="4"/>
  <c r="C73" i="4"/>
  <c r="C89" i="4"/>
  <c r="C105" i="4"/>
  <c r="C76" i="4"/>
  <c r="C92" i="4"/>
  <c r="C108" i="4"/>
  <c r="C45" i="4"/>
  <c r="C53" i="4"/>
  <c r="C61" i="4"/>
  <c r="C54" i="4"/>
  <c r="C70" i="4"/>
  <c r="C86" i="4"/>
  <c r="C102" i="4"/>
  <c r="C79" i="4"/>
  <c r="C95" i="4"/>
  <c r="C111" i="4"/>
  <c r="CO6" i="4"/>
  <c r="EC5" i="4"/>
  <c r="M8" i="4"/>
  <c r="FQ11" i="4"/>
  <c r="FQ12" i="4"/>
  <c r="FQ19" i="4"/>
  <c r="FQ14" i="4"/>
  <c r="FQ28" i="4"/>
  <c r="FQ35" i="4"/>
  <c r="FQ36" i="4"/>
  <c r="FG4" i="4"/>
  <c r="FH4" i="4" s="1"/>
  <c r="EC8" i="4"/>
  <c r="EC9" i="4"/>
  <c r="EC16" i="4"/>
  <c r="EC14" i="4"/>
  <c r="EC28" i="4"/>
  <c r="EC17" i="4"/>
  <c r="EC31" i="4"/>
  <c r="EC24" i="4"/>
  <c r="EC26" i="4"/>
  <c r="EC40" i="4"/>
  <c r="EC38" i="4"/>
  <c r="CO16" i="4"/>
  <c r="CO10" i="4"/>
  <c r="CO20" i="4"/>
  <c r="CO17" i="4"/>
  <c r="CO27" i="4"/>
  <c r="CO22" i="4"/>
  <c r="CO35" i="4"/>
  <c r="CO38" i="4"/>
  <c r="AG9" i="4"/>
  <c r="AG12" i="4"/>
  <c r="AG27" i="4"/>
  <c r="AG18" i="4"/>
  <c r="AG39" i="4"/>
  <c r="M15" i="4"/>
  <c r="M12" i="4"/>
  <c r="M10" i="4"/>
  <c r="M28" i="4"/>
  <c r="M23" i="4"/>
  <c r="M22" i="4"/>
  <c r="M32" i="4"/>
  <c r="M34" i="4"/>
  <c r="M40" i="4"/>
  <c r="M6" i="4"/>
  <c r="FG5" i="4"/>
  <c r="AV14" i="4"/>
  <c r="AV15" i="4"/>
  <c r="AV9" i="4"/>
  <c r="AV26" i="4"/>
  <c r="AV16" i="4"/>
  <c r="AV24" i="4"/>
  <c r="AV37" i="4"/>
  <c r="AV31" i="4"/>
  <c r="AV39" i="4"/>
  <c r="AB14" i="4"/>
  <c r="AB10" i="4"/>
  <c r="AB19" i="4"/>
  <c r="AB12" i="4"/>
  <c r="AB20" i="4"/>
  <c r="AB30" i="4"/>
  <c r="AB21" i="4"/>
  <c r="AB32" i="4"/>
  <c r="H5" i="4"/>
  <c r="H11" i="4"/>
  <c r="H19" i="4"/>
  <c r="H12" i="4"/>
  <c r="H20" i="4"/>
  <c r="H22" i="4"/>
  <c r="H28" i="4"/>
  <c r="H25" i="4"/>
  <c r="H32" i="4"/>
  <c r="H40" i="4"/>
  <c r="ER15" i="4"/>
  <c r="ER14" i="4"/>
  <c r="ER9" i="4"/>
  <c r="ER27" i="4"/>
  <c r="ER22" i="4"/>
  <c r="ER21" i="4"/>
  <c r="ER30" i="4"/>
  <c r="ER32" i="4"/>
  <c r="ER37" i="4"/>
  <c r="S5" i="4"/>
  <c r="S6" i="4" s="1"/>
  <c r="S7" i="4" s="1"/>
  <c r="S8" i="4" s="1"/>
  <c r="S9" i="4" s="1"/>
  <c r="S10" i="4" s="1"/>
  <c r="S11" i="4" s="1"/>
  <c r="CO4" i="4"/>
  <c r="CP4" i="4" s="1"/>
  <c r="AL7" i="4"/>
  <c r="AL29" i="4"/>
  <c r="AL25" i="4"/>
  <c r="AL26" i="4"/>
  <c r="AL27" i="4"/>
  <c r="AL32" i="4"/>
  <c r="AL35" i="4"/>
  <c r="AL40" i="4"/>
  <c r="R7" i="4"/>
  <c r="R9" i="4"/>
  <c r="R28" i="4"/>
  <c r="R17" i="4"/>
  <c r="R19" i="4"/>
  <c r="R21" i="4"/>
  <c r="R23" i="4"/>
  <c r="R38" i="4"/>
  <c r="R31" i="4"/>
  <c r="R40" i="4"/>
  <c r="FL8" i="4"/>
  <c r="FL7" i="4"/>
  <c r="FL14" i="4"/>
  <c r="FL9" i="4"/>
  <c r="FL34" i="4"/>
  <c r="FL28" i="4"/>
  <c r="FL33" i="4"/>
  <c r="FL36" i="4"/>
  <c r="EM7" i="4"/>
  <c r="DN9" i="4"/>
  <c r="DN8" i="4"/>
  <c r="DN17" i="4"/>
  <c r="DN16" i="4"/>
  <c r="DN11" i="4"/>
  <c r="DN18" i="4"/>
  <c r="DN29" i="4"/>
  <c r="DN27" i="4"/>
  <c r="AB4" i="4"/>
  <c r="AC4" i="4" s="1"/>
  <c r="BY38" i="4"/>
  <c r="CW37" i="4"/>
  <c r="T29" i="3"/>
  <c r="AD37" i="1"/>
  <c r="CS22" i="4"/>
  <c r="AZ22" i="4"/>
  <c r="DQ37" i="4"/>
  <c r="X29" i="3"/>
  <c r="BT37" i="4"/>
  <c r="DC35" i="4"/>
  <c r="EG33" i="4"/>
  <c r="EG32" i="4"/>
  <c r="EG39" i="4"/>
  <c r="EZ35" i="4"/>
  <c r="AI54" i="3"/>
  <c r="AE54" i="3"/>
  <c r="BT32" i="4"/>
  <c r="BI30" i="4"/>
  <c r="L26" i="3"/>
  <c r="EZ28" i="4"/>
  <c r="AI53" i="3"/>
  <c r="AE53" i="3"/>
  <c r="CS26" i="4"/>
  <c r="DC19" i="4"/>
  <c r="CS14" i="4"/>
  <c r="AZ14" i="4"/>
  <c r="DQ7" i="4"/>
  <c r="X9" i="3"/>
  <c r="X7" i="1"/>
  <c r="K41" i="1"/>
  <c r="DQ12" i="4"/>
  <c r="X20" i="3"/>
  <c r="AZ12" i="4"/>
  <c r="J43" i="3"/>
  <c r="CC34" i="4"/>
  <c r="P49" i="3"/>
  <c r="P34" i="1"/>
  <c r="DQ27" i="4"/>
  <c r="X15" i="3"/>
  <c r="X16" i="3" s="1"/>
  <c r="BI26" i="4"/>
  <c r="L25" i="3"/>
  <c r="N55" i="3"/>
  <c r="CS24" i="4"/>
  <c r="DC21" i="4"/>
  <c r="BY20" i="4"/>
  <c r="CW19" i="4"/>
  <c r="T22" i="3"/>
  <c r="AD19" i="1"/>
  <c r="BY18" i="4"/>
  <c r="CW17" i="4"/>
  <c r="T46" i="3"/>
  <c r="T51" i="3" s="1"/>
  <c r="CC13" i="4"/>
  <c r="P44" i="3"/>
  <c r="P13" i="1"/>
  <c r="CC12" i="4"/>
  <c r="P20" i="3"/>
  <c r="P12" i="1"/>
  <c r="DC9" i="4"/>
  <c r="CC8" i="4"/>
  <c r="P33" i="3"/>
  <c r="P35" i="3" s="1"/>
  <c r="P8" i="1"/>
  <c r="CC7" i="4"/>
  <c r="P9" i="3"/>
  <c r="P7" i="1"/>
  <c r="CC6" i="4"/>
  <c r="P8" i="3"/>
  <c r="P10" i="3" s="1"/>
  <c r="P6" i="1"/>
  <c r="BI5" i="4"/>
  <c r="L17" i="3"/>
  <c r="BY4" i="4"/>
  <c r="BZ36" i="4" s="1"/>
  <c r="CS39" i="4"/>
  <c r="AZ39" i="4"/>
  <c r="BY35" i="4"/>
  <c r="CS32" i="4"/>
  <c r="DV17" i="4"/>
  <c r="Y46" i="3"/>
  <c r="Y51" i="3" s="1"/>
  <c r="AC17" i="1"/>
  <c r="BY12" i="4"/>
  <c r="CW11" i="4"/>
  <c r="T19" i="3"/>
  <c r="AD11" i="1"/>
  <c r="CW9" i="4"/>
  <c r="T41" i="3"/>
  <c r="T43" i="3" s="1"/>
  <c r="AD9" i="1"/>
  <c r="BD7" i="4"/>
  <c r="K9" i="3"/>
  <c r="O30" i="3"/>
  <c r="N56" i="3"/>
  <c r="AZ32" i="4"/>
  <c r="EG25" i="4"/>
  <c r="BO19" i="4"/>
  <c r="BO17" i="4"/>
  <c r="N51" i="3"/>
  <c r="CS11" i="4"/>
  <c r="BT10" i="4"/>
  <c r="DQ8" i="4"/>
  <c r="X33" i="3"/>
  <c r="X35" i="3" s="1"/>
  <c r="BT7" i="4"/>
  <c r="CS5" i="4"/>
  <c r="BO4" i="4"/>
  <c r="BP36" i="4" s="1"/>
  <c r="CC30" i="4"/>
  <c r="P26" i="3"/>
  <c r="P30" i="1"/>
  <c r="BT26" i="4"/>
  <c r="M55" i="3"/>
  <c r="BD24" i="4"/>
  <c r="K24" i="3"/>
  <c r="CH23" i="4"/>
  <c r="Q47" i="3"/>
  <c r="DC22" i="4"/>
  <c r="CS20" i="4"/>
  <c r="AZ20" i="4"/>
  <c r="DQ18" i="4"/>
  <c r="X21" i="3"/>
  <c r="BT18" i="4"/>
  <c r="CS17" i="4"/>
  <c r="BO16" i="4"/>
  <c r="EG9" i="4"/>
  <c r="BD8" i="4"/>
  <c r="K33" i="3"/>
  <c r="O10" i="3"/>
  <c r="EG5" i="4"/>
  <c r="EG4" i="4"/>
  <c r="CW34" i="4"/>
  <c r="T49" i="3"/>
  <c r="AD34" i="1"/>
  <c r="BT31" i="4"/>
  <c r="BY28" i="4"/>
  <c r="EZ26" i="4"/>
  <c r="AI25" i="3"/>
  <c r="AE25" i="3"/>
  <c r="BI25" i="4"/>
  <c r="L52" i="3"/>
  <c r="L55" i="3" s="1"/>
  <c r="BY22" i="4"/>
  <c r="EG21" i="4"/>
  <c r="EG13" i="4"/>
  <c r="BT6" i="4"/>
  <c r="AZ34" i="4"/>
  <c r="CH20" i="4"/>
  <c r="Q34" i="3"/>
  <c r="CS9" i="4"/>
  <c r="CS6" i="4"/>
  <c r="EZ13" i="4"/>
  <c r="AI44" i="3"/>
  <c r="AE44" i="3"/>
  <c r="FG9" i="4"/>
  <c r="FG17" i="4"/>
  <c r="FG23" i="4"/>
  <c r="FG34" i="4"/>
  <c r="FG29" i="4"/>
  <c r="EM10" i="4"/>
  <c r="EM17" i="4"/>
  <c r="EM16" i="4"/>
  <c r="EM26" i="4"/>
  <c r="EM21" i="4"/>
  <c r="EM28" i="4"/>
  <c r="EM30" i="4"/>
  <c r="EM35" i="4"/>
  <c r="AQ13" i="4"/>
  <c r="AQ23" i="4"/>
  <c r="AQ16" i="4"/>
  <c r="AQ34" i="4"/>
  <c r="AQ21" i="4"/>
  <c r="AQ33" i="4"/>
  <c r="AQ24" i="4"/>
  <c r="AQ32" i="4"/>
  <c r="W13" i="4"/>
  <c r="W12" i="4"/>
  <c r="W15" i="4"/>
  <c r="W26" i="4"/>
  <c r="W21" i="4"/>
  <c r="W33" i="4"/>
  <c r="W24" i="4"/>
  <c r="W40" i="4"/>
  <c r="C25" i="4"/>
  <c r="C18" i="4"/>
  <c r="C23" i="4"/>
  <c r="C12" i="4"/>
  <c r="C27" i="4"/>
  <c r="C51" i="4"/>
  <c r="C30" i="4"/>
  <c r="C35" i="4"/>
  <c r="C59" i="4"/>
  <c r="C63" i="4"/>
  <c r="C77" i="4"/>
  <c r="C93" i="4"/>
  <c r="C109" i="4"/>
  <c r="C64" i="4"/>
  <c r="C80" i="4"/>
  <c r="C96" i="4"/>
  <c r="C112" i="4"/>
  <c r="C48" i="4"/>
  <c r="C56" i="4"/>
  <c r="C42" i="4"/>
  <c r="C58" i="4"/>
  <c r="C74" i="4"/>
  <c r="C90" i="4"/>
  <c r="C106" i="4"/>
  <c r="C67" i="4"/>
  <c r="C83" i="4"/>
  <c r="C99" i="4"/>
  <c r="FQ18" i="4"/>
  <c r="FQ17" i="4"/>
  <c r="FQ37" i="4"/>
  <c r="FQ39" i="4"/>
  <c r="EM4" i="4"/>
  <c r="EN4" i="4" s="1"/>
  <c r="EC11" i="4"/>
  <c r="EC32" i="4"/>
  <c r="EC36" i="4"/>
  <c r="EC30" i="4"/>
  <c r="EC33" i="4"/>
  <c r="CO28" i="4"/>
  <c r="CO14" i="4"/>
  <c r="CO21" i="4"/>
  <c r="CO29" i="4"/>
  <c r="CO26" i="4"/>
  <c r="CO32" i="4"/>
  <c r="CO36" i="4"/>
  <c r="AR5" i="4"/>
  <c r="AG15" i="4"/>
  <c r="AG25" i="4"/>
  <c r="AG13" i="4"/>
  <c r="AG21" i="4"/>
  <c r="AG22" i="4"/>
  <c r="AG29" i="4"/>
  <c r="AG36" i="4"/>
  <c r="AG33" i="4"/>
  <c r="AG38" i="4"/>
  <c r="M16" i="4"/>
  <c r="M14" i="4"/>
  <c r="M17" i="4"/>
  <c r="M24" i="4"/>
  <c r="M26" i="4"/>
  <c r="M39" i="4"/>
  <c r="AV6" i="4"/>
  <c r="AV10" i="4"/>
  <c r="AV19" i="4"/>
  <c r="AV13" i="4"/>
  <c r="AV21" i="4"/>
  <c r="AV32" i="4"/>
  <c r="AB5" i="4"/>
  <c r="AB11" i="4"/>
  <c r="AB18" i="4"/>
  <c r="AB9" i="4"/>
  <c r="AB26" i="4"/>
  <c r="AB34" i="4"/>
  <c r="AB28" i="4"/>
  <c r="AB25" i="4"/>
  <c r="AB36" i="4"/>
  <c r="AB38" i="4"/>
  <c r="H8" i="4"/>
  <c r="H7" i="4"/>
  <c r="H18" i="4"/>
  <c r="H9" i="4"/>
  <c r="H26" i="4"/>
  <c r="H23" i="4"/>
  <c r="H34" i="4"/>
  <c r="H29" i="4"/>
  <c r="H36" i="4"/>
  <c r="FQ8" i="4"/>
  <c r="ER5" i="4"/>
  <c r="ER6" i="4"/>
  <c r="ER19" i="4"/>
  <c r="ER13" i="4"/>
  <c r="ER24" i="4"/>
  <c r="ER25" i="4"/>
  <c r="ER29" i="4"/>
  <c r="ER36" i="4"/>
  <c r="ER40" i="4"/>
  <c r="EM5" i="4"/>
  <c r="AL28" i="4"/>
  <c r="AL16" i="4"/>
  <c r="AL11" i="4"/>
  <c r="AL33" i="4"/>
  <c r="AL18" i="4"/>
  <c r="AL36" i="4"/>
  <c r="AL30" i="4"/>
  <c r="AL39" i="4"/>
  <c r="R10" i="4"/>
  <c r="R12" i="4"/>
  <c r="R20" i="4"/>
  <c r="R25" i="4"/>
  <c r="R18" i="4"/>
  <c r="R30" i="4"/>
  <c r="R26" i="4"/>
  <c r="R27" i="4"/>
  <c r="R35" i="4"/>
  <c r="R39" i="4"/>
  <c r="FL10" i="4"/>
  <c r="FL4" i="4"/>
  <c r="FM4" i="4" s="1"/>
  <c r="FL11" i="4"/>
  <c r="FL13" i="4"/>
  <c r="FL12" i="4"/>
  <c r="FL31" i="4"/>
  <c r="FL21" i="4"/>
  <c r="FL30" i="4"/>
  <c r="FL39" i="4"/>
  <c r="DN4" i="4"/>
  <c r="DO4" i="4" s="1"/>
  <c r="DN12" i="4"/>
  <c r="DN15" i="4"/>
  <c r="DN32" i="4"/>
  <c r="DN31" i="4"/>
  <c r="DN34" i="4"/>
  <c r="DN40" i="4"/>
  <c r="H4" i="4"/>
  <c r="I4" i="4" s="1"/>
  <c r="BF8" i="2"/>
  <c r="DC37" i="4"/>
  <c r="EG35" i="4"/>
  <c r="BT35" i="4"/>
  <c r="BO34" i="4"/>
  <c r="BO33" i="4"/>
  <c r="BO32" i="4"/>
  <c r="DC30" i="4"/>
  <c r="CS28" i="4"/>
  <c r="AZ28" i="4"/>
  <c r="DH26" i="4"/>
  <c r="DC25" i="4"/>
  <c r="BY23" i="4"/>
  <c r="EG22" i="4"/>
  <c r="BF11" i="2"/>
  <c r="BF4" i="2"/>
  <c r="BE5" i="2"/>
  <c r="BE6" i="2" s="1"/>
  <c r="BO40" i="4"/>
  <c r="BD38" i="4"/>
  <c r="K13" i="3"/>
  <c r="K14" i="3" s="1"/>
  <c r="EG36" i="4"/>
  <c r="BT36" i="4"/>
  <c r="BO35" i="4"/>
  <c r="DC33" i="4"/>
  <c r="EG30" i="4"/>
  <c r="EG29" i="4"/>
  <c r="BT29" i="4"/>
  <c r="BO28" i="4"/>
  <c r="DC26" i="4"/>
  <c r="BY25" i="4"/>
  <c r="BY24" i="4"/>
  <c r="CS23" i="4"/>
  <c r="AZ23" i="4"/>
  <c r="DQ21" i="4"/>
  <c r="X31" i="3"/>
  <c r="X32" i="3" s="1"/>
  <c r="BT21" i="4"/>
  <c r="DC40" i="4"/>
  <c r="EG38" i="4"/>
  <c r="BT38" i="4"/>
  <c r="CC39" i="4"/>
  <c r="P36" i="3"/>
  <c r="P38" i="3" s="1"/>
  <c r="P39" i="1"/>
  <c r="CS33" i="4"/>
  <c r="AZ33" i="4"/>
  <c r="CW31" i="4"/>
  <c r="T39" i="3"/>
  <c r="T40" i="3" s="1"/>
  <c r="AD31" i="1"/>
  <c r="BO31" i="4"/>
  <c r="CH29" i="4"/>
  <c r="Q48" i="3"/>
  <c r="CC24" i="4"/>
  <c r="P24" i="3"/>
  <c r="P24" i="1"/>
  <c r="DC20" i="4"/>
  <c r="EU18" i="4"/>
  <c r="AD21" i="3"/>
  <c r="DC17" i="4"/>
  <c r="CS15" i="4"/>
  <c r="AZ15" i="4"/>
  <c r="DQ13" i="4"/>
  <c r="X44" i="3"/>
  <c r="DH11" i="4"/>
  <c r="BO6" i="4"/>
  <c r="BP38" i="4" s="1"/>
  <c r="BY15" i="4"/>
  <c r="CS10" i="4"/>
  <c r="AZ9" i="4"/>
  <c r="AZ6" i="4"/>
  <c r="CC40" i="4"/>
  <c r="P37" i="3"/>
  <c r="P40" i="1"/>
  <c r="BO37" i="4"/>
  <c r="EG31" i="4"/>
  <c r="AZ31" i="4"/>
  <c r="DC29" i="4"/>
  <c r="BT25" i="4"/>
  <c r="BO22" i="4"/>
  <c r="CC21" i="4"/>
  <c r="P31" i="3"/>
  <c r="P32" i="3" s="1"/>
  <c r="P21" i="1"/>
  <c r="BD20" i="4"/>
  <c r="K34" i="3"/>
  <c r="EG18" i="4"/>
  <c r="BD18" i="4"/>
  <c r="K21" i="3"/>
  <c r="EG16" i="4"/>
  <c r="BT16" i="4"/>
  <c r="BO15" i="4"/>
  <c r="BO14" i="4"/>
  <c r="BI13" i="4"/>
  <c r="L44" i="3"/>
  <c r="L51" i="3" s="1"/>
  <c r="DC10" i="4"/>
  <c r="CC9" i="4"/>
  <c r="P41" i="3"/>
  <c r="P43" i="3" s="1"/>
  <c r="P9" i="1"/>
  <c r="BI8" i="4"/>
  <c r="L33" i="3"/>
  <c r="L35" i="3" s="1"/>
  <c r="BI7" i="4"/>
  <c r="L9" i="3"/>
  <c r="L10" i="3" s="1"/>
  <c r="U30" i="3"/>
  <c r="CW4" i="4"/>
  <c r="T57" i="3"/>
  <c r="T6" i="3"/>
  <c r="T7" i="3" s="1"/>
  <c r="S41" i="1"/>
  <c r="AD4" i="1"/>
  <c r="BD4" i="4"/>
  <c r="K57" i="3"/>
  <c r="K6" i="3"/>
  <c r="K7" i="3" s="1"/>
  <c r="J41" i="1"/>
  <c r="CW39" i="4"/>
  <c r="T36" i="3"/>
  <c r="T38" i="3" s="1"/>
  <c r="AD39" i="1"/>
  <c r="BD39" i="4"/>
  <c r="K36" i="3"/>
  <c r="K38" i="3" s="1"/>
  <c r="CH36" i="4"/>
  <c r="Q50" i="3"/>
  <c r="CC28" i="4"/>
  <c r="P53" i="3"/>
  <c r="P28" i="1"/>
  <c r="O51" i="3"/>
  <c r="BD12" i="4"/>
  <c r="K20" i="3"/>
  <c r="BD11" i="4"/>
  <c r="BE14" i="4" s="1"/>
  <c r="K19" i="3"/>
  <c r="O43" i="3"/>
  <c r="EG8" i="4"/>
  <c r="BY5" i="4"/>
  <c r="BY32" i="4"/>
  <c r="CH18" i="4"/>
  <c r="Q21" i="3"/>
  <c r="BT13" i="4"/>
  <c r="BT12" i="4"/>
  <c r="DQ9" i="4"/>
  <c r="X41" i="3"/>
  <c r="CC33" i="4"/>
  <c r="P28" i="3"/>
  <c r="P33" i="1"/>
  <c r="AZ27" i="4"/>
  <c r="CW25" i="4"/>
  <c r="T52" i="3"/>
  <c r="T55" i="3" s="1"/>
  <c r="AD25" i="1"/>
  <c r="BO25" i="4"/>
  <c r="BI24" i="4"/>
  <c r="L24" i="3"/>
  <c r="DQ19" i="4"/>
  <c r="X22" i="3"/>
  <c r="BT19" i="4"/>
  <c r="EZ15" i="4"/>
  <c r="AI11" i="3"/>
  <c r="AE11" i="3"/>
  <c r="AE12" i="3" s="1"/>
  <c r="AI12" i="3" s="1"/>
  <c r="EG12" i="4"/>
  <c r="BY10" i="4"/>
  <c r="CW8" i="4"/>
  <c r="T33" i="3"/>
  <c r="AD8" i="1"/>
  <c r="BY6" i="4"/>
  <c r="EU37" i="4"/>
  <c r="AD29" i="3"/>
  <c r="DQ34" i="4"/>
  <c r="X49" i="3"/>
  <c r="CC27" i="4"/>
  <c r="P15" i="3"/>
  <c r="P16" i="3" s="1"/>
  <c r="P27" i="1"/>
  <c r="J55" i="3"/>
  <c r="S35" i="3"/>
  <c r="J30" i="3"/>
  <c r="J56" i="3" s="1"/>
  <c r="BO38" i="4"/>
  <c r="BD34" i="4"/>
  <c r="K49" i="3"/>
  <c r="CW30" i="4"/>
  <c r="T26" i="3"/>
  <c r="AD30" i="1"/>
  <c r="J35" i="3"/>
  <c r="N30" i="3"/>
  <c r="EZ12" i="4"/>
  <c r="AI20" i="3"/>
  <c r="AE20" i="3"/>
  <c r="FG14" i="4"/>
  <c r="FG19" i="4"/>
  <c r="FG12" i="4"/>
  <c r="FG11" i="4"/>
  <c r="FG36" i="4"/>
  <c r="FG20" i="4"/>
  <c r="FG30" i="4"/>
  <c r="EM6" i="4"/>
  <c r="EM14" i="4"/>
  <c r="EM18" i="4"/>
  <c r="EM27" i="4"/>
  <c r="EM22" i="4"/>
  <c r="EM34" i="4"/>
  <c r="EM36" i="4"/>
  <c r="EM32" i="4"/>
  <c r="EM37" i="4"/>
  <c r="AQ25" i="4"/>
  <c r="AQ10" i="4"/>
  <c r="AQ11" i="4"/>
  <c r="AQ22" i="4"/>
  <c r="AQ28" i="4"/>
  <c r="AQ38" i="4"/>
  <c r="W10" i="4"/>
  <c r="W18" i="4"/>
  <c r="W16" i="4"/>
  <c r="W22" i="4"/>
  <c r="W34" i="4"/>
  <c r="W32" i="4"/>
  <c r="C13" i="4"/>
  <c r="C29" i="4"/>
  <c r="C16" i="4"/>
  <c r="C15" i="4"/>
  <c r="C26" i="4"/>
  <c r="C20" i="4"/>
  <c r="C36" i="4"/>
  <c r="C32" i="4"/>
  <c r="C39" i="4"/>
  <c r="C65" i="4"/>
  <c r="C81" i="4"/>
  <c r="C97" i="4"/>
  <c r="C113" i="4"/>
  <c r="C68" i="4"/>
  <c r="C84" i="4"/>
  <c r="C100" i="4"/>
  <c r="C41" i="4"/>
  <c r="C49" i="4"/>
  <c r="C57" i="4"/>
  <c r="C46" i="4"/>
  <c r="C62" i="4"/>
  <c r="C78" i="4"/>
  <c r="C94" i="4"/>
  <c r="C110" i="4"/>
  <c r="C71" i="4"/>
  <c r="C87" i="4"/>
  <c r="C103" i="4"/>
  <c r="FQ6" i="4"/>
  <c r="CO5" i="4"/>
  <c r="W14" i="4"/>
  <c r="FQ5" i="4"/>
  <c r="FR5" i="4" s="1"/>
  <c r="FR6" i="4" s="1"/>
  <c r="FR7" i="4" s="1"/>
  <c r="FR8" i="4" s="1"/>
  <c r="FR9" i="4" s="1"/>
  <c r="FR10" i="4" s="1"/>
  <c r="FR11" i="4" s="1"/>
  <c r="FR12" i="4" s="1"/>
  <c r="FR13" i="4" s="1"/>
  <c r="FR14" i="4" s="1"/>
  <c r="FR15" i="4" s="1"/>
  <c r="FR16" i="4" s="1"/>
  <c r="FR17" i="4" s="1"/>
  <c r="FR18" i="4" s="1"/>
  <c r="FR19" i="4" s="1"/>
  <c r="FR20" i="4" s="1"/>
  <c r="FR21" i="4" s="1"/>
  <c r="FR22" i="4" s="1"/>
  <c r="FR23" i="4" s="1"/>
  <c r="FR24" i="4" s="1"/>
  <c r="FR25" i="4" s="1"/>
  <c r="FR26" i="4" s="1"/>
  <c r="FR27" i="4" s="1"/>
  <c r="FR28" i="4" s="1"/>
  <c r="FR29" i="4" s="1"/>
  <c r="FR30" i="4" s="1"/>
  <c r="FR31" i="4" s="1"/>
  <c r="FR32" i="4" s="1"/>
  <c r="FR33" i="4" s="1"/>
  <c r="FR34" i="4" s="1"/>
  <c r="FR35" i="4" s="1"/>
  <c r="FR36" i="4" s="1"/>
  <c r="FR37" i="4" s="1"/>
  <c r="FR38" i="4" s="1"/>
  <c r="FR39" i="4" s="1"/>
  <c r="FR40" i="4" s="1"/>
  <c r="FQ7" i="4"/>
  <c r="FQ21" i="4"/>
  <c r="FQ29" i="4"/>
  <c r="FQ25" i="4"/>
  <c r="FQ26" i="4"/>
  <c r="FQ30" i="4"/>
  <c r="FQ38" i="4"/>
  <c r="EC15" i="4"/>
  <c r="EC12" i="4"/>
  <c r="EC25" i="4"/>
  <c r="EC20" i="4"/>
  <c r="EC13" i="4"/>
  <c r="EC21" i="4"/>
  <c r="EC37" i="4"/>
  <c r="EC29" i="4"/>
  <c r="EC34" i="4"/>
  <c r="EC35" i="4"/>
  <c r="CO11" i="4"/>
  <c r="CO23" i="4"/>
  <c r="CO18" i="4"/>
  <c r="CO13" i="4"/>
  <c r="CO31" i="4"/>
  <c r="CO30" i="4"/>
  <c r="CO39" i="4"/>
  <c r="AG16" i="4"/>
  <c r="AG10" i="4"/>
  <c r="AG28" i="4"/>
  <c r="AG23" i="4"/>
  <c r="AG26" i="4"/>
  <c r="AG30" i="4"/>
  <c r="AG37" i="4"/>
  <c r="W4" i="4"/>
  <c r="X4" i="4" s="1"/>
  <c r="M7" i="4"/>
  <c r="M20" i="4"/>
  <c r="M19" i="4"/>
  <c r="M27" i="4"/>
  <c r="M18" i="4"/>
  <c r="M31" i="4"/>
  <c r="M36" i="4"/>
  <c r="M33" i="4"/>
  <c r="M38" i="4"/>
  <c r="N5" i="4"/>
  <c r="N6" i="4" s="1"/>
  <c r="N7" i="4" s="1"/>
  <c r="N8" i="4" s="1"/>
  <c r="N9" i="4" s="1"/>
  <c r="N10" i="4" s="1"/>
  <c r="N11" i="4" s="1"/>
  <c r="N12" i="4" s="1"/>
  <c r="AV5" i="4"/>
  <c r="AW5" i="4" s="1"/>
  <c r="AV11" i="4"/>
  <c r="AV18" i="4"/>
  <c r="AV35" i="4"/>
  <c r="AV17" i="4"/>
  <c r="AV12" i="4"/>
  <c r="AV20" i="4"/>
  <c r="AV22" i="4"/>
  <c r="AV28" i="4"/>
  <c r="AV25" i="4"/>
  <c r="AV36" i="4"/>
  <c r="AV38" i="4"/>
  <c r="AB8" i="4"/>
  <c r="AB7" i="4"/>
  <c r="AB27" i="4"/>
  <c r="AB13" i="4"/>
  <c r="AB16" i="4"/>
  <c r="AB24" i="4"/>
  <c r="AB22" i="4"/>
  <c r="AB35" i="4"/>
  <c r="AB29" i="4"/>
  <c r="AB33" i="4"/>
  <c r="H14" i="4"/>
  <c r="H15" i="4"/>
  <c r="H13" i="4"/>
  <c r="H35" i="4"/>
  <c r="H16" i="4"/>
  <c r="H24" i="4"/>
  <c r="H37" i="4"/>
  <c r="H30" i="4"/>
  <c r="H33" i="4"/>
  <c r="ER4" i="4"/>
  <c r="ES4" i="4" s="1"/>
  <c r="ER10" i="4"/>
  <c r="ER20" i="4"/>
  <c r="ER17" i="4"/>
  <c r="ER12" i="4"/>
  <c r="ER23" i="4"/>
  <c r="ER31" i="4"/>
  <c r="EC4" i="4"/>
  <c r="ED4" i="4" s="1"/>
  <c r="AL6" i="4"/>
  <c r="AL10" i="4"/>
  <c r="AL9" i="4"/>
  <c r="AL17" i="4"/>
  <c r="AL15" i="4"/>
  <c r="AL24" i="4"/>
  <c r="AL38" i="4"/>
  <c r="R6" i="4"/>
  <c r="R13" i="4"/>
  <c r="R29" i="4"/>
  <c r="R11" i="4"/>
  <c r="R32" i="4"/>
  <c r="FL15" i="4"/>
  <c r="FL27" i="4"/>
  <c r="FL19" i="4"/>
  <c r="FL17" i="4"/>
  <c r="FL20" i="4"/>
  <c r="FL25" i="4"/>
  <c r="FL35" i="4"/>
  <c r="DN6" i="4"/>
  <c r="DN5" i="4"/>
  <c r="DN10" i="4"/>
  <c r="DN26" i="4"/>
  <c r="DN20" i="4"/>
  <c r="DN14" i="4"/>
  <c r="DN22" i="4"/>
  <c r="DN19" i="4"/>
  <c r="DN36" i="4"/>
  <c r="DN35" i="4"/>
  <c r="DN39" i="4"/>
  <c r="BF13" i="2"/>
  <c r="BF7" i="2"/>
  <c r="CC38" i="4"/>
  <c r="P13" i="3"/>
  <c r="P14" i="3" s="1"/>
  <c r="P38" i="1"/>
  <c r="CC37" i="4"/>
  <c r="P29" i="3"/>
  <c r="P37" i="1"/>
  <c r="O42" i="1"/>
  <c r="P42" i="1" s="1"/>
  <c r="CW38" i="4"/>
  <c r="T13" i="3"/>
  <c r="T14" i="3" s="1"/>
  <c r="AD38" i="1"/>
  <c r="BY37" i="4"/>
  <c r="DQ22" i="4"/>
  <c r="DR22" i="4" s="1"/>
  <c r="X23" i="3"/>
  <c r="BT22" i="4"/>
  <c r="BF10" i="2"/>
  <c r="CS37" i="4"/>
  <c r="AZ37" i="4"/>
  <c r="BO36" i="4"/>
  <c r="BY34" i="4"/>
  <c r="BY33" i="4"/>
  <c r="BF9" i="2"/>
  <c r="N38" i="3"/>
  <c r="BD33" i="4"/>
  <c r="K28" i="3"/>
  <c r="CC32" i="4"/>
  <c r="P27" i="3"/>
  <c r="P32" i="1"/>
  <c r="DQ30" i="4"/>
  <c r="X26" i="3"/>
  <c r="AZ30" i="4"/>
  <c r="DQ26" i="4"/>
  <c r="X25" i="3"/>
  <c r="EU19" i="4"/>
  <c r="AD22" i="3"/>
  <c r="DQ14" i="4"/>
  <c r="X42" i="3"/>
  <c r="BT14" i="4"/>
  <c r="M51" i="3"/>
  <c r="BO7" i="4"/>
  <c r="M30" i="3"/>
  <c r="M56" i="3" s="1"/>
  <c r="P57" i="3"/>
  <c r="L57" i="3"/>
  <c r="S51" i="3"/>
  <c r="CS12" i="4"/>
  <c r="BT11" i="4"/>
  <c r="CH4" i="4"/>
  <c r="Q6" i="3"/>
  <c r="Q7" i="3" s="1"/>
  <c r="BT34" i="4"/>
  <c r="BD31" i="4"/>
  <c r="K39" i="3"/>
  <c r="K40" i="3" s="1"/>
  <c r="EU30" i="4"/>
  <c r="AD26" i="3"/>
  <c r="CS27" i="4"/>
  <c r="AZ26" i="4"/>
  <c r="CW24" i="4"/>
  <c r="T24" i="3"/>
  <c r="AD24" i="1"/>
  <c r="BO24" i="4"/>
  <c r="EZ21" i="4"/>
  <c r="AI31" i="3"/>
  <c r="AE31" i="3"/>
  <c r="AE32" i="3" s="1"/>
  <c r="AI32" i="3" s="1"/>
  <c r="CW20" i="4"/>
  <c r="CX20" i="4" s="1"/>
  <c r="T34" i="3"/>
  <c r="AD20" i="1"/>
  <c r="BY19" i="4"/>
  <c r="CW18" i="4"/>
  <c r="CX18" i="4" s="1"/>
  <c r="T21" i="3"/>
  <c r="AD18" i="1"/>
  <c r="BY17" i="4"/>
  <c r="U51" i="3"/>
  <c r="U56" i="3" s="1"/>
  <c r="DC11" i="4"/>
  <c r="CC10" i="4"/>
  <c r="P18" i="3"/>
  <c r="P10" i="1"/>
  <c r="U35" i="3"/>
  <c r="U10" i="3"/>
  <c r="DC5" i="4"/>
  <c r="DQ39" i="4"/>
  <c r="X36" i="3"/>
  <c r="X38" i="3" s="1"/>
  <c r="BI39" i="4"/>
  <c r="BJ39" i="4" s="1"/>
  <c r="L36" i="3"/>
  <c r="L38" i="3" s="1"/>
  <c r="CC35" i="4"/>
  <c r="P54" i="3"/>
  <c r="P35" i="1"/>
  <c r="BT17" i="4"/>
  <c r="DC15" i="4"/>
  <c r="BY13" i="4"/>
  <c r="BY9" i="4"/>
  <c r="EG6" i="4"/>
  <c r="BD5" i="4"/>
  <c r="K17" i="3"/>
  <c r="CT38" i="4"/>
  <c r="CT8" i="4"/>
  <c r="CS4" i="4"/>
  <c r="CT39" i="4" s="1"/>
  <c r="CT9" i="4"/>
  <c r="CT4" i="4"/>
  <c r="CU4" i="4" s="1"/>
  <c r="BT4" i="4"/>
  <c r="BU39" i="4" s="1"/>
  <c r="AZ4" i="4"/>
  <c r="BA38" i="4" s="1"/>
  <c r="BI32" i="4"/>
  <c r="L27" i="3"/>
  <c r="DC28" i="4"/>
  <c r="CH17" i="4"/>
  <c r="Q46" i="3"/>
  <c r="J51" i="3"/>
  <c r="DQ11" i="4"/>
  <c r="X19" i="3"/>
  <c r="AZ11" i="4"/>
  <c r="N43" i="3"/>
  <c r="BT8" i="4"/>
  <c r="AZ7" i="4"/>
  <c r="BT30" i="4"/>
  <c r="BY27" i="4"/>
  <c r="CC26" i="4"/>
  <c r="P25" i="3"/>
  <c r="P26" i="1"/>
  <c r="S55" i="3"/>
  <c r="BO23" i="4"/>
  <c r="BT20" i="4"/>
  <c r="CS18" i="4"/>
  <c r="AZ18" i="4"/>
  <c r="AZ17" i="4"/>
  <c r="BD10" i="4"/>
  <c r="K18" i="3"/>
  <c r="O35" i="3"/>
  <c r="O56" i="3" s="1"/>
  <c r="EG7" i="4"/>
  <c r="BD6" i="4"/>
  <c r="K8" i="3"/>
  <c r="K10" i="3" s="1"/>
  <c r="CC31" i="4"/>
  <c r="P39" i="3"/>
  <c r="P40" i="3" s="1"/>
  <c r="P31" i="1"/>
  <c r="BO30" i="4"/>
  <c r="AZ25" i="4"/>
  <c r="DC23" i="4"/>
  <c r="BJ23" i="4"/>
  <c r="CS8" i="4"/>
  <c r="AZ5" i="4"/>
  <c r="BA37" i="4" s="1"/>
  <c r="BI34" i="4"/>
  <c r="L49" i="3"/>
  <c r="BO20" i="4"/>
  <c r="BO18" i="4"/>
  <c r="DC16" i="4"/>
  <c r="EG14" i="4"/>
  <c r="AZ8" i="4"/>
  <c r="BT5" i="4"/>
  <c r="EZ10" i="4"/>
  <c r="AI18" i="3"/>
  <c r="AE18" i="3"/>
  <c r="DR15" i="4"/>
  <c r="AD35" i="3"/>
  <c r="FG26" i="4"/>
  <c r="FG16" i="4"/>
  <c r="FG33" i="4"/>
  <c r="FG24" i="4"/>
  <c r="FG31" i="4"/>
  <c r="EM13" i="4"/>
  <c r="EM9" i="4"/>
  <c r="EM8" i="4"/>
  <c r="EM11" i="4"/>
  <c r="EM23" i="4"/>
  <c r="EM20" i="4"/>
  <c r="EM38" i="4"/>
  <c r="EM39" i="4"/>
  <c r="AQ6" i="4"/>
  <c r="AQ29" i="4"/>
  <c r="AQ8" i="4"/>
  <c r="AQ30" i="4"/>
  <c r="AQ27" i="4"/>
  <c r="AQ40" i="4"/>
  <c r="AQ36" i="4"/>
  <c r="W23" i="4"/>
  <c r="W29" i="4"/>
  <c r="W11" i="4"/>
  <c r="W19" i="4"/>
  <c r="W30" i="4"/>
  <c r="C17" i="4"/>
  <c r="C34" i="4"/>
  <c r="C22" i="4"/>
  <c r="C21" i="4"/>
  <c r="C33" i="4"/>
  <c r="C24" i="4"/>
  <c r="C37" i="4"/>
  <c r="C38" i="4"/>
  <c r="C47" i="4"/>
  <c r="C69" i="4"/>
  <c r="C85" i="4"/>
  <c r="C101" i="4"/>
  <c r="C40" i="4"/>
  <c r="C72" i="4"/>
  <c r="C88" i="4"/>
  <c r="C104" i="4"/>
  <c r="C44" i="4"/>
  <c r="C52" i="4"/>
  <c r="C60" i="4"/>
  <c r="C50" i="4"/>
  <c r="C66" i="4"/>
  <c r="C82" i="4"/>
  <c r="C98" i="4"/>
  <c r="C114" i="4"/>
  <c r="C75" i="4"/>
  <c r="C91" i="4"/>
  <c r="FG7" i="4"/>
  <c r="AG5" i="4"/>
  <c r="AH5" i="4" s="1"/>
  <c r="AG8" i="4"/>
  <c r="FQ10" i="4"/>
  <c r="FQ13" i="4"/>
  <c r="FQ27" i="4"/>
  <c r="FQ31" i="4"/>
  <c r="FQ32" i="4"/>
  <c r="FQ34" i="4"/>
  <c r="FQ33" i="4"/>
  <c r="FQ40" i="4"/>
  <c r="EC7" i="4"/>
  <c r="EC10" i="4"/>
  <c r="EC27" i="4"/>
  <c r="EC23" i="4"/>
  <c r="EC22" i="4"/>
  <c r="CO15" i="4"/>
  <c r="CO8" i="4"/>
  <c r="CO12" i="4"/>
  <c r="CO24" i="4"/>
  <c r="CO19" i="4"/>
  <c r="CO25" i="4"/>
  <c r="CO34" i="4"/>
  <c r="CO33" i="4"/>
  <c r="AG20" i="4"/>
  <c r="AG7" i="4"/>
  <c r="AG11" i="4"/>
  <c r="AG19" i="4"/>
  <c r="AG14" i="4"/>
  <c r="AG17" i="4"/>
  <c r="AG24" i="4"/>
  <c r="AG31" i="4"/>
  <c r="AG32" i="4"/>
  <c r="AG40" i="4"/>
  <c r="M9" i="4"/>
  <c r="M11" i="4"/>
  <c r="M25" i="4"/>
  <c r="M13" i="4"/>
  <c r="M21" i="4"/>
  <c r="M35" i="4"/>
  <c r="M29" i="4"/>
  <c r="M30" i="4"/>
  <c r="D5" i="4"/>
  <c r="D6" i="4" s="1"/>
  <c r="D7" i="4" s="1"/>
  <c r="D8" i="4" s="1"/>
  <c r="D9" i="4" s="1"/>
  <c r="D10" i="4" s="1"/>
  <c r="D11" i="4" s="1"/>
  <c r="D12" i="4" s="1"/>
  <c r="D13" i="4" s="1"/>
  <c r="D14" i="4" s="1"/>
  <c r="D15" i="4" s="1"/>
  <c r="D16" i="4" s="1"/>
  <c r="D17" i="4" s="1"/>
  <c r="D18" i="4" s="1"/>
  <c r="D19" i="4" s="1"/>
  <c r="D20" i="4" s="1"/>
  <c r="D21" i="4" s="1"/>
  <c r="D22" i="4" s="1"/>
  <c r="D23" i="4" s="1"/>
  <c r="D24" i="4" s="1"/>
  <c r="D25" i="4" s="1"/>
  <c r="D26" i="4" s="1"/>
  <c r="D27" i="4" s="1"/>
  <c r="D28" i="4" s="1"/>
  <c r="D29" i="4" s="1"/>
  <c r="D30" i="4" s="1"/>
  <c r="D31" i="4" s="1"/>
  <c r="D32" i="4" s="1"/>
  <c r="D33" i="4" s="1"/>
  <c r="D34" i="4" s="1"/>
  <c r="D35" i="4" s="1"/>
  <c r="D36" i="4" s="1"/>
  <c r="D37" i="4" s="1"/>
  <c r="D38" i="4" s="1"/>
  <c r="D39" i="4" s="1"/>
  <c r="D40" i="4" s="1"/>
  <c r="D41" i="4" s="1"/>
  <c r="D42" i="4" s="1"/>
  <c r="D43" i="4" s="1"/>
  <c r="D44" i="4" s="1"/>
  <c r="D45" i="4" s="1"/>
  <c r="D46" i="4" s="1"/>
  <c r="D47" i="4" s="1"/>
  <c r="D48" i="4" s="1"/>
  <c r="D49" i="4" s="1"/>
  <c r="D50" i="4" s="1"/>
  <c r="D51" i="4" s="1"/>
  <c r="D52" i="4" s="1"/>
  <c r="D53" i="4" s="1"/>
  <c r="D54" i="4" s="1"/>
  <c r="D55" i="4" s="1"/>
  <c r="D56" i="4" s="1"/>
  <c r="D57" i="4" s="1"/>
  <c r="D58" i="4" s="1"/>
  <c r="D59" i="4" s="1"/>
  <c r="D60" i="4" s="1"/>
  <c r="D61" i="4" s="1"/>
  <c r="D62" i="4" s="1"/>
  <c r="D63" i="4" s="1"/>
  <c r="D64" i="4" s="1"/>
  <c r="D65" i="4" s="1"/>
  <c r="D66" i="4" s="1"/>
  <c r="D67" i="4" s="1"/>
  <c r="D68" i="4" s="1"/>
  <c r="D69" i="4" s="1"/>
  <c r="D70" i="4" s="1"/>
  <c r="D71" i="4" s="1"/>
  <c r="D72" i="4" s="1"/>
  <c r="D73" i="4" s="1"/>
  <c r="D74" i="4" s="1"/>
  <c r="D75" i="4" s="1"/>
  <c r="D76" i="4" s="1"/>
  <c r="D77" i="4" s="1"/>
  <c r="D78" i="4" s="1"/>
  <c r="D79" i="4" s="1"/>
  <c r="D80" i="4" s="1"/>
  <c r="D81" i="4" s="1"/>
  <c r="D82" i="4" s="1"/>
  <c r="D83" i="4" s="1"/>
  <c r="D84" i="4" s="1"/>
  <c r="D85" i="4" s="1"/>
  <c r="D86" i="4" s="1"/>
  <c r="D87" i="4" s="1"/>
  <c r="D88" i="4" s="1"/>
  <c r="D89" i="4" s="1"/>
  <c r="D90" i="4" s="1"/>
  <c r="D91" i="4" s="1"/>
  <c r="D92" i="4" s="1"/>
  <c r="D93" i="4" s="1"/>
  <c r="D94" i="4" s="1"/>
  <c r="D95" i="4" s="1"/>
  <c r="D96" i="4" s="1"/>
  <c r="D97" i="4" s="1"/>
  <c r="D98" i="4" s="1"/>
  <c r="D99" i="4" s="1"/>
  <c r="D100" i="4" s="1"/>
  <c r="D101" i="4" s="1"/>
  <c r="D102" i="4" s="1"/>
  <c r="D103" i="4" s="1"/>
  <c r="D104" i="4" s="1"/>
  <c r="D105" i="4" s="1"/>
  <c r="D106" i="4" s="1"/>
  <c r="D107" i="4" s="1"/>
  <c r="D108" i="4" s="1"/>
  <c r="D109" i="4" s="1"/>
  <c r="D110" i="4" s="1"/>
  <c r="D111" i="4" s="1"/>
  <c r="D112" i="4" s="1"/>
  <c r="D113" i="4" s="1"/>
  <c r="D114" i="4" s="1"/>
  <c r="AG6" i="4"/>
  <c r="AV8" i="4"/>
  <c r="AV7" i="4"/>
  <c r="AV27" i="4"/>
  <c r="AV30" i="4"/>
  <c r="AV23" i="4"/>
  <c r="AV34" i="4"/>
  <c r="AV29" i="4"/>
  <c r="AV33" i="4"/>
  <c r="AV40" i="4"/>
  <c r="AB6" i="4"/>
  <c r="AB15" i="4"/>
  <c r="AB17" i="4"/>
  <c r="AB23" i="4"/>
  <c r="AB37" i="4"/>
  <c r="AB31" i="4"/>
  <c r="H6" i="4"/>
  <c r="H10" i="4"/>
  <c r="H27" i="4"/>
  <c r="H17" i="4"/>
  <c r="H21" i="4"/>
  <c r="H31" i="4"/>
  <c r="ER8" i="4"/>
  <c r="ER7" i="4"/>
  <c r="ER11" i="4"/>
  <c r="ER18" i="4"/>
  <c r="ER26" i="4"/>
  <c r="ER16" i="4"/>
  <c r="ER34" i="4"/>
  <c r="ER28" i="4"/>
  <c r="ER35" i="4"/>
  <c r="AL8" i="4"/>
  <c r="AL5" i="4"/>
  <c r="AM5" i="4" s="1"/>
  <c r="AL13" i="4"/>
  <c r="AL12" i="4"/>
  <c r="AL20" i="4"/>
  <c r="AL19" i="4"/>
  <c r="AL14" i="4"/>
  <c r="AL22" i="4"/>
  <c r="AL21" i="4"/>
  <c r="AL23" i="4"/>
  <c r="AL31" i="4"/>
  <c r="R8" i="4"/>
  <c r="R5" i="4"/>
  <c r="R16" i="4"/>
  <c r="R33" i="4"/>
  <c r="R15" i="4"/>
  <c r="R14" i="4"/>
  <c r="R22" i="4"/>
  <c r="R24" i="4"/>
  <c r="R36" i="4"/>
  <c r="FL5" i="4"/>
  <c r="FL26" i="4"/>
  <c r="FL6" i="4"/>
  <c r="FL18" i="4"/>
  <c r="FL24" i="4"/>
  <c r="FL22" i="4"/>
  <c r="FL23" i="4"/>
  <c r="FL29" i="4"/>
  <c r="FL32" i="4"/>
  <c r="DN13" i="4"/>
  <c r="DN28" i="4"/>
  <c r="DN7" i="4"/>
  <c r="DN21" i="4"/>
  <c r="DN25" i="4"/>
  <c r="DN24" i="4"/>
  <c r="DN23" i="4"/>
  <c r="DN33" i="4"/>
  <c r="DN37" i="4"/>
  <c r="DN38" i="4"/>
  <c r="BI38" i="4"/>
  <c r="L13" i="3"/>
  <c r="L14" i="3" s="1"/>
  <c r="BI37" i="4"/>
  <c r="L29" i="3"/>
  <c r="CS35" i="4"/>
  <c r="AZ35" i="4"/>
  <c r="DH32" i="4"/>
  <c r="DC31" i="4"/>
  <c r="BY29" i="4"/>
  <c r="EG28" i="4"/>
  <c r="BT28" i="4"/>
  <c r="BO27" i="4"/>
  <c r="BO26" i="4"/>
  <c r="DC24" i="4"/>
  <c r="BF6" i="2"/>
  <c r="BE7" i="2"/>
  <c r="BE8" i="2" s="1"/>
  <c r="BE9" i="2" s="1"/>
  <c r="BE10" i="2" s="1"/>
  <c r="BE11" i="2" s="1"/>
  <c r="BE12" i="2" s="1"/>
  <c r="BF12" i="2" s="1"/>
  <c r="DC39" i="4"/>
  <c r="EG37" i="4"/>
  <c r="BD37" i="4"/>
  <c r="K29" i="3"/>
  <c r="CS36" i="4"/>
  <c r="AZ36" i="4"/>
  <c r="DC34" i="4"/>
  <c r="DC32" i="4"/>
  <c r="BY31" i="4"/>
  <c r="BY30" i="4"/>
  <c r="CS29" i="4"/>
  <c r="AZ29" i="4"/>
  <c r="DC27" i="4"/>
  <c r="EG24" i="4"/>
  <c r="EG23" i="4"/>
  <c r="BT23" i="4"/>
  <c r="CS21" i="4"/>
  <c r="AZ21" i="4"/>
  <c r="BJ40" i="4"/>
  <c r="BY39" i="4"/>
  <c r="CS38" i="4"/>
  <c r="AZ38" i="4"/>
  <c r="AA38" i="3"/>
  <c r="BT39" i="4"/>
  <c r="CW33" i="4"/>
  <c r="T28" i="3"/>
  <c r="AD33" i="1"/>
  <c r="BI33" i="4"/>
  <c r="L28" i="3"/>
  <c r="CS31" i="4"/>
  <c r="BD30" i="4"/>
  <c r="K26" i="3"/>
  <c r="BO29" i="4"/>
  <c r="EZ27" i="4"/>
  <c r="AI15" i="3"/>
  <c r="AE15" i="3"/>
  <c r="AE16" i="3" s="1"/>
  <c r="AI16" i="3" s="1"/>
  <c r="BT24" i="4"/>
  <c r="BO21" i="4"/>
  <c r="DC18" i="4"/>
  <c r="BY16" i="4"/>
  <c r="EG15" i="4"/>
  <c r="BT15" i="4"/>
  <c r="BO13" i="4"/>
  <c r="BO12" i="4"/>
  <c r="BO11" i="4"/>
  <c r="BO10" i="4"/>
  <c r="BO9" i="4"/>
  <c r="BO8" i="4"/>
  <c r="DQ6" i="4"/>
  <c r="DR36" i="4" s="1"/>
  <c r="X8" i="3"/>
  <c r="X6" i="1"/>
  <c r="BO5" i="4"/>
  <c r="BP37" i="4" s="1"/>
  <c r="DD39" i="4"/>
  <c r="DD22" i="4"/>
  <c r="DD15" i="4"/>
  <c r="DC4" i="4"/>
  <c r="DD38" i="4" s="1"/>
  <c r="BY14" i="4"/>
  <c r="CS13" i="4"/>
  <c r="DQ10" i="4"/>
  <c r="X18" i="3"/>
  <c r="X30" i="3" s="1"/>
  <c r="AZ10" i="4"/>
  <c r="CS7" i="4"/>
  <c r="CT36" i="4" s="1"/>
  <c r="BY40" i="4"/>
  <c r="DR38" i="4"/>
  <c r="EG34" i="4"/>
  <c r="CW32" i="4"/>
  <c r="T27" i="3"/>
  <c r="AD32" i="1"/>
  <c r="BI31" i="4"/>
  <c r="L39" i="3"/>
  <c r="L40" i="3" s="1"/>
  <c r="BD27" i="4"/>
  <c r="BE27" i="4" s="1"/>
  <c r="K15" i="3"/>
  <c r="K16" i="3" s="1"/>
  <c r="BY26" i="4"/>
  <c r="CC25" i="4"/>
  <c r="P52" i="3"/>
  <c r="P55" i="3" s="1"/>
  <c r="P25" i="1"/>
  <c r="DG22" i="4"/>
  <c r="V23" i="3"/>
  <c r="V30" i="3" s="1"/>
  <c r="V56" i="3" s="1"/>
  <c r="AC22" i="1"/>
  <c r="EG19" i="4"/>
  <c r="BD19" i="4"/>
  <c r="K22" i="3"/>
  <c r="EG17" i="4"/>
  <c r="BD17" i="4"/>
  <c r="K46" i="3"/>
  <c r="CS16" i="4"/>
  <c r="CT31" i="4" s="1"/>
  <c r="AZ16" i="4"/>
  <c r="DG14" i="4"/>
  <c r="DH30" i="4" s="1"/>
  <c r="V42" i="3"/>
  <c r="V43" i="3" s="1"/>
  <c r="AC14" i="1"/>
  <c r="DC13" i="4"/>
  <c r="DC12" i="4"/>
  <c r="BI11" i="4"/>
  <c r="BJ22" i="4" s="1"/>
  <c r="L19" i="3"/>
  <c r="DC8" i="4"/>
  <c r="DC7" i="4"/>
  <c r="DC6" i="4"/>
  <c r="CC5" i="4"/>
  <c r="CD5" i="4" s="1"/>
  <c r="P17" i="3"/>
  <c r="P5" i="1"/>
  <c r="Q57" i="3" s="1"/>
  <c r="S38" i="3"/>
  <c r="J38" i="3"/>
  <c r="EG27" i="4"/>
  <c r="CC22" i="4"/>
  <c r="P23" i="3"/>
  <c r="P22" i="1"/>
  <c r="BY21" i="4"/>
  <c r="EG20" i="4"/>
  <c r="EG11" i="4"/>
  <c r="EG10" i="4"/>
  <c r="BD9" i="4"/>
  <c r="K41" i="3"/>
  <c r="K43" i="3" s="1"/>
  <c r="BY7" i="4"/>
  <c r="CW5" i="4"/>
  <c r="CX22" i="4" s="1"/>
  <c r="T17" i="3"/>
  <c r="AD5" i="1"/>
  <c r="EZ40" i="4"/>
  <c r="AI37" i="3"/>
  <c r="AE37" i="3"/>
  <c r="DC36" i="4"/>
  <c r="AA55" i="3"/>
  <c r="CX14" i="4"/>
  <c r="AZ13" i="4"/>
  <c r="BT9" i="4"/>
  <c r="S30" i="3"/>
  <c r="BT33" i="4"/>
  <c r="BI27" i="4"/>
  <c r="L15" i="3"/>
  <c r="L16" i="3" s="1"/>
  <c r="CS25" i="4"/>
  <c r="DR24" i="4"/>
  <c r="AZ24" i="4"/>
  <c r="CS19" i="4"/>
  <c r="AZ19" i="4"/>
  <c r="DC14" i="4"/>
  <c r="DD37" i="4" s="1"/>
  <c r="BY11" i="4"/>
  <c r="BY8" i="4"/>
  <c r="CW6" i="4"/>
  <c r="T8" i="3"/>
  <c r="T10" i="3" s="1"/>
  <c r="AA30" i="3"/>
  <c r="DH37" i="4"/>
  <c r="CS34" i="4"/>
  <c r="BT27" i="4"/>
  <c r="BD25" i="4"/>
  <c r="K52" i="3"/>
  <c r="K55" i="3" s="1"/>
  <c r="EU24" i="4"/>
  <c r="AD24" i="3"/>
  <c r="AA51" i="3"/>
  <c r="N10" i="3"/>
  <c r="CS30" i="4"/>
  <c r="EG26" i="4"/>
  <c r="S43" i="3"/>
  <c r="S10" i="3"/>
  <c r="S56" i="3" s="1"/>
  <c r="W41" i="1"/>
  <c r="CH15" i="4"/>
  <c r="Q11" i="3"/>
  <c r="Q12" i="3" s="1"/>
  <c r="K51" i="3"/>
  <c r="L43" i="3"/>
  <c r="CH14" i="4"/>
  <c r="Q42" i="3"/>
  <c r="CH11" i="4"/>
  <c r="Q19" i="3"/>
  <c r="EH9" i="4" l="1"/>
  <c r="EH11" i="4"/>
  <c r="EH8" i="4"/>
  <c r="EH37" i="4"/>
  <c r="EH6" i="4"/>
  <c r="EH35" i="4"/>
  <c r="AA56" i="3"/>
  <c r="AH6" i="4"/>
  <c r="AH7" i="4" s="1"/>
  <c r="AH8" i="4" s="1"/>
  <c r="AH9" i="4" s="1"/>
  <c r="AH10" i="4" s="1"/>
  <c r="AH11" i="4" s="1"/>
  <c r="AH12" i="4" s="1"/>
  <c r="AH13" i="4" s="1"/>
  <c r="AH14" i="4" s="1"/>
  <c r="AH15" i="4" s="1"/>
  <c r="AH16" i="4" s="1"/>
  <c r="AH17" i="4" s="1"/>
  <c r="AH18" i="4" s="1"/>
  <c r="AH19" i="4" s="1"/>
  <c r="AH20" i="4" s="1"/>
  <c r="AH21" i="4" s="1"/>
  <c r="AH22" i="4" s="1"/>
  <c r="AH23" i="4" s="1"/>
  <c r="AH24" i="4" s="1"/>
  <c r="AH25" i="4" s="1"/>
  <c r="AH26" i="4" s="1"/>
  <c r="AH27" i="4" s="1"/>
  <c r="AH28" i="4" s="1"/>
  <c r="AH29" i="4" s="1"/>
  <c r="AH30" i="4" s="1"/>
  <c r="AH31" i="4" s="1"/>
  <c r="AH32" i="4" s="1"/>
  <c r="AH33" i="4" s="1"/>
  <c r="AH34" i="4" s="1"/>
  <c r="AH35" i="4" s="1"/>
  <c r="AH36" i="4" s="1"/>
  <c r="AH37" i="4" s="1"/>
  <c r="AH38" i="4" s="1"/>
  <c r="AH39" i="4" s="1"/>
  <c r="AH40" i="4" s="1"/>
  <c r="AI31" i="4"/>
  <c r="AI33" i="4"/>
  <c r="AI37" i="4"/>
  <c r="AI11" i="4"/>
  <c r="AI8" i="4"/>
  <c r="AI13" i="4"/>
  <c r="AI4" i="4"/>
  <c r="AU4" i="3" s="1"/>
  <c r="AI39" i="4"/>
  <c r="AI36" i="4"/>
  <c r="AI30" i="4"/>
  <c r="AI25" i="4"/>
  <c r="AI26" i="4"/>
  <c r="AI10" i="4"/>
  <c r="AI7" i="4"/>
  <c r="AI5" i="4"/>
  <c r="AI32" i="4"/>
  <c r="AI24" i="4"/>
  <c r="AI23" i="4"/>
  <c r="AI16" i="4"/>
  <c r="AI17" i="4"/>
  <c r="AI18" i="4"/>
  <c r="AI34" i="4"/>
  <c r="AI20" i="4"/>
  <c r="AI22" i="4"/>
  <c r="AI12" i="4"/>
  <c r="AI14" i="4"/>
  <c r="AI6" i="4"/>
  <c r="AW6" i="4"/>
  <c r="AW7" i="4" s="1"/>
  <c r="AW8" i="4" s="1"/>
  <c r="AW9" i="4" s="1"/>
  <c r="AW10" i="4" s="1"/>
  <c r="AW11" i="4" s="1"/>
  <c r="AW12" i="4" s="1"/>
  <c r="AW13" i="4" s="1"/>
  <c r="AW14" i="4" s="1"/>
  <c r="AW15" i="4" s="1"/>
  <c r="AW16" i="4" s="1"/>
  <c r="AW17" i="4" s="1"/>
  <c r="AW18" i="4" s="1"/>
  <c r="AW19" i="4" s="1"/>
  <c r="AW20" i="4" s="1"/>
  <c r="AW21" i="4" s="1"/>
  <c r="AW22" i="4" s="1"/>
  <c r="AW23" i="4" s="1"/>
  <c r="AW24" i="4" s="1"/>
  <c r="AW25" i="4" s="1"/>
  <c r="AW26" i="4" s="1"/>
  <c r="AW27" i="4" s="1"/>
  <c r="AW28" i="4" s="1"/>
  <c r="AW29" i="4" s="1"/>
  <c r="AW30" i="4" s="1"/>
  <c r="AW31" i="4" s="1"/>
  <c r="AW32" i="4" s="1"/>
  <c r="AW33" i="4" s="1"/>
  <c r="AW34" i="4" s="1"/>
  <c r="AW35" i="4" s="1"/>
  <c r="AW36" i="4" s="1"/>
  <c r="AW37" i="4" s="1"/>
  <c r="AW38" i="4" s="1"/>
  <c r="AW39" i="4" s="1"/>
  <c r="AW40" i="4" s="1"/>
  <c r="AX38" i="4"/>
  <c r="AX32" i="4"/>
  <c r="AX14" i="4"/>
  <c r="AX16" i="4"/>
  <c r="AX13" i="4"/>
  <c r="AX29" i="4"/>
  <c r="AX25" i="4"/>
  <c r="AX10" i="4"/>
  <c r="AX9" i="4"/>
  <c r="AX30" i="4"/>
  <c r="AX37" i="4"/>
  <c r="AX19" i="4"/>
  <c r="AX20" i="4"/>
  <c r="AX7" i="4"/>
  <c r="AX40" i="4"/>
  <c r="AX22" i="4"/>
  <c r="AX18" i="4"/>
  <c r="AX8" i="4"/>
  <c r="AX4" i="4"/>
  <c r="BA4" i="3" s="1"/>
  <c r="BB36" i="2"/>
  <c r="BB32" i="2"/>
  <c r="BB28" i="2"/>
  <c r="BB40" i="2"/>
  <c r="BB41" i="2"/>
  <c r="BB37" i="2"/>
  <c r="BB33" i="2"/>
  <c r="BB29" i="2"/>
  <c r="BB25" i="2"/>
  <c r="BB21" i="2"/>
  <c r="BB17" i="2"/>
  <c r="BB11" i="2"/>
  <c r="BB6" i="2"/>
  <c r="BB24" i="2"/>
  <c r="BB20" i="2"/>
  <c r="BB16" i="2"/>
  <c r="BB10" i="2"/>
  <c r="BB35" i="2"/>
  <c r="BB8" i="2"/>
  <c r="BB34" i="2"/>
  <c r="BB19" i="2"/>
  <c r="BB5" i="2"/>
  <c r="BB30" i="2"/>
  <c r="BB13" i="2"/>
  <c r="BB15" i="2"/>
  <c r="BB22" i="2"/>
  <c r="BB31" i="2"/>
  <c r="BB26" i="2"/>
  <c r="BB9" i="2"/>
  <c r="BB18" i="2"/>
  <c r="BB38" i="2"/>
  <c r="BB39" i="2"/>
  <c r="BB27" i="2"/>
  <c r="BB7" i="2"/>
  <c r="BB12" i="2"/>
  <c r="BB14" i="2"/>
  <c r="BB23" i="2"/>
  <c r="BG4" i="2"/>
  <c r="AM6" i="4"/>
  <c r="AM7" i="4" s="1"/>
  <c r="AM8" i="4" s="1"/>
  <c r="AM9" i="4" s="1"/>
  <c r="AM10" i="4" s="1"/>
  <c r="AM11" i="4" s="1"/>
  <c r="AM12" i="4" s="1"/>
  <c r="AM13" i="4" s="1"/>
  <c r="AM14" i="4" s="1"/>
  <c r="AM15" i="4" s="1"/>
  <c r="AM16" i="4" s="1"/>
  <c r="AM17" i="4" s="1"/>
  <c r="AM18" i="4" s="1"/>
  <c r="AM19" i="4" s="1"/>
  <c r="AM20" i="4" s="1"/>
  <c r="AM21" i="4" s="1"/>
  <c r="AM22" i="4" s="1"/>
  <c r="AM23" i="4" s="1"/>
  <c r="AM24" i="4" s="1"/>
  <c r="AM25" i="4" s="1"/>
  <c r="AM26" i="4" s="1"/>
  <c r="AM27" i="4" s="1"/>
  <c r="AM28" i="4" s="1"/>
  <c r="AM29" i="4" s="1"/>
  <c r="AM30" i="4" s="1"/>
  <c r="AM31" i="4" s="1"/>
  <c r="AM32" i="4" s="1"/>
  <c r="AM33" i="4" s="1"/>
  <c r="AM34" i="4" s="1"/>
  <c r="AM35" i="4" s="1"/>
  <c r="AM36" i="4" s="1"/>
  <c r="AM37" i="4" s="1"/>
  <c r="AM38" i="4" s="1"/>
  <c r="AM39" i="4" s="1"/>
  <c r="AM40" i="4" s="1"/>
  <c r="AN33" i="4"/>
  <c r="AN29" i="4"/>
  <c r="AN23" i="4"/>
  <c r="AN37" i="4"/>
  <c r="AN19" i="4"/>
  <c r="AN11" i="4"/>
  <c r="AN24" i="4"/>
  <c r="AN9" i="4"/>
  <c r="AN14" i="4"/>
  <c r="AN35" i="4"/>
  <c r="AN25" i="4"/>
  <c r="AN22" i="4"/>
  <c r="AN26" i="4"/>
  <c r="AN10" i="4"/>
  <c r="AN8" i="4"/>
  <c r="AN40" i="4"/>
  <c r="AN32" i="4"/>
  <c r="AN34" i="4"/>
  <c r="AN31" i="4"/>
  <c r="AN18" i="4"/>
  <c r="AN4" i="4"/>
  <c r="AW4" i="3" s="1"/>
  <c r="AN30" i="4"/>
  <c r="AN21" i="4"/>
  <c r="AN16" i="4"/>
  <c r="AN27" i="4"/>
  <c r="AN20" i="4"/>
  <c r="AN7" i="4"/>
  <c r="E14" i="4"/>
  <c r="E66" i="4"/>
  <c r="E110" i="4"/>
  <c r="E58" i="4"/>
  <c r="E95" i="4"/>
  <c r="E72" i="4"/>
  <c r="E69" i="4"/>
  <c r="BA31" i="4"/>
  <c r="BA13" i="4"/>
  <c r="BA29" i="4"/>
  <c r="BU8" i="4"/>
  <c r="BU31" i="4"/>
  <c r="CT20" i="4"/>
  <c r="CX28" i="4"/>
  <c r="CH32" i="4"/>
  <c r="Q27" i="3"/>
  <c r="CX38" i="4"/>
  <c r="CX30" i="4"/>
  <c r="CH27" i="4"/>
  <c r="Q15" i="3"/>
  <c r="Q16" i="3" s="1"/>
  <c r="BJ17" i="4"/>
  <c r="CX29" i="4"/>
  <c r="BE32" i="4"/>
  <c r="EH29" i="4"/>
  <c r="BP7" i="4"/>
  <c r="BE7" i="4"/>
  <c r="BZ17" i="4"/>
  <c r="S12" i="4"/>
  <c r="S13" i="4" s="1"/>
  <c r="S14" i="4" s="1"/>
  <c r="S15" i="4" s="1"/>
  <c r="S16" i="4" s="1"/>
  <c r="S17" i="4" s="1"/>
  <c r="S18" i="4" s="1"/>
  <c r="S19" i="4" s="1"/>
  <c r="S20" i="4" s="1"/>
  <c r="S21" i="4" s="1"/>
  <c r="S22" i="4" s="1"/>
  <c r="S23" i="4" s="1"/>
  <c r="S24" i="4" s="1"/>
  <c r="S25" i="4" s="1"/>
  <c r="S26" i="4" s="1"/>
  <c r="S27" i="4" s="1"/>
  <c r="S28" i="4" s="1"/>
  <c r="S29" i="4" s="1"/>
  <c r="S30" i="4" s="1"/>
  <c r="S31" i="4" s="1"/>
  <c r="S32" i="4" s="1"/>
  <c r="S33" i="4" s="1"/>
  <c r="S34" i="4" s="1"/>
  <c r="S35" i="4" s="1"/>
  <c r="S36" i="4" s="1"/>
  <c r="S37" i="4" s="1"/>
  <c r="S38" i="4" s="1"/>
  <c r="S39" i="4" s="1"/>
  <c r="S40" i="4" s="1"/>
  <c r="AT5" i="2"/>
  <c r="AU4" i="2" s="1"/>
  <c r="AT7" i="2"/>
  <c r="AU8" i="2" s="1"/>
  <c r="AT6" i="2"/>
  <c r="AT9" i="2" s="1"/>
  <c r="DA5" i="3"/>
  <c r="DA6" i="3" s="1"/>
  <c r="EU14" i="4"/>
  <c r="AD42" i="3"/>
  <c r="AD43" i="3" s="1"/>
  <c r="AD14" i="1"/>
  <c r="DD4" i="4"/>
  <c r="DE4" i="4" s="1"/>
  <c r="DD27" i="4"/>
  <c r="DD21" i="4"/>
  <c r="CD20" i="4"/>
  <c r="E16" i="4"/>
  <c r="E82" i="4"/>
  <c r="E106" i="4"/>
  <c r="E42" i="4"/>
  <c r="E63" i="4"/>
  <c r="E111" i="4"/>
  <c r="E88" i="4"/>
  <c r="E85" i="4"/>
  <c r="BA4" i="4"/>
  <c r="BB4" i="4" s="1"/>
  <c r="BA25" i="4"/>
  <c r="BA26" i="4"/>
  <c r="BU4" i="4"/>
  <c r="BV4" i="4" s="1"/>
  <c r="BU21" i="4"/>
  <c r="BU33" i="4"/>
  <c r="CT17" i="4"/>
  <c r="CT19" i="4"/>
  <c r="CT35" i="4"/>
  <c r="K30" i="3"/>
  <c r="CH35" i="4"/>
  <c r="Q54" i="3"/>
  <c r="CH10" i="4"/>
  <c r="Q18" i="3"/>
  <c r="P41" i="1"/>
  <c r="BJ35" i="4"/>
  <c r="X5" i="4"/>
  <c r="X6" i="4" s="1"/>
  <c r="X7" i="4" s="1"/>
  <c r="X8" i="4" s="1"/>
  <c r="X9" i="4" s="1"/>
  <c r="X10" i="4" s="1"/>
  <c r="X11" i="4" s="1"/>
  <c r="X12" i="4" s="1"/>
  <c r="X13" i="4" s="1"/>
  <c r="X14" i="4" s="1"/>
  <c r="X15" i="4" s="1"/>
  <c r="X16" i="4" s="1"/>
  <c r="X17" i="4" s="1"/>
  <c r="X18" i="4" s="1"/>
  <c r="X19" i="4" s="1"/>
  <c r="X20" i="4" s="1"/>
  <c r="X21" i="4" s="1"/>
  <c r="X22" i="4" s="1"/>
  <c r="X23" i="4" s="1"/>
  <c r="X24" i="4" s="1"/>
  <c r="X25" i="4" s="1"/>
  <c r="X26" i="4" s="1"/>
  <c r="X27" i="4" s="1"/>
  <c r="X28" i="4" s="1"/>
  <c r="X29" i="4" s="1"/>
  <c r="X30" i="4" s="1"/>
  <c r="X31" i="4" s="1"/>
  <c r="X32" i="4" s="1"/>
  <c r="X33" i="4" s="1"/>
  <c r="X34" i="4" s="1"/>
  <c r="X35" i="4" s="1"/>
  <c r="X36" i="4" s="1"/>
  <c r="X37" i="4" s="1"/>
  <c r="X38" i="4" s="1"/>
  <c r="X39" i="4" s="1"/>
  <c r="X40" i="4" s="1"/>
  <c r="BE21" i="4"/>
  <c r="CH21" i="4"/>
  <c r="Q31" i="3"/>
  <c r="Q32" i="3" s="1"/>
  <c r="CD40" i="4"/>
  <c r="CX10" i="4"/>
  <c r="EH14" i="4"/>
  <c r="EH33" i="4"/>
  <c r="EH39" i="4"/>
  <c r="BJ28" i="4"/>
  <c r="BP31" i="4"/>
  <c r="BP34" i="4"/>
  <c r="BZ24" i="4"/>
  <c r="BZ33" i="4"/>
  <c r="CD7" i="4"/>
  <c r="CH13" i="4"/>
  <c r="Q44" i="3"/>
  <c r="DR37" i="4"/>
  <c r="T15" i="4"/>
  <c r="T19" i="4"/>
  <c r="T12" i="4"/>
  <c r="T29" i="4"/>
  <c r="T38" i="4"/>
  <c r="BJ14" i="4"/>
  <c r="BE9" i="4"/>
  <c r="CD25" i="4"/>
  <c r="CX32" i="4"/>
  <c r="DR10" i="4"/>
  <c r="BJ4" i="4"/>
  <c r="BK36" i="4"/>
  <c r="DD8" i="4"/>
  <c r="DD10" i="4"/>
  <c r="DD19" i="4"/>
  <c r="DD17" i="4"/>
  <c r="DD23" i="4"/>
  <c r="DD25" i="4"/>
  <c r="DD29" i="4"/>
  <c r="DD32" i="4"/>
  <c r="DD40" i="4"/>
  <c r="X10" i="3"/>
  <c r="CD17" i="4"/>
  <c r="BE37" i="4"/>
  <c r="DH33" i="4"/>
  <c r="CX36" i="4"/>
  <c r="BJ38" i="4"/>
  <c r="E6" i="4"/>
  <c r="E114" i="4"/>
  <c r="E7" i="4"/>
  <c r="E20" i="4"/>
  <c r="E18" i="4"/>
  <c r="E27" i="4"/>
  <c r="E23" i="4"/>
  <c r="E26" i="4"/>
  <c r="E98" i="4"/>
  <c r="E36" i="4"/>
  <c r="E33" i="4"/>
  <c r="E86" i="4"/>
  <c r="E39" i="4"/>
  <c r="E43" i="4"/>
  <c r="E49" i="4"/>
  <c r="E54" i="4"/>
  <c r="E59" i="4"/>
  <c r="E67" i="4"/>
  <c r="E83" i="4"/>
  <c r="E99" i="4"/>
  <c r="E44" i="4"/>
  <c r="E60" i="4"/>
  <c r="E76" i="4"/>
  <c r="E92" i="4"/>
  <c r="E108" i="4"/>
  <c r="E73" i="4"/>
  <c r="E89" i="4"/>
  <c r="E105" i="4"/>
  <c r="BJ10" i="4"/>
  <c r="CX13" i="4"/>
  <c r="CH31" i="4"/>
  <c r="Q39" i="3"/>
  <c r="Q40" i="3" s="1"/>
  <c r="DR11" i="4"/>
  <c r="DH19" i="4"/>
  <c r="BJ32" i="4"/>
  <c r="BA6" i="4"/>
  <c r="BA7" i="4"/>
  <c r="BA19" i="4"/>
  <c r="BA10" i="4"/>
  <c r="BA17" i="4"/>
  <c r="BA23" i="4"/>
  <c r="BA32" i="4"/>
  <c r="BA30" i="4"/>
  <c r="BA40" i="4"/>
  <c r="BU5" i="4"/>
  <c r="BU7" i="4"/>
  <c r="BU15" i="4"/>
  <c r="BU10" i="4"/>
  <c r="BU13" i="4"/>
  <c r="BU28" i="4"/>
  <c r="BU32" i="4"/>
  <c r="BU30" i="4"/>
  <c r="BU35" i="4"/>
  <c r="BU40" i="4"/>
  <c r="CT6" i="4"/>
  <c r="CT12" i="4"/>
  <c r="CT21" i="4"/>
  <c r="CT7" i="4"/>
  <c r="CT14" i="4"/>
  <c r="CT25" i="4"/>
  <c r="CT23" i="4"/>
  <c r="BE5" i="4"/>
  <c r="EZ24" i="4"/>
  <c r="AI24" i="3"/>
  <c r="AE24" i="3"/>
  <c r="BE31" i="4"/>
  <c r="DR14" i="4"/>
  <c r="BE26" i="4"/>
  <c r="CX35" i="4"/>
  <c r="CH38" i="4"/>
  <c r="Q13" i="3"/>
  <c r="Q14" i="3" s="1"/>
  <c r="ET40" i="4"/>
  <c r="ET39" i="4"/>
  <c r="ET38" i="4"/>
  <c r="ET37" i="4"/>
  <c r="ET34" i="4"/>
  <c r="ET30" i="4"/>
  <c r="ET36" i="4"/>
  <c r="ET31" i="4"/>
  <c r="ET32" i="4"/>
  <c r="ET27" i="4"/>
  <c r="ET23" i="4"/>
  <c r="ET19" i="4"/>
  <c r="ET22" i="4"/>
  <c r="ET35" i="4"/>
  <c r="ET25" i="4"/>
  <c r="ET26" i="4"/>
  <c r="ET24" i="4"/>
  <c r="ET18" i="4"/>
  <c r="ET14" i="4"/>
  <c r="ET29" i="4"/>
  <c r="ET20" i="4"/>
  <c r="ET15" i="4"/>
  <c r="ET11" i="4"/>
  <c r="ET7" i="4"/>
  <c r="ET33" i="4"/>
  <c r="ET21" i="4"/>
  <c r="ET17" i="4"/>
  <c r="ET10" i="4"/>
  <c r="ET16" i="4"/>
  <c r="ET12" i="4"/>
  <c r="ET8" i="4"/>
  <c r="ET28" i="4"/>
  <c r="ET5" i="4"/>
  <c r="ET13" i="4"/>
  <c r="ET6" i="4"/>
  <c r="ES5" i="4"/>
  <c r="ES6" i="4" s="1"/>
  <c r="ES7" i="4" s="1"/>
  <c r="ES8" i="4" s="1"/>
  <c r="ES9" i="4" s="1"/>
  <c r="ES10" i="4" s="1"/>
  <c r="ES11" i="4" s="1"/>
  <c r="ES12" i="4" s="1"/>
  <c r="ES13" i="4" s="1"/>
  <c r="ES14" i="4" s="1"/>
  <c r="ES15" i="4" s="1"/>
  <c r="ES16" i="4" s="1"/>
  <c r="ES17" i="4" s="1"/>
  <c r="ES18" i="4" s="1"/>
  <c r="ES19" i="4" s="1"/>
  <c r="ES20" i="4" s="1"/>
  <c r="ES21" i="4" s="1"/>
  <c r="ES22" i="4" s="1"/>
  <c r="ES23" i="4" s="1"/>
  <c r="ES24" i="4" s="1"/>
  <c r="ES25" i="4" s="1"/>
  <c r="ES26" i="4" s="1"/>
  <c r="ES27" i="4" s="1"/>
  <c r="ES28" i="4" s="1"/>
  <c r="ES29" i="4" s="1"/>
  <c r="ES30" i="4" s="1"/>
  <c r="ES31" i="4" s="1"/>
  <c r="ES32" i="4" s="1"/>
  <c r="ES33" i="4" s="1"/>
  <c r="ES34" i="4" s="1"/>
  <c r="ES35" i="4" s="1"/>
  <c r="ES36" i="4" s="1"/>
  <c r="ES37" i="4" s="1"/>
  <c r="ES38" i="4" s="1"/>
  <c r="ES39" i="4" s="1"/>
  <c r="ES40" i="4" s="1"/>
  <c r="ET9" i="4"/>
  <c r="ET4" i="4"/>
  <c r="CO4" i="3" s="1"/>
  <c r="CD11" i="4"/>
  <c r="BJ12" i="4"/>
  <c r="BE28" i="4"/>
  <c r="DR34" i="4"/>
  <c r="EZ8" i="4"/>
  <c r="AI33" i="3"/>
  <c r="AE33" i="3"/>
  <c r="BJ24" i="4"/>
  <c r="CX25" i="4"/>
  <c r="CD33" i="4"/>
  <c r="CD28" i="4"/>
  <c r="CX39" i="4"/>
  <c r="BF36" i="4"/>
  <c r="BE4" i="4"/>
  <c r="BF40" i="4" s="1"/>
  <c r="BJ7" i="4"/>
  <c r="BJ13" i="4"/>
  <c r="BE40" i="4"/>
  <c r="DH4" i="4"/>
  <c r="DH8" i="4"/>
  <c r="DH12" i="4"/>
  <c r="BJ20" i="4"/>
  <c r="CX31" i="4"/>
  <c r="DR21" i="4"/>
  <c r="BE38" i="4"/>
  <c r="BH52" i="2"/>
  <c r="BH50" i="2"/>
  <c r="BH48" i="2"/>
  <c r="BH46" i="2"/>
  <c r="BH44" i="2"/>
  <c r="BH42" i="2"/>
  <c r="BH40" i="2"/>
  <c r="BH35" i="2"/>
  <c r="BH31" i="2"/>
  <c r="BH27" i="2"/>
  <c r="BH41" i="2"/>
  <c r="BH38" i="2"/>
  <c r="BH34" i="2"/>
  <c r="BH30" i="2"/>
  <c r="BH26" i="2"/>
  <c r="BH22" i="2"/>
  <c r="BH18" i="2"/>
  <c r="BH14" i="2"/>
  <c r="BH9" i="2"/>
  <c r="BH53" i="2"/>
  <c r="BH51" i="2"/>
  <c r="BH49" i="2"/>
  <c r="BH47" i="2"/>
  <c r="BH45" i="2"/>
  <c r="BH43" i="2"/>
  <c r="BH37" i="2"/>
  <c r="BH33" i="2"/>
  <c r="BH29" i="2"/>
  <c r="BH25" i="2"/>
  <c r="BH21" i="2"/>
  <c r="BH17" i="2"/>
  <c r="BH13" i="2"/>
  <c r="BH12" i="2"/>
  <c r="BH8" i="2"/>
  <c r="BH7" i="2"/>
  <c r="BH39" i="2"/>
  <c r="BH36" i="2"/>
  <c r="BH32" i="2"/>
  <c r="BH28" i="2"/>
  <c r="BH24" i="2"/>
  <c r="BH20" i="2"/>
  <c r="BH16" i="2"/>
  <c r="BH11" i="2"/>
  <c r="BH6" i="2"/>
  <c r="BH10" i="2"/>
  <c r="BH5" i="2"/>
  <c r="BH23" i="2"/>
  <c r="BH19" i="2"/>
  <c r="BH15" i="2"/>
  <c r="AR6" i="4"/>
  <c r="DR33" i="4"/>
  <c r="BE13" i="4"/>
  <c r="DR17" i="4"/>
  <c r="EH10" i="4"/>
  <c r="EH16" i="4"/>
  <c r="EH15" i="4"/>
  <c r="EH18" i="4"/>
  <c r="EH26" i="4"/>
  <c r="EH19" i="4"/>
  <c r="EH36" i="4"/>
  <c r="EH30" i="4"/>
  <c r="BE24" i="4"/>
  <c r="CH30" i="4"/>
  <c r="Q26" i="3"/>
  <c r="BP4" i="4"/>
  <c r="BQ4" i="4" s="1"/>
  <c r="BP6" i="4"/>
  <c r="BP8" i="4"/>
  <c r="BP9" i="4"/>
  <c r="BP23" i="4"/>
  <c r="BP19" i="4"/>
  <c r="BP39" i="4"/>
  <c r="BP28" i="4"/>
  <c r="BP32" i="4"/>
  <c r="EZ9" i="4"/>
  <c r="AI41" i="3"/>
  <c r="AE41" i="3"/>
  <c r="DR16" i="4"/>
  <c r="BZ4" i="4"/>
  <c r="CA4" i="4" s="1"/>
  <c r="BZ5" i="4"/>
  <c r="BZ8" i="4"/>
  <c r="BZ28" i="4"/>
  <c r="BZ15" i="4"/>
  <c r="BZ14" i="4"/>
  <c r="BZ19" i="4"/>
  <c r="BZ32" i="4"/>
  <c r="BZ34" i="4"/>
  <c r="BZ39" i="4"/>
  <c r="L30" i="3"/>
  <c r="L56" i="3" s="1"/>
  <c r="CD6" i="4"/>
  <c r="CE11" i="4" s="1"/>
  <c r="CH8" i="4"/>
  <c r="Q33" i="3"/>
  <c r="Q35" i="3" s="1"/>
  <c r="CH12" i="4"/>
  <c r="Q20" i="3"/>
  <c r="P51" i="3"/>
  <c r="CX17" i="4"/>
  <c r="CX19" i="4"/>
  <c r="DR27" i="4"/>
  <c r="CD34" i="4"/>
  <c r="DR12" i="4"/>
  <c r="DR7" i="4"/>
  <c r="BJ19" i="4"/>
  <c r="CX37" i="4"/>
  <c r="T4" i="4"/>
  <c r="AO4" i="3" s="1"/>
  <c r="T18" i="4"/>
  <c r="T11" i="4"/>
  <c r="T27" i="4"/>
  <c r="T17" i="4"/>
  <c r="T16" i="4"/>
  <c r="T37" i="4"/>
  <c r="T34" i="4"/>
  <c r="T32" i="4"/>
  <c r="T40" i="4"/>
  <c r="FI40" i="4"/>
  <c r="FI38" i="4"/>
  <c r="FI39" i="4"/>
  <c r="FI37" i="4"/>
  <c r="FI35" i="4"/>
  <c r="FI33" i="4"/>
  <c r="FI34" i="4"/>
  <c r="FI30" i="4"/>
  <c r="FI31" i="4"/>
  <c r="FI29" i="4"/>
  <c r="FI26" i="4"/>
  <c r="FI22" i="4"/>
  <c r="FI36" i="4"/>
  <c r="FI32" i="4"/>
  <c r="FI24" i="4"/>
  <c r="FI21" i="4"/>
  <c r="FI27" i="4"/>
  <c r="FI25" i="4"/>
  <c r="FI17" i="4"/>
  <c r="FI13" i="4"/>
  <c r="FI20" i="4"/>
  <c r="FI19" i="4"/>
  <c r="FI18" i="4"/>
  <c r="FI14" i="4"/>
  <c r="FI10" i="4"/>
  <c r="FI28" i="4"/>
  <c r="FI16" i="4"/>
  <c r="FI23" i="4"/>
  <c r="FI11" i="4"/>
  <c r="FI9" i="4"/>
  <c r="FI15" i="4"/>
  <c r="FI7" i="4"/>
  <c r="FI12" i="4"/>
  <c r="FI8" i="4"/>
  <c r="FI4" i="4"/>
  <c r="CU4" i="3" s="1"/>
  <c r="FI5" i="4"/>
  <c r="FI6" i="4"/>
  <c r="FH5" i="4"/>
  <c r="FH6" i="4" s="1"/>
  <c r="FH7" i="4" s="1"/>
  <c r="FH8" i="4" s="1"/>
  <c r="FH9" i="4" s="1"/>
  <c r="FH10" i="4" s="1"/>
  <c r="FH11" i="4" s="1"/>
  <c r="FH12" i="4" s="1"/>
  <c r="FH13" i="4" s="1"/>
  <c r="FH14" i="4" s="1"/>
  <c r="FH15" i="4" s="1"/>
  <c r="FH16" i="4" s="1"/>
  <c r="FH17" i="4" s="1"/>
  <c r="FH18" i="4" s="1"/>
  <c r="FH19" i="4" s="1"/>
  <c r="FH20" i="4" s="1"/>
  <c r="FH21" i="4" s="1"/>
  <c r="FH22" i="4" s="1"/>
  <c r="FH23" i="4" s="1"/>
  <c r="FH24" i="4" s="1"/>
  <c r="FH25" i="4" s="1"/>
  <c r="FH26" i="4" s="1"/>
  <c r="FH27" i="4" s="1"/>
  <c r="FH28" i="4" s="1"/>
  <c r="FH29" i="4" s="1"/>
  <c r="FH30" i="4" s="1"/>
  <c r="FH31" i="4" s="1"/>
  <c r="FH32" i="4" s="1"/>
  <c r="FH33" i="4" s="1"/>
  <c r="FH34" i="4" s="1"/>
  <c r="FH35" i="4" s="1"/>
  <c r="FH36" i="4" s="1"/>
  <c r="FH37" i="4" s="1"/>
  <c r="FH38" i="4" s="1"/>
  <c r="FH39" i="4" s="1"/>
  <c r="FH40" i="4" s="1"/>
  <c r="EZ5" i="4"/>
  <c r="AI17" i="3"/>
  <c r="AE17" i="3"/>
  <c r="DD13" i="4"/>
  <c r="BE30" i="4"/>
  <c r="EZ33" i="4"/>
  <c r="AI28" i="3"/>
  <c r="AE28" i="3"/>
  <c r="E4" i="4"/>
  <c r="E17" i="4"/>
  <c r="E34" i="4"/>
  <c r="E47" i="4"/>
  <c r="CD26" i="4"/>
  <c r="BU20" i="4"/>
  <c r="BU38" i="4"/>
  <c r="CH9" i="4"/>
  <c r="Q41" i="3"/>
  <c r="Q43" i="3" s="1"/>
  <c r="CH24" i="4"/>
  <c r="Q24" i="3"/>
  <c r="CH39" i="4"/>
  <c r="Q36" i="3"/>
  <c r="EZ34" i="4"/>
  <c r="AI49" i="3"/>
  <c r="AE49" i="3"/>
  <c r="BP11" i="4"/>
  <c r="BP16" i="4"/>
  <c r="BP33" i="4"/>
  <c r="DR20" i="4"/>
  <c r="BZ11" i="4"/>
  <c r="BZ30" i="4"/>
  <c r="T8" i="4"/>
  <c r="T13" i="4"/>
  <c r="T24" i="4"/>
  <c r="T33" i="4"/>
  <c r="CX6" i="4"/>
  <c r="BJ16" i="4"/>
  <c r="T30" i="3"/>
  <c r="T56" i="3" s="1"/>
  <c r="BJ11" i="4"/>
  <c r="DR5" i="4"/>
  <c r="BE25" i="4"/>
  <c r="BE17" i="4"/>
  <c r="CD4" i="4"/>
  <c r="CE19" i="4" s="1"/>
  <c r="CE24" i="4"/>
  <c r="DD5" i="4"/>
  <c r="DD7" i="4"/>
  <c r="DD18" i="4"/>
  <c r="DD26" i="4"/>
  <c r="DD12" i="4"/>
  <c r="DD24" i="4"/>
  <c r="DD34" i="4"/>
  <c r="DD33" i="4"/>
  <c r="DD36" i="4"/>
  <c r="DR6" i="4"/>
  <c r="DS11" i="4" s="1"/>
  <c r="BJ18" i="4"/>
  <c r="CX33" i="4"/>
  <c r="BE23" i="4"/>
  <c r="E9" i="4"/>
  <c r="E8" i="4"/>
  <c r="E12" i="4"/>
  <c r="E28" i="4"/>
  <c r="E21" i="4"/>
  <c r="E25" i="4"/>
  <c r="E24" i="4"/>
  <c r="E32" i="4"/>
  <c r="E29" i="4"/>
  <c r="E74" i="4"/>
  <c r="E37" i="4"/>
  <c r="E94" i="4"/>
  <c r="E38" i="4"/>
  <c r="E45" i="4"/>
  <c r="E50" i="4"/>
  <c r="E55" i="4"/>
  <c r="E61" i="4"/>
  <c r="E71" i="4"/>
  <c r="E87" i="4"/>
  <c r="E103" i="4"/>
  <c r="E48" i="4"/>
  <c r="E64" i="4"/>
  <c r="E80" i="4"/>
  <c r="E96" i="4"/>
  <c r="E112" i="4"/>
  <c r="E77" i="4"/>
  <c r="E93" i="4"/>
  <c r="E109" i="4"/>
  <c r="DR32" i="4"/>
  <c r="DR4" i="4"/>
  <c r="DS14" i="4" s="1"/>
  <c r="DS36" i="4"/>
  <c r="CX15" i="4"/>
  <c r="BE6" i="4"/>
  <c r="BF4" i="4" s="1"/>
  <c r="BG4" i="4" s="1"/>
  <c r="BE10" i="4"/>
  <c r="CH26" i="4"/>
  <c r="Q25" i="3"/>
  <c r="BA8" i="4"/>
  <c r="BA9" i="4"/>
  <c r="BA16" i="4"/>
  <c r="BA14" i="4"/>
  <c r="BA20" i="4"/>
  <c r="BA28" i="4"/>
  <c r="BA35" i="4"/>
  <c r="BA34" i="4"/>
  <c r="BA39" i="4"/>
  <c r="BU6" i="4"/>
  <c r="BU12" i="4"/>
  <c r="BU16" i="4"/>
  <c r="BU14" i="4"/>
  <c r="BU17" i="4"/>
  <c r="BU29" i="4"/>
  <c r="BU22" i="4"/>
  <c r="BU34" i="4"/>
  <c r="BU36" i="4"/>
  <c r="CT29" i="4"/>
  <c r="CT26" i="4"/>
  <c r="CT11" i="4"/>
  <c r="CT18" i="4"/>
  <c r="CT22" i="4"/>
  <c r="CT27" i="4"/>
  <c r="CT30" i="4"/>
  <c r="CT40" i="4"/>
  <c r="CD35" i="4"/>
  <c r="DR39" i="4"/>
  <c r="CD10" i="4"/>
  <c r="EZ18" i="4"/>
  <c r="AI21" i="3"/>
  <c r="AE21" i="3"/>
  <c r="EZ20" i="4"/>
  <c r="AI34" i="3"/>
  <c r="AE34" i="3"/>
  <c r="CD19" i="4"/>
  <c r="CD32" i="4"/>
  <c r="EZ38" i="4"/>
  <c r="AI13" i="3"/>
  <c r="AE13" i="3"/>
  <c r="AE14" i="3" s="1"/>
  <c r="AI14" i="3" s="1"/>
  <c r="CH37" i="4"/>
  <c r="Q29" i="3"/>
  <c r="ED5" i="4"/>
  <c r="ED6" i="4" s="1"/>
  <c r="ED7" i="4" s="1"/>
  <c r="ED8" i="4" s="1"/>
  <c r="ED9" i="4" s="1"/>
  <c r="ED10" i="4" s="1"/>
  <c r="ED11" i="4" s="1"/>
  <c r="ED12" i="4" s="1"/>
  <c r="ED13" i="4" s="1"/>
  <c r="ED14" i="4" s="1"/>
  <c r="ED15" i="4" s="1"/>
  <c r="ED16" i="4" s="1"/>
  <c r="ED17" i="4" s="1"/>
  <c r="ED18" i="4" s="1"/>
  <c r="ED19" i="4" s="1"/>
  <c r="ED20" i="4" s="1"/>
  <c r="ED21" i="4" s="1"/>
  <c r="ED22" i="4" s="1"/>
  <c r="ED23" i="4" s="1"/>
  <c r="ED24" i="4" s="1"/>
  <c r="ED25" i="4" s="1"/>
  <c r="ED26" i="4" s="1"/>
  <c r="ED27" i="4" s="1"/>
  <c r="ED28" i="4" s="1"/>
  <c r="ED29" i="4" s="1"/>
  <c r="ED30" i="4" s="1"/>
  <c r="ED31" i="4" s="1"/>
  <c r="ED32" i="4" s="1"/>
  <c r="ED33" i="4" s="1"/>
  <c r="ED34" i="4" s="1"/>
  <c r="ED35" i="4" s="1"/>
  <c r="ED36" i="4" s="1"/>
  <c r="ED37" i="4" s="1"/>
  <c r="ED38" i="4" s="1"/>
  <c r="ED39" i="4" s="1"/>
  <c r="ED40" i="4" s="1"/>
  <c r="O4" i="4"/>
  <c r="AM4" i="3" s="1"/>
  <c r="O8" i="4"/>
  <c r="O11" i="4"/>
  <c r="O33" i="4"/>
  <c r="O31" i="4"/>
  <c r="BJ15" i="4"/>
  <c r="CD15" i="4"/>
  <c r="EZ30" i="4"/>
  <c r="AI26" i="3"/>
  <c r="AE26" i="3"/>
  <c r="BE34" i="4"/>
  <c r="DH24" i="4"/>
  <c r="CD27" i="4"/>
  <c r="T35" i="3"/>
  <c r="X43" i="3"/>
  <c r="BE15" i="4"/>
  <c r="BE12" i="4"/>
  <c r="DR23" i="4"/>
  <c r="BJ36" i="4"/>
  <c r="BE39" i="4"/>
  <c r="EZ4" i="4"/>
  <c r="AI6" i="3"/>
  <c r="AE6" i="3"/>
  <c r="AE7" i="3" s="1"/>
  <c r="CY36" i="4"/>
  <c r="CX4" i="4"/>
  <c r="CY38" i="4" s="1"/>
  <c r="CD9" i="4"/>
  <c r="CE29" i="4" s="1"/>
  <c r="BE20" i="4"/>
  <c r="CD21" i="4"/>
  <c r="DR28" i="4"/>
  <c r="CH40" i="4"/>
  <c r="Q37" i="3"/>
  <c r="DH5" i="4"/>
  <c r="DH9" i="4"/>
  <c r="X51" i="3"/>
  <c r="BE16" i="4"/>
  <c r="CD18" i="4"/>
  <c r="CD24" i="4"/>
  <c r="CD39" i="4"/>
  <c r="DP38" i="4"/>
  <c r="DP39" i="4"/>
  <c r="DP33" i="4"/>
  <c r="DP29" i="4"/>
  <c r="DP21" i="4"/>
  <c r="DP35" i="4"/>
  <c r="DP26" i="4"/>
  <c r="DP31" i="4"/>
  <c r="DP20" i="4"/>
  <c r="DP16" i="4"/>
  <c r="DP19" i="4"/>
  <c r="DP17" i="4"/>
  <c r="DP30" i="4"/>
  <c r="DP18" i="4"/>
  <c r="DP6" i="4"/>
  <c r="DP11" i="4"/>
  <c r="DP5" i="4"/>
  <c r="DP14" i="4"/>
  <c r="DO5" i="4"/>
  <c r="DO6" i="4" s="1"/>
  <c r="DO7" i="4" s="1"/>
  <c r="DO8" i="4" s="1"/>
  <c r="DO9" i="4" s="1"/>
  <c r="DO10" i="4" s="1"/>
  <c r="DO11" i="4" s="1"/>
  <c r="DO12" i="4" s="1"/>
  <c r="DO13" i="4" s="1"/>
  <c r="DO14" i="4" s="1"/>
  <c r="DO15" i="4" s="1"/>
  <c r="DO16" i="4" s="1"/>
  <c r="DO17" i="4" s="1"/>
  <c r="DO18" i="4" s="1"/>
  <c r="DO19" i="4" s="1"/>
  <c r="DO20" i="4" s="1"/>
  <c r="DO21" i="4" s="1"/>
  <c r="DO22" i="4" s="1"/>
  <c r="DO23" i="4" s="1"/>
  <c r="DO24" i="4" s="1"/>
  <c r="DO25" i="4" s="1"/>
  <c r="DO26" i="4" s="1"/>
  <c r="DO27" i="4" s="1"/>
  <c r="DO28" i="4" s="1"/>
  <c r="DO29" i="4" s="1"/>
  <c r="DO30" i="4" s="1"/>
  <c r="DO31" i="4" s="1"/>
  <c r="DO32" i="4" s="1"/>
  <c r="DO33" i="4" s="1"/>
  <c r="DO34" i="4" s="1"/>
  <c r="DO35" i="4" s="1"/>
  <c r="DO36" i="4" s="1"/>
  <c r="DO37" i="4" s="1"/>
  <c r="DO38" i="4" s="1"/>
  <c r="DO39" i="4" s="1"/>
  <c r="DO40" i="4" s="1"/>
  <c r="FN39" i="4"/>
  <c r="FN40" i="4"/>
  <c r="FN35" i="4"/>
  <c r="FN34" i="4"/>
  <c r="FN33" i="4"/>
  <c r="FN29" i="4"/>
  <c r="FN19" i="4"/>
  <c r="FN36" i="4"/>
  <c r="FN22" i="4"/>
  <c r="FN21" i="4"/>
  <c r="FN14" i="4"/>
  <c r="FN10" i="4"/>
  <c r="FN11" i="4"/>
  <c r="FN7" i="4"/>
  <c r="FN16" i="4"/>
  <c r="FN17" i="4"/>
  <c r="FN8" i="4"/>
  <c r="FN5" i="4"/>
  <c r="FM5" i="4"/>
  <c r="FM6" i="4" s="1"/>
  <c r="FM7" i="4" s="1"/>
  <c r="FM8" i="4" s="1"/>
  <c r="FM9" i="4" s="1"/>
  <c r="FM10" i="4" s="1"/>
  <c r="FM11" i="4" s="1"/>
  <c r="FM12" i="4" s="1"/>
  <c r="FM13" i="4" s="1"/>
  <c r="FM14" i="4" s="1"/>
  <c r="FM15" i="4" s="1"/>
  <c r="FM16" i="4" s="1"/>
  <c r="FM17" i="4" s="1"/>
  <c r="FM18" i="4" s="1"/>
  <c r="FM19" i="4" s="1"/>
  <c r="FM20" i="4" s="1"/>
  <c r="FM21" i="4" s="1"/>
  <c r="FM22" i="4" s="1"/>
  <c r="FM23" i="4" s="1"/>
  <c r="FM24" i="4" s="1"/>
  <c r="FM25" i="4" s="1"/>
  <c r="FM26" i="4" s="1"/>
  <c r="FM27" i="4" s="1"/>
  <c r="FM28" i="4" s="1"/>
  <c r="FM29" i="4" s="1"/>
  <c r="FM30" i="4" s="1"/>
  <c r="FM31" i="4" s="1"/>
  <c r="FM32" i="4" s="1"/>
  <c r="FM33" i="4" s="1"/>
  <c r="FM34" i="4" s="1"/>
  <c r="FM35" i="4" s="1"/>
  <c r="FM36" i="4" s="1"/>
  <c r="FM37" i="4" s="1"/>
  <c r="FM38" i="4" s="1"/>
  <c r="FM39" i="4" s="1"/>
  <c r="FM40" i="4" s="1"/>
  <c r="FN6" i="4"/>
  <c r="FN4" i="4"/>
  <c r="CW4" i="3" s="1"/>
  <c r="DR31" i="4"/>
  <c r="DH18" i="4"/>
  <c r="BJ25" i="4"/>
  <c r="CX34" i="4"/>
  <c r="EH5" i="4"/>
  <c r="EH13" i="4"/>
  <c r="EH17" i="4"/>
  <c r="EH22" i="4"/>
  <c r="EH40" i="4"/>
  <c r="EH28" i="4"/>
  <c r="EH23" i="4"/>
  <c r="EH38" i="4"/>
  <c r="EH34" i="4"/>
  <c r="DR18" i="4"/>
  <c r="BP18" i="4"/>
  <c r="BP14" i="4"/>
  <c r="BP13" i="4"/>
  <c r="BP24" i="4"/>
  <c r="BP22" i="4"/>
  <c r="BP21" i="4"/>
  <c r="BP30" i="4"/>
  <c r="BP35" i="4"/>
  <c r="BP40" i="4"/>
  <c r="DR8" i="4"/>
  <c r="DS8" i="4" s="1"/>
  <c r="CX11" i="4"/>
  <c r="EU17" i="4"/>
  <c r="AD46" i="3"/>
  <c r="AD51" i="3" s="1"/>
  <c r="BZ6" i="4"/>
  <c r="BZ16" i="4"/>
  <c r="BZ13" i="4"/>
  <c r="BZ29" i="4"/>
  <c r="BZ20" i="4"/>
  <c r="BZ18" i="4"/>
  <c r="BZ23" i="4"/>
  <c r="BZ38" i="4"/>
  <c r="BZ35" i="4"/>
  <c r="BZ40" i="4"/>
  <c r="BJ5" i="4"/>
  <c r="BK30" i="4" s="1"/>
  <c r="CH7" i="4"/>
  <c r="Q9" i="3"/>
  <c r="CD13" i="4"/>
  <c r="CE6" i="4" s="1"/>
  <c r="BJ30" i="4"/>
  <c r="T5" i="4"/>
  <c r="T20" i="4"/>
  <c r="T14" i="4"/>
  <c r="T26" i="4"/>
  <c r="T28" i="4"/>
  <c r="T22" i="4"/>
  <c r="T21" i="4"/>
  <c r="T30" i="4"/>
  <c r="T39" i="4"/>
  <c r="FX19" i="4"/>
  <c r="FX20" i="4"/>
  <c r="FX14" i="4"/>
  <c r="FX27" i="4"/>
  <c r="FX35" i="4"/>
  <c r="FX8" i="4"/>
  <c r="FX32" i="4"/>
  <c r="FX26" i="4"/>
  <c r="FX33" i="4"/>
  <c r="CZ41" i="3"/>
  <c r="CZ38" i="3"/>
  <c r="CZ34" i="3"/>
  <c r="CZ33" i="3"/>
  <c r="CZ32" i="3"/>
  <c r="CZ31" i="3"/>
  <c r="CZ30" i="3"/>
  <c r="CZ29" i="3"/>
  <c r="CZ28" i="3"/>
  <c r="CZ27" i="3"/>
  <c r="CZ26" i="3"/>
  <c r="CZ25" i="3"/>
  <c r="CZ24" i="3"/>
  <c r="CZ23" i="3"/>
  <c r="CZ22" i="3"/>
  <c r="CZ21" i="3"/>
  <c r="CZ20" i="3"/>
  <c r="CZ19" i="3"/>
  <c r="CZ18" i="3"/>
  <c r="CZ17" i="3"/>
  <c r="CZ16" i="3"/>
  <c r="CZ15" i="3"/>
  <c r="CZ14" i="3"/>
  <c r="CZ13" i="3"/>
  <c r="CZ12" i="3"/>
  <c r="CZ11" i="3"/>
  <c r="CZ10" i="3"/>
  <c r="CZ39" i="3"/>
  <c r="CY5" i="3"/>
  <c r="CY6" i="3" s="1"/>
  <c r="CY7" i="3" s="1"/>
  <c r="CY8" i="3" s="1"/>
  <c r="CY9" i="3" s="1"/>
  <c r="CY10" i="3" s="1"/>
  <c r="CY11" i="3" s="1"/>
  <c r="CY12" i="3" s="1"/>
  <c r="CY13" i="3" s="1"/>
  <c r="CY14" i="3" s="1"/>
  <c r="CY15" i="3" s="1"/>
  <c r="CY16" i="3" s="1"/>
  <c r="CY17" i="3" s="1"/>
  <c r="CY18" i="3" s="1"/>
  <c r="CY19" i="3" s="1"/>
  <c r="CY20" i="3" s="1"/>
  <c r="CY21" i="3" s="1"/>
  <c r="CY22" i="3" s="1"/>
  <c r="CY23" i="3" s="1"/>
  <c r="CY24" i="3" s="1"/>
  <c r="CY25" i="3" s="1"/>
  <c r="CY26" i="3" s="1"/>
  <c r="CY27" i="3" s="1"/>
  <c r="CY28" i="3" s="1"/>
  <c r="CY29" i="3" s="1"/>
  <c r="CY30" i="3" s="1"/>
  <c r="CY31" i="3" s="1"/>
  <c r="CY32" i="3" s="1"/>
  <c r="CY33" i="3" s="1"/>
  <c r="CY34" i="3" s="1"/>
  <c r="CY35" i="3" s="1"/>
  <c r="CY36" i="3" s="1"/>
  <c r="CY37" i="3" s="1"/>
  <c r="CY38" i="3" s="1"/>
  <c r="CY39" i="3" s="1"/>
  <c r="CY40" i="3" s="1"/>
  <c r="CY41" i="3" s="1"/>
  <c r="CY42" i="3" s="1"/>
  <c r="CZ42" i="3"/>
  <c r="CZ40" i="3"/>
  <c r="CZ37" i="3"/>
  <c r="CZ36" i="3"/>
  <c r="CZ35" i="3"/>
  <c r="CZ9" i="3"/>
  <c r="CZ8" i="3"/>
  <c r="CZ7" i="3"/>
  <c r="CZ4" i="3"/>
  <c r="CZ6" i="3"/>
  <c r="CZ5" i="3"/>
  <c r="EU22" i="4"/>
  <c r="AD23" i="3"/>
  <c r="AD30" i="3" s="1"/>
  <c r="AD22" i="1"/>
  <c r="CE39" i="4"/>
  <c r="DD14" i="4"/>
  <c r="DD30" i="4"/>
  <c r="DV6" i="4"/>
  <c r="DW17" i="4" s="1"/>
  <c r="Y57" i="3"/>
  <c r="Y8" i="3"/>
  <c r="AC6" i="1"/>
  <c r="X41" i="1"/>
  <c r="X42" i="1" s="1"/>
  <c r="BE36" i="4"/>
  <c r="E19" i="4"/>
  <c r="E22" i="4"/>
  <c r="E78" i="4"/>
  <c r="E53" i="4"/>
  <c r="E79" i="4"/>
  <c r="E56" i="4"/>
  <c r="E104" i="4"/>
  <c r="E101" i="4"/>
  <c r="BA12" i="4"/>
  <c r="BA21" i="4"/>
  <c r="BU24" i="4"/>
  <c r="BU27" i="4"/>
  <c r="CT16" i="4"/>
  <c r="CT33" i="4"/>
  <c r="BE33" i="4"/>
  <c r="CD37" i="4"/>
  <c r="N13" i="4"/>
  <c r="N14" i="4" s="1"/>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O6" i="4" s="1"/>
  <c r="O16" i="4"/>
  <c r="O28" i="4"/>
  <c r="BE11" i="4"/>
  <c r="EH24" i="4"/>
  <c r="BE8" i="4"/>
  <c r="BE35" i="4"/>
  <c r="BP20" i="4"/>
  <c r="BP27" i="4"/>
  <c r="EZ11" i="4"/>
  <c r="AI19" i="3"/>
  <c r="AE19" i="3"/>
  <c r="BZ21" i="4"/>
  <c r="BZ25" i="4"/>
  <c r="BZ37" i="4"/>
  <c r="DR29" i="4"/>
  <c r="CD22" i="4"/>
  <c r="BE19" i="4"/>
  <c r="CX5" i="4"/>
  <c r="CH5" i="4"/>
  <c r="CI14" i="4" s="1"/>
  <c r="Q17" i="3"/>
  <c r="DH14" i="4"/>
  <c r="DI14" i="4" s="1"/>
  <c r="DI22" i="4"/>
  <c r="DH20" i="4"/>
  <c r="DH39" i="4"/>
  <c r="DI36" i="4"/>
  <c r="DI21" i="4"/>
  <c r="DH16" i="4"/>
  <c r="DH27" i="4"/>
  <c r="DI16" i="4"/>
  <c r="DH25" i="4"/>
  <c r="DH40" i="4"/>
  <c r="DH29" i="4"/>
  <c r="DH35" i="4"/>
  <c r="DH28" i="4"/>
  <c r="DH31" i="4"/>
  <c r="DH6" i="4"/>
  <c r="DI39" i="4" s="1"/>
  <c r="DI15" i="4"/>
  <c r="DH7" i="4"/>
  <c r="DH13" i="4"/>
  <c r="DI34" i="4" s="1"/>
  <c r="DH38" i="4"/>
  <c r="DH34" i="4"/>
  <c r="DH15" i="4"/>
  <c r="DH17" i="4"/>
  <c r="DH36" i="4"/>
  <c r="DH23" i="4"/>
  <c r="DH22" i="4"/>
  <c r="BJ31" i="4"/>
  <c r="CX12" i="4"/>
  <c r="BJ27" i="4"/>
  <c r="CH22" i="4"/>
  <c r="Q23" i="3"/>
  <c r="CD36" i="4"/>
  <c r="P30" i="3"/>
  <c r="P56" i="3" s="1"/>
  <c r="BJ21" i="4"/>
  <c r="CH25" i="4"/>
  <c r="Q52" i="3"/>
  <c r="Q55" i="3" s="1"/>
  <c r="CD29" i="4"/>
  <c r="EZ32" i="4"/>
  <c r="AI27" i="3"/>
  <c r="AE27" i="3"/>
  <c r="BK22" i="4"/>
  <c r="BK24" i="4"/>
  <c r="CE22" i="4"/>
  <c r="CE38" i="4"/>
  <c r="CE36" i="4"/>
  <c r="DD6" i="4"/>
  <c r="DD11" i="4"/>
  <c r="DD20" i="4"/>
  <c r="DD9" i="4"/>
  <c r="DD16" i="4"/>
  <c r="DD31" i="4"/>
  <c r="DD28" i="4"/>
  <c r="DD35" i="4"/>
  <c r="BJ33" i="4"/>
  <c r="CX23" i="4"/>
  <c r="BJ37" i="4"/>
  <c r="E5" i="4"/>
  <c r="E11" i="4"/>
  <c r="E15" i="4"/>
  <c r="E10" i="4"/>
  <c r="E13" i="4"/>
  <c r="E31" i="4"/>
  <c r="E40" i="4"/>
  <c r="E35" i="4"/>
  <c r="E30" i="4"/>
  <c r="E90" i="4"/>
  <c r="E70" i="4"/>
  <c r="E102" i="4"/>
  <c r="E41" i="4"/>
  <c r="E46" i="4"/>
  <c r="E51" i="4"/>
  <c r="E57" i="4"/>
  <c r="E62" i="4"/>
  <c r="E75" i="4"/>
  <c r="E91" i="4"/>
  <c r="E107" i="4"/>
  <c r="E52" i="4"/>
  <c r="E68" i="4"/>
  <c r="E84" i="4"/>
  <c r="E100" i="4"/>
  <c r="E65" i="4"/>
  <c r="E81" i="4"/>
  <c r="E97" i="4"/>
  <c r="E113" i="4"/>
  <c r="DS38" i="4"/>
  <c r="DS40" i="4"/>
  <c r="BJ34" i="4"/>
  <c r="BE22" i="4"/>
  <c r="CX26" i="4"/>
  <c r="CD31" i="4"/>
  <c r="CX21" i="4"/>
  <c r="BA5" i="4"/>
  <c r="BA15" i="4"/>
  <c r="BA11" i="4"/>
  <c r="BA24" i="4"/>
  <c r="BA18" i="4"/>
  <c r="BA27" i="4"/>
  <c r="BA22" i="4"/>
  <c r="BA36" i="4"/>
  <c r="BA33" i="4"/>
  <c r="BU11" i="4"/>
  <c r="BU9" i="4"/>
  <c r="BU23" i="4"/>
  <c r="BU18" i="4"/>
  <c r="BU19" i="4"/>
  <c r="BU25" i="4"/>
  <c r="BU26" i="4"/>
  <c r="BU37" i="4"/>
  <c r="CT13" i="4"/>
  <c r="CT5" i="4"/>
  <c r="CU5" i="4" s="1"/>
  <c r="CT10" i="4"/>
  <c r="CT28" i="4"/>
  <c r="CT15" i="4"/>
  <c r="CT24" i="4"/>
  <c r="CT37" i="4"/>
  <c r="CT32" i="4"/>
  <c r="CT34" i="4"/>
  <c r="CX24" i="4"/>
  <c r="DR26" i="4"/>
  <c r="DS6" i="4" s="1"/>
  <c r="DR30" i="4"/>
  <c r="DR40" i="4"/>
  <c r="CD38" i="4"/>
  <c r="O9" i="4"/>
  <c r="O14" i="4"/>
  <c r="O12" i="4"/>
  <c r="O15" i="4"/>
  <c r="O22" i="4"/>
  <c r="O24" i="4"/>
  <c r="O34" i="4"/>
  <c r="O35" i="4"/>
  <c r="BJ6" i="4"/>
  <c r="BK35" i="4" s="1"/>
  <c r="CD14" i="4"/>
  <c r="CX8" i="4"/>
  <c r="DR19" i="4"/>
  <c r="EZ25" i="4"/>
  <c r="AI52" i="3"/>
  <c r="AE52" i="3"/>
  <c r="AE55" i="3" s="1"/>
  <c r="AI55" i="3" s="1"/>
  <c r="CH33" i="4"/>
  <c r="Q28" i="3"/>
  <c r="DR9" i="4"/>
  <c r="DS5" i="4" s="1"/>
  <c r="CD16" i="4"/>
  <c r="CX40" i="4"/>
  <c r="CH28" i="4"/>
  <c r="Q53" i="3"/>
  <c r="EZ39" i="4"/>
  <c r="AI36" i="3"/>
  <c r="AE36" i="3"/>
  <c r="AE38" i="3" s="1"/>
  <c r="AI38" i="3" s="1"/>
  <c r="BJ8" i="4"/>
  <c r="BK10" i="4" s="1"/>
  <c r="BE18" i="4"/>
  <c r="BJ29" i="4"/>
  <c r="DR35" i="4"/>
  <c r="DI4" i="4"/>
  <c r="DJ4" i="4" s="1"/>
  <c r="DH10" i="4"/>
  <c r="DR13" i="4"/>
  <c r="CX16" i="4"/>
  <c r="DH21" i="4"/>
  <c r="DI20" i="4" s="1"/>
  <c r="CX27" i="4"/>
  <c r="EZ31" i="4"/>
  <c r="AI39" i="3"/>
  <c r="AE39" i="3"/>
  <c r="AE40" i="3" s="1"/>
  <c r="AI40" i="3" s="1"/>
  <c r="BE29" i="4"/>
  <c r="J38" i="4"/>
  <c r="J31" i="4"/>
  <c r="J23" i="4"/>
  <c r="J32" i="4"/>
  <c r="J14" i="4"/>
  <c r="J33" i="4"/>
  <c r="J17" i="4"/>
  <c r="J16" i="4"/>
  <c r="I5" i="4"/>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J13" i="4"/>
  <c r="EO37" i="4"/>
  <c r="EO40" i="4"/>
  <c r="EO34" i="4"/>
  <c r="EO30" i="4"/>
  <c r="EO35" i="4"/>
  <c r="EO26" i="4"/>
  <c r="EO28" i="4"/>
  <c r="EO27" i="4"/>
  <c r="EO13" i="4"/>
  <c r="EO21" i="4"/>
  <c r="EO18" i="4"/>
  <c r="EO14" i="4"/>
  <c r="EO23" i="4"/>
  <c r="EO12" i="4"/>
  <c r="EO8" i="4"/>
  <c r="EO7" i="4"/>
  <c r="EO4" i="4"/>
  <c r="CM4" i="3" s="1"/>
  <c r="EO9" i="4"/>
  <c r="EN5" i="4"/>
  <c r="EN6" i="4" s="1"/>
  <c r="EN7" i="4" s="1"/>
  <c r="EN8" i="4" s="1"/>
  <c r="EN9" i="4" s="1"/>
  <c r="EN10" i="4" s="1"/>
  <c r="EN11" i="4" s="1"/>
  <c r="EN12" i="4" s="1"/>
  <c r="EN13" i="4" s="1"/>
  <c r="EN14" i="4" s="1"/>
  <c r="EN15" i="4" s="1"/>
  <c r="EN16" i="4" s="1"/>
  <c r="EN17" i="4" s="1"/>
  <c r="EN18" i="4" s="1"/>
  <c r="EN19" i="4" s="1"/>
  <c r="EN20" i="4" s="1"/>
  <c r="EN21" i="4" s="1"/>
  <c r="EN22" i="4" s="1"/>
  <c r="EN23" i="4" s="1"/>
  <c r="EN24" i="4" s="1"/>
  <c r="EN25" i="4" s="1"/>
  <c r="EN26" i="4" s="1"/>
  <c r="EN27" i="4" s="1"/>
  <c r="EN28" i="4" s="1"/>
  <c r="EN29" i="4" s="1"/>
  <c r="EN30" i="4" s="1"/>
  <c r="EN31" i="4" s="1"/>
  <c r="EN32" i="4" s="1"/>
  <c r="EN33" i="4" s="1"/>
  <c r="EN34" i="4" s="1"/>
  <c r="EN35" i="4" s="1"/>
  <c r="EN36" i="4" s="1"/>
  <c r="EN37" i="4" s="1"/>
  <c r="EN38" i="4" s="1"/>
  <c r="EN39" i="4" s="1"/>
  <c r="EN40" i="4" s="1"/>
  <c r="CX7" i="4"/>
  <c r="CY39" i="4" s="1"/>
  <c r="BJ9" i="4"/>
  <c r="CD23" i="4"/>
  <c r="EH4" i="4"/>
  <c r="EI4" i="4" s="1"/>
  <c r="EH12" i="4"/>
  <c r="EH20" i="4"/>
  <c r="EH7" i="4"/>
  <c r="EH25" i="4"/>
  <c r="EH21" i="4"/>
  <c r="EH32" i="4"/>
  <c r="EH27" i="4"/>
  <c r="EH31" i="4"/>
  <c r="K35" i="3"/>
  <c r="K56" i="3" s="1"/>
  <c r="CD30" i="4"/>
  <c r="BP5" i="4"/>
  <c r="BP10" i="4"/>
  <c r="BP15" i="4"/>
  <c r="BP17" i="4"/>
  <c r="BP12" i="4"/>
  <c r="BP26" i="4"/>
  <c r="BP25" i="4"/>
  <c r="BP29" i="4"/>
  <c r="CX9" i="4"/>
  <c r="BZ10" i="4"/>
  <c r="BZ9" i="4"/>
  <c r="BZ12" i="4"/>
  <c r="BZ7" i="4"/>
  <c r="BZ22" i="4"/>
  <c r="BZ26" i="4"/>
  <c r="BZ27" i="4"/>
  <c r="BZ31" i="4"/>
  <c r="CH6" i="4"/>
  <c r="Q8" i="3"/>
  <c r="Q10" i="3" s="1"/>
  <c r="CD8" i="4"/>
  <c r="CE5" i="4" s="1"/>
  <c r="CD12" i="4"/>
  <c r="AD17" i="1"/>
  <c r="EZ19" i="4"/>
  <c r="AI22" i="3"/>
  <c r="AE22" i="3"/>
  <c r="BJ26" i="4"/>
  <c r="CH34" i="4"/>
  <c r="CI34" i="4" s="1"/>
  <c r="Q49" i="3"/>
  <c r="DV7" i="4"/>
  <c r="Y9" i="3"/>
  <c r="AC7" i="1"/>
  <c r="DR25" i="4"/>
  <c r="EZ37" i="4"/>
  <c r="AI29" i="3"/>
  <c r="AE29" i="3"/>
  <c r="AC5" i="4"/>
  <c r="AC6" i="4" s="1"/>
  <c r="AC7" i="4" s="1"/>
  <c r="AC8" i="4" s="1"/>
  <c r="AC9" i="4" s="1"/>
  <c r="AC10" i="4" s="1"/>
  <c r="AC11" i="4" s="1"/>
  <c r="AC12" i="4" s="1"/>
  <c r="AC13" i="4" s="1"/>
  <c r="AC14" i="4" s="1"/>
  <c r="AC15" i="4" s="1"/>
  <c r="AC16" i="4" s="1"/>
  <c r="AC17" i="4" s="1"/>
  <c r="AC18" i="4" s="1"/>
  <c r="AC19" i="4" s="1"/>
  <c r="AC20" i="4" s="1"/>
  <c r="AC21" i="4" s="1"/>
  <c r="AC22" i="4" s="1"/>
  <c r="AC23" i="4" s="1"/>
  <c r="AC24" i="4" s="1"/>
  <c r="AC25" i="4" s="1"/>
  <c r="AC26" i="4" s="1"/>
  <c r="AC27" i="4" s="1"/>
  <c r="AC28" i="4" s="1"/>
  <c r="AC29" i="4" s="1"/>
  <c r="AC30" i="4" s="1"/>
  <c r="AC31" i="4" s="1"/>
  <c r="AC32" i="4" s="1"/>
  <c r="AC33" i="4" s="1"/>
  <c r="AC34" i="4" s="1"/>
  <c r="AC35" i="4" s="1"/>
  <c r="AC36" i="4" s="1"/>
  <c r="AC37" i="4" s="1"/>
  <c r="AC38" i="4" s="1"/>
  <c r="AC39" i="4" s="1"/>
  <c r="AC40" i="4" s="1"/>
  <c r="CQ37" i="4"/>
  <c r="CQ35" i="4"/>
  <c r="CQ40" i="4"/>
  <c r="CQ34" i="4"/>
  <c r="CQ33" i="4"/>
  <c r="CQ28" i="4"/>
  <c r="CQ24" i="4"/>
  <c r="CQ26" i="4"/>
  <c r="CQ21" i="4"/>
  <c r="CQ15" i="4"/>
  <c r="CQ11" i="4"/>
  <c r="CQ12" i="4"/>
  <c r="CQ8" i="4"/>
  <c r="CQ14" i="4"/>
  <c r="CQ13" i="4"/>
  <c r="CQ10" i="4"/>
  <c r="CQ6" i="4"/>
  <c r="CP5" i="4"/>
  <c r="CP6" i="4" s="1"/>
  <c r="CP7" i="4" s="1"/>
  <c r="CP8" i="4" s="1"/>
  <c r="CP9" i="4" s="1"/>
  <c r="CP10" i="4" s="1"/>
  <c r="CP11" i="4" s="1"/>
  <c r="CP12" i="4" s="1"/>
  <c r="CP13" i="4" s="1"/>
  <c r="CP14" i="4" s="1"/>
  <c r="CP15" i="4" s="1"/>
  <c r="CP16" i="4" s="1"/>
  <c r="CP17" i="4" s="1"/>
  <c r="CP18" i="4" s="1"/>
  <c r="CP19" i="4" s="1"/>
  <c r="CP20" i="4" s="1"/>
  <c r="CP21" i="4" s="1"/>
  <c r="CP22" i="4" s="1"/>
  <c r="CP23" i="4" s="1"/>
  <c r="CP24" i="4" s="1"/>
  <c r="CP25" i="4" s="1"/>
  <c r="CP26" i="4" s="1"/>
  <c r="CP27" i="4" s="1"/>
  <c r="CP28" i="4" s="1"/>
  <c r="CP29" i="4" s="1"/>
  <c r="CP30" i="4" s="1"/>
  <c r="CP31" i="4" s="1"/>
  <c r="CP32" i="4" s="1"/>
  <c r="CP33" i="4" s="1"/>
  <c r="CP34" i="4" s="1"/>
  <c r="CP35" i="4" s="1"/>
  <c r="CP36" i="4" s="1"/>
  <c r="CP37" i="4" s="1"/>
  <c r="CP38" i="4" s="1"/>
  <c r="CP39" i="4" s="1"/>
  <c r="CP40" i="4" s="1"/>
  <c r="CQ4" i="4"/>
  <c r="BS4" i="3" s="1"/>
  <c r="CQ7" i="4"/>
  <c r="T6" i="4"/>
  <c r="T7" i="4"/>
  <c r="T10" i="4"/>
  <c r="T9" i="4"/>
  <c r="T31" i="4"/>
  <c r="T23" i="4"/>
  <c r="T25" i="4"/>
  <c r="T35" i="4"/>
  <c r="T36" i="4"/>
  <c r="FX25" i="4"/>
  <c r="FX29" i="4"/>
  <c r="FX7" i="4"/>
  <c r="FX21" i="4"/>
  <c r="FX17" i="4"/>
  <c r="FX36" i="4"/>
  <c r="FX39" i="4"/>
  <c r="FX12" i="4"/>
  <c r="FX31" i="4"/>
  <c r="AU7" i="2" l="1"/>
  <c r="AV8" i="2" s="1"/>
  <c r="AU6" i="2"/>
  <c r="AU9" i="2" s="1"/>
  <c r="AU5" i="2"/>
  <c r="AV4" i="2" s="1"/>
  <c r="CU6" i="4"/>
  <c r="CU7" i="4" s="1"/>
  <c r="CU8" i="4" s="1"/>
  <c r="CU9" i="4" s="1"/>
  <c r="CU10" i="4" s="1"/>
  <c r="CU11" i="4" s="1"/>
  <c r="CU12" i="4" s="1"/>
  <c r="CU13" i="4" s="1"/>
  <c r="CU14" i="4" s="1"/>
  <c r="CU15" i="4" s="1"/>
  <c r="CU16" i="4" s="1"/>
  <c r="CU17" i="4" s="1"/>
  <c r="CU18" i="4" s="1"/>
  <c r="CU19" i="4" s="1"/>
  <c r="CU20" i="4" s="1"/>
  <c r="CU21" i="4" s="1"/>
  <c r="CU22" i="4" s="1"/>
  <c r="CU23" i="4" s="1"/>
  <c r="CU24" i="4" s="1"/>
  <c r="CU25" i="4" s="1"/>
  <c r="CU26" i="4" s="1"/>
  <c r="CU27" i="4" s="1"/>
  <c r="CU28" i="4" s="1"/>
  <c r="CU29" i="4" s="1"/>
  <c r="CU30" i="4" s="1"/>
  <c r="CU31" i="4" s="1"/>
  <c r="CU32" i="4" s="1"/>
  <c r="CU33" i="4" s="1"/>
  <c r="CU34" i="4" s="1"/>
  <c r="CU35" i="4" s="1"/>
  <c r="CU36" i="4" s="1"/>
  <c r="CU37" i="4" s="1"/>
  <c r="CU38" i="4" s="1"/>
  <c r="CU39" i="4" s="1"/>
  <c r="CU40" i="4" s="1"/>
  <c r="CV21" i="4"/>
  <c r="CV26" i="4"/>
  <c r="CV11" i="4"/>
  <c r="CV15" i="4"/>
  <c r="CV32" i="4"/>
  <c r="CV28" i="4"/>
  <c r="CV16" i="4"/>
  <c r="CV9" i="4"/>
  <c r="CV37" i="4"/>
  <c r="CV33" i="4"/>
  <c r="CV23" i="4"/>
  <c r="CV12" i="4"/>
  <c r="CV7" i="4"/>
  <c r="CV4" i="4"/>
  <c r="BU4" i="3" s="1"/>
  <c r="CV25" i="4"/>
  <c r="CV27" i="4"/>
  <c r="CV14" i="4"/>
  <c r="CV10" i="4"/>
  <c r="BK29" i="4"/>
  <c r="DI6" i="4"/>
  <c r="DI26" i="4"/>
  <c r="CX42" i="3"/>
  <c r="CX41" i="3"/>
  <c r="CX40" i="3"/>
  <c r="CX39" i="3"/>
  <c r="CX38" i="3"/>
  <c r="CX34" i="3"/>
  <c r="CX33" i="3"/>
  <c r="CX32" i="3"/>
  <c r="CX31" i="3"/>
  <c r="CX30" i="3"/>
  <c r="CX29" i="3"/>
  <c r="CX28" i="3"/>
  <c r="CX27" i="3"/>
  <c r="CX26" i="3"/>
  <c r="CX25" i="3"/>
  <c r="CX24" i="3"/>
  <c r="CX23" i="3"/>
  <c r="CX22" i="3"/>
  <c r="CX21" i="3"/>
  <c r="CX20" i="3"/>
  <c r="CX19" i="3"/>
  <c r="CX18" i="3"/>
  <c r="CX17" i="3"/>
  <c r="CX16" i="3"/>
  <c r="CX15" i="3"/>
  <c r="CX14" i="3"/>
  <c r="CX13" i="3"/>
  <c r="CX12" i="3"/>
  <c r="CX11" i="3"/>
  <c r="CX10" i="3"/>
  <c r="CX9" i="3"/>
  <c r="CX37" i="3"/>
  <c r="CX36" i="3"/>
  <c r="CX35" i="3"/>
  <c r="CX6" i="3"/>
  <c r="CX5" i="3"/>
  <c r="CW5" i="3"/>
  <c r="CW6" i="3" s="1"/>
  <c r="CW7" i="3" s="1"/>
  <c r="CW8" i="3" s="1"/>
  <c r="CX8" i="3"/>
  <c r="CX7" i="3"/>
  <c r="CX4" i="3"/>
  <c r="CI40" i="4"/>
  <c r="CY9" i="4"/>
  <c r="CY10" i="4"/>
  <c r="CY19" i="4"/>
  <c r="CY27" i="4"/>
  <c r="CY26" i="4"/>
  <c r="CY23" i="4"/>
  <c r="CY28" i="4"/>
  <c r="AI7" i="3"/>
  <c r="EE9" i="4"/>
  <c r="EE18" i="4"/>
  <c r="EE19" i="4"/>
  <c r="EE15" i="4"/>
  <c r="EE33" i="4"/>
  <c r="EE20" i="4"/>
  <c r="EE31" i="4"/>
  <c r="EE39" i="4"/>
  <c r="CI37" i="4"/>
  <c r="DS28" i="4"/>
  <c r="DS21" i="4"/>
  <c r="CE8" i="4"/>
  <c r="BK33" i="4"/>
  <c r="BK4" i="4"/>
  <c r="BL4" i="4" s="1"/>
  <c r="O19" i="4"/>
  <c r="CE4" i="4"/>
  <c r="CF4" i="4" s="1"/>
  <c r="CI8" i="4"/>
  <c r="CA5" i="4"/>
  <c r="CA6" i="4" s="1"/>
  <c r="CA7" i="4" s="1"/>
  <c r="CA8" i="4" s="1"/>
  <c r="CA9" i="4" s="1"/>
  <c r="CA10" i="4" s="1"/>
  <c r="CA11" i="4" s="1"/>
  <c r="CA12" i="4" s="1"/>
  <c r="CA13" i="4" s="1"/>
  <c r="CA14" i="4" s="1"/>
  <c r="CA15" i="4" s="1"/>
  <c r="CA16" i="4" s="1"/>
  <c r="CA17" i="4" s="1"/>
  <c r="CA18" i="4" s="1"/>
  <c r="CA19" i="4" s="1"/>
  <c r="CA20" i="4" s="1"/>
  <c r="CA21" i="4" s="1"/>
  <c r="CA22" i="4" s="1"/>
  <c r="CA23" i="4" s="1"/>
  <c r="CA24" i="4" s="1"/>
  <c r="CA25" i="4" s="1"/>
  <c r="CA26" i="4" s="1"/>
  <c r="CA27" i="4" s="1"/>
  <c r="CA28" i="4" s="1"/>
  <c r="CA29" i="4" s="1"/>
  <c r="CA30" i="4" s="1"/>
  <c r="CA31" i="4" s="1"/>
  <c r="CA32" i="4" s="1"/>
  <c r="CA33" i="4" s="1"/>
  <c r="CA34" i="4" s="1"/>
  <c r="CA35" i="4" s="1"/>
  <c r="CA36" i="4" s="1"/>
  <c r="CA37" i="4" s="1"/>
  <c r="CA38" i="4" s="1"/>
  <c r="CA39" i="4" s="1"/>
  <c r="CA40" i="4" s="1"/>
  <c r="BF7" i="4"/>
  <c r="BF5" i="4"/>
  <c r="BG5" i="4" s="1"/>
  <c r="BF9" i="4"/>
  <c r="BF15" i="4"/>
  <c r="BF18" i="4"/>
  <c r="BF25" i="4"/>
  <c r="BF26" i="4"/>
  <c r="BF30" i="4"/>
  <c r="BF39" i="4"/>
  <c r="O30" i="4"/>
  <c r="O27" i="4"/>
  <c r="CP42" i="3"/>
  <c r="CP41" i="3"/>
  <c r="CP40" i="3"/>
  <c r="CP39" i="3"/>
  <c r="CP38" i="3"/>
  <c r="CP37" i="3"/>
  <c r="CP36" i="3"/>
  <c r="CP35" i="3"/>
  <c r="CP34" i="3"/>
  <c r="CP33" i="3"/>
  <c r="CP32" i="3"/>
  <c r="CP31" i="3"/>
  <c r="CP30" i="3"/>
  <c r="CP29" i="3"/>
  <c r="CP28" i="3"/>
  <c r="CP27" i="3"/>
  <c r="CP26" i="3"/>
  <c r="CP25" i="3"/>
  <c r="CP24" i="3"/>
  <c r="CP23" i="3"/>
  <c r="CP22" i="3"/>
  <c r="CP21" i="3"/>
  <c r="CP20" i="3"/>
  <c r="CP19" i="3"/>
  <c r="CP18" i="3"/>
  <c r="CP17" i="3"/>
  <c r="CP16" i="3"/>
  <c r="CP15" i="3"/>
  <c r="CP14" i="3"/>
  <c r="CP13" i="3"/>
  <c r="CP12" i="3"/>
  <c r="CP11" i="3"/>
  <c r="CP10" i="3"/>
  <c r="CP9" i="3"/>
  <c r="CP8" i="3"/>
  <c r="CP7" i="3"/>
  <c r="CP4" i="3"/>
  <c r="CP6" i="3"/>
  <c r="CP5" i="3"/>
  <c r="CO5" i="3"/>
  <c r="CO6" i="3" s="1"/>
  <c r="CO7" i="3" s="1"/>
  <c r="CO8" i="3" s="1"/>
  <c r="CO9" i="3" s="1"/>
  <c r="CO10" i="3" s="1"/>
  <c r="CO11" i="3" s="1"/>
  <c r="CO12" i="3" s="1"/>
  <c r="CO13" i="3" s="1"/>
  <c r="CO14" i="3" s="1"/>
  <c r="CO15" i="3" s="1"/>
  <c r="CO16" i="3" s="1"/>
  <c r="CO17" i="3" s="1"/>
  <c r="CO18" i="3" s="1"/>
  <c r="CO19" i="3" s="1"/>
  <c r="CO20" i="3" s="1"/>
  <c r="CO21" i="3" s="1"/>
  <c r="CO22" i="3" s="1"/>
  <c r="CO23" i="3" s="1"/>
  <c r="CO24" i="3" s="1"/>
  <c r="CO25" i="3" s="1"/>
  <c r="CO26" i="3" s="1"/>
  <c r="CO27" i="3" s="1"/>
  <c r="CO28" i="3" s="1"/>
  <c r="CO29" i="3" s="1"/>
  <c r="CO30" i="3" s="1"/>
  <c r="CO31" i="3" s="1"/>
  <c r="CO32" i="3" s="1"/>
  <c r="CO33" i="3" s="1"/>
  <c r="CO34" i="3" s="1"/>
  <c r="CO35" i="3" s="1"/>
  <c r="CO36" i="3" s="1"/>
  <c r="CO37" i="3" s="1"/>
  <c r="CO38" i="3" s="1"/>
  <c r="CO39" i="3" s="1"/>
  <c r="CO40" i="3" s="1"/>
  <c r="CO41" i="3" s="1"/>
  <c r="CO42" i="3" s="1"/>
  <c r="DS32" i="4"/>
  <c r="DS16" i="4"/>
  <c r="X56" i="3"/>
  <c r="CE20" i="4"/>
  <c r="CE18" i="4"/>
  <c r="BK31" i="4"/>
  <c r="BK39" i="4"/>
  <c r="BK26" i="4"/>
  <c r="BK25" i="4"/>
  <c r="BK5" i="4"/>
  <c r="BK28" i="4"/>
  <c r="BK19" i="4"/>
  <c r="BK17" i="4"/>
  <c r="BK32" i="4"/>
  <c r="BK16" i="4"/>
  <c r="BK13" i="4"/>
  <c r="Q51" i="3"/>
  <c r="Y5" i="4"/>
  <c r="Y16" i="4"/>
  <c r="Y15" i="4"/>
  <c r="Y10" i="4"/>
  <c r="Y17" i="4"/>
  <c r="Y23" i="4"/>
  <c r="Y32" i="4"/>
  <c r="Y34" i="4"/>
  <c r="Y39" i="4"/>
  <c r="CI35" i="4"/>
  <c r="CE30" i="4"/>
  <c r="DA7" i="3"/>
  <c r="DA8" i="3" s="1"/>
  <c r="DA9" i="3" s="1"/>
  <c r="DA10" i="3" s="1"/>
  <c r="DA11" i="3" s="1"/>
  <c r="DA12" i="3" s="1"/>
  <c r="DA13" i="3" s="1"/>
  <c r="DA14" i="3" s="1"/>
  <c r="DA15" i="3" s="1"/>
  <c r="DA16" i="3" s="1"/>
  <c r="DA17" i="3" s="1"/>
  <c r="DA18" i="3" s="1"/>
  <c r="DA19" i="3" s="1"/>
  <c r="DA20" i="3" s="1"/>
  <c r="DA21" i="3" s="1"/>
  <c r="DA22" i="3" s="1"/>
  <c r="DA23" i="3" s="1"/>
  <c r="DA24" i="3" s="1"/>
  <c r="DA25" i="3" s="1"/>
  <c r="DA26" i="3" s="1"/>
  <c r="DA27" i="3" s="1"/>
  <c r="DA28" i="3" s="1"/>
  <c r="DA29" i="3" s="1"/>
  <c r="DA30" i="3" s="1"/>
  <c r="DA31" i="3" s="1"/>
  <c r="DA32" i="3" s="1"/>
  <c r="DA33" i="3" s="1"/>
  <c r="DA34" i="3" s="1"/>
  <c r="DA35" i="3" s="1"/>
  <c r="DA36" i="3" s="1"/>
  <c r="DA37" i="3" s="1"/>
  <c r="DA38" i="3" s="1"/>
  <c r="DA39" i="3" s="1"/>
  <c r="DA40" i="3" s="1"/>
  <c r="DA41" i="3" s="1"/>
  <c r="DA42" i="3" s="1"/>
  <c r="DB13" i="3"/>
  <c r="DB17" i="3"/>
  <c r="DB21" i="3"/>
  <c r="DB29" i="3"/>
  <c r="DB33" i="3"/>
  <c r="DB37" i="3"/>
  <c r="AD16" i="4"/>
  <c r="AD32" i="4"/>
  <c r="CI23" i="4"/>
  <c r="BK12" i="4"/>
  <c r="J28" i="4"/>
  <c r="J18" i="4"/>
  <c r="DS39" i="4"/>
  <c r="CE27" i="4"/>
  <c r="CI15" i="4"/>
  <c r="DI10" i="4"/>
  <c r="DI11" i="4"/>
  <c r="DI30" i="4"/>
  <c r="EV22" i="4"/>
  <c r="CY6" i="4"/>
  <c r="CY13" i="4"/>
  <c r="CY8" i="4"/>
  <c r="CY11" i="4"/>
  <c r="CY25" i="4"/>
  <c r="CY30" i="4"/>
  <c r="CY33" i="4"/>
  <c r="CY31" i="4"/>
  <c r="CY37" i="4"/>
  <c r="EE5" i="4"/>
  <c r="EE14" i="4"/>
  <c r="EE7" i="4"/>
  <c r="EE8" i="4"/>
  <c r="EE26" i="4"/>
  <c r="EE21" i="4"/>
  <c r="EE22" i="4"/>
  <c r="EE24" i="4"/>
  <c r="EE36" i="4"/>
  <c r="EE37" i="4"/>
  <c r="CI4" i="4"/>
  <c r="CJ23" i="4" s="1"/>
  <c r="DS25" i="4"/>
  <c r="DS10" i="4"/>
  <c r="CE25" i="4"/>
  <c r="CE14" i="4"/>
  <c r="BK20" i="4"/>
  <c r="CI24" i="4"/>
  <c r="O38" i="4"/>
  <c r="O18" i="4"/>
  <c r="BR37" i="4"/>
  <c r="BR38" i="4"/>
  <c r="BR33" i="4"/>
  <c r="BR36" i="4"/>
  <c r="BR22" i="4"/>
  <c r="BR26" i="4"/>
  <c r="BR25" i="4"/>
  <c r="BR16" i="4"/>
  <c r="BR5" i="4"/>
  <c r="BQ5" i="4"/>
  <c r="BQ6" i="4" s="1"/>
  <c r="BQ7" i="4" s="1"/>
  <c r="BQ8" i="4" s="1"/>
  <c r="BQ9" i="4" s="1"/>
  <c r="BQ10" i="4" s="1"/>
  <c r="BQ11" i="4" s="1"/>
  <c r="BQ12" i="4" s="1"/>
  <c r="BQ13" i="4" s="1"/>
  <c r="BQ14" i="4" s="1"/>
  <c r="BQ15" i="4" s="1"/>
  <c r="BQ16" i="4" s="1"/>
  <c r="BQ17" i="4" s="1"/>
  <c r="BQ18" i="4" s="1"/>
  <c r="BQ19" i="4" s="1"/>
  <c r="BQ20" i="4" s="1"/>
  <c r="BQ21" i="4" s="1"/>
  <c r="BQ22" i="4" s="1"/>
  <c r="BQ23" i="4" s="1"/>
  <c r="BQ24" i="4" s="1"/>
  <c r="BQ25" i="4" s="1"/>
  <c r="BQ26" i="4" s="1"/>
  <c r="BQ27" i="4" s="1"/>
  <c r="BQ28" i="4" s="1"/>
  <c r="BQ29" i="4" s="1"/>
  <c r="BQ30" i="4" s="1"/>
  <c r="BQ31" i="4" s="1"/>
  <c r="BQ32" i="4" s="1"/>
  <c r="BQ33" i="4" s="1"/>
  <c r="BQ34" i="4" s="1"/>
  <c r="BQ35" i="4" s="1"/>
  <c r="BQ36" i="4" s="1"/>
  <c r="BQ37" i="4" s="1"/>
  <c r="BQ38" i="4" s="1"/>
  <c r="BQ39" i="4" s="1"/>
  <c r="BQ40" i="4" s="1"/>
  <c r="BR4" i="4"/>
  <c r="BI4" i="3" s="1"/>
  <c r="BF8" i="4"/>
  <c r="BF6" i="4"/>
  <c r="BF16" i="4"/>
  <c r="BF19" i="4"/>
  <c r="BF20" i="4"/>
  <c r="BF37" i="4"/>
  <c r="BF28" i="4"/>
  <c r="BF23" i="4"/>
  <c r="BF34" i="4"/>
  <c r="O37" i="4"/>
  <c r="O10" i="4"/>
  <c r="DS24" i="4"/>
  <c r="DS18" i="4"/>
  <c r="CE33" i="4"/>
  <c r="CE13" i="4"/>
  <c r="BK23" i="4"/>
  <c r="CI13" i="4"/>
  <c r="Y4" i="4"/>
  <c r="AQ4" i="3" s="1"/>
  <c r="Y19" i="4"/>
  <c r="Y20" i="4"/>
  <c r="Y14" i="4"/>
  <c r="Y27" i="4"/>
  <c r="Y24" i="4"/>
  <c r="Y35" i="4"/>
  <c r="Y36" i="4"/>
  <c r="Y40" i="4"/>
  <c r="CE21" i="4"/>
  <c r="DB5" i="3"/>
  <c r="DB10" i="3"/>
  <c r="DB14" i="3"/>
  <c r="DB18" i="3"/>
  <c r="DB22" i="3"/>
  <c r="DB26" i="3"/>
  <c r="DB30" i="3"/>
  <c r="DB34" i="3"/>
  <c r="DB38" i="3"/>
  <c r="DB42" i="3"/>
  <c r="CI27" i="4"/>
  <c r="BL39" i="2"/>
  <c r="BL35" i="2"/>
  <c r="BL31" i="2"/>
  <c r="BL27" i="2"/>
  <c r="BL52" i="2"/>
  <c r="BL50" i="2"/>
  <c r="BL48" i="2"/>
  <c r="BL46" i="2"/>
  <c r="BL44" i="2"/>
  <c r="BL42" i="2"/>
  <c r="BL40" i="2"/>
  <c r="BL38" i="2"/>
  <c r="BL34" i="2"/>
  <c r="BL30" i="2"/>
  <c r="BL26" i="2"/>
  <c r="BL22" i="2"/>
  <c r="BL18" i="2"/>
  <c r="BL14" i="2"/>
  <c r="BL9" i="2"/>
  <c r="BL41" i="2"/>
  <c r="BL37" i="2"/>
  <c r="BL33" i="2"/>
  <c r="BL29" i="2"/>
  <c r="BL25" i="2"/>
  <c r="BL21" i="2"/>
  <c r="BL17" i="2"/>
  <c r="BL13" i="2"/>
  <c r="BL12" i="2"/>
  <c r="BL8" i="2"/>
  <c r="BL7" i="2"/>
  <c r="BL53" i="2"/>
  <c r="BL51" i="2"/>
  <c r="BL49" i="2"/>
  <c r="BL47" i="2"/>
  <c r="BL45" i="2"/>
  <c r="BL43" i="2"/>
  <c r="BL36" i="2"/>
  <c r="BL32" i="2"/>
  <c r="BL28" i="2"/>
  <c r="BL24" i="2"/>
  <c r="BL20" i="2"/>
  <c r="BL16" i="2"/>
  <c r="BL11" i="2"/>
  <c r="BL6" i="2"/>
  <c r="BL10" i="2"/>
  <c r="BL5" i="2"/>
  <c r="BL23" i="2"/>
  <c r="BL19" i="2"/>
  <c r="BL15" i="2"/>
  <c r="BE13" i="2"/>
  <c r="BG5" i="2" s="1"/>
  <c r="AU5" i="3"/>
  <c r="AU6" i="3" s="1"/>
  <c r="AU7" i="3" s="1"/>
  <c r="AU8" i="3" s="1"/>
  <c r="AU9" i="3" s="1"/>
  <c r="AU10" i="3" s="1"/>
  <c r="AU11" i="3" s="1"/>
  <c r="AU12" i="3" s="1"/>
  <c r="AU13" i="3" s="1"/>
  <c r="AU14" i="3" s="1"/>
  <c r="AD17" i="4"/>
  <c r="AD18" i="4"/>
  <c r="AD23" i="4"/>
  <c r="AD38" i="4"/>
  <c r="EU7" i="4"/>
  <c r="AD9" i="3"/>
  <c r="AD7" i="1"/>
  <c r="BK34" i="4"/>
  <c r="DI18" i="4"/>
  <c r="AD5" i="4"/>
  <c r="AD28" i="4"/>
  <c r="AD22" i="4"/>
  <c r="AD36" i="4"/>
  <c r="CI6" i="4"/>
  <c r="J4" i="4"/>
  <c r="J8" i="4"/>
  <c r="J11" i="4"/>
  <c r="J22" i="4"/>
  <c r="J27" i="4"/>
  <c r="J35" i="4"/>
  <c r="J40" i="4"/>
  <c r="DS15" i="4"/>
  <c r="CE40" i="4"/>
  <c r="CI25" i="4"/>
  <c r="BK8" i="4"/>
  <c r="DI28" i="4"/>
  <c r="Q30" i="3"/>
  <c r="Q56" i="3" s="1"/>
  <c r="CQ17" i="4"/>
  <c r="CQ23" i="4"/>
  <c r="CQ16" i="4"/>
  <c r="CQ19" i="4"/>
  <c r="CQ27" i="4"/>
  <c r="CQ29" i="4"/>
  <c r="CQ32" i="4"/>
  <c r="CQ38" i="4"/>
  <c r="AD7" i="4"/>
  <c r="AD9" i="4"/>
  <c r="AD12" i="4"/>
  <c r="AD20" i="4"/>
  <c r="AD21" i="4"/>
  <c r="AD33" i="4"/>
  <c r="AD24" i="4"/>
  <c r="AD37" i="4"/>
  <c r="AD30" i="4"/>
  <c r="AD39" i="4"/>
  <c r="DW7" i="4"/>
  <c r="EI5" i="4"/>
  <c r="EI6" i="4" s="1"/>
  <c r="EI7" i="4" s="1"/>
  <c r="EI8" i="4" s="1"/>
  <c r="EI9" i="4" s="1"/>
  <c r="EI10" i="4" s="1"/>
  <c r="EI11" i="4" s="1"/>
  <c r="EI12" i="4" s="1"/>
  <c r="EI13" i="4" s="1"/>
  <c r="EI14" i="4" s="1"/>
  <c r="EI15" i="4" s="1"/>
  <c r="EI16" i="4" s="1"/>
  <c r="EI17" i="4" s="1"/>
  <c r="EI18" i="4" s="1"/>
  <c r="EI19" i="4" s="1"/>
  <c r="EI20" i="4" s="1"/>
  <c r="EI21" i="4" s="1"/>
  <c r="EI22" i="4" s="1"/>
  <c r="EI23" i="4" s="1"/>
  <c r="EI24" i="4" s="1"/>
  <c r="EI25" i="4" s="1"/>
  <c r="EI26" i="4" s="1"/>
  <c r="EI27" i="4" s="1"/>
  <c r="EI28" i="4" s="1"/>
  <c r="EI29" i="4" s="1"/>
  <c r="EI30" i="4" s="1"/>
  <c r="EI31" i="4" s="1"/>
  <c r="EI32" i="4" s="1"/>
  <c r="EI33" i="4" s="1"/>
  <c r="EI34" i="4" s="1"/>
  <c r="EI35" i="4" s="1"/>
  <c r="EI36" i="4" s="1"/>
  <c r="EI37" i="4" s="1"/>
  <c r="EI38" i="4" s="1"/>
  <c r="EI39" i="4" s="1"/>
  <c r="EI40" i="4" s="1"/>
  <c r="EO6" i="4"/>
  <c r="EO24" i="4"/>
  <c r="EO29" i="4"/>
  <c r="EO36" i="4"/>
  <c r="J7" i="4"/>
  <c r="J12" i="4"/>
  <c r="J15" i="4"/>
  <c r="J24" i="4"/>
  <c r="J36" i="4"/>
  <c r="J39" i="4"/>
  <c r="CI28" i="4"/>
  <c r="DS30" i="4"/>
  <c r="CE15" i="4"/>
  <c r="BK40" i="4"/>
  <c r="BK9" i="4"/>
  <c r="CI22" i="4"/>
  <c r="DI27" i="4"/>
  <c r="DI35" i="4"/>
  <c r="DI19" i="4"/>
  <c r="DI31" i="4"/>
  <c r="DI40" i="4"/>
  <c r="DI8" i="4"/>
  <c r="DI29" i="4"/>
  <c r="DI9" i="4"/>
  <c r="DI17" i="4"/>
  <c r="DI33" i="4"/>
  <c r="CI5" i="4"/>
  <c r="CJ16" i="4" s="1"/>
  <c r="CI19" i="4"/>
  <c r="CI16" i="4"/>
  <c r="EU6" i="4"/>
  <c r="AD8" i="3"/>
  <c r="AD10" i="3" s="1"/>
  <c r="AD56" i="3" s="1"/>
  <c r="AD57" i="3"/>
  <c r="AC41" i="1"/>
  <c r="AD6" i="1"/>
  <c r="CE17" i="4"/>
  <c r="CI7" i="4"/>
  <c r="FN9" i="4"/>
  <c r="FN20" i="4"/>
  <c r="FN15" i="4"/>
  <c r="FN18" i="4"/>
  <c r="FN24" i="4"/>
  <c r="FN23" i="4"/>
  <c r="FN31" i="4"/>
  <c r="FN38" i="4"/>
  <c r="DP7" i="4"/>
  <c r="DP8" i="4"/>
  <c r="DP9" i="4"/>
  <c r="DP23" i="4"/>
  <c r="DP22" i="4"/>
  <c r="DP27" i="4"/>
  <c r="DP25" i="4"/>
  <c r="DP32" i="4"/>
  <c r="DP37" i="4"/>
  <c r="CY5" i="4"/>
  <c r="CY7" i="4"/>
  <c r="CY14" i="4"/>
  <c r="CY12" i="4"/>
  <c r="CY15" i="4"/>
  <c r="CY29" i="4"/>
  <c r="CY20" i="4"/>
  <c r="CY34" i="4"/>
  <c r="CY35" i="4"/>
  <c r="CY40" i="4"/>
  <c r="O20" i="4"/>
  <c r="O13" i="4"/>
  <c r="EE4" i="4"/>
  <c r="CI4" i="3" s="1"/>
  <c r="EE23" i="4"/>
  <c r="EE10" i="4"/>
  <c r="EE12" i="4"/>
  <c r="EE29" i="4"/>
  <c r="EE27" i="4"/>
  <c r="EE25" i="4"/>
  <c r="EE28" i="4"/>
  <c r="EE35" i="4"/>
  <c r="EE40" i="4"/>
  <c r="CI26" i="4"/>
  <c r="DS37" i="4"/>
  <c r="DS29" i="4"/>
  <c r="DS17" i="4"/>
  <c r="CE37" i="4"/>
  <c r="CE26" i="4"/>
  <c r="CE10" i="4"/>
  <c r="BK11" i="4"/>
  <c r="Q38" i="3"/>
  <c r="O32" i="4"/>
  <c r="CE34" i="4"/>
  <c r="CI12" i="4"/>
  <c r="AE43" i="3"/>
  <c r="AI43" i="3" s="1"/>
  <c r="AR7" i="4"/>
  <c r="BF13" i="4"/>
  <c r="BF10" i="4"/>
  <c r="BF17" i="4"/>
  <c r="BF32" i="4"/>
  <c r="BF22" i="4"/>
  <c r="BF21" i="4"/>
  <c r="BF29" i="4"/>
  <c r="BF27" i="4"/>
  <c r="BF38" i="4"/>
  <c r="O39" i="4"/>
  <c r="O25" i="4"/>
  <c r="O7" i="4"/>
  <c r="CI31" i="4"/>
  <c r="DS23" i="4"/>
  <c r="CE35" i="4"/>
  <c r="CE23" i="4"/>
  <c r="CE7" i="4"/>
  <c r="BK27" i="4"/>
  <c r="BK14" i="4"/>
  <c r="Y6" i="4"/>
  <c r="Y8" i="4"/>
  <c r="Y7" i="4"/>
  <c r="Y21" i="4"/>
  <c r="Y18" i="4"/>
  <c r="Y25" i="4"/>
  <c r="Y22" i="4"/>
  <c r="Y29" i="4"/>
  <c r="Y33" i="4"/>
  <c r="Y38" i="4"/>
  <c r="CI10" i="4"/>
  <c r="BB5" i="4"/>
  <c r="BB6" i="4" s="1"/>
  <c r="BB7" i="4" s="1"/>
  <c r="BB8" i="4" s="1"/>
  <c r="BB9" i="4" s="1"/>
  <c r="BB10" i="4" s="1"/>
  <c r="BB11" i="4" s="1"/>
  <c r="BB12" i="4" s="1"/>
  <c r="BB13" i="4" s="1"/>
  <c r="BB14" i="4" s="1"/>
  <c r="BB15" i="4" s="1"/>
  <c r="BB16" i="4" s="1"/>
  <c r="BB17" i="4" s="1"/>
  <c r="BB18" i="4" s="1"/>
  <c r="BB19" i="4" s="1"/>
  <c r="BB20" i="4" s="1"/>
  <c r="BB21" i="4" s="1"/>
  <c r="BB22" i="4" s="1"/>
  <c r="BB23" i="4" s="1"/>
  <c r="BB24" i="4" s="1"/>
  <c r="BB25" i="4" s="1"/>
  <c r="BB26" i="4" s="1"/>
  <c r="BB27" i="4" s="1"/>
  <c r="BB28" i="4" s="1"/>
  <c r="BB29" i="4" s="1"/>
  <c r="BB30" i="4" s="1"/>
  <c r="BB31" i="4" s="1"/>
  <c r="BB32" i="4" s="1"/>
  <c r="BB33" i="4" s="1"/>
  <c r="BB34" i="4" s="1"/>
  <c r="BB35" i="4" s="1"/>
  <c r="BB36" i="4" s="1"/>
  <c r="BB37" i="4" s="1"/>
  <c r="BB38" i="4" s="1"/>
  <c r="BB39" i="4" s="1"/>
  <c r="BB40" i="4" s="1"/>
  <c r="CE9" i="4"/>
  <c r="DB7" i="3"/>
  <c r="DB6" i="3"/>
  <c r="DB11" i="3"/>
  <c r="DB15" i="3"/>
  <c r="DB19" i="3"/>
  <c r="DB23" i="3"/>
  <c r="DB27" i="3"/>
  <c r="DB31" i="3"/>
  <c r="DB35" i="3"/>
  <c r="DB39" i="3"/>
  <c r="CI32" i="4"/>
  <c r="AN5" i="4"/>
  <c r="AN13" i="4"/>
  <c r="AN39" i="4"/>
  <c r="AN12" i="4"/>
  <c r="AN6" i="4"/>
  <c r="AN17" i="4"/>
  <c r="AN36" i="4"/>
  <c r="AN15" i="4"/>
  <c r="AN28" i="4"/>
  <c r="AN38" i="4"/>
  <c r="AX28" i="4"/>
  <c r="AX27" i="4"/>
  <c r="AX5" i="4"/>
  <c r="BA5" i="3" s="1"/>
  <c r="AX26" i="4"/>
  <c r="AX39" i="4"/>
  <c r="AX33" i="4"/>
  <c r="AX31" i="4"/>
  <c r="AX17" i="4"/>
  <c r="AX23" i="4"/>
  <c r="AI9" i="4"/>
  <c r="AI15" i="4"/>
  <c r="AI35" i="4"/>
  <c r="AI19" i="4"/>
  <c r="AI38" i="4"/>
  <c r="AI21" i="4"/>
  <c r="AI28" i="4"/>
  <c r="AI27" i="4"/>
  <c r="AI29" i="4"/>
  <c r="AI40" i="4"/>
  <c r="AD15" i="4"/>
  <c r="AD35" i="4"/>
  <c r="CI11" i="4"/>
  <c r="CJ28" i="4" s="1"/>
  <c r="AD4" i="4"/>
  <c r="AS4" i="3" s="1"/>
  <c r="AD8" i="4"/>
  <c r="AD19" i="4"/>
  <c r="AD26" i="4"/>
  <c r="AD27" i="4"/>
  <c r="AD40" i="4"/>
  <c r="EZ17" i="4"/>
  <c r="AI46" i="3"/>
  <c r="AE46" i="3"/>
  <c r="AE51" i="3" s="1"/>
  <c r="AI51" i="3" s="1"/>
  <c r="CN42" i="3"/>
  <c r="CN40" i="3"/>
  <c r="CN34" i="3"/>
  <c r="CN33" i="3"/>
  <c r="CN32" i="3"/>
  <c r="CN31" i="3"/>
  <c r="CN30" i="3"/>
  <c r="CN29" i="3"/>
  <c r="CN28" i="3"/>
  <c r="CN27" i="3"/>
  <c r="CN26" i="3"/>
  <c r="CN25" i="3"/>
  <c r="CN24" i="3"/>
  <c r="CN23" i="3"/>
  <c r="CN22" i="3"/>
  <c r="CN21" i="3"/>
  <c r="CN20" i="3"/>
  <c r="CN19" i="3"/>
  <c r="CN18" i="3"/>
  <c r="CN17" i="3"/>
  <c r="CN16" i="3"/>
  <c r="CN15" i="3"/>
  <c r="CN14" i="3"/>
  <c r="CN13" i="3"/>
  <c r="CN12" i="3"/>
  <c r="CN11" i="3"/>
  <c r="CN10" i="3"/>
  <c r="CN41" i="3"/>
  <c r="CN38" i="3"/>
  <c r="CN39" i="3"/>
  <c r="CN37" i="3"/>
  <c r="CN36" i="3"/>
  <c r="CN35" i="3"/>
  <c r="CN6" i="3"/>
  <c r="CN5" i="3"/>
  <c r="CN8" i="3"/>
  <c r="CN7" i="3"/>
  <c r="CN9" i="3"/>
  <c r="CN4" i="3"/>
  <c r="DI12" i="4"/>
  <c r="DI13" i="4"/>
  <c r="DW6" i="4"/>
  <c r="DX30" i="4" s="1"/>
  <c r="DW5" i="4"/>
  <c r="DX39" i="4" s="1"/>
  <c r="DX33" i="4"/>
  <c r="DW33" i="4"/>
  <c r="DW34" i="4"/>
  <c r="DW19" i="4"/>
  <c r="DW23" i="4"/>
  <c r="DW15" i="4"/>
  <c r="DW9" i="4"/>
  <c r="DX32" i="4" s="1"/>
  <c r="DW13" i="4"/>
  <c r="DW4" i="4"/>
  <c r="DX36" i="4" s="1"/>
  <c r="DW32" i="4"/>
  <c r="DW21" i="4"/>
  <c r="DW24" i="4"/>
  <c r="DW28" i="4"/>
  <c r="DW22" i="4"/>
  <c r="DW39" i="4"/>
  <c r="DW31" i="4"/>
  <c r="DX21" i="4"/>
  <c r="DW30" i="4"/>
  <c r="DW14" i="4"/>
  <c r="DW8" i="4"/>
  <c r="DW25" i="4"/>
  <c r="DW26" i="4"/>
  <c r="DW37" i="4"/>
  <c r="DW40" i="4"/>
  <c r="DW38" i="4"/>
  <c r="DX23" i="4"/>
  <c r="DW11" i="4"/>
  <c r="DW18" i="4"/>
  <c r="DW10" i="4"/>
  <c r="DX13" i="4" s="1"/>
  <c r="DW12" i="4"/>
  <c r="DW16" i="4"/>
  <c r="DW20" i="4"/>
  <c r="DW35" i="4"/>
  <c r="EO15" i="4"/>
  <c r="EO19" i="4"/>
  <c r="EO17" i="4"/>
  <c r="EO31" i="4"/>
  <c r="EO39" i="4"/>
  <c r="J5" i="4"/>
  <c r="J20" i="4"/>
  <c r="J26" i="4"/>
  <c r="J37" i="4"/>
  <c r="CQ5" i="4"/>
  <c r="BS5" i="3" s="1"/>
  <c r="CQ18" i="4"/>
  <c r="CQ9" i="4"/>
  <c r="CQ25" i="4"/>
  <c r="CQ22" i="4"/>
  <c r="CQ30" i="4"/>
  <c r="CQ20" i="4"/>
  <c r="CQ36" i="4"/>
  <c r="CQ31" i="4"/>
  <c r="CQ39" i="4"/>
  <c r="AD6" i="4"/>
  <c r="AD13" i="4"/>
  <c r="AD10" i="4"/>
  <c r="AD11" i="4"/>
  <c r="AD14" i="4"/>
  <c r="AD25" i="4"/>
  <c r="AD29" i="4"/>
  <c r="AD31" i="4"/>
  <c r="AD34" i="4"/>
  <c r="EO5" i="4"/>
  <c r="CM5" i="3" s="1"/>
  <c r="CM6" i="3" s="1"/>
  <c r="CM7" i="3" s="1"/>
  <c r="CM8" i="3" s="1"/>
  <c r="CM9" i="3" s="1"/>
  <c r="CM10" i="3" s="1"/>
  <c r="CM11" i="3" s="1"/>
  <c r="CM12" i="3" s="1"/>
  <c r="CM13" i="3" s="1"/>
  <c r="CM14" i="3" s="1"/>
  <c r="CM15" i="3" s="1"/>
  <c r="CM16" i="3" s="1"/>
  <c r="CM17" i="3" s="1"/>
  <c r="CM18" i="3" s="1"/>
  <c r="CM19" i="3" s="1"/>
  <c r="CM20" i="3" s="1"/>
  <c r="CM21" i="3" s="1"/>
  <c r="CM22" i="3" s="1"/>
  <c r="CM23" i="3" s="1"/>
  <c r="CM24" i="3" s="1"/>
  <c r="CM25" i="3" s="1"/>
  <c r="CM26" i="3" s="1"/>
  <c r="CM27" i="3" s="1"/>
  <c r="CM28" i="3" s="1"/>
  <c r="CM29" i="3" s="1"/>
  <c r="CM30" i="3" s="1"/>
  <c r="CM31" i="3" s="1"/>
  <c r="CM32" i="3" s="1"/>
  <c r="CM33" i="3" s="1"/>
  <c r="CM34" i="3" s="1"/>
  <c r="CM35" i="3" s="1"/>
  <c r="CM36" i="3" s="1"/>
  <c r="CM37" i="3" s="1"/>
  <c r="CM38" i="3" s="1"/>
  <c r="CM39" i="3" s="1"/>
  <c r="CM40" i="3" s="1"/>
  <c r="CM41" i="3" s="1"/>
  <c r="CM42" i="3" s="1"/>
  <c r="EO16" i="4"/>
  <c r="EO11" i="4"/>
  <c r="EO10" i="4"/>
  <c r="EO20" i="4"/>
  <c r="EO25" i="4"/>
  <c r="EO22" i="4"/>
  <c r="EO32" i="4"/>
  <c r="EO33" i="4"/>
  <c r="EO38" i="4"/>
  <c r="J6" i="4"/>
  <c r="J9" i="4"/>
  <c r="J10" i="4"/>
  <c r="J21" i="4"/>
  <c r="J19" i="4"/>
  <c r="J25" i="4"/>
  <c r="J29" i="4"/>
  <c r="J30" i="4"/>
  <c r="J34" i="4"/>
  <c r="CI33" i="4"/>
  <c r="DS34" i="4"/>
  <c r="DS13" i="4"/>
  <c r="CE28" i="4"/>
  <c r="CE12" i="4"/>
  <c r="BK38" i="4"/>
  <c r="BK15" i="4"/>
  <c r="BK7" i="4"/>
  <c r="DI25" i="4"/>
  <c r="DI24" i="4"/>
  <c r="DI38" i="4"/>
  <c r="DI5" i="4"/>
  <c r="DJ5" i="4" s="1"/>
  <c r="DI32" i="4"/>
  <c r="DI7" i="4"/>
  <c r="DI37" i="4"/>
  <c r="DI23" i="4"/>
  <c r="CI17" i="4"/>
  <c r="Y10" i="3"/>
  <c r="Y56" i="3" s="1"/>
  <c r="EZ22" i="4"/>
  <c r="AI23" i="3"/>
  <c r="AE23" i="3"/>
  <c r="AE30" i="3" s="1"/>
  <c r="AI30" i="3" s="1"/>
  <c r="EV17" i="4"/>
  <c r="FN12" i="4"/>
  <c r="FN13" i="4"/>
  <c r="FN26" i="4"/>
  <c r="FN25" i="4"/>
  <c r="FN32" i="4"/>
  <c r="FN28" i="4"/>
  <c r="FN27" i="4"/>
  <c r="FN30" i="4"/>
  <c r="FN37" i="4"/>
  <c r="DP10" i="4"/>
  <c r="DP4" i="4"/>
  <c r="CC4" i="3" s="1"/>
  <c r="DP15" i="4"/>
  <c r="DP13" i="4"/>
  <c r="DP12" i="4"/>
  <c r="DP24" i="4"/>
  <c r="DP34" i="4"/>
  <c r="DP28" i="4"/>
  <c r="DP36" i="4"/>
  <c r="DP40" i="4"/>
  <c r="CY4" i="4"/>
  <c r="CZ4" i="4" s="1"/>
  <c r="CY18" i="4"/>
  <c r="CY17" i="4"/>
  <c r="CY16" i="4"/>
  <c r="CY21" i="4"/>
  <c r="CY22" i="4"/>
  <c r="CY24" i="4"/>
  <c r="CY32" i="4"/>
  <c r="O40" i="4"/>
  <c r="O29" i="4"/>
  <c r="O21" i="4"/>
  <c r="EE13" i="4"/>
  <c r="EE6" i="4"/>
  <c r="EE17" i="4"/>
  <c r="EE16" i="4"/>
  <c r="EE11" i="4"/>
  <c r="EE30" i="4"/>
  <c r="EE34" i="4"/>
  <c r="EE32" i="4"/>
  <c r="EE38" i="4"/>
  <c r="CJ29" i="4"/>
  <c r="DS26" i="4"/>
  <c r="DS7" i="4"/>
  <c r="DS31" i="4"/>
  <c r="DS20" i="4"/>
  <c r="DS12" i="4"/>
  <c r="DS4" i="4"/>
  <c r="DT4" i="4" s="1"/>
  <c r="DS33" i="4"/>
  <c r="DS22" i="4"/>
  <c r="DS19" i="4"/>
  <c r="CE31" i="4"/>
  <c r="BK18" i="4"/>
  <c r="CI39" i="4"/>
  <c r="CI9" i="4"/>
  <c r="O23" i="4"/>
  <c r="CE16" i="4"/>
  <c r="CV42" i="3"/>
  <c r="CV40" i="3"/>
  <c r="CV34" i="3"/>
  <c r="CV33" i="3"/>
  <c r="CV32" i="3"/>
  <c r="CV31" i="3"/>
  <c r="CV30" i="3"/>
  <c r="CV29" i="3"/>
  <c r="CV28" i="3"/>
  <c r="CV27" i="3"/>
  <c r="CV26" i="3"/>
  <c r="CV25" i="3"/>
  <c r="CV24" i="3"/>
  <c r="CV23" i="3"/>
  <c r="CV22" i="3"/>
  <c r="CV21" i="3"/>
  <c r="CV20" i="3"/>
  <c r="CV19" i="3"/>
  <c r="CV18" i="3"/>
  <c r="CV17" i="3"/>
  <c r="CV16" i="3"/>
  <c r="CV15" i="3"/>
  <c r="CV14" i="3"/>
  <c r="CV13" i="3"/>
  <c r="CV12" i="3"/>
  <c r="CV11" i="3"/>
  <c r="CV10" i="3"/>
  <c r="CV37" i="3"/>
  <c r="CV36" i="3"/>
  <c r="CV35" i="3"/>
  <c r="CU5" i="3"/>
  <c r="CU6" i="3" s="1"/>
  <c r="CU7" i="3" s="1"/>
  <c r="CU8" i="3" s="1"/>
  <c r="CU9" i="3" s="1"/>
  <c r="CU10" i="3" s="1"/>
  <c r="CU11" i="3" s="1"/>
  <c r="CU12" i="3" s="1"/>
  <c r="CU13" i="3" s="1"/>
  <c r="CU14" i="3" s="1"/>
  <c r="CU15" i="3" s="1"/>
  <c r="CU16" i="3" s="1"/>
  <c r="CU17" i="3" s="1"/>
  <c r="CU18" i="3" s="1"/>
  <c r="CU19" i="3" s="1"/>
  <c r="CU20" i="3" s="1"/>
  <c r="CU21" i="3" s="1"/>
  <c r="CU22" i="3" s="1"/>
  <c r="CU23" i="3" s="1"/>
  <c r="CU24" i="3" s="1"/>
  <c r="CU25" i="3" s="1"/>
  <c r="CU26" i="3" s="1"/>
  <c r="CU27" i="3" s="1"/>
  <c r="CU28" i="3" s="1"/>
  <c r="CU29" i="3" s="1"/>
  <c r="CU30" i="3" s="1"/>
  <c r="CU31" i="3" s="1"/>
  <c r="CU32" i="3" s="1"/>
  <c r="CU33" i="3" s="1"/>
  <c r="CU34" i="3" s="1"/>
  <c r="CU35" i="3" s="1"/>
  <c r="CU36" i="3" s="1"/>
  <c r="CU37" i="3" s="1"/>
  <c r="CU38" i="3" s="1"/>
  <c r="CU39" i="3" s="1"/>
  <c r="CU40" i="3" s="1"/>
  <c r="CU41" i="3" s="1"/>
  <c r="CU42" i="3" s="1"/>
  <c r="CV41" i="3"/>
  <c r="CV38" i="3"/>
  <c r="CV39" i="3"/>
  <c r="CV8" i="3"/>
  <c r="CV7" i="3"/>
  <c r="CV4" i="3"/>
  <c r="CV6" i="3"/>
  <c r="CV5" i="3"/>
  <c r="CV9" i="3"/>
  <c r="AP42" i="3"/>
  <c r="AP40" i="3"/>
  <c r="AP37" i="3"/>
  <c r="AP38" i="3"/>
  <c r="AP34" i="3"/>
  <c r="AP32" i="3"/>
  <c r="AP30" i="3"/>
  <c r="AP28" i="3"/>
  <c r="AP26" i="3"/>
  <c r="AP24" i="3"/>
  <c r="AP22" i="3"/>
  <c r="AP20" i="3"/>
  <c r="AP18" i="3"/>
  <c r="AP16" i="3"/>
  <c r="AP14" i="3"/>
  <c r="AP12" i="3"/>
  <c r="AP10" i="3"/>
  <c r="AP4" i="3"/>
  <c r="AP5" i="3"/>
  <c r="AO5" i="3"/>
  <c r="AO6" i="3" s="1"/>
  <c r="AO7" i="3" s="1"/>
  <c r="AO8" i="3" s="1"/>
  <c r="AO9" i="3" s="1"/>
  <c r="AO10" i="3" s="1"/>
  <c r="AO11" i="3" s="1"/>
  <c r="AO12" i="3" s="1"/>
  <c r="AO13" i="3" s="1"/>
  <c r="AO14" i="3" s="1"/>
  <c r="AO15" i="3" s="1"/>
  <c r="AO16" i="3" s="1"/>
  <c r="AO17" i="3" s="1"/>
  <c r="AO18" i="3" s="1"/>
  <c r="AO19" i="3" s="1"/>
  <c r="AO20" i="3" s="1"/>
  <c r="AO21" i="3" s="1"/>
  <c r="AO22" i="3" s="1"/>
  <c r="AO23" i="3" s="1"/>
  <c r="AO24" i="3" s="1"/>
  <c r="AO25" i="3" s="1"/>
  <c r="AO26" i="3" s="1"/>
  <c r="AO27" i="3" s="1"/>
  <c r="AO28" i="3" s="1"/>
  <c r="AO29" i="3" s="1"/>
  <c r="AO30" i="3" s="1"/>
  <c r="AO31" i="3" s="1"/>
  <c r="AO32" i="3" s="1"/>
  <c r="AO33" i="3" s="1"/>
  <c r="AO34" i="3" s="1"/>
  <c r="AO35" i="3" s="1"/>
  <c r="AO36" i="3" s="1"/>
  <c r="AO37" i="3" s="1"/>
  <c r="AO38" i="3" s="1"/>
  <c r="AO39" i="3" s="1"/>
  <c r="AO40" i="3" s="1"/>
  <c r="AO41" i="3" s="1"/>
  <c r="AO42" i="3" s="1"/>
  <c r="AP8" i="3"/>
  <c r="CI30" i="4"/>
  <c r="CI29" i="4"/>
  <c r="BF12" i="4"/>
  <c r="BF11" i="4"/>
  <c r="BF14" i="4"/>
  <c r="BF24" i="4"/>
  <c r="BF35" i="4"/>
  <c r="BF33" i="4"/>
  <c r="BF31" i="4"/>
  <c r="CI18" i="4"/>
  <c r="AE35" i="3"/>
  <c r="AI35" i="3" s="1"/>
  <c r="O36" i="4"/>
  <c r="O26" i="4"/>
  <c r="O5" i="4"/>
  <c r="AM5" i="3" s="1"/>
  <c r="CI38" i="4"/>
  <c r="DS35" i="4"/>
  <c r="DS27" i="4"/>
  <c r="DS9" i="4"/>
  <c r="CE32" i="4"/>
  <c r="BK37" i="4"/>
  <c r="BK21" i="4"/>
  <c r="BK6" i="4"/>
  <c r="CI20" i="4"/>
  <c r="CI21" i="4"/>
  <c r="CJ9" i="4" s="1"/>
  <c r="Y9" i="4"/>
  <c r="Y11" i="4"/>
  <c r="Y12" i="4"/>
  <c r="Y28" i="4"/>
  <c r="Y13" i="4"/>
  <c r="Y31" i="4"/>
  <c r="Y26" i="4"/>
  <c r="Y30" i="4"/>
  <c r="Y37" i="4"/>
  <c r="BW37" i="4"/>
  <c r="BW35" i="4"/>
  <c r="BW31" i="4"/>
  <c r="BW36" i="4"/>
  <c r="BW39" i="4"/>
  <c r="BW28" i="4"/>
  <c r="BW20" i="4"/>
  <c r="BW21" i="4"/>
  <c r="BW22" i="4"/>
  <c r="BW15" i="4"/>
  <c r="BW25" i="4"/>
  <c r="BW12" i="4"/>
  <c r="BW26" i="4"/>
  <c r="BW18" i="4"/>
  <c r="BW9" i="4"/>
  <c r="BW33" i="4"/>
  <c r="BW13" i="4"/>
  <c r="BW6" i="4"/>
  <c r="BV5" i="4"/>
  <c r="BV6" i="4" s="1"/>
  <c r="BV7" i="4" s="1"/>
  <c r="BV8" i="4" s="1"/>
  <c r="BV9" i="4" s="1"/>
  <c r="BV10" i="4" s="1"/>
  <c r="BV11" i="4" s="1"/>
  <c r="BV12" i="4" s="1"/>
  <c r="BV13" i="4" s="1"/>
  <c r="BV14" i="4" s="1"/>
  <c r="BV15" i="4" s="1"/>
  <c r="BV16" i="4" s="1"/>
  <c r="BV17" i="4" s="1"/>
  <c r="BV18" i="4" s="1"/>
  <c r="BV19" i="4" s="1"/>
  <c r="BV20" i="4" s="1"/>
  <c r="BV21" i="4" s="1"/>
  <c r="BV22" i="4" s="1"/>
  <c r="BV23" i="4" s="1"/>
  <c r="BV24" i="4" s="1"/>
  <c r="BV25" i="4" s="1"/>
  <c r="BV26" i="4" s="1"/>
  <c r="BV27" i="4" s="1"/>
  <c r="BV28" i="4" s="1"/>
  <c r="BV29" i="4" s="1"/>
  <c r="BV30" i="4" s="1"/>
  <c r="BV31" i="4" s="1"/>
  <c r="BV32" i="4" s="1"/>
  <c r="BV33" i="4" s="1"/>
  <c r="BV34" i="4" s="1"/>
  <c r="BV35" i="4" s="1"/>
  <c r="BV36" i="4" s="1"/>
  <c r="BV37" i="4" s="1"/>
  <c r="BV38" i="4" s="1"/>
  <c r="BV39" i="4" s="1"/>
  <c r="BV40" i="4" s="1"/>
  <c r="BW4" i="4"/>
  <c r="BK4" i="3" s="1"/>
  <c r="DF34" i="4"/>
  <c r="DF33" i="4"/>
  <c r="DF25" i="4"/>
  <c r="DF29" i="4"/>
  <c r="DF14" i="4"/>
  <c r="DF7" i="4"/>
  <c r="DF16" i="4"/>
  <c r="DF6" i="4"/>
  <c r="DE5" i="4"/>
  <c r="DE6" i="4" s="1"/>
  <c r="DE7" i="4" s="1"/>
  <c r="DE8" i="4" s="1"/>
  <c r="DE9" i="4" s="1"/>
  <c r="DE10" i="4" s="1"/>
  <c r="DE11" i="4" s="1"/>
  <c r="DE12" i="4" s="1"/>
  <c r="DE13" i="4" s="1"/>
  <c r="DE14" i="4" s="1"/>
  <c r="DE15" i="4" s="1"/>
  <c r="DE16" i="4" s="1"/>
  <c r="DE17" i="4" s="1"/>
  <c r="DE18" i="4" s="1"/>
  <c r="DE19" i="4" s="1"/>
  <c r="DE20" i="4" s="1"/>
  <c r="DE21" i="4" s="1"/>
  <c r="DE22" i="4" s="1"/>
  <c r="DE23" i="4" s="1"/>
  <c r="DE24" i="4" s="1"/>
  <c r="DE25" i="4" s="1"/>
  <c r="DE26" i="4" s="1"/>
  <c r="DE27" i="4" s="1"/>
  <c r="DE28" i="4" s="1"/>
  <c r="DE29" i="4" s="1"/>
  <c r="DE30" i="4" s="1"/>
  <c r="DE31" i="4" s="1"/>
  <c r="DE32" i="4" s="1"/>
  <c r="DE33" i="4" s="1"/>
  <c r="DE34" i="4" s="1"/>
  <c r="DE35" i="4" s="1"/>
  <c r="DE36" i="4" s="1"/>
  <c r="DE37" i="4" s="1"/>
  <c r="DE38" i="4" s="1"/>
  <c r="DE39" i="4" s="1"/>
  <c r="DE40" i="4" s="1"/>
  <c r="DF10" i="4"/>
  <c r="EZ14" i="4"/>
  <c r="AI42" i="3"/>
  <c r="AE42" i="3"/>
  <c r="DB8" i="3"/>
  <c r="DB4" i="3"/>
  <c r="DB12" i="3"/>
  <c r="DB16" i="3"/>
  <c r="DB20" i="3"/>
  <c r="DB24" i="3"/>
  <c r="DB28" i="3"/>
  <c r="DB32" i="3"/>
  <c r="DB36" i="3"/>
  <c r="DB40" i="3"/>
  <c r="CI36" i="4"/>
  <c r="O17" i="4"/>
  <c r="AW5" i="3"/>
  <c r="AW6" i="3" s="1"/>
  <c r="AW7" i="3" s="1"/>
  <c r="AW8" i="3" s="1"/>
  <c r="AW9" i="3" s="1"/>
  <c r="AW10" i="3" s="1"/>
  <c r="AW11" i="3" s="1"/>
  <c r="AW12" i="3" s="1"/>
  <c r="AW13" i="3" s="1"/>
  <c r="AW14" i="3" s="1"/>
  <c r="AW15" i="3" s="1"/>
  <c r="AW16" i="3" s="1"/>
  <c r="AW17" i="3" s="1"/>
  <c r="AW18" i="3" s="1"/>
  <c r="AW19" i="3" s="1"/>
  <c r="AW20" i="3" s="1"/>
  <c r="AW21" i="3" s="1"/>
  <c r="AW22" i="3" s="1"/>
  <c r="AW23" i="3" s="1"/>
  <c r="AW24" i="3" s="1"/>
  <c r="AW25" i="3" s="1"/>
  <c r="AW26" i="3" s="1"/>
  <c r="AW27" i="3" s="1"/>
  <c r="AW28" i="3" s="1"/>
  <c r="AW29" i="3" s="1"/>
  <c r="AW30" i="3" s="1"/>
  <c r="AW31" i="3" s="1"/>
  <c r="AW32" i="3" s="1"/>
  <c r="AW33" i="3" s="1"/>
  <c r="AW34" i="3" s="1"/>
  <c r="AW35" i="3" s="1"/>
  <c r="AW36" i="3" s="1"/>
  <c r="AW37" i="3" s="1"/>
  <c r="AW38" i="3" s="1"/>
  <c r="AW39" i="3" s="1"/>
  <c r="AW40" i="3" s="1"/>
  <c r="AW41" i="3" s="1"/>
  <c r="AW42" i="3" s="1"/>
  <c r="AX15" i="4"/>
  <c r="AX36" i="4"/>
  <c r="AX12" i="4"/>
  <c r="AX24" i="4"/>
  <c r="AX6" i="4"/>
  <c r="AX21" i="4"/>
  <c r="AX34" i="4"/>
  <c r="AX11" i="4"/>
  <c r="AX35" i="4"/>
  <c r="EJ4" i="4" l="1"/>
  <c r="CK4" i="3" s="1"/>
  <c r="EJ30" i="4"/>
  <c r="EJ8" i="4"/>
  <c r="EJ34" i="4"/>
  <c r="EJ13" i="4"/>
  <c r="EJ39" i="4"/>
  <c r="EJ12" i="4"/>
  <c r="EJ6" i="4"/>
  <c r="EJ15" i="4"/>
  <c r="EJ19" i="4"/>
  <c r="EJ27" i="4"/>
  <c r="EJ21" i="4"/>
  <c r="EJ33" i="4"/>
  <c r="EJ37" i="4"/>
  <c r="EJ11" i="4"/>
  <c r="EJ14" i="4"/>
  <c r="EJ17" i="4"/>
  <c r="EJ16" i="4"/>
  <c r="EJ35" i="4"/>
  <c r="EJ29" i="4"/>
  <c r="EJ40" i="4"/>
  <c r="EJ5" i="4"/>
  <c r="EJ7" i="4"/>
  <c r="EJ26" i="4"/>
  <c r="EJ23" i="4"/>
  <c r="EJ22" i="4"/>
  <c r="EJ25" i="4"/>
  <c r="EJ36" i="4"/>
  <c r="BA6" i="3"/>
  <c r="BA7" i="3" s="1"/>
  <c r="BA8" i="3" s="1"/>
  <c r="BA9" i="3" s="1"/>
  <c r="BA10" i="3" s="1"/>
  <c r="BA11" i="3" s="1"/>
  <c r="BA12" i="3" s="1"/>
  <c r="BA13" i="3" s="1"/>
  <c r="BA14" i="3" s="1"/>
  <c r="BA15" i="3" s="1"/>
  <c r="BA16" i="3" s="1"/>
  <c r="BA17" i="3" s="1"/>
  <c r="BA18" i="3" s="1"/>
  <c r="BA19" i="3" s="1"/>
  <c r="BA20" i="3" s="1"/>
  <c r="BA21" i="3" s="1"/>
  <c r="BA22" i="3" s="1"/>
  <c r="BA23" i="3" s="1"/>
  <c r="BA24" i="3" s="1"/>
  <c r="BA25" i="3" s="1"/>
  <c r="BA26" i="3" s="1"/>
  <c r="BA27" i="3" s="1"/>
  <c r="BA28" i="3" s="1"/>
  <c r="BA29" i="3" s="1"/>
  <c r="BA30" i="3" s="1"/>
  <c r="BA31" i="3" s="1"/>
  <c r="BA32" i="3" s="1"/>
  <c r="BA33" i="3" s="1"/>
  <c r="BA34" i="3" s="1"/>
  <c r="BA35" i="3" s="1"/>
  <c r="BA36" i="3" s="1"/>
  <c r="BA37" i="3" s="1"/>
  <c r="BA38" i="3" s="1"/>
  <c r="BA39" i="3" s="1"/>
  <c r="BA40" i="3" s="1"/>
  <c r="BA41" i="3" s="1"/>
  <c r="BA42" i="3" s="1"/>
  <c r="BB27" i="3"/>
  <c r="BB11" i="3"/>
  <c r="BB34" i="3"/>
  <c r="BB18" i="3"/>
  <c r="BB7" i="3"/>
  <c r="BB25" i="3"/>
  <c r="BB9" i="3"/>
  <c r="BB38" i="3"/>
  <c r="BB20" i="3"/>
  <c r="AV6" i="2"/>
  <c r="AV9" i="2" s="1"/>
  <c r="AV5" i="2"/>
  <c r="AW4" i="2" s="1"/>
  <c r="AV7" i="2"/>
  <c r="AW8" i="2" s="1"/>
  <c r="DJ6" i="4"/>
  <c r="DJ7" i="4" s="1"/>
  <c r="DJ8" i="4" s="1"/>
  <c r="DJ9" i="4" s="1"/>
  <c r="DJ10" i="4" s="1"/>
  <c r="DJ11" i="4" s="1"/>
  <c r="DJ12" i="4" s="1"/>
  <c r="DJ13" i="4" s="1"/>
  <c r="DJ14" i="4" s="1"/>
  <c r="DJ15" i="4" s="1"/>
  <c r="DJ16" i="4" s="1"/>
  <c r="DJ17" i="4" s="1"/>
  <c r="DJ18" i="4" s="1"/>
  <c r="DJ19" i="4" s="1"/>
  <c r="DJ20" i="4" s="1"/>
  <c r="DJ21" i="4" s="1"/>
  <c r="DJ22" i="4" s="1"/>
  <c r="DJ23" i="4" s="1"/>
  <c r="DJ24" i="4" s="1"/>
  <c r="DJ25" i="4" s="1"/>
  <c r="DJ26" i="4" s="1"/>
  <c r="DJ27" i="4" s="1"/>
  <c r="DJ28" i="4" s="1"/>
  <c r="DJ29" i="4" s="1"/>
  <c r="DJ30" i="4" s="1"/>
  <c r="DJ31" i="4" s="1"/>
  <c r="DJ32" i="4" s="1"/>
  <c r="DJ33" i="4" s="1"/>
  <c r="DJ34" i="4" s="1"/>
  <c r="DJ35" i="4" s="1"/>
  <c r="DJ36" i="4" s="1"/>
  <c r="DJ37" i="4" s="1"/>
  <c r="DJ38" i="4" s="1"/>
  <c r="DJ39" i="4" s="1"/>
  <c r="DJ40" i="4" s="1"/>
  <c r="DK34" i="4"/>
  <c r="DK27" i="4"/>
  <c r="DK17" i="4"/>
  <c r="DK6" i="4"/>
  <c r="DK20" i="4"/>
  <c r="DK11" i="4"/>
  <c r="DK31" i="4"/>
  <c r="DK28" i="4"/>
  <c r="DK16" i="4"/>
  <c r="DK23" i="4"/>
  <c r="DK4" i="4"/>
  <c r="CA4" i="3" s="1"/>
  <c r="DK37" i="4"/>
  <c r="DK25" i="4"/>
  <c r="DK15" i="4"/>
  <c r="DK13" i="4"/>
  <c r="DK7" i="4"/>
  <c r="DK33" i="4"/>
  <c r="DK8" i="4"/>
  <c r="BG6" i="4"/>
  <c r="BG7" i="4" s="1"/>
  <c r="BG8" i="4" s="1"/>
  <c r="BG9" i="4" s="1"/>
  <c r="BG10" i="4" s="1"/>
  <c r="BG11" i="4" s="1"/>
  <c r="BG12" i="4" s="1"/>
  <c r="BG13" i="4" s="1"/>
  <c r="BG14" i="4" s="1"/>
  <c r="BG15" i="4" s="1"/>
  <c r="BG16" i="4" s="1"/>
  <c r="BG17" i="4" s="1"/>
  <c r="BG18" i="4" s="1"/>
  <c r="BG19" i="4" s="1"/>
  <c r="BG20" i="4" s="1"/>
  <c r="BG21" i="4" s="1"/>
  <c r="BG22" i="4" s="1"/>
  <c r="BG23" i="4" s="1"/>
  <c r="BG24" i="4" s="1"/>
  <c r="BG25" i="4" s="1"/>
  <c r="BG26" i="4" s="1"/>
  <c r="BG27" i="4" s="1"/>
  <c r="BG28" i="4" s="1"/>
  <c r="BG29" i="4" s="1"/>
  <c r="BG30" i="4" s="1"/>
  <c r="BG31" i="4" s="1"/>
  <c r="BG32" i="4" s="1"/>
  <c r="BG33" i="4" s="1"/>
  <c r="BG34" i="4" s="1"/>
  <c r="BG35" i="4" s="1"/>
  <c r="BG36" i="4" s="1"/>
  <c r="BG37" i="4" s="1"/>
  <c r="BG38" i="4" s="1"/>
  <c r="BG39" i="4" s="1"/>
  <c r="BG40" i="4" s="1"/>
  <c r="BH36" i="4"/>
  <c r="BH30" i="4"/>
  <c r="BH22" i="4"/>
  <c r="BH16" i="4"/>
  <c r="BH13" i="4"/>
  <c r="BH11" i="4"/>
  <c r="BH6" i="4"/>
  <c r="BH40" i="4"/>
  <c r="BH28" i="4"/>
  <c r="BH21" i="4"/>
  <c r="BH31" i="4"/>
  <c r="BH9" i="4"/>
  <c r="BH19" i="4"/>
  <c r="BH7" i="4"/>
  <c r="BH37" i="4"/>
  <c r="BH39" i="4"/>
  <c r="BH34" i="4"/>
  <c r="BH24" i="4"/>
  <c r="BH27" i="4"/>
  <c r="BH20" i="4"/>
  <c r="BH8" i="4"/>
  <c r="BH38" i="4"/>
  <c r="BH33" i="4"/>
  <c r="BH23" i="4"/>
  <c r="BH26" i="4"/>
  <c r="BH17" i="4"/>
  <c r="BH14" i="4"/>
  <c r="BH5" i="4"/>
  <c r="AM6" i="3"/>
  <c r="AM7" i="3" s="1"/>
  <c r="AM8" i="3" s="1"/>
  <c r="AM9" i="3" s="1"/>
  <c r="AM10" i="3" s="1"/>
  <c r="AM11" i="3" s="1"/>
  <c r="AM12" i="3" s="1"/>
  <c r="AM13" i="3" s="1"/>
  <c r="AM14" i="3" s="1"/>
  <c r="AM15" i="3" s="1"/>
  <c r="AM16" i="3" s="1"/>
  <c r="AM17" i="3" s="1"/>
  <c r="AM18" i="3" s="1"/>
  <c r="AM19" i="3" s="1"/>
  <c r="AM20" i="3" s="1"/>
  <c r="AM21" i="3" s="1"/>
  <c r="AM22" i="3" s="1"/>
  <c r="AM23" i="3" s="1"/>
  <c r="AM24" i="3" s="1"/>
  <c r="AM25" i="3" s="1"/>
  <c r="AM26" i="3" s="1"/>
  <c r="AM27" i="3" s="1"/>
  <c r="AM28" i="3" s="1"/>
  <c r="AM29" i="3" s="1"/>
  <c r="AM30" i="3" s="1"/>
  <c r="AM31" i="3" s="1"/>
  <c r="AM32" i="3" s="1"/>
  <c r="AM33" i="3" s="1"/>
  <c r="AM34" i="3" s="1"/>
  <c r="AM35" i="3" s="1"/>
  <c r="AM36" i="3" s="1"/>
  <c r="AM37" i="3" s="1"/>
  <c r="AM38" i="3" s="1"/>
  <c r="AM39" i="3" s="1"/>
  <c r="AM40" i="3" s="1"/>
  <c r="AM41" i="3" s="1"/>
  <c r="AM42" i="3" s="1"/>
  <c r="AN22" i="3"/>
  <c r="AN37" i="3"/>
  <c r="AN33" i="3"/>
  <c r="AN17" i="3"/>
  <c r="AN38" i="3"/>
  <c r="AN20" i="3"/>
  <c r="AN9" i="3"/>
  <c r="AN27" i="3"/>
  <c r="AN11" i="3"/>
  <c r="BS6" i="3"/>
  <c r="BS7" i="3" s="1"/>
  <c r="BS8" i="3" s="1"/>
  <c r="BS9" i="3" s="1"/>
  <c r="BS10" i="3" s="1"/>
  <c r="BS11" i="3" s="1"/>
  <c r="BS12" i="3" s="1"/>
  <c r="BS13" i="3" s="1"/>
  <c r="BS14" i="3" s="1"/>
  <c r="BS15" i="3" s="1"/>
  <c r="BS16" i="3" s="1"/>
  <c r="BS17" i="3" s="1"/>
  <c r="BS18" i="3" s="1"/>
  <c r="BS19" i="3" s="1"/>
  <c r="BS20" i="3" s="1"/>
  <c r="BS21" i="3" s="1"/>
  <c r="BS22" i="3" s="1"/>
  <c r="BS23" i="3" s="1"/>
  <c r="BS24" i="3" s="1"/>
  <c r="BS25" i="3" s="1"/>
  <c r="BS26" i="3" s="1"/>
  <c r="BS27" i="3" s="1"/>
  <c r="BS28" i="3" s="1"/>
  <c r="BS29" i="3" s="1"/>
  <c r="BS30" i="3" s="1"/>
  <c r="BS31" i="3" s="1"/>
  <c r="BS32" i="3" s="1"/>
  <c r="BS33" i="3" s="1"/>
  <c r="BS34" i="3" s="1"/>
  <c r="BS35" i="3" s="1"/>
  <c r="BS36" i="3" s="1"/>
  <c r="BS37" i="3" s="1"/>
  <c r="BS38" i="3" s="1"/>
  <c r="BS39" i="3" s="1"/>
  <c r="BS40" i="3" s="1"/>
  <c r="BS41" i="3" s="1"/>
  <c r="BS42" i="3" s="1"/>
  <c r="BT23" i="3"/>
  <c r="BT40" i="3"/>
  <c r="BT32" i="3"/>
  <c r="BT16" i="3"/>
  <c r="BT34" i="3"/>
  <c r="BT18" i="3"/>
  <c r="BT7" i="3"/>
  <c r="BT29" i="3"/>
  <c r="BT13" i="3"/>
  <c r="AX6" i="3"/>
  <c r="AX12" i="3"/>
  <c r="AX20" i="3"/>
  <c r="AX28" i="3"/>
  <c r="AX36" i="3"/>
  <c r="DX14" i="4"/>
  <c r="DX16" i="4"/>
  <c r="BC17" i="4"/>
  <c r="BC12" i="4"/>
  <c r="BC22" i="4"/>
  <c r="BC36" i="4"/>
  <c r="BI5" i="3"/>
  <c r="CB6" i="4"/>
  <c r="CB10" i="4"/>
  <c r="CB30" i="4"/>
  <c r="CB17" i="4"/>
  <c r="CB20" i="4"/>
  <c r="CB34" i="4"/>
  <c r="CB28" i="4"/>
  <c r="CB36" i="4"/>
  <c r="CB40" i="4"/>
  <c r="BM39" i="4"/>
  <c r="BM34" i="4"/>
  <c r="BM31" i="4"/>
  <c r="BM23" i="4"/>
  <c r="BM32" i="4"/>
  <c r="BM18" i="4"/>
  <c r="BM19" i="4"/>
  <c r="BM16" i="4"/>
  <c r="BM5" i="4"/>
  <c r="BL5" i="4"/>
  <c r="BL6" i="4" s="1"/>
  <c r="BL7" i="4" s="1"/>
  <c r="BL8" i="4" s="1"/>
  <c r="BL9" i="4" s="1"/>
  <c r="BL10" i="4" s="1"/>
  <c r="BL11" i="4" s="1"/>
  <c r="BL12" i="4" s="1"/>
  <c r="BL13" i="4" s="1"/>
  <c r="BL14" i="4" s="1"/>
  <c r="BL15" i="4" s="1"/>
  <c r="BL16" i="4" s="1"/>
  <c r="BL17" i="4" s="1"/>
  <c r="BL18" i="4" s="1"/>
  <c r="BL19" i="4" s="1"/>
  <c r="BL20" i="4" s="1"/>
  <c r="BL21" i="4" s="1"/>
  <c r="BL22" i="4" s="1"/>
  <c r="BL23" i="4" s="1"/>
  <c r="BL24" i="4" s="1"/>
  <c r="BL25" i="4" s="1"/>
  <c r="BL26" i="4" s="1"/>
  <c r="BL27" i="4" s="1"/>
  <c r="BL28" i="4" s="1"/>
  <c r="BL29" i="4" s="1"/>
  <c r="BL30" i="4" s="1"/>
  <c r="BL31" i="4" s="1"/>
  <c r="BL32" i="4" s="1"/>
  <c r="BL33" i="4" s="1"/>
  <c r="BL34" i="4" s="1"/>
  <c r="BL35" i="4" s="1"/>
  <c r="BL36" i="4" s="1"/>
  <c r="BL37" i="4" s="1"/>
  <c r="BL38" i="4" s="1"/>
  <c r="BL39" i="4" s="1"/>
  <c r="BL40" i="4" s="1"/>
  <c r="BM6" i="4"/>
  <c r="CJ27" i="4"/>
  <c r="CJ14" i="4"/>
  <c r="CJ38" i="4"/>
  <c r="AX4" i="3"/>
  <c r="AX9" i="3"/>
  <c r="AX13" i="3"/>
  <c r="AX17" i="3"/>
  <c r="AX21" i="3"/>
  <c r="AX25" i="3"/>
  <c r="AX29" i="3"/>
  <c r="AX33" i="3"/>
  <c r="AX37" i="3"/>
  <c r="AX41" i="3"/>
  <c r="DF12" i="4"/>
  <c r="DF17" i="4"/>
  <c r="DF35" i="4"/>
  <c r="DF11" i="4"/>
  <c r="DF18" i="4"/>
  <c r="DF26" i="4"/>
  <c r="DF19" i="4"/>
  <c r="DF37" i="4"/>
  <c r="DF36" i="4"/>
  <c r="BW5" i="4"/>
  <c r="BK5" i="3" s="1"/>
  <c r="BW7" i="4"/>
  <c r="BW10" i="4"/>
  <c r="BW19" i="4"/>
  <c r="BW16" i="4"/>
  <c r="BW27" i="4"/>
  <c r="BW34" i="4"/>
  <c r="BW30" i="4"/>
  <c r="BW32" i="4"/>
  <c r="BW40" i="4"/>
  <c r="AP7" i="3"/>
  <c r="AP6" i="3"/>
  <c r="AP11" i="3"/>
  <c r="AP15" i="3"/>
  <c r="AP19" i="3"/>
  <c r="AP23" i="3"/>
  <c r="AP27" i="3"/>
  <c r="AP31" i="3"/>
  <c r="AP35" i="3"/>
  <c r="AP39" i="3"/>
  <c r="CJ21" i="4"/>
  <c r="CJ15" i="4"/>
  <c r="DX4" i="4"/>
  <c r="DY4" i="4" s="1"/>
  <c r="DX9" i="4"/>
  <c r="DX34" i="4"/>
  <c r="DX40" i="4"/>
  <c r="DX7" i="4"/>
  <c r="DX12" i="4"/>
  <c r="DX18" i="4"/>
  <c r="DX31" i="4"/>
  <c r="DX38" i="4"/>
  <c r="DX24" i="4"/>
  <c r="BC5" i="4"/>
  <c r="BC7" i="4"/>
  <c r="BC10" i="4"/>
  <c r="BC27" i="4"/>
  <c r="BC16" i="4"/>
  <c r="BC25" i="4"/>
  <c r="BC23" i="4"/>
  <c r="BC33" i="4"/>
  <c r="BC31" i="4"/>
  <c r="BC37" i="4"/>
  <c r="CJ30" i="4"/>
  <c r="CJ8" i="4"/>
  <c r="CJ41" i="3"/>
  <c r="CJ38" i="3"/>
  <c r="CJ34" i="3"/>
  <c r="CJ33" i="3"/>
  <c r="CJ32" i="3"/>
  <c r="CJ31" i="3"/>
  <c r="CJ30" i="3"/>
  <c r="CJ29" i="3"/>
  <c r="CJ28" i="3"/>
  <c r="CJ27" i="3"/>
  <c r="CJ26" i="3"/>
  <c r="CJ25" i="3"/>
  <c r="CJ24" i="3"/>
  <c r="CJ23" i="3"/>
  <c r="CJ22" i="3"/>
  <c r="CJ21" i="3"/>
  <c r="CJ20" i="3"/>
  <c r="CJ19" i="3"/>
  <c r="CJ18" i="3"/>
  <c r="CJ17" i="3"/>
  <c r="CJ16" i="3"/>
  <c r="CJ15" i="3"/>
  <c r="CJ14" i="3"/>
  <c r="CJ13" i="3"/>
  <c r="CJ12" i="3"/>
  <c r="CJ11" i="3"/>
  <c r="CJ10" i="3"/>
  <c r="CJ39" i="3"/>
  <c r="CI5" i="3"/>
  <c r="CI6" i="3" s="1"/>
  <c r="CI7" i="3" s="1"/>
  <c r="CI8" i="3" s="1"/>
  <c r="CI9" i="3" s="1"/>
  <c r="CI10" i="3" s="1"/>
  <c r="CI11" i="3" s="1"/>
  <c r="CI12" i="3" s="1"/>
  <c r="CI13" i="3" s="1"/>
  <c r="CI14" i="3" s="1"/>
  <c r="CI15" i="3" s="1"/>
  <c r="CI16" i="3" s="1"/>
  <c r="CI17" i="3" s="1"/>
  <c r="CI18" i="3" s="1"/>
  <c r="CI19" i="3" s="1"/>
  <c r="CI20" i="3" s="1"/>
  <c r="CI21" i="3" s="1"/>
  <c r="CI22" i="3" s="1"/>
  <c r="CI23" i="3" s="1"/>
  <c r="CI24" i="3" s="1"/>
  <c r="CI25" i="3" s="1"/>
  <c r="CI26" i="3" s="1"/>
  <c r="CI27" i="3" s="1"/>
  <c r="CI28" i="3" s="1"/>
  <c r="CI29" i="3" s="1"/>
  <c r="CI30" i="3" s="1"/>
  <c r="CI31" i="3" s="1"/>
  <c r="CI32" i="3" s="1"/>
  <c r="CI33" i="3" s="1"/>
  <c r="CI34" i="3" s="1"/>
  <c r="CI35" i="3" s="1"/>
  <c r="CI36" i="3" s="1"/>
  <c r="CI37" i="3" s="1"/>
  <c r="CI38" i="3" s="1"/>
  <c r="CI39" i="3" s="1"/>
  <c r="CI40" i="3" s="1"/>
  <c r="CI41" i="3" s="1"/>
  <c r="CI42" i="3" s="1"/>
  <c r="CJ42" i="3"/>
  <c r="CJ40" i="3"/>
  <c r="CJ37" i="3"/>
  <c r="CJ36" i="3"/>
  <c r="CJ35" i="3"/>
  <c r="CJ9" i="3"/>
  <c r="CJ8" i="3"/>
  <c r="CJ7" i="3"/>
  <c r="CJ4" i="3"/>
  <c r="CJ6" i="3"/>
  <c r="CJ5" i="3"/>
  <c r="EZ6" i="4"/>
  <c r="FA17" i="4" s="1"/>
  <c r="AI8" i="3"/>
  <c r="AE8" i="3"/>
  <c r="AD41" i="1"/>
  <c r="AE57" i="3"/>
  <c r="AI57" i="3" s="1"/>
  <c r="EV6" i="4"/>
  <c r="EV34" i="4"/>
  <c r="EW36" i="4"/>
  <c r="EV4" i="4"/>
  <c r="EW35" i="4" s="1"/>
  <c r="EV36" i="4"/>
  <c r="EV31" i="4"/>
  <c r="EV20" i="4"/>
  <c r="EV32" i="4"/>
  <c r="EV33" i="4"/>
  <c r="EV11" i="4"/>
  <c r="EV35" i="4"/>
  <c r="EV8" i="4"/>
  <c r="EV28" i="4"/>
  <c r="EV40" i="4"/>
  <c r="EV13" i="4"/>
  <c r="EV12" i="4"/>
  <c r="EV23" i="4"/>
  <c r="EV38" i="4"/>
  <c r="EV29" i="4"/>
  <c r="EV25" i="4"/>
  <c r="EV10" i="4"/>
  <c r="EV39" i="4"/>
  <c r="EV26" i="4"/>
  <c r="EV21" i="4"/>
  <c r="EV27" i="4"/>
  <c r="EV9" i="4"/>
  <c r="EV16" i="4"/>
  <c r="EV15" i="4"/>
  <c r="EV5" i="4"/>
  <c r="EW21" i="4" s="1"/>
  <c r="EV30" i="4"/>
  <c r="EV18" i="4"/>
  <c r="EV24" i="4"/>
  <c r="EV37" i="4"/>
  <c r="EV19" i="4"/>
  <c r="EJ18" i="4"/>
  <c r="EJ10" i="4"/>
  <c r="EJ9" i="4"/>
  <c r="EJ20" i="4"/>
  <c r="EJ24" i="4"/>
  <c r="EJ31" i="4"/>
  <c r="EJ28" i="4"/>
  <c r="EJ32" i="4"/>
  <c r="EJ38" i="4"/>
  <c r="EV7" i="4"/>
  <c r="AR35" i="3"/>
  <c r="AR31" i="3"/>
  <c r="AR27" i="3"/>
  <c r="AR23" i="3"/>
  <c r="AR19" i="3"/>
  <c r="AR15" i="3"/>
  <c r="AR11" i="3"/>
  <c r="AQ5" i="3"/>
  <c r="AQ6" i="3" s="1"/>
  <c r="AQ7" i="3" s="1"/>
  <c r="AQ8" i="3" s="1"/>
  <c r="AQ9" i="3" s="1"/>
  <c r="AQ10" i="3" s="1"/>
  <c r="AQ11" i="3" s="1"/>
  <c r="AQ12" i="3" s="1"/>
  <c r="AQ13" i="3" s="1"/>
  <c r="AQ14" i="3" s="1"/>
  <c r="AQ15" i="3" s="1"/>
  <c r="AQ16" i="3" s="1"/>
  <c r="AQ17" i="3" s="1"/>
  <c r="AQ18" i="3" s="1"/>
  <c r="AQ19" i="3" s="1"/>
  <c r="AQ20" i="3" s="1"/>
  <c r="AQ21" i="3" s="1"/>
  <c r="AQ22" i="3" s="1"/>
  <c r="AQ23" i="3" s="1"/>
  <c r="AQ24" i="3" s="1"/>
  <c r="AQ25" i="3" s="1"/>
  <c r="AQ26" i="3" s="1"/>
  <c r="AQ27" i="3" s="1"/>
  <c r="AQ28" i="3" s="1"/>
  <c r="AQ29" i="3" s="1"/>
  <c r="AQ30" i="3" s="1"/>
  <c r="AQ31" i="3" s="1"/>
  <c r="AQ32" i="3" s="1"/>
  <c r="AQ33" i="3" s="1"/>
  <c r="AQ34" i="3" s="1"/>
  <c r="AQ35" i="3" s="1"/>
  <c r="AQ36" i="3" s="1"/>
  <c r="AQ37" i="3" s="1"/>
  <c r="AQ38" i="3" s="1"/>
  <c r="AQ39" i="3" s="1"/>
  <c r="AQ40" i="3" s="1"/>
  <c r="AQ41" i="3" s="1"/>
  <c r="AQ42" i="3" s="1"/>
  <c r="AR39" i="3"/>
  <c r="AR36" i="3"/>
  <c r="AR6" i="3"/>
  <c r="AR8" i="3"/>
  <c r="AR9" i="3"/>
  <c r="BR6" i="4"/>
  <c r="BR17" i="4"/>
  <c r="BR9" i="4"/>
  <c r="BR7" i="4"/>
  <c r="BR28" i="4"/>
  <c r="BR24" i="4"/>
  <c r="BR19" i="4"/>
  <c r="BR29" i="4"/>
  <c r="BR40" i="4"/>
  <c r="BR39" i="4"/>
  <c r="CJ35" i="4"/>
  <c r="CJ17" i="4"/>
  <c r="DB41" i="3"/>
  <c r="DB25" i="3"/>
  <c r="DB9" i="3"/>
  <c r="CB5" i="4"/>
  <c r="CB19" i="4"/>
  <c r="CB11" i="4"/>
  <c r="CB35" i="4"/>
  <c r="CB26" i="4"/>
  <c r="CB24" i="4"/>
  <c r="CB21" i="4"/>
  <c r="CB29" i="4"/>
  <c r="CB39" i="4"/>
  <c r="CJ39" i="4"/>
  <c r="CJ12" i="4"/>
  <c r="CJ10" i="4"/>
  <c r="CW9" i="3"/>
  <c r="CW10" i="3" s="1"/>
  <c r="CW11" i="3" s="1"/>
  <c r="CW12" i="3" s="1"/>
  <c r="CW13" i="3" s="1"/>
  <c r="CW14" i="3" s="1"/>
  <c r="CW15" i="3" s="1"/>
  <c r="CW16" i="3" s="1"/>
  <c r="CW17" i="3" s="1"/>
  <c r="CW18" i="3" s="1"/>
  <c r="CW19" i="3" s="1"/>
  <c r="CW20" i="3" s="1"/>
  <c r="CW21" i="3" s="1"/>
  <c r="CW22" i="3" s="1"/>
  <c r="CW23" i="3" s="1"/>
  <c r="CW24" i="3" s="1"/>
  <c r="CW25" i="3" s="1"/>
  <c r="CW26" i="3" s="1"/>
  <c r="CW27" i="3" s="1"/>
  <c r="CW28" i="3" s="1"/>
  <c r="CW29" i="3" s="1"/>
  <c r="CW30" i="3" s="1"/>
  <c r="CW31" i="3" s="1"/>
  <c r="CW32" i="3" s="1"/>
  <c r="CW33" i="3" s="1"/>
  <c r="CW34" i="3" s="1"/>
  <c r="CW35" i="3" s="1"/>
  <c r="CW36" i="3" s="1"/>
  <c r="CW37" i="3" s="1"/>
  <c r="CW38" i="3" s="1"/>
  <c r="CW39" i="3" s="1"/>
  <c r="CW40" i="3" s="1"/>
  <c r="CW41" i="3" s="1"/>
  <c r="CW42" i="3" s="1"/>
  <c r="CV17" i="4"/>
  <c r="CV29" i="4"/>
  <c r="CV18" i="4"/>
  <c r="CV35" i="4"/>
  <c r="CV6" i="4"/>
  <c r="CV31" i="4"/>
  <c r="CV40" i="4"/>
  <c r="CV13" i="4"/>
  <c r="CV30" i="4"/>
  <c r="DU15" i="4"/>
  <c r="DU4" i="4"/>
  <c r="CE4" i="3" s="1"/>
  <c r="DT5" i="4"/>
  <c r="DT6" i="4" s="1"/>
  <c r="DT7" i="4" s="1"/>
  <c r="DT8" i="4" s="1"/>
  <c r="DT9" i="4" s="1"/>
  <c r="DT10" i="4" s="1"/>
  <c r="DT11" i="4" s="1"/>
  <c r="DT12" i="4" s="1"/>
  <c r="DT13" i="4" s="1"/>
  <c r="DT14" i="4" s="1"/>
  <c r="DT15" i="4" s="1"/>
  <c r="DT16" i="4" s="1"/>
  <c r="DT17" i="4" s="1"/>
  <c r="DT18" i="4" s="1"/>
  <c r="DT19" i="4" s="1"/>
  <c r="DT20" i="4" s="1"/>
  <c r="DT21" i="4" s="1"/>
  <c r="DT22" i="4" s="1"/>
  <c r="DT23" i="4" s="1"/>
  <c r="DT24" i="4" s="1"/>
  <c r="DT25" i="4" s="1"/>
  <c r="DT26" i="4" s="1"/>
  <c r="DT27" i="4" s="1"/>
  <c r="DT28" i="4" s="1"/>
  <c r="DT29" i="4" s="1"/>
  <c r="DT30" i="4" s="1"/>
  <c r="DT31" i="4" s="1"/>
  <c r="DT32" i="4" s="1"/>
  <c r="DT33" i="4" s="1"/>
  <c r="DT34" i="4" s="1"/>
  <c r="DT35" i="4" s="1"/>
  <c r="DT36" i="4" s="1"/>
  <c r="DT37" i="4" s="1"/>
  <c r="DT38" i="4" s="1"/>
  <c r="DT39" i="4" s="1"/>
  <c r="DT40" i="4" s="1"/>
  <c r="DU14" i="4" s="1"/>
  <c r="DU6" i="4"/>
  <c r="BC26" i="4"/>
  <c r="BC19" i="4"/>
  <c r="BC28" i="4"/>
  <c r="BC39" i="4"/>
  <c r="CJ18" i="4"/>
  <c r="AU15" i="3"/>
  <c r="AU16" i="3" s="1"/>
  <c r="AU17" i="3" s="1"/>
  <c r="AU18" i="3" s="1"/>
  <c r="AU19" i="3" s="1"/>
  <c r="AU20" i="3" s="1"/>
  <c r="AU21" i="3" s="1"/>
  <c r="AU22" i="3" s="1"/>
  <c r="AU23" i="3" s="1"/>
  <c r="AU24" i="3" s="1"/>
  <c r="AU25" i="3" s="1"/>
  <c r="AU26" i="3" s="1"/>
  <c r="AU27" i="3" s="1"/>
  <c r="AU28" i="3" s="1"/>
  <c r="AU29" i="3" s="1"/>
  <c r="AU30" i="3" s="1"/>
  <c r="AU31" i="3" s="1"/>
  <c r="AU32" i="3" s="1"/>
  <c r="AU33" i="3" s="1"/>
  <c r="AU34" i="3" s="1"/>
  <c r="AU35" i="3" s="1"/>
  <c r="AU36" i="3" s="1"/>
  <c r="AU37" i="3" s="1"/>
  <c r="AU38" i="3" s="1"/>
  <c r="AU39" i="3" s="1"/>
  <c r="AU40" i="3" s="1"/>
  <c r="AU41" i="3" s="1"/>
  <c r="AU42" i="3" s="1"/>
  <c r="AV21" i="3"/>
  <c r="AV29" i="3"/>
  <c r="AX7" i="3"/>
  <c r="AX10" i="3"/>
  <c r="AX14" i="3"/>
  <c r="AX18" i="3"/>
  <c r="AX22" i="3"/>
  <c r="AX26" i="3"/>
  <c r="AX30" i="3"/>
  <c r="AX34" i="3"/>
  <c r="AX38" i="3"/>
  <c r="AX42" i="3"/>
  <c r="DF4" i="4"/>
  <c r="BY4" i="3" s="1"/>
  <c r="CJ40" i="4"/>
  <c r="CJ26" i="4"/>
  <c r="CJ6" i="4"/>
  <c r="CZ5" i="4"/>
  <c r="CZ6" i="4" s="1"/>
  <c r="CZ7" i="4" s="1"/>
  <c r="CZ8" i="4" s="1"/>
  <c r="CZ9" i="4" s="1"/>
  <c r="CZ10" i="4" s="1"/>
  <c r="CZ11" i="4" s="1"/>
  <c r="CZ12" i="4" s="1"/>
  <c r="CZ13" i="4" s="1"/>
  <c r="CZ14" i="4" s="1"/>
  <c r="CZ15" i="4" s="1"/>
  <c r="CZ16" i="4" s="1"/>
  <c r="CZ17" i="4" s="1"/>
  <c r="CZ18" i="4" s="1"/>
  <c r="CZ19" i="4" s="1"/>
  <c r="CZ20" i="4" s="1"/>
  <c r="CZ21" i="4" s="1"/>
  <c r="CZ22" i="4" s="1"/>
  <c r="CZ23" i="4" s="1"/>
  <c r="CZ24" i="4" s="1"/>
  <c r="CZ25" i="4" s="1"/>
  <c r="CZ26" i="4" s="1"/>
  <c r="CZ27" i="4" s="1"/>
  <c r="CZ28" i="4" s="1"/>
  <c r="CZ29" i="4" s="1"/>
  <c r="CZ30" i="4" s="1"/>
  <c r="CZ31" i="4" s="1"/>
  <c r="CZ32" i="4" s="1"/>
  <c r="CZ33" i="4" s="1"/>
  <c r="CZ34" i="4" s="1"/>
  <c r="CZ35" i="4" s="1"/>
  <c r="CZ36" i="4" s="1"/>
  <c r="CZ37" i="4" s="1"/>
  <c r="CZ38" i="4" s="1"/>
  <c r="CZ39" i="4" s="1"/>
  <c r="CZ40" i="4" s="1"/>
  <c r="DX20" i="4"/>
  <c r="DX28" i="4"/>
  <c r="DX10" i="4"/>
  <c r="DX22" i="4"/>
  <c r="DX17" i="4"/>
  <c r="DX25" i="4"/>
  <c r="DX5" i="4"/>
  <c r="DX37" i="4"/>
  <c r="BC9" i="4"/>
  <c r="BC6" i="4"/>
  <c r="BC13" i="4"/>
  <c r="BC21" i="4"/>
  <c r="BC11" i="4"/>
  <c r="BC29" i="4"/>
  <c r="BC20" i="4"/>
  <c r="BC34" i="4"/>
  <c r="BC35" i="4"/>
  <c r="BC40" i="4"/>
  <c r="CJ37" i="4"/>
  <c r="CJ34" i="4"/>
  <c r="CJ5" i="4"/>
  <c r="AV6" i="3"/>
  <c r="AV11" i="3"/>
  <c r="AV19" i="3"/>
  <c r="AV27" i="3"/>
  <c r="AV35" i="3"/>
  <c r="BI41" i="2"/>
  <c r="BJ41" i="2" s="1"/>
  <c r="BI38" i="2"/>
  <c r="BJ38" i="2" s="1"/>
  <c r="BI34" i="2"/>
  <c r="BJ34" i="2" s="1"/>
  <c r="BI30" i="2"/>
  <c r="BJ30" i="2" s="1"/>
  <c r="BI26" i="2"/>
  <c r="BJ26" i="2" s="1"/>
  <c r="BI53" i="2"/>
  <c r="BJ53" i="2" s="1"/>
  <c r="BI51" i="2"/>
  <c r="BJ51" i="2" s="1"/>
  <c r="BI49" i="2"/>
  <c r="BJ49" i="2" s="1"/>
  <c r="BI47" i="2"/>
  <c r="BJ47" i="2" s="1"/>
  <c r="BI45" i="2"/>
  <c r="BJ45" i="2" s="1"/>
  <c r="BI43" i="2"/>
  <c r="BJ43" i="2" s="1"/>
  <c r="BI37" i="2"/>
  <c r="BJ37" i="2" s="1"/>
  <c r="BI33" i="2"/>
  <c r="BJ33" i="2" s="1"/>
  <c r="BI29" i="2"/>
  <c r="BJ29" i="2" s="1"/>
  <c r="BI25" i="2"/>
  <c r="BJ25" i="2" s="1"/>
  <c r="BI21" i="2"/>
  <c r="BJ21" i="2" s="1"/>
  <c r="BI17" i="2"/>
  <c r="BJ17" i="2" s="1"/>
  <c r="BI13" i="2"/>
  <c r="BJ13" i="2" s="1"/>
  <c r="BI12" i="2"/>
  <c r="BJ12" i="2" s="1"/>
  <c r="BI8" i="2"/>
  <c r="BJ8" i="2" s="1"/>
  <c r="BI7" i="2"/>
  <c r="BJ7" i="2" s="1"/>
  <c r="BI39" i="2"/>
  <c r="BJ39" i="2" s="1"/>
  <c r="BI36" i="2"/>
  <c r="BJ36" i="2" s="1"/>
  <c r="BI32" i="2"/>
  <c r="BJ32" i="2" s="1"/>
  <c r="BI28" i="2"/>
  <c r="BJ28" i="2" s="1"/>
  <c r="BI24" i="2"/>
  <c r="BJ24" i="2" s="1"/>
  <c r="BI20" i="2"/>
  <c r="BJ20" i="2" s="1"/>
  <c r="BI16" i="2"/>
  <c r="BJ16" i="2" s="1"/>
  <c r="BI11" i="2"/>
  <c r="BJ11" i="2" s="1"/>
  <c r="BI6" i="2"/>
  <c r="BJ6" i="2" s="1"/>
  <c r="BI52" i="2"/>
  <c r="BJ52" i="2" s="1"/>
  <c r="BI50" i="2"/>
  <c r="BJ50" i="2" s="1"/>
  <c r="BI48" i="2"/>
  <c r="BJ48" i="2" s="1"/>
  <c r="BI46" i="2"/>
  <c r="BJ46" i="2" s="1"/>
  <c r="BI44" i="2"/>
  <c r="BJ44" i="2" s="1"/>
  <c r="BI42" i="2"/>
  <c r="BJ42" i="2" s="1"/>
  <c r="BI40" i="2"/>
  <c r="BJ40" i="2" s="1"/>
  <c r="BI35" i="2"/>
  <c r="BJ35" i="2" s="1"/>
  <c r="BI31" i="2"/>
  <c r="BJ31" i="2" s="1"/>
  <c r="BI27" i="2"/>
  <c r="BJ27" i="2" s="1"/>
  <c r="BI23" i="2"/>
  <c r="BJ23" i="2" s="1"/>
  <c r="BI19" i="2"/>
  <c r="BJ19" i="2" s="1"/>
  <c r="BI15" i="2"/>
  <c r="BJ15" i="2" s="1"/>
  <c r="BI10" i="2"/>
  <c r="BJ10" i="2" s="1"/>
  <c r="BI5" i="2"/>
  <c r="BJ5" i="2" s="1"/>
  <c r="BI22" i="2"/>
  <c r="BJ22" i="2" s="1"/>
  <c r="BI18" i="2"/>
  <c r="BJ18" i="2" s="1"/>
  <c r="BI14" i="2"/>
  <c r="BJ14" i="2" s="1"/>
  <c r="BI9" i="2"/>
  <c r="BJ9" i="2" s="1"/>
  <c r="BR10" i="4"/>
  <c r="BR12" i="4"/>
  <c r="BR11" i="4"/>
  <c r="BR14" i="4"/>
  <c r="BR21" i="4"/>
  <c r="BR23" i="4"/>
  <c r="BR32" i="4"/>
  <c r="BR30" i="4"/>
  <c r="CJ31" i="4"/>
  <c r="CJ11" i="4"/>
  <c r="CB8" i="4"/>
  <c r="CB7" i="4"/>
  <c r="CB18" i="4"/>
  <c r="CB9" i="4"/>
  <c r="CB12" i="4"/>
  <c r="CB22" i="4"/>
  <c r="CB25" i="4"/>
  <c r="CB33" i="4"/>
  <c r="CB38" i="4"/>
  <c r="CF5" i="4"/>
  <c r="CF6" i="4" s="1"/>
  <c r="CF7" i="4" s="1"/>
  <c r="CF8" i="4" s="1"/>
  <c r="CF9" i="4" s="1"/>
  <c r="CF10" i="4" s="1"/>
  <c r="CF11" i="4" s="1"/>
  <c r="CF12" i="4" s="1"/>
  <c r="CF13" i="4" s="1"/>
  <c r="CF14" i="4" s="1"/>
  <c r="CF15" i="4" s="1"/>
  <c r="CF16" i="4" s="1"/>
  <c r="CF17" i="4" s="1"/>
  <c r="CF18" i="4" s="1"/>
  <c r="CF19" i="4" s="1"/>
  <c r="CF20" i="4" s="1"/>
  <c r="CF21" i="4" s="1"/>
  <c r="CF22" i="4" s="1"/>
  <c r="CF23" i="4" s="1"/>
  <c r="CF24" i="4" s="1"/>
  <c r="CF25" i="4" s="1"/>
  <c r="CF26" i="4" s="1"/>
  <c r="CF27" i="4" s="1"/>
  <c r="CF28" i="4" s="1"/>
  <c r="CF29" i="4" s="1"/>
  <c r="CF30" i="4" s="1"/>
  <c r="CF31" i="4" s="1"/>
  <c r="CF32" i="4" s="1"/>
  <c r="CF33" i="4" s="1"/>
  <c r="CF34" i="4" s="1"/>
  <c r="CF35" i="4" s="1"/>
  <c r="CF36" i="4" s="1"/>
  <c r="CF37" i="4" s="1"/>
  <c r="CF38" i="4" s="1"/>
  <c r="CF39" i="4" s="1"/>
  <c r="CF40" i="4" s="1"/>
  <c r="CJ33" i="4"/>
  <c r="CJ13" i="4"/>
  <c r="CV8" i="4"/>
  <c r="CV20" i="4"/>
  <c r="CV38" i="4"/>
  <c r="CV22" i="4"/>
  <c r="CV34" i="4"/>
  <c r="CV24" i="4"/>
  <c r="CV39" i="4"/>
  <c r="CV5" i="4"/>
  <c r="BU5" i="3" s="1"/>
  <c r="CV19" i="4"/>
  <c r="CV36" i="4"/>
  <c r="AX16" i="3"/>
  <c r="AX24" i="3"/>
  <c r="AX32" i="3"/>
  <c r="AX40" i="3"/>
  <c r="DF9" i="4"/>
  <c r="DF24" i="4"/>
  <c r="DF15" i="4"/>
  <c r="DF20" i="4"/>
  <c r="DF28" i="4"/>
  <c r="DF23" i="4"/>
  <c r="DF31" i="4"/>
  <c r="DF39" i="4"/>
  <c r="AX5" i="3"/>
  <c r="AX8" i="3"/>
  <c r="AX11" i="3"/>
  <c r="AX15" i="3"/>
  <c r="AX19" i="3"/>
  <c r="AX23" i="3"/>
  <c r="AX27" i="3"/>
  <c r="AX31" i="3"/>
  <c r="AX35" i="3"/>
  <c r="AX39" i="3"/>
  <c r="DF8" i="4"/>
  <c r="DF5" i="4"/>
  <c r="DF13" i="4"/>
  <c r="DF38" i="4"/>
  <c r="DF21" i="4"/>
  <c r="DF22" i="4"/>
  <c r="DF32" i="4"/>
  <c r="DF27" i="4"/>
  <c r="DF30" i="4"/>
  <c r="DF40" i="4"/>
  <c r="BW14" i="4"/>
  <c r="BW17" i="4"/>
  <c r="BW8" i="4"/>
  <c r="BW11" i="4"/>
  <c r="BW23" i="4"/>
  <c r="BW24" i="4"/>
  <c r="BW29" i="4"/>
  <c r="BW38" i="4"/>
  <c r="AP9" i="3"/>
  <c r="AP13" i="3"/>
  <c r="AP17" i="3"/>
  <c r="AP21" i="3"/>
  <c r="AP25" i="3"/>
  <c r="AP29" i="3"/>
  <c r="AP33" i="3"/>
  <c r="AP36" i="3"/>
  <c r="AP41" i="3"/>
  <c r="CJ36" i="4"/>
  <c r="CJ22" i="4"/>
  <c r="CJ7" i="4"/>
  <c r="CC5" i="3"/>
  <c r="CC6" i="3" s="1"/>
  <c r="CC7" i="3" s="1"/>
  <c r="CC8" i="3" s="1"/>
  <c r="CC9" i="3" s="1"/>
  <c r="CC10" i="3" s="1"/>
  <c r="CC11" i="3" s="1"/>
  <c r="CC12" i="3" s="1"/>
  <c r="CC13" i="3" s="1"/>
  <c r="CC14" i="3" s="1"/>
  <c r="CC15" i="3" s="1"/>
  <c r="CC16" i="3" s="1"/>
  <c r="CC17" i="3" s="1"/>
  <c r="CC18" i="3" s="1"/>
  <c r="CC19" i="3" s="1"/>
  <c r="CC20" i="3" s="1"/>
  <c r="CC21" i="3" s="1"/>
  <c r="CC22" i="3" s="1"/>
  <c r="CC23" i="3" s="1"/>
  <c r="CC24" i="3" s="1"/>
  <c r="CC25" i="3" s="1"/>
  <c r="CC26" i="3" s="1"/>
  <c r="CC27" i="3" s="1"/>
  <c r="CC28" i="3" s="1"/>
  <c r="CC29" i="3" s="1"/>
  <c r="CC30" i="3" s="1"/>
  <c r="CC31" i="3" s="1"/>
  <c r="CC32" i="3" s="1"/>
  <c r="CC33" i="3" s="1"/>
  <c r="CC34" i="3" s="1"/>
  <c r="CC35" i="3" s="1"/>
  <c r="CC36" i="3" s="1"/>
  <c r="CC37" i="3" s="1"/>
  <c r="CC38" i="3" s="1"/>
  <c r="CC39" i="3" s="1"/>
  <c r="CC40" i="3" s="1"/>
  <c r="CC41" i="3" s="1"/>
  <c r="CC42" i="3" s="1"/>
  <c r="DX6" i="4"/>
  <c r="DX27" i="4"/>
  <c r="DX35" i="4"/>
  <c r="DX8" i="4"/>
  <c r="DX19" i="4"/>
  <c r="DX11" i="4"/>
  <c r="DX29" i="4"/>
  <c r="DX15" i="4"/>
  <c r="DX26" i="4"/>
  <c r="AT41" i="3"/>
  <c r="AT36" i="3"/>
  <c r="AT32" i="3"/>
  <c r="AT28" i="3"/>
  <c r="AT24" i="3"/>
  <c r="AT20" i="3"/>
  <c r="AT16" i="3"/>
  <c r="AT12" i="3"/>
  <c r="AT38" i="3"/>
  <c r="AT6" i="3"/>
  <c r="AS5" i="3"/>
  <c r="AS6" i="3" s="1"/>
  <c r="AS7" i="3" s="1"/>
  <c r="AS8" i="3" s="1"/>
  <c r="AS9" i="3" s="1"/>
  <c r="AS10" i="3" s="1"/>
  <c r="AS11" i="3" s="1"/>
  <c r="AS12" i="3" s="1"/>
  <c r="AS13" i="3" s="1"/>
  <c r="AS14" i="3" s="1"/>
  <c r="AS15" i="3" s="1"/>
  <c r="AS16" i="3" s="1"/>
  <c r="AS17" i="3" s="1"/>
  <c r="AS18" i="3" s="1"/>
  <c r="AS19" i="3" s="1"/>
  <c r="AS20" i="3" s="1"/>
  <c r="AS21" i="3" s="1"/>
  <c r="AS22" i="3" s="1"/>
  <c r="AS23" i="3" s="1"/>
  <c r="AS24" i="3" s="1"/>
  <c r="AS25" i="3" s="1"/>
  <c r="AS26" i="3" s="1"/>
  <c r="AS27" i="3" s="1"/>
  <c r="AS28" i="3" s="1"/>
  <c r="AS29" i="3" s="1"/>
  <c r="AS30" i="3" s="1"/>
  <c r="AS31" i="3" s="1"/>
  <c r="AS32" i="3" s="1"/>
  <c r="AS33" i="3" s="1"/>
  <c r="AS34" i="3" s="1"/>
  <c r="AS35" i="3" s="1"/>
  <c r="AS36" i="3" s="1"/>
  <c r="AS37" i="3" s="1"/>
  <c r="AS38" i="3" s="1"/>
  <c r="AS39" i="3" s="1"/>
  <c r="AS40" i="3" s="1"/>
  <c r="AS41" i="3" s="1"/>
  <c r="AS42" i="3" s="1"/>
  <c r="BC4" i="4"/>
  <c r="BC4" i="3" s="1"/>
  <c r="BC18" i="4"/>
  <c r="BC14" i="4"/>
  <c r="BC8" i="4"/>
  <c r="BC15" i="4"/>
  <c r="BC30" i="4"/>
  <c r="BC24" i="4"/>
  <c r="BC32" i="4"/>
  <c r="BC38" i="4"/>
  <c r="AR8" i="4"/>
  <c r="CJ32" i="4"/>
  <c r="CJ19" i="4"/>
  <c r="CJ4" i="4"/>
  <c r="CK4" i="4" s="1"/>
  <c r="CK5" i="3"/>
  <c r="CK6" i="3" s="1"/>
  <c r="CK7" i="3" s="1"/>
  <c r="CK8" i="3" s="1"/>
  <c r="EZ7" i="4"/>
  <c r="FA7" i="4" s="1"/>
  <c r="AI9" i="3"/>
  <c r="AE9" i="3"/>
  <c r="AV8" i="3"/>
  <c r="AV9" i="3"/>
  <c r="AV12" i="3"/>
  <c r="AV16" i="3"/>
  <c r="AV20" i="3"/>
  <c r="AV28" i="3"/>
  <c r="AV32" i="3"/>
  <c r="AV36" i="3"/>
  <c r="EV14" i="4"/>
  <c r="BR8" i="4"/>
  <c r="BR13" i="4"/>
  <c r="BR20" i="4"/>
  <c r="BR15" i="4"/>
  <c r="BR18" i="4"/>
  <c r="BR35" i="4"/>
  <c r="BR27" i="4"/>
  <c r="BR31" i="4"/>
  <c r="BR34" i="4"/>
  <c r="CJ24" i="4"/>
  <c r="CJ20" i="4"/>
  <c r="CB4" i="4"/>
  <c r="BM4" i="3" s="1"/>
  <c r="CB14" i="4"/>
  <c r="CB15" i="4"/>
  <c r="CB27" i="4"/>
  <c r="CB13" i="4"/>
  <c r="CB16" i="4"/>
  <c r="CB23" i="4"/>
  <c r="CB31" i="4"/>
  <c r="CB32" i="4"/>
  <c r="CB37" i="4"/>
  <c r="CJ25" i="4"/>
  <c r="AI23" i="2" l="1"/>
  <c r="AE23" i="2"/>
  <c r="AA23" i="2"/>
  <c r="W23" i="2"/>
  <c r="S23" i="2"/>
  <c r="O23" i="2"/>
  <c r="K23" i="2"/>
  <c r="G23" i="2"/>
  <c r="C23" i="2"/>
  <c r="AH23" i="2"/>
  <c r="AD23" i="2"/>
  <c r="Z23" i="2"/>
  <c r="V23" i="2"/>
  <c r="R23" i="2"/>
  <c r="N23" i="2"/>
  <c r="J23" i="2"/>
  <c r="F23" i="2"/>
  <c r="B23" i="2"/>
  <c r="AG23" i="2"/>
  <c r="AC23" i="2"/>
  <c r="Y23" i="2"/>
  <c r="U23" i="2"/>
  <c r="Q23" i="2"/>
  <c r="M23" i="2"/>
  <c r="I23" i="2"/>
  <c r="E23" i="2"/>
  <c r="A23" i="2"/>
  <c r="AF23" i="2"/>
  <c r="AB23" i="2"/>
  <c r="X23" i="2"/>
  <c r="T23" i="2"/>
  <c r="P23" i="2"/>
  <c r="L23" i="2"/>
  <c r="H23" i="2"/>
  <c r="D23" i="2"/>
  <c r="AG40" i="2"/>
  <c r="AC40" i="2"/>
  <c r="Y40" i="2"/>
  <c r="U40" i="2"/>
  <c r="Q40" i="2"/>
  <c r="M40" i="2"/>
  <c r="I40" i="2"/>
  <c r="E40" i="2"/>
  <c r="A40" i="2"/>
  <c r="AF40" i="2"/>
  <c r="AB40" i="2"/>
  <c r="X40" i="2"/>
  <c r="T40" i="2"/>
  <c r="P40" i="2"/>
  <c r="L40" i="2"/>
  <c r="H40" i="2"/>
  <c r="D40" i="2"/>
  <c r="AI40" i="2"/>
  <c r="AE40" i="2"/>
  <c r="AA40" i="2"/>
  <c r="W40" i="2"/>
  <c r="S40" i="2"/>
  <c r="O40" i="2"/>
  <c r="K40" i="2"/>
  <c r="G40" i="2"/>
  <c r="C40" i="2"/>
  <c r="AH40" i="2"/>
  <c r="AD40" i="2"/>
  <c r="Z40" i="2"/>
  <c r="V40" i="2"/>
  <c r="R40" i="2"/>
  <c r="N40" i="2"/>
  <c r="J40" i="2"/>
  <c r="F40" i="2"/>
  <c r="B40" i="2"/>
  <c r="AB10" i="2"/>
  <c r="T10" i="2"/>
  <c r="L10" i="2"/>
  <c r="D10" i="2"/>
  <c r="AI10" i="2"/>
  <c r="AE10" i="2"/>
  <c r="AA10" i="2"/>
  <c r="W10" i="2"/>
  <c r="S10" i="2"/>
  <c r="O10" i="2"/>
  <c r="K10" i="2"/>
  <c r="G10" i="2"/>
  <c r="C10" i="2"/>
  <c r="AH10" i="2"/>
  <c r="Z10" i="2"/>
  <c r="R10" i="2"/>
  <c r="J10" i="2"/>
  <c r="B10" i="2"/>
  <c r="AD10" i="2"/>
  <c r="V10" i="2"/>
  <c r="N10" i="2"/>
  <c r="F10" i="2"/>
  <c r="AG10" i="2"/>
  <c r="AC10" i="2"/>
  <c r="Y10" i="2"/>
  <c r="U10" i="2"/>
  <c r="Q10" i="2"/>
  <c r="M10" i="2"/>
  <c r="I10" i="2"/>
  <c r="E10" i="2"/>
  <c r="A10" i="2"/>
  <c r="AF10" i="2"/>
  <c r="X10" i="2"/>
  <c r="P10" i="2"/>
  <c r="H10" i="2"/>
  <c r="AB6" i="2"/>
  <c r="P6" i="2"/>
  <c r="H6" i="2"/>
  <c r="AI6" i="2"/>
  <c r="AE6" i="2"/>
  <c r="AA6" i="2"/>
  <c r="W6" i="2"/>
  <c r="S6" i="2"/>
  <c r="O6" i="2"/>
  <c r="K6" i="2"/>
  <c r="G6" i="2"/>
  <c r="C6" i="2"/>
  <c r="AH6" i="2"/>
  <c r="Z6" i="2"/>
  <c r="R6" i="2"/>
  <c r="J6" i="2"/>
  <c r="B6" i="2"/>
  <c r="AD6" i="2"/>
  <c r="V6" i="2"/>
  <c r="N6" i="2"/>
  <c r="F6" i="2"/>
  <c r="AG6" i="2"/>
  <c r="AC6" i="2"/>
  <c r="Y6" i="2"/>
  <c r="U6" i="2"/>
  <c r="Q6" i="2"/>
  <c r="M6" i="2"/>
  <c r="I6" i="2"/>
  <c r="E6" i="2"/>
  <c r="A6" i="2"/>
  <c r="AF6" i="2"/>
  <c r="X6" i="2"/>
  <c r="T6" i="2"/>
  <c r="L6" i="2"/>
  <c r="D6" i="2"/>
  <c r="AF24" i="2"/>
  <c r="AB24" i="2"/>
  <c r="X24" i="2"/>
  <c r="T24" i="2"/>
  <c r="P24" i="2"/>
  <c r="L24" i="2"/>
  <c r="H24" i="2"/>
  <c r="D24" i="2"/>
  <c r="AI24" i="2"/>
  <c r="AE24" i="2"/>
  <c r="AA24" i="2"/>
  <c r="W24" i="2"/>
  <c r="S24" i="2"/>
  <c r="O24" i="2"/>
  <c r="K24" i="2"/>
  <c r="G24" i="2"/>
  <c r="C24" i="2"/>
  <c r="AH24" i="2"/>
  <c r="AD24" i="2"/>
  <c r="Z24" i="2"/>
  <c r="V24" i="2"/>
  <c r="R24" i="2"/>
  <c r="N24" i="2"/>
  <c r="J24" i="2"/>
  <c r="F24" i="2"/>
  <c r="B24" i="2"/>
  <c r="AG24" i="2"/>
  <c r="AC24" i="2"/>
  <c r="Y24" i="2"/>
  <c r="U24" i="2"/>
  <c r="Q24" i="2"/>
  <c r="M24" i="2"/>
  <c r="I24" i="2"/>
  <c r="E24" i="2"/>
  <c r="A24" i="2"/>
  <c r="AH41" i="2"/>
  <c r="AD41" i="2"/>
  <c r="Z41" i="2"/>
  <c r="V41" i="2"/>
  <c r="R41" i="2"/>
  <c r="N41" i="2"/>
  <c r="J41" i="2"/>
  <c r="F41" i="2"/>
  <c r="B41" i="2"/>
  <c r="AG41" i="2"/>
  <c r="AC41" i="2"/>
  <c r="Y41" i="2"/>
  <c r="U41" i="2"/>
  <c r="Q41" i="2"/>
  <c r="M41" i="2"/>
  <c r="I41" i="2"/>
  <c r="E41" i="2"/>
  <c r="A41" i="2"/>
  <c r="AF41" i="2"/>
  <c r="AB41" i="2"/>
  <c r="X41" i="2"/>
  <c r="T41" i="2"/>
  <c r="P41" i="2"/>
  <c r="L41" i="2"/>
  <c r="H41" i="2"/>
  <c r="D41" i="2"/>
  <c r="AI41" i="2"/>
  <c r="AE41" i="2"/>
  <c r="AA41" i="2"/>
  <c r="W41" i="2"/>
  <c r="S41" i="2"/>
  <c r="O41" i="2"/>
  <c r="K41" i="2"/>
  <c r="G41" i="2"/>
  <c r="C41" i="2"/>
  <c r="AH12" i="2"/>
  <c r="Z12" i="2"/>
  <c r="R12" i="2"/>
  <c r="J12" i="2"/>
  <c r="B12" i="2"/>
  <c r="AG12" i="2"/>
  <c r="AC12" i="2"/>
  <c r="Y12" i="2"/>
  <c r="U12" i="2"/>
  <c r="Q12" i="2"/>
  <c r="M12" i="2"/>
  <c r="I12" i="2"/>
  <c r="E12" i="2"/>
  <c r="A12" i="2"/>
  <c r="AB12" i="2"/>
  <c r="T12" i="2"/>
  <c r="L12" i="2"/>
  <c r="D12" i="2"/>
  <c r="AF12" i="2"/>
  <c r="X12" i="2"/>
  <c r="P12" i="2"/>
  <c r="H12" i="2"/>
  <c r="AI12" i="2"/>
  <c r="AE12" i="2"/>
  <c r="AA12" i="2"/>
  <c r="W12" i="2"/>
  <c r="S12" i="2"/>
  <c r="O12" i="2"/>
  <c r="K12" i="2"/>
  <c r="G12" i="2"/>
  <c r="C12" i="2"/>
  <c r="AD12" i="2"/>
  <c r="V12" i="2"/>
  <c r="N12" i="2"/>
  <c r="F12" i="2"/>
  <c r="AI29" i="2"/>
  <c r="AE29" i="2"/>
  <c r="AA29" i="2"/>
  <c r="W29" i="2"/>
  <c r="S29" i="2"/>
  <c r="O29" i="2"/>
  <c r="K29" i="2"/>
  <c r="G29" i="2"/>
  <c r="C29" i="2"/>
  <c r="AG29" i="2"/>
  <c r="AC29" i="2"/>
  <c r="Y29" i="2"/>
  <c r="U29" i="2"/>
  <c r="Q29" i="2"/>
  <c r="M29" i="2"/>
  <c r="I29" i="2"/>
  <c r="E29" i="2"/>
  <c r="A29" i="2"/>
  <c r="AD29" i="2"/>
  <c r="V29" i="2"/>
  <c r="N29" i="2"/>
  <c r="F29" i="2"/>
  <c r="AB29" i="2"/>
  <c r="T29" i="2"/>
  <c r="L29" i="2"/>
  <c r="D29" i="2"/>
  <c r="AH29" i="2"/>
  <c r="Z29" i="2"/>
  <c r="R29" i="2"/>
  <c r="J29" i="2"/>
  <c r="B29" i="2"/>
  <c r="AF29" i="2"/>
  <c r="X29" i="2"/>
  <c r="P29" i="2"/>
  <c r="H29" i="2"/>
  <c r="Z8" i="2"/>
  <c r="R8" i="2"/>
  <c r="J8" i="2"/>
  <c r="B8" i="2"/>
  <c r="AG8" i="2"/>
  <c r="AC8" i="2"/>
  <c r="Y8" i="2"/>
  <c r="U8" i="2"/>
  <c r="Q8" i="2"/>
  <c r="M8" i="2"/>
  <c r="I8" i="2"/>
  <c r="E8" i="2"/>
  <c r="A8" i="2"/>
  <c r="AF8" i="2"/>
  <c r="X8" i="2"/>
  <c r="T8" i="2"/>
  <c r="L8" i="2"/>
  <c r="D8" i="2"/>
  <c r="AB8" i="2"/>
  <c r="P8" i="2"/>
  <c r="H8" i="2"/>
  <c r="AI8" i="2"/>
  <c r="AE8" i="2"/>
  <c r="AA8" i="2"/>
  <c r="W8" i="2"/>
  <c r="S8" i="2"/>
  <c r="O8" i="2"/>
  <c r="K8" i="2"/>
  <c r="G8" i="2"/>
  <c r="C8" i="2"/>
  <c r="AH8" i="2"/>
  <c r="AD8" i="2"/>
  <c r="V8" i="2"/>
  <c r="N8" i="2"/>
  <c r="F8" i="2"/>
  <c r="AI18" i="2"/>
  <c r="AF18" i="2"/>
  <c r="AB18" i="2"/>
  <c r="X18" i="2"/>
  <c r="T18" i="2"/>
  <c r="P18" i="2"/>
  <c r="L18" i="2"/>
  <c r="H18" i="2"/>
  <c r="D18" i="2"/>
  <c r="AE18" i="2"/>
  <c r="AA18" i="2"/>
  <c r="W18" i="2"/>
  <c r="S18" i="2"/>
  <c r="O18" i="2"/>
  <c r="K18" i="2"/>
  <c r="G18" i="2"/>
  <c r="C18" i="2"/>
  <c r="AH18" i="2"/>
  <c r="AD18" i="2"/>
  <c r="Z18" i="2"/>
  <c r="V18" i="2"/>
  <c r="R18" i="2"/>
  <c r="N18" i="2"/>
  <c r="J18" i="2"/>
  <c r="F18" i="2"/>
  <c r="B18" i="2"/>
  <c r="AG18" i="2"/>
  <c r="AC18" i="2"/>
  <c r="Y18" i="2"/>
  <c r="U18" i="2"/>
  <c r="Q18" i="2"/>
  <c r="M18" i="2"/>
  <c r="I18" i="2"/>
  <c r="E18" i="2"/>
  <c r="A18" i="2"/>
  <c r="AH34" i="2"/>
  <c r="AD34" i="2"/>
  <c r="Z34" i="2"/>
  <c r="V34" i="2"/>
  <c r="R34" i="2"/>
  <c r="N34" i="2"/>
  <c r="J34" i="2"/>
  <c r="F34" i="2"/>
  <c r="B34" i="2"/>
  <c r="AF34" i="2"/>
  <c r="AB34" i="2"/>
  <c r="X34" i="2"/>
  <c r="T34" i="2"/>
  <c r="P34" i="2"/>
  <c r="L34" i="2"/>
  <c r="H34" i="2"/>
  <c r="D34" i="2"/>
  <c r="AG34" i="2"/>
  <c r="Y34" i="2"/>
  <c r="Q34" i="2"/>
  <c r="I34" i="2"/>
  <c r="A34" i="2"/>
  <c r="AC34" i="2"/>
  <c r="U34" i="2"/>
  <c r="M34" i="2"/>
  <c r="E34" i="2"/>
  <c r="W34" i="2"/>
  <c r="G34" i="2"/>
  <c r="AI34" i="2"/>
  <c r="S34" i="2"/>
  <c r="C34" i="2"/>
  <c r="AE34" i="2"/>
  <c r="O34" i="2"/>
  <c r="AA34" i="2"/>
  <c r="K34" i="2"/>
  <c r="AG27" i="2"/>
  <c r="AC27" i="2"/>
  <c r="Y27" i="2"/>
  <c r="U27" i="2"/>
  <c r="Q27" i="2"/>
  <c r="M27" i="2"/>
  <c r="I27" i="2"/>
  <c r="E27" i="2"/>
  <c r="A27" i="2"/>
  <c r="AI27" i="2"/>
  <c r="AE27" i="2"/>
  <c r="AA27" i="2"/>
  <c r="W27" i="2"/>
  <c r="S27" i="2"/>
  <c r="O27" i="2"/>
  <c r="K27" i="2"/>
  <c r="G27" i="2"/>
  <c r="C27" i="2"/>
  <c r="AB27" i="2"/>
  <c r="T27" i="2"/>
  <c r="L27" i="2"/>
  <c r="D27" i="2"/>
  <c r="AH27" i="2"/>
  <c r="Z27" i="2"/>
  <c r="R27" i="2"/>
  <c r="J27" i="2"/>
  <c r="B27" i="2"/>
  <c r="AF27" i="2"/>
  <c r="X27" i="2"/>
  <c r="P27" i="2"/>
  <c r="H27" i="2"/>
  <c r="AD27" i="2"/>
  <c r="V27" i="2"/>
  <c r="N27" i="2"/>
  <c r="F27" i="2"/>
  <c r="AI42" i="2"/>
  <c r="AE42" i="2"/>
  <c r="AA42" i="2"/>
  <c r="W42" i="2"/>
  <c r="S42" i="2"/>
  <c r="O42" i="2"/>
  <c r="K42" i="2"/>
  <c r="G42" i="2"/>
  <c r="C42" i="2"/>
  <c r="AH42" i="2"/>
  <c r="AD42" i="2"/>
  <c r="Z42" i="2"/>
  <c r="V42" i="2"/>
  <c r="R42" i="2"/>
  <c r="N42" i="2"/>
  <c r="J42" i="2"/>
  <c r="F42" i="2"/>
  <c r="B42" i="2"/>
  <c r="AG42" i="2"/>
  <c r="AC42" i="2"/>
  <c r="Y42" i="2"/>
  <c r="U42" i="2"/>
  <c r="Q42" i="2"/>
  <c r="M42" i="2"/>
  <c r="I42" i="2"/>
  <c r="E42" i="2"/>
  <c r="A42" i="2"/>
  <c r="AF42" i="2"/>
  <c r="AB42" i="2"/>
  <c r="X42" i="2"/>
  <c r="T42" i="2"/>
  <c r="P42" i="2"/>
  <c r="L42" i="2"/>
  <c r="H42" i="2"/>
  <c r="D42" i="2"/>
  <c r="AG15" i="2"/>
  <c r="AC15" i="2"/>
  <c r="Y15" i="2"/>
  <c r="U15" i="2"/>
  <c r="Q15" i="2"/>
  <c r="M15" i="2"/>
  <c r="I15" i="2"/>
  <c r="E15" i="2"/>
  <c r="A15" i="2"/>
  <c r="AF15" i="2"/>
  <c r="AB15" i="2"/>
  <c r="X15" i="2"/>
  <c r="T15" i="2"/>
  <c r="P15" i="2"/>
  <c r="L15" i="2"/>
  <c r="H15" i="2"/>
  <c r="D15" i="2"/>
  <c r="AI15" i="2"/>
  <c r="AE15" i="2"/>
  <c r="AA15" i="2"/>
  <c r="W15" i="2"/>
  <c r="S15" i="2"/>
  <c r="O15" i="2"/>
  <c r="K15" i="2"/>
  <c r="G15" i="2"/>
  <c r="C15" i="2"/>
  <c r="AH15" i="2"/>
  <c r="AD15" i="2"/>
  <c r="Z15" i="2"/>
  <c r="V15" i="2"/>
  <c r="R15" i="2"/>
  <c r="N15" i="2"/>
  <c r="J15" i="2"/>
  <c r="F15" i="2"/>
  <c r="B15" i="2"/>
  <c r="Y11" i="2"/>
  <c r="Q11" i="2"/>
  <c r="I11" i="2"/>
  <c r="A11" i="2"/>
  <c r="AF11" i="2"/>
  <c r="AB11" i="2"/>
  <c r="X11" i="2"/>
  <c r="T11" i="2"/>
  <c r="P11" i="2"/>
  <c r="L11" i="2"/>
  <c r="H11" i="2"/>
  <c r="D11" i="2"/>
  <c r="AE11" i="2"/>
  <c r="AA11" i="2"/>
  <c r="S11" i="2"/>
  <c r="K11" i="2"/>
  <c r="G11" i="2"/>
  <c r="AI11" i="2"/>
  <c r="W11" i="2"/>
  <c r="O11" i="2"/>
  <c r="C11" i="2"/>
  <c r="AH11" i="2"/>
  <c r="AD11" i="2"/>
  <c r="Z11" i="2"/>
  <c r="V11" i="2"/>
  <c r="R11" i="2"/>
  <c r="N11" i="2"/>
  <c r="J11" i="2"/>
  <c r="F11" i="2"/>
  <c r="B11" i="2"/>
  <c r="AG11" i="2"/>
  <c r="AC11" i="2"/>
  <c r="U11" i="2"/>
  <c r="M11" i="2"/>
  <c r="E11" i="2"/>
  <c r="AH28" i="2"/>
  <c r="AD28" i="2"/>
  <c r="Z28" i="2"/>
  <c r="V28" i="2"/>
  <c r="R28" i="2"/>
  <c r="N28" i="2"/>
  <c r="J28" i="2"/>
  <c r="F28" i="2"/>
  <c r="B28" i="2"/>
  <c r="AF28" i="2"/>
  <c r="AB28" i="2"/>
  <c r="X28" i="2"/>
  <c r="T28" i="2"/>
  <c r="P28" i="2"/>
  <c r="L28" i="2"/>
  <c r="H28" i="2"/>
  <c r="D28" i="2"/>
  <c r="AG28" i="2"/>
  <c r="Y28" i="2"/>
  <c r="Q28" i="2"/>
  <c r="I28" i="2"/>
  <c r="A28" i="2"/>
  <c r="AE28" i="2"/>
  <c r="W28" i="2"/>
  <c r="O28" i="2"/>
  <c r="G28" i="2"/>
  <c r="AC28" i="2"/>
  <c r="U28" i="2"/>
  <c r="M28" i="2"/>
  <c r="E28" i="2"/>
  <c r="AI28" i="2"/>
  <c r="AA28" i="2"/>
  <c r="S28" i="2"/>
  <c r="K28" i="2"/>
  <c r="C28" i="2"/>
  <c r="AI17" i="2"/>
  <c r="AE17" i="2"/>
  <c r="AA17" i="2"/>
  <c r="W17" i="2"/>
  <c r="S17" i="2"/>
  <c r="O17" i="2"/>
  <c r="K17" i="2"/>
  <c r="G17" i="2"/>
  <c r="C17" i="2"/>
  <c r="AH17" i="2"/>
  <c r="AD17" i="2"/>
  <c r="Z17" i="2"/>
  <c r="V17" i="2"/>
  <c r="R17" i="2"/>
  <c r="N17" i="2"/>
  <c r="J17" i="2"/>
  <c r="F17" i="2"/>
  <c r="B17" i="2"/>
  <c r="AG17" i="2"/>
  <c r="AC17" i="2"/>
  <c r="Y17" i="2"/>
  <c r="U17" i="2"/>
  <c r="Q17" i="2"/>
  <c r="M17" i="2"/>
  <c r="I17" i="2"/>
  <c r="E17" i="2"/>
  <c r="A17" i="2"/>
  <c r="AF17" i="2"/>
  <c r="AB17" i="2"/>
  <c r="X17" i="2"/>
  <c r="T17" i="2"/>
  <c r="P17" i="2"/>
  <c r="L17" i="2"/>
  <c r="H17" i="2"/>
  <c r="D17" i="2"/>
  <c r="AG33" i="2"/>
  <c r="AC33" i="2"/>
  <c r="Y33" i="2"/>
  <c r="U33" i="2"/>
  <c r="Q33" i="2"/>
  <c r="M33" i="2"/>
  <c r="AI33" i="2"/>
  <c r="AE33" i="2"/>
  <c r="AA33" i="2"/>
  <c r="W33" i="2"/>
  <c r="S33" i="2"/>
  <c r="O33" i="2"/>
  <c r="K33" i="2"/>
  <c r="AB33" i="2"/>
  <c r="T33" i="2"/>
  <c r="L33" i="2"/>
  <c r="G33" i="2"/>
  <c r="C33" i="2"/>
  <c r="AF33" i="2"/>
  <c r="X33" i="2"/>
  <c r="P33" i="2"/>
  <c r="I33" i="2"/>
  <c r="E33" i="2"/>
  <c r="A33" i="2"/>
  <c r="Z33" i="2"/>
  <c r="J33" i="2"/>
  <c r="B33" i="2"/>
  <c r="V33" i="2"/>
  <c r="H33" i="2"/>
  <c r="AH33" i="2"/>
  <c r="R33" i="2"/>
  <c r="F33" i="2"/>
  <c r="AD33" i="2"/>
  <c r="N33" i="2"/>
  <c r="D33" i="2"/>
  <c r="AE9" i="2"/>
  <c r="W9" i="2"/>
  <c r="K9" i="2"/>
  <c r="C9" i="2"/>
  <c r="AH9" i="2"/>
  <c r="AD9" i="2"/>
  <c r="Z9" i="2"/>
  <c r="V9" i="2"/>
  <c r="R9" i="2"/>
  <c r="N9" i="2"/>
  <c r="J9" i="2"/>
  <c r="F9" i="2"/>
  <c r="B9" i="2"/>
  <c r="AC9" i="2"/>
  <c r="Y9" i="2"/>
  <c r="Q9" i="2"/>
  <c r="M9" i="2"/>
  <c r="E9" i="2"/>
  <c r="AG9" i="2"/>
  <c r="U9" i="2"/>
  <c r="I9" i="2"/>
  <c r="A9" i="2"/>
  <c r="AF9" i="2"/>
  <c r="AB9" i="2"/>
  <c r="X9" i="2"/>
  <c r="T9" i="2"/>
  <c r="P9" i="2"/>
  <c r="L9" i="2"/>
  <c r="H9" i="2"/>
  <c r="D9" i="2"/>
  <c r="AI9" i="2"/>
  <c r="AA9" i="2"/>
  <c r="S9" i="2"/>
  <c r="O9" i="2"/>
  <c r="G9" i="2"/>
  <c r="AH22" i="2"/>
  <c r="AD22" i="2"/>
  <c r="Z22" i="2"/>
  <c r="V22" i="2"/>
  <c r="R22" i="2"/>
  <c r="N22" i="2"/>
  <c r="J22" i="2"/>
  <c r="F22" i="2"/>
  <c r="B22" i="2"/>
  <c r="AG22" i="2"/>
  <c r="AC22" i="2"/>
  <c r="Y22" i="2"/>
  <c r="U22" i="2"/>
  <c r="Q22" i="2"/>
  <c r="M22" i="2"/>
  <c r="I22" i="2"/>
  <c r="E22" i="2"/>
  <c r="A22" i="2"/>
  <c r="AF22" i="2"/>
  <c r="AB22" i="2"/>
  <c r="X22" i="2"/>
  <c r="T22" i="2"/>
  <c r="P22" i="2"/>
  <c r="L22" i="2"/>
  <c r="H22" i="2"/>
  <c r="D22" i="2"/>
  <c r="AI22" i="2"/>
  <c r="AE22" i="2"/>
  <c r="AA22" i="2"/>
  <c r="W22" i="2"/>
  <c r="S22" i="2"/>
  <c r="O22" i="2"/>
  <c r="K22" i="2"/>
  <c r="G22" i="2"/>
  <c r="C22" i="2"/>
  <c r="AI38" i="2"/>
  <c r="AE38" i="2"/>
  <c r="AA38" i="2"/>
  <c r="W38" i="2"/>
  <c r="S38" i="2"/>
  <c r="O38" i="2"/>
  <c r="K38" i="2"/>
  <c r="G38" i="2"/>
  <c r="C38" i="2"/>
  <c r="AH38" i="2"/>
  <c r="AD38" i="2"/>
  <c r="Z38" i="2"/>
  <c r="V38" i="2"/>
  <c r="R38" i="2"/>
  <c r="N38" i="2"/>
  <c r="J38" i="2"/>
  <c r="F38" i="2"/>
  <c r="B38" i="2"/>
  <c r="AG38" i="2"/>
  <c r="AC38" i="2"/>
  <c r="Y38" i="2"/>
  <c r="U38" i="2"/>
  <c r="Q38" i="2"/>
  <c r="M38" i="2"/>
  <c r="I38" i="2"/>
  <c r="E38" i="2"/>
  <c r="A38" i="2"/>
  <c r="AF38" i="2"/>
  <c r="AB38" i="2"/>
  <c r="X38" i="2"/>
  <c r="T38" i="2"/>
  <c r="P38" i="2"/>
  <c r="L38" i="2"/>
  <c r="H38" i="2"/>
  <c r="D38" i="2"/>
  <c r="AG31" i="2"/>
  <c r="AC31" i="2"/>
  <c r="Y31" i="2"/>
  <c r="U31" i="2"/>
  <c r="Q31" i="2"/>
  <c r="M31" i="2"/>
  <c r="I31" i="2"/>
  <c r="E31" i="2"/>
  <c r="A31" i="2"/>
  <c r="AI31" i="2"/>
  <c r="AE31" i="2"/>
  <c r="AA31" i="2"/>
  <c r="W31" i="2"/>
  <c r="S31" i="2"/>
  <c r="O31" i="2"/>
  <c r="K31" i="2"/>
  <c r="G31" i="2"/>
  <c r="C31" i="2"/>
  <c r="AF31" i="2"/>
  <c r="X31" i="2"/>
  <c r="P31" i="2"/>
  <c r="H31" i="2"/>
  <c r="AD31" i="2"/>
  <c r="V31" i="2"/>
  <c r="N31" i="2"/>
  <c r="F31" i="2"/>
  <c r="AB31" i="2"/>
  <c r="T31" i="2"/>
  <c r="L31" i="2"/>
  <c r="D31" i="2"/>
  <c r="AH31" i="2"/>
  <c r="Z31" i="2"/>
  <c r="R31" i="2"/>
  <c r="J31" i="2"/>
  <c r="B31" i="2"/>
  <c r="AH19" i="2"/>
  <c r="AD19" i="2"/>
  <c r="Z19" i="2"/>
  <c r="V19" i="2"/>
  <c r="R19" i="2"/>
  <c r="N19" i="2"/>
  <c r="J19" i="2"/>
  <c r="F19" i="2"/>
  <c r="B19" i="2"/>
  <c r="AF19" i="2"/>
  <c r="AB19" i="2"/>
  <c r="X19" i="2"/>
  <c r="T19" i="2"/>
  <c r="P19" i="2"/>
  <c r="L19" i="2"/>
  <c r="H19" i="2"/>
  <c r="D19" i="2"/>
  <c r="AI19" i="2"/>
  <c r="AA19" i="2"/>
  <c r="S19" i="2"/>
  <c r="K19" i="2"/>
  <c r="C19" i="2"/>
  <c r="AG19" i="2"/>
  <c r="Y19" i="2"/>
  <c r="Q19" i="2"/>
  <c r="I19" i="2"/>
  <c r="A19" i="2"/>
  <c r="AE19" i="2"/>
  <c r="W19" i="2"/>
  <c r="O19" i="2"/>
  <c r="G19" i="2"/>
  <c r="AC19" i="2"/>
  <c r="U19" i="2"/>
  <c r="M19" i="2"/>
  <c r="E19" i="2"/>
  <c r="AH16" i="2"/>
  <c r="AD16" i="2"/>
  <c r="Z16" i="2"/>
  <c r="V16" i="2"/>
  <c r="R16" i="2"/>
  <c r="N16" i="2"/>
  <c r="J16" i="2"/>
  <c r="F16" i="2"/>
  <c r="B16" i="2"/>
  <c r="AG16" i="2"/>
  <c r="AC16" i="2"/>
  <c r="Y16" i="2"/>
  <c r="U16" i="2"/>
  <c r="Q16" i="2"/>
  <c r="M16" i="2"/>
  <c r="I16" i="2"/>
  <c r="E16" i="2"/>
  <c r="A16" i="2"/>
  <c r="AF16" i="2"/>
  <c r="AB16" i="2"/>
  <c r="X16" i="2"/>
  <c r="T16" i="2"/>
  <c r="P16" i="2"/>
  <c r="L16" i="2"/>
  <c r="H16" i="2"/>
  <c r="D16" i="2"/>
  <c r="AI16" i="2"/>
  <c r="AE16" i="2"/>
  <c r="AA16" i="2"/>
  <c r="W16" i="2"/>
  <c r="S16" i="2"/>
  <c r="O16" i="2"/>
  <c r="K16" i="2"/>
  <c r="G16" i="2"/>
  <c r="C16" i="2"/>
  <c r="AH32" i="2"/>
  <c r="AD32" i="2"/>
  <c r="Z32" i="2"/>
  <c r="V32" i="2"/>
  <c r="R32" i="2"/>
  <c r="N32" i="2"/>
  <c r="J32" i="2"/>
  <c r="F32" i="2"/>
  <c r="B32" i="2"/>
  <c r="AF32" i="2"/>
  <c r="AB32" i="2"/>
  <c r="X32" i="2"/>
  <c r="T32" i="2"/>
  <c r="P32" i="2"/>
  <c r="L32" i="2"/>
  <c r="H32" i="2"/>
  <c r="D32" i="2"/>
  <c r="AC32" i="2"/>
  <c r="U32" i="2"/>
  <c r="M32" i="2"/>
  <c r="E32" i="2"/>
  <c r="AI32" i="2"/>
  <c r="AA32" i="2"/>
  <c r="S32" i="2"/>
  <c r="K32" i="2"/>
  <c r="C32" i="2"/>
  <c r="AG32" i="2"/>
  <c r="Y32" i="2"/>
  <c r="Q32" i="2"/>
  <c r="I32" i="2"/>
  <c r="A32" i="2"/>
  <c r="AE32" i="2"/>
  <c r="W32" i="2"/>
  <c r="O32" i="2"/>
  <c r="G32" i="2"/>
  <c r="AG21" i="2"/>
  <c r="AC21" i="2"/>
  <c r="Y21" i="2"/>
  <c r="U21" i="2"/>
  <c r="Q21" i="2"/>
  <c r="M21" i="2"/>
  <c r="I21" i="2"/>
  <c r="E21" i="2"/>
  <c r="A21" i="2"/>
  <c r="AF21" i="2"/>
  <c r="AB21" i="2"/>
  <c r="X21" i="2"/>
  <c r="T21" i="2"/>
  <c r="P21" i="2"/>
  <c r="L21" i="2"/>
  <c r="H21" i="2"/>
  <c r="D21" i="2"/>
  <c r="AI21" i="2"/>
  <c r="AE21" i="2"/>
  <c r="AA21" i="2"/>
  <c r="W21" i="2"/>
  <c r="S21" i="2"/>
  <c r="O21" i="2"/>
  <c r="K21" i="2"/>
  <c r="G21" i="2"/>
  <c r="C21" i="2"/>
  <c r="AH21" i="2"/>
  <c r="AD21" i="2"/>
  <c r="Z21" i="2"/>
  <c r="V21" i="2"/>
  <c r="R21" i="2"/>
  <c r="N21" i="2"/>
  <c r="J21" i="2"/>
  <c r="F21" i="2"/>
  <c r="B21" i="2"/>
  <c r="AH37" i="2"/>
  <c r="AD37" i="2"/>
  <c r="Z37" i="2"/>
  <c r="V37" i="2"/>
  <c r="AG37" i="2"/>
  <c r="AC37" i="2"/>
  <c r="Y37" i="2"/>
  <c r="U37" i="2"/>
  <c r="Q37" i="2"/>
  <c r="M37" i="2"/>
  <c r="I37" i="2"/>
  <c r="E37" i="2"/>
  <c r="A37" i="2"/>
  <c r="AF37" i="2"/>
  <c r="AB37" i="2"/>
  <c r="X37" i="2"/>
  <c r="T37" i="2"/>
  <c r="AI37" i="2"/>
  <c r="AE37" i="2"/>
  <c r="AA37" i="2"/>
  <c r="W37" i="2"/>
  <c r="S37" i="2"/>
  <c r="O37" i="2"/>
  <c r="K37" i="2"/>
  <c r="G37" i="2"/>
  <c r="C37" i="2"/>
  <c r="R37" i="2"/>
  <c r="J37" i="2"/>
  <c r="B37" i="2"/>
  <c r="P37" i="2"/>
  <c r="H37" i="2"/>
  <c r="N37" i="2"/>
  <c r="F37" i="2"/>
  <c r="L37" i="2"/>
  <c r="D37" i="2"/>
  <c r="AE13" i="2"/>
  <c r="S13" i="2"/>
  <c r="K13" i="2"/>
  <c r="AH13" i="2"/>
  <c r="AD13" i="2"/>
  <c r="Z13" i="2"/>
  <c r="V13" i="2"/>
  <c r="R13" i="2"/>
  <c r="N13" i="2"/>
  <c r="J13" i="2"/>
  <c r="F13" i="2"/>
  <c r="B13" i="2"/>
  <c r="AC13" i="2"/>
  <c r="U13" i="2"/>
  <c r="Q13" i="2"/>
  <c r="I13" i="2"/>
  <c r="A13" i="2"/>
  <c r="AG13" i="2"/>
  <c r="Y13" i="2"/>
  <c r="M13" i="2"/>
  <c r="E13" i="2"/>
  <c r="AF13" i="2"/>
  <c r="AB13" i="2"/>
  <c r="X13" i="2"/>
  <c r="T13" i="2"/>
  <c r="P13" i="2"/>
  <c r="L13" i="2"/>
  <c r="H13" i="2"/>
  <c r="D13" i="2"/>
  <c r="AI13" i="2"/>
  <c r="AA13" i="2"/>
  <c r="W13" i="2"/>
  <c r="O13" i="2"/>
  <c r="G13" i="2"/>
  <c r="C13" i="2"/>
  <c r="AF26" i="2"/>
  <c r="AB26" i="2"/>
  <c r="X26" i="2"/>
  <c r="T26" i="2"/>
  <c r="P26" i="2"/>
  <c r="L26" i="2"/>
  <c r="H26" i="2"/>
  <c r="D26" i="2"/>
  <c r="AH26" i="2"/>
  <c r="AD26" i="2"/>
  <c r="Z26" i="2"/>
  <c r="V26" i="2"/>
  <c r="R26" i="2"/>
  <c r="N26" i="2"/>
  <c r="J26" i="2"/>
  <c r="F26" i="2"/>
  <c r="B26" i="2"/>
  <c r="AE26" i="2"/>
  <c r="W26" i="2"/>
  <c r="O26" i="2"/>
  <c r="G26" i="2"/>
  <c r="AC26" i="2"/>
  <c r="U26" i="2"/>
  <c r="M26" i="2"/>
  <c r="E26" i="2"/>
  <c r="AI26" i="2"/>
  <c r="AA26" i="2"/>
  <c r="S26" i="2"/>
  <c r="K26" i="2"/>
  <c r="C26" i="2"/>
  <c r="AG26" i="2"/>
  <c r="Y26" i="2"/>
  <c r="Q26" i="2"/>
  <c r="I26" i="2"/>
  <c r="A26" i="2"/>
  <c r="AI35" i="2"/>
  <c r="AE35" i="2"/>
  <c r="AA35" i="2"/>
  <c r="W35" i="2"/>
  <c r="S35" i="2"/>
  <c r="O35" i="2"/>
  <c r="K35" i="2"/>
  <c r="G35" i="2"/>
  <c r="C35" i="2"/>
  <c r="AG35" i="2"/>
  <c r="AC35" i="2"/>
  <c r="Y35" i="2"/>
  <c r="U35" i="2"/>
  <c r="Q35" i="2"/>
  <c r="M35" i="2"/>
  <c r="I35" i="2"/>
  <c r="E35" i="2"/>
  <c r="A35" i="2"/>
  <c r="AD35" i="2"/>
  <c r="V35" i="2"/>
  <c r="N35" i="2"/>
  <c r="F35" i="2"/>
  <c r="AH35" i="2"/>
  <c r="Z35" i="2"/>
  <c r="R35" i="2"/>
  <c r="J35" i="2"/>
  <c r="B35" i="2"/>
  <c r="T35" i="2"/>
  <c r="D35" i="2"/>
  <c r="AF35" i="2"/>
  <c r="P35" i="2"/>
  <c r="AB35" i="2"/>
  <c r="L35" i="2"/>
  <c r="X35" i="2"/>
  <c r="H35" i="2"/>
  <c r="AF20" i="2"/>
  <c r="AB20" i="2"/>
  <c r="X20" i="2"/>
  <c r="T20" i="2"/>
  <c r="AI20" i="2"/>
  <c r="AE20" i="2"/>
  <c r="AA20" i="2"/>
  <c r="W20" i="2"/>
  <c r="S20" i="2"/>
  <c r="O20" i="2"/>
  <c r="K20" i="2"/>
  <c r="G20" i="2"/>
  <c r="C20" i="2"/>
  <c r="AH20" i="2"/>
  <c r="AD20" i="2"/>
  <c r="Z20" i="2"/>
  <c r="V20" i="2"/>
  <c r="R20" i="2"/>
  <c r="AG20" i="2"/>
  <c r="AC20" i="2"/>
  <c r="Y20" i="2"/>
  <c r="U20" i="2"/>
  <c r="Q20" i="2"/>
  <c r="M20" i="2"/>
  <c r="I20" i="2"/>
  <c r="E20" i="2"/>
  <c r="A20" i="2"/>
  <c r="P20" i="2"/>
  <c r="H20" i="2"/>
  <c r="N20" i="2"/>
  <c r="F20" i="2"/>
  <c r="L20" i="2"/>
  <c r="D20" i="2"/>
  <c r="J20" i="2"/>
  <c r="B20" i="2"/>
  <c r="AF36" i="2"/>
  <c r="AB36" i="2"/>
  <c r="X36" i="2"/>
  <c r="T36" i="2"/>
  <c r="P36" i="2"/>
  <c r="L36" i="2"/>
  <c r="H36" i="2"/>
  <c r="D36" i="2"/>
  <c r="AH36" i="2"/>
  <c r="AD36" i="2"/>
  <c r="Z36" i="2"/>
  <c r="V36" i="2"/>
  <c r="R36" i="2"/>
  <c r="N36" i="2"/>
  <c r="J36" i="2"/>
  <c r="F36" i="2"/>
  <c r="B36" i="2"/>
  <c r="AC36" i="2"/>
  <c r="U36" i="2"/>
  <c r="M36" i="2"/>
  <c r="AI36" i="2"/>
  <c r="AA36" i="2"/>
  <c r="S36" i="2"/>
  <c r="K36" i="2"/>
  <c r="C36" i="2"/>
  <c r="AG36" i="2"/>
  <c r="Y36" i="2"/>
  <c r="Q36" i="2"/>
  <c r="I36" i="2"/>
  <c r="A36" i="2"/>
  <c r="AE36" i="2"/>
  <c r="W36" i="2"/>
  <c r="O36" i="2"/>
  <c r="G36" i="2"/>
  <c r="E36" i="2"/>
  <c r="Y7" i="2"/>
  <c r="Q7" i="2"/>
  <c r="I7" i="2"/>
  <c r="A7" i="2"/>
  <c r="AF7" i="2"/>
  <c r="AB7" i="2"/>
  <c r="X7" i="2"/>
  <c r="T7" i="2"/>
  <c r="P7" i="2"/>
  <c r="L7" i="2"/>
  <c r="H7" i="2"/>
  <c r="D7" i="2"/>
  <c r="AE7" i="2"/>
  <c r="W7" i="2"/>
  <c r="O7" i="2"/>
  <c r="G7" i="2"/>
  <c r="AI7" i="2"/>
  <c r="AA7" i="2"/>
  <c r="S7" i="2"/>
  <c r="K7" i="2"/>
  <c r="C7" i="2"/>
  <c r="AH7" i="2"/>
  <c r="AD7" i="2"/>
  <c r="Z7" i="2"/>
  <c r="V7" i="2"/>
  <c r="R7" i="2"/>
  <c r="N7" i="2"/>
  <c r="J7" i="2"/>
  <c r="F7" i="2"/>
  <c r="B7" i="2"/>
  <c r="AG7" i="2"/>
  <c r="AC7" i="2"/>
  <c r="U7" i="2"/>
  <c r="M7" i="2"/>
  <c r="E7" i="2"/>
  <c r="AI25" i="2"/>
  <c r="AE25" i="2"/>
  <c r="AA25" i="2"/>
  <c r="AG25" i="2"/>
  <c r="AC25" i="2"/>
  <c r="Y25" i="2"/>
  <c r="AH25" i="2"/>
  <c r="Z25" i="2"/>
  <c r="U25" i="2"/>
  <c r="Q25" i="2"/>
  <c r="M25" i="2"/>
  <c r="I25" i="2"/>
  <c r="E25" i="2"/>
  <c r="A25" i="2"/>
  <c r="AF25" i="2"/>
  <c r="X25" i="2"/>
  <c r="T25" i="2"/>
  <c r="P25" i="2"/>
  <c r="L25" i="2"/>
  <c r="H25" i="2"/>
  <c r="D25" i="2"/>
  <c r="AD25" i="2"/>
  <c r="W25" i="2"/>
  <c r="S25" i="2"/>
  <c r="O25" i="2"/>
  <c r="K25" i="2"/>
  <c r="G25" i="2"/>
  <c r="C25" i="2"/>
  <c r="AB25" i="2"/>
  <c r="V25" i="2"/>
  <c r="R25" i="2"/>
  <c r="N25" i="2"/>
  <c r="J25" i="2"/>
  <c r="F25" i="2"/>
  <c r="B25" i="2"/>
  <c r="AB14" i="2"/>
  <c r="X14" i="2"/>
  <c r="T14" i="2"/>
  <c r="P14" i="2"/>
  <c r="H14" i="2"/>
  <c r="D14" i="2"/>
  <c r="AI14" i="2"/>
  <c r="AE14" i="2"/>
  <c r="AA14" i="2"/>
  <c r="W14" i="2"/>
  <c r="S14" i="2"/>
  <c r="O14" i="2"/>
  <c r="K14" i="2"/>
  <c r="G14" i="2"/>
  <c r="C14" i="2"/>
  <c r="AH14" i="2"/>
  <c r="N14" i="2"/>
  <c r="B14" i="2"/>
  <c r="AD14" i="2"/>
  <c r="Z14" i="2"/>
  <c r="V14" i="2"/>
  <c r="R14" i="2"/>
  <c r="J14" i="2"/>
  <c r="F14" i="2"/>
  <c r="AG14" i="2"/>
  <c r="AC14" i="2"/>
  <c r="Y14" i="2"/>
  <c r="U14" i="2"/>
  <c r="Q14" i="2"/>
  <c r="M14" i="2"/>
  <c r="I14" i="2"/>
  <c r="E14" i="2"/>
  <c r="A14" i="2"/>
  <c r="AF14" i="2"/>
  <c r="L14" i="2"/>
  <c r="AF30" i="2"/>
  <c r="AB30" i="2"/>
  <c r="X30" i="2"/>
  <c r="T30" i="2"/>
  <c r="P30" i="2"/>
  <c r="L30" i="2"/>
  <c r="H30" i="2"/>
  <c r="D30" i="2"/>
  <c r="AH30" i="2"/>
  <c r="AD30" i="2"/>
  <c r="Z30" i="2"/>
  <c r="V30" i="2"/>
  <c r="R30" i="2"/>
  <c r="N30" i="2"/>
  <c r="J30" i="2"/>
  <c r="F30" i="2"/>
  <c r="B30" i="2"/>
  <c r="AI30" i="2"/>
  <c r="AA30" i="2"/>
  <c r="S30" i="2"/>
  <c r="K30" i="2"/>
  <c r="C30" i="2"/>
  <c r="AG30" i="2"/>
  <c r="Y30" i="2"/>
  <c r="Q30" i="2"/>
  <c r="I30" i="2"/>
  <c r="A30" i="2"/>
  <c r="AE30" i="2"/>
  <c r="W30" i="2"/>
  <c r="O30" i="2"/>
  <c r="G30" i="2"/>
  <c r="AC30" i="2"/>
  <c r="U30" i="2"/>
  <c r="M30" i="2"/>
  <c r="E30" i="2"/>
  <c r="AF39" i="2"/>
  <c r="AB39" i="2"/>
  <c r="X39" i="2"/>
  <c r="T39" i="2"/>
  <c r="P39" i="2"/>
  <c r="L39" i="2"/>
  <c r="H39" i="2"/>
  <c r="D39" i="2"/>
  <c r="AI39" i="2"/>
  <c r="AE39" i="2"/>
  <c r="AA39" i="2"/>
  <c r="W39" i="2"/>
  <c r="S39" i="2"/>
  <c r="O39" i="2"/>
  <c r="K39" i="2"/>
  <c r="G39" i="2"/>
  <c r="C39" i="2"/>
  <c r="AH39" i="2"/>
  <c r="AD39" i="2"/>
  <c r="Z39" i="2"/>
  <c r="V39" i="2"/>
  <c r="R39" i="2"/>
  <c r="N39" i="2"/>
  <c r="J39" i="2"/>
  <c r="F39" i="2"/>
  <c r="B39" i="2"/>
  <c r="AG39" i="2"/>
  <c r="AC39" i="2"/>
  <c r="Y39" i="2"/>
  <c r="U39" i="2"/>
  <c r="Q39" i="2"/>
  <c r="M39" i="2"/>
  <c r="I39" i="2"/>
  <c r="E39" i="2"/>
  <c r="A39" i="2"/>
  <c r="BK6" i="3"/>
  <c r="BK7" i="3" s="1"/>
  <c r="BK8" i="3" s="1"/>
  <c r="BK9" i="3" s="1"/>
  <c r="BK10" i="3" s="1"/>
  <c r="BK11" i="3" s="1"/>
  <c r="BK12" i="3" s="1"/>
  <c r="BK13" i="3" s="1"/>
  <c r="BK14" i="3" s="1"/>
  <c r="BK15" i="3" s="1"/>
  <c r="BK16" i="3" s="1"/>
  <c r="BK17" i="3" s="1"/>
  <c r="BK18" i="3" s="1"/>
  <c r="BK19" i="3" s="1"/>
  <c r="BK20" i="3" s="1"/>
  <c r="BK21" i="3" s="1"/>
  <c r="BK22" i="3" s="1"/>
  <c r="BK23" i="3" s="1"/>
  <c r="BK24" i="3" s="1"/>
  <c r="BK25" i="3" s="1"/>
  <c r="BK26" i="3" s="1"/>
  <c r="BK27" i="3" s="1"/>
  <c r="BK28" i="3" s="1"/>
  <c r="BK29" i="3" s="1"/>
  <c r="BK30" i="3" s="1"/>
  <c r="BK31" i="3" s="1"/>
  <c r="BK32" i="3" s="1"/>
  <c r="BK33" i="3" s="1"/>
  <c r="BK34" i="3" s="1"/>
  <c r="BK35" i="3" s="1"/>
  <c r="BK36" i="3" s="1"/>
  <c r="BK37" i="3" s="1"/>
  <c r="BK38" i="3" s="1"/>
  <c r="BK39" i="3" s="1"/>
  <c r="BK40" i="3" s="1"/>
  <c r="BK41" i="3" s="1"/>
  <c r="BK42" i="3" s="1"/>
  <c r="BL27" i="3"/>
  <c r="BL11" i="3"/>
  <c r="BL34" i="3"/>
  <c r="BL18" i="3"/>
  <c r="BL10" i="3"/>
  <c r="BL25" i="3"/>
  <c r="BL9" i="3"/>
  <c r="BL32" i="3"/>
  <c r="BL16" i="3"/>
  <c r="AW5" i="2"/>
  <c r="AX4" i="2" s="1"/>
  <c r="AW7" i="2"/>
  <c r="AX8" i="2" s="1"/>
  <c r="AW6" i="2"/>
  <c r="AW9" i="2" s="1"/>
  <c r="BU6" i="3"/>
  <c r="BU7" i="3" s="1"/>
  <c r="BU8" i="3" s="1"/>
  <c r="BU9" i="3" s="1"/>
  <c r="BU10" i="3" s="1"/>
  <c r="BU11" i="3" s="1"/>
  <c r="BU12" i="3" s="1"/>
  <c r="BU13" i="3" s="1"/>
  <c r="BU14" i="3" s="1"/>
  <c r="BU15" i="3" s="1"/>
  <c r="BU16" i="3" s="1"/>
  <c r="BU17" i="3" s="1"/>
  <c r="BU18" i="3" s="1"/>
  <c r="BU19" i="3" s="1"/>
  <c r="BU20" i="3" s="1"/>
  <c r="BU21" i="3" s="1"/>
  <c r="BU22" i="3" s="1"/>
  <c r="BU23" i="3" s="1"/>
  <c r="BU24" i="3" s="1"/>
  <c r="BU25" i="3" s="1"/>
  <c r="BU26" i="3" s="1"/>
  <c r="BU27" i="3" s="1"/>
  <c r="BU28" i="3" s="1"/>
  <c r="BU29" i="3" s="1"/>
  <c r="BU30" i="3" s="1"/>
  <c r="BU31" i="3" s="1"/>
  <c r="BU32" i="3" s="1"/>
  <c r="BU33" i="3" s="1"/>
  <c r="BU34" i="3" s="1"/>
  <c r="BU35" i="3" s="1"/>
  <c r="BU36" i="3" s="1"/>
  <c r="BU37" i="3" s="1"/>
  <c r="BU38" i="3" s="1"/>
  <c r="BU39" i="3" s="1"/>
  <c r="BU40" i="3" s="1"/>
  <c r="BU41" i="3" s="1"/>
  <c r="BU42" i="3" s="1"/>
  <c r="BV31" i="3"/>
  <c r="BV27" i="3"/>
  <c r="BV15" i="3"/>
  <c r="BV11" i="3"/>
  <c r="BV22" i="3"/>
  <c r="BV10" i="3"/>
  <c r="BV33" i="3"/>
  <c r="BV29" i="3"/>
  <c r="BV17" i="3"/>
  <c r="BV13" i="3"/>
  <c r="BV30" i="3"/>
  <c r="BV14" i="3"/>
  <c r="BV32" i="3"/>
  <c r="BV28" i="3"/>
  <c r="BV16" i="3"/>
  <c r="BV12" i="3"/>
  <c r="BV38" i="3"/>
  <c r="BV34" i="3"/>
  <c r="BV5" i="3"/>
  <c r="CD6" i="3"/>
  <c r="AT7" i="3"/>
  <c r="AT18" i="3"/>
  <c r="CD14" i="3"/>
  <c r="CD22" i="3"/>
  <c r="CD30" i="3"/>
  <c r="DA15" i="4"/>
  <c r="DA24" i="4"/>
  <c r="DA28" i="4"/>
  <c r="DA36" i="4"/>
  <c r="DU9" i="4"/>
  <c r="DU16" i="4"/>
  <c r="DU21" i="4"/>
  <c r="DU19" i="4"/>
  <c r="DU27" i="4"/>
  <c r="DU22" i="4"/>
  <c r="DU31" i="4"/>
  <c r="DU36" i="4"/>
  <c r="AR13" i="3"/>
  <c r="AR17" i="3"/>
  <c r="AR21" i="3"/>
  <c r="AR25" i="3"/>
  <c r="AR29" i="3"/>
  <c r="AR33" i="3"/>
  <c r="AR42" i="3"/>
  <c r="AV26" i="3"/>
  <c r="AV39" i="3"/>
  <c r="EW32" i="4"/>
  <c r="EW10" i="4"/>
  <c r="EW30" i="4"/>
  <c r="EW13" i="4"/>
  <c r="EW4" i="4"/>
  <c r="EX4" i="4" s="1"/>
  <c r="EW20" i="4"/>
  <c r="EW39" i="4"/>
  <c r="EW33" i="4"/>
  <c r="EW6" i="4"/>
  <c r="EW31" i="4"/>
  <c r="EW38" i="4"/>
  <c r="FA22" i="4"/>
  <c r="FA14" i="4"/>
  <c r="BM4" i="4"/>
  <c r="BG4" i="3" s="1"/>
  <c r="BM15" i="4"/>
  <c r="BM10" i="4"/>
  <c r="BM13" i="4"/>
  <c r="BM28" i="4"/>
  <c r="BM26" i="4"/>
  <c r="BM36" i="4"/>
  <c r="BM37" i="4"/>
  <c r="BT10" i="3"/>
  <c r="BT21" i="3"/>
  <c r="BT41" i="3"/>
  <c r="BT39" i="3"/>
  <c r="BT26" i="3"/>
  <c r="BT9" i="3"/>
  <c r="BT24" i="3"/>
  <c r="BT6" i="3"/>
  <c r="BT15" i="3"/>
  <c r="BT31" i="3"/>
  <c r="AN8" i="3"/>
  <c r="AN19" i="3"/>
  <c r="AN35" i="3"/>
  <c r="AN12" i="3"/>
  <c r="AN28" i="3"/>
  <c r="AN36" i="3"/>
  <c r="AN25" i="3"/>
  <c r="AN5" i="3"/>
  <c r="AN14" i="3"/>
  <c r="AN30" i="3"/>
  <c r="DK32" i="4"/>
  <c r="DK22" i="4"/>
  <c r="DK24" i="4"/>
  <c r="DK21" i="4"/>
  <c r="DK26" i="4"/>
  <c r="DK40" i="4"/>
  <c r="DK35" i="4"/>
  <c r="DK29" i="4"/>
  <c r="DK30" i="4"/>
  <c r="BB37" i="3"/>
  <c r="BB24" i="3"/>
  <c r="BB42" i="3"/>
  <c r="BB13" i="3"/>
  <c r="BB29" i="3"/>
  <c r="BB6" i="3"/>
  <c r="BB22" i="3"/>
  <c r="BB40" i="3"/>
  <c r="BB15" i="3"/>
  <c r="BB31" i="3"/>
  <c r="AT10" i="3"/>
  <c r="AT14" i="3"/>
  <c r="AT22" i="3"/>
  <c r="AT26" i="3"/>
  <c r="AT30" i="3"/>
  <c r="AT34" i="3"/>
  <c r="AT39" i="3"/>
  <c r="CD7" i="3"/>
  <c r="CD10" i="3"/>
  <c r="CD18" i="3"/>
  <c r="CD26" i="3"/>
  <c r="CD34" i="3"/>
  <c r="CD38" i="3"/>
  <c r="CD42" i="3"/>
  <c r="CG4" i="4"/>
  <c r="BO4" i="3" s="1"/>
  <c r="CG7" i="4"/>
  <c r="CG24" i="4"/>
  <c r="CG19" i="4"/>
  <c r="CG18" i="4"/>
  <c r="CG27" i="4"/>
  <c r="CG26" i="4"/>
  <c r="CG36" i="4"/>
  <c r="CG33" i="4"/>
  <c r="BK14" i="2"/>
  <c r="BK10" i="2"/>
  <c r="BK27" i="2"/>
  <c r="AH43" i="2"/>
  <c r="AD43" i="2"/>
  <c r="Z43" i="2"/>
  <c r="V43" i="2"/>
  <c r="R43" i="2"/>
  <c r="N43" i="2"/>
  <c r="J43" i="2"/>
  <c r="F43" i="2"/>
  <c r="B43" i="2"/>
  <c r="AG43" i="2"/>
  <c r="AB43" i="2"/>
  <c r="W43" i="2"/>
  <c r="Q43" i="2"/>
  <c r="L43" i="2"/>
  <c r="G43" i="2"/>
  <c r="A43" i="2"/>
  <c r="AF43" i="2"/>
  <c r="AA43" i="2"/>
  <c r="U43" i="2"/>
  <c r="P43" i="2"/>
  <c r="K43" i="2"/>
  <c r="E43" i="2"/>
  <c r="AE43" i="2"/>
  <c r="Y43" i="2"/>
  <c r="T43" i="2"/>
  <c r="O43" i="2"/>
  <c r="I43" i="2"/>
  <c r="D43" i="2"/>
  <c r="BK42" i="2"/>
  <c r="AI43" i="2"/>
  <c r="AC43" i="2"/>
  <c r="X43" i="2"/>
  <c r="S43" i="2"/>
  <c r="M43" i="2"/>
  <c r="H43" i="2"/>
  <c r="C43" i="2"/>
  <c r="AH51" i="2"/>
  <c r="AD51" i="2"/>
  <c r="Z51" i="2"/>
  <c r="V51" i="2"/>
  <c r="R51" i="2"/>
  <c r="N51" i="2"/>
  <c r="J51" i="2"/>
  <c r="F51" i="2"/>
  <c r="B51" i="2"/>
  <c r="AG51" i="2"/>
  <c r="AB51" i="2"/>
  <c r="W51" i="2"/>
  <c r="Q51" i="2"/>
  <c r="L51" i="2"/>
  <c r="G51" i="2"/>
  <c r="A51" i="2"/>
  <c r="AF51" i="2"/>
  <c r="AA51" i="2"/>
  <c r="U51" i="2"/>
  <c r="P51" i="2"/>
  <c r="K51" i="2"/>
  <c r="E51" i="2"/>
  <c r="AE51" i="2"/>
  <c r="Y51" i="2"/>
  <c r="T51" i="2"/>
  <c r="O51" i="2"/>
  <c r="I51" i="2"/>
  <c r="D51" i="2"/>
  <c r="BK50" i="2"/>
  <c r="AI51" i="2"/>
  <c r="AC51" i="2"/>
  <c r="X51" i="2"/>
  <c r="S51" i="2"/>
  <c r="M51" i="2"/>
  <c r="H51" i="2"/>
  <c r="C51" i="2"/>
  <c r="BK16" i="2"/>
  <c r="BK32" i="2"/>
  <c r="BK8" i="2"/>
  <c r="BK21" i="2"/>
  <c r="BK37" i="2"/>
  <c r="AH50" i="2"/>
  <c r="AD50" i="2"/>
  <c r="Z50" i="2"/>
  <c r="V50" i="2"/>
  <c r="R50" i="2"/>
  <c r="N50" i="2"/>
  <c r="J50" i="2"/>
  <c r="F50" i="2"/>
  <c r="B50" i="2"/>
  <c r="AE50" i="2"/>
  <c r="Y50" i="2"/>
  <c r="T50" i="2"/>
  <c r="O50" i="2"/>
  <c r="I50" i="2"/>
  <c r="D50" i="2"/>
  <c r="BK49" i="2"/>
  <c r="AI50" i="2"/>
  <c r="AC50" i="2"/>
  <c r="X50" i="2"/>
  <c r="S50" i="2"/>
  <c r="M50" i="2"/>
  <c r="H50" i="2"/>
  <c r="C50" i="2"/>
  <c r="AG50" i="2"/>
  <c r="AB50" i="2"/>
  <c r="W50" i="2"/>
  <c r="Q50" i="2"/>
  <c r="L50" i="2"/>
  <c r="G50" i="2"/>
  <c r="A50" i="2"/>
  <c r="AF50" i="2"/>
  <c r="AA50" i="2"/>
  <c r="U50" i="2"/>
  <c r="P50" i="2"/>
  <c r="K50" i="2"/>
  <c r="E50" i="2"/>
  <c r="BK30" i="2"/>
  <c r="DA8" i="4"/>
  <c r="DA32" i="4"/>
  <c r="DA20" i="4"/>
  <c r="DA35" i="4"/>
  <c r="DA40" i="4"/>
  <c r="BY5" i="3"/>
  <c r="BY6" i="3" s="1"/>
  <c r="BY7" i="3" s="1"/>
  <c r="BY8" i="3" s="1"/>
  <c r="BY9" i="3" s="1"/>
  <c r="BY10" i="3" s="1"/>
  <c r="BY11" i="3" s="1"/>
  <c r="BY12" i="3" s="1"/>
  <c r="BY13" i="3" s="1"/>
  <c r="BY14" i="3" s="1"/>
  <c r="BY15" i="3" s="1"/>
  <c r="BY16" i="3" s="1"/>
  <c r="BY17" i="3" s="1"/>
  <c r="BY18" i="3" s="1"/>
  <c r="BY19" i="3" s="1"/>
  <c r="BY20" i="3" s="1"/>
  <c r="BY21" i="3" s="1"/>
  <c r="BY22" i="3" s="1"/>
  <c r="BY23" i="3" s="1"/>
  <c r="BY24" i="3" s="1"/>
  <c r="BY25" i="3" s="1"/>
  <c r="BY26" i="3" s="1"/>
  <c r="BY27" i="3" s="1"/>
  <c r="BY28" i="3" s="1"/>
  <c r="BY29" i="3" s="1"/>
  <c r="BY30" i="3" s="1"/>
  <c r="BY31" i="3" s="1"/>
  <c r="BY32" i="3" s="1"/>
  <c r="BY33" i="3" s="1"/>
  <c r="BY34" i="3" s="1"/>
  <c r="BY35" i="3" s="1"/>
  <c r="BY36" i="3" s="1"/>
  <c r="BY37" i="3" s="1"/>
  <c r="BY38" i="3" s="1"/>
  <c r="BY39" i="3" s="1"/>
  <c r="BY40" i="3" s="1"/>
  <c r="BY41" i="3" s="1"/>
  <c r="BY42" i="3" s="1"/>
  <c r="BN39" i="3"/>
  <c r="BN38" i="3"/>
  <c r="BN35" i="3"/>
  <c r="BN34" i="3"/>
  <c r="BN31" i="3"/>
  <c r="BN30" i="3"/>
  <c r="BN27" i="3"/>
  <c r="BN26" i="3"/>
  <c r="BN23" i="3"/>
  <c r="BN22" i="3"/>
  <c r="BN19" i="3"/>
  <c r="BN18" i="3"/>
  <c r="BN15" i="3"/>
  <c r="BN14" i="3"/>
  <c r="BN11" i="3"/>
  <c r="BN10" i="3"/>
  <c r="BM5" i="3"/>
  <c r="BM6" i="3" s="1"/>
  <c r="BM7" i="3" s="1"/>
  <c r="BM8" i="3" s="1"/>
  <c r="BM9" i="3" s="1"/>
  <c r="BM10" i="3" s="1"/>
  <c r="BM11" i="3" s="1"/>
  <c r="BM12" i="3" s="1"/>
  <c r="BM13" i="3" s="1"/>
  <c r="BM14" i="3" s="1"/>
  <c r="BM15" i="3" s="1"/>
  <c r="BM16" i="3" s="1"/>
  <c r="BM17" i="3" s="1"/>
  <c r="BM18" i="3" s="1"/>
  <c r="BM19" i="3" s="1"/>
  <c r="BM20" i="3" s="1"/>
  <c r="BM21" i="3" s="1"/>
  <c r="BM22" i="3" s="1"/>
  <c r="BM23" i="3" s="1"/>
  <c r="BM24" i="3" s="1"/>
  <c r="BM25" i="3" s="1"/>
  <c r="BM26" i="3" s="1"/>
  <c r="BM27" i="3" s="1"/>
  <c r="BM28" i="3" s="1"/>
  <c r="BM29" i="3" s="1"/>
  <c r="BM30" i="3" s="1"/>
  <c r="BM31" i="3" s="1"/>
  <c r="BM32" i="3" s="1"/>
  <c r="BM33" i="3" s="1"/>
  <c r="BM34" i="3" s="1"/>
  <c r="BM35" i="3" s="1"/>
  <c r="BM36" i="3" s="1"/>
  <c r="BM37" i="3" s="1"/>
  <c r="BM38" i="3" s="1"/>
  <c r="BM39" i="3" s="1"/>
  <c r="BM40" i="3" s="1"/>
  <c r="BM41" i="3" s="1"/>
  <c r="BM42" i="3" s="1"/>
  <c r="BN42" i="3" s="1"/>
  <c r="BN8" i="3"/>
  <c r="BN7" i="3"/>
  <c r="BN6" i="3"/>
  <c r="BN5" i="3"/>
  <c r="AV24" i="3"/>
  <c r="AV42" i="3"/>
  <c r="CK9" i="3"/>
  <c r="AT5" i="3"/>
  <c r="AT8" i="3"/>
  <c r="AT11" i="3"/>
  <c r="AT15" i="3"/>
  <c r="AT19" i="3"/>
  <c r="AT23" i="3"/>
  <c r="AT27" i="3"/>
  <c r="AT31" i="3"/>
  <c r="AT35" i="3"/>
  <c r="AT40" i="3"/>
  <c r="CD5" i="3"/>
  <c r="CD8" i="3"/>
  <c r="CD11" i="3"/>
  <c r="CD15" i="3"/>
  <c r="CD19" i="3"/>
  <c r="CD23" i="3"/>
  <c r="CD27" i="3"/>
  <c r="CD31" i="3"/>
  <c r="CD35" i="3"/>
  <c r="CD39" i="3"/>
  <c r="AV37" i="3"/>
  <c r="CG6" i="4"/>
  <c r="CG9" i="4"/>
  <c r="CG25" i="4"/>
  <c r="CG28" i="4"/>
  <c r="CG13" i="4"/>
  <c r="CG21" i="4"/>
  <c r="CG29" i="4"/>
  <c r="CG40" i="4"/>
  <c r="CG37" i="4"/>
  <c r="BK18" i="2"/>
  <c r="BK15" i="2"/>
  <c r="BK31" i="2"/>
  <c r="AH45" i="2"/>
  <c r="AD45" i="2"/>
  <c r="Z45" i="2"/>
  <c r="V45" i="2"/>
  <c r="R45" i="2"/>
  <c r="N45" i="2"/>
  <c r="J45" i="2"/>
  <c r="F45" i="2"/>
  <c r="B45" i="2"/>
  <c r="AG45" i="2"/>
  <c r="AB45" i="2"/>
  <c r="W45" i="2"/>
  <c r="Q45" i="2"/>
  <c r="L45" i="2"/>
  <c r="G45" i="2"/>
  <c r="A45" i="2"/>
  <c r="AF45" i="2"/>
  <c r="AA45" i="2"/>
  <c r="U45" i="2"/>
  <c r="P45" i="2"/>
  <c r="K45" i="2"/>
  <c r="E45" i="2"/>
  <c r="AE45" i="2"/>
  <c r="Y45" i="2"/>
  <c r="T45" i="2"/>
  <c r="O45" i="2"/>
  <c r="I45" i="2"/>
  <c r="D45" i="2"/>
  <c r="BK44" i="2"/>
  <c r="AI45" i="2"/>
  <c r="AC45" i="2"/>
  <c r="X45" i="2"/>
  <c r="S45" i="2"/>
  <c r="M45" i="2"/>
  <c r="H45" i="2"/>
  <c r="C45" i="2"/>
  <c r="AH53" i="2"/>
  <c r="AD53" i="2"/>
  <c r="Z53" i="2"/>
  <c r="V53" i="2"/>
  <c r="R53" i="2"/>
  <c r="N53" i="2"/>
  <c r="J53" i="2"/>
  <c r="F53" i="2"/>
  <c r="B53" i="2"/>
  <c r="AG53" i="2"/>
  <c r="AB53" i="2"/>
  <c r="W53" i="2"/>
  <c r="Q53" i="2"/>
  <c r="L53" i="2"/>
  <c r="G53" i="2"/>
  <c r="A53" i="2"/>
  <c r="AF53" i="2"/>
  <c r="AA53" i="2"/>
  <c r="U53" i="2"/>
  <c r="P53" i="2"/>
  <c r="K53" i="2"/>
  <c r="E53" i="2"/>
  <c r="AE53" i="2"/>
  <c r="Y53" i="2"/>
  <c r="T53" i="2"/>
  <c r="O53" i="2"/>
  <c r="I53" i="2"/>
  <c r="D53" i="2"/>
  <c r="BK52" i="2"/>
  <c r="AI53" i="2"/>
  <c r="AC53" i="2"/>
  <c r="X53" i="2"/>
  <c r="S53" i="2"/>
  <c r="M53" i="2"/>
  <c r="H53" i="2"/>
  <c r="C53" i="2"/>
  <c r="BK20" i="2"/>
  <c r="BK36" i="2"/>
  <c r="BK12" i="2"/>
  <c r="BK25" i="2"/>
  <c r="AH44" i="2"/>
  <c r="AD44" i="2"/>
  <c r="Z44" i="2"/>
  <c r="V44" i="2"/>
  <c r="R44" i="2"/>
  <c r="N44" i="2"/>
  <c r="J44" i="2"/>
  <c r="F44" i="2"/>
  <c r="B44" i="2"/>
  <c r="AE44" i="2"/>
  <c r="Y44" i="2"/>
  <c r="T44" i="2"/>
  <c r="O44" i="2"/>
  <c r="I44" i="2"/>
  <c r="D44" i="2"/>
  <c r="BK43" i="2"/>
  <c r="AI44" i="2"/>
  <c r="AC44" i="2"/>
  <c r="X44" i="2"/>
  <c r="S44" i="2"/>
  <c r="M44" i="2"/>
  <c r="H44" i="2"/>
  <c r="C44" i="2"/>
  <c r="AG44" i="2"/>
  <c r="AB44" i="2"/>
  <c r="W44" i="2"/>
  <c r="Q44" i="2"/>
  <c r="L44" i="2"/>
  <c r="G44" i="2"/>
  <c r="A44" i="2"/>
  <c r="AF44" i="2"/>
  <c r="AA44" i="2"/>
  <c r="U44" i="2"/>
  <c r="P44" i="2"/>
  <c r="K44" i="2"/>
  <c r="E44" i="2"/>
  <c r="AH52" i="2"/>
  <c r="AD52" i="2"/>
  <c r="Z52" i="2"/>
  <c r="V52" i="2"/>
  <c r="R52" i="2"/>
  <c r="N52" i="2"/>
  <c r="J52" i="2"/>
  <c r="F52" i="2"/>
  <c r="B52" i="2"/>
  <c r="AE52" i="2"/>
  <c r="Y52" i="2"/>
  <c r="T52" i="2"/>
  <c r="O52" i="2"/>
  <c r="I52" i="2"/>
  <c r="D52" i="2"/>
  <c r="BK51" i="2"/>
  <c r="AI52" i="2"/>
  <c r="AC52" i="2"/>
  <c r="X52" i="2"/>
  <c r="S52" i="2"/>
  <c r="M52" i="2"/>
  <c r="H52" i="2"/>
  <c r="C52" i="2"/>
  <c r="AG52" i="2"/>
  <c r="AB52" i="2"/>
  <c r="W52" i="2"/>
  <c r="Q52" i="2"/>
  <c r="L52" i="2"/>
  <c r="G52" i="2"/>
  <c r="A52" i="2"/>
  <c r="AF52" i="2"/>
  <c r="AA52" i="2"/>
  <c r="U52" i="2"/>
  <c r="P52" i="2"/>
  <c r="K52" i="2"/>
  <c r="E52" i="2"/>
  <c r="BK34" i="2"/>
  <c r="AV31" i="3"/>
  <c r="AV15" i="3"/>
  <c r="AV7" i="3"/>
  <c r="DA5" i="4"/>
  <c r="DA9" i="4"/>
  <c r="DA16" i="4"/>
  <c r="DA10" i="4"/>
  <c r="DA13" i="4"/>
  <c r="DA31" i="4"/>
  <c r="DA29" i="4"/>
  <c r="DA30" i="4"/>
  <c r="DA37" i="4"/>
  <c r="AV25" i="3"/>
  <c r="DU5" i="4"/>
  <c r="DU8" i="4"/>
  <c r="DU23" i="4"/>
  <c r="DU10" i="4"/>
  <c r="DU13" i="4"/>
  <c r="DU25" i="4"/>
  <c r="DU26" i="4"/>
  <c r="DU30" i="4"/>
  <c r="DU39" i="4"/>
  <c r="AR4" i="3"/>
  <c r="AR5" i="3"/>
  <c r="AR37" i="3"/>
  <c r="AR38" i="3"/>
  <c r="AR14" i="3"/>
  <c r="AR18" i="3"/>
  <c r="AR22" i="3"/>
  <c r="AR26" i="3"/>
  <c r="AR30" i="3"/>
  <c r="AR34" i="3"/>
  <c r="AV41" i="3"/>
  <c r="AV22" i="3"/>
  <c r="AV38" i="3"/>
  <c r="EW8" i="4"/>
  <c r="EW17" i="4"/>
  <c r="EW37" i="4"/>
  <c r="EW22" i="4"/>
  <c r="EW7" i="4"/>
  <c r="EW28" i="4"/>
  <c r="EW11" i="4"/>
  <c r="EW23" i="4"/>
  <c r="AE10" i="3"/>
  <c r="BM11" i="4"/>
  <c r="BM27" i="4"/>
  <c r="BM9" i="4"/>
  <c r="BM14" i="4"/>
  <c r="BM17" i="4"/>
  <c r="BM21" i="4"/>
  <c r="BM29" i="4"/>
  <c r="BM30" i="4"/>
  <c r="BM40" i="4"/>
  <c r="BI6" i="3"/>
  <c r="AV17" i="3"/>
  <c r="BT36" i="3"/>
  <c r="BT25" i="3"/>
  <c r="BT5" i="3"/>
  <c r="BT14" i="3"/>
  <c r="BT30" i="3"/>
  <c r="BT12" i="3"/>
  <c r="BT28" i="3"/>
  <c r="BT8" i="3"/>
  <c r="BT19" i="3"/>
  <c r="BT35" i="3"/>
  <c r="AN40" i="3"/>
  <c r="AN23" i="3"/>
  <c r="AN4" i="3"/>
  <c r="AN16" i="3"/>
  <c r="AN32" i="3"/>
  <c r="AN13" i="3"/>
  <c r="AN29" i="3"/>
  <c r="AN7" i="3"/>
  <c r="AN18" i="3"/>
  <c r="AN34" i="3"/>
  <c r="BH15" i="4"/>
  <c r="BH29" i="4"/>
  <c r="BH18" i="4"/>
  <c r="BH35" i="4"/>
  <c r="BH4" i="4"/>
  <c r="BE4" i="3" s="1"/>
  <c r="BH12" i="4"/>
  <c r="BH32" i="4"/>
  <c r="BH10" i="4"/>
  <c r="BH25" i="4"/>
  <c r="DK9" i="4"/>
  <c r="DK5" i="4"/>
  <c r="DK12" i="4"/>
  <c r="DK38" i="4"/>
  <c r="DK14" i="4"/>
  <c r="DK39" i="4"/>
  <c r="DK18" i="4"/>
  <c r="DK10" i="4"/>
  <c r="DK19" i="4"/>
  <c r="DK36" i="4"/>
  <c r="BB12" i="3"/>
  <c r="BB28" i="3"/>
  <c r="BB4" i="3"/>
  <c r="BB17" i="3"/>
  <c r="BB33" i="3"/>
  <c r="BB10" i="3"/>
  <c r="BB26" i="3"/>
  <c r="BB8" i="3"/>
  <c r="BB19" i="3"/>
  <c r="BB35" i="3"/>
  <c r="AR9" i="4"/>
  <c r="CD12" i="3"/>
  <c r="CD16" i="3"/>
  <c r="CD20" i="3"/>
  <c r="CD24" i="3"/>
  <c r="CD28" i="3"/>
  <c r="CD32" i="3"/>
  <c r="CD36" i="3"/>
  <c r="CD40" i="3"/>
  <c r="CG8" i="4"/>
  <c r="CG10" i="4"/>
  <c r="BK22" i="2"/>
  <c r="BK35" i="2"/>
  <c r="BK6" i="2"/>
  <c r="BK39" i="2"/>
  <c r="BK29" i="2"/>
  <c r="AH54" i="2"/>
  <c r="AD54" i="2"/>
  <c r="Z54" i="2"/>
  <c r="V54" i="2"/>
  <c r="R54" i="2"/>
  <c r="N54" i="2"/>
  <c r="J54" i="2"/>
  <c r="F54" i="2"/>
  <c r="B54" i="2"/>
  <c r="AE54" i="2"/>
  <c r="Y54" i="2"/>
  <c r="T54" i="2"/>
  <c r="O54" i="2"/>
  <c r="I54" i="2"/>
  <c r="D54" i="2"/>
  <c r="BK53" i="2"/>
  <c r="AI54" i="2"/>
  <c r="AC54" i="2"/>
  <c r="X54" i="2"/>
  <c r="S54" i="2"/>
  <c r="M54" i="2"/>
  <c r="H54" i="2"/>
  <c r="C54" i="2"/>
  <c r="AG54" i="2"/>
  <c r="AB54" i="2"/>
  <c r="W54" i="2"/>
  <c r="Q54" i="2"/>
  <c r="L54" i="2"/>
  <c r="G54" i="2"/>
  <c r="A54" i="2"/>
  <c r="AF54" i="2"/>
  <c r="AA54" i="2"/>
  <c r="U54" i="2"/>
  <c r="P54" i="2"/>
  <c r="K54" i="2"/>
  <c r="E54" i="2"/>
  <c r="DA4" i="4"/>
  <c r="BW4" i="3" s="1"/>
  <c r="DA11" i="4"/>
  <c r="DA23" i="4"/>
  <c r="DA14" i="4"/>
  <c r="DA17" i="4"/>
  <c r="DA25" i="4"/>
  <c r="DA22" i="4"/>
  <c r="DA34" i="4"/>
  <c r="DA39" i="4"/>
  <c r="CE5" i="3"/>
  <c r="CE6" i="3" s="1"/>
  <c r="DU29" i="4"/>
  <c r="DU17" i="4"/>
  <c r="DU28" i="4"/>
  <c r="DU35" i="4"/>
  <c r="DU34" i="4"/>
  <c r="DU38" i="4"/>
  <c r="AV34" i="3"/>
  <c r="AV18" i="3"/>
  <c r="AV5" i="3"/>
  <c r="EW5" i="4"/>
  <c r="EW25" i="4"/>
  <c r="EW24" i="4"/>
  <c r="EW40" i="4"/>
  <c r="EW16" i="4"/>
  <c r="EW29" i="4"/>
  <c r="EW9" i="4"/>
  <c r="EW27" i="4"/>
  <c r="AV4" i="3"/>
  <c r="BB16" i="3"/>
  <c r="BB32" i="3"/>
  <c r="BB5" i="3"/>
  <c r="BB21" i="3"/>
  <c r="BB39" i="3"/>
  <c r="BB14" i="3"/>
  <c r="BB30" i="3"/>
  <c r="BB36" i="3"/>
  <c r="BB23" i="3"/>
  <c r="BB41" i="3"/>
  <c r="CG11" i="4"/>
  <c r="CG31" i="4"/>
  <c r="CG17" i="4"/>
  <c r="CG23" i="4"/>
  <c r="CG32" i="4"/>
  <c r="CG30" i="4"/>
  <c r="CG39" i="4"/>
  <c r="BK19" i="2"/>
  <c r="AH47" i="2"/>
  <c r="AD47" i="2"/>
  <c r="Z47" i="2"/>
  <c r="V47" i="2"/>
  <c r="R47" i="2"/>
  <c r="N47" i="2"/>
  <c r="J47" i="2"/>
  <c r="F47" i="2"/>
  <c r="B47" i="2"/>
  <c r="AG47" i="2"/>
  <c r="AB47" i="2"/>
  <c r="W47" i="2"/>
  <c r="Q47" i="2"/>
  <c r="L47" i="2"/>
  <c r="G47" i="2"/>
  <c r="A47" i="2"/>
  <c r="AF47" i="2"/>
  <c r="AA47" i="2"/>
  <c r="U47" i="2"/>
  <c r="P47" i="2"/>
  <c r="K47" i="2"/>
  <c r="E47" i="2"/>
  <c r="AE47" i="2"/>
  <c r="Y47" i="2"/>
  <c r="T47" i="2"/>
  <c r="O47" i="2"/>
  <c r="I47" i="2"/>
  <c r="D47" i="2"/>
  <c r="BK46" i="2"/>
  <c r="AI47" i="2"/>
  <c r="AC47" i="2"/>
  <c r="X47" i="2"/>
  <c r="S47" i="2"/>
  <c r="M47" i="2"/>
  <c r="H47" i="2"/>
  <c r="C47" i="2"/>
  <c r="BK24" i="2"/>
  <c r="BK13" i="2"/>
  <c r="AH46" i="2"/>
  <c r="AD46" i="2"/>
  <c r="Z46" i="2"/>
  <c r="V46" i="2"/>
  <c r="R46" i="2"/>
  <c r="N46" i="2"/>
  <c r="J46" i="2"/>
  <c r="F46" i="2"/>
  <c r="B46" i="2"/>
  <c r="AE46" i="2"/>
  <c r="Y46" i="2"/>
  <c r="T46" i="2"/>
  <c r="O46" i="2"/>
  <c r="I46" i="2"/>
  <c r="D46" i="2"/>
  <c r="BK45" i="2"/>
  <c r="AI46" i="2"/>
  <c r="AC46" i="2"/>
  <c r="X46" i="2"/>
  <c r="S46" i="2"/>
  <c r="M46" i="2"/>
  <c r="H46" i="2"/>
  <c r="C46" i="2"/>
  <c r="AG46" i="2"/>
  <c r="AB46" i="2"/>
  <c r="W46" i="2"/>
  <c r="Q46" i="2"/>
  <c r="L46" i="2"/>
  <c r="G46" i="2"/>
  <c r="A46" i="2"/>
  <c r="AF46" i="2"/>
  <c r="AA46" i="2"/>
  <c r="U46" i="2"/>
  <c r="P46" i="2"/>
  <c r="K46" i="2"/>
  <c r="E46" i="2"/>
  <c r="BK38" i="2"/>
  <c r="CK5" i="4"/>
  <c r="CK6" i="4" s="1"/>
  <c r="CK7" i="4" s="1"/>
  <c r="CK8" i="4" s="1"/>
  <c r="CK9" i="4" s="1"/>
  <c r="CK10" i="4" s="1"/>
  <c r="CK11" i="4" s="1"/>
  <c r="CK12" i="4" s="1"/>
  <c r="CK13" i="4" s="1"/>
  <c r="CK14" i="4" s="1"/>
  <c r="CK15" i="4" s="1"/>
  <c r="CK16" i="4" s="1"/>
  <c r="CK17" i="4" s="1"/>
  <c r="CK18" i="4" s="1"/>
  <c r="CK19" i="4" s="1"/>
  <c r="CK20" i="4" s="1"/>
  <c r="CK21" i="4" s="1"/>
  <c r="CK22" i="4" s="1"/>
  <c r="CK23" i="4" s="1"/>
  <c r="CK24" i="4" s="1"/>
  <c r="CK25" i="4" s="1"/>
  <c r="CK26" i="4" s="1"/>
  <c r="CK27" i="4" s="1"/>
  <c r="CK28" i="4" s="1"/>
  <c r="CK29" i="4" s="1"/>
  <c r="CK30" i="4" s="1"/>
  <c r="CK31" i="4" s="1"/>
  <c r="CK32" i="4" s="1"/>
  <c r="CK33" i="4" s="1"/>
  <c r="CK34" i="4" s="1"/>
  <c r="CK35" i="4" s="1"/>
  <c r="CK36" i="4" s="1"/>
  <c r="CK37" i="4" s="1"/>
  <c r="CK38" i="4" s="1"/>
  <c r="CK39" i="4" s="1"/>
  <c r="CK40" i="4" s="1"/>
  <c r="BD38" i="3"/>
  <c r="BD35" i="3"/>
  <c r="BD34" i="3"/>
  <c r="BD32" i="3"/>
  <c r="BD31" i="3"/>
  <c r="BD30" i="3"/>
  <c r="BD28" i="3"/>
  <c r="BD27" i="3"/>
  <c r="BD26" i="3"/>
  <c r="BD24" i="3"/>
  <c r="BD23" i="3"/>
  <c r="BD22" i="3"/>
  <c r="BD20" i="3"/>
  <c r="BD19" i="3"/>
  <c r="BD18" i="3"/>
  <c r="BD16" i="3"/>
  <c r="BD15" i="3"/>
  <c r="BD14" i="3"/>
  <c r="BD12" i="3"/>
  <c r="BD11" i="3"/>
  <c r="BD39" i="3"/>
  <c r="BC5" i="3"/>
  <c r="BC6" i="3" s="1"/>
  <c r="BC7" i="3" s="1"/>
  <c r="BC8" i="3" s="1"/>
  <c r="BC9" i="3" s="1"/>
  <c r="BC10" i="3" s="1"/>
  <c r="BC11" i="3" s="1"/>
  <c r="BC12" i="3" s="1"/>
  <c r="BC13" i="3" s="1"/>
  <c r="BC14" i="3" s="1"/>
  <c r="BC15" i="3" s="1"/>
  <c r="BC16" i="3" s="1"/>
  <c r="BC17" i="3" s="1"/>
  <c r="BC18" i="3" s="1"/>
  <c r="BC19" i="3" s="1"/>
  <c r="BC20" i="3" s="1"/>
  <c r="BC21" i="3" s="1"/>
  <c r="BC22" i="3" s="1"/>
  <c r="BC23" i="3" s="1"/>
  <c r="BC24" i="3" s="1"/>
  <c r="BC25" i="3" s="1"/>
  <c r="BC26" i="3" s="1"/>
  <c r="BC27" i="3" s="1"/>
  <c r="BC28" i="3" s="1"/>
  <c r="BC29" i="3" s="1"/>
  <c r="BC30" i="3" s="1"/>
  <c r="BC31" i="3" s="1"/>
  <c r="BC32" i="3" s="1"/>
  <c r="BC33" i="3" s="1"/>
  <c r="BC34" i="3" s="1"/>
  <c r="BC35" i="3" s="1"/>
  <c r="BC36" i="3" s="1"/>
  <c r="BC37" i="3" s="1"/>
  <c r="BC38" i="3" s="1"/>
  <c r="BC39" i="3" s="1"/>
  <c r="BC40" i="3" s="1"/>
  <c r="BC41" i="3" s="1"/>
  <c r="BC42" i="3" s="1"/>
  <c r="BD42" i="3"/>
  <c r="BD40" i="3"/>
  <c r="BD37" i="3"/>
  <c r="BD36" i="3"/>
  <c r="BD9" i="3"/>
  <c r="BD8" i="3"/>
  <c r="BD7" i="3"/>
  <c r="BD10" i="3"/>
  <c r="BD4" i="3"/>
  <c r="BD6" i="3"/>
  <c r="BD5" i="3"/>
  <c r="AT4" i="3"/>
  <c r="AT9" i="3"/>
  <c r="AT13" i="3"/>
  <c r="AT17" i="3"/>
  <c r="AT21" i="3"/>
  <c r="AT25" i="3"/>
  <c r="AT29" i="3"/>
  <c r="AT33" i="3"/>
  <c r="AT37" i="3"/>
  <c r="AT42" i="3"/>
  <c r="CD4" i="3"/>
  <c r="CD9" i="3"/>
  <c r="CD13" i="3"/>
  <c r="CD17" i="3"/>
  <c r="CD21" i="3"/>
  <c r="CD25" i="3"/>
  <c r="CD29" i="3"/>
  <c r="CD33" i="3"/>
  <c r="CD37" i="3"/>
  <c r="CD41" i="3"/>
  <c r="CG5" i="4"/>
  <c r="CG15" i="4"/>
  <c r="CG12" i="4"/>
  <c r="CG16" i="4"/>
  <c r="CG14" i="4"/>
  <c r="CG20" i="4"/>
  <c r="CG22" i="4"/>
  <c r="CG35" i="4"/>
  <c r="CG34" i="4"/>
  <c r="CG38" i="4"/>
  <c r="BK9" i="2"/>
  <c r="BK5" i="2"/>
  <c r="BK23" i="2"/>
  <c r="BK40" i="2"/>
  <c r="AH49" i="2"/>
  <c r="AD49" i="2"/>
  <c r="Z49" i="2"/>
  <c r="V49" i="2"/>
  <c r="R49" i="2"/>
  <c r="N49" i="2"/>
  <c r="J49" i="2"/>
  <c r="F49" i="2"/>
  <c r="B49" i="2"/>
  <c r="AG49" i="2"/>
  <c r="AB49" i="2"/>
  <c r="W49" i="2"/>
  <c r="Q49" i="2"/>
  <c r="L49" i="2"/>
  <c r="G49" i="2"/>
  <c r="A49" i="2"/>
  <c r="AF49" i="2"/>
  <c r="AA49" i="2"/>
  <c r="U49" i="2"/>
  <c r="P49" i="2"/>
  <c r="K49" i="2"/>
  <c r="E49" i="2"/>
  <c r="AE49" i="2"/>
  <c r="Y49" i="2"/>
  <c r="T49" i="2"/>
  <c r="O49" i="2"/>
  <c r="I49" i="2"/>
  <c r="D49" i="2"/>
  <c r="BK48" i="2"/>
  <c r="AI49" i="2"/>
  <c r="AC49" i="2"/>
  <c r="X49" i="2"/>
  <c r="S49" i="2"/>
  <c r="M49" i="2"/>
  <c r="H49" i="2"/>
  <c r="C49" i="2"/>
  <c r="BK11" i="2"/>
  <c r="BK28" i="2"/>
  <c r="BK7" i="2"/>
  <c r="BK17" i="2"/>
  <c r="BK33" i="2"/>
  <c r="AH48" i="2"/>
  <c r="AD48" i="2"/>
  <c r="Z48" i="2"/>
  <c r="V48" i="2"/>
  <c r="R48" i="2"/>
  <c r="N48" i="2"/>
  <c r="J48" i="2"/>
  <c r="F48" i="2"/>
  <c r="B48" i="2"/>
  <c r="AE48" i="2"/>
  <c r="Y48" i="2"/>
  <c r="T48" i="2"/>
  <c r="O48" i="2"/>
  <c r="I48" i="2"/>
  <c r="D48" i="2"/>
  <c r="BK47" i="2"/>
  <c r="AI48" i="2"/>
  <c r="AC48" i="2"/>
  <c r="X48" i="2"/>
  <c r="S48" i="2"/>
  <c r="M48" i="2"/>
  <c r="H48" i="2"/>
  <c r="C48" i="2"/>
  <c r="AG48" i="2"/>
  <c r="AB48" i="2"/>
  <c r="W48" i="2"/>
  <c r="Q48" i="2"/>
  <c r="L48" i="2"/>
  <c r="G48" i="2"/>
  <c r="A48" i="2"/>
  <c r="AF48" i="2"/>
  <c r="AA48" i="2"/>
  <c r="U48" i="2"/>
  <c r="P48" i="2"/>
  <c r="K48" i="2"/>
  <c r="E48" i="2"/>
  <c r="BK26" i="2"/>
  <c r="BK41" i="2"/>
  <c r="AV23" i="3"/>
  <c r="AV40" i="3"/>
  <c r="DA7" i="4"/>
  <c r="DA6" i="4"/>
  <c r="DA12" i="4"/>
  <c r="DA21" i="4"/>
  <c r="DA18" i="4"/>
  <c r="DA19" i="4"/>
  <c r="DA27" i="4"/>
  <c r="DA26" i="4"/>
  <c r="DA33" i="4"/>
  <c r="DA38" i="4"/>
  <c r="AV33" i="3"/>
  <c r="AV13" i="3"/>
  <c r="DU12" i="4"/>
  <c r="DU7" i="4"/>
  <c r="DU11" i="4"/>
  <c r="DU24" i="4"/>
  <c r="DU18" i="4"/>
  <c r="DU20" i="4"/>
  <c r="DU32" i="4"/>
  <c r="DU37" i="4"/>
  <c r="DU33" i="4"/>
  <c r="DU40" i="4"/>
  <c r="AR7" i="3"/>
  <c r="AR10" i="3"/>
  <c r="AR41" i="3"/>
  <c r="AR12" i="3"/>
  <c r="AR16" i="3"/>
  <c r="AR20" i="3"/>
  <c r="AR24" i="3"/>
  <c r="AR28" i="3"/>
  <c r="AR32" i="3"/>
  <c r="AR40" i="3"/>
  <c r="AV30" i="3"/>
  <c r="AV14" i="3"/>
  <c r="EW19" i="4"/>
  <c r="EW12" i="4"/>
  <c r="EW26" i="4"/>
  <c r="EW15" i="4"/>
  <c r="EW14" i="4"/>
  <c r="EW34" i="4"/>
  <c r="EW18" i="4"/>
  <c r="FA6" i="4"/>
  <c r="FA12" i="4"/>
  <c r="FA13" i="4"/>
  <c r="FA40" i="4"/>
  <c r="FA35" i="4"/>
  <c r="FA15" i="4"/>
  <c r="FA28" i="4"/>
  <c r="FA21" i="4"/>
  <c r="FA26" i="4"/>
  <c r="FA30" i="4"/>
  <c r="FA23" i="4"/>
  <c r="FA33" i="4"/>
  <c r="FA32" i="4"/>
  <c r="FA38" i="4"/>
  <c r="FA10" i="4"/>
  <c r="FA9" i="4"/>
  <c r="FA34" i="4"/>
  <c r="FA8" i="4"/>
  <c r="FA11" i="4"/>
  <c r="FA31" i="4"/>
  <c r="FA29" i="4"/>
  <c r="FA18" i="4"/>
  <c r="FA4" i="4"/>
  <c r="FB34" i="4" s="1"/>
  <c r="FA27" i="4"/>
  <c r="FA37" i="4"/>
  <c r="FA25" i="4"/>
  <c r="FA20" i="4"/>
  <c r="FA24" i="4"/>
  <c r="FA19" i="4"/>
  <c r="FA36" i="4"/>
  <c r="FA5" i="4"/>
  <c r="FB16" i="4" s="1"/>
  <c r="FA39" i="4"/>
  <c r="FB11" i="4"/>
  <c r="FA16" i="4"/>
  <c r="DZ38" i="4"/>
  <c r="DZ31" i="4"/>
  <c r="DZ19" i="4"/>
  <c r="DZ26" i="4"/>
  <c r="DZ14" i="4"/>
  <c r="DZ7" i="4"/>
  <c r="DZ29" i="4"/>
  <c r="DZ8" i="4"/>
  <c r="DZ5" i="4"/>
  <c r="DY5" i="4"/>
  <c r="DY6" i="4" s="1"/>
  <c r="DY7" i="4" s="1"/>
  <c r="DY8" i="4" s="1"/>
  <c r="DY9" i="4" s="1"/>
  <c r="DY10" i="4" s="1"/>
  <c r="DY11" i="4" s="1"/>
  <c r="DY12" i="4" s="1"/>
  <c r="DY13" i="4" s="1"/>
  <c r="DY14" i="4" s="1"/>
  <c r="DY15" i="4" s="1"/>
  <c r="DY16" i="4" s="1"/>
  <c r="DY17" i="4" s="1"/>
  <c r="DY18" i="4" s="1"/>
  <c r="DY19" i="4" s="1"/>
  <c r="DY20" i="4" s="1"/>
  <c r="DY21" i="4" s="1"/>
  <c r="DY22" i="4" s="1"/>
  <c r="DY23" i="4" s="1"/>
  <c r="DY24" i="4" s="1"/>
  <c r="DY25" i="4" s="1"/>
  <c r="DY26" i="4" s="1"/>
  <c r="DY27" i="4" s="1"/>
  <c r="DY28" i="4" s="1"/>
  <c r="DY29" i="4" s="1"/>
  <c r="DY30" i="4" s="1"/>
  <c r="DY31" i="4" s="1"/>
  <c r="DY32" i="4" s="1"/>
  <c r="DY33" i="4" s="1"/>
  <c r="DY34" i="4" s="1"/>
  <c r="DY35" i="4" s="1"/>
  <c r="DY36" i="4" s="1"/>
  <c r="DY37" i="4" s="1"/>
  <c r="DY38" i="4" s="1"/>
  <c r="DY39" i="4" s="1"/>
  <c r="DY40" i="4" s="1"/>
  <c r="BM8" i="4"/>
  <c r="BM12" i="4"/>
  <c r="BM7" i="4"/>
  <c r="BM20" i="4"/>
  <c r="BM25" i="4"/>
  <c r="BM24" i="4"/>
  <c r="BM22" i="4"/>
  <c r="BM35" i="4"/>
  <c r="BM33" i="4"/>
  <c r="BM38" i="4"/>
  <c r="AV10" i="3"/>
  <c r="BT42" i="3"/>
  <c r="BT17" i="3"/>
  <c r="BT33" i="3"/>
  <c r="BT37" i="3"/>
  <c r="BT22" i="3"/>
  <c r="BT4" i="3"/>
  <c r="BT20" i="3"/>
  <c r="BT38" i="3"/>
  <c r="BT11" i="3"/>
  <c r="BT27" i="3"/>
  <c r="AN6" i="3"/>
  <c r="AN15" i="3"/>
  <c r="AN31" i="3"/>
  <c r="AN42" i="3"/>
  <c r="AN24" i="3"/>
  <c r="AN10" i="3"/>
  <c r="AN21" i="3"/>
  <c r="AN41" i="3"/>
  <c r="AN39" i="3"/>
  <c r="AN26" i="3"/>
  <c r="CA5" i="3"/>
  <c r="CA6" i="3" s="1"/>
  <c r="CA7" i="3" s="1"/>
  <c r="CA8" i="3" s="1"/>
  <c r="CA9" i="3" s="1"/>
  <c r="CA10" i="3" s="1"/>
  <c r="CA11" i="3" s="1"/>
  <c r="CA12" i="3" s="1"/>
  <c r="CA13" i="3" s="1"/>
  <c r="CA14" i="3" s="1"/>
  <c r="CA15" i="3" s="1"/>
  <c r="CA16" i="3" s="1"/>
  <c r="CA17" i="3" s="1"/>
  <c r="CA18" i="3" s="1"/>
  <c r="CA19" i="3" s="1"/>
  <c r="CA20" i="3" s="1"/>
  <c r="CA21" i="3" s="1"/>
  <c r="CA22" i="3" s="1"/>
  <c r="CA23" i="3" s="1"/>
  <c r="CA24" i="3" s="1"/>
  <c r="CA25" i="3" s="1"/>
  <c r="CA26" i="3" s="1"/>
  <c r="CA27" i="3" s="1"/>
  <c r="CA28" i="3" s="1"/>
  <c r="CA29" i="3" s="1"/>
  <c r="CA30" i="3" s="1"/>
  <c r="CA31" i="3" s="1"/>
  <c r="CA32" i="3" s="1"/>
  <c r="CA33" i="3" s="1"/>
  <c r="CA34" i="3" s="1"/>
  <c r="CA35" i="3" s="1"/>
  <c r="CA36" i="3" s="1"/>
  <c r="CA37" i="3" s="1"/>
  <c r="CA38" i="3" s="1"/>
  <c r="CA39" i="3" s="1"/>
  <c r="CA40" i="3" s="1"/>
  <c r="CA41" i="3" s="1"/>
  <c r="CA42" i="3" s="1"/>
  <c r="AX5" i="2" l="1"/>
  <c r="AX7" i="2"/>
  <c r="AY8" i="2" s="1"/>
  <c r="AX6" i="2"/>
  <c r="AX9" i="2" s="1"/>
  <c r="AY4" i="2"/>
  <c r="CB7" i="3"/>
  <c r="CB24" i="3"/>
  <c r="CB4" i="3"/>
  <c r="CB13" i="3"/>
  <c r="CB25" i="3"/>
  <c r="CB29" i="3"/>
  <c r="CB33" i="3"/>
  <c r="CB37" i="3"/>
  <c r="FB20" i="4"/>
  <c r="FB36" i="4"/>
  <c r="CB40" i="3"/>
  <c r="CB18" i="3"/>
  <c r="DZ6" i="4"/>
  <c r="DZ16" i="4"/>
  <c r="DZ21" i="4"/>
  <c r="DZ11" i="4"/>
  <c r="DZ18" i="4"/>
  <c r="DZ28" i="4"/>
  <c r="DZ23" i="4"/>
  <c r="DZ30" i="4"/>
  <c r="DZ37" i="4"/>
  <c r="FB15" i="4"/>
  <c r="FB29" i="4"/>
  <c r="FB31" i="4"/>
  <c r="FB8" i="4"/>
  <c r="FB14" i="4"/>
  <c r="FB30" i="4"/>
  <c r="FB7" i="4"/>
  <c r="FB23" i="4"/>
  <c r="CL13" i="4"/>
  <c r="CL12" i="4"/>
  <c r="CL7" i="4"/>
  <c r="CL35" i="4"/>
  <c r="CL22" i="4"/>
  <c r="CL36" i="4"/>
  <c r="CL19" i="4"/>
  <c r="CL37" i="4"/>
  <c r="CL38" i="4"/>
  <c r="CE7" i="3"/>
  <c r="CK10" i="3"/>
  <c r="BN12" i="3"/>
  <c r="BN16" i="3"/>
  <c r="BN20" i="3"/>
  <c r="BN24" i="3"/>
  <c r="BN28" i="3"/>
  <c r="BN32" i="3"/>
  <c r="BN36" i="3"/>
  <c r="BN40" i="3"/>
  <c r="BZ5" i="3"/>
  <c r="BZ8" i="3"/>
  <c r="BZ12" i="3"/>
  <c r="BZ16" i="3"/>
  <c r="BZ20" i="3"/>
  <c r="BZ24" i="3"/>
  <c r="BZ28" i="3"/>
  <c r="BZ32" i="3"/>
  <c r="BZ36" i="3"/>
  <c r="BZ40" i="3"/>
  <c r="BO5" i="3"/>
  <c r="BO6" i="3" s="1"/>
  <c r="BO7" i="3" s="1"/>
  <c r="BO8" i="3" s="1"/>
  <c r="BO9" i="3" s="1"/>
  <c r="BO10" i="3" s="1"/>
  <c r="BO11" i="3" s="1"/>
  <c r="BO12" i="3" s="1"/>
  <c r="BO13" i="3" s="1"/>
  <c r="BO14" i="3" s="1"/>
  <c r="BO15" i="3" s="1"/>
  <c r="BO16" i="3" s="1"/>
  <c r="BO17" i="3" s="1"/>
  <c r="BO18" i="3" s="1"/>
  <c r="BO19" i="3" s="1"/>
  <c r="BO20" i="3" s="1"/>
  <c r="BO21" i="3" s="1"/>
  <c r="BO22" i="3" s="1"/>
  <c r="BO23" i="3" s="1"/>
  <c r="BO24" i="3" s="1"/>
  <c r="BO25" i="3" s="1"/>
  <c r="BO26" i="3" s="1"/>
  <c r="BO27" i="3" s="1"/>
  <c r="BO28" i="3" s="1"/>
  <c r="BO29" i="3" s="1"/>
  <c r="BO30" i="3" s="1"/>
  <c r="BO31" i="3" s="1"/>
  <c r="BO32" i="3" s="1"/>
  <c r="BO33" i="3" s="1"/>
  <c r="BO34" i="3" s="1"/>
  <c r="BO35" i="3" s="1"/>
  <c r="BO36" i="3" s="1"/>
  <c r="BO37" i="3" s="1"/>
  <c r="BO38" i="3" s="1"/>
  <c r="BO39" i="3" s="1"/>
  <c r="BO40" i="3" s="1"/>
  <c r="BO41" i="3" s="1"/>
  <c r="BO42" i="3" s="1"/>
  <c r="BP10" i="3"/>
  <c r="BP6" i="3"/>
  <c r="BV18" i="3"/>
  <c r="BV42" i="3"/>
  <c r="BV20" i="3"/>
  <c r="BV36" i="3"/>
  <c r="BV8" i="3"/>
  <c r="BV21" i="3"/>
  <c r="BV37" i="3"/>
  <c r="BV7" i="3"/>
  <c r="BV19" i="3"/>
  <c r="BV35" i="3"/>
  <c r="BL7" i="3"/>
  <c r="BL20" i="3"/>
  <c r="BL36" i="3"/>
  <c r="BL13" i="3"/>
  <c r="BL29" i="3"/>
  <c r="BL4" i="3"/>
  <c r="BL22" i="3"/>
  <c r="BL38" i="3"/>
  <c r="BL15" i="3"/>
  <c r="BL31" i="3"/>
  <c r="CB16" i="3"/>
  <c r="CB39" i="3"/>
  <c r="CB17" i="3"/>
  <c r="FB33" i="4"/>
  <c r="FB27" i="4"/>
  <c r="FB32" i="4"/>
  <c r="CB5" i="3"/>
  <c r="CB10" i="3"/>
  <c r="CB14" i="3"/>
  <c r="CB22" i="3"/>
  <c r="CB26" i="3"/>
  <c r="CB30" i="3"/>
  <c r="CB34" i="3"/>
  <c r="CB38" i="3"/>
  <c r="CB6" i="3"/>
  <c r="CB42" i="3"/>
  <c r="CB11" i="3"/>
  <c r="CB15" i="3"/>
  <c r="CB19" i="3"/>
  <c r="CB23" i="3"/>
  <c r="CB27" i="3"/>
  <c r="CB31" i="3"/>
  <c r="CB35" i="3"/>
  <c r="CB41" i="3"/>
  <c r="DZ4" i="4"/>
  <c r="CG4" i="3" s="1"/>
  <c r="DZ9" i="4"/>
  <c r="DZ10" i="4"/>
  <c r="DZ35" i="4"/>
  <c r="DZ15" i="4"/>
  <c r="DZ20" i="4"/>
  <c r="DZ22" i="4"/>
  <c r="DZ27" i="4"/>
  <c r="DZ34" i="4"/>
  <c r="DZ39" i="4"/>
  <c r="FB26" i="4"/>
  <c r="FB4" i="4"/>
  <c r="FC4" i="4" s="1"/>
  <c r="FB10" i="4"/>
  <c r="FB35" i="4"/>
  <c r="FB38" i="4"/>
  <c r="FB13" i="4"/>
  <c r="FB24" i="4"/>
  <c r="FB40" i="4"/>
  <c r="FB9" i="4"/>
  <c r="FB22" i="4"/>
  <c r="FB37" i="4"/>
  <c r="BD13" i="3"/>
  <c r="BD17" i="3"/>
  <c r="BD21" i="3"/>
  <c r="BD25" i="3"/>
  <c r="BD29" i="3"/>
  <c r="BD33" i="3"/>
  <c r="BD41" i="3"/>
  <c r="CL4" i="4"/>
  <c r="BQ4" i="3" s="1"/>
  <c r="CL5" i="4"/>
  <c r="CL9" i="4"/>
  <c r="CL11" i="4"/>
  <c r="CL14" i="4"/>
  <c r="CL24" i="4"/>
  <c r="CL26" i="4"/>
  <c r="CL23" i="4"/>
  <c r="CL31" i="4"/>
  <c r="CL40" i="4"/>
  <c r="AR10" i="4"/>
  <c r="BI7" i="3"/>
  <c r="BN4" i="3"/>
  <c r="BN9" i="3"/>
  <c r="BN13" i="3"/>
  <c r="BN17" i="3"/>
  <c r="BN21" i="3"/>
  <c r="BN25" i="3"/>
  <c r="BN29" i="3"/>
  <c r="BN33" i="3"/>
  <c r="BN37" i="3"/>
  <c r="BN41" i="3"/>
  <c r="BZ6" i="3"/>
  <c r="BZ9" i="3"/>
  <c r="BZ13" i="3"/>
  <c r="BZ17" i="3"/>
  <c r="BZ21" i="3"/>
  <c r="BZ25" i="3"/>
  <c r="BZ29" i="3"/>
  <c r="BZ33" i="3"/>
  <c r="BZ37" i="3"/>
  <c r="BZ41" i="3"/>
  <c r="BV26" i="3"/>
  <c r="BV4" i="3"/>
  <c r="BV24" i="3"/>
  <c r="BV40" i="3"/>
  <c r="BV9" i="3"/>
  <c r="BV25" i="3"/>
  <c r="BV41" i="3"/>
  <c r="BV6" i="3"/>
  <c r="BV23" i="3"/>
  <c r="BV39" i="3"/>
  <c r="BL6" i="3"/>
  <c r="BL24" i="3"/>
  <c r="BL42" i="3"/>
  <c r="BL17" i="3"/>
  <c r="BL33" i="3"/>
  <c r="BL39" i="3"/>
  <c r="BL26" i="3"/>
  <c r="BL5" i="3"/>
  <c r="BL19" i="3"/>
  <c r="BL35" i="3"/>
  <c r="CB9" i="3"/>
  <c r="CB28" i="3"/>
  <c r="CB32" i="3"/>
  <c r="CB36" i="3"/>
  <c r="DZ13" i="4"/>
  <c r="DZ12" i="4"/>
  <c r="DZ17" i="4"/>
  <c r="DZ33" i="4"/>
  <c r="DZ24" i="4"/>
  <c r="DZ25" i="4"/>
  <c r="DZ32" i="4"/>
  <c r="DZ36" i="4"/>
  <c r="DZ40" i="4"/>
  <c r="FB5" i="4"/>
  <c r="FB21" i="4"/>
  <c r="FB39" i="4"/>
  <c r="FB28" i="4"/>
  <c r="FB17" i="4"/>
  <c r="FB19" i="4"/>
  <c r="FB25" i="4"/>
  <c r="FB6" i="4"/>
  <c r="FB18" i="4"/>
  <c r="CL8" i="4"/>
  <c r="CL6" i="4"/>
  <c r="CL16" i="4"/>
  <c r="CL15" i="4"/>
  <c r="CL18" i="4"/>
  <c r="CL25" i="4"/>
  <c r="CL28" i="4"/>
  <c r="CL27" i="4"/>
  <c r="CL30" i="4"/>
  <c r="CL39" i="4"/>
  <c r="BF39" i="3"/>
  <c r="BF35" i="3"/>
  <c r="BF31" i="3"/>
  <c r="BF27" i="3"/>
  <c r="BF23" i="3"/>
  <c r="BF19" i="3"/>
  <c r="BF15" i="3"/>
  <c r="BF11" i="3"/>
  <c r="BF6" i="3"/>
  <c r="BE5" i="3"/>
  <c r="BE6" i="3" s="1"/>
  <c r="BE7" i="3" s="1"/>
  <c r="BE8" i="3" s="1"/>
  <c r="BE9" i="3" s="1"/>
  <c r="BE10" i="3" s="1"/>
  <c r="BE11" i="3" s="1"/>
  <c r="BE12" i="3" s="1"/>
  <c r="BE13" i="3" s="1"/>
  <c r="BE14" i="3" s="1"/>
  <c r="BE15" i="3" s="1"/>
  <c r="BE16" i="3" s="1"/>
  <c r="BE17" i="3" s="1"/>
  <c r="BE18" i="3" s="1"/>
  <c r="BE19" i="3" s="1"/>
  <c r="BE20" i="3" s="1"/>
  <c r="BE21" i="3" s="1"/>
  <c r="BE22" i="3" s="1"/>
  <c r="BE23" i="3" s="1"/>
  <c r="BE24" i="3" s="1"/>
  <c r="BE25" i="3" s="1"/>
  <c r="BE26" i="3" s="1"/>
  <c r="BE27" i="3" s="1"/>
  <c r="BE28" i="3" s="1"/>
  <c r="BE29" i="3" s="1"/>
  <c r="BE30" i="3" s="1"/>
  <c r="BE31" i="3" s="1"/>
  <c r="BE32" i="3" s="1"/>
  <c r="BE33" i="3" s="1"/>
  <c r="BE34" i="3" s="1"/>
  <c r="BE35" i="3" s="1"/>
  <c r="BE36" i="3" s="1"/>
  <c r="BE37" i="3" s="1"/>
  <c r="BE38" i="3" s="1"/>
  <c r="BE39" i="3" s="1"/>
  <c r="BE40" i="3" s="1"/>
  <c r="BE41" i="3" s="1"/>
  <c r="BE42" i="3" s="1"/>
  <c r="BF7" i="3"/>
  <c r="BZ4" i="3"/>
  <c r="BZ10" i="3"/>
  <c r="BZ14" i="3"/>
  <c r="BZ18" i="3"/>
  <c r="BZ22" i="3"/>
  <c r="BZ26" i="3"/>
  <c r="BZ30" i="3"/>
  <c r="BZ34" i="3"/>
  <c r="BZ38" i="3"/>
  <c r="BZ42" i="3"/>
  <c r="BG5" i="3"/>
  <c r="BG6" i="3" s="1"/>
  <c r="BG7" i="3" s="1"/>
  <c r="BG8" i="3" s="1"/>
  <c r="BG9" i="3" s="1"/>
  <c r="BG10" i="3" s="1"/>
  <c r="BG11" i="3" s="1"/>
  <c r="BG12" i="3" s="1"/>
  <c r="BG13" i="3" s="1"/>
  <c r="BG14" i="3" s="1"/>
  <c r="BG15" i="3" s="1"/>
  <c r="BG16" i="3" s="1"/>
  <c r="BG17" i="3" s="1"/>
  <c r="BG18" i="3" s="1"/>
  <c r="BG19" i="3" s="1"/>
  <c r="BG20" i="3" s="1"/>
  <c r="BG21" i="3" s="1"/>
  <c r="BG22" i="3" s="1"/>
  <c r="BG23" i="3" s="1"/>
  <c r="BG24" i="3" s="1"/>
  <c r="BG25" i="3" s="1"/>
  <c r="BG26" i="3" s="1"/>
  <c r="BG27" i="3" s="1"/>
  <c r="BG28" i="3" s="1"/>
  <c r="BG29" i="3" s="1"/>
  <c r="BG30" i="3" s="1"/>
  <c r="BG31" i="3" s="1"/>
  <c r="BG32" i="3" s="1"/>
  <c r="BG33" i="3" s="1"/>
  <c r="BG34" i="3" s="1"/>
  <c r="BG35" i="3" s="1"/>
  <c r="BG36" i="3" s="1"/>
  <c r="BG37" i="3" s="1"/>
  <c r="BG38" i="3" s="1"/>
  <c r="BG39" i="3" s="1"/>
  <c r="BG40" i="3" s="1"/>
  <c r="BG41" i="3" s="1"/>
  <c r="BG42" i="3" s="1"/>
  <c r="BL12" i="3"/>
  <c r="BL28" i="3"/>
  <c r="BL8" i="3"/>
  <c r="BL21" i="3"/>
  <c r="BL37" i="3"/>
  <c r="BL14" i="3"/>
  <c r="BL30" i="3"/>
  <c r="BL40" i="3"/>
  <c r="BL23" i="3"/>
  <c r="BL41" i="3"/>
  <c r="CB12" i="3"/>
  <c r="CB20" i="3"/>
  <c r="CB8" i="3"/>
  <c r="CB21" i="3"/>
  <c r="FB12" i="4"/>
  <c r="CL10" i="4"/>
  <c r="CL17" i="4"/>
  <c r="CL32" i="4"/>
  <c r="CL20" i="4"/>
  <c r="CL21" i="4"/>
  <c r="CL33" i="4"/>
  <c r="CL29" i="4"/>
  <c r="CL34" i="4"/>
  <c r="BX40" i="3"/>
  <c r="BX32" i="3"/>
  <c r="BX28" i="3"/>
  <c r="BX24" i="3"/>
  <c r="BX20" i="3"/>
  <c r="BX16" i="3"/>
  <c r="BX12" i="3"/>
  <c r="BW5" i="3"/>
  <c r="BW6" i="3" s="1"/>
  <c r="BW7" i="3" s="1"/>
  <c r="BW8" i="3" s="1"/>
  <c r="BW9" i="3" s="1"/>
  <c r="BW10" i="3" s="1"/>
  <c r="BW11" i="3" s="1"/>
  <c r="BW12" i="3" s="1"/>
  <c r="BW13" i="3" s="1"/>
  <c r="BW14" i="3" s="1"/>
  <c r="BW15" i="3" s="1"/>
  <c r="BW16" i="3" s="1"/>
  <c r="BW17" i="3" s="1"/>
  <c r="BW18" i="3" s="1"/>
  <c r="BW19" i="3" s="1"/>
  <c r="BW20" i="3" s="1"/>
  <c r="BW21" i="3" s="1"/>
  <c r="BW22" i="3" s="1"/>
  <c r="BW23" i="3" s="1"/>
  <c r="BW24" i="3" s="1"/>
  <c r="BW25" i="3" s="1"/>
  <c r="BW26" i="3" s="1"/>
  <c r="BW27" i="3" s="1"/>
  <c r="BW28" i="3" s="1"/>
  <c r="BW29" i="3" s="1"/>
  <c r="BW30" i="3" s="1"/>
  <c r="BW31" i="3" s="1"/>
  <c r="BW32" i="3" s="1"/>
  <c r="BW33" i="3" s="1"/>
  <c r="BW34" i="3" s="1"/>
  <c r="BW35" i="3" s="1"/>
  <c r="BW36" i="3" s="1"/>
  <c r="BW37" i="3" s="1"/>
  <c r="BW38" i="3" s="1"/>
  <c r="BW39" i="3" s="1"/>
  <c r="BW40" i="3" s="1"/>
  <c r="BW41" i="3" s="1"/>
  <c r="BW42" i="3" s="1"/>
  <c r="BX41" i="3"/>
  <c r="BX36" i="3"/>
  <c r="BX7" i="3"/>
  <c r="AI10" i="3"/>
  <c r="AE56" i="3"/>
  <c r="AI56" i="3" s="1"/>
  <c r="BZ7" i="3"/>
  <c r="BZ11" i="3"/>
  <c r="BZ15" i="3"/>
  <c r="BZ19" i="3"/>
  <c r="BZ23" i="3"/>
  <c r="BZ27" i="3"/>
  <c r="BZ31" i="3"/>
  <c r="BZ35" i="3"/>
  <c r="BZ39" i="3"/>
  <c r="EX5" i="4"/>
  <c r="EX6" i="4" s="1"/>
  <c r="EX7" i="4" s="1"/>
  <c r="EX8" i="4" s="1"/>
  <c r="EX9" i="4" s="1"/>
  <c r="EX10" i="4" s="1"/>
  <c r="EX11" i="4" s="1"/>
  <c r="EX12" i="4" s="1"/>
  <c r="EX13" i="4" s="1"/>
  <c r="EX14" i="4" s="1"/>
  <c r="EX15" i="4" s="1"/>
  <c r="EX16" i="4" s="1"/>
  <c r="EX17" i="4" s="1"/>
  <c r="EX18" i="4" s="1"/>
  <c r="EX19" i="4" s="1"/>
  <c r="EX20" i="4" s="1"/>
  <c r="EX21" i="4" s="1"/>
  <c r="EX22" i="4" s="1"/>
  <c r="EX23" i="4" s="1"/>
  <c r="EX24" i="4" s="1"/>
  <c r="EX25" i="4" s="1"/>
  <c r="EX26" i="4" s="1"/>
  <c r="EX27" i="4" s="1"/>
  <c r="EX28" i="4" s="1"/>
  <c r="EX29" i="4" s="1"/>
  <c r="EX30" i="4" s="1"/>
  <c r="EX31" i="4" s="1"/>
  <c r="EX32" i="4" s="1"/>
  <c r="EX33" i="4" s="1"/>
  <c r="EX34" i="4" s="1"/>
  <c r="EX35" i="4" s="1"/>
  <c r="EX36" i="4" s="1"/>
  <c r="EX37" i="4" s="1"/>
  <c r="EX38" i="4" s="1"/>
  <c r="EX39" i="4" s="1"/>
  <c r="EX40" i="4" s="1"/>
  <c r="EY4" i="4" l="1"/>
  <c r="CQ4" i="3" s="1"/>
  <c r="EY10" i="4"/>
  <c r="EY21" i="4"/>
  <c r="EY33" i="4"/>
  <c r="BH5" i="3"/>
  <c r="BH14" i="3"/>
  <c r="BH18" i="3"/>
  <c r="BH26" i="3"/>
  <c r="BH34" i="3"/>
  <c r="EY9" i="4"/>
  <c r="EY26" i="4"/>
  <c r="EY12" i="4"/>
  <c r="EY11" i="4"/>
  <c r="EY24" i="4"/>
  <c r="EY32" i="4"/>
  <c r="EY38" i="4"/>
  <c r="BX8" i="3"/>
  <c r="BX37" i="3"/>
  <c r="EY7" i="4"/>
  <c r="BX5" i="3"/>
  <c r="BX10" i="3"/>
  <c r="BX18" i="3"/>
  <c r="BX22" i="3"/>
  <c r="BX30" i="3"/>
  <c r="BX34" i="3"/>
  <c r="BH7" i="3"/>
  <c r="BH38" i="3"/>
  <c r="BH12" i="3"/>
  <c r="BH16" i="3"/>
  <c r="BH20" i="3"/>
  <c r="BH24" i="3"/>
  <c r="BH28" i="3"/>
  <c r="BH32" i="3"/>
  <c r="BH40" i="3"/>
  <c r="EY5" i="4"/>
  <c r="EY6" i="4"/>
  <c r="EY17" i="4"/>
  <c r="EY23" i="4"/>
  <c r="EY19" i="4"/>
  <c r="EY25" i="4"/>
  <c r="EY34" i="4"/>
  <c r="EY30" i="4"/>
  <c r="EY31" i="4"/>
  <c r="EY37" i="4"/>
  <c r="BX9" i="3"/>
  <c r="BX6" i="3"/>
  <c r="BX38" i="3"/>
  <c r="BX11" i="3"/>
  <c r="BX15" i="3"/>
  <c r="BX19" i="3"/>
  <c r="BX23" i="3"/>
  <c r="BX27" i="3"/>
  <c r="BX31" i="3"/>
  <c r="BX35" i="3"/>
  <c r="BH8" i="3"/>
  <c r="BH36" i="3"/>
  <c r="BH41" i="3"/>
  <c r="BH13" i="3"/>
  <c r="BH17" i="3"/>
  <c r="BH21" i="3"/>
  <c r="BH25" i="3"/>
  <c r="BH29" i="3"/>
  <c r="BH33" i="3"/>
  <c r="BH42" i="3"/>
  <c r="BF5" i="3"/>
  <c r="BF10" i="3"/>
  <c r="BF14" i="3"/>
  <c r="BF18" i="3"/>
  <c r="BF22" i="3"/>
  <c r="BF26" i="3"/>
  <c r="BF30" i="3"/>
  <c r="BF34" i="3"/>
  <c r="BF38" i="3"/>
  <c r="BF42" i="3"/>
  <c r="BP5" i="3"/>
  <c r="BP8" i="3"/>
  <c r="BP41" i="3"/>
  <c r="BP11" i="3"/>
  <c r="BP15" i="3"/>
  <c r="BP19" i="3"/>
  <c r="BP23" i="3"/>
  <c r="BP27" i="3"/>
  <c r="BP31" i="3"/>
  <c r="BP35" i="3"/>
  <c r="CE8" i="3"/>
  <c r="BH22" i="3"/>
  <c r="AR11" i="4"/>
  <c r="BQ5" i="3"/>
  <c r="BQ6" i="3" s="1"/>
  <c r="BQ7" i="3" s="1"/>
  <c r="BQ8" i="3" s="1"/>
  <c r="BQ9" i="3" s="1"/>
  <c r="BQ10" i="3" s="1"/>
  <c r="BQ11" i="3" s="1"/>
  <c r="BQ12" i="3" s="1"/>
  <c r="BQ13" i="3" s="1"/>
  <c r="BQ14" i="3" s="1"/>
  <c r="BQ15" i="3" s="1"/>
  <c r="BQ16" i="3" s="1"/>
  <c r="BQ17" i="3" s="1"/>
  <c r="BQ18" i="3" s="1"/>
  <c r="BQ19" i="3" s="1"/>
  <c r="BQ20" i="3" s="1"/>
  <c r="BQ21" i="3" s="1"/>
  <c r="BQ22" i="3" s="1"/>
  <c r="BQ23" i="3" s="1"/>
  <c r="BQ24" i="3" s="1"/>
  <c r="BQ25" i="3" s="1"/>
  <c r="BQ26" i="3" s="1"/>
  <c r="BQ27" i="3" s="1"/>
  <c r="BQ28" i="3" s="1"/>
  <c r="BQ29" i="3" s="1"/>
  <c r="BQ30" i="3" s="1"/>
  <c r="BQ31" i="3" s="1"/>
  <c r="BQ32" i="3" s="1"/>
  <c r="BQ33" i="3" s="1"/>
  <c r="BQ34" i="3" s="1"/>
  <c r="BQ35" i="3" s="1"/>
  <c r="BQ36" i="3" s="1"/>
  <c r="BQ37" i="3" s="1"/>
  <c r="BQ38" i="3" s="1"/>
  <c r="BQ39" i="3" s="1"/>
  <c r="BQ40" i="3" s="1"/>
  <c r="BQ41" i="3" s="1"/>
  <c r="BQ42" i="3" s="1"/>
  <c r="CH42" i="3"/>
  <c r="CH41" i="3"/>
  <c r="CH40" i="3"/>
  <c r="CH39" i="3"/>
  <c r="CH38" i="3"/>
  <c r="CH34" i="3"/>
  <c r="CH33" i="3"/>
  <c r="CH32" i="3"/>
  <c r="CH31" i="3"/>
  <c r="CH30" i="3"/>
  <c r="CH29" i="3"/>
  <c r="CH28" i="3"/>
  <c r="CH27" i="3"/>
  <c r="CH26" i="3"/>
  <c r="CH25" i="3"/>
  <c r="CH24" i="3"/>
  <c r="CH23" i="3"/>
  <c r="CH22" i="3"/>
  <c r="CH21" i="3"/>
  <c r="CH20" i="3"/>
  <c r="CH19" i="3"/>
  <c r="CH18" i="3"/>
  <c r="CH17" i="3"/>
  <c r="CH16" i="3"/>
  <c r="CH15" i="3"/>
  <c r="CH14" i="3"/>
  <c r="CH13" i="3"/>
  <c r="CH12" i="3"/>
  <c r="CH11" i="3"/>
  <c r="CH10" i="3"/>
  <c r="CH9" i="3"/>
  <c r="CH37" i="3"/>
  <c r="CH36" i="3"/>
  <c r="CH35" i="3"/>
  <c r="CH6" i="3"/>
  <c r="CH5" i="3"/>
  <c r="CG5" i="3"/>
  <c r="CG6" i="3" s="1"/>
  <c r="CG7" i="3" s="1"/>
  <c r="CG8" i="3" s="1"/>
  <c r="CG9" i="3" s="1"/>
  <c r="CG10" i="3" s="1"/>
  <c r="CG11" i="3" s="1"/>
  <c r="CG12" i="3" s="1"/>
  <c r="CG13" i="3" s="1"/>
  <c r="CG14" i="3" s="1"/>
  <c r="CG15" i="3" s="1"/>
  <c r="CG16" i="3" s="1"/>
  <c r="CG17" i="3" s="1"/>
  <c r="CG18" i="3" s="1"/>
  <c r="CG19" i="3" s="1"/>
  <c r="CG20" i="3" s="1"/>
  <c r="CG21" i="3" s="1"/>
  <c r="CG22" i="3" s="1"/>
  <c r="CG23" i="3" s="1"/>
  <c r="CG24" i="3" s="1"/>
  <c r="CG25" i="3" s="1"/>
  <c r="CG26" i="3" s="1"/>
  <c r="CG27" i="3" s="1"/>
  <c r="CG28" i="3" s="1"/>
  <c r="CG29" i="3" s="1"/>
  <c r="CG30" i="3" s="1"/>
  <c r="CG31" i="3" s="1"/>
  <c r="CG32" i="3" s="1"/>
  <c r="CG33" i="3" s="1"/>
  <c r="CG34" i="3" s="1"/>
  <c r="CG35" i="3" s="1"/>
  <c r="CG36" i="3" s="1"/>
  <c r="CG37" i="3" s="1"/>
  <c r="CG38" i="3" s="1"/>
  <c r="CG39" i="3" s="1"/>
  <c r="CG40" i="3" s="1"/>
  <c r="CG41" i="3" s="1"/>
  <c r="CG42" i="3" s="1"/>
  <c r="CH8" i="3"/>
  <c r="CH7" i="3"/>
  <c r="CH4" i="3"/>
  <c r="BP12" i="3"/>
  <c r="BP16" i="3"/>
  <c r="BP20" i="3"/>
  <c r="BP24" i="3"/>
  <c r="BP28" i="3"/>
  <c r="BP32" i="3"/>
  <c r="BP40" i="3"/>
  <c r="EY14" i="4"/>
  <c r="EY8" i="4"/>
  <c r="EY27" i="4"/>
  <c r="EY20" i="4"/>
  <c r="EY35" i="4"/>
  <c r="EY40" i="4"/>
  <c r="BH4" i="3"/>
  <c r="BH37" i="3"/>
  <c r="BH30" i="3"/>
  <c r="EY13" i="4"/>
  <c r="EY22" i="4"/>
  <c r="BX13" i="3"/>
  <c r="BX17" i="3"/>
  <c r="BX21" i="3"/>
  <c r="BX25" i="3"/>
  <c r="BX29" i="3"/>
  <c r="BX33" i="3"/>
  <c r="BX42" i="3"/>
  <c r="BH9" i="3"/>
  <c r="BH6" i="3"/>
  <c r="BH39" i="3"/>
  <c r="BH11" i="3"/>
  <c r="BH15" i="3"/>
  <c r="BH19" i="3"/>
  <c r="BH23" i="3"/>
  <c r="BH27" i="3"/>
  <c r="BH31" i="3"/>
  <c r="BH35" i="3"/>
  <c r="BF8" i="3"/>
  <c r="BF4" i="3"/>
  <c r="BF12" i="3"/>
  <c r="BF16" i="3"/>
  <c r="BF20" i="3"/>
  <c r="BF24" i="3"/>
  <c r="BF28" i="3"/>
  <c r="BF32" i="3"/>
  <c r="BF36" i="3"/>
  <c r="BF40" i="3"/>
  <c r="FD36" i="4"/>
  <c r="FD29" i="4"/>
  <c r="FD25" i="4"/>
  <c r="FD27" i="4"/>
  <c r="FD16" i="4"/>
  <c r="FD13" i="4"/>
  <c r="FD18" i="4"/>
  <c r="FD6" i="4"/>
  <c r="FD4" i="4"/>
  <c r="CS4" i="3" s="1"/>
  <c r="FC5" i="4"/>
  <c r="FC6" i="4" s="1"/>
  <c r="FC7" i="4" s="1"/>
  <c r="FC8" i="4" s="1"/>
  <c r="FC9" i="4" s="1"/>
  <c r="FC10" i="4" s="1"/>
  <c r="FC11" i="4" s="1"/>
  <c r="FC12" i="4" s="1"/>
  <c r="FC13" i="4" s="1"/>
  <c r="FC14" i="4" s="1"/>
  <c r="FC15" i="4" s="1"/>
  <c r="FC16" i="4" s="1"/>
  <c r="FC17" i="4" s="1"/>
  <c r="FC18" i="4" s="1"/>
  <c r="FC19" i="4" s="1"/>
  <c r="FC20" i="4" s="1"/>
  <c r="FC21" i="4" s="1"/>
  <c r="FC22" i="4" s="1"/>
  <c r="FC23" i="4" s="1"/>
  <c r="FC24" i="4" s="1"/>
  <c r="FC25" i="4" s="1"/>
  <c r="FC26" i="4" s="1"/>
  <c r="FC27" i="4" s="1"/>
  <c r="FC28" i="4" s="1"/>
  <c r="FC29" i="4" s="1"/>
  <c r="FC30" i="4" s="1"/>
  <c r="FC31" i="4" s="1"/>
  <c r="FC32" i="4" s="1"/>
  <c r="FC33" i="4" s="1"/>
  <c r="FC34" i="4" s="1"/>
  <c r="FC35" i="4" s="1"/>
  <c r="FC36" i="4" s="1"/>
  <c r="FC37" i="4" s="1"/>
  <c r="FC38" i="4" s="1"/>
  <c r="FC39" i="4" s="1"/>
  <c r="FC40" i="4" s="1"/>
  <c r="BP4" i="3"/>
  <c r="BP39" i="3"/>
  <c r="BP36" i="3"/>
  <c r="BP13" i="3"/>
  <c r="BP17" i="3"/>
  <c r="BP21" i="3"/>
  <c r="BP25" i="3"/>
  <c r="BP29" i="3"/>
  <c r="BP33" i="3"/>
  <c r="BP42" i="3"/>
  <c r="EY18" i="4"/>
  <c r="EY16" i="4"/>
  <c r="EY15" i="4"/>
  <c r="EY29" i="4"/>
  <c r="EY28" i="4"/>
  <c r="EY36" i="4"/>
  <c r="EY39" i="4"/>
  <c r="BX4" i="3"/>
  <c r="BX39" i="3"/>
  <c r="BX14" i="3"/>
  <c r="BX26" i="3"/>
  <c r="BH10" i="3"/>
  <c r="BF9" i="3"/>
  <c r="BF13" i="3"/>
  <c r="BF17" i="3"/>
  <c r="BF21" i="3"/>
  <c r="BF25" i="3"/>
  <c r="BF29" i="3"/>
  <c r="BF33" i="3"/>
  <c r="BF37" i="3"/>
  <c r="BF41" i="3"/>
  <c r="BI8" i="3"/>
  <c r="BP9" i="3"/>
  <c r="BP7" i="3"/>
  <c r="BP38" i="3"/>
  <c r="BP37" i="3"/>
  <c r="BP14" i="3"/>
  <c r="BP18" i="3"/>
  <c r="BP22" i="3"/>
  <c r="BP26" i="3"/>
  <c r="BP30" i="3"/>
  <c r="BP34" i="3"/>
  <c r="CK11" i="3"/>
  <c r="AY7" i="2"/>
  <c r="AY6" i="2"/>
  <c r="AY9" i="2" s="1"/>
  <c r="AY5" i="2"/>
  <c r="CK12" i="3" l="1"/>
  <c r="CT42" i="3"/>
  <c r="CT41" i="3"/>
  <c r="CT40" i="3"/>
  <c r="CT39" i="3"/>
  <c r="CT38" i="3"/>
  <c r="CT37" i="3"/>
  <c r="CT36" i="3"/>
  <c r="CT35" i="3"/>
  <c r="CT34" i="3"/>
  <c r="CT33" i="3"/>
  <c r="CT32" i="3"/>
  <c r="CT31" i="3"/>
  <c r="CT30" i="3"/>
  <c r="CT29" i="3"/>
  <c r="CT28" i="3"/>
  <c r="CT27" i="3"/>
  <c r="CT26" i="3"/>
  <c r="CT25" i="3"/>
  <c r="CT24" i="3"/>
  <c r="CT23" i="3"/>
  <c r="CT22" i="3"/>
  <c r="CT21" i="3"/>
  <c r="CT20" i="3"/>
  <c r="CT19" i="3"/>
  <c r="CT18" i="3"/>
  <c r="CT17" i="3"/>
  <c r="CT16" i="3"/>
  <c r="CT15" i="3"/>
  <c r="CT14" i="3"/>
  <c r="CT13" i="3"/>
  <c r="CT12" i="3"/>
  <c r="CT11" i="3"/>
  <c r="CT10" i="3"/>
  <c r="CT9" i="3"/>
  <c r="CT8" i="3"/>
  <c r="CT7" i="3"/>
  <c r="CT4" i="3"/>
  <c r="CT6" i="3"/>
  <c r="CT5" i="3"/>
  <c r="BR37" i="3"/>
  <c r="BR12" i="3"/>
  <c r="BR16" i="3"/>
  <c r="BR20" i="3"/>
  <c r="BR24" i="3"/>
  <c r="BR28" i="3"/>
  <c r="BR32" i="3"/>
  <c r="BR38" i="3"/>
  <c r="BR42" i="3"/>
  <c r="AR12" i="4"/>
  <c r="CQ5" i="3"/>
  <c r="CQ6" i="3" s="1"/>
  <c r="CQ7" i="3" s="1"/>
  <c r="CQ8" i="3" s="1"/>
  <c r="CQ9" i="3" s="1"/>
  <c r="CQ10" i="3" s="1"/>
  <c r="CQ11" i="3" s="1"/>
  <c r="CQ12" i="3" s="1"/>
  <c r="CQ13" i="3" s="1"/>
  <c r="CQ14" i="3" s="1"/>
  <c r="CQ15" i="3" s="1"/>
  <c r="CQ16" i="3" s="1"/>
  <c r="CQ17" i="3" s="1"/>
  <c r="CQ18" i="3" s="1"/>
  <c r="CQ19" i="3" s="1"/>
  <c r="CQ20" i="3" s="1"/>
  <c r="CQ21" i="3" s="1"/>
  <c r="CQ22" i="3" s="1"/>
  <c r="CQ23" i="3" s="1"/>
  <c r="CQ24" i="3" s="1"/>
  <c r="CQ25" i="3" s="1"/>
  <c r="CQ26" i="3" s="1"/>
  <c r="CQ27" i="3" s="1"/>
  <c r="CQ28" i="3" s="1"/>
  <c r="CQ29" i="3" s="1"/>
  <c r="CQ30" i="3" s="1"/>
  <c r="CQ31" i="3" s="1"/>
  <c r="CQ32" i="3" s="1"/>
  <c r="CQ33" i="3" s="1"/>
  <c r="CQ34" i="3" s="1"/>
  <c r="CQ35" i="3" s="1"/>
  <c r="CQ36" i="3" s="1"/>
  <c r="CQ37" i="3" s="1"/>
  <c r="CQ38" i="3" s="1"/>
  <c r="CQ39" i="3" s="1"/>
  <c r="CQ40" i="3" s="1"/>
  <c r="CQ41" i="3" s="1"/>
  <c r="CQ42" i="3" s="1"/>
  <c r="BI9" i="3"/>
  <c r="FD11" i="4"/>
  <c r="FD7" i="4"/>
  <c r="FD31" i="4"/>
  <c r="FD17" i="4"/>
  <c r="FD20" i="4"/>
  <c r="FD22" i="4"/>
  <c r="FD28" i="4"/>
  <c r="FD33" i="4"/>
  <c r="FD39" i="4"/>
  <c r="BR4" i="3"/>
  <c r="BR5" i="3"/>
  <c r="BR9" i="3"/>
  <c r="BR13" i="3"/>
  <c r="BR17" i="3"/>
  <c r="BR21" i="3"/>
  <c r="BR25" i="3"/>
  <c r="BR29" i="3"/>
  <c r="BR33" i="3"/>
  <c r="BR39" i="3"/>
  <c r="CE9" i="3"/>
  <c r="FD14" i="4"/>
  <c r="FD10" i="4"/>
  <c r="FD30" i="4"/>
  <c r="FD19" i="4"/>
  <c r="FD23" i="4"/>
  <c r="FD24" i="4"/>
  <c r="FD34" i="4"/>
  <c r="FD32" i="4"/>
  <c r="FD38" i="4"/>
  <c r="BR7" i="3"/>
  <c r="BR6" i="3"/>
  <c r="BR10" i="3"/>
  <c r="BR14" i="3"/>
  <c r="BR18" i="3"/>
  <c r="BR22" i="3"/>
  <c r="BR26" i="3"/>
  <c r="BR30" i="3"/>
  <c r="BR34" i="3"/>
  <c r="BR40" i="3"/>
  <c r="FD5" i="4"/>
  <c r="CS5" i="3" s="1"/>
  <c r="CS6" i="3" s="1"/>
  <c r="CS7" i="3" s="1"/>
  <c r="CS8" i="3" s="1"/>
  <c r="CS9" i="3" s="1"/>
  <c r="CS10" i="3" s="1"/>
  <c r="CS11" i="3" s="1"/>
  <c r="CS12" i="3" s="1"/>
  <c r="CS13" i="3" s="1"/>
  <c r="CS14" i="3" s="1"/>
  <c r="CS15" i="3" s="1"/>
  <c r="CS16" i="3" s="1"/>
  <c r="CS17" i="3" s="1"/>
  <c r="CS18" i="3" s="1"/>
  <c r="CS19" i="3" s="1"/>
  <c r="CS20" i="3" s="1"/>
  <c r="CS21" i="3" s="1"/>
  <c r="CS22" i="3" s="1"/>
  <c r="CS23" i="3" s="1"/>
  <c r="CS24" i="3" s="1"/>
  <c r="CS25" i="3" s="1"/>
  <c r="CS26" i="3" s="1"/>
  <c r="CS27" i="3" s="1"/>
  <c r="CS28" i="3" s="1"/>
  <c r="CS29" i="3" s="1"/>
  <c r="CS30" i="3" s="1"/>
  <c r="CS31" i="3" s="1"/>
  <c r="CS32" i="3" s="1"/>
  <c r="CS33" i="3" s="1"/>
  <c r="CS34" i="3" s="1"/>
  <c r="CS35" i="3" s="1"/>
  <c r="CS36" i="3" s="1"/>
  <c r="CS37" i="3" s="1"/>
  <c r="CS38" i="3" s="1"/>
  <c r="CS39" i="3" s="1"/>
  <c r="CS40" i="3" s="1"/>
  <c r="CS41" i="3" s="1"/>
  <c r="CS42" i="3" s="1"/>
  <c r="FD8" i="4"/>
  <c r="FD15" i="4"/>
  <c r="FD9" i="4"/>
  <c r="FD12" i="4"/>
  <c r="FD26" i="4"/>
  <c r="FD21" i="4"/>
  <c r="FD40" i="4"/>
  <c r="FD35" i="4"/>
  <c r="FD37" i="4"/>
  <c r="BR8" i="3"/>
  <c r="BR36" i="3"/>
  <c r="BR11" i="3"/>
  <c r="BR15" i="3"/>
  <c r="BR19" i="3"/>
  <c r="BR23" i="3"/>
  <c r="BR27" i="3"/>
  <c r="BR31" i="3"/>
  <c r="BR35" i="3"/>
  <c r="BR41" i="3"/>
  <c r="CR9" i="3" l="1"/>
  <c r="CR6" i="3"/>
  <c r="CR42" i="3"/>
  <c r="CR11" i="3"/>
  <c r="CR15" i="3"/>
  <c r="CR19" i="3"/>
  <c r="CR23" i="3"/>
  <c r="CR27" i="3"/>
  <c r="CR31" i="3"/>
  <c r="CR35" i="3"/>
  <c r="CR41" i="3"/>
  <c r="CR12" i="3"/>
  <c r="CR16" i="3"/>
  <c r="CR20" i="3"/>
  <c r="CR24" i="3"/>
  <c r="CR28" i="3"/>
  <c r="CR32" i="3"/>
  <c r="CR36" i="3"/>
  <c r="CE10" i="3"/>
  <c r="BI10" i="3"/>
  <c r="CR8" i="3"/>
  <c r="CR4" i="3"/>
  <c r="CR39" i="3"/>
  <c r="CR13" i="3"/>
  <c r="CR17" i="3"/>
  <c r="CR21" i="3"/>
  <c r="CR25" i="3"/>
  <c r="CR29" i="3"/>
  <c r="CR33" i="3"/>
  <c r="CR37" i="3"/>
  <c r="AR13" i="4"/>
  <c r="AR14" i="4" s="1"/>
  <c r="AR15" i="4" s="1"/>
  <c r="AR16" i="4" s="1"/>
  <c r="AR17" i="4" s="1"/>
  <c r="AR18" i="4" s="1"/>
  <c r="AR19" i="4" s="1"/>
  <c r="AR20" i="4" s="1"/>
  <c r="AR21" i="4" s="1"/>
  <c r="AR22" i="4" s="1"/>
  <c r="AR23" i="4" s="1"/>
  <c r="AR24" i="4" s="1"/>
  <c r="AR25" i="4" s="1"/>
  <c r="AR26" i="4" s="1"/>
  <c r="AR27" i="4" s="1"/>
  <c r="AR28" i="4" s="1"/>
  <c r="AR29" i="4" s="1"/>
  <c r="AR30" i="4" s="1"/>
  <c r="AR31" i="4" s="1"/>
  <c r="AR32" i="4" s="1"/>
  <c r="AR33" i="4" s="1"/>
  <c r="AR34" i="4" s="1"/>
  <c r="AR35" i="4" s="1"/>
  <c r="AR36" i="4" s="1"/>
  <c r="AR37" i="4" s="1"/>
  <c r="AR38" i="4" s="1"/>
  <c r="AR39" i="4" s="1"/>
  <c r="AR40" i="4" s="1"/>
  <c r="AS17" i="4" s="1"/>
  <c r="CR7" i="3"/>
  <c r="CR5" i="3"/>
  <c r="CR40" i="3"/>
  <c r="CR10" i="3"/>
  <c r="CR14" i="3"/>
  <c r="CR18" i="3"/>
  <c r="CR22" i="3"/>
  <c r="CR26" i="3"/>
  <c r="CR30" i="3"/>
  <c r="CR34" i="3"/>
  <c r="CR38" i="3"/>
  <c r="CK13" i="3"/>
  <c r="BI11" i="3" l="1"/>
  <c r="CK14" i="3"/>
  <c r="CK15" i="3" s="1"/>
  <c r="CK16" i="3" s="1"/>
  <c r="CK17" i="3" s="1"/>
  <c r="CK18" i="3" s="1"/>
  <c r="CK19" i="3" s="1"/>
  <c r="CK20" i="3" s="1"/>
  <c r="CK21" i="3" s="1"/>
  <c r="CK22" i="3" s="1"/>
  <c r="CK23" i="3" s="1"/>
  <c r="CK24" i="3" s="1"/>
  <c r="CK25" i="3" s="1"/>
  <c r="CK26" i="3" s="1"/>
  <c r="CK27" i="3" s="1"/>
  <c r="CK28" i="3" s="1"/>
  <c r="CK29" i="3" s="1"/>
  <c r="CK30" i="3" s="1"/>
  <c r="CK31" i="3" s="1"/>
  <c r="CK32" i="3" s="1"/>
  <c r="CK33" i="3" s="1"/>
  <c r="CK34" i="3" s="1"/>
  <c r="CK35" i="3" s="1"/>
  <c r="CK36" i="3" s="1"/>
  <c r="CK37" i="3" s="1"/>
  <c r="CK38" i="3" s="1"/>
  <c r="CK39" i="3" s="1"/>
  <c r="CK40" i="3" s="1"/>
  <c r="CK41" i="3" s="1"/>
  <c r="CK42" i="3" s="1"/>
  <c r="CL17" i="3" s="1"/>
  <c r="CE11" i="3"/>
  <c r="AS21" i="4"/>
  <c r="AS16" i="4"/>
  <c r="AS24" i="4"/>
  <c r="AS27" i="4"/>
  <c r="AS13" i="4"/>
  <c r="AS36" i="4"/>
  <c r="AS15" i="4"/>
  <c r="AS40" i="4"/>
  <c r="AS9" i="4"/>
  <c r="AS33" i="4"/>
  <c r="AS26" i="4"/>
  <c r="AS14" i="4"/>
  <c r="AS35" i="4"/>
  <c r="AS38" i="4"/>
  <c r="AS7" i="4"/>
  <c r="AS11" i="4"/>
  <c r="AS18" i="4"/>
  <c r="AS25" i="4"/>
  <c r="AS29" i="4"/>
  <c r="AS39" i="4"/>
  <c r="AS20" i="4"/>
  <c r="AS12" i="4"/>
  <c r="AS37" i="4"/>
  <c r="AS28" i="4"/>
  <c r="AS8" i="4"/>
  <c r="AS22" i="4"/>
  <c r="AS4" i="4"/>
  <c r="AY4" i="3" s="1"/>
  <c r="AS31" i="4"/>
  <c r="AS6" i="4"/>
  <c r="AS34" i="4"/>
  <c r="AS10" i="4"/>
  <c r="AS23" i="4"/>
  <c r="AS30" i="4"/>
  <c r="AS5" i="4"/>
  <c r="AS19" i="4"/>
  <c r="AS32" i="4"/>
  <c r="CL26" i="3" l="1"/>
  <c r="CL25" i="3"/>
  <c r="CL4" i="3"/>
  <c r="CL40" i="3"/>
  <c r="CL9" i="3"/>
  <c r="CL23" i="3"/>
  <c r="CL8" i="3"/>
  <c r="CL19" i="3"/>
  <c r="CL14" i="3"/>
  <c r="CL29" i="3"/>
  <c r="CL35" i="3"/>
  <c r="CL10" i="3"/>
  <c r="CL20" i="3"/>
  <c r="CL12" i="3"/>
  <c r="CL31" i="3"/>
  <c r="CL32" i="3"/>
  <c r="CL38" i="3"/>
  <c r="CL5" i="3"/>
  <c r="CL11" i="3"/>
  <c r="CE12" i="3"/>
  <c r="CL6" i="3"/>
  <c r="CL37" i="3"/>
  <c r="CL18" i="3"/>
  <c r="CL15" i="3"/>
  <c r="CL16" i="3"/>
  <c r="CL24" i="3"/>
  <c r="CL34" i="3"/>
  <c r="CL22" i="3"/>
  <c r="CL39" i="3"/>
  <c r="CL27" i="3"/>
  <c r="CL13" i="3"/>
  <c r="AY5" i="3"/>
  <c r="AY6" i="3" s="1"/>
  <c r="AY7" i="3" s="1"/>
  <c r="AY8" i="3" s="1"/>
  <c r="AY9" i="3" s="1"/>
  <c r="AY10" i="3" s="1"/>
  <c r="AY11" i="3" s="1"/>
  <c r="AY12" i="3" s="1"/>
  <c r="AY13" i="3" s="1"/>
  <c r="AY14" i="3" s="1"/>
  <c r="AY15" i="3" s="1"/>
  <c r="AY16" i="3" s="1"/>
  <c r="AY17" i="3" s="1"/>
  <c r="AY18" i="3" s="1"/>
  <c r="AY19" i="3" s="1"/>
  <c r="AY20" i="3" s="1"/>
  <c r="AY21" i="3" s="1"/>
  <c r="AY22" i="3" s="1"/>
  <c r="AY23" i="3" s="1"/>
  <c r="AY24" i="3" s="1"/>
  <c r="AY25" i="3" s="1"/>
  <c r="AY26" i="3" s="1"/>
  <c r="AY27" i="3" s="1"/>
  <c r="AY28" i="3" s="1"/>
  <c r="AY29" i="3" s="1"/>
  <c r="AY30" i="3" s="1"/>
  <c r="AY31" i="3" s="1"/>
  <c r="AY32" i="3" s="1"/>
  <c r="AY33" i="3" s="1"/>
  <c r="AY34" i="3" s="1"/>
  <c r="AY35" i="3" s="1"/>
  <c r="AY36" i="3" s="1"/>
  <c r="AY37" i="3" s="1"/>
  <c r="AY38" i="3" s="1"/>
  <c r="AY39" i="3" s="1"/>
  <c r="AY40" i="3" s="1"/>
  <c r="AY41" i="3" s="1"/>
  <c r="AY42" i="3" s="1"/>
  <c r="CL21" i="3"/>
  <c r="CL30" i="3"/>
  <c r="CL42" i="3"/>
  <c r="CL7" i="3"/>
  <c r="CL36" i="3"/>
  <c r="CL28" i="3"/>
  <c r="CL41" i="3"/>
  <c r="CL33" i="3"/>
  <c r="BI12" i="3"/>
  <c r="AZ10" i="3" l="1"/>
  <c r="AZ5" i="3"/>
  <c r="AZ8" i="3"/>
  <c r="AZ41" i="3"/>
  <c r="AZ11" i="3"/>
  <c r="AZ15" i="3"/>
  <c r="AZ19" i="3"/>
  <c r="AZ23" i="3"/>
  <c r="AZ27" i="3"/>
  <c r="AZ31" i="3"/>
  <c r="AZ35" i="3"/>
  <c r="AZ12" i="3"/>
  <c r="AZ16" i="3"/>
  <c r="AZ20" i="3"/>
  <c r="AZ24" i="3"/>
  <c r="AZ28" i="3"/>
  <c r="AZ32" i="3"/>
  <c r="AZ40" i="3"/>
  <c r="CE13" i="3"/>
  <c r="BI13" i="3"/>
  <c r="BI14" i="3" s="1"/>
  <c r="BI15" i="3" s="1"/>
  <c r="BI16" i="3" s="1"/>
  <c r="BI17" i="3" s="1"/>
  <c r="BI18" i="3" s="1"/>
  <c r="BI19" i="3" s="1"/>
  <c r="BI20" i="3" s="1"/>
  <c r="BI21" i="3" s="1"/>
  <c r="BI22" i="3" s="1"/>
  <c r="BI23" i="3" s="1"/>
  <c r="BI24" i="3" s="1"/>
  <c r="BI25" i="3" s="1"/>
  <c r="BI26" i="3" s="1"/>
  <c r="BI27" i="3" s="1"/>
  <c r="BI28" i="3" s="1"/>
  <c r="BI29" i="3" s="1"/>
  <c r="BI30" i="3" s="1"/>
  <c r="BI31" i="3" s="1"/>
  <c r="BI32" i="3" s="1"/>
  <c r="BI33" i="3" s="1"/>
  <c r="BI34" i="3" s="1"/>
  <c r="BI35" i="3" s="1"/>
  <c r="BI36" i="3" s="1"/>
  <c r="BI37" i="3" s="1"/>
  <c r="BI38" i="3" s="1"/>
  <c r="BI39" i="3" s="1"/>
  <c r="BI40" i="3" s="1"/>
  <c r="BI41" i="3" s="1"/>
  <c r="BI42" i="3" s="1"/>
  <c r="AZ4" i="3"/>
  <c r="AZ38" i="3"/>
  <c r="AZ36" i="3"/>
  <c r="AZ13" i="3"/>
  <c r="AZ17" i="3"/>
  <c r="AZ21" i="3"/>
  <c r="AZ25" i="3"/>
  <c r="AZ29" i="3"/>
  <c r="AZ33" i="3"/>
  <c r="AZ42" i="3"/>
  <c r="AZ6" i="3"/>
  <c r="AZ9" i="3"/>
  <c r="AZ7" i="3"/>
  <c r="AZ39" i="3"/>
  <c r="AZ37" i="3"/>
  <c r="AZ14" i="3"/>
  <c r="AZ18" i="3"/>
  <c r="AZ22" i="3"/>
  <c r="AZ26" i="3"/>
  <c r="AZ30" i="3"/>
  <c r="AZ34" i="3"/>
  <c r="BJ33" i="3" l="1"/>
  <c r="BJ13" i="3"/>
  <c r="BJ26" i="3"/>
  <c r="BJ17" i="3"/>
  <c r="BJ6" i="3"/>
  <c r="BJ39" i="3"/>
  <c r="BJ22" i="3"/>
  <c r="BJ35" i="3"/>
  <c r="BJ27" i="3"/>
  <c r="BJ40" i="3"/>
  <c r="BJ19" i="3"/>
  <c r="BJ34" i="3"/>
  <c r="BJ30" i="3"/>
  <c r="BJ7" i="3"/>
  <c r="BJ9" i="3"/>
  <c r="BJ11" i="3"/>
  <c r="BJ5" i="3"/>
  <c r="BJ15" i="3"/>
  <c r="BJ23" i="3"/>
  <c r="BJ8" i="3"/>
  <c r="BJ29" i="3"/>
  <c r="BJ12" i="3"/>
  <c r="BJ38" i="3"/>
  <c r="BJ18" i="3"/>
  <c r="BJ28" i="3"/>
  <c r="BJ24" i="3"/>
  <c r="BJ20" i="3"/>
  <c r="BJ25" i="3"/>
  <c r="BJ41" i="3"/>
  <c r="BJ37" i="3"/>
  <c r="BJ32" i="3"/>
  <c r="BJ10" i="3"/>
  <c r="BJ36" i="3"/>
  <c r="BJ31" i="3"/>
  <c r="BJ4" i="3"/>
  <c r="BJ14" i="3"/>
  <c r="BJ42" i="3"/>
  <c r="BJ16" i="3"/>
  <c r="BJ21" i="3"/>
  <c r="CE14" i="3"/>
  <c r="CE15" i="3" s="1"/>
  <c r="CE16" i="3" s="1"/>
  <c r="CE17" i="3" s="1"/>
  <c r="CE18" i="3" s="1"/>
  <c r="CE19" i="3" s="1"/>
  <c r="CE20" i="3" s="1"/>
  <c r="CE21" i="3" s="1"/>
  <c r="CE22" i="3" s="1"/>
  <c r="CE23" i="3" s="1"/>
  <c r="CE24" i="3" s="1"/>
  <c r="CE25" i="3" s="1"/>
  <c r="CE26" i="3" s="1"/>
  <c r="CE27" i="3" s="1"/>
  <c r="CE28" i="3" s="1"/>
  <c r="CE29" i="3" s="1"/>
  <c r="CE30" i="3" s="1"/>
  <c r="CE31" i="3" s="1"/>
  <c r="CE32" i="3" s="1"/>
  <c r="CE33" i="3" s="1"/>
  <c r="CE34" i="3" s="1"/>
  <c r="CE35" i="3" s="1"/>
  <c r="CE36" i="3" s="1"/>
  <c r="CE37" i="3" s="1"/>
  <c r="CE38" i="3" s="1"/>
  <c r="CE39" i="3" s="1"/>
  <c r="CE40" i="3" s="1"/>
  <c r="CE41" i="3" s="1"/>
  <c r="CE42" i="3" s="1"/>
  <c r="CF6" i="3" l="1"/>
  <c r="CF16" i="3"/>
  <c r="CF18" i="3"/>
  <c r="CF30" i="3"/>
  <c r="CF27" i="3"/>
  <c r="CF19" i="3"/>
  <c r="CF10" i="3"/>
  <c r="CF28" i="3"/>
  <c r="CF20" i="3"/>
  <c r="CF29" i="3"/>
  <c r="CF31" i="3"/>
  <c r="CF15" i="3"/>
  <c r="CF42" i="3"/>
  <c r="CF22" i="3"/>
  <c r="CF14" i="3"/>
  <c r="CF35" i="3"/>
  <c r="CF32" i="3"/>
  <c r="CF25" i="3"/>
  <c r="CF23" i="3"/>
  <c r="CF26" i="3"/>
  <c r="CF24" i="3"/>
  <c r="CF34" i="3"/>
  <c r="CF39" i="3"/>
  <c r="CF8" i="3"/>
  <c r="CF38" i="3"/>
  <c r="CF4" i="3"/>
  <c r="CF12" i="3"/>
  <c r="CF21" i="3"/>
  <c r="CF41" i="3"/>
  <c r="CF17" i="3"/>
  <c r="CF37" i="3"/>
  <c r="CF9" i="3"/>
  <c r="CF11" i="3"/>
  <c r="CF40" i="3"/>
  <c r="CF33" i="3"/>
  <c r="CF7" i="3"/>
  <c r="CF36" i="3"/>
  <c r="CF5" i="3"/>
  <c r="CF13" i="3"/>
</calcChain>
</file>

<file path=xl/sharedStrings.xml><?xml version="1.0" encoding="utf-8"?>
<sst xmlns="http://schemas.openxmlformats.org/spreadsheetml/2006/main" count="699" uniqueCount="207">
  <si>
    <t>MSTC LIMITED - COMBINED BID SHEET (Auctions 21977, 21978, 21979, 21980)</t>
  </si>
  <si>
    <t>Quantity</t>
  </si>
  <si>
    <t>Lot No.</t>
  </si>
  <si>
    <t>Rate</t>
  </si>
  <si>
    <t>Bid Sheet</t>
  </si>
  <si>
    <t>Unit</t>
  </si>
  <si>
    <t>Buyer</t>
  </si>
  <si>
    <t>Mat. Value</t>
  </si>
  <si>
    <t>GST</t>
  </si>
  <si>
    <t>Mat. Value + GST</t>
  </si>
  <si>
    <t>TCS</t>
  </si>
  <si>
    <t>TDS u/s 194(O)</t>
  </si>
  <si>
    <t>Service Charge
to MSTC</t>
  </si>
  <si>
    <t>TDS u/s 194(H)</t>
  </si>
  <si>
    <t>Net Service Charge
(post TDS 194H)</t>
  </si>
  <si>
    <t>Service charge to MSTC</t>
  </si>
  <si>
    <t>GST TDS Rate</t>
  </si>
  <si>
    <t>GST TDS</t>
  </si>
  <si>
    <t>Total Receivables in Cash</t>
  </si>
  <si>
    <t>Security Deposit (Expected)</t>
  </si>
  <si>
    <t>Security Deposit (Received)</t>
  </si>
  <si>
    <t>Date of Receipt</t>
  </si>
  <si>
    <t>Final Payment (Expected)</t>
  </si>
  <si>
    <t>Final Payment (Received)</t>
  </si>
  <si>
    <t>LPP Expected</t>
  </si>
  <si>
    <t>LPP Received</t>
  </si>
  <si>
    <t>Date of Recepit of LPP</t>
  </si>
  <si>
    <t>Total Received</t>
  </si>
  <si>
    <t>Outstanding</t>
  </si>
  <si>
    <t xml:space="preserve">Invoice No. </t>
  </si>
  <si>
    <t>SAP Document</t>
  </si>
  <si>
    <t>Doc./Invoice Date</t>
  </si>
  <si>
    <t>SCRAP COPPER OF T/F WINDING (Oil impregnated paper insulated T/F winding)</t>
  </si>
  <si>
    <t>KG</t>
  </si>
  <si>
    <t>AL HAMD TRADE CORPORATION</t>
  </si>
  <si>
    <t>24.08.2026</t>
  </si>
  <si>
    <t>18.08.2026</t>
  </si>
  <si>
    <t>DR2640100029</t>
  </si>
  <si>
    <t>Scrap of Empty oil drum</t>
  </si>
  <si>
    <t>NO</t>
  </si>
  <si>
    <t>NATIONAL ENTERPRISES</t>
  </si>
  <si>
    <t>13.08.2026</t>
  </si>
  <si>
    <t>DR2640100030</t>
  </si>
  <si>
    <t>27.08.2026</t>
  </si>
  <si>
    <t>Scrap of Copper of faulty AC compressor</t>
  </si>
  <si>
    <t>F R KHANS ENTERPRISES</t>
  </si>
  <si>
    <t>11.08.2026</t>
  </si>
  <si>
    <t>20.08.2026</t>
  </si>
  <si>
    <t>DR2640100047</t>
  </si>
  <si>
    <t>Scrap of MS (extracted from equip cage and empty Sf6 gas cylinder)</t>
  </si>
  <si>
    <t>DR2640100048</t>
  </si>
  <si>
    <t>SCRAP ACSR CONDUCTORS (Conductor Pieces)</t>
  </si>
  <si>
    <t>OMKAR STEELS</t>
  </si>
  <si>
    <t>14.08.2026</t>
  </si>
  <si>
    <t>DR2640100045</t>
  </si>
  <si>
    <t>Scrap Power Transformer</t>
  </si>
  <si>
    <t>SHAR JAHAN TRADERS</t>
  </si>
  <si>
    <t>DR2640100023</t>
  </si>
  <si>
    <t>17.08.2026</t>
  </si>
  <si>
    <t>Scrap of 132 KV CT</t>
  </si>
  <si>
    <t>DR2640100031</t>
  </si>
  <si>
    <t>Scrap of 145 KV CB</t>
  </si>
  <si>
    <t>DR2640100032</t>
  </si>
  <si>
    <t>Scrap of 220KV CT</t>
  </si>
  <si>
    <t>DR2640100033</t>
  </si>
  <si>
    <t>Scrap of empty oil drums</t>
  </si>
  <si>
    <t>STERLING ENTERPRISES</t>
  </si>
  <si>
    <t>DR2640100018</t>
  </si>
  <si>
    <t>SCRAP POWER TRANSFORMER</t>
  </si>
  <si>
    <t>DR2640100024</t>
  </si>
  <si>
    <t>Scrap of empty oil Druam</t>
  </si>
  <si>
    <t>HIND TRADERS</t>
  </si>
  <si>
    <t>DR2640100026</t>
  </si>
  <si>
    <t>Scrap of empty oil Barrel</t>
  </si>
  <si>
    <t>DR2640100019</t>
  </si>
  <si>
    <t>Scrap of empty oil Barrels</t>
  </si>
  <si>
    <t>DR2640100020</t>
  </si>
  <si>
    <t>Scrap of 220 KV Circuit Breaker</t>
  </si>
  <si>
    <t>DR2640100034</t>
  </si>
  <si>
    <t>DR2640100035</t>
  </si>
  <si>
    <t>SCRAP 80MM² AAAC EARTHWIRE</t>
  </si>
  <si>
    <t>10.08.2026</t>
  </si>
  <si>
    <t>DR2640100017</t>
  </si>
  <si>
    <t>12.08.2026</t>
  </si>
  <si>
    <t>NATIONAL SCRAP AND BUILDING MATERIAL SUPPLIER</t>
  </si>
  <si>
    <t>21.08.2026</t>
  </si>
  <si>
    <t>DR2640100028</t>
  </si>
  <si>
    <t>DR2640100044</t>
  </si>
  <si>
    <t>DR2640100021</t>
  </si>
  <si>
    <t>DR2640100036</t>
  </si>
  <si>
    <t>Scrap Empty Oil Drum/ Barrel</t>
  </si>
  <si>
    <t>WATAN SCRAP TRADERS</t>
  </si>
  <si>
    <t>DR2640100042</t>
  </si>
  <si>
    <t>Scrap of 132 KV Wave Trap</t>
  </si>
  <si>
    <t>DR2640100037</t>
  </si>
  <si>
    <t>Mix Scrap (Tower angles &amp; 0.2 ACSR Condutor pieces)</t>
  </si>
  <si>
    <t>MT</t>
  </si>
  <si>
    <t>M I SCRAP TRADERS</t>
  </si>
  <si>
    <t>DR2640100043</t>
  </si>
  <si>
    <t>Scrap of 33 KV CT</t>
  </si>
  <si>
    <t>DR2640100038</t>
  </si>
  <si>
    <t>Scrap of AAAC Earth wire</t>
  </si>
  <si>
    <t>SAHARA ENTERPRISES</t>
  </si>
  <si>
    <t>DR2640100041</t>
  </si>
  <si>
    <t>Scrap of 220 KV CT</t>
  </si>
  <si>
    <t>DR2640100039</t>
  </si>
  <si>
    <t>Scrap of 33 KV GCB</t>
  </si>
  <si>
    <t>DR2640100046</t>
  </si>
  <si>
    <t>Scrap of Empty oil Barrels</t>
  </si>
  <si>
    <t>DR2640100022</t>
  </si>
  <si>
    <t>DR2640100027</t>
  </si>
  <si>
    <t>Scrap of 33 KV CB</t>
  </si>
  <si>
    <t>Scrap of 66 KV Isolater</t>
  </si>
  <si>
    <t>DR2640100040</t>
  </si>
  <si>
    <t>KASHYAP TRADING CO</t>
  </si>
  <si>
    <t>DR2640100025</t>
  </si>
  <si>
    <t>19.08.2026</t>
  </si>
  <si>
    <t>Scrap of 66 kv TBC C &amp; R Panel</t>
  </si>
  <si>
    <t>S M ENTERPRISES</t>
  </si>
  <si>
    <t>01.09.2026</t>
  </si>
  <si>
    <t>Bal SD O/s</t>
  </si>
  <si>
    <t>Bal FP O/s</t>
  </si>
  <si>
    <t>MSTC LIMITED  •  LIVE SEARCH   (results grouped by the value you typed, each group totalled, TOTAL MATCHED beneath them, the misses greyed in a REMAINING block, a GRAND TOTAL of both at the foot)</t>
  </si>
  <si>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t>
  </si>
  <si>
    <t>🔍  SEARCH  ▸</t>
  </si>
  <si>
    <t>SEARCH IN  ▸</t>
  </si>
  <si>
    <t>Lot No. + Buyer + Name</t>
  </si>
  <si>
    <t>MATCHES  ▸</t>
  </si>
  <si>
    <t>SUGGESTIONS ▸</t>
  </si>
  <si>
    <t>the text this lot is searched in</t>
  </si>
  <si>
    <t>1 = this lot matches the search box</t>
  </si>
  <si>
    <t>the 'search in' list</t>
  </si>
  <si>
    <t>the box with &amp; -&gt; + and / -&gt; ,</t>
  </si>
  <si>
    <t>term 1 - rows 4..9: text left, delimiter pos, the term, delimiter, running facet, facet no.</t>
  </si>
  <si>
    <t>#</t>
  </si>
  <si>
    <t>Lot Name</t>
  </si>
  <si>
    <t>Service Charge to MSTC</t>
  </si>
  <si>
    <t>Net Service Charge (post TDS 194H)</t>
  </si>
  <si>
    <t>Date of Receipt (col V)</t>
  </si>
  <si>
    <t>Date of Receipt (col Y)</t>
  </si>
  <si>
    <t>Invoice No.</t>
  </si>
  <si>
    <t>Payment Status</t>
  </si>
  <si>
    <t>MSTC LIMITED  •  BUYER-WISE GROUPS   (each buyer’s lots in one block with a shaded ∑ subtotal beneath it, a blue TOTAL of every buyer and a green GRAND TOTAL cross-checked to the source at the foot)</t>
  </si>
  <si>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type a few letters in any yellow search cell, then press Alt+↓: the dropdown lists only values containing what you typed (same contains rule as the highlight). Clear the cell for the full alphabetical list again.</t>
  </si>
  <si>
    <t>BUYERS  ▸</t>
  </si>
  <si>
    <t>LOTS  ▸</t>
  </si>
  <si>
    <t>SEARCH ▸</t>
  </si>
  <si>
    <t>∑</t>
  </si>
  <si>
    <t>SUBTOTAL — AL HAMD TRADE CORPORATION</t>
  </si>
  <si>
    <t>–</t>
  </si>
  <si>
    <t>SUBTOTAL — F R KHANS ENTERPRISES</t>
  </si>
  <si>
    <t>SUBTOTAL — HIND TRADERS</t>
  </si>
  <si>
    <t>SUBTOTAL — KASHYAP TRADING CO</t>
  </si>
  <si>
    <t>SUBTOTAL — M I SCRAP TRADERS</t>
  </si>
  <si>
    <t>SUBTOTAL — NATIONAL ENTERPRISES</t>
  </si>
  <si>
    <t>SUBTOTAL — NATIONAL SCRAP AND BUILDING MATERIAL SUPPLIER</t>
  </si>
  <si>
    <t>SUBTOTAL — OMKAR STEELS</t>
  </si>
  <si>
    <t>SUBTOTAL — S M ENTERPRISES</t>
  </si>
  <si>
    <t>SUBTOTAL — SAHARA ENTERPRISES</t>
  </si>
  <si>
    <t>SUBTOTAL — SHAR JAHAN TRADERS</t>
  </si>
  <si>
    <t>SUBTOTAL — STERLING ENTERPRISES</t>
  </si>
  <si>
    <t>SUBTOTAL — WATAN SCRAP TRADERS</t>
  </si>
  <si>
    <t>TOTAL — every buyer together</t>
  </si>
  <si>
    <t>GRAND TOTAL — cross-checked to source</t>
  </si>
  <si>
    <t>▸ MATCHED LOTS</t>
  </si>
  <si>
    <t>live from SEARCH row ↑</t>
  </si>
  <si>
    <t>Search-dropdown lists — live from Final Calculation Sheet, sorted ascending. Do not edit.</t>
  </si>
  <si>
    <t>MAIN (B3): lot no + buyer + lot name</t>
  </si>
  <si>
    <t>A (#): 1..37</t>
  </si>
  <si>
    <t>B (Final F)</t>
  </si>
  <si>
    <t>C (Final G)</t>
  </si>
  <si>
    <t>D (Final B)</t>
  </si>
  <si>
    <t>E (Final D)</t>
  </si>
  <si>
    <t>F (Final A)</t>
  </si>
  <si>
    <t>G (Final E)</t>
  </si>
  <si>
    <t>H (Final C)</t>
  </si>
  <si>
    <t>I (Final H)</t>
  </si>
  <si>
    <t>J (Final I)</t>
  </si>
  <si>
    <t>K (Final J)</t>
  </si>
  <si>
    <t>L (Final K)</t>
  </si>
  <si>
    <t>M (Final L)</t>
  </si>
  <si>
    <t>N (Final M)</t>
  </si>
  <si>
    <t>O (Final N)</t>
  </si>
  <si>
    <t>P (Final O)</t>
  </si>
  <si>
    <t>Q (Final P)</t>
  </si>
  <si>
    <t>R (Final Q)</t>
  </si>
  <si>
    <t>S (Final R)</t>
  </si>
  <si>
    <t>T (Final S)</t>
  </si>
  <si>
    <t>U (Final T)</t>
  </si>
  <si>
    <t>V (Final U)</t>
  </si>
  <si>
    <t>W (Final V)</t>
  </si>
  <si>
    <t>X (Final W)</t>
  </si>
  <si>
    <t>Y (Final X)</t>
  </si>
  <si>
    <t>Z (Final Y)</t>
  </si>
  <si>
    <t>AA (Final Z)</t>
  </si>
  <si>
    <t>AB (Final AA)</t>
  </si>
  <si>
    <t>AC (Final AB)</t>
  </si>
  <si>
    <t>AD (Final AC)</t>
  </si>
  <si>
    <t>AE (Final AD)</t>
  </si>
  <si>
    <t>AF (Final AE)</t>
  </si>
  <si>
    <t>AG (Final AF)</t>
  </si>
  <si>
    <t>AH (Final AG)</t>
  </si>
  <si>
    <t>AI (Payment Status)</t>
  </si>
  <si>
    <t>SETTLED</t>
  </si>
  <si>
    <t>OUTSTANDING</t>
  </si>
  <si>
    <t>(blank)</t>
  </si>
  <si>
    <t>(nonblank)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</si>
</sst>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_ * #,##0_ ;_ * \-#,##0_ ;_ * \-??_ ;_ @_ "/>
  </numFmts>
  <fonts count="22" x14ac:knownFonts="1">
    <font>
      <sz val="11"/>
      <color theme="1"/>
      <name val="Calibri"/>
      <family val="2"/>
      <charset val="1"/>
    </font>
    <font>
      <b/>
      <sz val="13"/>
      <name val="Arial"/>
      <family val="2"/>
      <charset val="1"/>
    </font>
    <font>
      <b/>
      <sz val="11"/>
      <color theme="1"/>
      <name val="Calibri"/>
      <family val="2"/>
      <charset val="1"/>
    </font>
    <font>
      <b/>
      <sz val="9"/>
      <color theme="1"/>
      <name val="Calibri"/>
      <family val="2"/>
      <charset val="1"/>
    </font>
    <font>
      <b/>
      <sz val="10"/>
      <color theme="1"/>
      <name val="Arial"/>
      <family val="2"/>
      <charset val="1"/>
    </font>
    <font>
      <sz val="10"/>
      <name val="Arial"/>
      <family val="2"/>
      <charset val="1"/>
    </font>
    <font>
      <sz val="10"/>
      <color theme="1"/>
      <name val="Arial"/>
      <family val="2"/>
      <charset val="1"/>
    </font>
    <font>
      <b/>
      <sz val="15"/>
      <color rgb="FFFFFFFF"/>
      <name val="Calibri"/>
      <charset val="1"/>
    </font>
    <font>
      <i/>
      <sz val="9"/>
      <color rgb="FF1F3864"/>
      <name val="Calibri"/>
      <charset val="1"/>
    </font>
    <font>
      <b/>
      <sz val="11"/>
      <color rgb="FFFFFFFF"/>
      <name val="Calibri"/>
      <charset val="1"/>
    </font>
    <font>
      <b/>
      <sz val="12"/>
      <color rgb="FF1F3864"/>
      <name val="Calibri"/>
      <charset val="1"/>
    </font>
    <font>
      <b/>
      <sz val="10"/>
      <color rgb="FFFFFFFF"/>
      <name val="Calibri"/>
      <charset val="1"/>
    </font>
    <font>
      <b/>
      <sz val="10"/>
      <color rgb="FF1F3864"/>
      <name val="Calibri"/>
      <charset val="1"/>
    </font>
    <font>
      <i/>
      <sz val="8"/>
      <color rgb="FF808080"/>
      <name val="Calibri"/>
      <charset val="1"/>
    </font>
    <font>
      <sz val="11"/>
      <name val="Cambria"/>
      <charset val="1"/>
    </font>
    <font>
      <b/>
      <sz val="9"/>
      <color rgb="FF666666"/>
      <name val="Calibri"/>
      <charset val="1"/>
    </font>
    <font>
      <b/>
      <sz val="10"/>
      <color rgb="FF333333"/>
      <name val="Calibri"/>
      <charset val="1"/>
    </font>
    <font>
      <sz val="10"/>
      <color rgb="FF333333"/>
      <name val="Calibri"/>
      <charset val="1"/>
    </font>
    <font>
      <b/>
      <sz val="10"/>
      <name val="Calibri"/>
      <charset val="1"/>
    </font>
    <font>
      <b/>
      <sz val="9"/>
      <color rgb="FFFFFFFF"/>
      <name val="Cambria"/>
      <charset val="1"/>
    </font>
    <font>
      <b/>
      <sz val="9"/>
      <color rgb="FFFFFFFF"/>
      <name val="Calibri"/>
      <charset val="1"/>
    </font>
    <font>
      <i/>
      <sz val="10"/>
      <color rgb="FF666666"/>
      <name val="Calibri"/>
      <charset val="1"/>
    </font>
  </fonts>
  <fills count="10">
    <fill>
      <patternFill patternType="none"/>
    </fill>
    <fill>
      <patternFill patternType="gray125"/>
    </fill>
    <fill>
      <patternFill patternType="solid">
        <fgColor theme="0"/>
        <bgColor rgb="FFF4F9FD"/>
      </patternFill>
    </fill>
    <fill>
      <patternFill patternType="solid">
        <fgColor theme="2" tint="-9.9978637043366805E-2"/>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s>
  <borders count="21">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s>
  <cellStyleXfs count="1">
    <xf numFmtId="0" fontId="0" fillId="0" borderId="0"/>
  </cellStyleXfs>
  <cellXfs count="146">
    <xf numFmtId="0" fontId="0" fillId="0" borderId="0" xfId="0"/>
    <xf numFmtId="0" fontId="0" fillId="0" borderId="0" xfId="0" applyAlignment="1">
      <alignment wrapText="1"/>
    </xf>
    <xf numFmtId="0" fontId="0" fillId="2" borderId="0" xfId="0" applyFill="1"/>
    <xf numFmtId="0" fontId="1" fillId="0" borderId="0" xfId="0" applyFont="1" applyAlignment="1">
      <alignment vertical="center"/>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left" vertical="center" wrapText="1"/>
    </xf>
    <xf numFmtId="164" fontId="5" fillId="0" borderId="5" xfId="0" applyNumberFormat="1" applyFont="1" applyBorder="1" applyAlignment="1">
      <alignment horizontal="center" vertical="center" wrapText="1"/>
    </xf>
    <xf numFmtId="0" fontId="5" fillId="0" borderId="5" xfId="0" applyFont="1" applyBorder="1" applyAlignment="1">
      <alignment horizontal="center" vertical="center" wrapText="1"/>
    </xf>
    <xf numFmtId="164" fontId="5" fillId="0" borderId="5" xfId="0" applyNumberFormat="1" applyFont="1" applyBorder="1" applyAlignment="1">
      <alignment horizontal="right" vertical="center" wrapText="1"/>
    </xf>
    <xf numFmtId="164" fontId="5" fillId="0" borderId="5" xfId="0" applyNumberFormat="1" applyFont="1" applyBorder="1" applyAlignment="1">
      <alignment horizontal="right" vertical="center"/>
    </xf>
    <xf numFmtId="3" fontId="5" fillId="0" borderId="5" xfId="0" applyNumberFormat="1" applyFont="1" applyBorder="1" applyAlignment="1">
      <alignment horizontal="right" vertical="center"/>
    </xf>
    <xf numFmtId="9" fontId="5" fillId="0" borderId="5" xfId="0" applyNumberFormat="1" applyFont="1" applyBorder="1" applyAlignment="1">
      <alignment horizontal="right" vertical="center"/>
    </xf>
    <xf numFmtId="165" fontId="6" fillId="2" borderId="5" xfId="0" applyNumberFormat="1" applyFont="1" applyFill="1" applyBorder="1" applyAlignment="1">
      <alignment vertical="center"/>
    </xf>
    <xf numFmtId="164" fontId="5" fillId="2" borderId="5" xfId="0" applyNumberFormat="1" applyFont="1" applyFill="1" applyBorder="1" applyAlignment="1">
      <alignment horizontal="right" vertical="center"/>
    </xf>
    <xf numFmtId="164" fontId="5" fillId="2" borderId="6" xfId="0" applyNumberFormat="1" applyFont="1" applyFill="1" applyBorder="1" applyAlignment="1">
      <alignment horizontal="right" vertical="center"/>
    </xf>
    <xf numFmtId="1" fontId="5" fillId="2" borderId="6" xfId="0" applyNumberFormat="1" applyFont="1" applyFill="1" applyBorder="1" applyAlignment="1">
      <alignment horizontal="center" vertical="center"/>
    </xf>
    <xf numFmtId="164" fontId="5" fillId="2" borderId="7" xfId="0" applyNumberFormat="1" applyFont="1" applyFill="1" applyBorder="1" applyAlignment="1">
      <alignment horizontal="right" vertical="center"/>
    </xf>
    <xf numFmtId="0" fontId="5" fillId="0" borderId="8" xfId="0" applyFont="1" applyBorder="1" applyAlignment="1">
      <alignment horizontal="center" vertical="center" wrapText="1"/>
    </xf>
    <xf numFmtId="0" fontId="5" fillId="0" borderId="6" xfId="0" applyFont="1" applyBorder="1" applyAlignment="1">
      <alignment horizontal="left" vertical="center" wrapText="1"/>
    </xf>
    <xf numFmtId="164" fontId="5" fillId="0" borderId="6" xfId="0" applyNumberFormat="1" applyFont="1" applyBorder="1" applyAlignment="1">
      <alignment horizontal="center" vertical="center" wrapText="1"/>
    </xf>
    <xf numFmtId="0" fontId="5" fillId="0" borderId="6" xfId="0" applyFont="1" applyBorder="1" applyAlignment="1">
      <alignment horizontal="center" vertical="center" wrapText="1"/>
    </xf>
    <xf numFmtId="164" fontId="5" fillId="0" borderId="6" xfId="0" applyNumberFormat="1" applyFont="1" applyBorder="1" applyAlignment="1">
      <alignment horizontal="right" vertical="center" wrapText="1"/>
    </xf>
    <xf numFmtId="164" fontId="5" fillId="0" borderId="6" xfId="0" applyNumberFormat="1" applyFont="1" applyBorder="1" applyAlignment="1">
      <alignment horizontal="right" vertical="center"/>
    </xf>
    <xf numFmtId="3" fontId="5" fillId="0" borderId="6" xfId="0" applyNumberFormat="1" applyFont="1" applyBorder="1" applyAlignment="1">
      <alignment horizontal="right" vertical="center"/>
    </xf>
    <xf numFmtId="9" fontId="5" fillId="0" borderId="6" xfId="0" applyNumberFormat="1" applyFont="1" applyBorder="1" applyAlignment="1">
      <alignment horizontal="right" vertical="center"/>
    </xf>
    <xf numFmtId="165" fontId="6" fillId="2" borderId="6" xfId="0" applyNumberFormat="1" applyFont="1" applyFill="1" applyBorder="1" applyAlignment="1">
      <alignment vertical="center"/>
    </xf>
    <xf numFmtId="0" fontId="5" fillId="0" borderId="9" xfId="0" applyFont="1" applyBorder="1" applyAlignment="1">
      <alignment horizontal="center" vertical="center" wrapText="1"/>
    </xf>
    <xf numFmtId="0" fontId="5" fillId="0" borderId="10" xfId="0" applyFont="1" applyBorder="1" applyAlignment="1">
      <alignment horizontal="left" vertical="center" wrapText="1"/>
    </xf>
    <xf numFmtId="164" fontId="5" fillId="0" borderId="10" xfId="0" applyNumberFormat="1" applyFont="1" applyBorder="1" applyAlignment="1">
      <alignment horizontal="center" vertical="center" wrapText="1"/>
    </xf>
    <xf numFmtId="0" fontId="5" fillId="0" borderId="10" xfId="0" applyFont="1" applyBorder="1" applyAlignment="1">
      <alignment horizontal="center" vertical="center" wrapText="1"/>
    </xf>
    <xf numFmtId="164" fontId="5" fillId="0" borderId="10" xfId="0" applyNumberFormat="1" applyFont="1" applyBorder="1" applyAlignment="1">
      <alignment horizontal="right" vertical="center" wrapText="1"/>
    </xf>
    <xf numFmtId="164" fontId="5" fillId="0" borderId="10" xfId="0" applyNumberFormat="1" applyFont="1" applyBorder="1" applyAlignment="1">
      <alignment horizontal="right" vertical="center"/>
    </xf>
    <xf numFmtId="3" fontId="5" fillId="0" borderId="10" xfId="0" applyNumberFormat="1" applyFont="1" applyBorder="1" applyAlignment="1">
      <alignment horizontal="right" vertical="center"/>
    </xf>
    <xf numFmtId="9" fontId="5" fillId="0" borderId="10" xfId="0" applyNumberFormat="1" applyFont="1" applyBorder="1" applyAlignment="1">
      <alignment horizontal="right" vertical="center"/>
    </xf>
    <xf numFmtId="165" fontId="6" fillId="2" borderId="10" xfId="0" applyNumberFormat="1" applyFont="1" applyFill="1" applyBorder="1" applyAlignment="1">
      <alignment vertical="center"/>
    </xf>
    <xf numFmtId="0" fontId="0" fillId="0" borderId="11" xfId="0" applyBorder="1"/>
    <xf numFmtId="0" fontId="0" fillId="0" borderId="12" xfId="0" applyBorder="1"/>
    <xf numFmtId="164" fontId="5" fillId="0" borderId="12" xfId="0" applyNumberFormat="1" applyFont="1" applyBorder="1" applyAlignment="1">
      <alignment horizontal="right" vertical="center" wrapText="1"/>
    </xf>
    <xf numFmtId="164" fontId="5" fillId="0" borderId="12" xfId="0" applyNumberFormat="1" applyFont="1" applyBorder="1" applyAlignment="1">
      <alignment horizontal="right" vertical="center"/>
    </xf>
    <xf numFmtId="0" fontId="0" fillId="0" borderId="13" xfId="0" applyBorder="1"/>
    <xf numFmtId="0" fontId="0" fillId="0" borderId="14" xfId="0" applyBorder="1"/>
    <xf numFmtId="0" fontId="0" fillId="0" borderId="15" xfId="0" applyBorder="1"/>
    <xf numFmtId="164" fontId="5" fillId="0" borderId="15" xfId="0" applyNumberFormat="1" applyFont="1" applyBorder="1" applyAlignment="1">
      <alignment horizontal="right" vertical="center" wrapText="1"/>
    </xf>
    <xf numFmtId="164" fontId="5" fillId="0" borderId="15" xfId="0" applyNumberFormat="1" applyFont="1" applyBorder="1" applyAlignment="1">
      <alignment horizontal="right" vertical="center"/>
    </xf>
    <xf numFmtId="3" fontId="5" fillId="0" borderId="15" xfId="0" applyNumberFormat="1" applyFont="1" applyBorder="1" applyAlignment="1">
      <alignment horizontal="right" vertical="center"/>
    </xf>
    <xf numFmtId="164" fontId="6" fillId="0" borderId="15" xfId="0" applyNumberFormat="1" applyFont="1" applyBorder="1"/>
    <xf numFmtId="165" fontId="6" fillId="2" borderId="15" xfId="0" applyNumberFormat="1" applyFont="1" applyFill="1" applyBorder="1" applyAlignment="1">
      <alignment horizontal="right" vertical="center"/>
    </xf>
    <xf numFmtId="164" fontId="0" fillId="0" borderId="15" xfId="0" applyNumberFormat="1" applyBorder="1"/>
    <xf numFmtId="0" fontId="0" fillId="0" borderId="16" xfId="0" applyBorder="1"/>
    <xf numFmtId="164" fontId="0" fillId="0" borderId="0" xfId="0" applyNumberFormat="1"/>
    <xf numFmtId="0" fontId="0" fillId="2" borderId="0" xfId="0" applyFont="1" applyFill="1" applyAlignment="1">
      <alignment horizontal="right" vertical="center"/>
    </xf>
    <xf numFmtId="0" fontId="0" fillId="0" borderId="0" xfId="0" applyFont="1" applyAlignment="1">
      <alignment horizontal="right"/>
    </xf>
    <xf numFmtId="164" fontId="0" fillId="2" borderId="0" xfId="0" applyNumberFormat="1" applyFill="1"/>
    <xf numFmtId="0" fontId="9" fillId="4" borderId="0" xfId="0" applyFont="1" applyFill="1" applyAlignment="1">
      <alignment horizontal="right" vertical="center"/>
    </xf>
    <xf numFmtId="0" fontId="11" fillId="4" borderId="0" xfId="0" applyFont="1" applyFill="1" applyAlignment="1">
      <alignment horizontal="right" vertical="center"/>
    </xf>
    <xf numFmtId="0" fontId="12" fillId="6" borderId="17" xfId="0" applyFont="1" applyFill="1" applyBorder="1" applyAlignment="1">
      <alignment horizontal="center" vertical="center" wrapText="1"/>
    </xf>
    <xf numFmtId="0" fontId="10" fillId="5" borderId="17" xfId="0" applyFont="1" applyFill="1" applyBorder="1" applyAlignment="1">
      <alignment horizontal="center" vertical="center" wrapText="1"/>
    </xf>
    <xf numFmtId="0" fontId="13" fillId="0" borderId="0" xfId="0" applyFont="1"/>
    <xf numFmtId="0" fontId="11" fillId="7" borderId="18" xfId="0" applyFont="1" applyFill="1" applyBorder="1" applyAlignment="1">
      <alignment horizontal="center" vertical="center" wrapText="1"/>
    </xf>
    <xf numFmtId="0" fontId="14" fillId="0" borderId="0" xfId="0" applyFont="1" applyAlignment="1">
      <alignment horizontal="left" vertical="center"/>
    </xf>
    <xf numFmtId="0" fontId="14" fillId="0" borderId="0" xfId="0" applyFont="1"/>
    <xf numFmtId="1" fontId="15" fillId="0" borderId="0" xfId="0" applyNumberFormat="1" applyFont="1" applyAlignment="1">
      <alignment horizontal="center" vertical="center" wrapText="1"/>
    </xf>
    <xf numFmtId="0" fontId="16" fillId="0" borderId="0" xfId="0" applyFont="1" applyAlignment="1">
      <alignment horizontal="left" vertical="center"/>
    </xf>
    <xf numFmtId="0" fontId="17" fillId="0" borderId="0" xfId="0" applyFont="1" applyAlignment="1">
      <alignment horizontal="left" vertical="center"/>
    </xf>
    <xf numFmtId="164" fontId="17" fillId="0" borderId="0" xfId="0" applyNumberFormat="1" applyFont="1" applyAlignment="1">
      <alignment horizontal="right" vertical="center"/>
    </xf>
    <xf numFmtId="3" fontId="17" fillId="0" borderId="0" xfId="0" applyNumberFormat="1" applyFont="1" applyAlignment="1">
      <alignment horizontal="right" vertical="center"/>
    </xf>
    <xf numFmtId="9" fontId="17" fillId="0" borderId="0" xfId="0" applyNumberFormat="1" applyFont="1" applyAlignment="1">
      <alignment horizontal="right" vertical="center"/>
    </xf>
    <xf numFmtId="165" fontId="17" fillId="0" borderId="0" xfId="0" applyNumberFormat="1" applyFont="1" applyAlignment="1">
      <alignment horizontal="right" vertical="center"/>
    </xf>
    <xf numFmtId="1" fontId="17" fillId="0" borderId="0" xfId="0" applyNumberFormat="1" applyFont="1" applyAlignment="1">
      <alignment horizontal="right" vertical="center"/>
    </xf>
    <xf numFmtId="0" fontId="18" fillId="0" borderId="0" xfId="0" applyFont="1" applyAlignment="1">
      <alignment horizontal="center" vertical="center" wrapText="1"/>
    </xf>
    <xf numFmtId="0" fontId="16" fillId="0" borderId="0" xfId="0" applyFont="1" applyAlignment="1">
      <alignment horizontal="left" vertical="center"/>
    </xf>
    <xf numFmtId="0" fontId="19" fillId="4" borderId="19" xfId="0" applyFont="1" applyFill="1" applyBorder="1"/>
    <xf numFmtId="0" fontId="12" fillId="6" borderId="19" xfId="0" applyFont="1" applyFill="1" applyBorder="1" applyProtection="1">
      <protection locked="0"/>
    </xf>
    <xf numFmtId="0" fontId="0" fillId="0" borderId="0" xfId="0"/>
    <xf numFmtId="0" fontId="17" fillId="0" borderId="0" xfId="0" applyFont="1" applyAlignment="1">
      <alignment horizontal="left" vertical="center"/>
    </xf>
    <xf numFmtId="1" fontId="20" fillId="4" borderId="0" xfId="0" applyNumberFormat="1" applyFont="1" applyFill="1" applyAlignment="1">
      <alignment horizontal="center" vertical="center" wrapText="1"/>
    </xf>
    <xf numFmtId="0" fontId="11" fillId="4" borderId="0" xfId="0" applyFont="1" applyFill="1" applyAlignment="1">
      <alignment horizontal="left" vertical="center"/>
    </xf>
    <xf numFmtId="0" fontId="11" fillId="4" borderId="0" xfId="0" applyFont="1" applyFill="1" applyAlignment="1">
      <alignment horizontal="left" vertical="center"/>
    </xf>
    <xf numFmtId="164" fontId="11" fillId="4" borderId="0" xfId="0" applyNumberFormat="1" applyFont="1" applyFill="1" applyAlignment="1">
      <alignment horizontal="right" vertical="center"/>
    </xf>
    <xf numFmtId="3" fontId="11" fillId="4" borderId="0" xfId="0" applyNumberFormat="1" applyFont="1" applyFill="1" applyAlignment="1">
      <alignment horizontal="right" vertical="center"/>
    </xf>
    <xf numFmtId="9" fontId="11" fillId="4" borderId="0" xfId="0" applyNumberFormat="1" applyFont="1" applyFill="1" applyAlignment="1">
      <alignment horizontal="right" vertical="center"/>
    </xf>
    <xf numFmtId="165" fontId="11" fillId="4" borderId="0" xfId="0" applyNumberFormat="1" applyFont="1" applyFill="1" applyAlignment="1">
      <alignment horizontal="right" vertical="center"/>
    </xf>
    <xf numFmtId="1" fontId="11" fillId="4" borderId="0" xfId="0" applyNumberFormat="1" applyFont="1" applyFill="1" applyAlignment="1">
      <alignment horizontal="right" vertical="center"/>
    </xf>
    <xf numFmtId="0" fontId="11" fillId="4" borderId="0" xfId="0" applyFont="1" applyFill="1" applyAlignment="1">
      <alignment horizontal="center" vertical="center" wrapText="1"/>
    </xf>
    <xf numFmtId="1" fontId="15" fillId="8" borderId="0" xfId="0" applyNumberFormat="1" applyFont="1" applyFill="1" applyAlignment="1">
      <alignment horizontal="center" vertical="center" wrapText="1"/>
    </xf>
    <xf numFmtId="0" fontId="16" fillId="8" borderId="0" xfId="0" applyFont="1" applyFill="1" applyAlignment="1">
      <alignment horizontal="left" vertical="center"/>
    </xf>
    <xf numFmtId="0" fontId="16" fillId="8" borderId="0" xfId="0" applyFont="1" applyFill="1" applyAlignment="1">
      <alignment horizontal="left" vertical="center"/>
    </xf>
    <xf numFmtId="0" fontId="17" fillId="8" borderId="0" xfId="0" applyFont="1" applyFill="1" applyAlignment="1">
      <alignment horizontal="left" vertical="center"/>
    </xf>
    <xf numFmtId="0" fontId="17" fillId="8" borderId="0" xfId="0" applyFont="1" applyFill="1" applyAlignment="1">
      <alignment horizontal="left" vertical="center"/>
    </xf>
    <xf numFmtId="164" fontId="17" fillId="8" borderId="0" xfId="0" applyNumberFormat="1" applyFont="1" applyFill="1" applyAlignment="1">
      <alignment horizontal="right" vertical="center"/>
    </xf>
    <xf numFmtId="3" fontId="17" fillId="8" borderId="0" xfId="0" applyNumberFormat="1" applyFont="1" applyFill="1" applyAlignment="1">
      <alignment horizontal="right" vertical="center"/>
    </xf>
    <xf numFmtId="9" fontId="17" fillId="8" borderId="0" xfId="0" applyNumberFormat="1" applyFont="1" applyFill="1" applyAlignment="1">
      <alignment horizontal="right" vertical="center"/>
    </xf>
    <xf numFmtId="165" fontId="17" fillId="8" borderId="0" xfId="0" applyNumberFormat="1" applyFont="1" applyFill="1" applyAlignment="1">
      <alignment horizontal="right" vertical="center"/>
    </xf>
    <xf numFmtId="1" fontId="17" fillId="8" borderId="0" xfId="0" applyNumberFormat="1" applyFont="1" applyFill="1" applyAlignment="1">
      <alignment horizontal="right" vertical="center"/>
    </xf>
    <xf numFmtId="0" fontId="18" fillId="8" borderId="0" xfId="0" applyFont="1" applyFill="1" applyAlignment="1">
      <alignment horizontal="center" vertical="center" wrapText="1"/>
    </xf>
    <xf numFmtId="1" fontId="9" fillId="4" borderId="20" xfId="0" applyNumberFormat="1" applyFont="1" applyFill="1" applyBorder="1" applyAlignment="1">
      <alignment horizontal="center" vertical="center" wrapText="1"/>
    </xf>
    <xf numFmtId="0" fontId="9" fillId="4" borderId="20" xfId="0" applyFont="1" applyFill="1" applyBorder="1" applyAlignment="1">
      <alignment horizontal="left" vertical="center"/>
    </xf>
    <xf numFmtId="164" fontId="9" fillId="4" borderId="20" xfId="0" applyNumberFormat="1" applyFont="1" applyFill="1" applyBorder="1" applyAlignment="1">
      <alignment horizontal="right" vertical="center"/>
    </xf>
    <xf numFmtId="3" fontId="9" fillId="4" borderId="20" xfId="0" applyNumberFormat="1" applyFont="1" applyFill="1" applyBorder="1" applyAlignment="1">
      <alignment horizontal="right" vertical="center"/>
    </xf>
    <xf numFmtId="9" fontId="9" fillId="4" borderId="20" xfId="0" applyNumberFormat="1" applyFont="1" applyFill="1" applyBorder="1" applyAlignment="1">
      <alignment horizontal="right" vertical="center"/>
    </xf>
    <xf numFmtId="165" fontId="9" fillId="4" borderId="20" xfId="0" applyNumberFormat="1" applyFont="1" applyFill="1" applyBorder="1" applyAlignment="1">
      <alignment horizontal="right" vertical="center"/>
    </xf>
    <xf numFmtId="1" fontId="9" fillId="4" borderId="20" xfId="0" applyNumberFormat="1" applyFont="1" applyFill="1" applyBorder="1" applyAlignment="1">
      <alignment horizontal="right" vertical="center"/>
    </xf>
    <xf numFmtId="0" fontId="9" fillId="4" borderId="20" xfId="0" applyFont="1" applyFill="1" applyBorder="1" applyAlignment="1">
      <alignment horizontal="center" vertical="center" wrapText="1"/>
    </xf>
    <xf numFmtId="1" fontId="9" fillId="9" borderId="0" xfId="0" applyNumberFormat="1" applyFont="1" applyFill="1" applyAlignment="1">
      <alignment horizontal="center" vertical="center" wrapText="1"/>
    </xf>
    <xf numFmtId="0" fontId="9" fillId="9" borderId="0" xfId="0" applyFont="1" applyFill="1" applyAlignment="1">
      <alignment horizontal="left" vertical="center"/>
    </xf>
    <xf numFmtId="164" fontId="9" fillId="9" borderId="0" xfId="0" applyNumberFormat="1" applyFont="1" applyFill="1" applyAlignment="1">
      <alignment horizontal="right" vertical="center"/>
    </xf>
    <xf numFmtId="3" fontId="9" fillId="9" borderId="0" xfId="0" applyNumberFormat="1" applyFont="1" applyFill="1" applyAlignment="1">
      <alignment horizontal="right" vertical="center"/>
    </xf>
    <xf numFmtId="9" fontId="9" fillId="9" borderId="0" xfId="0" applyNumberFormat="1" applyFont="1" applyFill="1" applyAlignment="1">
      <alignment horizontal="right" vertical="center"/>
    </xf>
    <xf numFmtId="165" fontId="9" fillId="9" borderId="0" xfId="0" applyNumberFormat="1" applyFont="1" applyFill="1" applyAlignment="1">
      <alignment horizontal="right" vertical="center"/>
    </xf>
    <xf numFmtId="1" fontId="9" fillId="9" borderId="0" xfId="0" applyNumberFormat="1" applyFont="1" applyFill="1" applyAlignment="1">
      <alignment horizontal="right" vertical="center"/>
    </xf>
    <xf numFmtId="0" fontId="9" fillId="9" borderId="0" xfId="0" applyFont="1" applyFill="1" applyAlignment="1">
      <alignment horizontal="center" vertical="center" wrapText="1"/>
    </xf>
    <xf numFmtId="0" fontId="9" fillId="4" borderId="0" xfId="0" applyFont="1" applyFill="1"/>
    <xf numFmtId="0" fontId="15" fillId="0" borderId="0" xfId="0" applyFont="1"/>
    <xf numFmtId="0" fontId="16" fillId="0" borderId="0" xfId="0" applyFont="1"/>
    <xf numFmtId="0" fontId="21" fillId="0" borderId="0" xfId="0" applyFont="1"/>
    <xf numFmtId="0" fontId="17" fillId="0" borderId="0" xfId="0" applyFont="1"/>
    <xf numFmtId="164" fontId="17" fillId="0" borderId="0" xfId="0" applyNumberFormat="1" applyFont="1"/>
    <xf numFmtId="3" fontId="17" fillId="0" borderId="0" xfId="0" applyNumberFormat="1" applyFont="1"/>
    <xf numFmtId="9" fontId="17" fillId="0" borderId="0" xfId="0" applyNumberFormat="1" applyFont="1"/>
    <xf numFmtId="165" fontId="17" fillId="0" borderId="0" xfId="0" applyNumberFormat="1" applyFont="1"/>
    <xf numFmtId="1" fontId="17" fillId="0" borderId="0" xfId="0" applyNumberFormat="1" applyFont="1"/>
    <xf numFmtId="0" fontId="18" fillId="0" borderId="0" xfId="0" applyFont="1"/>
    <xf numFmtId="0" fontId="15" fillId="8" borderId="0" xfId="0" applyFont="1" applyFill="1"/>
    <xf numFmtId="0" fontId="16" fillId="8" borderId="0" xfId="0" applyFont="1" applyFill="1"/>
    <xf numFmtId="0" fontId="17" fillId="8" borderId="0" xfId="0" applyFont="1" applyFill="1"/>
    <xf numFmtId="164" fontId="17" fillId="8" borderId="0" xfId="0" applyNumberFormat="1" applyFont="1" applyFill="1"/>
    <xf numFmtId="3" fontId="17" fillId="8" borderId="0" xfId="0" applyNumberFormat="1" applyFont="1" applyFill="1"/>
    <xf numFmtId="9" fontId="17" fillId="8" borderId="0" xfId="0" applyNumberFormat="1" applyFont="1" applyFill="1"/>
    <xf numFmtId="165" fontId="17" fillId="8" borderId="0" xfId="0" applyNumberFormat="1" applyFont="1" applyFill="1"/>
    <xf numFmtId="1" fontId="17" fillId="8" borderId="0" xfId="0" applyNumberFormat="1" applyFont="1" applyFill="1"/>
    <xf numFmtId="0" fontId="18" fillId="8" borderId="0" xfId="0" applyFont="1" applyFill="1"/>
    <xf numFmtId="0" fontId="0" fillId="0" borderId="0" xfId="0"/>
    <xf numFmtId="3" fontId="0" fillId="0" borderId="0" xfId="0" applyNumberFormat="1"/>
    <xf numFmtId="9" fontId="0" fillId="0" borderId="0" xfId="0" applyNumberFormat="1"/>
    <xf numFmtId="165" fontId="0" fillId="0" borderId="0" xfId="0" applyNumberFormat="1"/>
    <xf numFmtId="1" fontId="0" fillId="0" borderId="0" xfId="0" applyNumberFormat="1"/>
    <xf numFmtId="0" fontId="7" fillId="4" borderId="0" xfId="0" applyFont="1" applyFill="1" applyBorder="1" applyAlignment="1">
      <alignment horizontal="left" vertical="center" indent="1"/>
    </xf>
    <xf numFmtId="0" fontId="8" fillId="5" borderId="0" xfId="0" applyFont="1" applyFill="1" applyBorder="1" applyAlignment="1">
      <alignment horizontal="left" vertical="center" wrapText="1"/>
    </xf>
    <xf numFmtId="0" fontId="10" fillId="6" borderId="17" xfId="0" applyFont="1" applyFill="1" applyBorder="1" applyAlignment="1">
      <alignment horizontal="left" vertical="center" indent="1"/>
    </xf>
    <xf numFmtId="0" fontId="12" fillId="5" borderId="0" xfId="0" applyFont="1" applyFill="1" applyBorder="1" applyAlignment="1">
      <alignment horizontal="left" vertical="center" indent="1"/>
    </xf>
  </cellXfs>
  <cellStyles count="1">
    <cellStyle name="Normal" xfId="0" builtinId="0"/>
  </cellStyles>
  <dxfs count="51">
    <dxf>
      <font>
        <b/>
        <color rgb="FF9C0006"/>
      </font>
      <fill>
        <patternFill>
          <bgColor rgb="FFFCE4E4"/>
        </patternFill>
      </fill>
    </dxf>
    <dxf>
      <font>
        <b/>
        <color rgb="FF9C0006"/>
      </font>
      <fill>
        <patternFill>
          <bgColor rgb="FFFCE4E4"/>
        </patternFill>
      </fill>
    </dxf>
    <dxf>
      <font>
        <b/>
        <color rgb="FF375623"/>
      </font>
      <fill>
        <patternFill>
          <bgColor rgb="FFE2EFDA"/>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1F3864"/>
      </font>
      <fill>
        <patternFill>
          <bgColor rgb="FFFFD966"/>
        </patternFill>
      </fill>
    </dxf>
    <dxf>
      <font>
        <b/>
        <color rgb="FF9C0006"/>
      </font>
      <fill>
        <patternFill>
          <bgColor rgb="FFFCE4E4"/>
        </patternFill>
      </fill>
    </dxf>
    <dxf>
      <font>
        <b/>
        <color rgb="FF375623"/>
      </font>
      <fill>
        <patternFill>
          <bgColor rgb="FFE2EFDA"/>
        </patternFill>
      </fill>
    </dxf>
    <dxf>
      <font>
        <b/>
        <color rgb="FF9C0006"/>
      </font>
      <fill>
        <patternFill>
          <bgColor rgb="FFFCE4E4"/>
        </patternFill>
      </fill>
    </dxf>
    <dxf>
      <border diagonalUp="0" diagonalDown="0">
        <left style="thin">
          <color rgb="FFD0D0D0"/>
        </left>
        <right style="thin">
          <color rgb="FFD0D0D0"/>
        </right>
        <top style="thin">
          <color rgb="FFD0D0D0"/>
        </top>
        <bottom style="thin">
          <color rgb="FFD0D0D0"/>
        </bottom>
      </border>
    </dxf>
    <dxf>
      <font>
        <b/>
        <color rgb="FF9C0006"/>
      </font>
      <fill>
        <patternFill>
          <bgColor rgb="FFFCE4E4"/>
        </patternFill>
      </fill>
    </dxf>
    <dxf>
      <font>
        <b/>
        <color rgb="FF375623"/>
      </font>
      <fill>
        <patternFill>
          <bgColor rgb="FFE2EFDA"/>
        </patternFill>
      </fill>
    </dxf>
    <dxf>
      <font>
        <b/>
        <color rgb="FF9C0006"/>
      </font>
      <fill>
        <patternFill>
          <bgColor rgb="FFFCE4E4"/>
        </patternFill>
      </fill>
    </dxf>
    <dxf>
      <fill>
        <patternFill>
          <bgColor rgb="FFF4F9FD"/>
        </patternFill>
      </fill>
    </dxf>
    <dxf>
      <font>
        <b/>
        <color rgb="FF1F3864"/>
      </font>
      <fill>
        <patternFill>
          <bgColor rgb="FFFFD966"/>
        </patternFill>
      </fill>
    </dxf>
    <dxf>
      <font>
        <b/>
        <color rgb="FFFFFFFF"/>
      </font>
      <fill>
        <patternFill>
          <bgColor rgb="FF1F3864"/>
        </patternFill>
      </fill>
    </dxf>
    <dxf>
      <font>
        <b/>
        <color rgb="FFFFFFFF"/>
      </font>
      <fill>
        <patternFill>
          <bgColor rgb="FF2F5496"/>
        </patternFill>
      </fill>
    </dxf>
    <dxf>
      <font>
        <b/>
        <color rgb="FFFFFFFF"/>
      </font>
      <fill>
        <patternFill>
          <bgColor rgb="FF375623"/>
        </patternFill>
      </fill>
    </dxf>
    <dxf>
      <font>
        <b/>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defaultColWidth="8.7109375" defaultRowHeight="15" outlineLevelCol="1" x14ac:dyDescent="0.25"/>
  <cols>
    <col min="1" max="1" width="13.7109375" customWidth="1"/>
    <col min="2" max="2" width="29.42578125" customWidth="1"/>
    <col min="3" max="3" width="9.140625" customWidth="1"/>
    <col min="4" max="4" width="9.42578125" customWidth="1"/>
    <col min="5" max="5" width="10" customWidth="1"/>
    <col min="6" max="6" width="12.42578125" customWidth="1"/>
    <col min="7" max="7" width="25" customWidth="1"/>
    <col min="8" max="8" width="15.5703125" customWidth="1"/>
    <col min="9" max="9" width="9.85546875" customWidth="1"/>
    <col min="10" max="10" width="17.140625" customWidth="1"/>
    <col min="11" max="11" width="9.5703125" customWidth="1"/>
    <col min="12" max="12" width="6.85546875" customWidth="1"/>
    <col min="13" max="13" width="8.28515625" customWidth="1"/>
    <col min="14" max="14" width="6.7109375" customWidth="1"/>
    <col min="15" max="15" width="9.140625" customWidth="1"/>
    <col min="16" max="16" width="8.28515625" style="1" customWidth="1"/>
    <col min="17" max="17" width="8.140625" style="1" customWidth="1"/>
    <col min="18" max="18" width="8.140625" customWidth="1"/>
    <col min="19" max="19" width="11.5703125" customWidth="1"/>
    <col min="20" max="20" width="9.85546875" customWidth="1" outlineLevel="1"/>
    <col min="21" max="21" width="10" style="2" customWidth="1"/>
    <col min="22" max="22" width="10.140625" style="2" customWidth="1"/>
    <col min="23" max="23" width="10.7109375" customWidth="1" outlineLevel="1"/>
    <col min="24" max="24" width="10.5703125" customWidth="1"/>
    <col min="25" max="28" width="10.140625" customWidth="1"/>
    <col min="29" max="29" width="14.140625" customWidth="1"/>
    <col min="30" max="30" width="11.5703125" customWidth="1"/>
    <col min="31" max="31" width="13.7109375" customWidth="1"/>
    <col min="32" max="32" width="14.140625" customWidth="1"/>
    <col min="33" max="33" width="10.140625" customWidth="1"/>
  </cols>
  <sheetData>
    <row r="1" spans="1:33" ht="15.75" customHeight="1" x14ac:dyDescent="0.25">
      <c r="A1" s="3"/>
      <c r="B1" s="3" t="s">
        <v>0</v>
      </c>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row>
    <row r="2" spans="1:33" ht="14.25" customHeight="1" x14ac:dyDescent="0.25">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row>
    <row r="3" spans="1:33" ht="57.75" customHeight="1" x14ac:dyDescent="0.25">
      <c r="A3" s="4" t="s">
        <v>1</v>
      </c>
      <c r="B3" s="5" t="s">
        <v>2</v>
      </c>
      <c r="C3" s="5" t="s">
        <v>3</v>
      </c>
      <c r="D3" s="5" t="s">
        <v>4</v>
      </c>
      <c r="E3" s="5" t="s">
        <v>5</v>
      </c>
      <c r="F3" s="5" t="s">
        <v>2</v>
      </c>
      <c r="G3" s="5" t="s">
        <v>6</v>
      </c>
      <c r="H3" s="5" t="s">
        <v>7</v>
      </c>
      <c r="I3" s="5" t="s">
        <v>8</v>
      </c>
      <c r="J3" s="6" t="s">
        <v>9</v>
      </c>
      <c r="K3" s="5" t="s">
        <v>10</v>
      </c>
      <c r="L3" s="6" t="s">
        <v>11</v>
      </c>
      <c r="M3" s="6" t="s">
        <v>12</v>
      </c>
      <c r="N3" s="6" t="s">
        <v>13</v>
      </c>
      <c r="O3" s="7" t="s">
        <v>14</v>
      </c>
      <c r="P3" s="6" t="s">
        <v>15</v>
      </c>
      <c r="Q3" s="6" t="s">
        <v>16</v>
      </c>
      <c r="R3" s="6" t="s">
        <v>17</v>
      </c>
      <c r="S3" s="6" t="s">
        <v>18</v>
      </c>
      <c r="T3" s="6" t="s">
        <v>19</v>
      </c>
      <c r="U3" s="6" t="s">
        <v>20</v>
      </c>
      <c r="V3" s="6" t="s">
        <v>21</v>
      </c>
      <c r="W3" s="8" t="s">
        <v>22</v>
      </c>
      <c r="X3" s="6" t="s">
        <v>23</v>
      </c>
      <c r="Y3" s="6" t="s">
        <v>21</v>
      </c>
      <c r="Z3" s="6" t="s">
        <v>24</v>
      </c>
      <c r="AA3" s="6" t="s">
        <v>25</v>
      </c>
      <c r="AB3" s="6" t="s">
        <v>26</v>
      </c>
      <c r="AC3" s="6" t="s">
        <v>27</v>
      </c>
      <c r="AD3" s="6" t="s">
        <v>28</v>
      </c>
      <c r="AE3" s="6" t="s">
        <v>29</v>
      </c>
      <c r="AF3" s="6" t="s">
        <v>30</v>
      </c>
      <c r="AG3" s="9" t="s">
        <v>31</v>
      </c>
    </row>
    <row r="4" spans="1:33" ht="39" customHeight="1" x14ac:dyDescent="0.25">
      <c r="A4" s="10">
        <v>669</v>
      </c>
      <c r="B4" s="11" t="s">
        <v>32</v>
      </c>
      <c r="C4" s="12">
        <v>1181</v>
      </c>
      <c r="D4" s="13">
        <v>21980</v>
      </c>
      <c r="E4" s="13" t="s">
        <v>33</v>
      </c>
      <c r="F4" s="13">
        <v>1763</v>
      </c>
      <c r="G4" s="11" t="s">
        <v>34</v>
      </c>
      <c r="H4" s="14">
        <v>790089</v>
      </c>
      <c r="I4" s="14">
        <f t="shared" ref="I4:I40" si="0">ROUND(H4*18%,0)</f>
        <v>142216</v>
      </c>
      <c r="J4" s="14">
        <f t="shared" ref="J4:J40" si="1">+H4+I4</f>
        <v>932305</v>
      </c>
      <c r="K4" s="14">
        <f t="shared" ref="K4:K40" si="2">ROUND((H4+I4)*2%,0)</f>
        <v>18646</v>
      </c>
      <c r="L4" s="15">
        <f t="shared" ref="L4:L40" si="3">H4*0.1%</f>
        <v>790.08900000000006</v>
      </c>
      <c r="M4" s="15">
        <f t="shared" ref="M4:M40" si="4">H4*2.25%*118%</f>
        <v>20976.862949999999</v>
      </c>
      <c r="N4" s="16">
        <f t="shared" ref="N4:N40" si="5">H4*2.25%*2%</f>
        <v>355.54005000000001</v>
      </c>
      <c r="O4" s="15">
        <f t="shared" ref="O4:O40" si="6">M4-N4</f>
        <v>20621.322899999999</v>
      </c>
      <c r="P4" s="15">
        <f t="shared" ref="P4:P40" si="7">ROUND(O4+L4,0)</f>
        <v>21411</v>
      </c>
      <c r="Q4" s="17">
        <v>0.02</v>
      </c>
      <c r="R4" s="15">
        <f t="shared" ref="R4:R40" si="8">ROUND(H4*Q4,0)</f>
        <v>15802</v>
      </c>
      <c r="S4" s="14">
        <f t="shared" ref="S4:S40" si="9">ROUND(H4*117.65%-R4,0)</f>
        <v>913738</v>
      </c>
      <c r="T4" s="15">
        <f t="shared" ref="T4:T40" si="10">ROUND(H4*25%,0)</f>
        <v>197522</v>
      </c>
      <c r="U4" s="18">
        <v>197522</v>
      </c>
      <c r="V4" s="15" t="s">
        <v>35</v>
      </c>
      <c r="W4" s="15">
        <f t="shared" ref="W4:W40" si="11">ROUND(H4*92.65%-R4,0)</f>
        <v>716215</v>
      </c>
      <c r="X4" s="15">
        <v>716216</v>
      </c>
      <c r="Y4" s="15" t="s">
        <v>36</v>
      </c>
      <c r="Z4" s="15">
        <f t="shared" ref="Z4:Z40" ca="1" si="12">IF(OR(Y4="",Y4=0),H4*0.0118*CEILING((TODAY()-DATE(2026,8,22))/7,1),IF(DATE(VALUE(RIGHT(Y4,4)),VALUE(MID(Y4,4,2)),VALUE(LEFT(Y4,2)))&lt;=DATE(2026,8,24),0,H4*0.0118*CEILING((DATE(VALUE(RIGHT(Y4,4)),VALUE(MID(Y4,4,2)),VALUE(LEFT(Y4,2)))-DATE(2026,8,22))/7,1)))</f>
        <v>0</v>
      </c>
      <c r="AA4" s="15"/>
      <c r="AB4" s="15"/>
      <c r="AC4" s="15">
        <f t="shared" ref="AC4:AC40" si="13">U4+X4+AA4</f>
        <v>913738</v>
      </c>
      <c r="AD4" s="19">
        <f t="shared" ref="AD4:AD40" si="14">S4-AC4</f>
        <v>0</v>
      </c>
      <c r="AE4" s="20" t="s">
        <v>37</v>
      </c>
      <c r="AF4" s="21">
        <v>1800003271</v>
      </c>
      <c r="AG4" s="22" t="s">
        <v>35</v>
      </c>
    </row>
    <row r="5" spans="1:33" ht="14.25" customHeight="1" x14ac:dyDescent="0.25">
      <c r="A5" s="23">
        <v>270</v>
      </c>
      <c r="B5" s="24" t="s">
        <v>38</v>
      </c>
      <c r="C5" s="25">
        <v>580</v>
      </c>
      <c r="D5" s="26">
        <v>21977</v>
      </c>
      <c r="E5" s="26" t="s">
        <v>39</v>
      </c>
      <c r="F5" s="26">
        <v>1874</v>
      </c>
      <c r="G5" s="24" t="s">
        <v>40</v>
      </c>
      <c r="H5" s="27">
        <v>156600</v>
      </c>
      <c r="I5" s="27">
        <f t="shared" si="0"/>
        <v>28188</v>
      </c>
      <c r="J5" s="27">
        <f t="shared" si="1"/>
        <v>184788</v>
      </c>
      <c r="K5" s="27">
        <f t="shared" si="2"/>
        <v>3696</v>
      </c>
      <c r="L5" s="28">
        <f t="shared" si="3"/>
        <v>156.6</v>
      </c>
      <c r="M5" s="28">
        <f t="shared" si="4"/>
        <v>4157.7299999999996</v>
      </c>
      <c r="N5" s="29">
        <f t="shared" si="5"/>
        <v>70.47</v>
      </c>
      <c r="O5" s="28">
        <f t="shared" si="6"/>
        <v>4087.2599999999998</v>
      </c>
      <c r="P5" s="28">
        <f t="shared" si="7"/>
        <v>4244</v>
      </c>
      <c r="Q5" s="30">
        <v>0</v>
      </c>
      <c r="R5" s="28">
        <f t="shared" si="8"/>
        <v>0</v>
      </c>
      <c r="S5" s="27">
        <f t="shared" si="9"/>
        <v>184240</v>
      </c>
      <c r="T5" s="28">
        <f t="shared" si="10"/>
        <v>39150</v>
      </c>
      <c r="U5" s="31">
        <f>+T5</f>
        <v>39150</v>
      </c>
      <c r="V5" s="28" t="s">
        <v>41</v>
      </c>
      <c r="W5" s="28">
        <f t="shared" si="11"/>
        <v>145090</v>
      </c>
      <c r="X5" s="28">
        <v>145090</v>
      </c>
      <c r="Y5" s="28" t="s">
        <v>35</v>
      </c>
      <c r="Z5" s="28">
        <f t="shared" ca="1" si="12"/>
        <v>0</v>
      </c>
      <c r="AA5" s="28"/>
      <c r="AB5" s="28"/>
      <c r="AC5" s="15">
        <f t="shared" si="13"/>
        <v>184240</v>
      </c>
      <c r="AD5" s="19">
        <f t="shared" si="14"/>
        <v>0</v>
      </c>
      <c r="AE5" s="20" t="s">
        <v>42</v>
      </c>
      <c r="AF5" s="21">
        <v>1800003302</v>
      </c>
      <c r="AG5" s="22" t="s">
        <v>43</v>
      </c>
    </row>
    <row r="6" spans="1:33" ht="26.25" customHeight="1" x14ac:dyDescent="0.25">
      <c r="A6" s="23">
        <v>28</v>
      </c>
      <c r="B6" s="24" t="s">
        <v>44</v>
      </c>
      <c r="C6" s="25">
        <v>1456</v>
      </c>
      <c r="D6" s="26">
        <v>21977</v>
      </c>
      <c r="E6" s="26" t="s">
        <v>33</v>
      </c>
      <c r="F6" s="26">
        <v>1875</v>
      </c>
      <c r="G6" s="24" t="s">
        <v>45</v>
      </c>
      <c r="H6" s="27">
        <v>40768</v>
      </c>
      <c r="I6" s="27">
        <f t="shared" si="0"/>
        <v>7338</v>
      </c>
      <c r="J6" s="27">
        <f t="shared" si="1"/>
        <v>48106</v>
      </c>
      <c r="K6" s="27">
        <f t="shared" si="2"/>
        <v>962</v>
      </c>
      <c r="L6" s="28">
        <f t="shared" si="3"/>
        <v>40.768000000000001</v>
      </c>
      <c r="M6" s="28">
        <f t="shared" si="4"/>
        <v>1082.3904</v>
      </c>
      <c r="N6" s="29">
        <f t="shared" si="5"/>
        <v>18.345600000000001</v>
      </c>
      <c r="O6" s="28">
        <f t="shared" si="6"/>
        <v>1064.0447999999999</v>
      </c>
      <c r="P6" s="28">
        <f t="shared" si="7"/>
        <v>1105</v>
      </c>
      <c r="Q6" s="30">
        <v>0</v>
      </c>
      <c r="R6" s="28">
        <f t="shared" si="8"/>
        <v>0</v>
      </c>
      <c r="S6" s="27">
        <f t="shared" si="9"/>
        <v>47964</v>
      </c>
      <c r="T6" s="28">
        <f t="shared" si="10"/>
        <v>10192</v>
      </c>
      <c r="U6" s="31">
        <v>10192</v>
      </c>
      <c r="V6" s="28" t="s">
        <v>46</v>
      </c>
      <c r="W6" s="28">
        <f t="shared" si="11"/>
        <v>37772</v>
      </c>
      <c r="X6" s="28">
        <f>+W6+R6</f>
        <v>37772</v>
      </c>
      <c r="Y6" s="28" t="s">
        <v>47</v>
      </c>
      <c r="Z6" s="28">
        <f t="shared" ca="1" si="12"/>
        <v>0</v>
      </c>
      <c r="AA6" s="28"/>
      <c r="AB6" s="28"/>
      <c r="AC6" s="15">
        <f t="shared" si="13"/>
        <v>47964</v>
      </c>
      <c r="AD6" s="19">
        <f t="shared" si="14"/>
        <v>0</v>
      </c>
      <c r="AE6" s="20" t="s">
        <v>48</v>
      </c>
      <c r="AF6" s="21">
        <v>1800003346</v>
      </c>
      <c r="AG6" s="22" t="s">
        <v>43</v>
      </c>
    </row>
    <row r="7" spans="1:33" ht="39" customHeight="1" x14ac:dyDescent="0.25">
      <c r="A7" s="23">
        <v>3000</v>
      </c>
      <c r="B7" s="24" t="s">
        <v>49</v>
      </c>
      <c r="C7" s="25">
        <v>66</v>
      </c>
      <c r="D7" s="26">
        <v>21977</v>
      </c>
      <c r="E7" s="26" t="s">
        <v>33</v>
      </c>
      <c r="F7" s="26">
        <v>1876</v>
      </c>
      <c r="G7" s="24" t="s">
        <v>45</v>
      </c>
      <c r="H7" s="27">
        <v>198000</v>
      </c>
      <c r="I7" s="27">
        <f t="shared" si="0"/>
        <v>35640</v>
      </c>
      <c r="J7" s="27">
        <f t="shared" si="1"/>
        <v>233640</v>
      </c>
      <c r="K7" s="27">
        <f t="shared" si="2"/>
        <v>4673</v>
      </c>
      <c r="L7" s="28">
        <f t="shared" si="3"/>
        <v>198</v>
      </c>
      <c r="M7" s="28">
        <f t="shared" si="4"/>
        <v>5256.9</v>
      </c>
      <c r="N7" s="29">
        <f t="shared" si="5"/>
        <v>89.100000000000009</v>
      </c>
      <c r="O7" s="28">
        <f t="shared" si="6"/>
        <v>5167.7999999999993</v>
      </c>
      <c r="P7" s="28">
        <f t="shared" si="7"/>
        <v>5366</v>
      </c>
      <c r="Q7" s="30">
        <v>0</v>
      </c>
      <c r="R7" s="28">
        <f t="shared" si="8"/>
        <v>0</v>
      </c>
      <c r="S7" s="27">
        <f t="shared" si="9"/>
        <v>232947</v>
      </c>
      <c r="T7" s="28">
        <f t="shared" si="10"/>
        <v>49500</v>
      </c>
      <c r="U7" s="31">
        <v>49500</v>
      </c>
      <c r="V7" s="28" t="s">
        <v>46</v>
      </c>
      <c r="W7" s="28">
        <f t="shared" si="11"/>
        <v>183447</v>
      </c>
      <c r="X7" s="28">
        <f>+W7+R7-1</f>
        <v>183446</v>
      </c>
      <c r="Y7" s="28" t="s">
        <v>47</v>
      </c>
      <c r="Z7" s="28">
        <f t="shared" ca="1" si="12"/>
        <v>0</v>
      </c>
      <c r="AA7" s="28"/>
      <c r="AB7" s="28"/>
      <c r="AC7" s="15">
        <f t="shared" si="13"/>
        <v>232946</v>
      </c>
      <c r="AD7" s="19">
        <f t="shared" si="14"/>
        <v>1</v>
      </c>
      <c r="AE7" s="20" t="s">
        <v>50</v>
      </c>
      <c r="AF7" s="21">
        <v>1800003347</v>
      </c>
      <c r="AG7" s="22" t="s">
        <v>43</v>
      </c>
    </row>
    <row r="8" spans="1:33" ht="26.25" customHeight="1" x14ac:dyDescent="0.25">
      <c r="A8" s="23">
        <v>7253</v>
      </c>
      <c r="B8" s="24" t="s">
        <v>51</v>
      </c>
      <c r="C8" s="25">
        <v>227</v>
      </c>
      <c r="D8" s="26">
        <v>21980</v>
      </c>
      <c r="E8" s="26" t="s">
        <v>33</v>
      </c>
      <c r="F8" s="26">
        <v>1923</v>
      </c>
      <c r="G8" s="24" t="s">
        <v>52</v>
      </c>
      <c r="H8" s="27">
        <v>1646431</v>
      </c>
      <c r="I8" s="27">
        <f t="shared" si="0"/>
        <v>296358</v>
      </c>
      <c r="J8" s="27">
        <f t="shared" si="1"/>
        <v>1942789</v>
      </c>
      <c r="K8" s="27">
        <f t="shared" si="2"/>
        <v>38856</v>
      </c>
      <c r="L8" s="28">
        <f t="shared" si="3"/>
        <v>1646.431</v>
      </c>
      <c r="M8" s="28">
        <f t="shared" si="4"/>
        <v>43712.743049999997</v>
      </c>
      <c r="N8" s="29">
        <f t="shared" si="5"/>
        <v>740.89395000000002</v>
      </c>
      <c r="O8" s="28">
        <f t="shared" si="6"/>
        <v>42971.849099999999</v>
      </c>
      <c r="P8" s="28">
        <f t="shared" si="7"/>
        <v>44618</v>
      </c>
      <c r="Q8" s="30">
        <v>0.02</v>
      </c>
      <c r="R8" s="28">
        <f t="shared" si="8"/>
        <v>32929</v>
      </c>
      <c r="S8" s="27">
        <f t="shared" si="9"/>
        <v>1904097</v>
      </c>
      <c r="T8" s="28">
        <f t="shared" si="10"/>
        <v>411608</v>
      </c>
      <c r="U8" s="31">
        <f>+T8</f>
        <v>411608</v>
      </c>
      <c r="V8" s="28" t="s">
        <v>53</v>
      </c>
      <c r="W8" s="28">
        <f t="shared" si="11"/>
        <v>1492489</v>
      </c>
      <c r="X8" s="28">
        <v>1492490</v>
      </c>
      <c r="Y8" s="28" t="s">
        <v>35</v>
      </c>
      <c r="Z8" s="28">
        <f t="shared" ca="1" si="12"/>
        <v>0</v>
      </c>
      <c r="AA8" s="28"/>
      <c r="AB8" s="28"/>
      <c r="AC8" s="15">
        <f t="shared" si="13"/>
        <v>1904098</v>
      </c>
      <c r="AD8" s="19">
        <f t="shared" si="14"/>
        <v>-1</v>
      </c>
      <c r="AE8" s="20" t="s">
        <v>54</v>
      </c>
      <c r="AF8" s="21">
        <v>1800003315</v>
      </c>
      <c r="AG8" s="22" t="s">
        <v>43</v>
      </c>
    </row>
    <row r="9" spans="1:33" ht="14.25" customHeight="1" x14ac:dyDescent="0.25">
      <c r="A9" s="23">
        <v>1</v>
      </c>
      <c r="B9" s="24" t="s">
        <v>55</v>
      </c>
      <c r="C9" s="25">
        <v>2787314</v>
      </c>
      <c r="D9" s="26">
        <v>21977</v>
      </c>
      <c r="E9" s="26" t="s">
        <v>39</v>
      </c>
      <c r="F9" s="26">
        <v>1976</v>
      </c>
      <c r="G9" s="24" t="s">
        <v>56</v>
      </c>
      <c r="H9" s="27">
        <v>2787314</v>
      </c>
      <c r="I9" s="27">
        <f t="shared" si="0"/>
        <v>501717</v>
      </c>
      <c r="J9" s="27">
        <f t="shared" si="1"/>
        <v>3289031</v>
      </c>
      <c r="K9" s="27">
        <f t="shared" si="2"/>
        <v>65781</v>
      </c>
      <c r="L9" s="28">
        <f t="shared" si="3"/>
        <v>2787.3139999999999</v>
      </c>
      <c r="M9" s="28">
        <f t="shared" si="4"/>
        <v>74003.186699999991</v>
      </c>
      <c r="N9" s="29">
        <f t="shared" si="5"/>
        <v>1254.2912999999999</v>
      </c>
      <c r="O9" s="28">
        <f t="shared" si="6"/>
        <v>72748.895399999994</v>
      </c>
      <c r="P9" s="28">
        <f t="shared" si="7"/>
        <v>75536</v>
      </c>
      <c r="Q9" s="30">
        <v>0</v>
      </c>
      <c r="R9" s="28">
        <f t="shared" si="8"/>
        <v>0</v>
      </c>
      <c r="S9" s="27">
        <f t="shared" si="9"/>
        <v>3279275</v>
      </c>
      <c r="T9" s="28">
        <f t="shared" si="10"/>
        <v>696829</v>
      </c>
      <c r="U9" s="31">
        <f>+T9</f>
        <v>696829</v>
      </c>
      <c r="V9" s="28" t="s">
        <v>41</v>
      </c>
      <c r="W9" s="28">
        <f t="shared" si="11"/>
        <v>2582446</v>
      </c>
      <c r="X9" s="28">
        <v>2582447.0942916102</v>
      </c>
      <c r="Y9" s="28" t="s">
        <v>41</v>
      </c>
      <c r="Z9" s="28">
        <f t="shared" ca="1" si="12"/>
        <v>0</v>
      </c>
      <c r="AA9" s="28"/>
      <c r="AB9" s="28"/>
      <c r="AC9" s="15">
        <f t="shared" si="13"/>
        <v>3279276.0942916102</v>
      </c>
      <c r="AD9" s="19">
        <f t="shared" si="14"/>
        <v>-1.0942916101776063</v>
      </c>
      <c r="AE9" s="20" t="s">
        <v>57</v>
      </c>
      <c r="AF9" s="21">
        <v>1800003194</v>
      </c>
      <c r="AG9" s="22" t="s">
        <v>58</v>
      </c>
    </row>
    <row r="10" spans="1:33" ht="14.25" customHeight="1" x14ac:dyDescent="0.25">
      <c r="A10" s="23">
        <v>4</v>
      </c>
      <c r="B10" s="24" t="s">
        <v>59</v>
      </c>
      <c r="C10" s="25">
        <v>51511</v>
      </c>
      <c r="D10" s="26">
        <v>21977</v>
      </c>
      <c r="E10" s="26" t="s">
        <v>39</v>
      </c>
      <c r="F10" s="26">
        <v>2002</v>
      </c>
      <c r="G10" s="24" t="s">
        <v>40</v>
      </c>
      <c r="H10" s="27">
        <v>206044</v>
      </c>
      <c r="I10" s="27">
        <f t="shared" si="0"/>
        <v>37088</v>
      </c>
      <c r="J10" s="27">
        <f t="shared" si="1"/>
        <v>243132</v>
      </c>
      <c r="K10" s="27">
        <f t="shared" si="2"/>
        <v>4863</v>
      </c>
      <c r="L10" s="28">
        <f t="shared" si="3"/>
        <v>206.04400000000001</v>
      </c>
      <c r="M10" s="28">
        <f t="shared" si="4"/>
        <v>5470.4681999999993</v>
      </c>
      <c r="N10" s="29">
        <f t="shared" si="5"/>
        <v>92.719799999999992</v>
      </c>
      <c r="O10" s="28">
        <f t="shared" si="6"/>
        <v>5377.7483999999995</v>
      </c>
      <c r="P10" s="28">
        <f t="shared" si="7"/>
        <v>5584</v>
      </c>
      <c r="Q10" s="30">
        <v>0</v>
      </c>
      <c r="R10" s="28">
        <f t="shared" si="8"/>
        <v>0</v>
      </c>
      <c r="S10" s="27">
        <f t="shared" si="9"/>
        <v>242411</v>
      </c>
      <c r="T10" s="28">
        <f t="shared" si="10"/>
        <v>51511</v>
      </c>
      <c r="U10" s="31">
        <f>+T10</f>
        <v>51511</v>
      </c>
      <c r="V10" s="28" t="s">
        <v>41</v>
      </c>
      <c r="W10" s="28">
        <f t="shared" si="11"/>
        <v>190900</v>
      </c>
      <c r="X10" s="28">
        <v>190900</v>
      </c>
      <c r="Y10" s="28" t="s">
        <v>35</v>
      </c>
      <c r="Z10" s="28">
        <f t="shared" ca="1" si="12"/>
        <v>0</v>
      </c>
      <c r="AA10" s="28"/>
      <c r="AB10" s="28"/>
      <c r="AC10" s="15">
        <f t="shared" si="13"/>
        <v>242411</v>
      </c>
      <c r="AD10" s="19">
        <f t="shared" si="14"/>
        <v>0</v>
      </c>
      <c r="AE10" s="20" t="s">
        <v>60</v>
      </c>
      <c r="AF10" s="21">
        <v>1800003303</v>
      </c>
      <c r="AG10" s="22" t="s">
        <v>43</v>
      </c>
    </row>
    <row r="11" spans="1:33" ht="14.25" customHeight="1" x14ac:dyDescent="0.25">
      <c r="A11" s="23">
        <v>1</v>
      </c>
      <c r="B11" s="24" t="s">
        <v>61</v>
      </c>
      <c r="C11" s="25">
        <v>65007</v>
      </c>
      <c r="D11" s="26">
        <v>21977</v>
      </c>
      <c r="E11" s="26" t="s">
        <v>39</v>
      </c>
      <c r="F11" s="26">
        <v>2003</v>
      </c>
      <c r="G11" s="24" t="s">
        <v>40</v>
      </c>
      <c r="H11" s="27">
        <v>65007</v>
      </c>
      <c r="I11" s="27">
        <f t="shared" si="0"/>
        <v>11701</v>
      </c>
      <c r="J11" s="27">
        <f t="shared" si="1"/>
        <v>76708</v>
      </c>
      <c r="K11" s="27">
        <f t="shared" si="2"/>
        <v>1534</v>
      </c>
      <c r="L11" s="28">
        <f t="shared" si="3"/>
        <v>65.007000000000005</v>
      </c>
      <c r="M11" s="28">
        <f t="shared" si="4"/>
        <v>1725.9358499999998</v>
      </c>
      <c r="N11" s="29">
        <f t="shared" si="5"/>
        <v>29.253150000000002</v>
      </c>
      <c r="O11" s="28">
        <f t="shared" si="6"/>
        <v>1696.6826999999998</v>
      </c>
      <c r="P11" s="28">
        <f t="shared" si="7"/>
        <v>1762</v>
      </c>
      <c r="Q11" s="30">
        <v>0</v>
      </c>
      <c r="R11" s="28">
        <f t="shared" si="8"/>
        <v>0</v>
      </c>
      <c r="S11" s="27">
        <f t="shared" si="9"/>
        <v>76481</v>
      </c>
      <c r="T11" s="28">
        <f t="shared" si="10"/>
        <v>16252</v>
      </c>
      <c r="U11" s="31">
        <f>+T11</f>
        <v>16252</v>
      </c>
      <c r="V11" s="28" t="s">
        <v>41</v>
      </c>
      <c r="W11" s="28">
        <f t="shared" si="11"/>
        <v>60229</v>
      </c>
      <c r="X11" s="28">
        <v>60229</v>
      </c>
      <c r="Y11" s="28" t="s">
        <v>35</v>
      </c>
      <c r="Z11" s="28">
        <f t="shared" ca="1" si="12"/>
        <v>0</v>
      </c>
      <c r="AA11" s="28"/>
      <c r="AB11" s="28"/>
      <c r="AC11" s="15">
        <f t="shared" si="13"/>
        <v>76481</v>
      </c>
      <c r="AD11" s="19">
        <f t="shared" si="14"/>
        <v>0</v>
      </c>
      <c r="AE11" s="20" t="s">
        <v>62</v>
      </c>
      <c r="AF11" s="21">
        <v>1800003304</v>
      </c>
      <c r="AG11" s="22" t="s">
        <v>43</v>
      </c>
    </row>
    <row r="12" spans="1:33" ht="14.25" customHeight="1" x14ac:dyDescent="0.25">
      <c r="A12" s="23">
        <v>1</v>
      </c>
      <c r="B12" s="24" t="s">
        <v>63</v>
      </c>
      <c r="C12" s="25">
        <v>70006</v>
      </c>
      <c r="D12" s="26">
        <v>21977</v>
      </c>
      <c r="E12" s="26" t="s">
        <v>39</v>
      </c>
      <c r="F12" s="26">
        <v>2005</v>
      </c>
      <c r="G12" s="24" t="s">
        <v>40</v>
      </c>
      <c r="H12" s="27">
        <v>70006</v>
      </c>
      <c r="I12" s="27">
        <f t="shared" si="0"/>
        <v>12601</v>
      </c>
      <c r="J12" s="27">
        <f t="shared" si="1"/>
        <v>82607</v>
      </c>
      <c r="K12" s="27">
        <f t="shared" si="2"/>
        <v>1652</v>
      </c>
      <c r="L12" s="28">
        <f t="shared" si="3"/>
        <v>70.006</v>
      </c>
      <c r="M12" s="28">
        <f t="shared" si="4"/>
        <v>1858.6592999999998</v>
      </c>
      <c r="N12" s="29">
        <f t="shared" si="5"/>
        <v>31.502700000000001</v>
      </c>
      <c r="O12" s="28">
        <f t="shared" si="6"/>
        <v>1827.1565999999998</v>
      </c>
      <c r="P12" s="28">
        <f t="shared" si="7"/>
        <v>1897</v>
      </c>
      <c r="Q12" s="30">
        <v>0</v>
      </c>
      <c r="R12" s="28">
        <f t="shared" si="8"/>
        <v>0</v>
      </c>
      <c r="S12" s="27">
        <f t="shared" si="9"/>
        <v>82362</v>
      </c>
      <c r="T12" s="28">
        <f t="shared" si="10"/>
        <v>17502</v>
      </c>
      <c r="U12" s="31">
        <f>+T12</f>
        <v>17502</v>
      </c>
      <c r="V12" s="28" t="s">
        <v>41</v>
      </c>
      <c r="W12" s="28">
        <f t="shared" si="11"/>
        <v>64861</v>
      </c>
      <c r="X12" s="28">
        <v>64859</v>
      </c>
      <c r="Y12" s="28" t="s">
        <v>35</v>
      </c>
      <c r="Z12" s="28">
        <f t="shared" ca="1" si="12"/>
        <v>0</v>
      </c>
      <c r="AA12" s="28"/>
      <c r="AB12" s="28"/>
      <c r="AC12" s="15">
        <f t="shared" si="13"/>
        <v>82361</v>
      </c>
      <c r="AD12" s="19">
        <f t="shared" si="14"/>
        <v>1</v>
      </c>
      <c r="AE12" s="20" t="s">
        <v>64</v>
      </c>
      <c r="AF12" s="21">
        <v>1800003305</v>
      </c>
      <c r="AG12" s="22" t="s">
        <v>43</v>
      </c>
    </row>
    <row r="13" spans="1:33" ht="14.25" customHeight="1" x14ac:dyDescent="0.25">
      <c r="A13" s="23">
        <v>25</v>
      </c>
      <c r="B13" s="24" t="s">
        <v>65</v>
      </c>
      <c r="C13" s="25">
        <v>700</v>
      </c>
      <c r="D13" s="26">
        <v>21977</v>
      </c>
      <c r="E13" s="26" t="s">
        <v>39</v>
      </c>
      <c r="F13" s="26">
        <v>2006</v>
      </c>
      <c r="G13" s="24" t="s">
        <v>66</v>
      </c>
      <c r="H13" s="27">
        <v>17500</v>
      </c>
      <c r="I13" s="27">
        <f t="shared" si="0"/>
        <v>3150</v>
      </c>
      <c r="J13" s="27">
        <f t="shared" si="1"/>
        <v>20650</v>
      </c>
      <c r="K13" s="27">
        <f t="shared" si="2"/>
        <v>413</v>
      </c>
      <c r="L13" s="28">
        <f t="shared" si="3"/>
        <v>17.5</v>
      </c>
      <c r="M13" s="28">
        <f t="shared" si="4"/>
        <v>464.625</v>
      </c>
      <c r="N13" s="29">
        <f t="shared" si="5"/>
        <v>7.875</v>
      </c>
      <c r="O13" s="28">
        <f t="shared" si="6"/>
        <v>456.75</v>
      </c>
      <c r="P13" s="28">
        <f t="shared" si="7"/>
        <v>474</v>
      </c>
      <c r="Q13" s="30">
        <v>0</v>
      </c>
      <c r="R13" s="28">
        <f t="shared" si="8"/>
        <v>0</v>
      </c>
      <c r="S13" s="27">
        <f t="shared" si="9"/>
        <v>20589</v>
      </c>
      <c r="T13" s="28">
        <f t="shared" si="10"/>
        <v>4375</v>
      </c>
      <c r="U13" s="31">
        <v>4375</v>
      </c>
      <c r="V13" s="28" t="s">
        <v>46</v>
      </c>
      <c r="W13" s="28">
        <f t="shared" si="11"/>
        <v>16214</v>
      </c>
      <c r="X13" s="28">
        <v>16214</v>
      </c>
      <c r="Y13" s="28" t="s">
        <v>46</v>
      </c>
      <c r="Z13" s="28">
        <f t="shared" ca="1" si="12"/>
        <v>0</v>
      </c>
      <c r="AA13" s="28"/>
      <c r="AB13" s="28"/>
      <c r="AC13" s="15">
        <f t="shared" si="13"/>
        <v>20589</v>
      </c>
      <c r="AD13" s="19">
        <f t="shared" si="14"/>
        <v>0</v>
      </c>
      <c r="AE13" s="20" t="s">
        <v>67</v>
      </c>
      <c r="AF13" s="21">
        <v>1800003156</v>
      </c>
      <c r="AG13" s="22" t="s">
        <v>53</v>
      </c>
    </row>
    <row r="14" spans="1:33" ht="14.25" customHeight="1" x14ac:dyDescent="0.25">
      <c r="A14" s="23">
        <v>1</v>
      </c>
      <c r="B14" s="24" t="s">
        <v>68</v>
      </c>
      <c r="C14" s="25">
        <v>3857116</v>
      </c>
      <c r="D14" s="26">
        <v>21977</v>
      </c>
      <c r="E14" s="26" t="s">
        <v>39</v>
      </c>
      <c r="F14" s="26">
        <v>2007</v>
      </c>
      <c r="G14" s="24" t="s">
        <v>56</v>
      </c>
      <c r="H14" s="27">
        <v>3857116</v>
      </c>
      <c r="I14" s="27">
        <f t="shared" si="0"/>
        <v>694281</v>
      </c>
      <c r="J14" s="27">
        <f t="shared" si="1"/>
        <v>4551397</v>
      </c>
      <c r="K14" s="27">
        <f t="shared" si="2"/>
        <v>91028</v>
      </c>
      <c r="L14" s="28">
        <f t="shared" si="3"/>
        <v>3857.116</v>
      </c>
      <c r="M14" s="28">
        <f t="shared" si="4"/>
        <v>102406.4298</v>
      </c>
      <c r="N14" s="29">
        <f t="shared" si="5"/>
        <v>1735.7021999999999</v>
      </c>
      <c r="O14" s="28">
        <f t="shared" si="6"/>
        <v>100670.7276</v>
      </c>
      <c r="P14" s="28">
        <f t="shared" si="7"/>
        <v>104528</v>
      </c>
      <c r="Q14" s="30">
        <v>0</v>
      </c>
      <c r="R14" s="28">
        <f t="shared" si="8"/>
        <v>0</v>
      </c>
      <c r="S14" s="27">
        <f t="shared" si="9"/>
        <v>4537897</v>
      </c>
      <c r="T14" s="28">
        <f t="shared" si="10"/>
        <v>964279</v>
      </c>
      <c r="U14" s="31">
        <f>+T14</f>
        <v>964279</v>
      </c>
      <c r="V14" s="28" t="s">
        <v>41</v>
      </c>
      <c r="W14" s="28">
        <f t="shared" si="11"/>
        <v>3573618</v>
      </c>
      <c r="X14" s="28">
        <v>3573618.9057083898</v>
      </c>
      <c r="Y14" s="28" t="s">
        <v>41</v>
      </c>
      <c r="Z14" s="28">
        <f t="shared" ca="1" si="12"/>
        <v>0</v>
      </c>
      <c r="AA14" s="28"/>
      <c r="AB14" s="28"/>
      <c r="AC14" s="15">
        <f t="shared" si="13"/>
        <v>4537897.9057083894</v>
      </c>
      <c r="AD14" s="19">
        <f t="shared" si="14"/>
        <v>-0.90570838935673237</v>
      </c>
      <c r="AE14" s="20" t="s">
        <v>69</v>
      </c>
      <c r="AF14" s="21">
        <v>1800003196</v>
      </c>
      <c r="AG14" s="22" t="s">
        <v>58</v>
      </c>
    </row>
    <row r="15" spans="1:33" ht="14.25" customHeight="1" x14ac:dyDescent="0.25">
      <c r="A15" s="23">
        <v>250</v>
      </c>
      <c r="B15" s="24" t="s">
        <v>70</v>
      </c>
      <c r="C15" s="25">
        <v>543</v>
      </c>
      <c r="D15" s="26">
        <v>21977</v>
      </c>
      <c r="E15" s="26" t="s">
        <v>39</v>
      </c>
      <c r="F15" s="26">
        <v>2008</v>
      </c>
      <c r="G15" s="24" t="s">
        <v>71</v>
      </c>
      <c r="H15" s="27">
        <v>135750</v>
      </c>
      <c r="I15" s="27">
        <f t="shared" si="0"/>
        <v>24435</v>
      </c>
      <c r="J15" s="27">
        <f t="shared" si="1"/>
        <v>160185</v>
      </c>
      <c r="K15" s="27">
        <f t="shared" si="2"/>
        <v>3204</v>
      </c>
      <c r="L15" s="28">
        <f t="shared" si="3"/>
        <v>135.75</v>
      </c>
      <c r="M15" s="28">
        <f t="shared" si="4"/>
        <v>3604.1624999999999</v>
      </c>
      <c r="N15" s="29">
        <f t="shared" si="5"/>
        <v>61.087499999999999</v>
      </c>
      <c r="O15" s="28">
        <f t="shared" si="6"/>
        <v>3543.0749999999998</v>
      </c>
      <c r="P15" s="28">
        <f t="shared" si="7"/>
        <v>3679</v>
      </c>
      <c r="Q15" s="30">
        <v>0</v>
      </c>
      <c r="R15" s="28">
        <f t="shared" si="8"/>
        <v>0</v>
      </c>
      <c r="S15" s="27">
        <f t="shared" si="9"/>
        <v>159710</v>
      </c>
      <c r="T15" s="28">
        <f t="shared" si="10"/>
        <v>33938</v>
      </c>
      <c r="U15" s="31">
        <v>33938</v>
      </c>
      <c r="V15" s="28" t="s">
        <v>53</v>
      </c>
      <c r="W15" s="28">
        <f t="shared" si="11"/>
        <v>125772</v>
      </c>
      <c r="X15" s="28">
        <v>125772</v>
      </c>
      <c r="Y15" s="28" t="s">
        <v>36</v>
      </c>
      <c r="Z15" s="28">
        <f t="shared" ca="1" si="12"/>
        <v>0</v>
      </c>
      <c r="AA15" s="28"/>
      <c r="AB15" s="28"/>
      <c r="AC15" s="15">
        <f t="shared" si="13"/>
        <v>159710</v>
      </c>
      <c r="AD15" s="19">
        <f t="shared" si="14"/>
        <v>0</v>
      </c>
      <c r="AE15" s="20" t="s">
        <v>72</v>
      </c>
      <c r="AF15" s="21">
        <v>1800003247</v>
      </c>
      <c r="AG15" s="22" t="s">
        <v>47</v>
      </c>
    </row>
    <row r="16" spans="1:33" ht="14.25" customHeight="1" x14ac:dyDescent="0.25">
      <c r="A16" s="23">
        <v>22</v>
      </c>
      <c r="B16" s="24" t="s">
        <v>73</v>
      </c>
      <c r="C16" s="25">
        <v>700</v>
      </c>
      <c r="D16" s="26">
        <v>21977</v>
      </c>
      <c r="E16" s="26" t="s">
        <v>39</v>
      </c>
      <c r="F16" s="26">
        <v>2011</v>
      </c>
      <c r="G16" s="24" t="s">
        <v>66</v>
      </c>
      <c r="H16" s="27">
        <v>15400</v>
      </c>
      <c r="I16" s="27">
        <f t="shared" si="0"/>
        <v>2772</v>
      </c>
      <c r="J16" s="27">
        <f t="shared" si="1"/>
        <v>18172</v>
      </c>
      <c r="K16" s="27">
        <f t="shared" si="2"/>
        <v>363</v>
      </c>
      <c r="L16" s="28">
        <f t="shared" si="3"/>
        <v>15.4</v>
      </c>
      <c r="M16" s="28">
        <f t="shared" si="4"/>
        <v>408.87</v>
      </c>
      <c r="N16" s="29">
        <f t="shared" si="5"/>
        <v>6.93</v>
      </c>
      <c r="O16" s="28">
        <f t="shared" si="6"/>
        <v>401.94</v>
      </c>
      <c r="P16" s="28">
        <f t="shared" si="7"/>
        <v>417</v>
      </c>
      <c r="Q16" s="30">
        <v>0</v>
      </c>
      <c r="R16" s="28">
        <f t="shared" si="8"/>
        <v>0</v>
      </c>
      <c r="S16" s="27">
        <f t="shared" si="9"/>
        <v>18118</v>
      </c>
      <c r="T16" s="28">
        <f t="shared" si="10"/>
        <v>3850</v>
      </c>
      <c r="U16" s="31">
        <v>3850</v>
      </c>
      <c r="V16" s="28" t="s">
        <v>46</v>
      </c>
      <c r="W16" s="28">
        <f t="shared" si="11"/>
        <v>14268</v>
      </c>
      <c r="X16" s="28">
        <v>14267</v>
      </c>
      <c r="Y16" s="28" t="s">
        <v>46</v>
      </c>
      <c r="Z16" s="28">
        <f t="shared" ca="1" si="12"/>
        <v>0</v>
      </c>
      <c r="AA16" s="28"/>
      <c r="AB16" s="28"/>
      <c r="AC16" s="15">
        <f t="shared" si="13"/>
        <v>18117</v>
      </c>
      <c r="AD16" s="19">
        <f t="shared" si="14"/>
        <v>1</v>
      </c>
      <c r="AE16" s="20" t="s">
        <v>74</v>
      </c>
      <c r="AF16" s="21">
        <v>1800003157</v>
      </c>
      <c r="AG16" s="22" t="s">
        <v>53</v>
      </c>
    </row>
    <row r="17" spans="1:33" ht="14.25" customHeight="1" x14ac:dyDescent="0.25">
      <c r="A17" s="23">
        <v>100</v>
      </c>
      <c r="B17" s="24" t="s">
        <v>75</v>
      </c>
      <c r="C17" s="25">
        <v>710</v>
      </c>
      <c r="D17" s="26">
        <v>21978</v>
      </c>
      <c r="E17" s="26" t="s">
        <v>39</v>
      </c>
      <c r="F17" s="26">
        <v>2015</v>
      </c>
      <c r="G17" s="24" t="s">
        <v>66</v>
      </c>
      <c r="H17" s="27">
        <v>71000</v>
      </c>
      <c r="I17" s="27">
        <f t="shared" si="0"/>
        <v>12780</v>
      </c>
      <c r="J17" s="27">
        <f t="shared" si="1"/>
        <v>83780</v>
      </c>
      <c r="K17" s="27">
        <f t="shared" si="2"/>
        <v>1676</v>
      </c>
      <c r="L17" s="28">
        <f t="shared" si="3"/>
        <v>71</v>
      </c>
      <c r="M17" s="28">
        <f t="shared" si="4"/>
        <v>1885.05</v>
      </c>
      <c r="N17" s="29">
        <f t="shared" si="5"/>
        <v>31.95</v>
      </c>
      <c r="O17" s="28">
        <f t="shared" si="6"/>
        <v>1853.1</v>
      </c>
      <c r="P17" s="28">
        <f t="shared" si="7"/>
        <v>1924</v>
      </c>
      <c r="Q17" s="30">
        <v>0</v>
      </c>
      <c r="R17" s="28">
        <f t="shared" si="8"/>
        <v>0</v>
      </c>
      <c r="S17" s="27">
        <f t="shared" si="9"/>
        <v>83532</v>
      </c>
      <c r="T17" s="28">
        <f t="shared" si="10"/>
        <v>17750</v>
      </c>
      <c r="U17" s="31">
        <v>17750</v>
      </c>
      <c r="V17" s="28" t="s">
        <v>46</v>
      </c>
      <c r="W17" s="28">
        <f t="shared" si="11"/>
        <v>65782</v>
      </c>
      <c r="X17" s="28">
        <f>+W17</f>
        <v>65782</v>
      </c>
      <c r="Y17" s="28" t="s">
        <v>46</v>
      </c>
      <c r="Z17" s="28">
        <f t="shared" ca="1" si="12"/>
        <v>0</v>
      </c>
      <c r="AA17" s="28"/>
      <c r="AB17" s="28"/>
      <c r="AC17" s="15">
        <f t="shared" si="13"/>
        <v>83532</v>
      </c>
      <c r="AD17" s="19">
        <f t="shared" si="14"/>
        <v>0</v>
      </c>
      <c r="AE17" s="20" t="s">
        <v>76</v>
      </c>
      <c r="AF17" s="21">
        <v>1800003158</v>
      </c>
      <c r="AG17" s="22" t="s">
        <v>53</v>
      </c>
    </row>
    <row r="18" spans="1:33" ht="14.25" customHeight="1" x14ac:dyDescent="0.25">
      <c r="A18" s="23">
        <v>1</v>
      </c>
      <c r="B18" s="24" t="s">
        <v>77</v>
      </c>
      <c r="C18" s="25">
        <v>220001</v>
      </c>
      <c r="D18" s="26">
        <v>21978</v>
      </c>
      <c r="E18" s="26" t="s">
        <v>39</v>
      </c>
      <c r="F18" s="26">
        <v>2018</v>
      </c>
      <c r="G18" s="24" t="s">
        <v>40</v>
      </c>
      <c r="H18" s="27">
        <v>220001</v>
      </c>
      <c r="I18" s="27">
        <f t="shared" si="0"/>
        <v>39600</v>
      </c>
      <c r="J18" s="27">
        <f t="shared" si="1"/>
        <v>259601</v>
      </c>
      <c r="K18" s="27">
        <f t="shared" si="2"/>
        <v>5192</v>
      </c>
      <c r="L18" s="28">
        <f t="shared" si="3"/>
        <v>220.001</v>
      </c>
      <c r="M18" s="28">
        <f t="shared" si="4"/>
        <v>5841.0265499999996</v>
      </c>
      <c r="N18" s="29">
        <f t="shared" si="5"/>
        <v>99.000450000000001</v>
      </c>
      <c r="O18" s="28">
        <f t="shared" si="6"/>
        <v>5742.0260999999991</v>
      </c>
      <c r="P18" s="28">
        <f t="shared" si="7"/>
        <v>5962</v>
      </c>
      <c r="Q18" s="30">
        <v>0</v>
      </c>
      <c r="R18" s="28">
        <f t="shared" si="8"/>
        <v>0</v>
      </c>
      <c r="S18" s="27">
        <f t="shared" si="9"/>
        <v>258831</v>
      </c>
      <c r="T18" s="28">
        <f t="shared" si="10"/>
        <v>55000</v>
      </c>
      <c r="U18" s="31">
        <f>+T18</f>
        <v>55000</v>
      </c>
      <c r="V18" s="28" t="s">
        <v>41</v>
      </c>
      <c r="W18" s="28">
        <f t="shared" si="11"/>
        <v>203831</v>
      </c>
      <c r="X18" s="28">
        <v>203831</v>
      </c>
      <c r="Y18" s="28" t="s">
        <v>35</v>
      </c>
      <c r="Z18" s="28">
        <f t="shared" ca="1" si="12"/>
        <v>0</v>
      </c>
      <c r="AA18" s="28"/>
      <c r="AB18" s="28"/>
      <c r="AC18" s="15">
        <f t="shared" si="13"/>
        <v>258831</v>
      </c>
      <c r="AD18" s="19">
        <f t="shared" si="14"/>
        <v>0</v>
      </c>
      <c r="AE18" s="20" t="s">
        <v>78</v>
      </c>
      <c r="AF18" s="21">
        <v>1800003306</v>
      </c>
      <c r="AG18" s="22" t="s">
        <v>43</v>
      </c>
    </row>
    <row r="19" spans="1:33" ht="14.25" customHeight="1" x14ac:dyDescent="0.25">
      <c r="A19" s="23">
        <v>1</v>
      </c>
      <c r="B19" s="24" t="s">
        <v>77</v>
      </c>
      <c r="C19" s="25">
        <v>210001</v>
      </c>
      <c r="D19" s="26">
        <v>21978</v>
      </c>
      <c r="E19" s="26" t="s">
        <v>39</v>
      </c>
      <c r="F19" s="26">
        <v>2019</v>
      </c>
      <c r="G19" s="24" t="s">
        <v>40</v>
      </c>
      <c r="H19" s="27">
        <v>210001</v>
      </c>
      <c r="I19" s="27">
        <f t="shared" si="0"/>
        <v>37800</v>
      </c>
      <c r="J19" s="27">
        <f t="shared" si="1"/>
        <v>247801</v>
      </c>
      <c r="K19" s="27">
        <f t="shared" si="2"/>
        <v>4956</v>
      </c>
      <c r="L19" s="28">
        <f t="shared" si="3"/>
        <v>210.001</v>
      </c>
      <c r="M19" s="28">
        <f t="shared" si="4"/>
        <v>5575.5265499999996</v>
      </c>
      <c r="N19" s="29">
        <f t="shared" si="5"/>
        <v>94.500450000000001</v>
      </c>
      <c r="O19" s="28">
        <f t="shared" si="6"/>
        <v>5481.0260999999991</v>
      </c>
      <c r="P19" s="28">
        <f t="shared" si="7"/>
        <v>5691</v>
      </c>
      <c r="Q19" s="30">
        <v>0</v>
      </c>
      <c r="R19" s="28">
        <f t="shared" si="8"/>
        <v>0</v>
      </c>
      <c r="S19" s="27">
        <f t="shared" si="9"/>
        <v>247066</v>
      </c>
      <c r="T19" s="28">
        <f t="shared" si="10"/>
        <v>52500</v>
      </c>
      <c r="U19" s="31">
        <f>+T19</f>
        <v>52500</v>
      </c>
      <c r="V19" s="28" t="s">
        <v>41</v>
      </c>
      <c r="W19" s="28">
        <f t="shared" si="11"/>
        <v>194566</v>
      </c>
      <c r="X19" s="28">
        <v>194566</v>
      </c>
      <c r="Y19" s="28" t="s">
        <v>35</v>
      </c>
      <c r="Z19" s="28">
        <f t="shared" ca="1" si="12"/>
        <v>0</v>
      </c>
      <c r="AA19" s="28"/>
      <c r="AB19" s="28"/>
      <c r="AC19" s="15">
        <f t="shared" si="13"/>
        <v>247066</v>
      </c>
      <c r="AD19" s="19">
        <f t="shared" si="14"/>
        <v>0</v>
      </c>
      <c r="AE19" s="20" t="s">
        <v>79</v>
      </c>
      <c r="AF19" s="21">
        <v>1800003307</v>
      </c>
      <c r="AG19" s="22" t="s">
        <v>43</v>
      </c>
    </row>
    <row r="20" spans="1:33" ht="26.25" customHeight="1" x14ac:dyDescent="0.25">
      <c r="A20" s="23">
        <v>3500</v>
      </c>
      <c r="B20" s="24" t="s">
        <v>80</v>
      </c>
      <c r="C20" s="25">
        <v>333</v>
      </c>
      <c r="D20" s="26">
        <v>21978</v>
      </c>
      <c r="E20" s="26" t="s">
        <v>33</v>
      </c>
      <c r="F20" s="26">
        <v>2020</v>
      </c>
      <c r="G20" s="24" t="s">
        <v>52</v>
      </c>
      <c r="H20" s="27">
        <v>1165500</v>
      </c>
      <c r="I20" s="27">
        <f t="shared" si="0"/>
        <v>209790</v>
      </c>
      <c r="J20" s="27">
        <f t="shared" si="1"/>
        <v>1375290</v>
      </c>
      <c r="K20" s="27">
        <f t="shared" si="2"/>
        <v>27506</v>
      </c>
      <c r="L20" s="28">
        <f t="shared" si="3"/>
        <v>1165.5</v>
      </c>
      <c r="M20" s="28">
        <f t="shared" si="4"/>
        <v>30944.024999999998</v>
      </c>
      <c r="N20" s="29">
        <f t="shared" si="5"/>
        <v>524.47500000000002</v>
      </c>
      <c r="O20" s="28">
        <f t="shared" si="6"/>
        <v>30419.55</v>
      </c>
      <c r="P20" s="28">
        <f t="shared" si="7"/>
        <v>31585</v>
      </c>
      <c r="Q20" s="30">
        <v>0.02</v>
      </c>
      <c r="R20" s="28">
        <f t="shared" si="8"/>
        <v>23310</v>
      </c>
      <c r="S20" s="27">
        <f t="shared" si="9"/>
        <v>1347901</v>
      </c>
      <c r="T20" s="28">
        <f t="shared" si="10"/>
        <v>291375</v>
      </c>
      <c r="U20" s="31">
        <v>291375</v>
      </c>
      <c r="V20" s="28" t="s">
        <v>81</v>
      </c>
      <c r="W20" s="28">
        <f t="shared" si="11"/>
        <v>1056526</v>
      </c>
      <c r="X20" s="28">
        <v>1056525</v>
      </c>
      <c r="Y20" s="28" t="s">
        <v>81</v>
      </c>
      <c r="Z20" s="28">
        <f t="shared" ca="1" si="12"/>
        <v>0</v>
      </c>
      <c r="AA20" s="28"/>
      <c r="AB20" s="28"/>
      <c r="AC20" s="15">
        <f t="shared" si="13"/>
        <v>1347900</v>
      </c>
      <c r="AD20" s="19">
        <f t="shared" si="14"/>
        <v>1</v>
      </c>
      <c r="AE20" s="20" t="s">
        <v>82</v>
      </c>
      <c r="AF20" s="21">
        <v>1800003065</v>
      </c>
      <c r="AG20" s="22" t="s">
        <v>83</v>
      </c>
    </row>
    <row r="21" spans="1:33" ht="39" customHeight="1" x14ac:dyDescent="0.25">
      <c r="A21" s="23">
        <v>3</v>
      </c>
      <c r="B21" s="24" t="s">
        <v>59</v>
      </c>
      <c r="C21" s="25">
        <v>110200</v>
      </c>
      <c r="D21" s="26">
        <v>21978</v>
      </c>
      <c r="E21" s="26" t="s">
        <v>39</v>
      </c>
      <c r="F21" s="26">
        <v>2022</v>
      </c>
      <c r="G21" s="24" t="s">
        <v>84</v>
      </c>
      <c r="H21" s="27">
        <v>330600</v>
      </c>
      <c r="I21" s="27">
        <f t="shared" si="0"/>
        <v>59508</v>
      </c>
      <c r="J21" s="27">
        <f t="shared" si="1"/>
        <v>390108</v>
      </c>
      <c r="K21" s="27">
        <f t="shared" si="2"/>
        <v>7802</v>
      </c>
      <c r="L21" s="28">
        <f t="shared" si="3"/>
        <v>330.6</v>
      </c>
      <c r="M21" s="28">
        <f t="shared" si="4"/>
        <v>8777.43</v>
      </c>
      <c r="N21" s="29">
        <f t="shared" si="5"/>
        <v>148.77000000000001</v>
      </c>
      <c r="O21" s="28">
        <f t="shared" si="6"/>
        <v>8628.66</v>
      </c>
      <c r="P21" s="28">
        <f t="shared" si="7"/>
        <v>8959</v>
      </c>
      <c r="Q21" s="30">
        <v>0</v>
      </c>
      <c r="R21" s="28">
        <f t="shared" si="8"/>
        <v>0</v>
      </c>
      <c r="S21" s="27">
        <f t="shared" si="9"/>
        <v>388951</v>
      </c>
      <c r="T21" s="28">
        <f t="shared" si="10"/>
        <v>82650</v>
      </c>
      <c r="U21" s="31">
        <f>+T21</f>
        <v>82650</v>
      </c>
      <c r="V21" s="28" t="s">
        <v>53</v>
      </c>
      <c r="W21" s="28">
        <f t="shared" si="11"/>
        <v>306301</v>
      </c>
      <c r="X21" s="28">
        <v>306301</v>
      </c>
      <c r="Y21" s="28" t="s">
        <v>85</v>
      </c>
      <c r="Z21" s="28">
        <f t="shared" ca="1" si="12"/>
        <v>0</v>
      </c>
      <c r="AA21" s="28"/>
      <c r="AB21" s="28"/>
      <c r="AC21" s="15">
        <f t="shared" si="13"/>
        <v>388951</v>
      </c>
      <c r="AD21" s="19">
        <f t="shared" si="14"/>
        <v>0</v>
      </c>
      <c r="AE21" s="20" t="s">
        <v>86</v>
      </c>
      <c r="AF21" s="21">
        <v>1800003269</v>
      </c>
      <c r="AG21" s="22" t="s">
        <v>35</v>
      </c>
    </row>
    <row r="22" spans="1:33" ht="14.25" customHeight="1" x14ac:dyDescent="0.25">
      <c r="A22" s="23">
        <v>3</v>
      </c>
      <c r="B22" s="24" t="s">
        <v>59</v>
      </c>
      <c r="C22" s="25">
        <v>83743</v>
      </c>
      <c r="D22" s="26">
        <v>21978</v>
      </c>
      <c r="E22" s="26" t="s">
        <v>39</v>
      </c>
      <c r="F22" s="26">
        <v>2023</v>
      </c>
      <c r="G22" s="24" t="s">
        <v>40</v>
      </c>
      <c r="H22" s="27">
        <v>251229</v>
      </c>
      <c r="I22" s="27">
        <f t="shared" si="0"/>
        <v>45221</v>
      </c>
      <c r="J22" s="27">
        <f t="shared" si="1"/>
        <v>296450</v>
      </c>
      <c r="K22" s="27">
        <f t="shared" si="2"/>
        <v>5929</v>
      </c>
      <c r="L22" s="28">
        <f t="shared" si="3"/>
        <v>251.22900000000001</v>
      </c>
      <c r="M22" s="28">
        <f t="shared" si="4"/>
        <v>6670.1299499999996</v>
      </c>
      <c r="N22" s="29">
        <f t="shared" si="5"/>
        <v>113.05305</v>
      </c>
      <c r="O22" s="28">
        <f t="shared" si="6"/>
        <v>6557.0768999999991</v>
      </c>
      <c r="P22" s="28">
        <f t="shared" si="7"/>
        <v>6808</v>
      </c>
      <c r="Q22" s="30">
        <v>0</v>
      </c>
      <c r="R22" s="28">
        <f t="shared" si="8"/>
        <v>0</v>
      </c>
      <c r="S22" s="27">
        <f t="shared" si="9"/>
        <v>295571</v>
      </c>
      <c r="T22" s="28">
        <f t="shared" si="10"/>
        <v>62807</v>
      </c>
      <c r="U22" s="31">
        <f>+T22</f>
        <v>62807</v>
      </c>
      <c r="V22" s="28" t="s">
        <v>41</v>
      </c>
      <c r="W22" s="28">
        <f t="shared" si="11"/>
        <v>232764</v>
      </c>
      <c r="X22" s="28">
        <v>232764</v>
      </c>
      <c r="Y22" s="28" t="s">
        <v>35</v>
      </c>
      <c r="Z22" s="28">
        <f t="shared" ca="1" si="12"/>
        <v>0</v>
      </c>
      <c r="AA22" s="28"/>
      <c r="AB22" s="28"/>
      <c r="AC22" s="15">
        <f t="shared" si="13"/>
        <v>295571</v>
      </c>
      <c r="AD22" s="19">
        <f t="shared" si="14"/>
        <v>0</v>
      </c>
      <c r="AE22" s="20" t="s">
        <v>87</v>
      </c>
      <c r="AF22" s="21">
        <v>1800003308</v>
      </c>
      <c r="AG22" s="22" t="s">
        <v>43</v>
      </c>
    </row>
    <row r="23" spans="1:33" ht="14.25" customHeight="1" x14ac:dyDescent="0.25">
      <c r="A23" s="23">
        <v>90</v>
      </c>
      <c r="B23" s="24" t="s">
        <v>75</v>
      </c>
      <c r="C23" s="25">
        <v>700</v>
      </c>
      <c r="D23" s="26">
        <v>21978</v>
      </c>
      <c r="E23" s="26" t="s">
        <v>39</v>
      </c>
      <c r="F23" s="26">
        <v>2025</v>
      </c>
      <c r="G23" s="24" t="s">
        <v>66</v>
      </c>
      <c r="H23" s="27">
        <v>63000</v>
      </c>
      <c r="I23" s="27">
        <f t="shared" si="0"/>
        <v>11340</v>
      </c>
      <c r="J23" s="27">
        <f t="shared" si="1"/>
        <v>74340</v>
      </c>
      <c r="K23" s="27">
        <f t="shared" si="2"/>
        <v>1487</v>
      </c>
      <c r="L23" s="28">
        <f t="shared" si="3"/>
        <v>63</v>
      </c>
      <c r="M23" s="28">
        <f t="shared" si="4"/>
        <v>1672.6499999999999</v>
      </c>
      <c r="N23" s="29">
        <f t="shared" si="5"/>
        <v>28.35</v>
      </c>
      <c r="O23" s="28">
        <f t="shared" si="6"/>
        <v>1644.3</v>
      </c>
      <c r="P23" s="28">
        <f t="shared" si="7"/>
        <v>1707</v>
      </c>
      <c r="Q23" s="30">
        <v>0</v>
      </c>
      <c r="R23" s="28">
        <f t="shared" si="8"/>
        <v>0</v>
      </c>
      <c r="S23" s="27">
        <f t="shared" si="9"/>
        <v>74120</v>
      </c>
      <c r="T23" s="28">
        <f t="shared" si="10"/>
        <v>15750</v>
      </c>
      <c r="U23" s="31">
        <v>15750</v>
      </c>
      <c r="V23" s="28" t="s">
        <v>46</v>
      </c>
      <c r="W23" s="28">
        <f t="shared" si="11"/>
        <v>58370</v>
      </c>
      <c r="X23" s="28">
        <v>58418</v>
      </c>
      <c r="Y23" s="28" t="s">
        <v>46</v>
      </c>
      <c r="Z23" s="28">
        <f t="shared" ca="1" si="12"/>
        <v>0</v>
      </c>
      <c r="AA23" s="28"/>
      <c r="AB23" s="28"/>
      <c r="AC23" s="15">
        <f t="shared" si="13"/>
        <v>74168</v>
      </c>
      <c r="AD23" s="19">
        <f t="shared" si="14"/>
        <v>-48</v>
      </c>
      <c r="AE23" s="20" t="s">
        <v>88</v>
      </c>
      <c r="AF23" s="21">
        <v>1800003160</v>
      </c>
      <c r="AG23" s="22" t="s">
        <v>53</v>
      </c>
    </row>
    <row r="24" spans="1:33" ht="14.25" customHeight="1" x14ac:dyDescent="0.25">
      <c r="A24" s="23">
        <v>1</v>
      </c>
      <c r="B24" s="24" t="s">
        <v>59</v>
      </c>
      <c r="C24" s="25">
        <v>50003</v>
      </c>
      <c r="D24" s="26">
        <v>21978</v>
      </c>
      <c r="E24" s="26" t="s">
        <v>39</v>
      </c>
      <c r="F24" s="26">
        <v>2027</v>
      </c>
      <c r="G24" s="24" t="s">
        <v>40</v>
      </c>
      <c r="H24" s="27">
        <v>50003</v>
      </c>
      <c r="I24" s="27">
        <f t="shared" si="0"/>
        <v>9001</v>
      </c>
      <c r="J24" s="27">
        <f t="shared" si="1"/>
        <v>59004</v>
      </c>
      <c r="K24" s="27">
        <f t="shared" si="2"/>
        <v>1180</v>
      </c>
      <c r="L24" s="28">
        <f t="shared" si="3"/>
        <v>50.003</v>
      </c>
      <c r="M24" s="28">
        <f t="shared" si="4"/>
        <v>1327.5796499999999</v>
      </c>
      <c r="N24" s="29">
        <f t="shared" si="5"/>
        <v>22.501349999999999</v>
      </c>
      <c r="O24" s="28">
        <f t="shared" si="6"/>
        <v>1305.0782999999999</v>
      </c>
      <c r="P24" s="28">
        <f t="shared" si="7"/>
        <v>1355</v>
      </c>
      <c r="Q24" s="30">
        <v>0</v>
      </c>
      <c r="R24" s="28">
        <f t="shared" si="8"/>
        <v>0</v>
      </c>
      <c r="S24" s="27">
        <f t="shared" si="9"/>
        <v>58829</v>
      </c>
      <c r="T24" s="28">
        <f t="shared" si="10"/>
        <v>12501</v>
      </c>
      <c r="U24" s="31">
        <f>+T24</f>
        <v>12501</v>
      </c>
      <c r="V24" s="28" t="s">
        <v>41</v>
      </c>
      <c r="W24" s="28">
        <f t="shared" si="11"/>
        <v>46328</v>
      </c>
      <c r="X24" s="28">
        <v>46328</v>
      </c>
      <c r="Y24" s="28" t="s">
        <v>35</v>
      </c>
      <c r="Z24" s="28">
        <f t="shared" ca="1" si="12"/>
        <v>0</v>
      </c>
      <c r="AA24" s="28"/>
      <c r="AB24" s="28"/>
      <c r="AC24" s="15">
        <f t="shared" si="13"/>
        <v>58829</v>
      </c>
      <c r="AD24" s="19">
        <f t="shared" si="14"/>
        <v>0</v>
      </c>
      <c r="AE24" s="20" t="s">
        <v>89</v>
      </c>
      <c r="AF24" s="21">
        <v>1800003309</v>
      </c>
      <c r="AG24" s="22" t="s">
        <v>43</v>
      </c>
    </row>
    <row r="25" spans="1:33" ht="14.25" customHeight="1" x14ac:dyDescent="0.25">
      <c r="A25" s="23">
        <v>1000</v>
      </c>
      <c r="B25" s="24" t="s">
        <v>90</v>
      </c>
      <c r="C25" s="25">
        <v>517</v>
      </c>
      <c r="D25" s="26">
        <v>21978</v>
      </c>
      <c r="E25" s="26" t="s">
        <v>39</v>
      </c>
      <c r="F25" s="26">
        <v>2033</v>
      </c>
      <c r="G25" s="24" t="s">
        <v>91</v>
      </c>
      <c r="H25" s="27">
        <v>517000</v>
      </c>
      <c r="I25" s="27">
        <f t="shared" si="0"/>
        <v>93060</v>
      </c>
      <c r="J25" s="27">
        <f t="shared" si="1"/>
        <v>610060</v>
      </c>
      <c r="K25" s="27">
        <f t="shared" si="2"/>
        <v>12201</v>
      </c>
      <c r="L25" s="28">
        <f t="shared" si="3"/>
        <v>517</v>
      </c>
      <c r="M25" s="28">
        <f t="shared" si="4"/>
        <v>13726.349999999999</v>
      </c>
      <c r="N25" s="29">
        <f t="shared" si="5"/>
        <v>232.65</v>
      </c>
      <c r="O25" s="28">
        <f t="shared" si="6"/>
        <v>13493.699999999999</v>
      </c>
      <c r="P25" s="28">
        <f t="shared" si="7"/>
        <v>14011</v>
      </c>
      <c r="Q25" s="30">
        <v>0</v>
      </c>
      <c r="R25" s="28">
        <f t="shared" si="8"/>
        <v>0</v>
      </c>
      <c r="S25" s="27">
        <f t="shared" si="9"/>
        <v>608251</v>
      </c>
      <c r="T25" s="28">
        <f t="shared" si="10"/>
        <v>129250</v>
      </c>
      <c r="U25" s="31">
        <v>129250</v>
      </c>
      <c r="V25" s="28" t="s">
        <v>53</v>
      </c>
      <c r="W25" s="28">
        <f t="shared" si="11"/>
        <v>479001</v>
      </c>
      <c r="X25" s="28">
        <v>479001</v>
      </c>
      <c r="Y25" s="28" t="s">
        <v>85</v>
      </c>
      <c r="Z25" s="28">
        <f t="shared" ca="1" si="12"/>
        <v>0</v>
      </c>
      <c r="AA25" s="28"/>
      <c r="AB25" s="28"/>
      <c r="AC25" s="15">
        <f t="shared" si="13"/>
        <v>608251</v>
      </c>
      <c r="AD25" s="19">
        <f t="shared" si="14"/>
        <v>0</v>
      </c>
      <c r="AE25" s="20" t="s">
        <v>92</v>
      </c>
      <c r="AF25" s="21">
        <v>1800003317</v>
      </c>
      <c r="AG25" s="22" t="s">
        <v>43</v>
      </c>
    </row>
    <row r="26" spans="1:33" ht="14.25" customHeight="1" x14ac:dyDescent="0.25">
      <c r="A26" s="23">
        <v>2</v>
      </c>
      <c r="B26" s="24" t="s">
        <v>93</v>
      </c>
      <c r="C26" s="25">
        <v>14001</v>
      </c>
      <c r="D26" s="26">
        <v>21978</v>
      </c>
      <c r="E26" s="26" t="s">
        <v>39</v>
      </c>
      <c r="F26" s="26">
        <v>2035</v>
      </c>
      <c r="G26" s="24" t="s">
        <v>40</v>
      </c>
      <c r="H26" s="27">
        <v>28002</v>
      </c>
      <c r="I26" s="27">
        <f t="shared" si="0"/>
        <v>5040</v>
      </c>
      <c r="J26" s="27">
        <f t="shared" si="1"/>
        <v>33042</v>
      </c>
      <c r="K26" s="27">
        <f t="shared" si="2"/>
        <v>661</v>
      </c>
      <c r="L26" s="28">
        <f t="shared" si="3"/>
        <v>28.001999999999999</v>
      </c>
      <c r="M26" s="28">
        <f t="shared" si="4"/>
        <v>743.45309999999995</v>
      </c>
      <c r="N26" s="29">
        <f t="shared" si="5"/>
        <v>12.600899999999999</v>
      </c>
      <c r="O26" s="28">
        <f t="shared" si="6"/>
        <v>730.85219999999993</v>
      </c>
      <c r="P26" s="28">
        <f t="shared" si="7"/>
        <v>759</v>
      </c>
      <c r="Q26" s="30">
        <v>0</v>
      </c>
      <c r="R26" s="28">
        <f t="shared" si="8"/>
        <v>0</v>
      </c>
      <c r="S26" s="27">
        <f t="shared" si="9"/>
        <v>32944</v>
      </c>
      <c r="T26" s="28">
        <f t="shared" si="10"/>
        <v>7001</v>
      </c>
      <c r="U26" s="31">
        <f>+T26</f>
        <v>7001</v>
      </c>
      <c r="V26" s="28" t="s">
        <v>41</v>
      </c>
      <c r="W26" s="28">
        <f t="shared" si="11"/>
        <v>25944</v>
      </c>
      <c r="X26" s="28">
        <v>25943</v>
      </c>
      <c r="Y26" s="28" t="s">
        <v>35</v>
      </c>
      <c r="Z26" s="28">
        <f t="shared" ca="1" si="12"/>
        <v>0</v>
      </c>
      <c r="AA26" s="28"/>
      <c r="AB26" s="28"/>
      <c r="AC26" s="15">
        <f t="shared" si="13"/>
        <v>32944</v>
      </c>
      <c r="AD26" s="19">
        <f t="shared" si="14"/>
        <v>0</v>
      </c>
      <c r="AE26" s="20" t="s">
        <v>94</v>
      </c>
      <c r="AF26" s="21">
        <v>1800003310</v>
      </c>
      <c r="AG26" s="22" t="s">
        <v>43</v>
      </c>
    </row>
    <row r="27" spans="1:33" ht="26.25" customHeight="1" x14ac:dyDescent="0.25">
      <c r="A27" s="23">
        <v>8.1999999999999993</v>
      </c>
      <c r="B27" s="24" t="s">
        <v>95</v>
      </c>
      <c r="C27" s="25">
        <v>67000</v>
      </c>
      <c r="D27" s="26">
        <v>21978</v>
      </c>
      <c r="E27" s="26" t="s">
        <v>96</v>
      </c>
      <c r="F27" s="26">
        <v>2036</v>
      </c>
      <c r="G27" s="24" t="s">
        <v>97</v>
      </c>
      <c r="H27" s="27">
        <v>549400</v>
      </c>
      <c r="I27" s="27">
        <f t="shared" si="0"/>
        <v>98892</v>
      </c>
      <c r="J27" s="27">
        <f t="shared" si="1"/>
        <v>648292</v>
      </c>
      <c r="K27" s="27">
        <f t="shared" si="2"/>
        <v>12966</v>
      </c>
      <c r="L27" s="28">
        <f t="shared" si="3"/>
        <v>549.4</v>
      </c>
      <c r="M27" s="28">
        <f t="shared" si="4"/>
        <v>14586.57</v>
      </c>
      <c r="N27" s="29">
        <f t="shared" si="5"/>
        <v>247.23000000000002</v>
      </c>
      <c r="O27" s="28">
        <f t="shared" si="6"/>
        <v>14339.34</v>
      </c>
      <c r="P27" s="28">
        <f t="shared" si="7"/>
        <v>14889</v>
      </c>
      <c r="Q27" s="30">
        <v>0.02</v>
      </c>
      <c r="R27" s="28">
        <f t="shared" si="8"/>
        <v>10988</v>
      </c>
      <c r="S27" s="27">
        <f t="shared" si="9"/>
        <v>635381</v>
      </c>
      <c r="T27" s="28">
        <f t="shared" si="10"/>
        <v>137350</v>
      </c>
      <c r="U27" s="31">
        <v>137350</v>
      </c>
      <c r="V27" s="28" t="s">
        <v>53</v>
      </c>
      <c r="W27" s="28">
        <f t="shared" si="11"/>
        <v>498031</v>
      </c>
      <c r="X27" s="28"/>
      <c r="Y27" s="28">
        <v>0</v>
      </c>
      <c r="Z27" s="28">
        <f t="shared" ca="1" si="12"/>
        <v>19448.760000000002</v>
      </c>
      <c r="AA27" s="28"/>
      <c r="AB27" s="28"/>
      <c r="AC27" s="15">
        <f t="shared" si="13"/>
        <v>137350</v>
      </c>
      <c r="AD27" s="19">
        <f t="shared" si="14"/>
        <v>498031</v>
      </c>
      <c r="AE27" s="20"/>
      <c r="AF27" s="21"/>
      <c r="AG27" s="22"/>
    </row>
    <row r="28" spans="1:33" ht="14.25" customHeight="1" x14ac:dyDescent="0.25">
      <c r="A28" s="23">
        <v>50</v>
      </c>
      <c r="B28" s="24" t="s">
        <v>75</v>
      </c>
      <c r="C28" s="25">
        <v>531</v>
      </c>
      <c r="D28" s="26">
        <v>21978</v>
      </c>
      <c r="E28" s="26" t="s">
        <v>39</v>
      </c>
      <c r="F28" s="26">
        <v>2037</v>
      </c>
      <c r="G28" s="24" t="s">
        <v>91</v>
      </c>
      <c r="H28" s="27">
        <v>26550</v>
      </c>
      <c r="I28" s="27">
        <f t="shared" si="0"/>
        <v>4779</v>
      </c>
      <c r="J28" s="27">
        <f t="shared" si="1"/>
        <v>31329</v>
      </c>
      <c r="K28" s="27">
        <f t="shared" si="2"/>
        <v>627</v>
      </c>
      <c r="L28" s="28">
        <f t="shared" si="3"/>
        <v>26.55</v>
      </c>
      <c r="M28" s="28">
        <f t="shared" si="4"/>
        <v>704.90249999999992</v>
      </c>
      <c r="N28" s="29">
        <f t="shared" si="5"/>
        <v>11.9475</v>
      </c>
      <c r="O28" s="28">
        <f t="shared" si="6"/>
        <v>692.95499999999993</v>
      </c>
      <c r="P28" s="28">
        <f t="shared" si="7"/>
        <v>720</v>
      </c>
      <c r="Q28" s="30">
        <v>0</v>
      </c>
      <c r="R28" s="28">
        <f t="shared" si="8"/>
        <v>0</v>
      </c>
      <c r="S28" s="27">
        <f t="shared" si="9"/>
        <v>31236</v>
      </c>
      <c r="T28" s="28">
        <f t="shared" si="10"/>
        <v>6638</v>
      </c>
      <c r="U28" s="31">
        <v>6638</v>
      </c>
      <c r="V28" s="28" t="s">
        <v>53</v>
      </c>
      <c r="W28" s="28">
        <f t="shared" si="11"/>
        <v>24599</v>
      </c>
      <c r="X28" s="28">
        <v>24598</v>
      </c>
      <c r="Y28" s="28" t="s">
        <v>85</v>
      </c>
      <c r="Z28" s="28">
        <f t="shared" ca="1" si="12"/>
        <v>0</v>
      </c>
      <c r="AA28" s="28"/>
      <c r="AB28" s="28"/>
      <c r="AC28" s="15">
        <f t="shared" si="13"/>
        <v>31236</v>
      </c>
      <c r="AD28" s="19">
        <f t="shared" si="14"/>
        <v>0</v>
      </c>
      <c r="AE28" s="20" t="s">
        <v>98</v>
      </c>
      <c r="AF28" s="21">
        <v>1800003318</v>
      </c>
      <c r="AG28" s="22" t="s">
        <v>43</v>
      </c>
    </row>
    <row r="29" spans="1:33" ht="14.25" customHeight="1" x14ac:dyDescent="0.25">
      <c r="A29" s="23">
        <v>3</v>
      </c>
      <c r="B29" s="24" t="s">
        <v>99</v>
      </c>
      <c r="C29" s="25">
        <v>90002</v>
      </c>
      <c r="D29" s="26">
        <v>21978</v>
      </c>
      <c r="E29" s="26" t="s">
        <v>39</v>
      </c>
      <c r="F29" s="26">
        <v>2040</v>
      </c>
      <c r="G29" s="24" t="s">
        <v>66</v>
      </c>
      <c r="H29" s="27">
        <v>270006</v>
      </c>
      <c r="I29" s="27">
        <f t="shared" si="0"/>
        <v>48601</v>
      </c>
      <c r="J29" s="27">
        <f t="shared" si="1"/>
        <v>318607</v>
      </c>
      <c r="K29" s="27">
        <f t="shared" si="2"/>
        <v>6372</v>
      </c>
      <c r="L29" s="28">
        <f t="shared" si="3"/>
        <v>270.00600000000003</v>
      </c>
      <c r="M29" s="28">
        <f t="shared" si="4"/>
        <v>7168.6593000000003</v>
      </c>
      <c r="N29" s="29">
        <f t="shared" si="5"/>
        <v>121.5027</v>
      </c>
      <c r="O29" s="28">
        <f t="shared" si="6"/>
        <v>7047.1566000000003</v>
      </c>
      <c r="P29" s="28">
        <f t="shared" si="7"/>
        <v>7317</v>
      </c>
      <c r="Q29" s="30">
        <v>0</v>
      </c>
      <c r="R29" s="28">
        <f t="shared" si="8"/>
        <v>0</v>
      </c>
      <c r="S29" s="27">
        <f t="shared" si="9"/>
        <v>317662</v>
      </c>
      <c r="T29" s="28">
        <f t="shared" si="10"/>
        <v>67502</v>
      </c>
      <c r="U29" s="31">
        <v>67502</v>
      </c>
      <c r="V29" s="28" t="s">
        <v>46</v>
      </c>
      <c r="W29" s="28">
        <f t="shared" si="11"/>
        <v>250161</v>
      </c>
      <c r="X29" s="28"/>
      <c r="Y29" s="28">
        <v>0</v>
      </c>
      <c r="Z29" s="28">
        <f t="shared" ca="1" si="12"/>
        <v>9558.2124000000003</v>
      </c>
      <c r="AA29" s="28"/>
      <c r="AB29" s="28"/>
      <c r="AC29" s="15">
        <f t="shared" si="13"/>
        <v>67502</v>
      </c>
      <c r="AD29" s="19">
        <f t="shared" si="14"/>
        <v>250160</v>
      </c>
      <c r="AE29" s="20"/>
      <c r="AF29" s="21"/>
      <c r="AG29" s="22"/>
    </row>
    <row r="30" spans="1:33" ht="14.25" customHeight="1" x14ac:dyDescent="0.25">
      <c r="A30" s="23">
        <v>5</v>
      </c>
      <c r="B30" s="24" t="s">
        <v>59</v>
      </c>
      <c r="C30" s="25">
        <v>80000</v>
      </c>
      <c r="D30" s="26">
        <v>21979</v>
      </c>
      <c r="E30" s="26" t="s">
        <v>39</v>
      </c>
      <c r="F30" s="26">
        <v>2043</v>
      </c>
      <c r="G30" s="24" t="s">
        <v>40</v>
      </c>
      <c r="H30" s="27">
        <v>400000</v>
      </c>
      <c r="I30" s="27">
        <f t="shared" si="0"/>
        <v>72000</v>
      </c>
      <c r="J30" s="27">
        <f t="shared" si="1"/>
        <v>472000</v>
      </c>
      <c r="K30" s="27">
        <f t="shared" si="2"/>
        <v>9440</v>
      </c>
      <c r="L30" s="28">
        <f t="shared" si="3"/>
        <v>400</v>
      </c>
      <c r="M30" s="28">
        <f t="shared" si="4"/>
        <v>10620</v>
      </c>
      <c r="N30" s="29">
        <f t="shared" si="5"/>
        <v>180</v>
      </c>
      <c r="O30" s="28">
        <f t="shared" si="6"/>
        <v>10440</v>
      </c>
      <c r="P30" s="28">
        <f t="shared" si="7"/>
        <v>10840</v>
      </c>
      <c r="Q30" s="30">
        <v>0</v>
      </c>
      <c r="R30" s="28">
        <f t="shared" si="8"/>
        <v>0</v>
      </c>
      <c r="S30" s="27">
        <f t="shared" si="9"/>
        <v>470600</v>
      </c>
      <c r="T30" s="28">
        <f t="shared" si="10"/>
        <v>100000</v>
      </c>
      <c r="U30" s="31">
        <f>+T30</f>
        <v>100000</v>
      </c>
      <c r="V30" s="28" t="s">
        <v>41</v>
      </c>
      <c r="W30" s="28">
        <f t="shared" si="11"/>
        <v>370600</v>
      </c>
      <c r="X30" s="28">
        <v>370600</v>
      </c>
      <c r="Y30" s="28" t="s">
        <v>35</v>
      </c>
      <c r="Z30" s="28">
        <f t="shared" ca="1" si="12"/>
        <v>0</v>
      </c>
      <c r="AA30" s="28"/>
      <c r="AB30" s="28"/>
      <c r="AC30" s="15">
        <f t="shared" si="13"/>
        <v>470600</v>
      </c>
      <c r="AD30" s="19">
        <f t="shared" si="14"/>
        <v>0</v>
      </c>
      <c r="AE30" s="20" t="s">
        <v>100</v>
      </c>
      <c r="AF30" s="21">
        <v>1800003311</v>
      </c>
      <c r="AG30" s="22" t="s">
        <v>43</v>
      </c>
    </row>
    <row r="31" spans="1:33" ht="14.25" customHeight="1" x14ac:dyDescent="0.25">
      <c r="A31" s="23">
        <v>670</v>
      </c>
      <c r="B31" s="24" t="s">
        <v>101</v>
      </c>
      <c r="C31" s="25">
        <v>309</v>
      </c>
      <c r="D31" s="26">
        <v>21979</v>
      </c>
      <c r="E31" s="26" t="s">
        <v>33</v>
      </c>
      <c r="F31" s="26">
        <v>2046</v>
      </c>
      <c r="G31" s="24" t="s">
        <v>102</v>
      </c>
      <c r="H31" s="27">
        <v>207030</v>
      </c>
      <c r="I31" s="27">
        <f t="shared" si="0"/>
        <v>37265</v>
      </c>
      <c r="J31" s="27">
        <f t="shared" si="1"/>
        <v>244295</v>
      </c>
      <c r="K31" s="27">
        <f t="shared" si="2"/>
        <v>4886</v>
      </c>
      <c r="L31" s="28">
        <f t="shared" si="3"/>
        <v>207.03</v>
      </c>
      <c r="M31" s="28">
        <f t="shared" si="4"/>
        <v>5496.6464999999998</v>
      </c>
      <c r="N31" s="29">
        <f t="shared" si="5"/>
        <v>93.163499999999999</v>
      </c>
      <c r="O31" s="28">
        <f t="shared" si="6"/>
        <v>5403.4830000000002</v>
      </c>
      <c r="P31" s="28">
        <f t="shared" si="7"/>
        <v>5611</v>
      </c>
      <c r="Q31" s="30">
        <v>0</v>
      </c>
      <c r="R31" s="28">
        <f t="shared" si="8"/>
        <v>0</v>
      </c>
      <c r="S31" s="27">
        <f t="shared" si="9"/>
        <v>243571</v>
      </c>
      <c r="T31" s="28">
        <f t="shared" si="10"/>
        <v>51758</v>
      </c>
      <c r="U31" s="31">
        <v>51758</v>
      </c>
      <c r="V31" s="28" t="s">
        <v>46</v>
      </c>
      <c r="W31" s="28">
        <f t="shared" si="11"/>
        <v>191813</v>
      </c>
      <c r="X31" s="28">
        <v>191812</v>
      </c>
      <c r="Y31" s="28" t="s">
        <v>85</v>
      </c>
      <c r="Z31" s="28">
        <f t="shared" ca="1" si="12"/>
        <v>0</v>
      </c>
      <c r="AA31" s="28"/>
      <c r="AB31" s="28"/>
      <c r="AC31" s="15">
        <f t="shared" si="13"/>
        <v>243570</v>
      </c>
      <c r="AD31" s="19">
        <f t="shared" si="14"/>
        <v>1</v>
      </c>
      <c r="AE31" s="20" t="s">
        <v>103</v>
      </c>
      <c r="AF31" s="21">
        <v>1800003316</v>
      </c>
      <c r="AG31" s="22" t="s">
        <v>43</v>
      </c>
    </row>
    <row r="32" spans="1:33" ht="14.25" customHeight="1" x14ac:dyDescent="0.25">
      <c r="A32" s="23">
        <v>2</v>
      </c>
      <c r="B32" s="24" t="s">
        <v>104</v>
      </c>
      <c r="C32" s="25">
        <v>80006</v>
      </c>
      <c r="D32" s="26">
        <v>21979</v>
      </c>
      <c r="E32" s="26" t="s">
        <v>39</v>
      </c>
      <c r="F32" s="26">
        <v>2055</v>
      </c>
      <c r="G32" s="24" t="s">
        <v>40</v>
      </c>
      <c r="H32" s="27">
        <v>160012</v>
      </c>
      <c r="I32" s="27">
        <f t="shared" si="0"/>
        <v>28802</v>
      </c>
      <c r="J32" s="27">
        <f t="shared" si="1"/>
        <v>188814</v>
      </c>
      <c r="K32" s="27">
        <f t="shared" si="2"/>
        <v>3776</v>
      </c>
      <c r="L32" s="28">
        <f t="shared" si="3"/>
        <v>160.012</v>
      </c>
      <c r="M32" s="28">
        <f t="shared" si="4"/>
        <v>4248.3185999999996</v>
      </c>
      <c r="N32" s="29">
        <f t="shared" si="5"/>
        <v>72.005399999999995</v>
      </c>
      <c r="O32" s="28">
        <f t="shared" si="6"/>
        <v>4176.3131999999996</v>
      </c>
      <c r="P32" s="28">
        <f t="shared" si="7"/>
        <v>4336</v>
      </c>
      <c r="Q32" s="30">
        <v>0</v>
      </c>
      <c r="R32" s="28">
        <f t="shared" si="8"/>
        <v>0</v>
      </c>
      <c r="S32" s="27">
        <f t="shared" si="9"/>
        <v>188254</v>
      </c>
      <c r="T32" s="28">
        <f t="shared" si="10"/>
        <v>40003</v>
      </c>
      <c r="U32" s="31">
        <f>+T32</f>
        <v>40003</v>
      </c>
      <c r="V32" s="28" t="s">
        <v>41</v>
      </c>
      <c r="W32" s="28">
        <f t="shared" si="11"/>
        <v>148251</v>
      </c>
      <c r="X32" s="28">
        <v>148251</v>
      </c>
      <c r="Y32" s="28" t="s">
        <v>35</v>
      </c>
      <c r="Z32" s="28">
        <f t="shared" ca="1" si="12"/>
        <v>0</v>
      </c>
      <c r="AA32" s="28"/>
      <c r="AB32" s="28"/>
      <c r="AC32" s="15">
        <f t="shared" si="13"/>
        <v>188254</v>
      </c>
      <c r="AD32" s="19">
        <f t="shared" si="14"/>
        <v>0</v>
      </c>
      <c r="AE32" s="20" t="s">
        <v>105</v>
      </c>
      <c r="AF32" s="21">
        <v>1800003312</v>
      </c>
      <c r="AG32" s="22" t="s">
        <v>43</v>
      </c>
    </row>
    <row r="33" spans="1:33" ht="14.25" customHeight="1" x14ac:dyDescent="0.25">
      <c r="A33" s="23">
        <v>1</v>
      </c>
      <c r="B33" s="24" t="s">
        <v>106</v>
      </c>
      <c r="C33" s="25">
        <v>29502</v>
      </c>
      <c r="D33" s="26">
        <v>21979</v>
      </c>
      <c r="E33" s="26" t="s">
        <v>39</v>
      </c>
      <c r="F33" s="26">
        <v>2059</v>
      </c>
      <c r="G33" s="24" t="s">
        <v>40</v>
      </c>
      <c r="H33" s="27">
        <v>29502</v>
      </c>
      <c r="I33" s="27">
        <f t="shared" si="0"/>
        <v>5310</v>
      </c>
      <c r="J33" s="27">
        <f t="shared" si="1"/>
        <v>34812</v>
      </c>
      <c r="K33" s="27">
        <f t="shared" si="2"/>
        <v>696</v>
      </c>
      <c r="L33" s="28">
        <f t="shared" si="3"/>
        <v>29.501999999999999</v>
      </c>
      <c r="M33" s="28">
        <f t="shared" si="4"/>
        <v>783.27809999999988</v>
      </c>
      <c r="N33" s="29">
        <f t="shared" si="5"/>
        <v>13.2759</v>
      </c>
      <c r="O33" s="28">
        <f t="shared" si="6"/>
        <v>770.0021999999999</v>
      </c>
      <c r="P33" s="28">
        <f t="shared" si="7"/>
        <v>800</v>
      </c>
      <c r="Q33" s="30">
        <v>0</v>
      </c>
      <c r="R33" s="28">
        <f t="shared" si="8"/>
        <v>0</v>
      </c>
      <c r="S33" s="27">
        <f t="shared" si="9"/>
        <v>34709</v>
      </c>
      <c r="T33" s="28">
        <f t="shared" si="10"/>
        <v>7376</v>
      </c>
      <c r="U33" s="31">
        <f>+T33</f>
        <v>7376</v>
      </c>
      <c r="V33" s="28" t="s">
        <v>41</v>
      </c>
      <c r="W33" s="28">
        <f t="shared" si="11"/>
        <v>27334</v>
      </c>
      <c r="X33" s="28">
        <v>27332</v>
      </c>
      <c r="Y33" s="28" t="s">
        <v>35</v>
      </c>
      <c r="Z33" s="28">
        <f t="shared" ca="1" si="12"/>
        <v>0</v>
      </c>
      <c r="AA33" s="28"/>
      <c r="AB33" s="28"/>
      <c r="AC33" s="15">
        <f t="shared" si="13"/>
        <v>34708</v>
      </c>
      <c r="AD33" s="19">
        <f t="shared" si="14"/>
        <v>1</v>
      </c>
      <c r="AE33" s="20" t="s">
        <v>107</v>
      </c>
      <c r="AF33" s="21">
        <v>1800003313</v>
      </c>
      <c r="AG33" s="22" t="s">
        <v>43</v>
      </c>
    </row>
    <row r="34" spans="1:33" ht="14.25" customHeight="1" x14ac:dyDescent="0.25">
      <c r="A34" s="23">
        <v>30</v>
      </c>
      <c r="B34" s="24" t="s">
        <v>108</v>
      </c>
      <c r="C34" s="25">
        <v>702</v>
      </c>
      <c r="D34" s="26">
        <v>21979</v>
      </c>
      <c r="E34" s="26" t="s">
        <v>39</v>
      </c>
      <c r="F34" s="26">
        <v>2062</v>
      </c>
      <c r="G34" s="24" t="s">
        <v>66</v>
      </c>
      <c r="H34" s="27">
        <v>21060</v>
      </c>
      <c r="I34" s="27">
        <f t="shared" si="0"/>
        <v>3791</v>
      </c>
      <c r="J34" s="27">
        <f t="shared" si="1"/>
        <v>24851</v>
      </c>
      <c r="K34" s="27">
        <f t="shared" si="2"/>
        <v>497</v>
      </c>
      <c r="L34" s="28">
        <f t="shared" si="3"/>
        <v>21.06</v>
      </c>
      <c r="M34" s="28">
        <f t="shared" si="4"/>
        <v>559.14299999999992</v>
      </c>
      <c r="N34" s="29">
        <f t="shared" si="5"/>
        <v>9.4770000000000003</v>
      </c>
      <c r="O34" s="28">
        <f t="shared" si="6"/>
        <v>549.66599999999994</v>
      </c>
      <c r="P34" s="28">
        <f t="shared" si="7"/>
        <v>571</v>
      </c>
      <c r="Q34" s="30">
        <v>0</v>
      </c>
      <c r="R34" s="28">
        <f t="shared" si="8"/>
        <v>0</v>
      </c>
      <c r="S34" s="27">
        <f t="shared" si="9"/>
        <v>24777</v>
      </c>
      <c r="T34" s="28">
        <f t="shared" si="10"/>
        <v>5265</v>
      </c>
      <c r="U34" s="31">
        <v>5265</v>
      </c>
      <c r="V34" s="28" t="s">
        <v>46</v>
      </c>
      <c r="W34" s="28">
        <f t="shared" si="11"/>
        <v>19512</v>
      </c>
      <c r="X34" s="28">
        <v>19512</v>
      </c>
      <c r="Y34" s="28" t="s">
        <v>46</v>
      </c>
      <c r="Z34" s="28">
        <f t="shared" ca="1" si="12"/>
        <v>0</v>
      </c>
      <c r="AA34" s="28"/>
      <c r="AB34" s="28"/>
      <c r="AC34" s="15">
        <f t="shared" si="13"/>
        <v>24777</v>
      </c>
      <c r="AD34" s="19">
        <f t="shared" si="14"/>
        <v>0</v>
      </c>
      <c r="AE34" s="20" t="s">
        <v>109</v>
      </c>
      <c r="AF34" s="21">
        <v>1800003161</v>
      </c>
      <c r="AG34" s="22" t="s">
        <v>53</v>
      </c>
    </row>
    <row r="35" spans="1:33" ht="14.25" customHeight="1" x14ac:dyDescent="0.25">
      <c r="A35" s="23">
        <v>150</v>
      </c>
      <c r="B35" s="24" t="s">
        <v>65</v>
      </c>
      <c r="C35" s="25">
        <v>571</v>
      </c>
      <c r="D35" s="26">
        <v>21980</v>
      </c>
      <c r="E35" s="26" t="s">
        <v>39</v>
      </c>
      <c r="F35" s="26">
        <v>2067</v>
      </c>
      <c r="G35" s="24" t="s">
        <v>91</v>
      </c>
      <c r="H35" s="27">
        <v>85650</v>
      </c>
      <c r="I35" s="27">
        <f t="shared" si="0"/>
        <v>15417</v>
      </c>
      <c r="J35" s="27">
        <f t="shared" si="1"/>
        <v>101067</v>
      </c>
      <c r="K35" s="27">
        <f t="shared" si="2"/>
        <v>2021</v>
      </c>
      <c r="L35" s="28">
        <f t="shared" si="3"/>
        <v>85.65</v>
      </c>
      <c r="M35" s="28">
        <f t="shared" si="4"/>
        <v>2274.0074999999997</v>
      </c>
      <c r="N35" s="29">
        <f t="shared" si="5"/>
        <v>38.542500000000004</v>
      </c>
      <c r="O35" s="28">
        <f t="shared" si="6"/>
        <v>2235.4649999999997</v>
      </c>
      <c r="P35" s="28">
        <f t="shared" si="7"/>
        <v>2321</v>
      </c>
      <c r="Q35" s="30">
        <v>0</v>
      </c>
      <c r="R35" s="28">
        <f t="shared" si="8"/>
        <v>0</v>
      </c>
      <c r="S35" s="27">
        <f t="shared" si="9"/>
        <v>100767</v>
      </c>
      <c r="T35" s="28">
        <f t="shared" si="10"/>
        <v>21413</v>
      </c>
      <c r="U35" s="31">
        <v>21413</v>
      </c>
      <c r="V35" s="28" t="s">
        <v>53</v>
      </c>
      <c r="W35" s="28">
        <f t="shared" si="11"/>
        <v>79355</v>
      </c>
      <c r="X35" s="28">
        <v>79354</v>
      </c>
      <c r="Y35" s="28" t="s">
        <v>47</v>
      </c>
      <c r="Z35" s="28">
        <f t="shared" ca="1" si="12"/>
        <v>0</v>
      </c>
      <c r="AA35" s="28"/>
      <c r="AB35" s="28"/>
      <c r="AC35" s="15">
        <f t="shared" si="13"/>
        <v>100767</v>
      </c>
      <c r="AD35" s="19">
        <f t="shared" si="14"/>
        <v>0</v>
      </c>
      <c r="AE35" s="20" t="s">
        <v>110</v>
      </c>
      <c r="AF35" s="21">
        <v>1800003248</v>
      </c>
      <c r="AG35" s="22" t="s">
        <v>47</v>
      </c>
    </row>
    <row r="36" spans="1:33" ht="14.25" customHeight="1" x14ac:dyDescent="0.25">
      <c r="A36" s="23">
        <v>1</v>
      </c>
      <c r="B36" s="24" t="s">
        <v>111</v>
      </c>
      <c r="C36" s="25">
        <v>54000</v>
      </c>
      <c r="D36" s="26">
        <v>21980</v>
      </c>
      <c r="E36" s="26" t="s">
        <v>39</v>
      </c>
      <c r="F36" s="26">
        <v>2069</v>
      </c>
      <c r="G36" s="24" t="s">
        <v>66</v>
      </c>
      <c r="H36" s="27">
        <v>54000</v>
      </c>
      <c r="I36" s="27">
        <f t="shared" si="0"/>
        <v>9720</v>
      </c>
      <c r="J36" s="27">
        <f t="shared" si="1"/>
        <v>63720</v>
      </c>
      <c r="K36" s="27">
        <f t="shared" si="2"/>
        <v>1274</v>
      </c>
      <c r="L36" s="28">
        <f t="shared" si="3"/>
        <v>54</v>
      </c>
      <c r="M36" s="28">
        <f t="shared" si="4"/>
        <v>1433.6999999999998</v>
      </c>
      <c r="N36" s="29">
        <f t="shared" si="5"/>
        <v>24.3</v>
      </c>
      <c r="O36" s="28">
        <f t="shared" si="6"/>
        <v>1409.3999999999999</v>
      </c>
      <c r="P36" s="28">
        <f t="shared" si="7"/>
        <v>1463</v>
      </c>
      <c r="Q36" s="30">
        <v>0</v>
      </c>
      <c r="R36" s="28">
        <f t="shared" si="8"/>
        <v>0</v>
      </c>
      <c r="S36" s="27">
        <f t="shared" si="9"/>
        <v>63531</v>
      </c>
      <c r="T36" s="28">
        <f t="shared" si="10"/>
        <v>13500</v>
      </c>
      <c r="U36" s="31">
        <v>13500</v>
      </c>
      <c r="V36" s="28" t="s">
        <v>46</v>
      </c>
      <c r="W36" s="28">
        <f t="shared" si="11"/>
        <v>50031</v>
      </c>
      <c r="X36" s="28"/>
      <c r="Y36" s="28">
        <v>0</v>
      </c>
      <c r="Z36" s="28">
        <f t="shared" ca="1" si="12"/>
        <v>1911.6</v>
      </c>
      <c r="AA36" s="28"/>
      <c r="AB36" s="28"/>
      <c r="AC36" s="15">
        <f t="shared" si="13"/>
        <v>13500</v>
      </c>
      <c r="AD36" s="19">
        <f t="shared" si="14"/>
        <v>50031</v>
      </c>
      <c r="AE36" s="20"/>
      <c r="AF36" s="21"/>
      <c r="AG36" s="22"/>
    </row>
    <row r="37" spans="1:33" ht="14.25" customHeight="1" x14ac:dyDescent="0.25">
      <c r="A37" s="23">
        <v>3</v>
      </c>
      <c r="B37" s="24" t="s">
        <v>112</v>
      </c>
      <c r="C37" s="25">
        <v>25001</v>
      </c>
      <c r="D37" s="26">
        <v>21980</v>
      </c>
      <c r="E37" s="26" t="s">
        <v>39</v>
      </c>
      <c r="F37" s="26">
        <v>2071</v>
      </c>
      <c r="G37" s="24" t="s">
        <v>40</v>
      </c>
      <c r="H37" s="27">
        <v>75003</v>
      </c>
      <c r="I37" s="27">
        <f t="shared" si="0"/>
        <v>13501</v>
      </c>
      <c r="J37" s="27">
        <f t="shared" si="1"/>
        <v>88504</v>
      </c>
      <c r="K37" s="27">
        <f t="shared" si="2"/>
        <v>1770</v>
      </c>
      <c r="L37" s="28">
        <f t="shared" si="3"/>
        <v>75.003</v>
      </c>
      <c r="M37" s="28">
        <f t="shared" si="4"/>
        <v>1991.3296499999997</v>
      </c>
      <c r="N37" s="29">
        <f t="shared" si="5"/>
        <v>33.751349999999995</v>
      </c>
      <c r="O37" s="28">
        <f t="shared" si="6"/>
        <v>1957.5782999999997</v>
      </c>
      <c r="P37" s="28">
        <f t="shared" si="7"/>
        <v>2033</v>
      </c>
      <c r="Q37" s="30">
        <v>0</v>
      </c>
      <c r="R37" s="28">
        <f t="shared" si="8"/>
        <v>0</v>
      </c>
      <c r="S37" s="27">
        <f t="shared" si="9"/>
        <v>88241</v>
      </c>
      <c r="T37" s="28">
        <f t="shared" si="10"/>
        <v>18751</v>
      </c>
      <c r="U37" s="31">
        <f>+T37</f>
        <v>18751</v>
      </c>
      <c r="V37" s="28" t="s">
        <v>41</v>
      </c>
      <c r="W37" s="28">
        <f t="shared" si="11"/>
        <v>69490</v>
      </c>
      <c r="X37" s="28">
        <v>69491</v>
      </c>
      <c r="Y37" s="28" t="s">
        <v>35</v>
      </c>
      <c r="Z37" s="28">
        <f t="shared" ca="1" si="12"/>
        <v>0</v>
      </c>
      <c r="AA37" s="28"/>
      <c r="AB37" s="28"/>
      <c r="AC37" s="15">
        <f t="shared" si="13"/>
        <v>88242</v>
      </c>
      <c r="AD37" s="19">
        <f t="shared" si="14"/>
        <v>-1</v>
      </c>
      <c r="AE37" s="20" t="s">
        <v>113</v>
      </c>
      <c r="AF37" s="21">
        <v>1800003314</v>
      </c>
      <c r="AG37" s="22" t="s">
        <v>43</v>
      </c>
    </row>
    <row r="38" spans="1:33" ht="14.25" customHeight="1" x14ac:dyDescent="0.25">
      <c r="A38" s="23">
        <v>3</v>
      </c>
      <c r="B38" s="24" t="s">
        <v>59</v>
      </c>
      <c r="C38" s="25">
        <v>70001</v>
      </c>
      <c r="D38" s="26">
        <v>21980</v>
      </c>
      <c r="E38" s="26" t="s">
        <v>39</v>
      </c>
      <c r="F38" s="26">
        <v>2086</v>
      </c>
      <c r="G38" s="24" t="s">
        <v>114</v>
      </c>
      <c r="H38" s="27">
        <v>210003</v>
      </c>
      <c r="I38" s="27">
        <f t="shared" si="0"/>
        <v>37801</v>
      </c>
      <c r="J38" s="27">
        <f t="shared" si="1"/>
        <v>247804</v>
      </c>
      <c r="K38" s="27">
        <f t="shared" si="2"/>
        <v>4956</v>
      </c>
      <c r="L38" s="28">
        <f t="shared" si="3"/>
        <v>210.00300000000001</v>
      </c>
      <c r="M38" s="28">
        <f t="shared" si="4"/>
        <v>5575.5796499999997</v>
      </c>
      <c r="N38" s="29">
        <f t="shared" si="5"/>
        <v>94.501350000000002</v>
      </c>
      <c r="O38" s="28">
        <f t="shared" si="6"/>
        <v>5481.0782999999992</v>
      </c>
      <c r="P38" s="28">
        <f t="shared" si="7"/>
        <v>5691</v>
      </c>
      <c r="Q38" s="30">
        <v>0</v>
      </c>
      <c r="R38" s="28">
        <f t="shared" si="8"/>
        <v>0</v>
      </c>
      <c r="S38" s="27">
        <f t="shared" si="9"/>
        <v>247069</v>
      </c>
      <c r="T38" s="28">
        <f t="shared" si="10"/>
        <v>52501</v>
      </c>
      <c r="U38" s="31">
        <v>52501</v>
      </c>
      <c r="V38" s="28" t="s">
        <v>58</v>
      </c>
      <c r="W38" s="28">
        <f t="shared" si="11"/>
        <v>194568</v>
      </c>
      <c r="X38" s="28">
        <v>194568</v>
      </c>
      <c r="Y38" s="28" t="s">
        <v>58</v>
      </c>
      <c r="Z38" s="28">
        <f t="shared" ca="1" si="12"/>
        <v>0</v>
      </c>
      <c r="AA38" s="28"/>
      <c r="AB38" s="28"/>
      <c r="AC38" s="15">
        <f t="shared" si="13"/>
        <v>247069</v>
      </c>
      <c r="AD38" s="19">
        <f t="shared" si="14"/>
        <v>0</v>
      </c>
      <c r="AE38" s="20" t="s">
        <v>115</v>
      </c>
      <c r="AF38" s="21">
        <v>1800003226</v>
      </c>
      <c r="AG38" s="22" t="s">
        <v>116</v>
      </c>
    </row>
    <row r="39" spans="1:33" ht="14.25" customHeight="1" x14ac:dyDescent="0.25">
      <c r="A39" s="23">
        <v>2</v>
      </c>
      <c r="B39" s="24" t="s">
        <v>117</v>
      </c>
      <c r="C39" s="25">
        <v>15006</v>
      </c>
      <c r="D39" s="26">
        <v>21980</v>
      </c>
      <c r="E39" s="26" t="s">
        <v>39</v>
      </c>
      <c r="F39" s="26">
        <v>2089</v>
      </c>
      <c r="G39" s="24" t="s">
        <v>118</v>
      </c>
      <c r="H39" s="27">
        <v>30012</v>
      </c>
      <c r="I39" s="27">
        <f t="shared" si="0"/>
        <v>5402</v>
      </c>
      <c r="J39" s="27">
        <f t="shared" si="1"/>
        <v>35414</v>
      </c>
      <c r="K39" s="27">
        <f t="shared" si="2"/>
        <v>708</v>
      </c>
      <c r="L39" s="28">
        <f t="shared" si="3"/>
        <v>30.012</v>
      </c>
      <c r="M39" s="28">
        <f t="shared" si="4"/>
        <v>796.81859999999995</v>
      </c>
      <c r="N39" s="29">
        <f t="shared" si="5"/>
        <v>13.5054</v>
      </c>
      <c r="O39" s="28">
        <f t="shared" si="6"/>
        <v>783.31319999999994</v>
      </c>
      <c r="P39" s="28">
        <f t="shared" si="7"/>
        <v>813</v>
      </c>
      <c r="Q39" s="30">
        <v>0</v>
      </c>
      <c r="R39" s="28">
        <f t="shared" si="8"/>
        <v>0</v>
      </c>
      <c r="S39" s="27">
        <f t="shared" si="9"/>
        <v>35309</v>
      </c>
      <c r="T39" s="28">
        <f t="shared" si="10"/>
        <v>7503</v>
      </c>
      <c r="U39" s="31">
        <v>7503</v>
      </c>
      <c r="V39" s="28" t="s">
        <v>53</v>
      </c>
      <c r="W39" s="28">
        <f t="shared" si="11"/>
        <v>27806</v>
      </c>
      <c r="X39" s="28">
        <v>27806</v>
      </c>
      <c r="Y39" s="28" t="s">
        <v>119</v>
      </c>
      <c r="Z39" s="28">
        <f t="shared" ca="1" si="12"/>
        <v>708.28319999999997</v>
      </c>
      <c r="AA39" s="28">
        <v>708</v>
      </c>
      <c r="AB39" s="28" t="s">
        <v>119</v>
      </c>
      <c r="AC39" s="15">
        <f t="shared" si="13"/>
        <v>36017</v>
      </c>
      <c r="AD39" s="19">
        <f t="shared" si="14"/>
        <v>-708</v>
      </c>
      <c r="AE39" s="20"/>
      <c r="AF39" s="21"/>
      <c r="AG39" s="22"/>
    </row>
    <row r="40" spans="1:33" ht="15" customHeight="1" x14ac:dyDescent="0.25">
      <c r="A40" s="32">
        <v>3</v>
      </c>
      <c r="B40" s="33" t="s">
        <v>59</v>
      </c>
      <c r="C40" s="34">
        <v>40003</v>
      </c>
      <c r="D40" s="35">
        <v>21980</v>
      </c>
      <c r="E40" s="35" t="s">
        <v>39</v>
      </c>
      <c r="F40" s="35">
        <v>2091</v>
      </c>
      <c r="G40" s="33" t="s">
        <v>118</v>
      </c>
      <c r="H40" s="36">
        <v>120009</v>
      </c>
      <c r="I40" s="36">
        <f t="shared" si="0"/>
        <v>21602</v>
      </c>
      <c r="J40" s="36">
        <f t="shared" si="1"/>
        <v>141611</v>
      </c>
      <c r="K40" s="36">
        <f t="shared" si="2"/>
        <v>2832</v>
      </c>
      <c r="L40" s="37">
        <f t="shared" si="3"/>
        <v>120.009</v>
      </c>
      <c r="M40" s="37">
        <f t="shared" si="4"/>
        <v>3186.2389499999995</v>
      </c>
      <c r="N40" s="38">
        <f t="shared" si="5"/>
        <v>54.004049999999999</v>
      </c>
      <c r="O40" s="37">
        <f t="shared" si="6"/>
        <v>3132.2348999999995</v>
      </c>
      <c r="P40" s="37">
        <f t="shared" si="7"/>
        <v>3252</v>
      </c>
      <c r="Q40" s="39">
        <v>0</v>
      </c>
      <c r="R40" s="37">
        <f t="shared" si="8"/>
        <v>0</v>
      </c>
      <c r="S40" s="36">
        <f t="shared" si="9"/>
        <v>141191</v>
      </c>
      <c r="T40" s="37">
        <f t="shared" si="10"/>
        <v>30002</v>
      </c>
      <c r="U40" s="40">
        <v>30002</v>
      </c>
      <c r="V40" s="37" t="s">
        <v>53</v>
      </c>
      <c r="W40" s="37">
        <f t="shared" si="11"/>
        <v>111188</v>
      </c>
      <c r="X40" s="37">
        <v>111189</v>
      </c>
      <c r="Y40" s="37" t="s">
        <v>119</v>
      </c>
      <c r="Z40" s="37">
        <f t="shared" ca="1" si="12"/>
        <v>2832.2123999999999</v>
      </c>
      <c r="AA40" s="37">
        <v>2832</v>
      </c>
      <c r="AB40" s="37" t="s">
        <v>119</v>
      </c>
      <c r="AC40" s="15">
        <f t="shared" si="13"/>
        <v>144023</v>
      </c>
      <c r="AD40" s="19">
        <f t="shared" si="14"/>
        <v>-2832</v>
      </c>
      <c r="AE40" s="20"/>
      <c r="AF40" s="21"/>
      <c r="AG40" s="22"/>
    </row>
    <row r="41" spans="1:33" ht="14.25" customHeight="1" x14ac:dyDescent="0.25">
      <c r="A41" s="41"/>
      <c r="B41" s="42"/>
      <c r="C41" s="42"/>
      <c r="D41" s="42"/>
      <c r="E41" s="42"/>
      <c r="F41" s="42"/>
      <c r="G41" s="42"/>
      <c r="H41" s="43">
        <f t="shared" ref="H41:P41" si="15">SUM(H4:H40)</f>
        <v>15130598</v>
      </c>
      <c r="I41" s="43">
        <f t="shared" si="15"/>
        <v>2723508</v>
      </c>
      <c r="J41" s="43">
        <f t="shared" si="15"/>
        <v>17854106</v>
      </c>
      <c r="K41" s="43">
        <f t="shared" si="15"/>
        <v>357082</v>
      </c>
      <c r="L41" s="43">
        <f t="shared" si="15"/>
        <v>15130.598000000002</v>
      </c>
      <c r="M41" s="43">
        <f t="shared" si="15"/>
        <v>401717.37689999992</v>
      </c>
      <c r="N41" s="43">
        <f t="shared" si="15"/>
        <v>6808.7690999999977</v>
      </c>
      <c r="O41" s="43">
        <f t="shared" si="15"/>
        <v>394908.6078</v>
      </c>
      <c r="P41" s="43">
        <f t="shared" si="15"/>
        <v>410039</v>
      </c>
      <c r="Q41" s="44"/>
      <c r="R41" s="44">
        <f>SUM(R4:R40)</f>
        <v>83029</v>
      </c>
      <c r="S41" s="43">
        <f>SUM(S4:S40)</f>
        <v>17718123</v>
      </c>
      <c r="T41" s="43">
        <f>SUM(T4:T40)</f>
        <v>3782654</v>
      </c>
      <c r="U41" s="43">
        <f>SUM(U4:U40)</f>
        <v>3782654</v>
      </c>
      <c r="V41" s="44"/>
      <c r="W41" s="43">
        <f>SUM(W4:W40)</f>
        <v>13935473</v>
      </c>
      <c r="X41" s="43">
        <f>SUM(X4:X40)</f>
        <v>13137293</v>
      </c>
      <c r="Y41" s="44"/>
      <c r="Z41" s="44">
        <f ca="1">SUM(Z4:Z40)</f>
        <v>34459.067999999999</v>
      </c>
      <c r="AA41" s="44">
        <f>SUM(AA4:AA40)</f>
        <v>3540</v>
      </c>
      <c r="AB41" s="44"/>
      <c r="AC41" s="44">
        <f>SUM(AC4:AC40)</f>
        <v>16923487</v>
      </c>
      <c r="AD41" s="43">
        <f>SUM(AD4:AD40)</f>
        <v>794636.00000000047</v>
      </c>
      <c r="AE41" s="42"/>
      <c r="AF41" s="42"/>
      <c r="AG41" s="45"/>
    </row>
    <row r="42" spans="1:33" ht="15" customHeight="1" x14ac:dyDescent="0.25">
      <c r="A42" s="46"/>
      <c r="B42" s="47"/>
      <c r="C42" s="47"/>
      <c r="D42" s="47"/>
      <c r="E42" s="47"/>
      <c r="F42" s="47"/>
      <c r="G42" s="47"/>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c r="R42" s="49">
        <f>+R41</f>
        <v>83029</v>
      </c>
      <c r="S42" s="48">
        <f>H42*117.65%-R42</f>
        <v>17718119.547000002</v>
      </c>
      <c r="T42" s="51"/>
      <c r="U42" s="51">
        <f>+T41-U41</f>
        <v>0</v>
      </c>
      <c r="V42" s="52"/>
      <c r="W42" s="53"/>
      <c r="X42" s="53">
        <f>+W41-X41</f>
        <v>798180</v>
      </c>
      <c r="Y42" s="52"/>
      <c r="Z42" s="52"/>
      <c r="AA42" s="52"/>
      <c r="AB42" s="52"/>
      <c r="AC42" s="52"/>
      <c r="AD42" s="52"/>
      <c r="AE42" s="47"/>
      <c r="AF42" s="47"/>
      <c r="AG42" s="54"/>
    </row>
    <row r="43" spans="1:33" ht="14.25" customHeight="1" x14ac:dyDescent="0.25">
      <c r="I43" s="55"/>
      <c r="J43" s="55"/>
      <c r="U43" s="56" t="s">
        <v>120</v>
      </c>
      <c r="X43" s="57" t="s">
        <v>121</v>
      </c>
    </row>
    <row r="44" spans="1:33" ht="14.25" customHeight="1" x14ac:dyDescent="0.25">
      <c r="U44" s="58"/>
    </row>
    <row r="46" spans="1:33" ht="14.25" customHeight="1" x14ac:dyDescent="0.25">
      <c r="K46" s="55"/>
    </row>
  </sheetData>
  <autoFilter ref="A3:AG43" xr:uid="{00000000-0009-0000-0000-000000000000}">
    <sortState ref="A4:AG43">
      <sortCondition ref="A4:A43"/>
    </sortState>
  </autoFilter>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F0"/>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defaultColWidth="8.7109375" defaultRowHeight="15" outlineLevelCol="1" x14ac:dyDescent="0.25"/>
  <cols>
    <col min="1" max="1" width="14.85546875" customWidth="1"/>
    <col min="2" max="2" width="10" customWidth="1"/>
    <col min="3" max="3" width="30" customWidth="1"/>
    <col min="4" max="4" width="42" customWidth="1" outlineLevel="1"/>
    <col min="5" max="5" width="11.7109375" customWidth="1" outlineLevel="1"/>
    <col min="6" max="6" width="12" customWidth="1" outlineLevel="1"/>
    <col min="7" max="7" width="11" customWidth="1" outlineLevel="1"/>
    <col min="8" max="8" width="8.85546875" customWidth="1" outlineLevel="1"/>
    <col min="9" max="9" width="10.28515625" customWidth="1"/>
    <col min="10" max="10" width="8.85546875" customWidth="1" outlineLevel="1"/>
    <col min="11" max="16" width="13.42578125" customWidth="1" outlineLevel="1"/>
    <col min="17" max="17" width="13.42578125" customWidth="1"/>
    <col min="18" max="18" width="13.42578125" customWidth="1" outlineLevel="1"/>
    <col min="19" max="20" width="13.42578125" customWidth="1"/>
    <col min="21" max="21" width="13.42578125" customWidth="1" outlineLevel="1"/>
    <col min="22" max="34" width="13.42578125" customWidth="1"/>
    <col min="35" max="35" width="13" customWidth="1"/>
    <col min="36" max="36" width="38" customWidth="1"/>
    <col min="37" max="99" width="12" hidden="1" customWidth="1"/>
  </cols>
  <sheetData>
    <row r="1" spans="1:99" ht="30" customHeight="1" x14ac:dyDescent="0.25">
      <c r="A1" s="142" t="s">
        <v>122</v>
      </c>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row>
    <row r="2" spans="1:99" ht="43.5" customHeight="1" x14ac:dyDescent="0.25">
      <c r="A2" s="143" t="s">
        <v>123</v>
      </c>
      <c r="B2" s="143"/>
      <c r="C2" s="143"/>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row>
    <row r="3" spans="1:99" ht="30" customHeight="1" x14ac:dyDescent="0.25">
      <c r="A3" s="59" t="s">
        <v>124</v>
      </c>
      <c r="B3" s="144"/>
      <c r="C3" s="144"/>
      <c r="D3" s="144"/>
      <c r="E3" s="60" t="s">
        <v>125</v>
      </c>
      <c r="F3" s="61" t="s">
        <v>126</v>
      </c>
      <c r="G3" s="60" t="s">
        <v>127</v>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59" t="s">
        <v>128</v>
      </c>
      <c r="AK3" s="63" t="s">
        <v>129</v>
      </c>
      <c r="AM3" s="63" t="s">
        <v>130</v>
      </c>
      <c r="AO3" s="63" t="s">
        <v>131</v>
      </c>
      <c r="AQ3" s="63" t="s">
        <v>132</v>
      </c>
      <c r="AR3" t="s">
        <v>133</v>
      </c>
    </row>
    <row r="4" spans="1:99" ht="30" customHeight="1" x14ac:dyDescent="0.25">
      <c r="A4" s="61"/>
      <c r="B4" s="61"/>
      <c r="C4" s="61"/>
      <c r="D4" s="61"/>
      <c r="E4" s="61"/>
      <c r="F4" s="61"/>
      <c r="G4" s="61"/>
      <c r="H4" s="61"/>
      <c r="I4" s="61"/>
      <c r="J4" s="61"/>
      <c r="K4" s="61"/>
      <c r="L4" s="61"/>
      <c r="M4" s="61"/>
      <c r="N4" s="61"/>
      <c r="O4" s="61"/>
      <c r="P4" s="61"/>
      <c r="Q4" s="61"/>
      <c r="R4" s="61"/>
      <c r="S4" s="61"/>
      <c r="T4" s="61"/>
      <c r="U4" s="61"/>
      <c r="V4" s="61"/>
      <c r="W4" s="61"/>
      <c r="X4" s="61"/>
      <c r="Y4" s="61"/>
      <c r="Z4" s="61"/>
      <c r="AA4" s="61"/>
      <c r="AB4" s="61"/>
      <c r="AC4" s="61"/>
      <c r="AD4" s="61"/>
      <c r="AE4" s="61"/>
      <c r="AF4" s="61"/>
      <c r="AG4" s="61"/>
      <c r="AH4" s="61"/>
      <c r="AI4" s="61"/>
      <c r="AJ4" s="62" t="str">
        <f>IF($B$3="","type in B3…",AL$41&amp;" match(es)")</f>
        <v>type in B3…</v>
      </c>
      <c r="AO4" t="s">
        <v>126</v>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v>5</v>
      </c>
      <c r="BF4">
        <f t="shared" ref="BF4:BF13" si="0">IF($BD4=0,0,$BE4+$BD4)</f>
        <v>0</v>
      </c>
      <c r="BG4">
        <f>IF($BD12=0,$BE12,$BF12+1)</f>
        <v>43</v>
      </c>
    </row>
    <row r="5" spans="1:99" ht="43.5" customHeight="1" x14ac:dyDescent="0.25">
      <c r="A5" s="64" t="s">
        <v>134</v>
      </c>
      <c r="B5" s="64" t="s">
        <v>2</v>
      </c>
      <c r="C5" s="64" t="s">
        <v>6</v>
      </c>
      <c r="D5" s="64" t="s">
        <v>135</v>
      </c>
      <c r="E5" s="64" t="s">
        <v>4</v>
      </c>
      <c r="F5" s="64" t="s">
        <v>1</v>
      </c>
      <c r="G5" s="64" t="s">
        <v>5</v>
      </c>
      <c r="H5" s="64" t="s">
        <v>3</v>
      </c>
      <c r="I5" s="64" t="s">
        <v>7</v>
      </c>
      <c r="J5" s="64" t="s">
        <v>8</v>
      </c>
      <c r="K5" s="64" t="s">
        <v>9</v>
      </c>
      <c r="L5" s="64" t="s">
        <v>10</v>
      </c>
      <c r="M5" s="64" t="s">
        <v>11</v>
      </c>
      <c r="N5" s="64" t="s">
        <v>136</v>
      </c>
      <c r="O5" s="64" t="s">
        <v>13</v>
      </c>
      <c r="P5" s="64" t="s">
        <v>137</v>
      </c>
      <c r="Q5" s="64" t="s">
        <v>15</v>
      </c>
      <c r="R5" s="64" t="s">
        <v>16</v>
      </c>
      <c r="S5" s="64" t="s">
        <v>17</v>
      </c>
      <c r="T5" s="64" t="s">
        <v>18</v>
      </c>
      <c r="U5" s="64" t="s">
        <v>19</v>
      </c>
      <c r="V5" s="64" t="s">
        <v>20</v>
      </c>
      <c r="W5" s="64" t="s">
        <v>138</v>
      </c>
      <c r="X5" s="64" t="s">
        <v>22</v>
      </c>
      <c r="Y5" s="64" t="s">
        <v>23</v>
      </c>
      <c r="Z5" s="64" t="s">
        <v>139</v>
      </c>
      <c r="AA5" s="64" t="s">
        <v>24</v>
      </c>
      <c r="AB5" s="64" t="s">
        <v>25</v>
      </c>
      <c r="AC5" s="64" t="s">
        <v>26</v>
      </c>
      <c r="AD5" s="64" t="s">
        <v>27</v>
      </c>
      <c r="AE5" s="64" t="s">
        <v>28</v>
      </c>
      <c r="AF5" s="64" t="s">
        <v>140</v>
      </c>
      <c r="AG5" s="64" t="s">
        <v>30</v>
      </c>
      <c r="AH5" s="64" t="s">
        <v>31</v>
      </c>
      <c r="AI5" s="64" t="s">
        <v>141</v>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 t="shared" ref="AM5:AM41" si="1">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c r="AO5" s="66" t="s">
        <v>2</v>
      </c>
      <c r="AP5" s="66"/>
      <c r="AQ5" s="66"/>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 t="shared" ref="AZ5:AZ41" si="2">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 t="shared" ref="BA5:BA41" si="3">SUMPRODUCT(($AZ$5:$AZ$41=$AZ5)*($BC$5:$BC$41&lt;$BC5))+1</f>
        <v>1</v>
      </c>
      <c r="BB5" s="66">
        <f t="shared" ref="BB5:BB41" si="4">IF(INDEX($BF$4:$BF$13,$AZ5)=0,0,INDEX($BE$4:$BE$13,$AZ5)+$BA5-1)</f>
        <v>5</v>
      </c>
      <c r="BC5" s="66">
        <v>4</v>
      </c>
      <c r="BD5" s="66">
        <f>COUNTIF($AZ$5:$AZ$41,2)</f>
        <v>0</v>
      </c>
      <c r="BE5" s="66">
        <f t="shared" ref="BE5:BE12" si="5">IF($BD4=0,$BE4,$BF4+1)</f>
        <v>5</v>
      </c>
      <c r="BF5" s="66">
        <f t="shared" si="0"/>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 t="shared" ref="BM5:BM41" si="6">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IF($AF$4="",1,--(OR(SUMPRODUCT(--(TRIM(MID(SUBSTITUTE(SUBSTITUTE($AF$4,"/",","),",",REPT(" ",99)),(ROW($1:$8)-1)*99+1,99))&lt;&gt;""),--ISNUMBER(SEARCH(TRIM(MID(SUBSTITUTE(SUBSTITUTE($AF$4,"/",","),",",REPT(" ",99)),(ROW($1:$8)-1)*99+1,99)),IFERROR(('Final Calculation Sheet'!$AE$4)&amp;"",""))))&gt;0,AND(ISNUMBER(SEARCH("blank",$AF$4)),NOT(ISNUMBER(SEARCH("nonblank",$AF$4))),IFERROR(('Final Calculation Sheet'!$AE$4)&amp;"","")=""),AND(OR(ISNUMBER(SEARCH("nonblank",$AF$4)),ISNUMBER(SEARCH("&lt;&gt;",$AF$4))),IFERROR(('Final Calculation Sheet'!$AE$4)&amp;"","")&lt;&gt;""),AND(TRIM($AF$4)="",IFERROR(('Final Calculation Sheet'!$AE$4)&amp;"","")=""))))</f>
        <v>1</v>
      </c>
      <c r="CS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T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U5" s="66">
        <f>IF($AI$4="",1,--(OR(SUMPRODUCT(--(TRIM(MID(SUBSTITUTE(SUBSTITUTE($AI$4,"/",","),",",REPT(" ",99)),(ROW($1:$8)-1)*99+1,99))&lt;&gt;""),--ISNUMBER(SEARCH(TRIM(MID(SUBSTITUTE(SUBSTITUTE($AI$4,"/",","),",",REPT(" ",99)),(ROW($1:$8)-1)*99+1,99)),IFERROR((IF('Final Calculation Sheet'!$AD$4&lt;=5,"SETTLED","OUTSTANDING"))&amp;"",""))))&gt;0,AND(ISNUMBER(SEARCH("blank",$AI$4)),NOT(ISNUMBER(SEARCH("nonblank",$AI$4))),IFERROR((IF('Final Calculation Sheet'!$AD$4&lt;=5,"SETTLED","OUTSTANDING"))&amp;"","")=""),AND(OR(ISNUMBER(SEARCH("nonblank",$AI$4)),ISNUMBER(SEARCH("&lt;&gt;",$AI$4))),IFERROR((IF('Final Calculation Sheet'!$AD$4&lt;=5,"SETTLED","OUTSTANDING"))&amp;"","")&lt;&gt;""),AND(TRIM($AI$4)="",IFERROR((IF('Final Calculation Sheet'!$AD$4&lt;=5,"SETTLED","OUTSTANDING"))&amp;"","")=""))))</f>
        <v>1</v>
      </c>
    </row>
    <row r="6" spans="1:99" ht="15" customHeight="1" x14ac:dyDescent="0.25">
      <c r="A6" s="67">
        <f>IF($BJ5&gt;0,INDEX($BA$5:$BA$41,MATCH(5,$BB$5:$BB$41,0)),IF(OR($BI5=1,$BL5=1,$BH5&gt;0),"∑",""))</f>
        <v>1</v>
      </c>
      <c r="B6" s="68">
        <f>IF($BJ5&gt;0,IF(INDEX('Final Calculation Sheet'!$F$4:$F$40,$BJ5-3)="","",INDEX('Final Calculation Sheet'!$F$4:$F$40,$BJ5-3)),"")</f>
        <v>1763</v>
      </c>
      <c r="C6" s="68" t="str">
        <f>IF($BJ5&gt;0,IF(INDEX('Final Calculation Sheet'!$G$4:$G$40,$BJ5-3)="","",INDEX('Final Calculation Sheet'!$G$4:$G$40,$BJ5-3)),IF(OR($BI5=1,$BL5=1,$BH5&gt;0),IF($BI5=1,37,IF($BL5=1,37-INDEX($BD$4:$BD$13,10),INDEX($BD$4:$BD$13,$BH5)))&amp;" lot(s)",""))</f>
        <v>AL HAMD TRADE CORPORATION</v>
      </c>
      <c r="D6" s="69"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69">
        <f>IF($BJ5&gt;0,IF(INDEX('Final Calculation Sheet'!$D$4:$D$40,$BJ5-3)="","",INDEX('Final Calculation Sheet'!$D$4:$D$40,$BJ5-3)),IF(OR($BI5=1,$BL5=1,$BH5&gt;0),"–",""))</f>
        <v>21980</v>
      </c>
      <c r="F6" s="69">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69"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 ca="1">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0" t="str">
        <f>IF($BJ5&gt;0,IF(INDEX('Final Calculation Sheet'!$AE$4:$AE$40,$BJ5-3)="","",INDEX('Final Calculation Sheet'!$AE$4:$AE$40,$BJ5-3)),IF(OR($BI5=1,$BL5=1,$BH5&gt;0),"–",""))</f>
        <v>DR2640100029</v>
      </c>
      <c r="AG6" s="74">
        <f>IF($BJ5&gt;0,IF(INDEX('Final Calculation Sheet'!$AF$4:$AF$40,$BJ5-3)="","",INDEX('Final Calculation Sheet'!$AF$4:$AF$40,$BJ5-3)),IF(OR($BI5=1,$BL5=1,$BH5&gt;0),"–",""))</f>
        <v>1800003271</v>
      </c>
      <c r="AH6" s="70" t="str">
        <f>IF($BJ5&gt;0,IF(INDEX('Final Calculation Sheet'!$AG$4:$AG$40,$BJ5-3)="","",INDEX('Final Calculation Sheet'!$AG$4:$AG$40,$BJ5-3)),IF(OR($BI5=1,$BL5=1,$BH5&gt;0),"–",""))</f>
        <v>24.08.2026</v>
      </c>
      <c r="AI6" s="75"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SETTLED</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 t="shared" ref="AL6:AL41" si="7">AL5+IF($B$3="",0,--(SUMPRODUCT(--($AR$6:$AY$6&lt;&gt;""),--ISNUMBER(SEARCH($AR$6:$AY$6,$AK6)))&gt;0))</f>
        <v>0</v>
      </c>
      <c r="AM6">
        <f t="shared" si="1"/>
        <v>1</v>
      </c>
      <c r="AO6" t="s">
        <v>6</v>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 t="shared" si="2"/>
        <v>9</v>
      </c>
      <c r="BA6">
        <f t="shared" si="3"/>
        <v>2</v>
      </c>
      <c r="BB6">
        <f t="shared" si="4"/>
        <v>6</v>
      </c>
      <c r="BC6">
        <v>5</v>
      </c>
      <c r="BD6">
        <f>COUNTIF($AZ$5:$AZ$41,3)</f>
        <v>0</v>
      </c>
      <c r="BE6">
        <f t="shared" si="5"/>
        <v>5</v>
      </c>
      <c r="BF6">
        <f t="shared" si="0"/>
        <v>0</v>
      </c>
      <c r="BH6">
        <f>IFERROR(MATCH(6,$BF$4:$BF$13,0),0)</f>
        <v>0</v>
      </c>
      <c r="BI6">
        <f>IF(6=$BG$5,1,0)</f>
        <v>0</v>
      </c>
      <c r="BJ6">
        <f>IF(OR($BH6&gt;0,$BI6=1,$BL6=1),0,IFERROR(INDEX($BC$5:$BC$41,MATCH(6,$BB$5:$BB$41,0)),0))</f>
        <v>5</v>
      </c>
      <c r="BK6">
        <f>IF($BJ6&gt;0,IF(INDEX($AZ$5:$AZ$41,MATCH(6,$BB$5:$BB$41,0))=10,1,0),IF($BH6=10,1,0))</f>
        <v>0</v>
      </c>
      <c r="BL6">
        <f>IF(6=$BG$4,1,0)</f>
        <v>0</v>
      </c>
      <c r="BM6">
        <f t="shared" si="6"/>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IF($AF$4="",1,--(OR(SUMPRODUCT(--(TRIM(MID(SUBSTITUTE(SUBSTITUTE($AF$4,"/",","),",",REPT(" ",99)),(ROW($1:$8)-1)*99+1,99))&lt;&gt;""),--ISNUMBER(SEARCH(TRIM(MID(SUBSTITUTE(SUBSTITUTE($AF$4,"/",","),",",REPT(" ",99)),(ROW($1:$8)-1)*99+1,99)),IFERROR(('Final Calculation Sheet'!$AE$5)&amp;"",""))))&gt;0,AND(ISNUMBER(SEARCH("blank",$AF$4)),NOT(ISNUMBER(SEARCH("nonblank",$AF$4))),IFERROR(('Final Calculation Sheet'!$AE$5)&amp;"","")=""),AND(OR(ISNUMBER(SEARCH("nonblank",$AF$4)),ISNUMBER(SEARCH("&lt;&gt;",$AF$4))),IFERROR(('Final Calculation Sheet'!$AE$5)&amp;"","")&lt;&gt;""),AND(TRIM($AF$4)="",IFERROR(('Final Calculation Sheet'!$AE$5)&amp;"","")=""))))</f>
        <v>1</v>
      </c>
      <c r="CS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T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U6">
        <f>IF($AI$4="",1,--(OR(SUMPRODUCT(--(TRIM(MID(SUBSTITUTE(SUBSTITUTE($AI$4,"/",","),",",REPT(" ",99)),(ROW($1:$8)-1)*99+1,99))&lt;&gt;""),--ISNUMBER(SEARCH(TRIM(MID(SUBSTITUTE(SUBSTITUTE($AI$4,"/",","),",",REPT(" ",99)),(ROW($1:$8)-1)*99+1,99)),IFERROR((IF('Final Calculation Sheet'!$AD$5&lt;=5,"SETTLED","OUTSTANDING"))&amp;"",""))))&gt;0,AND(ISNUMBER(SEARCH("blank",$AI$4)),NOT(ISNUMBER(SEARCH("nonblank",$AI$4))),IFERROR((IF('Final Calculation Sheet'!$AD$5&lt;=5,"SETTLED","OUTSTANDING"))&amp;"","")=""),AND(OR(ISNUMBER(SEARCH("nonblank",$AI$4)),ISNUMBER(SEARCH("&lt;&gt;",$AI$4))),IFERROR((IF('Final Calculation Sheet'!$AD$5&lt;=5,"SETTLED","OUTSTANDING"))&amp;"","")&lt;&gt;""),AND(TRIM($AI$4)="",IFERROR((IF('Final Calculation Sheet'!$AD$5&lt;=5,"SETTLED","OUTSTANDING"))&amp;"","")=""))))</f>
        <v>1</v>
      </c>
    </row>
    <row r="7" spans="1:99" ht="15" customHeight="1" x14ac:dyDescent="0.25">
      <c r="A7" s="67">
        <f>IF($BJ6&gt;0,INDEX($BA$5:$BA$41,MATCH(6,$BB$5:$BB$41,0)),IF(OR($BI6=1,$BL6=1,$BH6&gt;0),"∑",""))</f>
        <v>2</v>
      </c>
      <c r="B7" s="68">
        <f>IF($BJ6&gt;0,IF(INDEX('Final Calculation Sheet'!$F$4:$F$40,$BJ6-3)="","",INDEX('Final Calculation Sheet'!$F$4:$F$40,$BJ6-3)),"")</f>
        <v>1874</v>
      </c>
      <c r="C7" s="68" t="str">
        <f>IF($BJ6&gt;0,IF(INDEX('Final Calculation Sheet'!$G$4:$G$40,$BJ6-3)="","",INDEX('Final Calculation Sheet'!$G$4:$G$40,$BJ6-3)),IF(OR($BI6=1,$BL6=1,$BH6&gt;0),IF($BI6=1,37,IF($BL6=1,37-INDEX($BD$4:$BD$13,10),INDEX($BD$4:$BD$13,$BH6)))&amp;" lot(s)",""))</f>
        <v>NATIONAL ENTERPRISES</v>
      </c>
      <c r="D7" s="69"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69">
        <f>IF($BJ6&gt;0,IF(INDEX('Final Calculation Sheet'!$D$4:$D$40,$BJ6-3)="","",INDEX('Final Calculation Sheet'!$D$4:$D$40,$BJ6-3)),IF(OR($BI6=1,$BL6=1,$BH6&gt;0),"–",""))</f>
        <v>21977</v>
      </c>
      <c r="F7" s="69">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69"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 ca="1">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0" t="str">
        <f>IF($BJ6&gt;0,IF(INDEX('Final Calculation Sheet'!$AE$4:$AE$40,$BJ6-3)="","",INDEX('Final Calculation Sheet'!$AE$4:$AE$40,$BJ6-3)),IF(OR($BI6=1,$BL6=1,$BH6&gt;0),"–",""))</f>
        <v>DR2640100030</v>
      </c>
      <c r="AG7" s="74">
        <f>IF($BJ6&gt;0,IF(INDEX('Final Calculation Sheet'!$AF$4:$AF$40,$BJ6-3)="","",INDEX('Final Calculation Sheet'!$AF$4:$AF$40,$BJ6-3)),IF(OR($BI6=1,$BL6=1,$BH6&gt;0),"–",""))</f>
        <v>1800003302</v>
      </c>
      <c r="AH7" s="70" t="str">
        <f>IF($BJ6&gt;0,IF(INDEX('Final Calculation Sheet'!$AG$4:$AG$40,$BJ6-3)="","",INDEX('Final Calculation Sheet'!$AG$4:$AG$40,$BJ6-3)),IF(OR($BI6=1,$BL6=1,$BH6&gt;0),"–",""))</f>
        <v>27.08.2026</v>
      </c>
      <c r="AI7" s="75"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SETTLED</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 t="shared" si="7"/>
        <v>0</v>
      </c>
      <c r="AM7">
        <f t="shared" si="1"/>
        <v>1</v>
      </c>
      <c r="AO7" t="s">
        <v>135</v>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 t="shared" si="2"/>
        <v>9</v>
      </c>
      <c r="BA7">
        <f t="shared" si="3"/>
        <v>3</v>
      </c>
      <c r="BB7">
        <f t="shared" si="4"/>
        <v>7</v>
      </c>
      <c r="BC7">
        <v>6</v>
      </c>
      <c r="BD7">
        <f>COUNTIF($AZ$5:$AZ$41,4)</f>
        <v>0</v>
      </c>
      <c r="BE7">
        <f t="shared" si="5"/>
        <v>5</v>
      </c>
      <c r="BF7">
        <f t="shared" si="0"/>
        <v>0</v>
      </c>
      <c r="BH7">
        <f>IFERROR(MATCH(7,$BF$4:$BF$13,0),0)</f>
        <v>0</v>
      </c>
      <c r="BI7">
        <f>IF(7=$BG$5,1,0)</f>
        <v>0</v>
      </c>
      <c r="BJ7">
        <f>IF(OR($BH7&gt;0,$BI7=1,$BL7=1),0,IFERROR(INDEX($BC$5:$BC$41,MATCH(7,$BB$5:$BB$41,0)),0))</f>
        <v>6</v>
      </c>
      <c r="BK7">
        <f>IF($BJ7&gt;0,IF(INDEX($AZ$5:$AZ$41,MATCH(7,$BB$5:$BB$41,0))=10,1,0),IF($BH7=10,1,0))</f>
        <v>0</v>
      </c>
      <c r="BL7">
        <f>IF(7=$BG$4,1,0)</f>
        <v>0</v>
      </c>
      <c r="BM7">
        <f t="shared" si="6"/>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IF($AF$4="",1,--(OR(SUMPRODUCT(--(TRIM(MID(SUBSTITUTE(SUBSTITUTE($AF$4,"/",","),",",REPT(" ",99)),(ROW($1:$8)-1)*99+1,99))&lt;&gt;""),--ISNUMBER(SEARCH(TRIM(MID(SUBSTITUTE(SUBSTITUTE($AF$4,"/",","),",",REPT(" ",99)),(ROW($1:$8)-1)*99+1,99)),IFERROR(('Final Calculation Sheet'!$AE$6)&amp;"",""))))&gt;0,AND(ISNUMBER(SEARCH("blank",$AF$4)),NOT(ISNUMBER(SEARCH("nonblank",$AF$4))),IFERROR(('Final Calculation Sheet'!$AE$6)&amp;"","")=""),AND(OR(ISNUMBER(SEARCH("nonblank",$AF$4)),ISNUMBER(SEARCH("&lt;&gt;",$AF$4))),IFERROR(('Final Calculation Sheet'!$AE$6)&amp;"","")&lt;&gt;""),AND(TRIM($AF$4)="",IFERROR(('Final Calculation Sheet'!$AE$6)&amp;"","")=""))))</f>
        <v>1</v>
      </c>
      <c r="CS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T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U7">
        <f>IF($AI$4="",1,--(OR(SUMPRODUCT(--(TRIM(MID(SUBSTITUTE(SUBSTITUTE($AI$4,"/",","),",",REPT(" ",99)),(ROW($1:$8)-1)*99+1,99))&lt;&gt;""),--ISNUMBER(SEARCH(TRIM(MID(SUBSTITUTE(SUBSTITUTE($AI$4,"/",","),",",REPT(" ",99)),(ROW($1:$8)-1)*99+1,99)),IFERROR((IF('Final Calculation Sheet'!$AD$6&lt;=5,"SETTLED","OUTSTANDING"))&amp;"",""))))&gt;0,AND(ISNUMBER(SEARCH("blank",$AI$4)),NOT(ISNUMBER(SEARCH("nonblank",$AI$4))),IFERROR((IF('Final Calculation Sheet'!$AD$6&lt;=5,"SETTLED","OUTSTANDING"))&amp;"","")=""),AND(OR(ISNUMBER(SEARCH("nonblank",$AI$4)),ISNUMBER(SEARCH("&lt;&gt;",$AI$4))),IFERROR((IF('Final Calculation Sheet'!$AD$6&lt;=5,"SETTLED","OUTSTANDING"))&amp;"","")&lt;&gt;""),AND(TRIM($AI$4)="",IFERROR((IF('Final Calculation Sheet'!$AD$6&lt;=5,"SETTLED","OUTSTANDING"))&amp;"","")=""))))</f>
        <v>1</v>
      </c>
    </row>
    <row r="8" spans="1:99" ht="15" customHeight="1" x14ac:dyDescent="0.25">
      <c r="A8" s="67">
        <f>IF($BJ7&gt;0,INDEX($BA$5:$BA$41,MATCH(7,$BB$5:$BB$41,0)),IF(OR($BI7=1,$BL7=1,$BH7&gt;0),"∑",""))</f>
        <v>3</v>
      </c>
      <c r="B8" s="68">
        <f>IF($BJ7&gt;0,IF(INDEX('Final Calculation Sheet'!$F$4:$F$40,$BJ7-3)="","",INDEX('Final Calculation Sheet'!$F$4:$F$40,$BJ7-3)),"")</f>
        <v>1875</v>
      </c>
      <c r="C8" s="68" t="str">
        <f>IF($BJ7&gt;0,IF(INDEX('Final Calculation Sheet'!$G$4:$G$40,$BJ7-3)="","",INDEX('Final Calculation Sheet'!$G$4:$G$40,$BJ7-3)),IF(OR($BI7=1,$BL7=1,$BH7&gt;0),IF($BI7=1,37,IF($BL7=1,37-INDEX($BD$4:$BD$13,10),INDEX($BD$4:$BD$13,$BH7)))&amp;" lot(s)",""))</f>
        <v>F R KHANS ENTERPRISES</v>
      </c>
      <c r="D8" s="69"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69">
        <f>IF($BJ7&gt;0,IF(INDEX('Final Calculation Sheet'!$D$4:$D$40,$BJ7-3)="","",INDEX('Final Calculation Sheet'!$D$4:$D$40,$BJ7-3)),IF(OR($BI7=1,$BL7=1,$BH7&gt;0),"–",""))</f>
        <v>21977</v>
      </c>
      <c r="F8" s="69">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69"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 ca="1">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0" t="str">
        <f>IF($BJ7&gt;0,IF(INDEX('Final Calculation Sheet'!$AE$4:$AE$40,$BJ7-3)="","",INDEX('Final Calculation Sheet'!$AE$4:$AE$40,$BJ7-3)),IF(OR($BI7=1,$BL7=1,$BH7&gt;0),"–",""))</f>
        <v>DR2640100047</v>
      </c>
      <c r="AG8" s="74">
        <f>IF($BJ7&gt;0,IF(INDEX('Final Calculation Sheet'!$AF$4:$AF$40,$BJ7-3)="","",INDEX('Final Calculation Sheet'!$AF$4:$AF$40,$BJ7-3)),IF(OR($BI7=1,$BL7=1,$BH7&gt;0),"–",""))</f>
        <v>1800003346</v>
      </c>
      <c r="AH8" s="70" t="str">
        <f>IF($BJ7&gt;0,IF(INDEX('Final Calculation Sheet'!$AG$4:$AG$40,$BJ7-3)="","",INDEX('Final Calculation Sheet'!$AG$4:$AG$40,$BJ7-3)),IF(OR($BI7=1,$BL7=1,$BH7&gt;0),"–",""))</f>
        <v>27.08.2026</v>
      </c>
      <c r="AI8" s="75"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SETTLED</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 t="shared" si="7"/>
        <v>0</v>
      </c>
      <c r="AM8">
        <f t="shared" si="1"/>
        <v>1</v>
      </c>
      <c r="AO8" t="s">
        <v>4</v>
      </c>
      <c r="AR8">
        <v>1</v>
      </c>
      <c r="AS8">
        <f>IF($AR$7="+",$AR$8+1,$AR$8)</f>
        <v>1</v>
      </c>
      <c r="AT8">
        <f>IF($AS$7="+",$AS$8+1,$AS$8)</f>
        <v>1</v>
      </c>
      <c r="AU8">
        <f>IF($AT$7="+",$AT$8+1,$AT$8)</f>
        <v>1</v>
      </c>
      <c r="AV8">
        <f>IF($AU$7="+",$AU$8+1,$AU$8)</f>
        <v>1</v>
      </c>
      <c r="AW8">
        <f>IF($AV$7="+",$AV$8+1,$AV$8)</f>
        <v>1</v>
      </c>
      <c r="AX8">
        <f>IF($AW$7="+",$AW$8+1,$AW$8)</f>
        <v>1</v>
      </c>
      <c r="AY8">
        <f>IF($AX$7="+",$AX$8+1,$AX$8)</f>
        <v>1</v>
      </c>
      <c r="AZ8">
        <f t="shared" si="2"/>
        <v>9</v>
      </c>
      <c r="BA8">
        <f t="shared" si="3"/>
        <v>4</v>
      </c>
      <c r="BB8">
        <f t="shared" si="4"/>
        <v>8</v>
      </c>
      <c r="BC8">
        <v>7</v>
      </c>
      <c r="BD8">
        <f>COUNTIF($AZ$5:$AZ$41,5)</f>
        <v>0</v>
      </c>
      <c r="BE8">
        <f t="shared" si="5"/>
        <v>5</v>
      </c>
      <c r="BF8">
        <f t="shared" si="0"/>
        <v>0</v>
      </c>
      <c r="BH8">
        <f>IFERROR(MATCH(8,$BF$4:$BF$13,0),0)</f>
        <v>0</v>
      </c>
      <c r="BI8">
        <f>IF(8=$BG$5,1,0)</f>
        <v>0</v>
      </c>
      <c r="BJ8">
        <f>IF(OR($BH8&gt;0,$BI8=1,$BL8=1),0,IFERROR(INDEX($BC$5:$BC$41,MATCH(8,$BB$5:$BB$41,0)),0))</f>
        <v>7</v>
      </c>
      <c r="BK8">
        <f>IF($BJ8&gt;0,IF(INDEX($AZ$5:$AZ$41,MATCH(8,$BB$5:$BB$41,0))=10,1,0),IF($BH8=10,1,0))</f>
        <v>0</v>
      </c>
      <c r="BL8">
        <f>IF(8=$BG$4,1,0)</f>
        <v>0</v>
      </c>
      <c r="BM8">
        <f t="shared" si="6"/>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IF($AF$4="",1,--(OR(SUMPRODUCT(--(TRIM(MID(SUBSTITUTE(SUBSTITUTE($AF$4,"/",","),",",REPT(" ",99)),(ROW($1:$8)-1)*99+1,99))&lt;&gt;""),--ISNUMBER(SEARCH(TRIM(MID(SUBSTITUTE(SUBSTITUTE($AF$4,"/",","),",",REPT(" ",99)),(ROW($1:$8)-1)*99+1,99)),IFERROR(('Final Calculation Sheet'!$AE$7)&amp;"",""))))&gt;0,AND(ISNUMBER(SEARCH("blank",$AF$4)),NOT(ISNUMBER(SEARCH("nonblank",$AF$4))),IFERROR(('Final Calculation Sheet'!$AE$7)&amp;"","")=""),AND(OR(ISNUMBER(SEARCH("nonblank",$AF$4)),ISNUMBER(SEARCH("&lt;&gt;",$AF$4))),IFERROR(('Final Calculation Sheet'!$AE$7)&amp;"","")&lt;&gt;""),AND(TRIM($AF$4)="",IFERROR(('Final Calculation Sheet'!$AE$7)&amp;"","")=""))))</f>
        <v>1</v>
      </c>
      <c r="CS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T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U8">
        <f>IF($AI$4="",1,--(OR(SUMPRODUCT(--(TRIM(MID(SUBSTITUTE(SUBSTITUTE($AI$4,"/",","),",",REPT(" ",99)),(ROW($1:$8)-1)*99+1,99))&lt;&gt;""),--ISNUMBER(SEARCH(TRIM(MID(SUBSTITUTE(SUBSTITUTE($AI$4,"/",","),",",REPT(" ",99)),(ROW($1:$8)-1)*99+1,99)),IFERROR((IF('Final Calculation Sheet'!$AD$7&lt;=5,"SETTLED","OUTSTANDING"))&amp;"",""))))&gt;0,AND(ISNUMBER(SEARCH("blank",$AI$4)),NOT(ISNUMBER(SEARCH("nonblank",$AI$4))),IFERROR((IF('Final Calculation Sheet'!$AD$7&lt;=5,"SETTLED","OUTSTANDING"))&amp;"","")=""),AND(OR(ISNUMBER(SEARCH("nonblank",$AI$4)),ISNUMBER(SEARCH("&lt;&gt;",$AI$4))),IFERROR((IF('Final Calculation Sheet'!$AD$7&lt;=5,"SETTLED","OUTSTANDING"))&amp;"","")&lt;&gt;""),AND(TRIM($AI$4)="",IFERROR((IF('Final Calculation Sheet'!$AD$7&lt;=5,"SETTLED","OUTSTANDING"))&amp;"","")=""))))</f>
        <v>1</v>
      </c>
    </row>
    <row r="9" spans="1:99" ht="15" customHeight="1" x14ac:dyDescent="0.25">
      <c r="A9" s="67">
        <f>IF($BJ8&gt;0,INDEX($BA$5:$BA$41,MATCH(8,$BB$5:$BB$41,0)),IF(OR($BI8=1,$BL8=1,$BH8&gt;0),"∑",""))</f>
        <v>4</v>
      </c>
      <c r="B9" s="68">
        <f>IF($BJ8&gt;0,IF(INDEX('Final Calculation Sheet'!$F$4:$F$40,$BJ8-3)="","",INDEX('Final Calculation Sheet'!$F$4:$F$40,$BJ8-3)),"")</f>
        <v>1876</v>
      </c>
      <c r="C9" s="68" t="str">
        <f>IF($BJ8&gt;0,IF(INDEX('Final Calculation Sheet'!$G$4:$G$40,$BJ8-3)="","",INDEX('Final Calculation Sheet'!$G$4:$G$40,$BJ8-3)),IF(OR($BI8=1,$BL8=1,$BH8&gt;0),IF($BI8=1,37,IF($BL8=1,37-INDEX($BD$4:$BD$13,10),INDEX($BD$4:$BD$13,$BH8)))&amp;" lot(s)",""))</f>
        <v>F R KHANS ENTERPRISES</v>
      </c>
      <c r="D9" s="69"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69">
        <f>IF($BJ8&gt;0,IF(INDEX('Final Calculation Sheet'!$D$4:$D$40,$BJ8-3)="","",INDEX('Final Calculation Sheet'!$D$4:$D$40,$BJ8-3)),IF(OR($BI8=1,$BL8=1,$BH8&gt;0),"–",""))</f>
        <v>21977</v>
      </c>
      <c r="F9" s="69">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69"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 ca="1">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0" t="str">
        <f>IF($BJ8&gt;0,IF(INDEX('Final Calculation Sheet'!$AE$4:$AE$40,$BJ8-3)="","",INDEX('Final Calculation Sheet'!$AE$4:$AE$40,$BJ8-3)),IF(OR($BI8=1,$BL8=1,$BH8&gt;0),"–",""))</f>
        <v>DR2640100048</v>
      </c>
      <c r="AG9" s="74">
        <f>IF($BJ8&gt;0,IF(INDEX('Final Calculation Sheet'!$AF$4:$AF$40,$BJ8-3)="","",INDEX('Final Calculation Sheet'!$AF$4:$AF$40,$BJ8-3)),IF(OR($BI8=1,$BL8=1,$BH8&gt;0),"–",""))</f>
        <v>1800003347</v>
      </c>
      <c r="AH9" s="70" t="str">
        <f>IF($BJ8&gt;0,IF(INDEX('Final Calculation Sheet'!$AG$4:$AG$40,$BJ8-3)="","",INDEX('Final Calculation Sheet'!$AG$4:$AG$40,$BJ8-3)),IF(OR($BI8=1,$BL8=1,$BH8&gt;0),"–",""))</f>
        <v>27.08.2026</v>
      </c>
      <c r="AI9" s="7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SETTLED</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 t="shared" si="7"/>
        <v>0</v>
      </c>
      <c r="AM9">
        <f t="shared" si="1"/>
        <v>1</v>
      </c>
      <c r="AO9" t="s">
        <v>5</v>
      </c>
      <c r="AR9">
        <f>IF($AR$6="",0,$AR$8)</f>
        <v>0</v>
      </c>
      <c r="AS9">
        <f>IF($AS$6="",0,$AS$8)</f>
        <v>0</v>
      </c>
      <c r="AT9">
        <f>IF($AT$6="",0,$AT$8)</f>
        <v>0</v>
      </c>
      <c r="AU9">
        <f>IF($AU$6="",0,$AU$8)</f>
        <v>0</v>
      </c>
      <c r="AV9">
        <f>IF($AV$6="",0,$AV$8)</f>
        <v>0</v>
      </c>
      <c r="AW9">
        <f>IF($AW$6="",0,$AW$8)</f>
        <v>0</v>
      </c>
      <c r="AX9">
        <f>IF($AX$6="",0,$AX$8)</f>
        <v>0</v>
      </c>
      <c r="AY9">
        <f>IF($AY$6="",0,$AY$8)</f>
        <v>0</v>
      </c>
      <c r="AZ9">
        <f t="shared" si="2"/>
        <v>9</v>
      </c>
      <c r="BA9">
        <f t="shared" si="3"/>
        <v>5</v>
      </c>
      <c r="BB9">
        <f t="shared" si="4"/>
        <v>9</v>
      </c>
      <c r="BC9">
        <v>8</v>
      </c>
      <c r="BD9">
        <f>COUNTIF($AZ$5:$AZ$41,6)</f>
        <v>0</v>
      </c>
      <c r="BE9">
        <f t="shared" si="5"/>
        <v>5</v>
      </c>
      <c r="BF9">
        <f t="shared" si="0"/>
        <v>0</v>
      </c>
      <c r="BH9">
        <f>IFERROR(MATCH(9,$BF$4:$BF$13,0),0)</f>
        <v>0</v>
      </c>
      <c r="BI9">
        <f>IF(9=$BG$5,1,0)</f>
        <v>0</v>
      </c>
      <c r="BJ9">
        <f>IF(OR($BH9&gt;0,$BI9=1,$BL9=1),0,IFERROR(INDEX($BC$5:$BC$41,MATCH(9,$BB$5:$BB$41,0)),0))</f>
        <v>8</v>
      </c>
      <c r="BK9">
        <f>IF($BJ9&gt;0,IF(INDEX($AZ$5:$AZ$41,MATCH(9,$BB$5:$BB$41,0))=10,1,0),IF($BH9=10,1,0))</f>
        <v>0</v>
      </c>
      <c r="BL9">
        <f>IF(9=$BG$4,1,0)</f>
        <v>0</v>
      </c>
      <c r="BM9">
        <f t="shared" si="6"/>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IF($AF$4="",1,--(OR(SUMPRODUCT(--(TRIM(MID(SUBSTITUTE(SUBSTITUTE($AF$4,"/",","),",",REPT(" ",99)),(ROW($1:$8)-1)*99+1,99))&lt;&gt;""),--ISNUMBER(SEARCH(TRIM(MID(SUBSTITUTE(SUBSTITUTE($AF$4,"/",","),",",REPT(" ",99)),(ROW($1:$8)-1)*99+1,99)),IFERROR(('Final Calculation Sheet'!$AE$8)&amp;"",""))))&gt;0,AND(ISNUMBER(SEARCH("blank",$AF$4)),NOT(ISNUMBER(SEARCH("nonblank",$AF$4))),IFERROR(('Final Calculation Sheet'!$AE$8)&amp;"","")=""),AND(OR(ISNUMBER(SEARCH("nonblank",$AF$4)),ISNUMBER(SEARCH("&lt;&gt;",$AF$4))),IFERROR(('Final Calculation Sheet'!$AE$8)&amp;"","")&lt;&gt;""),AND(TRIM($AF$4)="",IFERROR(('Final Calculation Sheet'!$AE$8)&amp;"","")=""))))</f>
        <v>1</v>
      </c>
      <c r="CS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T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U9">
        <f>IF($AI$4="",1,--(OR(SUMPRODUCT(--(TRIM(MID(SUBSTITUTE(SUBSTITUTE($AI$4,"/",","),",",REPT(" ",99)),(ROW($1:$8)-1)*99+1,99))&lt;&gt;""),--ISNUMBER(SEARCH(TRIM(MID(SUBSTITUTE(SUBSTITUTE($AI$4,"/",","),",",REPT(" ",99)),(ROW($1:$8)-1)*99+1,99)),IFERROR((IF('Final Calculation Sheet'!$AD$8&lt;=5,"SETTLED","OUTSTANDING"))&amp;"",""))))&gt;0,AND(ISNUMBER(SEARCH("blank",$AI$4)),NOT(ISNUMBER(SEARCH("nonblank",$AI$4))),IFERROR((IF('Final Calculation Sheet'!$AD$8&lt;=5,"SETTLED","OUTSTANDING"))&amp;"","")=""),AND(OR(ISNUMBER(SEARCH("nonblank",$AI$4)),ISNUMBER(SEARCH("&lt;&gt;",$AI$4))),IFERROR((IF('Final Calculation Sheet'!$AD$8&lt;=5,"SETTLED","OUTSTANDING"))&amp;"","")&lt;&gt;""),AND(TRIM($AI$4)="",IFERROR((IF('Final Calculation Sheet'!$AD$8&lt;=5,"SETTLED","OUTSTANDING"))&amp;"","")=""))))</f>
        <v>1</v>
      </c>
    </row>
    <row r="10" spans="1:99" ht="15" customHeight="1" x14ac:dyDescent="0.25">
      <c r="A10" s="67">
        <f>IF($BJ9&gt;0,INDEX($BA$5:$BA$41,MATCH(9,$BB$5:$BB$41,0)),IF(OR($BI9=1,$BL9=1,$BH9&gt;0),"∑",""))</f>
        <v>5</v>
      </c>
      <c r="B10" s="68">
        <f>IF($BJ9&gt;0,IF(INDEX('Final Calculation Sheet'!$F$4:$F$40,$BJ9-3)="","",INDEX('Final Calculation Sheet'!$F$4:$F$40,$BJ9-3)),"")</f>
        <v>1923</v>
      </c>
      <c r="C10" s="68" t="str">
        <f>IF($BJ9&gt;0,IF(INDEX('Final Calculation Sheet'!$G$4:$G$40,$BJ9-3)="","",INDEX('Final Calculation Sheet'!$G$4:$G$40,$BJ9-3)),IF(OR($BI9=1,$BL9=1,$BH9&gt;0),IF($BI9=1,37,IF($BL9=1,37-INDEX($BD$4:$BD$13,10),INDEX($BD$4:$BD$13,$BH9)))&amp;" lot(s)",""))</f>
        <v>OMKAR STEELS</v>
      </c>
      <c r="D10" s="69"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69">
        <f>IF($BJ9&gt;0,IF(INDEX('Final Calculation Sheet'!$D$4:$D$40,$BJ9-3)="","",INDEX('Final Calculation Sheet'!$D$4:$D$40,$BJ9-3)),IF(OR($BI9=1,$BL9=1,$BH9&gt;0),"–",""))</f>
        <v>21980</v>
      </c>
      <c r="F10" s="69">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69"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 ca="1">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0" t="str">
        <f>IF($BJ9&gt;0,IF(INDEX('Final Calculation Sheet'!$AE$4:$AE$40,$BJ9-3)="","",INDEX('Final Calculation Sheet'!$AE$4:$AE$40,$BJ9-3)),IF(OR($BI9=1,$BL9=1,$BH9&gt;0),"–",""))</f>
        <v>DR2640100045</v>
      </c>
      <c r="AG10" s="74">
        <f>IF($BJ9&gt;0,IF(INDEX('Final Calculation Sheet'!$AF$4:$AF$40,$BJ9-3)="","",INDEX('Final Calculation Sheet'!$AF$4:$AF$40,$BJ9-3)),IF(OR($BI9=1,$BL9=1,$BH9&gt;0),"–",""))</f>
        <v>1800003315</v>
      </c>
      <c r="AH10" s="70" t="str">
        <f>IF($BJ9&gt;0,IF(INDEX('Final Calculation Sheet'!$AG$4:$AG$40,$BJ9-3)="","",INDEX('Final Calculation Sheet'!$AG$4:$AG$40,$BJ9-3)),IF(OR($BI9=1,$BL9=1,$BH9&gt;0),"–",""))</f>
        <v>27.08.2026</v>
      </c>
      <c r="AI10" s="75"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SETTLED</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 t="shared" si="7"/>
        <v>0</v>
      </c>
      <c r="AM10">
        <f t="shared" si="1"/>
        <v>1</v>
      </c>
      <c r="AZ10">
        <f t="shared" si="2"/>
        <v>9</v>
      </c>
      <c r="BA10">
        <f t="shared" si="3"/>
        <v>6</v>
      </c>
      <c r="BB10">
        <f t="shared" si="4"/>
        <v>10</v>
      </c>
      <c r="BC10">
        <v>9</v>
      </c>
      <c r="BD10">
        <f>COUNTIF($AZ$5:$AZ$41,7)</f>
        <v>0</v>
      </c>
      <c r="BE10">
        <f t="shared" si="5"/>
        <v>5</v>
      </c>
      <c r="BF10">
        <f t="shared" si="0"/>
        <v>0</v>
      </c>
      <c r="BH10">
        <f>IFERROR(MATCH(10,$BF$4:$BF$13,0),0)</f>
        <v>0</v>
      </c>
      <c r="BI10">
        <f>IF(10=$BG$5,1,0)</f>
        <v>0</v>
      </c>
      <c r="BJ10">
        <f>IF(OR($BH10&gt;0,$BI10=1,$BL10=1),0,IFERROR(INDEX($BC$5:$BC$41,MATCH(10,$BB$5:$BB$41,0)),0))</f>
        <v>9</v>
      </c>
      <c r="BK10">
        <f>IF($BJ10&gt;0,IF(INDEX($AZ$5:$AZ$41,MATCH(10,$BB$5:$BB$41,0))=10,1,0),IF($BH10=10,1,0))</f>
        <v>0</v>
      </c>
      <c r="BL10">
        <f>IF(10=$BG$4,1,0)</f>
        <v>0</v>
      </c>
      <c r="BM10">
        <f t="shared" si="6"/>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IF($AF$4="",1,--(OR(SUMPRODUCT(--(TRIM(MID(SUBSTITUTE(SUBSTITUTE($AF$4,"/",","),",",REPT(" ",99)),(ROW($1:$8)-1)*99+1,99))&lt;&gt;""),--ISNUMBER(SEARCH(TRIM(MID(SUBSTITUTE(SUBSTITUTE($AF$4,"/",","),",",REPT(" ",99)),(ROW($1:$8)-1)*99+1,99)),IFERROR(('Final Calculation Sheet'!$AE$9)&amp;"",""))))&gt;0,AND(ISNUMBER(SEARCH("blank",$AF$4)),NOT(ISNUMBER(SEARCH("nonblank",$AF$4))),IFERROR(('Final Calculation Sheet'!$AE$9)&amp;"","")=""),AND(OR(ISNUMBER(SEARCH("nonblank",$AF$4)),ISNUMBER(SEARCH("&lt;&gt;",$AF$4))),IFERROR(('Final Calculation Sheet'!$AE$9)&amp;"","")&lt;&gt;""),AND(TRIM($AF$4)="",IFERROR(('Final Calculation Sheet'!$AE$9)&amp;"","")=""))))</f>
        <v>1</v>
      </c>
      <c r="CS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T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U10">
        <f>IF($AI$4="",1,--(OR(SUMPRODUCT(--(TRIM(MID(SUBSTITUTE(SUBSTITUTE($AI$4,"/",","),",",REPT(" ",99)),(ROW($1:$8)-1)*99+1,99))&lt;&gt;""),--ISNUMBER(SEARCH(TRIM(MID(SUBSTITUTE(SUBSTITUTE($AI$4,"/",","),",",REPT(" ",99)),(ROW($1:$8)-1)*99+1,99)),IFERROR((IF('Final Calculation Sheet'!$AD$9&lt;=5,"SETTLED","OUTSTANDING"))&amp;"",""))))&gt;0,AND(ISNUMBER(SEARCH("blank",$AI$4)),NOT(ISNUMBER(SEARCH("nonblank",$AI$4))),IFERROR((IF('Final Calculation Sheet'!$AD$9&lt;=5,"SETTLED","OUTSTANDING"))&amp;"","")=""),AND(OR(ISNUMBER(SEARCH("nonblank",$AI$4)),ISNUMBER(SEARCH("&lt;&gt;",$AI$4))),IFERROR((IF('Final Calculation Sheet'!$AD$9&lt;=5,"SETTLED","OUTSTANDING"))&amp;"","")&lt;&gt;""),AND(TRIM($AI$4)="",IFERROR((IF('Final Calculation Sheet'!$AD$9&lt;=5,"SETTLED","OUTSTANDING"))&amp;"","")=""))))</f>
        <v>1</v>
      </c>
    </row>
    <row r="11" spans="1:99" ht="15" customHeight="1" x14ac:dyDescent="0.25">
      <c r="A11" s="67">
        <f>IF($BJ10&gt;0,INDEX($BA$5:$BA$41,MATCH(10,$BB$5:$BB$41,0)),IF(OR($BI10=1,$BL10=1,$BH10&gt;0),"∑",""))</f>
        <v>6</v>
      </c>
      <c r="B11" s="68">
        <f>IF($BJ10&gt;0,IF(INDEX('Final Calculation Sheet'!$F$4:$F$40,$BJ10-3)="","",INDEX('Final Calculation Sheet'!$F$4:$F$40,$BJ10-3)),"")</f>
        <v>1976</v>
      </c>
      <c r="C11" s="68" t="str">
        <f>IF($BJ10&gt;0,IF(INDEX('Final Calculation Sheet'!$G$4:$G$40,$BJ10-3)="","",INDEX('Final Calculation Sheet'!$G$4:$G$40,$BJ10-3)),IF(OR($BI10=1,$BL10=1,$BH10&gt;0),IF($BI10=1,37,IF($BL10=1,37-INDEX($BD$4:$BD$13,10),INDEX($BD$4:$BD$13,$BH10)))&amp;" lot(s)",""))</f>
        <v>SHAR JAHAN TRADERS</v>
      </c>
      <c r="D11" s="69"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69">
        <f>IF($BJ10&gt;0,IF(INDEX('Final Calculation Sheet'!$D$4:$D$40,$BJ10-3)="","",INDEX('Final Calculation Sheet'!$D$4:$D$40,$BJ10-3)),IF(OR($BI10=1,$BL10=1,$BH10&gt;0),"–",""))</f>
        <v>21977</v>
      </c>
      <c r="F11" s="69">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69"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 ca="1">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0" t="str">
        <f>IF($BJ10&gt;0,IF(INDEX('Final Calculation Sheet'!$AE$4:$AE$40,$BJ10-3)="","",INDEX('Final Calculation Sheet'!$AE$4:$AE$40,$BJ10-3)),IF(OR($BI10=1,$BL10=1,$BH10&gt;0),"–",""))</f>
        <v>DR2640100023</v>
      </c>
      <c r="AG11" s="74">
        <f>IF($BJ10&gt;0,IF(INDEX('Final Calculation Sheet'!$AF$4:$AF$40,$BJ10-3)="","",INDEX('Final Calculation Sheet'!$AF$4:$AF$40,$BJ10-3)),IF(OR($BI10=1,$BL10=1,$BH10&gt;0),"–",""))</f>
        <v>1800003194</v>
      </c>
      <c r="AH11" s="70" t="str">
        <f>IF($BJ10&gt;0,IF(INDEX('Final Calculation Sheet'!$AG$4:$AG$40,$BJ10-3)="","",INDEX('Final Calculation Sheet'!$AG$4:$AG$40,$BJ10-3)),IF(OR($BI10=1,$BL10=1,$BH10&gt;0),"–",""))</f>
        <v>17.08.2026</v>
      </c>
      <c r="AI11" s="75"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SETTLED</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 t="shared" si="7"/>
        <v>0</v>
      </c>
      <c r="AM11">
        <f t="shared" si="1"/>
        <v>1</v>
      </c>
      <c r="AZ11">
        <f t="shared" si="2"/>
        <v>9</v>
      </c>
      <c r="BA11">
        <f t="shared" si="3"/>
        <v>7</v>
      </c>
      <c r="BB11">
        <f t="shared" si="4"/>
        <v>11</v>
      </c>
      <c r="BC11">
        <v>10</v>
      </c>
      <c r="BD11">
        <f>COUNTIF($AZ$5:$AZ$41,8)</f>
        <v>0</v>
      </c>
      <c r="BE11">
        <f t="shared" si="5"/>
        <v>5</v>
      </c>
      <c r="BF11">
        <f t="shared" si="0"/>
        <v>0</v>
      </c>
      <c r="BH11">
        <f>IFERROR(MATCH(11,$BF$4:$BF$13,0),0)</f>
        <v>0</v>
      </c>
      <c r="BI11">
        <f>IF(11=$BG$5,1,0)</f>
        <v>0</v>
      </c>
      <c r="BJ11">
        <f>IF(OR($BH11&gt;0,$BI11=1,$BL11=1),0,IFERROR(INDEX($BC$5:$BC$41,MATCH(11,$BB$5:$BB$41,0)),0))</f>
        <v>10</v>
      </c>
      <c r="BK11">
        <f>IF($BJ11&gt;0,IF(INDEX($AZ$5:$AZ$41,MATCH(11,$BB$5:$BB$41,0))=10,1,0),IF($BH11=10,1,0))</f>
        <v>0</v>
      </c>
      <c r="BL11">
        <f>IF(11=$BG$4,1,0)</f>
        <v>0</v>
      </c>
      <c r="BM11">
        <f t="shared" si="6"/>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IF($AF$4="",1,--(OR(SUMPRODUCT(--(TRIM(MID(SUBSTITUTE(SUBSTITUTE($AF$4,"/",","),",",REPT(" ",99)),(ROW($1:$8)-1)*99+1,99))&lt;&gt;""),--ISNUMBER(SEARCH(TRIM(MID(SUBSTITUTE(SUBSTITUTE($AF$4,"/",","),",",REPT(" ",99)),(ROW($1:$8)-1)*99+1,99)),IFERROR(('Final Calculation Sheet'!$AE$10)&amp;"",""))))&gt;0,AND(ISNUMBER(SEARCH("blank",$AF$4)),NOT(ISNUMBER(SEARCH("nonblank",$AF$4))),IFERROR(('Final Calculation Sheet'!$AE$10)&amp;"","")=""),AND(OR(ISNUMBER(SEARCH("nonblank",$AF$4)),ISNUMBER(SEARCH("&lt;&gt;",$AF$4))),IFERROR(('Final Calculation Sheet'!$AE$10)&amp;"","")&lt;&gt;""),AND(TRIM($AF$4)="",IFERROR(('Final Calculation Sheet'!$AE$10)&amp;"","")=""))))</f>
        <v>1</v>
      </c>
      <c r="CS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T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U11">
        <f>IF($AI$4="",1,--(OR(SUMPRODUCT(--(TRIM(MID(SUBSTITUTE(SUBSTITUTE($AI$4,"/",","),",",REPT(" ",99)),(ROW($1:$8)-1)*99+1,99))&lt;&gt;""),--ISNUMBER(SEARCH(TRIM(MID(SUBSTITUTE(SUBSTITUTE($AI$4,"/",","),",",REPT(" ",99)),(ROW($1:$8)-1)*99+1,99)),IFERROR((IF('Final Calculation Sheet'!$AD$10&lt;=5,"SETTLED","OUTSTANDING"))&amp;"",""))))&gt;0,AND(ISNUMBER(SEARCH("blank",$AI$4)),NOT(ISNUMBER(SEARCH("nonblank",$AI$4))),IFERROR((IF('Final Calculation Sheet'!$AD$10&lt;=5,"SETTLED","OUTSTANDING"))&amp;"","")=""),AND(OR(ISNUMBER(SEARCH("nonblank",$AI$4)),ISNUMBER(SEARCH("&lt;&gt;",$AI$4))),IFERROR((IF('Final Calculation Sheet'!$AD$10&lt;=5,"SETTLED","OUTSTANDING"))&amp;"","")&lt;&gt;""),AND(TRIM($AI$4)="",IFERROR((IF('Final Calculation Sheet'!$AD$10&lt;=5,"SETTLED","OUTSTANDING"))&amp;"","")=""))))</f>
        <v>1</v>
      </c>
    </row>
    <row r="12" spans="1:99" ht="15" customHeight="1" x14ac:dyDescent="0.25">
      <c r="A12" s="67">
        <f>IF($BJ11&gt;0,INDEX($BA$5:$BA$41,MATCH(11,$BB$5:$BB$41,0)),IF(OR($BI11=1,$BL11=1,$BH11&gt;0),"∑",""))</f>
        <v>7</v>
      </c>
      <c r="B12" s="68">
        <f>IF($BJ11&gt;0,IF(INDEX('Final Calculation Sheet'!$F$4:$F$40,$BJ11-3)="","",INDEX('Final Calculation Sheet'!$F$4:$F$40,$BJ11-3)),"")</f>
        <v>2002</v>
      </c>
      <c r="C12" s="68" t="str">
        <f>IF($BJ11&gt;0,IF(INDEX('Final Calculation Sheet'!$G$4:$G$40,$BJ11-3)="","",INDEX('Final Calculation Sheet'!$G$4:$G$40,$BJ11-3)),IF(OR($BI11=1,$BL11=1,$BH11&gt;0),IF($BI11=1,37,IF($BL11=1,37-INDEX($BD$4:$BD$13,10),INDEX($BD$4:$BD$13,$BH11)))&amp;" lot(s)",""))</f>
        <v>NATIONAL ENTERPRISES</v>
      </c>
      <c r="D12" s="69"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69">
        <f>IF($BJ11&gt;0,IF(INDEX('Final Calculation Sheet'!$D$4:$D$40,$BJ11-3)="","",INDEX('Final Calculation Sheet'!$D$4:$D$40,$BJ11-3)),IF(OR($BI11=1,$BL11=1,$BH11&gt;0),"–",""))</f>
        <v>21977</v>
      </c>
      <c r="F12" s="69">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69"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 ca="1">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0" t="str">
        <f>IF($BJ11&gt;0,IF(INDEX('Final Calculation Sheet'!$AE$4:$AE$40,$BJ11-3)="","",INDEX('Final Calculation Sheet'!$AE$4:$AE$40,$BJ11-3)),IF(OR($BI11=1,$BL11=1,$BH11&gt;0),"–",""))</f>
        <v>DR2640100031</v>
      </c>
      <c r="AG12" s="74">
        <f>IF($BJ11&gt;0,IF(INDEX('Final Calculation Sheet'!$AF$4:$AF$40,$BJ11-3)="","",INDEX('Final Calculation Sheet'!$AF$4:$AF$40,$BJ11-3)),IF(OR($BI11=1,$BL11=1,$BH11&gt;0),"–",""))</f>
        <v>1800003303</v>
      </c>
      <c r="AH12" s="70" t="str">
        <f>IF($BJ11&gt;0,IF(INDEX('Final Calculation Sheet'!$AG$4:$AG$40,$BJ11-3)="","",INDEX('Final Calculation Sheet'!$AG$4:$AG$40,$BJ11-3)),IF(OR($BI11=1,$BL11=1,$BH11&gt;0),"–",""))</f>
        <v>27.08.2026</v>
      </c>
      <c r="AI12" s="75"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SETTLED</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 t="shared" si="7"/>
        <v>0</v>
      </c>
      <c r="AM12">
        <f t="shared" si="1"/>
        <v>1</v>
      </c>
      <c r="AZ12">
        <f t="shared" si="2"/>
        <v>9</v>
      </c>
      <c r="BA12">
        <f t="shared" si="3"/>
        <v>8</v>
      </c>
      <c r="BB12">
        <f t="shared" si="4"/>
        <v>12</v>
      </c>
      <c r="BC12">
        <v>11</v>
      </c>
      <c r="BD12">
        <f>COUNTIF($AZ$5:$AZ$41,9)</f>
        <v>37</v>
      </c>
      <c r="BE12">
        <f t="shared" si="5"/>
        <v>5</v>
      </c>
      <c r="BF12">
        <f t="shared" si="0"/>
        <v>42</v>
      </c>
      <c r="BH12">
        <f>IFERROR(MATCH(12,$BF$4:$BF$13,0),0)</f>
        <v>0</v>
      </c>
      <c r="BI12">
        <f>IF(12=$BG$5,1,0)</f>
        <v>0</v>
      </c>
      <c r="BJ12">
        <f>IF(OR($BH12&gt;0,$BI12=1,$BL12=1),0,IFERROR(INDEX($BC$5:$BC$41,MATCH(12,$BB$5:$BB$41,0)),0))</f>
        <v>11</v>
      </c>
      <c r="BK12">
        <f>IF($BJ12&gt;0,IF(INDEX($AZ$5:$AZ$41,MATCH(12,$BB$5:$BB$41,0))=10,1,0),IF($BH12=10,1,0))</f>
        <v>0</v>
      </c>
      <c r="BL12">
        <f>IF(12=$BG$4,1,0)</f>
        <v>0</v>
      </c>
      <c r="BM12">
        <f t="shared" si="6"/>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IF($AF$4="",1,--(OR(SUMPRODUCT(--(TRIM(MID(SUBSTITUTE(SUBSTITUTE($AF$4,"/",","),",",REPT(" ",99)),(ROW($1:$8)-1)*99+1,99))&lt;&gt;""),--ISNUMBER(SEARCH(TRIM(MID(SUBSTITUTE(SUBSTITUTE($AF$4,"/",","),",",REPT(" ",99)),(ROW($1:$8)-1)*99+1,99)),IFERROR(('Final Calculation Sheet'!$AE$11)&amp;"",""))))&gt;0,AND(ISNUMBER(SEARCH("blank",$AF$4)),NOT(ISNUMBER(SEARCH("nonblank",$AF$4))),IFERROR(('Final Calculation Sheet'!$AE$11)&amp;"","")=""),AND(OR(ISNUMBER(SEARCH("nonblank",$AF$4)),ISNUMBER(SEARCH("&lt;&gt;",$AF$4))),IFERROR(('Final Calculation Sheet'!$AE$11)&amp;"","")&lt;&gt;""),AND(TRIM($AF$4)="",IFERROR(('Final Calculation Sheet'!$AE$11)&amp;"","")=""))))</f>
        <v>1</v>
      </c>
      <c r="CS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T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U12">
        <f>IF($AI$4="",1,--(OR(SUMPRODUCT(--(TRIM(MID(SUBSTITUTE(SUBSTITUTE($AI$4,"/",","),",",REPT(" ",99)),(ROW($1:$8)-1)*99+1,99))&lt;&gt;""),--ISNUMBER(SEARCH(TRIM(MID(SUBSTITUTE(SUBSTITUTE($AI$4,"/",","),",",REPT(" ",99)),(ROW($1:$8)-1)*99+1,99)),IFERROR((IF('Final Calculation Sheet'!$AD$11&lt;=5,"SETTLED","OUTSTANDING"))&amp;"",""))))&gt;0,AND(ISNUMBER(SEARCH("blank",$AI$4)),NOT(ISNUMBER(SEARCH("nonblank",$AI$4))),IFERROR((IF('Final Calculation Sheet'!$AD$11&lt;=5,"SETTLED","OUTSTANDING"))&amp;"","")=""),AND(OR(ISNUMBER(SEARCH("nonblank",$AI$4)),ISNUMBER(SEARCH("&lt;&gt;",$AI$4))),IFERROR((IF('Final Calculation Sheet'!$AD$11&lt;=5,"SETTLED","OUTSTANDING"))&amp;"","")&lt;&gt;""),AND(TRIM($AI$4)="",IFERROR((IF('Final Calculation Sheet'!$AD$11&lt;=5,"SETTLED","OUTSTANDING"))&amp;"","")=""))))</f>
        <v>1</v>
      </c>
    </row>
    <row r="13" spans="1:99" ht="15" customHeight="1" x14ac:dyDescent="0.25">
      <c r="A13" s="67">
        <f>IF($BJ12&gt;0,INDEX($BA$5:$BA$41,MATCH(12,$BB$5:$BB$41,0)),IF(OR($BI12=1,$BL12=1,$BH12&gt;0),"∑",""))</f>
        <v>8</v>
      </c>
      <c r="B13" s="68">
        <f>IF($BJ12&gt;0,IF(INDEX('Final Calculation Sheet'!$F$4:$F$40,$BJ12-3)="","",INDEX('Final Calculation Sheet'!$F$4:$F$40,$BJ12-3)),"")</f>
        <v>2003</v>
      </c>
      <c r="C13" s="68" t="str">
        <f>IF($BJ12&gt;0,IF(INDEX('Final Calculation Sheet'!$G$4:$G$40,$BJ12-3)="","",INDEX('Final Calculation Sheet'!$G$4:$G$40,$BJ12-3)),IF(OR($BI12=1,$BL12=1,$BH12&gt;0),IF($BI12=1,37,IF($BL12=1,37-INDEX($BD$4:$BD$13,10),INDEX($BD$4:$BD$13,$BH12)))&amp;" lot(s)",""))</f>
        <v>NATIONAL ENTERPRISES</v>
      </c>
      <c r="D13" s="6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69">
        <f>IF($BJ12&gt;0,IF(INDEX('Final Calculation Sheet'!$D$4:$D$40,$BJ12-3)="","",INDEX('Final Calculation Sheet'!$D$4:$D$40,$BJ12-3)),IF(OR($BI12=1,$BL12=1,$BH12&gt;0),"–",""))</f>
        <v>21977</v>
      </c>
      <c r="F13" s="69">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69"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 ca="1">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0" t="str">
        <f>IF($BJ12&gt;0,IF(INDEX('Final Calculation Sheet'!$AE$4:$AE$40,$BJ12-3)="","",INDEX('Final Calculation Sheet'!$AE$4:$AE$40,$BJ12-3)),IF(OR($BI12=1,$BL12=1,$BH12&gt;0),"–",""))</f>
        <v>DR2640100032</v>
      </c>
      <c r="AG13" s="74">
        <f>IF($BJ12&gt;0,IF(INDEX('Final Calculation Sheet'!$AF$4:$AF$40,$BJ12-3)="","",INDEX('Final Calculation Sheet'!$AF$4:$AF$40,$BJ12-3)),IF(OR($BI12=1,$BL12=1,$BH12&gt;0),"–",""))</f>
        <v>1800003304</v>
      </c>
      <c r="AH13" s="70" t="str">
        <f>IF($BJ12&gt;0,IF(INDEX('Final Calculation Sheet'!$AG$4:$AG$40,$BJ12-3)="","",INDEX('Final Calculation Sheet'!$AG$4:$AG$40,$BJ12-3)),IF(OR($BI12=1,$BL12=1,$BH12&gt;0),"–",""))</f>
        <v>27.08.2026</v>
      </c>
      <c r="AI13" s="75"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SETTLED</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 t="shared" si="7"/>
        <v>0</v>
      </c>
      <c r="AM13">
        <f t="shared" si="1"/>
        <v>1</v>
      </c>
      <c r="AZ13">
        <f t="shared" si="2"/>
        <v>9</v>
      </c>
      <c r="BA13">
        <f t="shared" si="3"/>
        <v>9</v>
      </c>
      <c r="BB13">
        <f t="shared" si="4"/>
        <v>13</v>
      </c>
      <c r="BC13">
        <v>12</v>
      </c>
      <c r="BD13">
        <f>COUNTIF($AZ$5:$AZ$41,10)</f>
        <v>0</v>
      </c>
      <c r="BE13">
        <f>$BG$4+1</f>
        <v>44</v>
      </c>
      <c r="BF13">
        <f t="shared" si="0"/>
        <v>0</v>
      </c>
      <c r="BH13">
        <f>IFERROR(MATCH(13,$BF$4:$BF$13,0),0)</f>
        <v>0</v>
      </c>
      <c r="BI13">
        <f>IF(13=$BG$5,1,0)</f>
        <v>0</v>
      </c>
      <c r="BJ13">
        <f>IF(OR($BH13&gt;0,$BI13=1,$BL13=1),0,IFERROR(INDEX($BC$5:$BC$41,MATCH(13,$BB$5:$BB$41,0)),0))</f>
        <v>12</v>
      </c>
      <c r="BK13">
        <f>IF($BJ13&gt;0,IF(INDEX($AZ$5:$AZ$41,MATCH(13,$BB$5:$BB$41,0))=10,1,0),IF($BH13=10,1,0))</f>
        <v>0</v>
      </c>
      <c r="BL13">
        <f>IF(13=$BG$4,1,0)</f>
        <v>0</v>
      </c>
      <c r="BM13">
        <f t="shared" si="6"/>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IF($AF$4="",1,--(OR(SUMPRODUCT(--(TRIM(MID(SUBSTITUTE(SUBSTITUTE($AF$4,"/",","),",",REPT(" ",99)),(ROW($1:$8)-1)*99+1,99))&lt;&gt;""),--ISNUMBER(SEARCH(TRIM(MID(SUBSTITUTE(SUBSTITUTE($AF$4,"/",","),",",REPT(" ",99)),(ROW($1:$8)-1)*99+1,99)),IFERROR(('Final Calculation Sheet'!$AE$12)&amp;"",""))))&gt;0,AND(ISNUMBER(SEARCH("blank",$AF$4)),NOT(ISNUMBER(SEARCH("nonblank",$AF$4))),IFERROR(('Final Calculation Sheet'!$AE$12)&amp;"","")=""),AND(OR(ISNUMBER(SEARCH("nonblank",$AF$4)),ISNUMBER(SEARCH("&lt;&gt;",$AF$4))),IFERROR(('Final Calculation Sheet'!$AE$12)&amp;"","")&lt;&gt;""),AND(TRIM($AF$4)="",IFERROR(('Final Calculation Sheet'!$AE$12)&amp;"","")=""))))</f>
        <v>1</v>
      </c>
      <c r="CS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T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U13">
        <f>IF($AI$4="",1,--(OR(SUMPRODUCT(--(TRIM(MID(SUBSTITUTE(SUBSTITUTE($AI$4,"/",","),",",REPT(" ",99)),(ROW($1:$8)-1)*99+1,99))&lt;&gt;""),--ISNUMBER(SEARCH(TRIM(MID(SUBSTITUTE(SUBSTITUTE($AI$4,"/",","),",",REPT(" ",99)),(ROW($1:$8)-1)*99+1,99)),IFERROR((IF('Final Calculation Sheet'!$AD$12&lt;=5,"SETTLED","OUTSTANDING"))&amp;"",""))))&gt;0,AND(ISNUMBER(SEARCH("blank",$AI$4)),NOT(ISNUMBER(SEARCH("nonblank",$AI$4))),IFERROR((IF('Final Calculation Sheet'!$AD$12&lt;=5,"SETTLED","OUTSTANDING"))&amp;"","")=""),AND(OR(ISNUMBER(SEARCH("nonblank",$AI$4)),ISNUMBER(SEARCH("&lt;&gt;",$AI$4))),IFERROR((IF('Final Calculation Sheet'!$AD$12&lt;=5,"SETTLED","OUTSTANDING"))&amp;"","")&lt;&gt;""),AND(TRIM($AI$4)="",IFERROR((IF('Final Calculation Sheet'!$AD$12&lt;=5,"SETTLED","OUTSTANDING"))&amp;"","")=""))))</f>
        <v>1</v>
      </c>
    </row>
    <row r="14" spans="1:99" ht="15" customHeight="1" x14ac:dyDescent="0.25">
      <c r="A14" s="67">
        <f>IF($BJ13&gt;0,INDEX($BA$5:$BA$41,MATCH(13,$BB$5:$BB$41,0)),IF(OR($BI13=1,$BL13=1,$BH13&gt;0),"∑",""))</f>
        <v>9</v>
      </c>
      <c r="B14" s="68">
        <f>IF($BJ13&gt;0,IF(INDEX('Final Calculation Sheet'!$F$4:$F$40,$BJ13-3)="","",INDEX('Final Calculation Sheet'!$F$4:$F$40,$BJ13-3)),"")</f>
        <v>2005</v>
      </c>
      <c r="C14" s="68" t="str">
        <f>IF($BJ13&gt;0,IF(INDEX('Final Calculation Sheet'!$G$4:$G$40,$BJ13-3)="","",INDEX('Final Calculation Sheet'!$G$4:$G$40,$BJ13-3)),IF(OR($BI13=1,$BL13=1,$BH13&gt;0),IF($BI13=1,37,IF($BL13=1,37-INDEX($BD$4:$BD$13,10),INDEX($BD$4:$BD$13,$BH13)))&amp;" lot(s)",""))</f>
        <v>NATIONAL ENTERPRISES</v>
      </c>
      <c r="D14" s="69"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69">
        <f>IF($BJ13&gt;0,IF(INDEX('Final Calculation Sheet'!$D$4:$D$40,$BJ13-3)="","",INDEX('Final Calculation Sheet'!$D$4:$D$40,$BJ13-3)),IF(OR($BI13=1,$BL13=1,$BH13&gt;0),"–",""))</f>
        <v>21977</v>
      </c>
      <c r="F14" s="69">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69"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 ca="1">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0" t="str">
        <f>IF($BJ13&gt;0,IF(INDEX('Final Calculation Sheet'!$AE$4:$AE$40,$BJ13-3)="","",INDEX('Final Calculation Sheet'!$AE$4:$AE$40,$BJ13-3)),IF(OR($BI13=1,$BL13=1,$BH13&gt;0),"–",""))</f>
        <v>DR2640100033</v>
      </c>
      <c r="AG14" s="74">
        <f>IF($BJ13&gt;0,IF(INDEX('Final Calculation Sheet'!$AF$4:$AF$40,$BJ13-3)="","",INDEX('Final Calculation Sheet'!$AF$4:$AF$40,$BJ13-3)),IF(OR($BI13=1,$BL13=1,$BH13&gt;0),"–",""))</f>
        <v>1800003305</v>
      </c>
      <c r="AH14" s="70" t="str">
        <f>IF($BJ13&gt;0,IF(INDEX('Final Calculation Sheet'!$AG$4:$AG$40,$BJ13-3)="","",INDEX('Final Calculation Sheet'!$AG$4:$AG$40,$BJ13-3)),IF(OR($BI13=1,$BL13=1,$BH13&gt;0),"–",""))</f>
        <v>27.08.2026</v>
      </c>
      <c r="AI14" s="75"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SETTLED</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 t="shared" si="7"/>
        <v>0</v>
      </c>
      <c r="AM14">
        <f t="shared" si="1"/>
        <v>1</v>
      </c>
      <c r="AZ14">
        <f t="shared" si="2"/>
        <v>9</v>
      </c>
      <c r="BA14">
        <f t="shared" si="3"/>
        <v>10</v>
      </c>
      <c r="BB14">
        <f t="shared" si="4"/>
        <v>14</v>
      </c>
      <c r="BC14">
        <v>13</v>
      </c>
      <c r="BH14">
        <f>IFERROR(MATCH(14,$BF$4:$BF$13,0),0)</f>
        <v>0</v>
      </c>
      <c r="BI14">
        <f>IF(14=$BG$5,1,0)</f>
        <v>0</v>
      </c>
      <c r="BJ14">
        <f>IF(OR($BH14&gt;0,$BI14=1,$BL14=1),0,IFERROR(INDEX($BC$5:$BC$41,MATCH(14,$BB$5:$BB$41,0)),0))</f>
        <v>13</v>
      </c>
      <c r="BK14">
        <f>IF($BJ14&gt;0,IF(INDEX($AZ$5:$AZ$41,MATCH(14,$BB$5:$BB$41,0))=10,1,0),IF($BH14=10,1,0))</f>
        <v>0</v>
      </c>
      <c r="BL14">
        <f>IF(14=$BG$4,1,0)</f>
        <v>0</v>
      </c>
      <c r="BM14">
        <f t="shared" si="6"/>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IF($AF$4="",1,--(OR(SUMPRODUCT(--(TRIM(MID(SUBSTITUTE(SUBSTITUTE($AF$4,"/",","),",",REPT(" ",99)),(ROW($1:$8)-1)*99+1,99))&lt;&gt;""),--ISNUMBER(SEARCH(TRIM(MID(SUBSTITUTE(SUBSTITUTE($AF$4,"/",","),",",REPT(" ",99)),(ROW($1:$8)-1)*99+1,99)),IFERROR(('Final Calculation Sheet'!$AE$13)&amp;"",""))))&gt;0,AND(ISNUMBER(SEARCH("blank",$AF$4)),NOT(ISNUMBER(SEARCH("nonblank",$AF$4))),IFERROR(('Final Calculation Sheet'!$AE$13)&amp;"","")=""),AND(OR(ISNUMBER(SEARCH("nonblank",$AF$4)),ISNUMBER(SEARCH("&lt;&gt;",$AF$4))),IFERROR(('Final Calculation Sheet'!$AE$13)&amp;"","")&lt;&gt;""),AND(TRIM($AF$4)="",IFERROR(('Final Calculation Sheet'!$AE$13)&amp;"","")=""))))</f>
        <v>1</v>
      </c>
      <c r="CS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T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U14">
        <f>IF($AI$4="",1,--(OR(SUMPRODUCT(--(TRIM(MID(SUBSTITUTE(SUBSTITUTE($AI$4,"/",","),",",REPT(" ",99)),(ROW($1:$8)-1)*99+1,99))&lt;&gt;""),--ISNUMBER(SEARCH(TRIM(MID(SUBSTITUTE(SUBSTITUTE($AI$4,"/",","),",",REPT(" ",99)),(ROW($1:$8)-1)*99+1,99)),IFERROR((IF('Final Calculation Sheet'!$AD$13&lt;=5,"SETTLED","OUTSTANDING"))&amp;"",""))))&gt;0,AND(ISNUMBER(SEARCH("blank",$AI$4)),NOT(ISNUMBER(SEARCH("nonblank",$AI$4))),IFERROR((IF('Final Calculation Sheet'!$AD$13&lt;=5,"SETTLED","OUTSTANDING"))&amp;"","")=""),AND(OR(ISNUMBER(SEARCH("nonblank",$AI$4)),ISNUMBER(SEARCH("&lt;&gt;",$AI$4))),IFERROR((IF('Final Calculation Sheet'!$AD$13&lt;=5,"SETTLED","OUTSTANDING"))&amp;"","")&lt;&gt;""),AND(TRIM($AI$4)="",IFERROR((IF('Final Calculation Sheet'!$AD$13&lt;=5,"SETTLED","OUTSTANDING"))&amp;"","")=""))))</f>
        <v>1</v>
      </c>
    </row>
    <row r="15" spans="1:99" ht="15" customHeight="1" x14ac:dyDescent="0.25">
      <c r="A15" s="67">
        <f>IF($BJ14&gt;0,INDEX($BA$5:$BA$41,MATCH(14,$BB$5:$BB$41,0)),IF(OR($BI14=1,$BL14=1,$BH14&gt;0),"∑",""))</f>
        <v>10</v>
      </c>
      <c r="B15" s="68">
        <f>IF($BJ14&gt;0,IF(INDEX('Final Calculation Sheet'!$F$4:$F$40,$BJ14-3)="","",INDEX('Final Calculation Sheet'!$F$4:$F$40,$BJ14-3)),"")</f>
        <v>2006</v>
      </c>
      <c r="C15" s="68" t="str">
        <f>IF($BJ14&gt;0,IF(INDEX('Final Calculation Sheet'!$G$4:$G$40,$BJ14-3)="","",INDEX('Final Calculation Sheet'!$G$4:$G$40,$BJ14-3)),IF(OR($BI14=1,$BL14=1,$BH14&gt;0),IF($BI14=1,37,IF($BL14=1,37-INDEX($BD$4:$BD$13,10),INDEX($BD$4:$BD$13,$BH14)))&amp;" lot(s)",""))</f>
        <v>STERLING ENTERPRISES</v>
      </c>
      <c r="D15" s="69"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69">
        <f>IF($BJ14&gt;0,IF(INDEX('Final Calculation Sheet'!$D$4:$D$40,$BJ14-3)="","",INDEX('Final Calculation Sheet'!$D$4:$D$40,$BJ14-3)),IF(OR($BI14=1,$BL14=1,$BH14&gt;0),"–",""))</f>
        <v>21977</v>
      </c>
      <c r="F15" s="69">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69"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 ca="1">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0" t="str">
        <f>IF($BJ14&gt;0,IF(INDEX('Final Calculation Sheet'!$AE$4:$AE$40,$BJ14-3)="","",INDEX('Final Calculation Sheet'!$AE$4:$AE$40,$BJ14-3)),IF(OR($BI14=1,$BL14=1,$BH14&gt;0),"–",""))</f>
        <v>DR2640100018</v>
      </c>
      <c r="AG15" s="74">
        <f>IF($BJ14&gt;0,IF(INDEX('Final Calculation Sheet'!$AF$4:$AF$40,$BJ14-3)="","",INDEX('Final Calculation Sheet'!$AF$4:$AF$40,$BJ14-3)),IF(OR($BI14=1,$BL14=1,$BH14&gt;0),"–",""))</f>
        <v>1800003156</v>
      </c>
      <c r="AH15" s="70" t="str">
        <f>IF($BJ14&gt;0,IF(INDEX('Final Calculation Sheet'!$AG$4:$AG$40,$BJ14-3)="","",INDEX('Final Calculation Sheet'!$AG$4:$AG$40,$BJ14-3)),IF(OR($BI14=1,$BL14=1,$BH14&gt;0),"–",""))</f>
        <v>14.08.2026</v>
      </c>
      <c r="AI15" s="75"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SETTLED</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 t="shared" si="7"/>
        <v>0</v>
      </c>
      <c r="AM15">
        <f t="shared" si="1"/>
        <v>1</v>
      </c>
      <c r="AZ15">
        <f t="shared" si="2"/>
        <v>9</v>
      </c>
      <c r="BA15">
        <f t="shared" si="3"/>
        <v>11</v>
      </c>
      <c r="BB15">
        <f t="shared" si="4"/>
        <v>15</v>
      </c>
      <c r="BC15">
        <v>14</v>
      </c>
      <c r="BH15">
        <f>IFERROR(MATCH(15,$BF$4:$BF$13,0),0)</f>
        <v>0</v>
      </c>
      <c r="BI15">
        <f>IF(15=$BG$5,1,0)</f>
        <v>0</v>
      </c>
      <c r="BJ15">
        <f>IF(OR($BH15&gt;0,$BI15=1,$BL15=1),0,IFERROR(INDEX($BC$5:$BC$41,MATCH(15,$BB$5:$BB$41,0)),0))</f>
        <v>14</v>
      </c>
      <c r="BK15">
        <f>IF($BJ15&gt;0,IF(INDEX($AZ$5:$AZ$41,MATCH(15,$BB$5:$BB$41,0))=10,1,0),IF($BH15=10,1,0))</f>
        <v>0</v>
      </c>
      <c r="BL15">
        <f>IF(15=$BG$4,1,0)</f>
        <v>0</v>
      </c>
      <c r="BM15">
        <f t="shared" si="6"/>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IF($AF$4="",1,--(OR(SUMPRODUCT(--(TRIM(MID(SUBSTITUTE(SUBSTITUTE($AF$4,"/",","),",",REPT(" ",99)),(ROW($1:$8)-1)*99+1,99))&lt;&gt;""),--ISNUMBER(SEARCH(TRIM(MID(SUBSTITUTE(SUBSTITUTE($AF$4,"/",","),",",REPT(" ",99)),(ROW($1:$8)-1)*99+1,99)),IFERROR(('Final Calculation Sheet'!$AE$14)&amp;"",""))))&gt;0,AND(ISNUMBER(SEARCH("blank",$AF$4)),NOT(ISNUMBER(SEARCH("nonblank",$AF$4))),IFERROR(('Final Calculation Sheet'!$AE$14)&amp;"","")=""),AND(OR(ISNUMBER(SEARCH("nonblank",$AF$4)),ISNUMBER(SEARCH("&lt;&gt;",$AF$4))),IFERROR(('Final Calculation Sheet'!$AE$14)&amp;"","")&lt;&gt;""),AND(TRIM($AF$4)="",IFERROR(('Final Calculation Sheet'!$AE$14)&amp;"","")=""))))</f>
        <v>1</v>
      </c>
      <c r="CS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T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U15">
        <f>IF($AI$4="",1,--(OR(SUMPRODUCT(--(TRIM(MID(SUBSTITUTE(SUBSTITUTE($AI$4,"/",","),",",REPT(" ",99)),(ROW($1:$8)-1)*99+1,99))&lt;&gt;""),--ISNUMBER(SEARCH(TRIM(MID(SUBSTITUTE(SUBSTITUTE($AI$4,"/",","),",",REPT(" ",99)),(ROW($1:$8)-1)*99+1,99)),IFERROR((IF('Final Calculation Sheet'!$AD$14&lt;=5,"SETTLED","OUTSTANDING"))&amp;"",""))))&gt;0,AND(ISNUMBER(SEARCH("blank",$AI$4)),NOT(ISNUMBER(SEARCH("nonblank",$AI$4))),IFERROR((IF('Final Calculation Sheet'!$AD$14&lt;=5,"SETTLED","OUTSTANDING"))&amp;"","")=""),AND(OR(ISNUMBER(SEARCH("nonblank",$AI$4)),ISNUMBER(SEARCH("&lt;&gt;",$AI$4))),IFERROR((IF('Final Calculation Sheet'!$AD$14&lt;=5,"SETTLED","OUTSTANDING"))&amp;"","")&lt;&gt;""),AND(TRIM($AI$4)="",IFERROR((IF('Final Calculation Sheet'!$AD$14&lt;=5,"SETTLED","OUTSTANDING"))&amp;"","")=""))))</f>
        <v>1</v>
      </c>
    </row>
    <row r="16" spans="1:99" ht="15" customHeight="1" x14ac:dyDescent="0.25">
      <c r="A16" s="67">
        <f>IF($BJ15&gt;0,INDEX($BA$5:$BA$41,MATCH(15,$BB$5:$BB$41,0)),IF(OR($BI15=1,$BL15=1,$BH15&gt;0),"∑",""))</f>
        <v>11</v>
      </c>
      <c r="B16" s="68">
        <f>IF($BJ15&gt;0,IF(INDEX('Final Calculation Sheet'!$F$4:$F$40,$BJ15-3)="","",INDEX('Final Calculation Sheet'!$F$4:$F$40,$BJ15-3)),"")</f>
        <v>2007</v>
      </c>
      <c r="C16" s="68" t="str">
        <f>IF($BJ15&gt;0,IF(INDEX('Final Calculation Sheet'!$G$4:$G$40,$BJ15-3)="","",INDEX('Final Calculation Sheet'!$G$4:$G$40,$BJ15-3)),IF(OR($BI15=1,$BL15=1,$BH15&gt;0),IF($BI15=1,37,IF($BL15=1,37-INDEX($BD$4:$BD$13,10),INDEX($BD$4:$BD$13,$BH15)))&amp;" lot(s)",""))</f>
        <v>SHAR JAHAN TRADERS</v>
      </c>
      <c r="D16" s="69"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69">
        <f>IF($BJ15&gt;0,IF(INDEX('Final Calculation Sheet'!$D$4:$D$40,$BJ15-3)="","",INDEX('Final Calculation Sheet'!$D$4:$D$40,$BJ15-3)),IF(OR($BI15=1,$BL15=1,$BH15&gt;0),"–",""))</f>
        <v>21977</v>
      </c>
      <c r="F16" s="69">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69"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 ca="1">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0" t="str">
        <f>IF($BJ15&gt;0,IF(INDEX('Final Calculation Sheet'!$AE$4:$AE$40,$BJ15-3)="","",INDEX('Final Calculation Sheet'!$AE$4:$AE$40,$BJ15-3)),IF(OR($BI15=1,$BL15=1,$BH15&gt;0),"–",""))</f>
        <v>DR2640100024</v>
      </c>
      <c r="AG16" s="74">
        <f>IF($BJ15&gt;0,IF(INDEX('Final Calculation Sheet'!$AF$4:$AF$40,$BJ15-3)="","",INDEX('Final Calculation Sheet'!$AF$4:$AF$40,$BJ15-3)),IF(OR($BI15=1,$BL15=1,$BH15&gt;0),"–",""))</f>
        <v>1800003196</v>
      </c>
      <c r="AH16" s="70" t="str">
        <f>IF($BJ15&gt;0,IF(INDEX('Final Calculation Sheet'!$AG$4:$AG$40,$BJ15-3)="","",INDEX('Final Calculation Sheet'!$AG$4:$AG$40,$BJ15-3)),IF(OR($BI15=1,$BL15=1,$BH15&gt;0),"–",""))</f>
        <v>17.08.2026</v>
      </c>
      <c r="AI16" s="75"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SETTLED</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 t="shared" si="7"/>
        <v>0</v>
      </c>
      <c r="AM16">
        <f t="shared" si="1"/>
        <v>1</v>
      </c>
      <c r="AZ16">
        <f t="shared" si="2"/>
        <v>9</v>
      </c>
      <c r="BA16">
        <f t="shared" si="3"/>
        <v>12</v>
      </c>
      <c r="BB16">
        <f t="shared" si="4"/>
        <v>16</v>
      </c>
      <c r="BC16">
        <v>15</v>
      </c>
      <c r="BH16">
        <f>IFERROR(MATCH(16,$BF$4:$BF$13,0),0)</f>
        <v>0</v>
      </c>
      <c r="BI16">
        <f>IF(16=$BG$5,1,0)</f>
        <v>0</v>
      </c>
      <c r="BJ16">
        <f>IF(OR($BH16&gt;0,$BI16=1,$BL16=1),0,IFERROR(INDEX($BC$5:$BC$41,MATCH(16,$BB$5:$BB$41,0)),0))</f>
        <v>15</v>
      </c>
      <c r="BK16">
        <f>IF($BJ16&gt;0,IF(INDEX($AZ$5:$AZ$41,MATCH(16,$BB$5:$BB$41,0))=10,1,0),IF($BH16=10,1,0))</f>
        <v>0</v>
      </c>
      <c r="BL16">
        <f>IF(16=$BG$4,1,0)</f>
        <v>0</v>
      </c>
      <c r="BM16">
        <f t="shared" si="6"/>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IF($AF$4="",1,--(OR(SUMPRODUCT(--(TRIM(MID(SUBSTITUTE(SUBSTITUTE($AF$4,"/",","),",",REPT(" ",99)),(ROW($1:$8)-1)*99+1,99))&lt;&gt;""),--ISNUMBER(SEARCH(TRIM(MID(SUBSTITUTE(SUBSTITUTE($AF$4,"/",","),",",REPT(" ",99)),(ROW($1:$8)-1)*99+1,99)),IFERROR(('Final Calculation Sheet'!$AE$15)&amp;"",""))))&gt;0,AND(ISNUMBER(SEARCH("blank",$AF$4)),NOT(ISNUMBER(SEARCH("nonblank",$AF$4))),IFERROR(('Final Calculation Sheet'!$AE$15)&amp;"","")=""),AND(OR(ISNUMBER(SEARCH("nonblank",$AF$4)),ISNUMBER(SEARCH("&lt;&gt;",$AF$4))),IFERROR(('Final Calculation Sheet'!$AE$15)&amp;"","")&lt;&gt;""),AND(TRIM($AF$4)="",IFERROR(('Final Calculation Sheet'!$AE$15)&amp;"","")=""))))</f>
        <v>1</v>
      </c>
      <c r="CS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T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U16">
        <f>IF($AI$4="",1,--(OR(SUMPRODUCT(--(TRIM(MID(SUBSTITUTE(SUBSTITUTE($AI$4,"/",","),",",REPT(" ",99)),(ROW($1:$8)-1)*99+1,99))&lt;&gt;""),--ISNUMBER(SEARCH(TRIM(MID(SUBSTITUTE(SUBSTITUTE($AI$4,"/",","),",",REPT(" ",99)),(ROW($1:$8)-1)*99+1,99)),IFERROR((IF('Final Calculation Sheet'!$AD$15&lt;=5,"SETTLED","OUTSTANDING"))&amp;"",""))))&gt;0,AND(ISNUMBER(SEARCH("blank",$AI$4)),NOT(ISNUMBER(SEARCH("nonblank",$AI$4))),IFERROR((IF('Final Calculation Sheet'!$AD$15&lt;=5,"SETTLED","OUTSTANDING"))&amp;"","")=""),AND(OR(ISNUMBER(SEARCH("nonblank",$AI$4)),ISNUMBER(SEARCH("&lt;&gt;",$AI$4))),IFERROR((IF('Final Calculation Sheet'!$AD$15&lt;=5,"SETTLED","OUTSTANDING"))&amp;"","")&lt;&gt;""),AND(TRIM($AI$4)="",IFERROR((IF('Final Calculation Sheet'!$AD$15&lt;=5,"SETTLED","OUTSTANDING"))&amp;"","")=""))))</f>
        <v>1</v>
      </c>
    </row>
    <row r="17" spans="1:99" ht="15" customHeight="1" x14ac:dyDescent="0.25">
      <c r="A17" s="67">
        <f>IF($BJ16&gt;0,INDEX($BA$5:$BA$41,MATCH(16,$BB$5:$BB$41,0)),IF(OR($BI16=1,$BL16=1,$BH16&gt;0),"∑",""))</f>
        <v>12</v>
      </c>
      <c r="B17" s="68">
        <f>IF($BJ16&gt;0,IF(INDEX('Final Calculation Sheet'!$F$4:$F$40,$BJ16-3)="","",INDEX('Final Calculation Sheet'!$F$4:$F$40,$BJ16-3)),"")</f>
        <v>2008</v>
      </c>
      <c r="C17" s="68" t="str">
        <f>IF($BJ16&gt;0,IF(INDEX('Final Calculation Sheet'!$G$4:$G$40,$BJ16-3)="","",INDEX('Final Calculation Sheet'!$G$4:$G$40,$BJ16-3)),IF(OR($BI16=1,$BL16=1,$BH16&gt;0),IF($BI16=1,37,IF($BL16=1,37-INDEX($BD$4:$BD$13,10),INDEX($BD$4:$BD$13,$BH16)))&amp;" lot(s)",""))</f>
        <v>HIND TRADERS</v>
      </c>
      <c r="D17" s="69"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69">
        <f>IF($BJ16&gt;0,IF(INDEX('Final Calculation Sheet'!$D$4:$D$40,$BJ16-3)="","",INDEX('Final Calculation Sheet'!$D$4:$D$40,$BJ16-3)),IF(OR($BI16=1,$BL16=1,$BH16&gt;0),"–",""))</f>
        <v>21977</v>
      </c>
      <c r="F17" s="69">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69"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 ca="1">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0" t="str">
        <f>IF($BJ16&gt;0,IF(INDEX('Final Calculation Sheet'!$AE$4:$AE$40,$BJ16-3)="","",INDEX('Final Calculation Sheet'!$AE$4:$AE$40,$BJ16-3)),IF(OR($BI16=1,$BL16=1,$BH16&gt;0),"–",""))</f>
        <v>DR2640100026</v>
      </c>
      <c r="AG17" s="74">
        <f>IF($BJ16&gt;0,IF(INDEX('Final Calculation Sheet'!$AF$4:$AF$40,$BJ16-3)="","",INDEX('Final Calculation Sheet'!$AF$4:$AF$40,$BJ16-3)),IF(OR($BI16=1,$BL16=1,$BH16&gt;0),"–",""))</f>
        <v>1800003247</v>
      </c>
      <c r="AH17" s="70" t="str">
        <f>IF($BJ16&gt;0,IF(INDEX('Final Calculation Sheet'!$AG$4:$AG$40,$BJ16-3)="","",INDEX('Final Calculation Sheet'!$AG$4:$AG$40,$BJ16-3)),IF(OR($BI16=1,$BL16=1,$BH16&gt;0),"–",""))</f>
        <v>20.08.2026</v>
      </c>
      <c r="AI17" s="75"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SETTLED</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 t="shared" si="7"/>
        <v>0</v>
      </c>
      <c r="AM17">
        <f t="shared" si="1"/>
        <v>1</v>
      </c>
      <c r="AZ17">
        <f t="shared" si="2"/>
        <v>9</v>
      </c>
      <c r="BA17">
        <f t="shared" si="3"/>
        <v>13</v>
      </c>
      <c r="BB17">
        <f t="shared" si="4"/>
        <v>17</v>
      </c>
      <c r="BC17">
        <v>16</v>
      </c>
      <c r="BH17">
        <f>IFERROR(MATCH(17,$BF$4:$BF$13,0),0)</f>
        <v>0</v>
      </c>
      <c r="BI17">
        <f>IF(17=$BG$5,1,0)</f>
        <v>0</v>
      </c>
      <c r="BJ17">
        <f>IF(OR($BH17&gt;0,$BI17=1,$BL17=1),0,IFERROR(INDEX($BC$5:$BC$41,MATCH(17,$BB$5:$BB$41,0)),0))</f>
        <v>16</v>
      </c>
      <c r="BK17">
        <f>IF($BJ17&gt;0,IF(INDEX($AZ$5:$AZ$41,MATCH(17,$BB$5:$BB$41,0))=10,1,0),IF($BH17=10,1,0))</f>
        <v>0</v>
      </c>
      <c r="BL17">
        <f>IF(17=$BG$4,1,0)</f>
        <v>0</v>
      </c>
      <c r="BM17">
        <f t="shared" si="6"/>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IF($AF$4="",1,--(OR(SUMPRODUCT(--(TRIM(MID(SUBSTITUTE(SUBSTITUTE($AF$4,"/",","),",",REPT(" ",99)),(ROW($1:$8)-1)*99+1,99))&lt;&gt;""),--ISNUMBER(SEARCH(TRIM(MID(SUBSTITUTE(SUBSTITUTE($AF$4,"/",","),",",REPT(" ",99)),(ROW($1:$8)-1)*99+1,99)),IFERROR(('Final Calculation Sheet'!$AE$16)&amp;"",""))))&gt;0,AND(ISNUMBER(SEARCH("blank",$AF$4)),NOT(ISNUMBER(SEARCH("nonblank",$AF$4))),IFERROR(('Final Calculation Sheet'!$AE$16)&amp;"","")=""),AND(OR(ISNUMBER(SEARCH("nonblank",$AF$4)),ISNUMBER(SEARCH("&lt;&gt;",$AF$4))),IFERROR(('Final Calculation Sheet'!$AE$16)&amp;"","")&lt;&gt;""),AND(TRIM($AF$4)="",IFERROR(('Final Calculation Sheet'!$AE$16)&amp;"","")=""))))</f>
        <v>1</v>
      </c>
      <c r="CS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T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U17">
        <f>IF($AI$4="",1,--(OR(SUMPRODUCT(--(TRIM(MID(SUBSTITUTE(SUBSTITUTE($AI$4,"/",","),",",REPT(" ",99)),(ROW($1:$8)-1)*99+1,99))&lt;&gt;""),--ISNUMBER(SEARCH(TRIM(MID(SUBSTITUTE(SUBSTITUTE($AI$4,"/",","),",",REPT(" ",99)),(ROW($1:$8)-1)*99+1,99)),IFERROR((IF('Final Calculation Sheet'!$AD$16&lt;=5,"SETTLED","OUTSTANDING"))&amp;"",""))))&gt;0,AND(ISNUMBER(SEARCH("blank",$AI$4)),NOT(ISNUMBER(SEARCH("nonblank",$AI$4))),IFERROR((IF('Final Calculation Sheet'!$AD$16&lt;=5,"SETTLED","OUTSTANDING"))&amp;"","")=""),AND(OR(ISNUMBER(SEARCH("nonblank",$AI$4)),ISNUMBER(SEARCH("&lt;&gt;",$AI$4))),IFERROR((IF('Final Calculation Sheet'!$AD$16&lt;=5,"SETTLED","OUTSTANDING"))&amp;"","")&lt;&gt;""),AND(TRIM($AI$4)="",IFERROR((IF('Final Calculation Sheet'!$AD$16&lt;=5,"SETTLED","OUTSTANDING"))&amp;"","")=""))))</f>
        <v>1</v>
      </c>
    </row>
    <row r="18" spans="1:99" ht="15" customHeight="1" x14ac:dyDescent="0.25">
      <c r="A18" s="67">
        <f>IF($BJ17&gt;0,INDEX($BA$5:$BA$41,MATCH(17,$BB$5:$BB$41,0)),IF(OR($BI17=1,$BL17=1,$BH17&gt;0),"∑",""))</f>
        <v>13</v>
      </c>
      <c r="B18" s="68">
        <f>IF($BJ17&gt;0,IF(INDEX('Final Calculation Sheet'!$F$4:$F$40,$BJ17-3)="","",INDEX('Final Calculation Sheet'!$F$4:$F$40,$BJ17-3)),"")</f>
        <v>2011</v>
      </c>
      <c r="C18" s="68" t="str">
        <f>IF($BJ17&gt;0,IF(INDEX('Final Calculation Sheet'!$G$4:$G$40,$BJ17-3)="","",INDEX('Final Calculation Sheet'!$G$4:$G$40,$BJ17-3)),IF(OR($BI17=1,$BL17=1,$BH17&gt;0),IF($BI17=1,37,IF($BL17=1,37-INDEX($BD$4:$BD$13,10),INDEX($BD$4:$BD$13,$BH17)))&amp;" lot(s)",""))</f>
        <v>STERLING ENTERPRISES</v>
      </c>
      <c r="D18" s="69"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69">
        <f>IF($BJ17&gt;0,IF(INDEX('Final Calculation Sheet'!$D$4:$D$40,$BJ17-3)="","",INDEX('Final Calculation Sheet'!$D$4:$D$40,$BJ17-3)),IF(OR($BI17=1,$BL17=1,$BH17&gt;0),"–",""))</f>
        <v>21977</v>
      </c>
      <c r="F18" s="69">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69"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 ca="1">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0" t="str">
        <f>IF($BJ17&gt;0,IF(INDEX('Final Calculation Sheet'!$AE$4:$AE$40,$BJ17-3)="","",INDEX('Final Calculation Sheet'!$AE$4:$AE$40,$BJ17-3)),IF(OR($BI17=1,$BL17=1,$BH17&gt;0),"–",""))</f>
        <v>DR2640100019</v>
      </c>
      <c r="AG18" s="74">
        <f>IF($BJ17&gt;0,IF(INDEX('Final Calculation Sheet'!$AF$4:$AF$40,$BJ17-3)="","",INDEX('Final Calculation Sheet'!$AF$4:$AF$40,$BJ17-3)),IF(OR($BI17=1,$BL17=1,$BH17&gt;0),"–",""))</f>
        <v>1800003157</v>
      </c>
      <c r="AH18" s="70" t="str">
        <f>IF($BJ17&gt;0,IF(INDEX('Final Calculation Sheet'!$AG$4:$AG$40,$BJ17-3)="","",INDEX('Final Calculation Sheet'!$AG$4:$AG$40,$BJ17-3)),IF(OR($BI17=1,$BL17=1,$BH17&gt;0),"–",""))</f>
        <v>14.08.2026</v>
      </c>
      <c r="AI18" s="75"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SETTLED</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 t="shared" si="7"/>
        <v>0</v>
      </c>
      <c r="AM18">
        <f t="shared" si="1"/>
        <v>1</v>
      </c>
      <c r="AZ18">
        <f t="shared" si="2"/>
        <v>9</v>
      </c>
      <c r="BA18">
        <f t="shared" si="3"/>
        <v>14</v>
      </c>
      <c r="BB18">
        <f t="shared" si="4"/>
        <v>18</v>
      </c>
      <c r="BC18">
        <v>17</v>
      </c>
      <c r="BH18">
        <f>IFERROR(MATCH(18,$BF$4:$BF$13,0),0)</f>
        <v>0</v>
      </c>
      <c r="BI18">
        <f>IF(18=$BG$5,1,0)</f>
        <v>0</v>
      </c>
      <c r="BJ18">
        <f>IF(OR($BH18&gt;0,$BI18=1,$BL18=1),0,IFERROR(INDEX($BC$5:$BC$41,MATCH(18,$BB$5:$BB$41,0)),0))</f>
        <v>17</v>
      </c>
      <c r="BK18">
        <f>IF($BJ18&gt;0,IF(INDEX($AZ$5:$AZ$41,MATCH(18,$BB$5:$BB$41,0))=10,1,0),IF($BH18=10,1,0))</f>
        <v>0</v>
      </c>
      <c r="BL18">
        <f>IF(18=$BG$4,1,0)</f>
        <v>0</v>
      </c>
      <c r="BM18">
        <f t="shared" si="6"/>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IF($AF$4="",1,--(OR(SUMPRODUCT(--(TRIM(MID(SUBSTITUTE(SUBSTITUTE($AF$4,"/",","),",",REPT(" ",99)),(ROW($1:$8)-1)*99+1,99))&lt;&gt;""),--ISNUMBER(SEARCH(TRIM(MID(SUBSTITUTE(SUBSTITUTE($AF$4,"/",","),",",REPT(" ",99)),(ROW($1:$8)-1)*99+1,99)),IFERROR(('Final Calculation Sheet'!$AE$17)&amp;"",""))))&gt;0,AND(ISNUMBER(SEARCH("blank",$AF$4)),NOT(ISNUMBER(SEARCH("nonblank",$AF$4))),IFERROR(('Final Calculation Sheet'!$AE$17)&amp;"","")=""),AND(OR(ISNUMBER(SEARCH("nonblank",$AF$4)),ISNUMBER(SEARCH("&lt;&gt;",$AF$4))),IFERROR(('Final Calculation Sheet'!$AE$17)&amp;"","")&lt;&gt;""),AND(TRIM($AF$4)="",IFERROR(('Final Calculation Sheet'!$AE$17)&amp;"","")=""))))</f>
        <v>1</v>
      </c>
      <c r="CS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T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U18">
        <f>IF($AI$4="",1,--(OR(SUMPRODUCT(--(TRIM(MID(SUBSTITUTE(SUBSTITUTE($AI$4,"/",","),",",REPT(" ",99)),(ROW($1:$8)-1)*99+1,99))&lt;&gt;""),--ISNUMBER(SEARCH(TRIM(MID(SUBSTITUTE(SUBSTITUTE($AI$4,"/",","),",",REPT(" ",99)),(ROW($1:$8)-1)*99+1,99)),IFERROR((IF('Final Calculation Sheet'!$AD$17&lt;=5,"SETTLED","OUTSTANDING"))&amp;"",""))))&gt;0,AND(ISNUMBER(SEARCH("blank",$AI$4)),NOT(ISNUMBER(SEARCH("nonblank",$AI$4))),IFERROR((IF('Final Calculation Sheet'!$AD$17&lt;=5,"SETTLED","OUTSTANDING"))&amp;"","")=""),AND(OR(ISNUMBER(SEARCH("nonblank",$AI$4)),ISNUMBER(SEARCH("&lt;&gt;",$AI$4))),IFERROR((IF('Final Calculation Sheet'!$AD$17&lt;=5,"SETTLED","OUTSTANDING"))&amp;"","")&lt;&gt;""),AND(TRIM($AI$4)="",IFERROR((IF('Final Calculation Sheet'!$AD$17&lt;=5,"SETTLED","OUTSTANDING"))&amp;"","")=""))))</f>
        <v>1</v>
      </c>
    </row>
    <row r="19" spans="1:99" ht="15" customHeight="1" x14ac:dyDescent="0.25">
      <c r="A19" s="67">
        <f>IF($BJ18&gt;0,INDEX($BA$5:$BA$41,MATCH(18,$BB$5:$BB$41,0)),IF(OR($BI18=1,$BL18=1,$BH18&gt;0),"∑",""))</f>
        <v>14</v>
      </c>
      <c r="B19" s="68">
        <f>IF($BJ18&gt;0,IF(INDEX('Final Calculation Sheet'!$F$4:$F$40,$BJ18-3)="","",INDEX('Final Calculation Sheet'!$F$4:$F$40,$BJ18-3)),"")</f>
        <v>2015</v>
      </c>
      <c r="C19" s="68" t="str">
        <f>IF($BJ18&gt;0,IF(INDEX('Final Calculation Sheet'!$G$4:$G$40,$BJ18-3)="","",INDEX('Final Calculation Sheet'!$G$4:$G$40,$BJ18-3)),IF(OR($BI18=1,$BL18=1,$BH18&gt;0),IF($BI18=1,37,IF($BL18=1,37-INDEX($BD$4:$BD$13,10),INDEX($BD$4:$BD$13,$BH18)))&amp;" lot(s)",""))</f>
        <v>STERLING ENTERPRISES</v>
      </c>
      <c r="D19" s="69"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69">
        <f>IF($BJ18&gt;0,IF(INDEX('Final Calculation Sheet'!$D$4:$D$40,$BJ18-3)="","",INDEX('Final Calculation Sheet'!$D$4:$D$40,$BJ18-3)),IF(OR($BI18=1,$BL18=1,$BH18&gt;0),"–",""))</f>
        <v>21978</v>
      </c>
      <c r="F19" s="69">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69"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 ca="1">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0" t="str">
        <f>IF($BJ18&gt;0,IF(INDEX('Final Calculation Sheet'!$AE$4:$AE$40,$BJ18-3)="","",INDEX('Final Calculation Sheet'!$AE$4:$AE$40,$BJ18-3)),IF(OR($BI18=1,$BL18=1,$BH18&gt;0),"–",""))</f>
        <v>DR2640100020</v>
      </c>
      <c r="AG19" s="74">
        <f>IF($BJ18&gt;0,IF(INDEX('Final Calculation Sheet'!$AF$4:$AF$40,$BJ18-3)="","",INDEX('Final Calculation Sheet'!$AF$4:$AF$40,$BJ18-3)),IF(OR($BI18=1,$BL18=1,$BH18&gt;0),"–",""))</f>
        <v>1800003158</v>
      </c>
      <c r="AH19" s="70" t="str">
        <f>IF($BJ18&gt;0,IF(INDEX('Final Calculation Sheet'!$AG$4:$AG$40,$BJ18-3)="","",INDEX('Final Calculation Sheet'!$AG$4:$AG$40,$BJ18-3)),IF(OR($BI18=1,$BL18=1,$BH18&gt;0),"–",""))</f>
        <v>14.08.2026</v>
      </c>
      <c r="AI19" s="7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SETTLED</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 t="shared" si="7"/>
        <v>0</v>
      </c>
      <c r="AM19">
        <f t="shared" si="1"/>
        <v>1</v>
      </c>
      <c r="AZ19">
        <f t="shared" si="2"/>
        <v>9</v>
      </c>
      <c r="BA19">
        <f t="shared" si="3"/>
        <v>15</v>
      </c>
      <c r="BB19">
        <f t="shared" si="4"/>
        <v>19</v>
      </c>
      <c r="BC19">
        <v>18</v>
      </c>
      <c r="BH19">
        <f>IFERROR(MATCH(19,$BF$4:$BF$13,0),0)</f>
        <v>0</v>
      </c>
      <c r="BI19">
        <f>IF(19=$BG$5,1,0)</f>
        <v>0</v>
      </c>
      <c r="BJ19">
        <f>IF(OR($BH19&gt;0,$BI19=1,$BL19=1),0,IFERROR(INDEX($BC$5:$BC$41,MATCH(19,$BB$5:$BB$41,0)),0))</f>
        <v>18</v>
      </c>
      <c r="BK19">
        <f>IF($BJ19&gt;0,IF(INDEX($AZ$5:$AZ$41,MATCH(19,$BB$5:$BB$41,0))=10,1,0),IF($BH19=10,1,0))</f>
        <v>0</v>
      </c>
      <c r="BL19">
        <f>IF(19=$BG$4,1,0)</f>
        <v>0</v>
      </c>
      <c r="BM19">
        <f t="shared" si="6"/>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IF($AF$4="",1,--(OR(SUMPRODUCT(--(TRIM(MID(SUBSTITUTE(SUBSTITUTE($AF$4,"/",","),",",REPT(" ",99)),(ROW($1:$8)-1)*99+1,99))&lt;&gt;""),--ISNUMBER(SEARCH(TRIM(MID(SUBSTITUTE(SUBSTITUTE($AF$4,"/",","),",",REPT(" ",99)),(ROW($1:$8)-1)*99+1,99)),IFERROR(('Final Calculation Sheet'!$AE$18)&amp;"",""))))&gt;0,AND(ISNUMBER(SEARCH("blank",$AF$4)),NOT(ISNUMBER(SEARCH("nonblank",$AF$4))),IFERROR(('Final Calculation Sheet'!$AE$18)&amp;"","")=""),AND(OR(ISNUMBER(SEARCH("nonblank",$AF$4)),ISNUMBER(SEARCH("&lt;&gt;",$AF$4))),IFERROR(('Final Calculation Sheet'!$AE$18)&amp;"","")&lt;&gt;""),AND(TRIM($AF$4)="",IFERROR(('Final Calculation Sheet'!$AE$18)&amp;"","")=""))))</f>
        <v>1</v>
      </c>
      <c r="CS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T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U19">
        <f>IF($AI$4="",1,--(OR(SUMPRODUCT(--(TRIM(MID(SUBSTITUTE(SUBSTITUTE($AI$4,"/",","),",",REPT(" ",99)),(ROW($1:$8)-1)*99+1,99))&lt;&gt;""),--ISNUMBER(SEARCH(TRIM(MID(SUBSTITUTE(SUBSTITUTE($AI$4,"/",","),",",REPT(" ",99)),(ROW($1:$8)-1)*99+1,99)),IFERROR((IF('Final Calculation Sheet'!$AD$18&lt;=5,"SETTLED","OUTSTANDING"))&amp;"",""))))&gt;0,AND(ISNUMBER(SEARCH("blank",$AI$4)),NOT(ISNUMBER(SEARCH("nonblank",$AI$4))),IFERROR((IF('Final Calculation Sheet'!$AD$18&lt;=5,"SETTLED","OUTSTANDING"))&amp;"","")=""),AND(OR(ISNUMBER(SEARCH("nonblank",$AI$4)),ISNUMBER(SEARCH("&lt;&gt;",$AI$4))),IFERROR((IF('Final Calculation Sheet'!$AD$18&lt;=5,"SETTLED","OUTSTANDING"))&amp;"","")&lt;&gt;""),AND(TRIM($AI$4)="",IFERROR((IF('Final Calculation Sheet'!$AD$18&lt;=5,"SETTLED","OUTSTANDING"))&amp;"","")=""))))</f>
        <v>1</v>
      </c>
    </row>
    <row r="20" spans="1:99" ht="15" customHeight="1" x14ac:dyDescent="0.25">
      <c r="A20" s="67">
        <f>IF($BJ19&gt;0,INDEX($BA$5:$BA$41,MATCH(19,$BB$5:$BB$41,0)),IF(OR($BI19=1,$BL19=1,$BH19&gt;0),"∑",""))</f>
        <v>15</v>
      </c>
      <c r="B20" s="68">
        <f>IF($BJ19&gt;0,IF(INDEX('Final Calculation Sheet'!$F$4:$F$40,$BJ19-3)="","",INDEX('Final Calculation Sheet'!$F$4:$F$40,$BJ19-3)),"")</f>
        <v>2018</v>
      </c>
      <c r="C20" s="68" t="str">
        <f>IF($BJ19&gt;0,IF(INDEX('Final Calculation Sheet'!$G$4:$G$40,$BJ19-3)="","",INDEX('Final Calculation Sheet'!$G$4:$G$40,$BJ19-3)),IF(OR($BI19=1,$BL19=1,$BH19&gt;0),IF($BI19=1,37,IF($BL19=1,37-INDEX($BD$4:$BD$13,10),INDEX($BD$4:$BD$13,$BH19)))&amp;" lot(s)",""))</f>
        <v>NATIONAL ENTERPRISES</v>
      </c>
      <c r="D20" s="69"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69">
        <f>IF($BJ19&gt;0,IF(INDEX('Final Calculation Sheet'!$D$4:$D$40,$BJ19-3)="","",INDEX('Final Calculation Sheet'!$D$4:$D$40,$BJ19-3)),IF(OR($BI19=1,$BL19=1,$BH19&gt;0),"–",""))</f>
        <v>21978</v>
      </c>
      <c r="F20" s="69">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69"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 ca="1">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0" t="str">
        <f>IF($BJ19&gt;0,IF(INDEX('Final Calculation Sheet'!$AE$4:$AE$40,$BJ19-3)="","",INDEX('Final Calculation Sheet'!$AE$4:$AE$40,$BJ19-3)),IF(OR($BI19=1,$BL19=1,$BH19&gt;0),"–",""))</f>
        <v>DR2640100034</v>
      </c>
      <c r="AG20" s="74">
        <f>IF($BJ19&gt;0,IF(INDEX('Final Calculation Sheet'!$AF$4:$AF$40,$BJ19-3)="","",INDEX('Final Calculation Sheet'!$AF$4:$AF$40,$BJ19-3)),IF(OR($BI19=1,$BL19=1,$BH19&gt;0),"–",""))</f>
        <v>1800003306</v>
      </c>
      <c r="AH20" s="70" t="str">
        <f>IF($BJ19&gt;0,IF(INDEX('Final Calculation Sheet'!$AG$4:$AG$40,$BJ19-3)="","",INDEX('Final Calculation Sheet'!$AG$4:$AG$40,$BJ19-3)),IF(OR($BI19=1,$BL19=1,$BH19&gt;0),"–",""))</f>
        <v>27.08.2026</v>
      </c>
      <c r="AI20" s="75"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SETTLED</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 t="shared" si="7"/>
        <v>0</v>
      </c>
      <c r="AM20">
        <f t="shared" si="1"/>
        <v>1</v>
      </c>
      <c r="AZ20">
        <f t="shared" si="2"/>
        <v>9</v>
      </c>
      <c r="BA20">
        <f t="shared" si="3"/>
        <v>16</v>
      </c>
      <c r="BB20">
        <f t="shared" si="4"/>
        <v>20</v>
      </c>
      <c r="BC20">
        <v>19</v>
      </c>
      <c r="BH20">
        <f>IFERROR(MATCH(20,$BF$4:$BF$13,0),0)</f>
        <v>0</v>
      </c>
      <c r="BI20">
        <f>IF(20=$BG$5,1,0)</f>
        <v>0</v>
      </c>
      <c r="BJ20">
        <f>IF(OR($BH20&gt;0,$BI20=1,$BL20=1),0,IFERROR(INDEX($BC$5:$BC$41,MATCH(20,$BB$5:$BB$41,0)),0))</f>
        <v>19</v>
      </c>
      <c r="BK20">
        <f>IF($BJ20&gt;0,IF(INDEX($AZ$5:$AZ$41,MATCH(20,$BB$5:$BB$41,0))=10,1,0),IF($BH20=10,1,0))</f>
        <v>0</v>
      </c>
      <c r="BL20">
        <f>IF(20=$BG$4,1,0)</f>
        <v>0</v>
      </c>
      <c r="BM20">
        <f t="shared" si="6"/>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IF($AF$4="",1,--(OR(SUMPRODUCT(--(TRIM(MID(SUBSTITUTE(SUBSTITUTE($AF$4,"/",","),",",REPT(" ",99)),(ROW($1:$8)-1)*99+1,99))&lt;&gt;""),--ISNUMBER(SEARCH(TRIM(MID(SUBSTITUTE(SUBSTITUTE($AF$4,"/",","),",",REPT(" ",99)),(ROW($1:$8)-1)*99+1,99)),IFERROR(('Final Calculation Sheet'!$AE$19)&amp;"",""))))&gt;0,AND(ISNUMBER(SEARCH("blank",$AF$4)),NOT(ISNUMBER(SEARCH("nonblank",$AF$4))),IFERROR(('Final Calculation Sheet'!$AE$19)&amp;"","")=""),AND(OR(ISNUMBER(SEARCH("nonblank",$AF$4)),ISNUMBER(SEARCH("&lt;&gt;",$AF$4))),IFERROR(('Final Calculation Sheet'!$AE$19)&amp;"","")&lt;&gt;""),AND(TRIM($AF$4)="",IFERROR(('Final Calculation Sheet'!$AE$19)&amp;"","")=""))))</f>
        <v>1</v>
      </c>
      <c r="CS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T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U20">
        <f>IF($AI$4="",1,--(OR(SUMPRODUCT(--(TRIM(MID(SUBSTITUTE(SUBSTITUTE($AI$4,"/",","),",",REPT(" ",99)),(ROW($1:$8)-1)*99+1,99))&lt;&gt;""),--ISNUMBER(SEARCH(TRIM(MID(SUBSTITUTE(SUBSTITUTE($AI$4,"/",","),",",REPT(" ",99)),(ROW($1:$8)-1)*99+1,99)),IFERROR((IF('Final Calculation Sheet'!$AD$19&lt;=5,"SETTLED","OUTSTANDING"))&amp;"",""))))&gt;0,AND(ISNUMBER(SEARCH("blank",$AI$4)),NOT(ISNUMBER(SEARCH("nonblank",$AI$4))),IFERROR((IF('Final Calculation Sheet'!$AD$19&lt;=5,"SETTLED","OUTSTANDING"))&amp;"","")=""),AND(OR(ISNUMBER(SEARCH("nonblank",$AI$4)),ISNUMBER(SEARCH("&lt;&gt;",$AI$4))),IFERROR((IF('Final Calculation Sheet'!$AD$19&lt;=5,"SETTLED","OUTSTANDING"))&amp;"","")&lt;&gt;""),AND(TRIM($AI$4)="",IFERROR((IF('Final Calculation Sheet'!$AD$19&lt;=5,"SETTLED","OUTSTANDING"))&amp;"","")=""))))</f>
        <v>1</v>
      </c>
    </row>
    <row r="21" spans="1:99" ht="15" customHeight="1" x14ac:dyDescent="0.25">
      <c r="A21" s="67">
        <f>IF($BJ20&gt;0,INDEX($BA$5:$BA$41,MATCH(20,$BB$5:$BB$41,0)),IF(OR($BI20=1,$BL20=1,$BH20&gt;0),"∑",""))</f>
        <v>16</v>
      </c>
      <c r="B21" s="68">
        <f>IF($BJ20&gt;0,IF(INDEX('Final Calculation Sheet'!$F$4:$F$40,$BJ20-3)="","",INDEX('Final Calculation Sheet'!$F$4:$F$40,$BJ20-3)),"")</f>
        <v>2019</v>
      </c>
      <c r="C21" s="68" t="str">
        <f>IF($BJ20&gt;0,IF(INDEX('Final Calculation Sheet'!$G$4:$G$40,$BJ20-3)="","",INDEX('Final Calculation Sheet'!$G$4:$G$40,$BJ20-3)),IF(OR($BI20=1,$BL20=1,$BH20&gt;0),IF($BI20=1,37,IF($BL20=1,37-INDEX($BD$4:$BD$13,10),INDEX($BD$4:$BD$13,$BH20)))&amp;" lot(s)",""))</f>
        <v>NATIONAL ENTERPRISES</v>
      </c>
      <c r="D21" s="69"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69">
        <f>IF($BJ20&gt;0,IF(INDEX('Final Calculation Sheet'!$D$4:$D$40,$BJ20-3)="","",INDEX('Final Calculation Sheet'!$D$4:$D$40,$BJ20-3)),IF(OR($BI20=1,$BL20=1,$BH20&gt;0),"–",""))</f>
        <v>21978</v>
      </c>
      <c r="F21" s="69">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69"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 ca="1">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0" t="str">
        <f>IF($BJ20&gt;0,IF(INDEX('Final Calculation Sheet'!$AE$4:$AE$40,$BJ20-3)="","",INDEX('Final Calculation Sheet'!$AE$4:$AE$40,$BJ20-3)),IF(OR($BI20=1,$BL20=1,$BH20&gt;0),"–",""))</f>
        <v>DR2640100035</v>
      </c>
      <c r="AG21" s="74">
        <f>IF($BJ20&gt;0,IF(INDEX('Final Calculation Sheet'!$AF$4:$AF$40,$BJ20-3)="","",INDEX('Final Calculation Sheet'!$AF$4:$AF$40,$BJ20-3)),IF(OR($BI20=1,$BL20=1,$BH20&gt;0),"–",""))</f>
        <v>1800003307</v>
      </c>
      <c r="AH21" s="70" t="str">
        <f>IF($BJ20&gt;0,IF(INDEX('Final Calculation Sheet'!$AG$4:$AG$40,$BJ20-3)="","",INDEX('Final Calculation Sheet'!$AG$4:$AG$40,$BJ20-3)),IF(OR($BI20=1,$BL20=1,$BH20&gt;0),"–",""))</f>
        <v>27.08.2026</v>
      </c>
      <c r="AI21" s="75"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SETTLED</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 t="shared" si="7"/>
        <v>0</v>
      </c>
      <c r="AM21">
        <f t="shared" si="1"/>
        <v>1</v>
      </c>
      <c r="AZ21">
        <f t="shared" si="2"/>
        <v>9</v>
      </c>
      <c r="BA21">
        <f t="shared" si="3"/>
        <v>17</v>
      </c>
      <c r="BB21">
        <f t="shared" si="4"/>
        <v>21</v>
      </c>
      <c r="BC21">
        <v>20</v>
      </c>
      <c r="BH21">
        <f>IFERROR(MATCH(21,$BF$4:$BF$13,0),0)</f>
        <v>0</v>
      </c>
      <c r="BI21">
        <f>IF(21=$BG$5,1,0)</f>
        <v>0</v>
      </c>
      <c r="BJ21">
        <f>IF(OR($BH21&gt;0,$BI21=1,$BL21=1),0,IFERROR(INDEX($BC$5:$BC$41,MATCH(21,$BB$5:$BB$41,0)),0))</f>
        <v>20</v>
      </c>
      <c r="BK21">
        <f>IF($BJ21&gt;0,IF(INDEX($AZ$5:$AZ$41,MATCH(21,$BB$5:$BB$41,0))=10,1,0),IF($BH21=10,1,0))</f>
        <v>0</v>
      </c>
      <c r="BL21">
        <f>IF(21=$BG$4,1,0)</f>
        <v>0</v>
      </c>
      <c r="BM21">
        <f t="shared" si="6"/>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IF($AF$4="",1,--(OR(SUMPRODUCT(--(TRIM(MID(SUBSTITUTE(SUBSTITUTE($AF$4,"/",","),",",REPT(" ",99)),(ROW($1:$8)-1)*99+1,99))&lt;&gt;""),--ISNUMBER(SEARCH(TRIM(MID(SUBSTITUTE(SUBSTITUTE($AF$4,"/",","),",",REPT(" ",99)),(ROW($1:$8)-1)*99+1,99)),IFERROR(('Final Calculation Sheet'!$AE$20)&amp;"",""))))&gt;0,AND(ISNUMBER(SEARCH("blank",$AF$4)),NOT(ISNUMBER(SEARCH("nonblank",$AF$4))),IFERROR(('Final Calculation Sheet'!$AE$20)&amp;"","")=""),AND(OR(ISNUMBER(SEARCH("nonblank",$AF$4)),ISNUMBER(SEARCH("&lt;&gt;",$AF$4))),IFERROR(('Final Calculation Sheet'!$AE$20)&amp;"","")&lt;&gt;""),AND(TRIM($AF$4)="",IFERROR(('Final Calculation Sheet'!$AE$20)&amp;"","")=""))))</f>
        <v>1</v>
      </c>
      <c r="CS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T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U21">
        <f>IF($AI$4="",1,--(OR(SUMPRODUCT(--(TRIM(MID(SUBSTITUTE(SUBSTITUTE($AI$4,"/",","),",",REPT(" ",99)),(ROW($1:$8)-1)*99+1,99))&lt;&gt;""),--ISNUMBER(SEARCH(TRIM(MID(SUBSTITUTE(SUBSTITUTE($AI$4,"/",","),",",REPT(" ",99)),(ROW($1:$8)-1)*99+1,99)),IFERROR((IF('Final Calculation Sheet'!$AD$20&lt;=5,"SETTLED","OUTSTANDING"))&amp;"",""))))&gt;0,AND(ISNUMBER(SEARCH("blank",$AI$4)),NOT(ISNUMBER(SEARCH("nonblank",$AI$4))),IFERROR((IF('Final Calculation Sheet'!$AD$20&lt;=5,"SETTLED","OUTSTANDING"))&amp;"","")=""),AND(OR(ISNUMBER(SEARCH("nonblank",$AI$4)),ISNUMBER(SEARCH("&lt;&gt;",$AI$4))),IFERROR((IF('Final Calculation Sheet'!$AD$20&lt;=5,"SETTLED","OUTSTANDING"))&amp;"","")&lt;&gt;""),AND(TRIM($AI$4)="",IFERROR((IF('Final Calculation Sheet'!$AD$20&lt;=5,"SETTLED","OUTSTANDING"))&amp;"","")=""))))</f>
        <v>1</v>
      </c>
    </row>
    <row r="22" spans="1:99" ht="15" customHeight="1" x14ac:dyDescent="0.25">
      <c r="A22" s="67">
        <f>IF($BJ21&gt;0,INDEX($BA$5:$BA$41,MATCH(21,$BB$5:$BB$41,0)),IF(OR($BI21=1,$BL21=1,$BH21&gt;0),"∑",""))</f>
        <v>17</v>
      </c>
      <c r="B22" s="68">
        <f>IF($BJ21&gt;0,IF(INDEX('Final Calculation Sheet'!$F$4:$F$40,$BJ21-3)="","",INDEX('Final Calculation Sheet'!$F$4:$F$40,$BJ21-3)),"")</f>
        <v>2020</v>
      </c>
      <c r="C22" s="68" t="str">
        <f>IF($BJ21&gt;0,IF(INDEX('Final Calculation Sheet'!$G$4:$G$40,$BJ21-3)="","",INDEX('Final Calculation Sheet'!$G$4:$G$40,$BJ21-3)),IF(OR($BI21=1,$BL21=1,$BH21&gt;0),IF($BI21=1,37,IF($BL21=1,37-INDEX($BD$4:$BD$13,10),INDEX($BD$4:$BD$13,$BH21)))&amp;" lot(s)",""))</f>
        <v>OMKAR STEELS</v>
      </c>
      <c r="D22" s="69"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69">
        <f>IF($BJ21&gt;0,IF(INDEX('Final Calculation Sheet'!$D$4:$D$40,$BJ21-3)="","",INDEX('Final Calculation Sheet'!$D$4:$D$40,$BJ21-3)),IF(OR($BI21=1,$BL21=1,$BH21&gt;0),"–",""))</f>
        <v>21978</v>
      </c>
      <c r="F22" s="69">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69"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 ca="1">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0" t="str">
        <f>IF($BJ21&gt;0,IF(INDEX('Final Calculation Sheet'!$AE$4:$AE$40,$BJ21-3)="","",INDEX('Final Calculation Sheet'!$AE$4:$AE$40,$BJ21-3)),IF(OR($BI21=1,$BL21=1,$BH21&gt;0),"–",""))</f>
        <v>DR2640100017</v>
      </c>
      <c r="AG22" s="74">
        <f>IF($BJ21&gt;0,IF(INDEX('Final Calculation Sheet'!$AF$4:$AF$40,$BJ21-3)="","",INDEX('Final Calculation Sheet'!$AF$4:$AF$40,$BJ21-3)),IF(OR($BI21=1,$BL21=1,$BH21&gt;0),"–",""))</f>
        <v>1800003065</v>
      </c>
      <c r="AH22" s="70" t="str">
        <f>IF($BJ21&gt;0,IF(INDEX('Final Calculation Sheet'!$AG$4:$AG$40,$BJ21-3)="","",INDEX('Final Calculation Sheet'!$AG$4:$AG$40,$BJ21-3)),IF(OR($BI21=1,$BL21=1,$BH21&gt;0),"–",""))</f>
        <v>12.08.2026</v>
      </c>
      <c r="AI22" s="75"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SETTLED</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 t="shared" si="7"/>
        <v>0</v>
      </c>
      <c r="AM22">
        <f t="shared" si="1"/>
        <v>1</v>
      </c>
      <c r="AZ22">
        <f t="shared" si="2"/>
        <v>9</v>
      </c>
      <c r="BA22">
        <f t="shared" si="3"/>
        <v>18</v>
      </c>
      <c r="BB22">
        <f t="shared" si="4"/>
        <v>22</v>
      </c>
      <c r="BC22">
        <v>21</v>
      </c>
      <c r="BH22">
        <f>IFERROR(MATCH(22,$BF$4:$BF$13,0),0)</f>
        <v>0</v>
      </c>
      <c r="BI22">
        <f>IF(22=$BG$5,1,0)</f>
        <v>0</v>
      </c>
      <c r="BJ22">
        <f>IF(OR($BH22&gt;0,$BI22=1,$BL22=1),0,IFERROR(INDEX($BC$5:$BC$41,MATCH(22,$BB$5:$BB$41,0)),0))</f>
        <v>21</v>
      </c>
      <c r="BK22">
        <f>IF($BJ22&gt;0,IF(INDEX($AZ$5:$AZ$41,MATCH(22,$BB$5:$BB$41,0))=10,1,0),IF($BH22=10,1,0))</f>
        <v>0</v>
      </c>
      <c r="BL22">
        <f>IF(22=$BG$4,1,0)</f>
        <v>0</v>
      </c>
      <c r="BM22">
        <f t="shared" si="6"/>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IF($AF$4="",1,--(OR(SUMPRODUCT(--(TRIM(MID(SUBSTITUTE(SUBSTITUTE($AF$4,"/",","),",",REPT(" ",99)),(ROW($1:$8)-1)*99+1,99))&lt;&gt;""),--ISNUMBER(SEARCH(TRIM(MID(SUBSTITUTE(SUBSTITUTE($AF$4,"/",","),",",REPT(" ",99)),(ROW($1:$8)-1)*99+1,99)),IFERROR(('Final Calculation Sheet'!$AE$21)&amp;"",""))))&gt;0,AND(ISNUMBER(SEARCH("blank",$AF$4)),NOT(ISNUMBER(SEARCH("nonblank",$AF$4))),IFERROR(('Final Calculation Sheet'!$AE$21)&amp;"","")=""),AND(OR(ISNUMBER(SEARCH("nonblank",$AF$4)),ISNUMBER(SEARCH("&lt;&gt;",$AF$4))),IFERROR(('Final Calculation Sheet'!$AE$21)&amp;"","")&lt;&gt;""),AND(TRIM($AF$4)="",IFERROR(('Final Calculation Sheet'!$AE$21)&amp;"","")=""))))</f>
        <v>1</v>
      </c>
      <c r="CS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T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U22">
        <f>IF($AI$4="",1,--(OR(SUMPRODUCT(--(TRIM(MID(SUBSTITUTE(SUBSTITUTE($AI$4,"/",","),",",REPT(" ",99)),(ROW($1:$8)-1)*99+1,99))&lt;&gt;""),--ISNUMBER(SEARCH(TRIM(MID(SUBSTITUTE(SUBSTITUTE($AI$4,"/",","),",",REPT(" ",99)),(ROW($1:$8)-1)*99+1,99)),IFERROR((IF('Final Calculation Sheet'!$AD$21&lt;=5,"SETTLED","OUTSTANDING"))&amp;"",""))))&gt;0,AND(ISNUMBER(SEARCH("blank",$AI$4)),NOT(ISNUMBER(SEARCH("nonblank",$AI$4))),IFERROR((IF('Final Calculation Sheet'!$AD$21&lt;=5,"SETTLED","OUTSTANDING"))&amp;"","")=""),AND(OR(ISNUMBER(SEARCH("nonblank",$AI$4)),ISNUMBER(SEARCH("&lt;&gt;",$AI$4))),IFERROR((IF('Final Calculation Sheet'!$AD$21&lt;=5,"SETTLED","OUTSTANDING"))&amp;"","")&lt;&gt;""),AND(TRIM($AI$4)="",IFERROR((IF('Final Calculation Sheet'!$AD$21&lt;=5,"SETTLED","OUTSTANDING"))&amp;"","")=""))))</f>
        <v>1</v>
      </c>
    </row>
    <row r="23" spans="1:99" ht="15" customHeight="1" x14ac:dyDescent="0.25">
      <c r="A23" s="67">
        <f>IF($BJ22&gt;0,INDEX($BA$5:$BA$41,MATCH(22,$BB$5:$BB$41,0)),IF(OR($BI22=1,$BL22=1,$BH22&gt;0),"∑",""))</f>
        <v>18</v>
      </c>
      <c r="B23" s="68">
        <f>IF($BJ22&gt;0,IF(INDEX('Final Calculation Sheet'!$F$4:$F$40,$BJ22-3)="","",INDEX('Final Calculation Sheet'!$F$4:$F$40,$BJ22-3)),"")</f>
        <v>2022</v>
      </c>
      <c r="C23" s="68" t="str">
        <f>IF($BJ22&gt;0,IF(INDEX('Final Calculation Sheet'!$G$4:$G$40,$BJ22-3)="","",INDEX('Final Calculation Sheet'!$G$4:$G$40,$BJ22-3)),IF(OR($BI22=1,$BL22=1,$BH22&gt;0),IF($BI22=1,37,IF($BL22=1,37-INDEX($BD$4:$BD$13,10),INDEX($BD$4:$BD$13,$BH22)))&amp;" lot(s)",""))</f>
        <v>NATIONAL SCRAP AND BUILDING MATERIAL SUPPLIER</v>
      </c>
      <c r="D23" s="6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69">
        <f>IF($BJ22&gt;0,IF(INDEX('Final Calculation Sheet'!$D$4:$D$40,$BJ22-3)="","",INDEX('Final Calculation Sheet'!$D$4:$D$40,$BJ22-3)),IF(OR($BI22=1,$BL22=1,$BH22&gt;0),"–",""))</f>
        <v>21978</v>
      </c>
      <c r="F23" s="69">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69"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 ca="1">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0" t="str">
        <f>IF($BJ22&gt;0,IF(INDEX('Final Calculation Sheet'!$AE$4:$AE$40,$BJ22-3)="","",INDEX('Final Calculation Sheet'!$AE$4:$AE$40,$BJ22-3)),IF(OR($BI22=1,$BL22=1,$BH22&gt;0),"–",""))</f>
        <v>DR2640100028</v>
      </c>
      <c r="AG23" s="74">
        <f>IF($BJ22&gt;0,IF(INDEX('Final Calculation Sheet'!$AF$4:$AF$40,$BJ22-3)="","",INDEX('Final Calculation Sheet'!$AF$4:$AF$40,$BJ22-3)),IF(OR($BI22=1,$BL22=1,$BH22&gt;0),"–",""))</f>
        <v>1800003269</v>
      </c>
      <c r="AH23" s="70" t="str">
        <f>IF($BJ22&gt;0,IF(INDEX('Final Calculation Sheet'!$AG$4:$AG$40,$BJ22-3)="","",INDEX('Final Calculation Sheet'!$AG$4:$AG$40,$BJ22-3)),IF(OR($BI22=1,$BL22=1,$BH22&gt;0),"–",""))</f>
        <v>24.08.2026</v>
      </c>
      <c r="AI23" s="75"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SETTLED</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 t="shared" si="7"/>
        <v>0</v>
      </c>
      <c r="AM23">
        <f t="shared" si="1"/>
        <v>1</v>
      </c>
      <c r="AZ23">
        <f t="shared" si="2"/>
        <v>9</v>
      </c>
      <c r="BA23">
        <f t="shared" si="3"/>
        <v>19</v>
      </c>
      <c r="BB23">
        <f t="shared" si="4"/>
        <v>23</v>
      </c>
      <c r="BC23">
        <v>22</v>
      </c>
      <c r="BH23">
        <f>IFERROR(MATCH(23,$BF$4:$BF$13,0),0)</f>
        <v>0</v>
      </c>
      <c r="BI23">
        <f>IF(23=$BG$5,1,0)</f>
        <v>0</v>
      </c>
      <c r="BJ23">
        <f>IF(OR($BH23&gt;0,$BI23=1,$BL23=1),0,IFERROR(INDEX($BC$5:$BC$41,MATCH(23,$BB$5:$BB$41,0)),0))</f>
        <v>22</v>
      </c>
      <c r="BK23">
        <f>IF($BJ23&gt;0,IF(INDEX($AZ$5:$AZ$41,MATCH(23,$BB$5:$BB$41,0))=10,1,0),IF($BH23=10,1,0))</f>
        <v>0</v>
      </c>
      <c r="BL23">
        <f>IF(23=$BG$4,1,0)</f>
        <v>0</v>
      </c>
      <c r="BM23">
        <f t="shared" si="6"/>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IF($AF$4="",1,--(OR(SUMPRODUCT(--(TRIM(MID(SUBSTITUTE(SUBSTITUTE($AF$4,"/",","),",",REPT(" ",99)),(ROW($1:$8)-1)*99+1,99))&lt;&gt;""),--ISNUMBER(SEARCH(TRIM(MID(SUBSTITUTE(SUBSTITUTE($AF$4,"/",","),",",REPT(" ",99)),(ROW($1:$8)-1)*99+1,99)),IFERROR(('Final Calculation Sheet'!$AE$22)&amp;"",""))))&gt;0,AND(ISNUMBER(SEARCH("blank",$AF$4)),NOT(ISNUMBER(SEARCH("nonblank",$AF$4))),IFERROR(('Final Calculation Sheet'!$AE$22)&amp;"","")=""),AND(OR(ISNUMBER(SEARCH("nonblank",$AF$4)),ISNUMBER(SEARCH("&lt;&gt;",$AF$4))),IFERROR(('Final Calculation Sheet'!$AE$22)&amp;"","")&lt;&gt;""),AND(TRIM($AF$4)="",IFERROR(('Final Calculation Sheet'!$AE$22)&amp;"","")=""))))</f>
        <v>1</v>
      </c>
      <c r="CS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T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U23">
        <f>IF($AI$4="",1,--(OR(SUMPRODUCT(--(TRIM(MID(SUBSTITUTE(SUBSTITUTE($AI$4,"/",","),",",REPT(" ",99)),(ROW($1:$8)-1)*99+1,99))&lt;&gt;""),--ISNUMBER(SEARCH(TRIM(MID(SUBSTITUTE(SUBSTITUTE($AI$4,"/",","),",",REPT(" ",99)),(ROW($1:$8)-1)*99+1,99)),IFERROR((IF('Final Calculation Sheet'!$AD$22&lt;=5,"SETTLED","OUTSTANDING"))&amp;"",""))))&gt;0,AND(ISNUMBER(SEARCH("blank",$AI$4)),NOT(ISNUMBER(SEARCH("nonblank",$AI$4))),IFERROR((IF('Final Calculation Sheet'!$AD$22&lt;=5,"SETTLED","OUTSTANDING"))&amp;"","")=""),AND(OR(ISNUMBER(SEARCH("nonblank",$AI$4)),ISNUMBER(SEARCH("&lt;&gt;",$AI$4))),IFERROR((IF('Final Calculation Sheet'!$AD$22&lt;=5,"SETTLED","OUTSTANDING"))&amp;"","")&lt;&gt;""),AND(TRIM($AI$4)="",IFERROR((IF('Final Calculation Sheet'!$AD$22&lt;=5,"SETTLED","OUTSTANDING"))&amp;"","")=""))))</f>
        <v>1</v>
      </c>
    </row>
    <row r="24" spans="1:99" ht="15" customHeight="1" x14ac:dyDescent="0.25">
      <c r="A24" s="67">
        <f>IF($BJ23&gt;0,INDEX($BA$5:$BA$41,MATCH(23,$BB$5:$BB$41,0)),IF(OR($BI23=1,$BL23=1,$BH23&gt;0),"∑",""))</f>
        <v>19</v>
      </c>
      <c r="B24" s="68">
        <f>IF($BJ23&gt;0,IF(INDEX('Final Calculation Sheet'!$F$4:$F$40,$BJ23-3)="","",INDEX('Final Calculation Sheet'!$F$4:$F$40,$BJ23-3)),"")</f>
        <v>2023</v>
      </c>
      <c r="C24" s="68" t="str">
        <f>IF($BJ23&gt;0,IF(INDEX('Final Calculation Sheet'!$G$4:$G$40,$BJ23-3)="","",INDEX('Final Calculation Sheet'!$G$4:$G$40,$BJ23-3)),IF(OR($BI23=1,$BL23=1,$BH23&gt;0),IF($BI23=1,37,IF($BL23=1,37-INDEX($BD$4:$BD$13,10),INDEX($BD$4:$BD$13,$BH23)))&amp;" lot(s)",""))</f>
        <v>NATIONAL ENTERPRISES</v>
      </c>
      <c r="D24" s="69"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69">
        <f>IF($BJ23&gt;0,IF(INDEX('Final Calculation Sheet'!$D$4:$D$40,$BJ23-3)="","",INDEX('Final Calculation Sheet'!$D$4:$D$40,$BJ23-3)),IF(OR($BI23=1,$BL23=1,$BH23&gt;0),"–",""))</f>
        <v>21978</v>
      </c>
      <c r="F24" s="69">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69"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 ca="1">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0" t="str">
        <f>IF($BJ23&gt;0,IF(INDEX('Final Calculation Sheet'!$AE$4:$AE$40,$BJ23-3)="","",INDEX('Final Calculation Sheet'!$AE$4:$AE$40,$BJ23-3)),IF(OR($BI23=1,$BL23=1,$BH23&gt;0),"–",""))</f>
        <v>DR2640100044</v>
      </c>
      <c r="AG24" s="74">
        <f>IF($BJ23&gt;0,IF(INDEX('Final Calculation Sheet'!$AF$4:$AF$40,$BJ23-3)="","",INDEX('Final Calculation Sheet'!$AF$4:$AF$40,$BJ23-3)),IF(OR($BI23=1,$BL23=1,$BH23&gt;0),"–",""))</f>
        <v>1800003308</v>
      </c>
      <c r="AH24" s="70" t="str">
        <f>IF($BJ23&gt;0,IF(INDEX('Final Calculation Sheet'!$AG$4:$AG$40,$BJ23-3)="","",INDEX('Final Calculation Sheet'!$AG$4:$AG$40,$BJ23-3)),IF(OR($BI23=1,$BL23=1,$BH23&gt;0),"–",""))</f>
        <v>27.08.2026</v>
      </c>
      <c r="AI24" s="75"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SETTLED</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 t="shared" si="7"/>
        <v>0</v>
      </c>
      <c r="AM24">
        <f t="shared" si="1"/>
        <v>1</v>
      </c>
      <c r="AZ24">
        <f t="shared" si="2"/>
        <v>9</v>
      </c>
      <c r="BA24">
        <f t="shared" si="3"/>
        <v>20</v>
      </c>
      <c r="BB24">
        <f t="shared" si="4"/>
        <v>24</v>
      </c>
      <c r="BC24">
        <v>23</v>
      </c>
      <c r="BH24">
        <f>IFERROR(MATCH(24,$BF$4:$BF$13,0),0)</f>
        <v>0</v>
      </c>
      <c r="BI24">
        <f>IF(24=$BG$5,1,0)</f>
        <v>0</v>
      </c>
      <c r="BJ24">
        <f>IF(OR($BH24&gt;0,$BI24=1,$BL24=1),0,IFERROR(INDEX($BC$5:$BC$41,MATCH(24,$BB$5:$BB$41,0)),0))</f>
        <v>23</v>
      </c>
      <c r="BK24">
        <f>IF($BJ24&gt;0,IF(INDEX($AZ$5:$AZ$41,MATCH(24,$BB$5:$BB$41,0))=10,1,0),IF($BH24=10,1,0))</f>
        <v>0</v>
      </c>
      <c r="BL24">
        <f>IF(24=$BG$4,1,0)</f>
        <v>0</v>
      </c>
      <c r="BM24">
        <f t="shared" si="6"/>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IF($AF$4="",1,--(OR(SUMPRODUCT(--(TRIM(MID(SUBSTITUTE(SUBSTITUTE($AF$4,"/",","),",",REPT(" ",99)),(ROW($1:$8)-1)*99+1,99))&lt;&gt;""),--ISNUMBER(SEARCH(TRIM(MID(SUBSTITUTE(SUBSTITUTE($AF$4,"/",","),",",REPT(" ",99)),(ROW($1:$8)-1)*99+1,99)),IFERROR(('Final Calculation Sheet'!$AE$23)&amp;"",""))))&gt;0,AND(ISNUMBER(SEARCH("blank",$AF$4)),NOT(ISNUMBER(SEARCH("nonblank",$AF$4))),IFERROR(('Final Calculation Sheet'!$AE$23)&amp;"","")=""),AND(OR(ISNUMBER(SEARCH("nonblank",$AF$4)),ISNUMBER(SEARCH("&lt;&gt;",$AF$4))),IFERROR(('Final Calculation Sheet'!$AE$23)&amp;"","")&lt;&gt;""),AND(TRIM($AF$4)="",IFERROR(('Final Calculation Sheet'!$AE$23)&amp;"","")=""))))</f>
        <v>1</v>
      </c>
      <c r="CS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T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U24">
        <f>IF($AI$4="",1,--(OR(SUMPRODUCT(--(TRIM(MID(SUBSTITUTE(SUBSTITUTE($AI$4,"/",","),",",REPT(" ",99)),(ROW($1:$8)-1)*99+1,99))&lt;&gt;""),--ISNUMBER(SEARCH(TRIM(MID(SUBSTITUTE(SUBSTITUTE($AI$4,"/",","),",",REPT(" ",99)),(ROW($1:$8)-1)*99+1,99)),IFERROR((IF('Final Calculation Sheet'!$AD$23&lt;=5,"SETTLED","OUTSTANDING"))&amp;"",""))))&gt;0,AND(ISNUMBER(SEARCH("blank",$AI$4)),NOT(ISNUMBER(SEARCH("nonblank",$AI$4))),IFERROR((IF('Final Calculation Sheet'!$AD$23&lt;=5,"SETTLED","OUTSTANDING"))&amp;"","")=""),AND(OR(ISNUMBER(SEARCH("nonblank",$AI$4)),ISNUMBER(SEARCH("&lt;&gt;",$AI$4))),IFERROR((IF('Final Calculation Sheet'!$AD$23&lt;=5,"SETTLED","OUTSTANDING"))&amp;"","")&lt;&gt;""),AND(TRIM($AI$4)="",IFERROR((IF('Final Calculation Sheet'!$AD$23&lt;=5,"SETTLED","OUTSTANDING"))&amp;"","")=""))))</f>
        <v>1</v>
      </c>
    </row>
    <row r="25" spans="1:99" ht="15" customHeight="1" x14ac:dyDescent="0.25">
      <c r="A25" s="67">
        <f>IF($BJ24&gt;0,INDEX($BA$5:$BA$41,MATCH(24,$BB$5:$BB$41,0)),IF(OR($BI24=1,$BL24=1,$BH24&gt;0),"∑",""))</f>
        <v>20</v>
      </c>
      <c r="B25" s="68">
        <f>IF($BJ24&gt;0,IF(INDEX('Final Calculation Sheet'!$F$4:$F$40,$BJ24-3)="","",INDEX('Final Calculation Sheet'!$F$4:$F$40,$BJ24-3)),"")</f>
        <v>2025</v>
      </c>
      <c r="C25" s="68" t="str">
        <f>IF($BJ24&gt;0,IF(INDEX('Final Calculation Sheet'!$G$4:$G$40,$BJ24-3)="","",INDEX('Final Calculation Sheet'!$G$4:$G$40,$BJ24-3)),IF(OR($BI24=1,$BL24=1,$BH24&gt;0),IF($BI24=1,37,IF($BL24=1,37-INDEX($BD$4:$BD$13,10),INDEX($BD$4:$BD$13,$BH24)))&amp;" lot(s)",""))</f>
        <v>STERLING ENTERPRISES</v>
      </c>
      <c r="D25" s="69"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69">
        <f>IF($BJ24&gt;0,IF(INDEX('Final Calculation Sheet'!$D$4:$D$40,$BJ24-3)="","",INDEX('Final Calculation Sheet'!$D$4:$D$40,$BJ24-3)),IF(OR($BI24=1,$BL24=1,$BH24&gt;0),"–",""))</f>
        <v>21978</v>
      </c>
      <c r="F25" s="69">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69"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 ca="1">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0" t="str">
        <f>IF($BJ24&gt;0,IF(INDEX('Final Calculation Sheet'!$AE$4:$AE$40,$BJ24-3)="","",INDEX('Final Calculation Sheet'!$AE$4:$AE$40,$BJ24-3)),IF(OR($BI24=1,$BL24=1,$BH24&gt;0),"–",""))</f>
        <v>DR2640100021</v>
      </c>
      <c r="AG25" s="74">
        <f>IF($BJ24&gt;0,IF(INDEX('Final Calculation Sheet'!$AF$4:$AF$40,$BJ24-3)="","",INDEX('Final Calculation Sheet'!$AF$4:$AF$40,$BJ24-3)),IF(OR($BI24=1,$BL24=1,$BH24&gt;0),"–",""))</f>
        <v>1800003160</v>
      </c>
      <c r="AH25" s="70" t="str">
        <f>IF($BJ24&gt;0,IF(INDEX('Final Calculation Sheet'!$AG$4:$AG$40,$BJ24-3)="","",INDEX('Final Calculation Sheet'!$AG$4:$AG$40,$BJ24-3)),IF(OR($BI24=1,$BL24=1,$BH24&gt;0),"–",""))</f>
        <v>14.08.2026</v>
      </c>
      <c r="AI25" s="75"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SETTLED</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 t="shared" si="7"/>
        <v>0</v>
      </c>
      <c r="AM25">
        <f t="shared" si="1"/>
        <v>1</v>
      </c>
      <c r="AZ25">
        <f t="shared" si="2"/>
        <v>9</v>
      </c>
      <c r="BA25">
        <f t="shared" si="3"/>
        <v>21</v>
      </c>
      <c r="BB25">
        <f t="shared" si="4"/>
        <v>25</v>
      </c>
      <c r="BC25">
        <v>24</v>
      </c>
      <c r="BH25">
        <f>IFERROR(MATCH(25,$BF$4:$BF$13,0),0)</f>
        <v>0</v>
      </c>
      <c r="BI25">
        <f>IF(25=$BG$5,1,0)</f>
        <v>0</v>
      </c>
      <c r="BJ25">
        <f>IF(OR($BH25&gt;0,$BI25=1,$BL25=1),0,IFERROR(INDEX($BC$5:$BC$41,MATCH(25,$BB$5:$BB$41,0)),0))</f>
        <v>24</v>
      </c>
      <c r="BK25">
        <f>IF($BJ25&gt;0,IF(INDEX($AZ$5:$AZ$41,MATCH(25,$BB$5:$BB$41,0))=10,1,0),IF($BH25=10,1,0))</f>
        <v>0</v>
      </c>
      <c r="BL25">
        <f>IF(25=$BG$4,1,0)</f>
        <v>0</v>
      </c>
      <c r="BM25">
        <f t="shared" si="6"/>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IF($AF$4="",1,--(OR(SUMPRODUCT(--(TRIM(MID(SUBSTITUTE(SUBSTITUTE($AF$4,"/",","),",",REPT(" ",99)),(ROW($1:$8)-1)*99+1,99))&lt;&gt;""),--ISNUMBER(SEARCH(TRIM(MID(SUBSTITUTE(SUBSTITUTE($AF$4,"/",","),",",REPT(" ",99)),(ROW($1:$8)-1)*99+1,99)),IFERROR(('Final Calculation Sheet'!$AE$24)&amp;"",""))))&gt;0,AND(ISNUMBER(SEARCH("blank",$AF$4)),NOT(ISNUMBER(SEARCH("nonblank",$AF$4))),IFERROR(('Final Calculation Sheet'!$AE$24)&amp;"","")=""),AND(OR(ISNUMBER(SEARCH("nonblank",$AF$4)),ISNUMBER(SEARCH("&lt;&gt;",$AF$4))),IFERROR(('Final Calculation Sheet'!$AE$24)&amp;"","")&lt;&gt;""),AND(TRIM($AF$4)="",IFERROR(('Final Calculation Sheet'!$AE$24)&amp;"","")=""))))</f>
        <v>1</v>
      </c>
      <c r="CS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T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U25">
        <f>IF($AI$4="",1,--(OR(SUMPRODUCT(--(TRIM(MID(SUBSTITUTE(SUBSTITUTE($AI$4,"/",","),",",REPT(" ",99)),(ROW($1:$8)-1)*99+1,99))&lt;&gt;""),--ISNUMBER(SEARCH(TRIM(MID(SUBSTITUTE(SUBSTITUTE($AI$4,"/",","),",",REPT(" ",99)),(ROW($1:$8)-1)*99+1,99)),IFERROR((IF('Final Calculation Sheet'!$AD$24&lt;=5,"SETTLED","OUTSTANDING"))&amp;"",""))))&gt;0,AND(ISNUMBER(SEARCH("blank",$AI$4)),NOT(ISNUMBER(SEARCH("nonblank",$AI$4))),IFERROR((IF('Final Calculation Sheet'!$AD$24&lt;=5,"SETTLED","OUTSTANDING"))&amp;"","")=""),AND(OR(ISNUMBER(SEARCH("nonblank",$AI$4)),ISNUMBER(SEARCH("&lt;&gt;",$AI$4))),IFERROR((IF('Final Calculation Sheet'!$AD$24&lt;=5,"SETTLED","OUTSTANDING"))&amp;"","")&lt;&gt;""),AND(TRIM($AI$4)="",IFERROR((IF('Final Calculation Sheet'!$AD$24&lt;=5,"SETTLED","OUTSTANDING"))&amp;"","")=""))))</f>
        <v>1</v>
      </c>
    </row>
    <row r="26" spans="1:99" ht="15" customHeight="1" x14ac:dyDescent="0.25">
      <c r="A26" s="67">
        <f>IF($BJ25&gt;0,INDEX($BA$5:$BA$41,MATCH(25,$BB$5:$BB$41,0)),IF(OR($BI25=1,$BL25=1,$BH25&gt;0),"∑",""))</f>
        <v>21</v>
      </c>
      <c r="B26" s="68">
        <f>IF($BJ25&gt;0,IF(INDEX('Final Calculation Sheet'!$F$4:$F$40,$BJ25-3)="","",INDEX('Final Calculation Sheet'!$F$4:$F$40,$BJ25-3)),"")</f>
        <v>2027</v>
      </c>
      <c r="C26" s="68" t="str">
        <f>IF($BJ25&gt;0,IF(INDEX('Final Calculation Sheet'!$G$4:$G$40,$BJ25-3)="","",INDEX('Final Calculation Sheet'!$G$4:$G$40,$BJ25-3)),IF(OR($BI25=1,$BL25=1,$BH25&gt;0),IF($BI25=1,37,IF($BL25=1,37-INDEX($BD$4:$BD$13,10),INDEX($BD$4:$BD$13,$BH25)))&amp;" lot(s)",""))</f>
        <v>NATIONAL ENTERPRISES</v>
      </c>
      <c r="D26" s="69"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69">
        <f>IF($BJ25&gt;0,IF(INDEX('Final Calculation Sheet'!$D$4:$D$40,$BJ25-3)="","",INDEX('Final Calculation Sheet'!$D$4:$D$40,$BJ25-3)),IF(OR($BI25=1,$BL25=1,$BH25&gt;0),"–",""))</f>
        <v>21978</v>
      </c>
      <c r="F26" s="69">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69"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 ca="1">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0" t="str">
        <f>IF($BJ25&gt;0,IF(INDEX('Final Calculation Sheet'!$AE$4:$AE$40,$BJ25-3)="","",INDEX('Final Calculation Sheet'!$AE$4:$AE$40,$BJ25-3)),IF(OR($BI25=1,$BL25=1,$BH25&gt;0),"–",""))</f>
        <v>DR2640100036</v>
      </c>
      <c r="AG26" s="74">
        <f>IF($BJ25&gt;0,IF(INDEX('Final Calculation Sheet'!$AF$4:$AF$40,$BJ25-3)="","",INDEX('Final Calculation Sheet'!$AF$4:$AF$40,$BJ25-3)),IF(OR($BI25=1,$BL25=1,$BH25&gt;0),"–",""))</f>
        <v>1800003309</v>
      </c>
      <c r="AH26" s="70" t="str">
        <f>IF($BJ25&gt;0,IF(INDEX('Final Calculation Sheet'!$AG$4:$AG$40,$BJ25-3)="","",INDEX('Final Calculation Sheet'!$AG$4:$AG$40,$BJ25-3)),IF(OR($BI25=1,$BL25=1,$BH25&gt;0),"–",""))</f>
        <v>27.08.2026</v>
      </c>
      <c r="AI26" s="75"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SETTLED</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 t="shared" si="7"/>
        <v>0</v>
      </c>
      <c r="AM26">
        <f t="shared" si="1"/>
        <v>1</v>
      </c>
      <c r="AZ26">
        <f t="shared" si="2"/>
        <v>9</v>
      </c>
      <c r="BA26">
        <f t="shared" si="3"/>
        <v>22</v>
      </c>
      <c r="BB26">
        <f t="shared" si="4"/>
        <v>26</v>
      </c>
      <c r="BC26">
        <v>25</v>
      </c>
      <c r="BH26">
        <f>IFERROR(MATCH(26,$BF$4:$BF$13,0),0)</f>
        <v>0</v>
      </c>
      <c r="BI26">
        <f>IF(26=$BG$5,1,0)</f>
        <v>0</v>
      </c>
      <c r="BJ26">
        <f>IF(OR($BH26&gt;0,$BI26=1,$BL26=1),0,IFERROR(INDEX($BC$5:$BC$41,MATCH(26,$BB$5:$BB$41,0)),0))</f>
        <v>25</v>
      </c>
      <c r="BK26">
        <f>IF($BJ26&gt;0,IF(INDEX($AZ$5:$AZ$41,MATCH(26,$BB$5:$BB$41,0))=10,1,0),IF($BH26=10,1,0))</f>
        <v>0</v>
      </c>
      <c r="BL26">
        <f>IF(26=$BG$4,1,0)</f>
        <v>0</v>
      </c>
      <c r="BM26">
        <f t="shared" si="6"/>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IF($AF$4="",1,--(OR(SUMPRODUCT(--(TRIM(MID(SUBSTITUTE(SUBSTITUTE($AF$4,"/",","),",",REPT(" ",99)),(ROW($1:$8)-1)*99+1,99))&lt;&gt;""),--ISNUMBER(SEARCH(TRIM(MID(SUBSTITUTE(SUBSTITUTE($AF$4,"/",","),",",REPT(" ",99)),(ROW($1:$8)-1)*99+1,99)),IFERROR(('Final Calculation Sheet'!$AE$25)&amp;"",""))))&gt;0,AND(ISNUMBER(SEARCH("blank",$AF$4)),NOT(ISNUMBER(SEARCH("nonblank",$AF$4))),IFERROR(('Final Calculation Sheet'!$AE$25)&amp;"","")=""),AND(OR(ISNUMBER(SEARCH("nonblank",$AF$4)),ISNUMBER(SEARCH("&lt;&gt;",$AF$4))),IFERROR(('Final Calculation Sheet'!$AE$25)&amp;"","")&lt;&gt;""),AND(TRIM($AF$4)="",IFERROR(('Final Calculation Sheet'!$AE$25)&amp;"","")=""))))</f>
        <v>1</v>
      </c>
      <c r="CS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T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U26">
        <f>IF($AI$4="",1,--(OR(SUMPRODUCT(--(TRIM(MID(SUBSTITUTE(SUBSTITUTE($AI$4,"/",","),",",REPT(" ",99)),(ROW($1:$8)-1)*99+1,99))&lt;&gt;""),--ISNUMBER(SEARCH(TRIM(MID(SUBSTITUTE(SUBSTITUTE($AI$4,"/",","),",",REPT(" ",99)),(ROW($1:$8)-1)*99+1,99)),IFERROR((IF('Final Calculation Sheet'!$AD$25&lt;=5,"SETTLED","OUTSTANDING"))&amp;"",""))))&gt;0,AND(ISNUMBER(SEARCH("blank",$AI$4)),NOT(ISNUMBER(SEARCH("nonblank",$AI$4))),IFERROR((IF('Final Calculation Sheet'!$AD$25&lt;=5,"SETTLED","OUTSTANDING"))&amp;"","")=""),AND(OR(ISNUMBER(SEARCH("nonblank",$AI$4)),ISNUMBER(SEARCH("&lt;&gt;",$AI$4))),IFERROR((IF('Final Calculation Sheet'!$AD$25&lt;=5,"SETTLED","OUTSTANDING"))&amp;"","")&lt;&gt;""),AND(TRIM($AI$4)="",IFERROR((IF('Final Calculation Sheet'!$AD$25&lt;=5,"SETTLED","OUTSTANDING"))&amp;"","")=""))))</f>
        <v>1</v>
      </c>
    </row>
    <row r="27" spans="1:99" ht="15" customHeight="1" x14ac:dyDescent="0.25">
      <c r="A27" s="67">
        <f>IF($BJ26&gt;0,INDEX($BA$5:$BA$41,MATCH(26,$BB$5:$BB$41,0)),IF(OR($BI26=1,$BL26=1,$BH26&gt;0),"∑",""))</f>
        <v>22</v>
      </c>
      <c r="B27" s="68">
        <f>IF($BJ26&gt;0,IF(INDEX('Final Calculation Sheet'!$F$4:$F$40,$BJ26-3)="","",INDEX('Final Calculation Sheet'!$F$4:$F$40,$BJ26-3)),"")</f>
        <v>2033</v>
      </c>
      <c r="C27" s="68" t="str">
        <f>IF($BJ26&gt;0,IF(INDEX('Final Calculation Sheet'!$G$4:$G$40,$BJ26-3)="","",INDEX('Final Calculation Sheet'!$G$4:$G$40,$BJ26-3)),IF(OR($BI26=1,$BL26=1,$BH26&gt;0),IF($BI26=1,37,IF($BL26=1,37-INDEX($BD$4:$BD$13,10),INDEX($BD$4:$BD$13,$BH26)))&amp;" lot(s)",""))</f>
        <v>WATAN SCRAP TRADERS</v>
      </c>
      <c r="D27" s="69"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69">
        <f>IF($BJ26&gt;0,IF(INDEX('Final Calculation Sheet'!$D$4:$D$40,$BJ26-3)="","",INDEX('Final Calculation Sheet'!$D$4:$D$40,$BJ26-3)),IF(OR($BI26=1,$BL26=1,$BH26&gt;0),"–",""))</f>
        <v>21978</v>
      </c>
      <c r="F27" s="69">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69"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 ca="1">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0" t="str">
        <f>IF($BJ26&gt;0,IF(INDEX('Final Calculation Sheet'!$AE$4:$AE$40,$BJ26-3)="","",INDEX('Final Calculation Sheet'!$AE$4:$AE$40,$BJ26-3)),IF(OR($BI26=1,$BL26=1,$BH26&gt;0),"–",""))</f>
        <v>DR2640100042</v>
      </c>
      <c r="AG27" s="74">
        <f>IF($BJ26&gt;0,IF(INDEX('Final Calculation Sheet'!$AF$4:$AF$40,$BJ26-3)="","",INDEX('Final Calculation Sheet'!$AF$4:$AF$40,$BJ26-3)),IF(OR($BI26=1,$BL26=1,$BH26&gt;0),"–",""))</f>
        <v>1800003317</v>
      </c>
      <c r="AH27" s="70" t="str">
        <f>IF($BJ26&gt;0,IF(INDEX('Final Calculation Sheet'!$AG$4:$AG$40,$BJ26-3)="","",INDEX('Final Calculation Sheet'!$AG$4:$AG$40,$BJ26-3)),IF(OR($BI26=1,$BL26=1,$BH26&gt;0),"–",""))</f>
        <v>27.08.2026</v>
      </c>
      <c r="AI27" s="75"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SETTLED</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 t="shared" si="7"/>
        <v>0</v>
      </c>
      <c r="AM27">
        <f t="shared" si="1"/>
        <v>1</v>
      </c>
      <c r="AZ27">
        <f t="shared" si="2"/>
        <v>9</v>
      </c>
      <c r="BA27">
        <f t="shared" si="3"/>
        <v>23</v>
      </c>
      <c r="BB27">
        <f t="shared" si="4"/>
        <v>27</v>
      </c>
      <c r="BC27">
        <v>26</v>
      </c>
      <c r="BH27">
        <f>IFERROR(MATCH(27,$BF$4:$BF$13,0),0)</f>
        <v>0</v>
      </c>
      <c r="BI27">
        <f>IF(27=$BG$5,1,0)</f>
        <v>0</v>
      </c>
      <c r="BJ27">
        <f>IF(OR($BH27&gt;0,$BI27=1,$BL27=1),0,IFERROR(INDEX($BC$5:$BC$41,MATCH(27,$BB$5:$BB$41,0)),0))</f>
        <v>26</v>
      </c>
      <c r="BK27">
        <f>IF($BJ27&gt;0,IF(INDEX($AZ$5:$AZ$41,MATCH(27,$BB$5:$BB$41,0))=10,1,0),IF($BH27=10,1,0))</f>
        <v>0</v>
      </c>
      <c r="BL27">
        <f>IF(27=$BG$4,1,0)</f>
        <v>0</v>
      </c>
      <c r="BM27">
        <f t="shared" si="6"/>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IF($AF$4="",1,--(OR(SUMPRODUCT(--(TRIM(MID(SUBSTITUTE(SUBSTITUTE($AF$4,"/",","),",",REPT(" ",99)),(ROW($1:$8)-1)*99+1,99))&lt;&gt;""),--ISNUMBER(SEARCH(TRIM(MID(SUBSTITUTE(SUBSTITUTE($AF$4,"/",","),",",REPT(" ",99)),(ROW($1:$8)-1)*99+1,99)),IFERROR(('Final Calculation Sheet'!$AE$26)&amp;"",""))))&gt;0,AND(ISNUMBER(SEARCH("blank",$AF$4)),NOT(ISNUMBER(SEARCH("nonblank",$AF$4))),IFERROR(('Final Calculation Sheet'!$AE$26)&amp;"","")=""),AND(OR(ISNUMBER(SEARCH("nonblank",$AF$4)),ISNUMBER(SEARCH("&lt;&gt;",$AF$4))),IFERROR(('Final Calculation Sheet'!$AE$26)&amp;"","")&lt;&gt;""),AND(TRIM($AF$4)="",IFERROR(('Final Calculation Sheet'!$AE$26)&amp;"","")=""))))</f>
        <v>1</v>
      </c>
      <c r="CS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T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U27">
        <f>IF($AI$4="",1,--(OR(SUMPRODUCT(--(TRIM(MID(SUBSTITUTE(SUBSTITUTE($AI$4,"/",","),",",REPT(" ",99)),(ROW($1:$8)-1)*99+1,99))&lt;&gt;""),--ISNUMBER(SEARCH(TRIM(MID(SUBSTITUTE(SUBSTITUTE($AI$4,"/",","),",",REPT(" ",99)),(ROW($1:$8)-1)*99+1,99)),IFERROR((IF('Final Calculation Sheet'!$AD$26&lt;=5,"SETTLED","OUTSTANDING"))&amp;"",""))))&gt;0,AND(ISNUMBER(SEARCH("blank",$AI$4)),NOT(ISNUMBER(SEARCH("nonblank",$AI$4))),IFERROR((IF('Final Calculation Sheet'!$AD$26&lt;=5,"SETTLED","OUTSTANDING"))&amp;"","")=""),AND(OR(ISNUMBER(SEARCH("nonblank",$AI$4)),ISNUMBER(SEARCH("&lt;&gt;",$AI$4))),IFERROR((IF('Final Calculation Sheet'!$AD$26&lt;=5,"SETTLED","OUTSTANDING"))&amp;"","")&lt;&gt;""),AND(TRIM($AI$4)="",IFERROR((IF('Final Calculation Sheet'!$AD$26&lt;=5,"SETTLED","OUTSTANDING"))&amp;"","")=""))))</f>
        <v>1</v>
      </c>
    </row>
    <row r="28" spans="1:99" ht="15" customHeight="1" x14ac:dyDescent="0.25">
      <c r="A28" s="67">
        <f>IF($BJ27&gt;0,INDEX($BA$5:$BA$41,MATCH(27,$BB$5:$BB$41,0)),IF(OR($BI27=1,$BL27=1,$BH27&gt;0),"∑",""))</f>
        <v>23</v>
      </c>
      <c r="B28" s="68">
        <f>IF($BJ27&gt;0,IF(INDEX('Final Calculation Sheet'!$F$4:$F$40,$BJ27-3)="","",INDEX('Final Calculation Sheet'!$F$4:$F$40,$BJ27-3)),"")</f>
        <v>2035</v>
      </c>
      <c r="C28" s="68" t="str">
        <f>IF($BJ27&gt;0,IF(INDEX('Final Calculation Sheet'!$G$4:$G$40,$BJ27-3)="","",INDEX('Final Calculation Sheet'!$G$4:$G$40,$BJ27-3)),IF(OR($BI27=1,$BL27=1,$BH27&gt;0),IF($BI27=1,37,IF($BL27=1,37-INDEX($BD$4:$BD$13,10),INDEX($BD$4:$BD$13,$BH27)))&amp;" lot(s)",""))</f>
        <v>NATIONAL ENTERPRISES</v>
      </c>
      <c r="D28" s="69"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69">
        <f>IF($BJ27&gt;0,IF(INDEX('Final Calculation Sheet'!$D$4:$D$40,$BJ27-3)="","",INDEX('Final Calculation Sheet'!$D$4:$D$40,$BJ27-3)),IF(OR($BI27=1,$BL27=1,$BH27&gt;0),"–",""))</f>
        <v>21978</v>
      </c>
      <c r="F28" s="69">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69"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 ca="1">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0" t="str">
        <f>IF($BJ27&gt;0,IF(INDEX('Final Calculation Sheet'!$AE$4:$AE$40,$BJ27-3)="","",INDEX('Final Calculation Sheet'!$AE$4:$AE$40,$BJ27-3)),IF(OR($BI27=1,$BL27=1,$BH27&gt;0),"–",""))</f>
        <v>DR2640100037</v>
      </c>
      <c r="AG28" s="74">
        <f>IF($BJ27&gt;0,IF(INDEX('Final Calculation Sheet'!$AF$4:$AF$40,$BJ27-3)="","",INDEX('Final Calculation Sheet'!$AF$4:$AF$40,$BJ27-3)),IF(OR($BI27=1,$BL27=1,$BH27&gt;0),"–",""))</f>
        <v>1800003310</v>
      </c>
      <c r="AH28" s="70" t="str">
        <f>IF($BJ27&gt;0,IF(INDEX('Final Calculation Sheet'!$AG$4:$AG$40,$BJ27-3)="","",INDEX('Final Calculation Sheet'!$AG$4:$AG$40,$BJ27-3)),IF(OR($BI27=1,$BL27=1,$BH27&gt;0),"–",""))</f>
        <v>27.08.2026</v>
      </c>
      <c r="AI28" s="75"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SETTLED</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 t="shared" si="7"/>
        <v>0</v>
      </c>
      <c r="AM28">
        <f t="shared" si="1"/>
        <v>1</v>
      </c>
      <c r="AZ28">
        <f t="shared" si="2"/>
        <v>9</v>
      </c>
      <c r="BA28">
        <f t="shared" si="3"/>
        <v>24</v>
      </c>
      <c r="BB28">
        <f t="shared" si="4"/>
        <v>28</v>
      </c>
      <c r="BC28">
        <v>27</v>
      </c>
      <c r="BH28">
        <f>IFERROR(MATCH(28,$BF$4:$BF$13,0),0)</f>
        <v>0</v>
      </c>
      <c r="BI28">
        <f>IF(28=$BG$5,1,0)</f>
        <v>0</v>
      </c>
      <c r="BJ28">
        <f>IF(OR($BH28&gt;0,$BI28=1,$BL28=1),0,IFERROR(INDEX($BC$5:$BC$41,MATCH(28,$BB$5:$BB$41,0)),0))</f>
        <v>27</v>
      </c>
      <c r="BK28">
        <f>IF($BJ28&gt;0,IF(INDEX($AZ$5:$AZ$41,MATCH(28,$BB$5:$BB$41,0))=10,1,0),IF($BH28=10,1,0))</f>
        <v>0</v>
      </c>
      <c r="BL28">
        <f>IF(28=$BG$4,1,0)</f>
        <v>0</v>
      </c>
      <c r="BM28">
        <f t="shared" si="6"/>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IF($AF$4="",1,--(OR(SUMPRODUCT(--(TRIM(MID(SUBSTITUTE(SUBSTITUTE($AF$4,"/",","),",",REPT(" ",99)),(ROW($1:$8)-1)*99+1,99))&lt;&gt;""),--ISNUMBER(SEARCH(TRIM(MID(SUBSTITUTE(SUBSTITUTE($AF$4,"/",","),",",REPT(" ",99)),(ROW($1:$8)-1)*99+1,99)),IFERROR(('Final Calculation Sheet'!$AE$27)&amp;"",""))))&gt;0,AND(ISNUMBER(SEARCH("blank",$AF$4)),NOT(ISNUMBER(SEARCH("nonblank",$AF$4))),IFERROR(('Final Calculation Sheet'!$AE$27)&amp;"","")=""),AND(OR(ISNUMBER(SEARCH("nonblank",$AF$4)),ISNUMBER(SEARCH("&lt;&gt;",$AF$4))),IFERROR(('Final Calculation Sheet'!$AE$27)&amp;"","")&lt;&gt;""),AND(TRIM($AF$4)="",IFERROR(('Final Calculation Sheet'!$AE$27)&amp;"","")=""))))</f>
        <v>1</v>
      </c>
      <c r="CS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T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U28">
        <f>IF($AI$4="",1,--(OR(SUMPRODUCT(--(TRIM(MID(SUBSTITUTE(SUBSTITUTE($AI$4,"/",","),",",REPT(" ",99)),(ROW($1:$8)-1)*99+1,99))&lt;&gt;""),--ISNUMBER(SEARCH(TRIM(MID(SUBSTITUTE(SUBSTITUTE($AI$4,"/",","),",",REPT(" ",99)),(ROW($1:$8)-1)*99+1,99)),IFERROR((IF('Final Calculation Sheet'!$AD$27&lt;=5,"SETTLED","OUTSTANDING"))&amp;"",""))))&gt;0,AND(ISNUMBER(SEARCH("blank",$AI$4)),NOT(ISNUMBER(SEARCH("nonblank",$AI$4))),IFERROR((IF('Final Calculation Sheet'!$AD$27&lt;=5,"SETTLED","OUTSTANDING"))&amp;"","")=""),AND(OR(ISNUMBER(SEARCH("nonblank",$AI$4)),ISNUMBER(SEARCH("&lt;&gt;",$AI$4))),IFERROR((IF('Final Calculation Sheet'!$AD$27&lt;=5,"SETTLED","OUTSTANDING"))&amp;"","")&lt;&gt;""),AND(TRIM($AI$4)="",IFERROR((IF('Final Calculation Sheet'!$AD$27&lt;=5,"SETTLED","OUTSTANDING"))&amp;"","")=""))))</f>
        <v>1</v>
      </c>
    </row>
    <row r="29" spans="1:99" ht="15" customHeight="1" x14ac:dyDescent="0.25">
      <c r="A29" s="67">
        <f>IF($BJ28&gt;0,INDEX($BA$5:$BA$41,MATCH(28,$BB$5:$BB$41,0)),IF(OR($BI28=1,$BL28=1,$BH28&gt;0),"∑",""))</f>
        <v>24</v>
      </c>
      <c r="B29" s="68">
        <f>IF($BJ28&gt;0,IF(INDEX('Final Calculation Sheet'!$F$4:$F$40,$BJ28-3)="","",INDEX('Final Calculation Sheet'!$F$4:$F$40,$BJ28-3)),"")</f>
        <v>2036</v>
      </c>
      <c r="C29" s="68" t="str">
        <f>IF($BJ28&gt;0,IF(INDEX('Final Calculation Sheet'!$G$4:$G$40,$BJ28-3)="","",INDEX('Final Calculation Sheet'!$G$4:$G$40,$BJ28-3)),IF(OR($BI28=1,$BL28=1,$BH28&gt;0),IF($BI28=1,37,IF($BL28=1,37-INDEX($BD$4:$BD$13,10),INDEX($BD$4:$BD$13,$BH28)))&amp;" lot(s)",""))</f>
        <v>M I SCRAP TRADERS</v>
      </c>
      <c r="D29" s="69"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69">
        <f>IF($BJ28&gt;0,IF(INDEX('Final Calculation Sheet'!$D$4:$D$40,$BJ28-3)="","",INDEX('Final Calculation Sheet'!$D$4:$D$40,$BJ28-3)),IF(OR($BI28=1,$BL28=1,$BH28&gt;0),"–",""))</f>
        <v>21978</v>
      </c>
      <c r="F29" s="69">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69"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 ca="1">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0" t="str">
        <f>IF($BJ28&gt;0,IF(INDEX('Final Calculation Sheet'!$AE$4:$AE$40,$BJ28-3)="","",INDEX('Final Calculation Sheet'!$AE$4:$AE$40,$BJ28-3)),IF(OR($BI28=1,$BL28=1,$BH28&gt;0),"–",""))</f>
        <v/>
      </c>
      <c r="AG29" s="74" t="str">
        <f>IF($BJ28&gt;0,IF(INDEX('Final Calculation Sheet'!$AF$4:$AF$40,$BJ28-3)="","",INDEX('Final Calculation Sheet'!$AF$4:$AF$40,$BJ28-3)),IF(OR($BI28=1,$BL28=1,$BH28&gt;0),"–",""))</f>
        <v/>
      </c>
      <c r="AH29" s="70" t="str">
        <f>IF($BJ28&gt;0,IF(INDEX('Final Calculation Sheet'!$AG$4:$AG$40,$BJ28-3)="","",INDEX('Final Calculation Sheet'!$AG$4:$AG$40,$BJ28-3)),IF(OR($BI28=1,$BL28=1,$BH28&gt;0),"–",""))</f>
        <v/>
      </c>
      <c r="AI29" s="7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OUTSTANDING</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 t="shared" si="7"/>
        <v>0</v>
      </c>
      <c r="AM29">
        <f t="shared" si="1"/>
        <v>1</v>
      </c>
      <c r="AZ29">
        <f t="shared" si="2"/>
        <v>9</v>
      </c>
      <c r="BA29">
        <f t="shared" si="3"/>
        <v>25</v>
      </c>
      <c r="BB29">
        <f t="shared" si="4"/>
        <v>29</v>
      </c>
      <c r="BC29">
        <v>28</v>
      </c>
      <c r="BH29">
        <f>IFERROR(MATCH(29,$BF$4:$BF$13,0),0)</f>
        <v>0</v>
      </c>
      <c r="BI29">
        <f>IF(29=$BG$5,1,0)</f>
        <v>0</v>
      </c>
      <c r="BJ29">
        <f>IF(OR($BH29&gt;0,$BI29=1,$BL29=1),0,IFERROR(INDEX($BC$5:$BC$41,MATCH(29,$BB$5:$BB$41,0)),0))</f>
        <v>28</v>
      </c>
      <c r="BK29">
        <f>IF($BJ29&gt;0,IF(INDEX($AZ$5:$AZ$41,MATCH(29,$BB$5:$BB$41,0))=10,1,0),IF($BH29=10,1,0))</f>
        <v>0</v>
      </c>
      <c r="BL29">
        <f>IF(29=$BG$4,1,0)</f>
        <v>0</v>
      </c>
      <c r="BM29">
        <f t="shared" si="6"/>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IF($AF$4="",1,--(OR(SUMPRODUCT(--(TRIM(MID(SUBSTITUTE(SUBSTITUTE($AF$4,"/",","),",",REPT(" ",99)),(ROW($1:$8)-1)*99+1,99))&lt;&gt;""),--ISNUMBER(SEARCH(TRIM(MID(SUBSTITUTE(SUBSTITUTE($AF$4,"/",","),",",REPT(" ",99)),(ROW($1:$8)-1)*99+1,99)),IFERROR(('Final Calculation Sheet'!$AE$28)&amp;"",""))))&gt;0,AND(ISNUMBER(SEARCH("blank",$AF$4)),NOT(ISNUMBER(SEARCH("nonblank",$AF$4))),IFERROR(('Final Calculation Sheet'!$AE$28)&amp;"","")=""),AND(OR(ISNUMBER(SEARCH("nonblank",$AF$4)),ISNUMBER(SEARCH("&lt;&gt;",$AF$4))),IFERROR(('Final Calculation Sheet'!$AE$28)&amp;"","")&lt;&gt;""),AND(TRIM($AF$4)="",IFERROR(('Final Calculation Sheet'!$AE$28)&amp;"","")=""))))</f>
        <v>1</v>
      </c>
      <c r="CS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T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U29">
        <f>IF($AI$4="",1,--(OR(SUMPRODUCT(--(TRIM(MID(SUBSTITUTE(SUBSTITUTE($AI$4,"/",","),",",REPT(" ",99)),(ROW($1:$8)-1)*99+1,99))&lt;&gt;""),--ISNUMBER(SEARCH(TRIM(MID(SUBSTITUTE(SUBSTITUTE($AI$4,"/",","),",",REPT(" ",99)),(ROW($1:$8)-1)*99+1,99)),IFERROR((IF('Final Calculation Sheet'!$AD$28&lt;=5,"SETTLED","OUTSTANDING"))&amp;"",""))))&gt;0,AND(ISNUMBER(SEARCH("blank",$AI$4)),NOT(ISNUMBER(SEARCH("nonblank",$AI$4))),IFERROR((IF('Final Calculation Sheet'!$AD$28&lt;=5,"SETTLED","OUTSTANDING"))&amp;"","")=""),AND(OR(ISNUMBER(SEARCH("nonblank",$AI$4)),ISNUMBER(SEARCH("&lt;&gt;",$AI$4))),IFERROR((IF('Final Calculation Sheet'!$AD$28&lt;=5,"SETTLED","OUTSTANDING"))&amp;"","")&lt;&gt;""),AND(TRIM($AI$4)="",IFERROR((IF('Final Calculation Sheet'!$AD$28&lt;=5,"SETTLED","OUTSTANDING"))&amp;"","")=""))))</f>
        <v>1</v>
      </c>
    </row>
    <row r="30" spans="1:99" ht="15" customHeight="1" x14ac:dyDescent="0.25">
      <c r="A30" s="67">
        <f>IF($BJ29&gt;0,INDEX($BA$5:$BA$41,MATCH(29,$BB$5:$BB$41,0)),IF(OR($BI29=1,$BL29=1,$BH29&gt;0),"∑",""))</f>
        <v>25</v>
      </c>
      <c r="B30" s="68">
        <f>IF($BJ29&gt;0,IF(INDEX('Final Calculation Sheet'!$F$4:$F$40,$BJ29-3)="","",INDEX('Final Calculation Sheet'!$F$4:$F$40,$BJ29-3)),"")</f>
        <v>2037</v>
      </c>
      <c r="C30" s="68" t="str">
        <f>IF($BJ29&gt;0,IF(INDEX('Final Calculation Sheet'!$G$4:$G$40,$BJ29-3)="","",INDEX('Final Calculation Sheet'!$G$4:$G$40,$BJ29-3)),IF(OR($BI29=1,$BL29=1,$BH29&gt;0),IF($BI29=1,37,IF($BL29=1,37-INDEX($BD$4:$BD$13,10),INDEX($BD$4:$BD$13,$BH29)))&amp;" lot(s)",""))</f>
        <v>WATAN SCRAP TRADERS</v>
      </c>
      <c r="D30" s="69"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69">
        <f>IF($BJ29&gt;0,IF(INDEX('Final Calculation Sheet'!$D$4:$D$40,$BJ29-3)="","",INDEX('Final Calculation Sheet'!$D$4:$D$40,$BJ29-3)),IF(OR($BI29=1,$BL29=1,$BH29&gt;0),"–",""))</f>
        <v>21978</v>
      </c>
      <c r="F30" s="69">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69"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 ca="1">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0" t="str">
        <f>IF($BJ29&gt;0,IF(INDEX('Final Calculation Sheet'!$AE$4:$AE$40,$BJ29-3)="","",INDEX('Final Calculation Sheet'!$AE$4:$AE$40,$BJ29-3)),IF(OR($BI29=1,$BL29=1,$BH29&gt;0),"–",""))</f>
        <v>DR2640100043</v>
      </c>
      <c r="AG30" s="74">
        <f>IF($BJ29&gt;0,IF(INDEX('Final Calculation Sheet'!$AF$4:$AF$40,$BJ29-3)="","",INDEX('Final Calculation Sheet'!$AF$4:$AF$40,$BJ29-3)),IF(OR($BI29=1,$BL29=1,$BH29&gt;0),"–",""))</f>
        <v>1800003318</v>
      </c>
      <c r="AH30" s="70" t="str">
        <f>IF($BJ29&gt;0,IF(INDEX('Final Calculation Sheet'!$AG$4:$AG$40,$BJ29-3)="","",INDEX('Final Calculation Sheet'!$AG$4:$AG$40,$BJ29-3)),IF(OR($BI29=1,$BL29=1,$BH29&gt;0),"–",""))</f>
        <v>27.08.2026</v>
      </c>
      <c r="AI30" s="75"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SETTLED</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 t="shared" si="7"/>
        <v>0</v>
      </c>
      <c r="AM30">
        <f t="shared" si="1"/>
        <v>1</v>
      </c>
      <c r="AZ30">
        <f t="shared" si="2"/>
        <v>9</v>
      </c>
      <c r="BA30">
        <f t="shared" si="3"/>
        <v>26</v>
      </c>
      <c r="BB30">
        <f t="shared" si="4"/>
        <v>30</v>
      </c>
      <c r="BC30">
        <v>29</v>
      </c>
      <c r="BH30">
        <f>IFERROR(MATCH(30,$BF$4:$BF$13,0),0)</f>
        <v>0</v>
      </c>
      <c r="BI30">
        <f>IF(30=$BG$5,1,0)</f>
        <v>0</v>
      </c>
      <c r="BJ30">
        <f>IF(OR($BH30&gt;0,$BI30=1,$BL30=1),0,IFERROR(INDEX($BC$5:$BC$41,MATCH(30,$BB$5:$BB$41,0)),0))</f>
        <v>29</v>
      </c>
      <c r="BK30">
        <f>IF($BJ30&gt;0,IF(INDEX($AZ$5:$AZ$41,MATCH(30,$BB$5:$BB$41,0))=10,1,0),IF($BH30=10,1,0))</f>
        <v>0</v>
      </c>
      <c r="BL30">
        <f>IF(30=$BG$4,1,0)</f>
        <v>0</v>
      </c>
      <c r="BM30">
        <f t="shared" si="6"/>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IF($AF$4="",1,--(OR(SUMPRODUCT(--(TRIM(MID(SUBSTITUTE(SUBSTITUTE($AF$4,"/",","),",",REPT(" ",99)),(ROW($1:$8)-1)*99+1,99))&lt;&gt;""),--ISNUMBER(SEARCH(TRIM(MID(SUBSTITUTE(SUBSTITUTE($AF$4,"/",","),",",REPT(" ",99)),(ROW($1:$8)-1)*99+1,99)),IFERROR(('Final Calculation Sheet'!$AE$29)&amp;"",""))))&gt;0,AND(ISNUMBER(SEARCH("blank",$AF$4)),NOT(ISNUMBER(SEARCH("nonblank",$AF$4))),IFERROR(('Final Calculation Sheet'!$AE$29)&amp;"","")=""),AND(OR(ISNUMBER(SEARCH("nonblank",$AF$4)),ISNUMBER(SEARCH("&lt;&gt;",$AF$4))),IFERROR(('Final Calculation Sheet'!$AE$29)&amp;"","")&lt;&gt;""),AND(TRIM($AF$4)="",IFERROR(('Final Calculation Sheet'!$AE$29)&amp;"","")=""))))</f>
        <v>1</v>
      </c>
      <c r="CS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T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U30">
        <f>IF($AI$4="",1,--(OR(SUMPRODUCT(--(TRIM(MID(SUBSTITUTE(SUBSTITUTE($AI$4,"/",","),",",REPT(" ",99)),(ROW($1:$8)-1)*99+1,99))&lt;&gt;""),--ISNUMBER(SEARCH(TRIM(MID(SUBSTITUTE(SUBSTITUTE($AI$4,"/",","),",",REPT(" ",99)),(ROW($1:$8)-1)*99+1,99)),IFERROR((IF('Final Calculation Sheet'!$AD$29&lt;=5,"SETTLED","OUTSTANDING"))&amp;"",""))))&gt;0,AND(ISNUMBER(SEARCH("blank",$AI$4)),NOT(ISNUMBER(SEARCH("nonblank",$AI$4))),IFERROR((IF('Final Calculation Sheet'!$AD$29&lt;=5,"SETTLED","OUTSTANDING"))&amp;"","")=""),AND(OR(ISNUMBER(SEARCH("nonblank",$AI$4)),ISNUMBER(SEARCH("&lt;&gt;",$AI$4))),IFERROR((IF('Final Calculation Sheet'!$AD$29&lt;=5,"SETTLED","OUTSTANDING"))&amp;"","")&lt;&gt;""),AND(TRIM($AI$4)="",IFERROR((IF('Final Calculation Sheet'!$AD$29&lt;=5,"SETTLED","OUTSTANDING"))&amp;"","")=""))))</f>
        <v>1</v>
      </c>
    </row>
    <row r="31" spans="1:99" ht="15" customHeight="1" x14ac:dyDescent="0.25">
      <c r="A31" s="67">
        <f>IF($BJ30&gt;0,INDEX($BA$5:$BA$41,MATCH(30,$BB$5:$BB$41,0)),IF(OR($BI30=1,$BL30=1,$BH30&gt;0),"∑",""))</f>
        <v>26</v>
      </c>
      <c r="B31" s="68">
        <f>IF($BJ30&gt;0,IF(INDEX('Final Calculation Sheet'!$F$4:$F$40,$BJ30-3)="","",INDEX('Final Calculation Sheet'!$F$4:$F$40,$BJ30-3)),"")</f>
        <v>2040</v>
      </c>
      <c r="C31" s="68" t="str">
        <f>IF($BJ30&gt;0,IF(INDEX('Final Calculation Sheet'!$G$4:$G$40,$BJ30-3)="","",INDEX('Final Calculation Sheet'!$G$4:$G$40,$BJ30-3)),IF(OR($BI30=1,$BL30=1,$BH30&gt;0),IF($BI30=1,37,IF($BL30=1,37-INDEX($BD$4:$BD$13,10),INDEX($BD$4:$BD$13,$BH30)))&amp;" lot(s)",""))</f>
        <v>STERLING ENTERPRISES</v>
      </c>
      <c r="D31" s="69"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69">
        <f>IF($BJ30&gt;0,IF(INDEX('Final Calculation Sheet'!$D$4:$D$40,$BJ30-3)="","",INDEX('Final Calculation Sheet'!$D$4:$D$40,$BJ30-3)),IF(OR($BI30=1,$BL30=1,$BH30&gt;0),"–",""))</f>
        <v>21978</v>
      </c>
      <c r="F31" s="69">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69"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 ca="1">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0" t="str">
        <f>IF($BJ30&gt;0,IF(INDEX('Final Calculation Sheet'!$AE$4:$AE$40,$BJ30-3)="","",INDEX('Final Calculation Sheet'!$AE$4:$AE$40,$BJ30-3)),IF(OR($BI30=1,$BL30=1,$BH30&gt;0),"–",""))</f>
        <v/>
      </c>
      <c r="AG31" s="74" t="str">
        <f>IF($BJ30&gt;0,IF(INDEX('Final Calculation Sheet'!$AF$4:$AF$40,$BJ30-3)="","",INDEX('Final Calculation Sheet'!$AF$4:$AF$40,$BJ30-3)),IF(OR($BI30=1,$BL30=1,$BH30&gt;0),"–",""))</f>
        <v/>
      </c>
      <c r="AH31" s="70" t="str">
        <f>IF($BJ30&gt;0,IF(INDEX('Final Calculation Sheet'!$AG$4:$AG$40,$BJ30-3)="","",INDEX('Final Calculation Sheet'!$AG$4:$AG$40,$BJ30-3)),IF(OR($BI30=1,$BL30=1,$BH30&gt;0),"–",""))</f>
        <v/>
      </c>
      <c r="AI31" s="75"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OUTSTANDING</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 t="shared" si="7"/>
        <v>0</v>
      </c>
      <c r="AM31">
        <f t="shared" si="1"/>
        <v>1</v>
      </c>
      <c r="AZ31">
        <f t="shared" si="2"/>
        <v>9</v>
      </c>
      <c r="BA31">
        <f t="shared" si="3"/>
        <v>27</v>
      </c>
      <c r="BB31">
        <f t="shared" si="4"/>
        <v>31</v>
      </c>
      <c r="BC31">
        <v>30</v>
      </c>
      <c r="BH31">
        <f>IFERROR(MATCH(31,$BF$4:$BF$13,0),0)</f>
        <v>0</v>
      </c>
      <c r="BI31">
        <f>IF(31=$BG$5,1,0)</f>
        <v>0</v>
      </c>
      <c r="BJ31">
        <f>IF(OR($BH31&gt;0,$BI31=1,$BL31=1),0,IFERROR(INDEX($BC$5:$BC$41,MATCH(31,$BB$5:$BB$41,0)),0))</f>
        <v>30</v>
      </c>
      <c r="BK31">
        <f>IF($BJ31&gt;0,IF(INDEX($AZ$5:$AZ$41,MATCH(31,$BB$5:$BB$41,0))=10,1,0),IF($BH31=10,1,0))</f>
        <v>0</v>
      </c>
      <c r="BL31">
        <f>IF(31=$BG$4,1,0)</f>
        <v>0</v>
      </c>
      <c r="BM31">
        <f t="shared" si="6"/>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IF($AF$4="",1,--(OR(SUMPRODUCT(--(TRIM(MID(SUBSTITUTE(SUBSTITUTE($AF$4,"/",","),",",REPT(" ",99)),(ROW($1:$8)-1)*99+1,99))&lt;&gt;""),--ISNUMBER(SEARCH(TRIM(MID(SUBSTITUTE(SUBSTITUTE($AF$4,"/",","),",",REPT(" ",99)),(ROW($1:$8)-1)*99+1,99)),IFERROR(('Final Calculation Sheet'!$AE$30)&amp;"",""))))&gt;0,AND(ISNUMBER(SEARCH("blank",$AF$4)),NOT(ISNUMBER(SEARCH("nonblank",$AF$4))),IFERROR(('Final Calculation Sheet'!$AE$30)&amp;"","")=""),AND(OR(ISNUMBER(SEARCH("nonblank",$AF$4)),ISNUMBER(SEARCH("&lt;&gt;",$AF$4))),IFERROR(('Final Calculation Sheet'!$AE$30)&amp;"","")&lt;&gt;""),AND(TRIM($AF$4)="",IFERROR(('Final Calculation Sheet'!$AE$30)&amp;"","")=""))))</f>
        <v>1</v>
      </c>
      <c r="CS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T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U31">
        <f>IF($AI$4="",1,--(OR(SUMPRODUCT(--(TRIM(MID(SUBSTITUTE(SUBSTITUTE($AI$4,"/",","),",",REPT(" ",99)),(ROW($1:$8)-1)*99+1,99))&lt;&gt;""),--ISNUMBER(SEARCH(TRIM(MID(SUBSTITUTE(SUBSTITUTE($AI$4,"/",","),",",REPT(" ",99)),(ROW($1:$8)-1)*99+1,99)),IFERROR((IF('Final Calculation Sheet'!$AD$30&lt;=5,"SETTLED","OUTSTANDING"))&amp;"",""))))&gt;0,AND(ISNUMBER(SEARCH("blank",$AI$4)),NOT(ISNUMBER(SEARCH("nonblank",$AI$4))),IFERROR((IF('Final Calculation Sheet'!$AD$30&lt;=5,"SETTLED","OUTSTANDING"))&amp;"","")=""),AND(OR(ISNUMBER(SEARCH("nonblank",$AI$4)),ISNUMBER(SEARCH("&lt;&gt;",$AI$4))),IFERROR((IF('Final Calculation Sheet'!$AD$30&lt;=5,"SETTLED","OUTSTANDING"))&amp;"","")&lt;&gt;""),AND(TRIM($AI$4)="",IFERROR((IF('Final Calculation Sheet'!$AD$30&lt;=5,"SETTLED","OUTSTANDING"))&amp;"","")=""))))</f>
        <v>1</v>
      </c>
    </row>
    <row r="32" spans="1:99" ht="15" customHeight="1" x14ac:dyDescent="0.25">
      <c r="A32" s="67">
        <f>IF($BJ31&gt;0,INDEX($BA$5:$BA$41,MATCH(31,$BB$5:$BB$41,0)),IF(OR($BI31=1,$BL31=1,$BH31&gt;0),"∑",""))</f>
        <v>27</v>
      </c>
      <c r="B32" s="68">
        <f>IF($BJ31&gt;0,IF(INDEX('Final Calculation Sheet'!$F$4:$F$40,$BJ31-3)="","",INDEX('Final Calculation Sheet'!$F$4:$F$40,$BJ31-3)),"")</f>
        <v>2043</v>
      </c>
      <c r="C32" s="68" t="str">
        <f>IF($BJ31&gt;0,IF(INDEX('Final Calculation Sheet'!$G$4:$G$40,$BJ31-3)="","",INDEX('Final Calculation Sheet'!$G$4:$G$40,$BJ31-3)),IF(OR($BI31=1,$BL31=1,$BH31&gt;0),IF($BI31=1,37,IF($BL31=1,37-INDEX($BD$4:$BD$13,10),INDEX($BD$4:$BD$13,$BH31)))&amp;" lot(s)",""))</f>
        <v>NATIONAL ENTERPRISES</v>
      </c>
      <c r="D32" s="69"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69">
        <f>IF($BJ31&gt;0,IF(INDEX('Final Calculation Sheet'!$D$4:$D$40,$BJ31-3)="","",INDEX('Final Calculation Sheet'!$D$4:$D$40,$BJ31-3)),IF(OR($BI31=1,$BL31=1,$BH31&gt;0),"–",""))</f>
        <v>21979</v>
      </c>
      <c r="F32" s="69">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69"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 ca="1">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0" t="str">
        <f>IF($BJ31&gt;0,IF(INDEX('Final Calculation Sheet'!$AE$4:$AE$40,$BJ31-3)="","",INDEX('Final Calculation Sheet'!$AE$4:$AE$40,$BJ31-3)),IF(OR($BI31=1,$BL31=1,$BH31&gt;0),"–",""))</f>
        <v>DR2640100038</v>
      </c>
      <c r="AG32" s="74">
        <f>IF($BJ31&gt;0,IF(INDEX('Final Calculation Sheet'!$AF$4:$AF$40,$BJ31-3)="","",INDEX('Final Calculation Sheet'!$AF$4:$AF$40,$BJ31-3)),IF(OR($BI31=1,$BL31=1,$BH31&gt;0),"–",""))</f>
        <v>1800003311</v>
      </c>
      <c r="AH32" s="70" t="str">
        <f>IF($BJ31&gt;0,IF(INDEX('Final Calculation Sheet'!$AG$4:$AG$40,$BJ31-3)="","",INDEX('Final Calculation Sheet'!$AG$4:$AG$40,$BJ31-3)),IF(OR($BI31=1,$BL31=1,$BH31&gt;0),"–",""))</f>
        <v>27.08.2026</v>
      </c>
      <c r="AI32" s="75"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SETTLED</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 t="shared" si="7"/>
        <v>0</v>
      </c>
      <c r="AM32">
        <f t="shared" si="1"/>
        <v>1</v>
      </c>
      <c r="AZ32">
        <f t="shared" si="2"/>
        <v>9</v>
      </c>
      <c r="BA32">
        <f t="shared" si="3"/>
        <v>28</v>
      </c>
      <c r="BB32">
        <f t="shared" si="4"/>
        <v>32</v>
      </c>
      <c r="BC32">
        <v>31</v>
      </c>
      <c r="BH32">
        <f>IFERROR(MATCH(32,$BF$4:$BF$13,0),0)</f>
        <v>0</v>
      </c>
      <c r="BI32">
        <f>IF(32=$BG$5,1,0)</f>
        <v>0</v>
      </c>
      <c r="BJ32">
        <f>IF(OR($BH32&gt;0,$BI32=1,$BL32=1),0,IFERROR(INDEX($BC$5:$BC$41,MATCH(32,$BB$5:$BB$41,0)),0))</f>
        <v>31</v>
      </c>
      <c r="BK32">
        <f>IF($BJ32&gt;0,IF(INDEX($AZ$5:$AZ$41,MATCH(32,$BB$5:$BB$41,0))=10,1,0),IF($BH32=10,1,0))</f>
        <v>0</v>
      </c>
      <c r="BL32">
        <f>IF(32=$BG$4,1,0)</f>
        <v>0</v>
      </c>
      <c r="BM32">
        <f t="shared" si="6"/>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IF($AF$4="",1,--(OR(SUMPRODUCT(--(TRIM(MID(SUBSTITUTE(SUBSTITUTE($AF$4,"/",","),",",REPT(" ",99)),(ROW($1:$8)-1)*99+1,99))&lt;&gt;""),--ISNUMBER(SEARCH(TRIM(MID(SUBSTITUTE(SUBSTITUTE($AF$4,"/",","),",",REPT(" ",99)),(ROW($1:$8)-1)*99+1,99)),IFERROR(('Final Calculation Sheet'!$AE$31)&amp;"",""))))&gt;0,AND(ISNUMBER(SEARCH("blank",$AF$4)),NOT(ISNUMBER(SEARCH("nonblank",$AF$4))),IFERROR(('Final Calculation Sheet'!$AE$31)&amp;"","")=""),AND(OR(ISNUMBER(SEARCH("nonblank",$AF$4)),ISNUMBER(SEARCH("&lt;&gt;",$AF$4))),IFERROR(('Final Calculation Sheet'!$AE$31)&amp;"","")&lt;&gt;""),AND(TRIM($AF$4)="",IFERROR(('Final Calculation Sheet'!$AE$31)&amp;"","")=""))))</f>
        <v>1</v>
      </c>
      <c r="CS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T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U32">
        <f>IF($AI$4="",1,--(OR(SUMPRODUCT(--(TRIM(MID(SUBSTITUTE(SUBSTITUTE($AI$4,"/",","),",",REPT(" ",99)),(ROW($1:$8)-1)*99+1,99))&lt;&gt;""),--ISNUMBER(SEARCH(TRIM(MID(SUBSTITUTE(SUBSTITUTE($AI$4,"/",","),",",REPT(" ",99)),(ROW($1:$8)-1)*99+1,99)),IFERROR((IF('Final Calculation Sheet'!$AD$31&lt;=5,"SETTLED","OUTSTANDING"))&amp;"",""))))&gt;0,AND(ISNUMBER(SEARCH("blank",$AI$4)),NOT(ISNUMBER(SEARCH("nonblank",$AI$4))),IFERROR((IF('Final Calculation Sheet'!$AD$31&lt;=5,"SETTLED","OUTSTANDING"))&amp;"","")=""),AND(OR(ISNUMBER(SEARCH("nonblank",$AI$4)),ISNUMBER(SEARCH("&lt;&gt;",$AI$4))),IFERROR((IF('Final Calculation Sheet'!$AD$31&lt;=5,"SETTLED","OUTSTANDING"))&amp;"","")&lt;&gt;""),AND(TRIM($AI$4)="",IFERROR((IF('Final Calculation Sheet'!$AD$31&lt;=5,"SETTLED","OUTSTANDING"))&amp;"","")=""))))</f>
        <v>1</v>
      </c>
    </row>
    <row r="33" spans="1:99" ht="15" customHeight="1" x14ac:dyDescent="0.25">
      <c r="A33" s="67">
        <f>IF($BJ32&gt;0,INDEX($BA$5:$BA$41,MATCH(32,$BB$5:$BB$41,0)),IF(OR($BI32=1,$BL32=1,$BH32&gt;0),"∑",""))</f>
        <v>28</v>
      </c>
      <c r="B33" s="68">
        <f>IF($BJ32&gt;0,IF(INDEX('Final Calculation Sheet'!$F$4:$F$40,$BJ32-3)="","",INDEX('Final Calculation Sheet'!$F$4:$F$40,$BJ32-3)),"")</f>
        <v>2046</v>
      </c>
      <c r="C33" s="68" t="str">
        <f>IF($BJ32&gt;0,IF(INDEX('Final Calculation Sheet'!$G$4:$G$40,$BJ32-3)="","",INDEX('Final Calculation Sheet'!$G$4:$G$40,$BJ32-3)),IF(OR($BI32=1,$BL32=1,$BH32&gt;0),IF($BI32=1,37,IF($BL32=1,37-INDEX($BD$4:$BD$13,10),INDEX($BD$4:$BD$13,$BH32)))&amp;" lot(s)",""))</f>
        <v>SAHARA ENTERPRISES</v>
      </c>
      <c r="D33" s="6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69">
        <f>IF($BJ32&gt;0,IF(INDEX('Final Calculation Sheet'!$D$4:$D$40,$BJ32-3)="","",INDEX('Final Calculation Sheet'!$D$4:$D$40,$BJ32-3)),IF(OR($BI32=1,$BL32=1,$BH32&gt;0),"–",""))</f>
        <v>21979</v>
      </c>
      <c r="F33" s="69">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69"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 ca="1">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0" t="str">
        <f>IF($BJ32&gt;0,IF(INDEX('Final Calculation Sheet'!$AE$4:$AE$40,$BJ32-3)="","",INDEX('Final Calculation Sheet'!$AE$4:$AE$40,$BJ32-3)),IF(OR($BI32=1,$BL32=1,$BH32&gt;0),"–",""))</f>
        <v>DR2640100041</v>
      </c>
      <c r="AG33" s="74">
        <f>IF($BJ32&gt;0,IF(INDEX('Final Calculation Sheet'!$AF$4:$AF$40,$BJ32-3)="","",INDEX('Final Calculation Sheet'!$AF$4:$AF$40,$BJ32-3)),IF(OR($BI32=1,$BL32=1,$BH32&gt;0),"–",""))</f>
        <v>1800003316</v>
      </c>
      <c r="AH33" s="70" t="str">
        <f>IF($BJ32&gt;0,IF(INDEX('Final Calculation Sheet'!$AG$4:$AG$40,$BJ32-3)="","",INDEX('Final Calculation Sheet'!$AG$4:$AG$40,$BJ32-3)),IF(OR($BI32=1,$BL32=1,$BH32&gt;0),"–",""))</f>
        <v>27.08.2026</v>
      </c>
      <c r="AI33" s="75"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SETTLED</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 t="shared" si="7"/>
        <v>0</v>
      </c>
      <c r="AM33">
        <f t="shared" si="1"/>
        <v>1</v>
      </c>
      <c r="AZ33">
        <f t="shared" si="2"/>
        <v>9</v>
      </c>
      <c r="BA33">
        <f t="shared" si="3"/>
        <v>29</v>
      </c>
      <c r="BB33">
        <f t="shared" si="4"/>
        <v>33</v>
      </c>
      <c r="BC33">
        <v>32</v>
      </c>
      <c r="BH33">
        <f>IFERROR(MATCH(33,$BF$4:$BF$13,0),0)</f>
        <v>0</v>
      </c>
      <c r="BI33">
        <f>IF(33=$BG$5,1,0)</f>
        <v>0</v>
      </c>
      <c r="BJ33">
        <f>IF(OR($BH33&gt;0,$BI33=1,$BL33=1),0,IFERROR(INDEX($BC$5:$BC$41,MATCH(33,$BB$5:$BB$41,0)),0))</f>
        <v>32</v>
      </c>
      <c r="BK33">
        <f>IF($BJ33&gt;0,IF(INDEX($AZ$5:$AZ$41,MATCH(33,$BB$5:$BB$41,0))=10,1,0),IF($BH33=10,1,0))</f>
        <v>0</v>
      </c>
      <c r="BL33">
        <f>IF(33=$BG$4,1,0)</f>
        <v>0</v>
      </c>
      <c r="BM33">
        <f t="shared" si="6"/>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IF($AF$4="",1,--(OR(SUMPRODUCT(--(TRIM(MID(SUBSTITUTE(SUBSTITUTE($AF$4,"/",","),",",REPT(" ",99)),(ROW($1:$8)-1)*99+1,99))&lt;&gt;""),--ISNUMBER(SEARCH(TRIM(MID(SUBSTITUTE(SUBSTITUTE($AF$4,"/",","),",",REPT(" ",99)),(ROW($1:$8)-1)*99+1,99)),IFERROR(('Final Calculation Sheet'!$AE$32)&amp;"",""))))&gt;0,AND(ISNUMBER(SEARCH("blank",$AF$4)),NOT(ISNUMBER(SEARCH("nonblank",$AF$4))),IFERROR(('Final Calculation Sheet'!$AE$32)&amp;"","")=""),AND(OR(ISNUMBER(SEARCH("nonblank",$AF$4)),ISNUMBER(SEARCH("&lt;&gt;",$AF$4))),IFERROR(('Final Calculation Sheet'!$AE$32)&amp;"","")&lt;&gt;""),AND(TRIM($AF$4)="",IFERROR(('Final Calculation Sheet'!$AE$32)&amp;"","")=""))))</f>
        <v>1</v>
      </c>
      <c r="CS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T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U33">
        <f>IF($AI$4="",1,--(OR(SUMPRODUCT(--(TRIM(MID(SUBSTITUTE(SUBSTITUTE($AI$4,"/",","),",",REPT(" ",99)),(ROW($1:$8)-1)*99+1,99))&lt;&gt;""),--ISNUMBER(SEARCH(TRIM(MID(SUBSTITUTE(SUBSTITUTE($AI$4,"/",","),",",REPT(" ",99)),(ROW($1:$8)-1)*99+1,99)),IFERROR((IF('Final Calculation Sheet'!$AD$32&lt;=5,"SETTLED","OUTSTANDING"))&amp;"",""))))&gt;0,AND(ISNUMBER(SEARCH("blank",$AI$4)),NOT(ISNUMBER(SEARCH("nonblank",$AI$4))),IFERROR((IF('Final Calculation Sheet'!$AD$32&lt;=5,"SETTLED","OUTSTANDING"))&amp;"","")=""),AND(OR(ISNUMBER(SEARCH("nonblank",$AI$4)),ISNUMBER(SEARCH("&lt;&gt;",$AI$4))),IFERROR((IF('Final Calculation Sheet'!$AD$32&lt;=5,"SETTLED","OUTSTANDING"))&amp;"","")&lt;&gt;""),AND(TRIM($AI$4)="",IFERROR((IF('Final Calculation Sheet'!$AD$32&lt;=5,"SETTLED","OUTSTANDING"))&amp;"","")=""))))</f>
        <v>1</v>
      </c>
    </row>
    <row r="34" spans="1:99" ht="15" customHeight="1" x14ac:dyDescent="0.25">
      <c r="A34" s="67">
        <f>IF($BJ33&gt;0,INDEX($BA$5:$BA$41,MATCH(33,$BB$5:$BB$41,0)),IF(OR($BI33=1,$BL33=1,$BH33&gt;0),"∑",""))</f>
        <v>29</v>
      </c>
      <c r="B34" s="68">
        <f>IF($BJ33&gt;0,IF(INDEX('Final Calculation Sheet'!$F$4:$F$40,$BJ33-3)="","",INDEX('Final Calculation Sheet'!$F$4:$F$40,$BJ33-3)),"")</f>
        <v>2055</v>
      </c>
      <c r="C34" s="68" t="str">
        <f>IF($BJ33&gt;0,IF(INDEX('Final Calculation Sheet'!$G$4:$G$40,$BJ33-3)="","",INDEX('Final Calculation Sheet'!$G$4:$G$40,$BJ33-3)),IF(OR($BI33=1,$BL33=1,$BH33&gt;0),IF($BI33=1,37,IF($BL33=1,37-INDEX($BD$4:$BD$13,10),INDEX($BD$4:$BD$13,$BH33)))&amp;" lot(s)",""))</f>
        <v>NATIONAL ENTERPRISES</v>
      </c>
      <c r="D34" s="69"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69">
        <f>IF($BJ33&gt;0,IF(INDEX('Final Calculation Sheet'!$D$4:$D$40,$BJ33-3)="","",INDEX('Final Calculation Sheet'!$D$4:$D$40,$BJ33-3)),IF(OR($BI33=1,$BL33=1,$BH33&gt;0),"–",""))</f>
        <v>21979</v>
      </c>
      <c r="F34" s="69">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69"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 ca="1">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0" t="str">
        <f>IF($BJ33&gt;0,IF(INDEX('Final Calculation Sheet'!$AE$4:$AE$40,$BJ33-3)="","",INDEX('Final Calculation Sheet'!$AE$4:$AE$40,$BJ33-3)),IF(OR($BI33=1,$BL33=1,$BH33&gt;0),"–",""))</f>
        <v>DR2640100039</v>
      </c>
      <c r="AG34" s="74">
        <f>IF($BJ33&gt;0,IF(INDEX('Final Calculation Sheet'!$AF$4:$AF$40,$BJ33-3)="","",INDEX('Final Calculation Sheet'!$AF$4:$AF$40,$BJ33-3)),IF(OR($BI33=1,$BL33=1,$BH33&gt;0),"–",""))</f>
        <v>1800003312</v>
      </c>
      <c r="AH34" s="70" t="str">
        <f>IF($BJ33&gt;0,IF(INDEX('Final Calculation Sheet'!$AG$4:$AG$40,$BJ33-3)="","",INDEX('Final Calculation Sheet'!$AG$4:$AG$40,$BJ33-3)),IF(OR($BI33=1,$BL33=1,$BH33&gt;0),"–",""))</f>
        <v>27.08.2026</v>
      </c>
      <c r="AI34" s="75"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SETTLED</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 t="shared" si="7"/>
        <v>0</v>
      </c>
      <c r="AM34">
        <f t="shared" si="1"/>
        <v>1</v>
      </c>
      <c r="AZ34">
        <f t="shared" si="2"/>
        <v>9</v>
      </c>
      <c r="BA34">
        <f t="shared" si="3"/>
        <v>30</v>
      </c>
      <c r="BB34">
        <f t="shared" si="4"/>
        <v>34</v>
      </c>
      <c r="BC34">
        <v>33</v>
      </c>
      <c r="BH34">
        <f>IFERROR(MATCH(34,$BF$4:$BF$13,0),0)</f>
        <v>0</v>
      </c>
      <c r="BI34">
        <f>IF(34=$BG$5,1,0)</f>
        <v>0</v>
      </c>
      <c r="BJ34">
        <f>IF(OR($BH34&gt;0,$BI34=1,$BL34=1),0,IFERROR(INDEX($BC$5:$BC$41,MATCH(34,$BB$5:$BB$41,0)),0))</f>
        <v>33</v>
      </c>
      <c r="BK34">
        <f>IF($BJ34&gt;0,IF(INDEX($AZ$5:$AZ$41,MATCH(34,$BB$5:$BB$41,0))=10,1,0),IF($BH34=10,1,0))</f>
        <v>0</v>
      </c>
      <c r="BL34">
        <f>IF(34=$BG$4,1,0)</f>
        <v>0</v>
      </c>
      <c r="BM34">
        <f t="shared" si="6"/>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IF($AF$4="",1,--(OR(SUMPRODUCT(--(TRIM(MID(SUBSTITUTE(SUBSTITUTE($AF$4,"/",","),",",REPT(" ",99)),(ROW($1:$8)-1)*99+1,99))&lt;&gt;""),--ISNUMBER(SEARCH(TRIM(MID(SUBSTITUTE(SUBSTITUTE($AF$4,"/",","),",",REPT(" ",99)),(ROW($1:$8)-1)*99+1,99)),IFERROR(('Final Calculation Sheet'!$AE$33)&amp;"",""))))&gt;0,AND(ISNUMBER(SEARCH("blank",$AF$4)),NOT(ISNUMBER(SEARCH("nonblank",$AF$4))),IFERROR(('Final Calculation Sheet'!$AE$33)&amp;"","")=""),AND(OR(ISNUMBER(SEARCH("nonblank",$AF$4)),ISNUMBER(SEARCH("&lt;&gt;",$AF$4))),IFERROR(('Final Calculation Sheet'!$AE$33)&amp;"","")&lt;&gt;""),AND(TRIM($AF$4)="",IFERROR(('Final Calculation Sheet'!$AE$33)&amp;"","")=""))))</f>
        <v>1</v>
      </c>
      <c r="CS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T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U34">
        <f>IF($AI$4="",1,--(OR(SUMPRODUCT(--(TRIM(MID(SUBSTITUTE(SUBSTITUTE($AI$4,"/",","),",",REPT(" ",99)),(ROW($1:$8)-1)*99+1,99))&lt;&gt;""),--ISNUMBER(SEARCH(TRIM(MID(SUBSTITUTE(SUBSTITUTE($AI$4,"/",","),",",REPT(" ",99)),(ROW($1:$8)-1)*99+1,99)),IFERROR((IF('Final Calculation Sheet'!$AD$33&lt;=5,"SETTLED","OUTSTANDING"))&amp;"",""))))&gt;0,AND(ISNUMBER(SEARCH("blank",$AI$4)),NOT(ISNUMBER(SEARCH("nonblank",$AI$4))),IFERROR((IF('Final Calculation Sheet'!$AD$33&lt;=5,"SETTLED","OUTSTANDING"))&amp;"","")=""),AND(OR(ISNUMBER(SEARCH("nonblank",$AI$4)),ISNUMBER(SEARCH("&lt;&gt;",$AI$4))),IFERROR((IF('Final Calculation Sheet'!$AD$33&lt;=5,"SETTLED","OUTSTANDING"))&amp;"","")&lt;&gt;""),AND(TRIM($AI$4)="",IFERROR((IF('Final Calculation Sheet'!$AD$33&lt;=5,"SETTLED","OUTSTANDING"))&amp;"","")=""))))</f>
        <v>1</v>
      </c>
    </row>
    <row r="35" spans="1:99" ht="15" customHeight="1" x14ac:dyDescent="0.25">
      <c r="A35" s="67">
        <f>IF($BJ34&gt;0,INDEX($BA$5:$BA$41,MATCH(34,$BB$5:$BB$41,0)),IF(OR($BI34=1,$BL34=1,$BH34&gt;0),"∑",""))</f>
        <v>30</v>
      </c>
      <c r="B35" s="68">
        <f>IF($BJ34&gt;0,IF(INDEX('Final Calculation Sheet'!$F$4:$F$40,$BJ34-3)="","",INDEX('Final Calculation Sheet'!$F$4:$F$40,$BJ34-3)),"")</f>
        <v>2059</v>
      </c>
      <c r="C35" s="68" t="str">
        <f>IF($BJ34&gt;0,IF(INDEX('Final Calculation Sheet'!$G$4:$G$40,$BJ34-3)="","",INDEX('Final Calculation Sheet'!$G$4:$G$40,$BJ34-3)),IF(OR($BI34=1,$BL34=1,$BH34&gt;0),IF($BI34=1,37,IF($BL34=1,37-INDEX($BD$4:$BD$13,10),INDEX($BD$4:$BD$13,$BH34)))&amp;" lot(s)",""))</f>
        <v>NATIONAL ENTERPRISES</v>
      </c>
      <c r="D35" s="69"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69">
        <f>IF($BJ34&gt;0,IF(INDEX('Final Calculation Sheet'!$D$4:$D$40,$BJ34-3)="","",INDEX('Final Calculation Sheet'!$D$4:$D$40,$BJ34-3)),IF(OR($BI34=1,$BL34=1,$BH34&gt;0),"–",""))</f>
        <v>21979</v>
      </c>
      <c r="F35" s="69">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69"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 ca="1">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0" t="str">
        <f>IF($BJ34&gt;0,IF(INDEX('Final Calculation Sheet'!$AE$4:$AE$40,$BJ34-3)="","",INDEX('Final Calculation Sheet'!$AE$4:$AE$40,$BJ34-3)),IF(OR($BI34=1,$BL34=1,$BH34&gt;0),"–",""))</f>
        <v>DR2640100046</v>
      </c>
      <c r="AG35" s="74">
        <f>IF($BJ34&gt;0,IF(INDEX('Final Calculation Sheet'!$AF$4:$AF$40,$BJ34-3)="","",INDEX('Final Calculation Sheet'!$AF$4:$AF$40,$BJ34-3)),IF(OR($BI34=1,$BL34=1,$BH34&gt;0),"–",""))</f>
        <v>1800003313</v>
      </c>
      <c r="AH35" s="70" t="str">
        <f>IF($BJ34&gt;0,IF(INDEX('Final Calculation Sheet'!$AG$4:$AG$40,$BJ34-3)="","",INDEX('Final Calculation Sheet'!$AG$4:$AG$40,$BJ34-3)),IF(OR($BI34=1,$BL34=1,$BH34&gt;0),"–",""))</f>
        <v>27.08.2026</v>
      </c>
      <c r="AI35" s="75"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SETTLED</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 t="shared" si="7"/>
        <v>0</v>
      </c>
      <c r="AM35">
        <f t="shared" si="1"/>
        <v>1</v>
      </c>
      <c r="AZ35">
        <f t="shared" si="2"/>
        <v>9</v>
      </c>
      <c r="BA35">
        <f t="shared" si="3"/>
        <v>31</v>
      </c>
      <c r="BB35">
        <f t="shared" si="4"/>
        <v>35</v>
      </c>
      <c r="BC35">
        <v>34</v>
      </c>
      <c r="BH35">
        <f>IFERROR(MATCH(35,$BF$4:$BF$13,0),0)</f>
        <v>0</v>
      </c>
      <c r="BI35">
        <f>IF(35=$BG$5,1,0)</f>
        <v>0</v>
      </c>
      <c r="BJ35">
        <f>IF(OR($BH35&gt;0,$BI35=1,$BL35=1),0,IFERROR(INDEX($BC$5:$BC$41,MATCH(35,$BB$5:$BB$41,0)),0))</f>
        <v>34</v>
      </c>
      <c r="BK35">
        <f>IF($BJ35&gt;0,IF(INDEX($AZ$5:$AZ$41,MATCH(35,$BB$5:$BB$41,0))=10,1,0),IF($BH35=10,1,0))</f>
        <v>0</v>
      </c>
      <c r="BL35">
        <f>IF(35=$BG$4,1,0)</f>
        <v>0</v>
      </c>
      <c r="BM35">
        <f t="shared" si="6"/>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IF($AF$4="",1,--(OR(SUMPRODUCT(--(TRIM(MID(SUBSTITUTE(SUBSTITUTE($AF$4,"/",","),",",REPT(" ",99)),(ROW($1:$8)-1)*99+1,99))&lt;&gt;""),--ISNUMBER(SEARCH(TRIM(MID(SUBSTITUTE(SUBSTITUTE($AF$4,"/",","),",",REPT(" ",99)),(ROW($1:$8)-1)*99+1,99)),IFERROR(('Final Calculation Sheet'!$AE$34)&amp;"",""))))&gt;0,AND(ISNUMBER(SEARCH("blank",$AF$4)),NOT(ISNUMBER(SEARCH("nonblank",$AF$4))),IFERROR(('Final Calculation Sheet'!$AE$34)&amp;"","")=""),AND(OR(ISNUMBER(SEARCH("nonblank",$AF$4)),ISNUMBER(SEARCH("&lt;&gt;",$AF$4))),IFERROR(('Final Calculation Sheet'!$AE$34)&amp;"","")&lt;&gt;""),AND(TRIM($AF$4)="",IFERROR(('Final Calculation Sheet'!$AE$34)&amp;"","")=""))))</f>
        <v>1</v>
      </c>
      <c r="CS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T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U35">
        <f>IF($AI$4="",1,--(OR(SUMPRODUCT(--(TRIM(MID(SUBSTITUTE(SUBSTITUTE($AI$4,"/",","),",",REPT(" ",99)),(ROW($1:$8)-1)*99+1,99))&lt;&gt;""),--ISNUMBER(SEARCH(TRIM(MID(SUBSTITUTE(SUBSTITUTE($AI$4,"/",","),",",REPT(" ",99)),(ROW($1:$8)-1)*99+1,99)),IFERROR((IF('Final Calculation Sheet'!$AD$34&lt;=5,"SETTLED","OUTSTANDING"))&amp;"",""))))&gt;0,AND(ISNUMBER(SEARCH("blank",$AI$4)),NOT(ISNUMBER(SEARCH("nonblank",$AI$4))),IFERROR((IF('Final Calculation Sheet'!$AD$34&lt;=5,"SETTLED","OUTSTANDING"))&amp;"","")=""),AND(OR(ISNUMBER(SEARCH("nonblank",$AI$4)),ISNUMBER(SEARCH("&lt;&gt;",$AI$4))),IFERROR((IF('Final Calculation Sheet'!$AD$34&lt;=5,"SETTLED","OUTSTANDING"))&amp;"","")&lt;&gt;""),AND(TRIM($AI$4)="",IFERROR((IF('Final Calculation Sheet'!$AD$34&lt;=5,"SETTLED","OUTSTANDING"))&amp;"","")=""))))</f>
        <v>1</v>
      </c>
    </row>
    <row r="36" spans="1:99" ht="15" customHeight="1" x14ac:dyDescent="0.25">
      <c r="A36" s="67">
        <f>IF($BJ35&gt;0,INDEX($BA$5:$BA$41,MATCH(35,$BB$5:$BB$41,0)),IF(OR($BI35=1,$BL35=1,$BH35&gt;0),"∑",""))</f>
        <v>31</v>
      </c>
      <c r="B36" s="68">
        <f>IF($BJ35&gt;0,IF(INDEX('Final Calculation Sheet'!$F$4:$F$40,$BJ35-3)="","",INDEX('Final Calculation Sheet'!$F$4:$F$40,$BJ35-3)),"")</f>
        <v>2062</v>
      </c>
      <c r="C36" s="68" t="str">
        <f>IF($BJ35&gt;0,IF(INDEX('Final Calculation Sheet'!$G$4:$G$40,$BJ35-3)="","",INDEX('Final Calculation Sheet'!$G$4:$G$40,$BJ35-3)),IF(OR($BI35=1,$BL35=1,$BH35&gt;0),IF($BI35=1,37,IF($BL35=1,37-INDEX($BD$4:$BD$13,10),INDEX($BD$4:$BD$13,$BH35)))&amp;" lot(s)",""))</f>
        <v>STERLING ENTERPRISES</v>
      </c>
      <c r="D36" s="69"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69">
        <f>IF($BJ35&gt;0,IF(INDEX('Final Calculation Sheet'!$D$4:$D$40,$BJ35-3)="","",INDEX('Final Calculation Sheet'!$D$4:$D$40,$BJ35-3)),IF(OR($BI35=1,$BL35=1,$BH35&gt;0),"–",""))</f>
        <v>21979</v>
      </c>
      <c r="F36" s="69">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69"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 ca="1">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0" t="str">
        <f>IF($BJ35&gt;0,IF(INDEX('Final Calculation Sheet'!$AE$4:$AE$40,$BJ35-3)="","",INDEX('Final Calculation Sheet'!$AE$4:$AE$40,$BJ35-3)),IF(OR($BI35=1,$BL35=1,$BH35&gt;0),"–",""))</f>
        <v>DR2640100022</v>
      </c>
      <c r="AG36" s="74">
        <f>IF($BJ35&gt;0,IF(INDEX('Final Calculation Sheet'!$AF$4:$AF$40,$BJ35-3)="","",INDEX('Final Calculation Sheet'!$AF$4:$AF$40,$BJ35-3)),IF(OR($BI35=1,$BL35=1,$BH35&gt;0),"–",""))</f>
        <v>1800003161</v>
      </c>
      <c r="AH36" s="70" t="str">
        <f>IF($BJ35&gt;0,IF(INDEX('Final Calculation Sheet'!$AG$4:$AG$40,$BJ35-3)="","",INDEX('Final Calculation Sheet'!$AG$4:$AG$40,$BJ35-3)),IF(OR($BI35=1,$BL35=1,$BH35&gt;0),"–",""))</f>
        <v>14.08.2026</v>
      </c>
      <c r="AI36" s="75"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SETTLED</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 t="shared" si="7"/>
        <v>0</v>
      </c>
      <c r="AM36">
        <f t="shared" si="1"/>
        <v>1</v>
      </c>
      <c r="AZ36">
        <f t="shared" si="2"/>
        <v>9</v>
      </c>
      <c r="BA36">
        <f t="shared" si="3"/>
        <v>32</v>
      </c>
      <c r="BB36">
        <f t="shared" si="4"/>
        <v>36</v>
      </c>
      <c r="BC36">
        <v>35</v>
      </c>
      <c r="BH36">
        <f>IFERROR(MATCH(36,$BF$4:$BF$13,0),0)</f>
        <v>0</v>
      </c>
      <c r="BI36">
        <f>IF(36=$BG$5,1,0)</f>
        <v>0</v>
      </c>
      <c r="BJ36">
        <f>IF(OR($BH36&gt;0,$BI36=1,$BL36=1),0,IFERROR(INDEX($BC$5:$BC$41,MATCH(36,$BB$5:$BB$41,0)),0))</f>
        <v>35</v>
      </c>
      <c r="BK36">
        <f>IF($BJ36&gt;0,IF(INDEX($AZ$5:$AZ$41,MATCH(36,$BB$5:$BB$41,0))=10,1,0),IF($BH36=10,1,0))</f>
        <v>0</v>
      </c>
      <c r="BL36">
        <f>IF(36=$BG$4,1,0)</f>
        <v>0</v>
      </c>
      <c r="BM36">
        <f t="shared" si="6"/>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IF($AF$4="",1,--(OR(SUMPRODUCT(--(TRIM(MID(SUBSTITUTE(SUBSTITUTE($AF$4,"/",","),",",REPT(" ",99)),(ROW($1:$8)-1)*99+1,99))&lt;&gt;""),--ISNUMBER(SEARCH(TRIM(MID(SUBSTITUTE(SUBSTITUTE($AF$4,"/",","),",",REPT(" ",99)),(ROW($1:$8)-1)*99+1,99)),IFERROR(('Final Calculation Sheet'!$AE$35)&amp;"",""))))&gt;0,AND(ISNUMBER(SEARCH("blank",$AF$4)),NOT(ISNUMBER(SEARCH("nonblank",$AF$4))),IFERROR(('Final Calculation Sheet'!$AE$35)&amp;"","")=""),AND(OR(ISNUMBER(SEARCH("nonblank",$AF$4)),ISNUMBER(SEARCH("&lt;&gt;",$AF$4))),IFERROR(('Final Calculation Sheet'!$AE$35)&amp;"","")&lt;&gt;""),AND(TRIM($AF$4)="",IFERROR(('Final Calculation Sheet'!$AE$35)&amp;"","")=""))))</f>
        <v>1</v>
      </c>
      <c r="CS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T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U36">
        <f>IF($AI$4="",1,--(OR(SUMPRODUCT(--(TRIM(MID(SUBSTITUTE(SUBSTITUTE($AI$4,"/",","),",",REPT(" ",99)),(ROW($1:$8)-1)*99+1,99))&lt;&gt;""),--ISNUMBER(SEARCH(TRIM(MID(SUBSTITUTE(SUBSTITUTE($AI$4,"/",","),",",REPT(" ",99)),(ROW($1:$8)-1)*99+1,99)),IFERROR((IF('Final Calculation Sheet'!$AD$35&lt;=5,"SETTLED","OUTSTANDING"))&amp;"",""))))&gt;0,AND(ISNUMBER(SEARCH("blank",$AI$4)),NOT(ISNUMBER(SEARCH("nonblank",$AI$4))),IFERROR((IF('Final Calculation Sheet'!$AD$35&lt;=5,"SETTLED","OUTSTANDING"))&amp;"","")=""),AND(OR(ISNUMBER(SEARCH("nonblank",$AI$4)),ISNUMBER(SEARCH("&lt;&gt;",$AI$4))),IFERROR((IF('Final Calculation Sheet'!$AD$35&lt;=5,"SETTLED","OUTSTANDING"))&amp;"","")&lt;&gt;""),AND(TRIM($AI$4)="",IFERROR((IF('Final Calculation Sheet'!$AD$35&lt;=5,"SETTLED","OUTSTANDING"))&amp;"","")=""))))</f>
        <v>1</v>
      </c>
    </row>
    <row r="37" spans="1:99" ht="15" customHeight="1" x14ac:dyDescent="0.25">
      <c r="A37" s="67">
        <f>IF($BJ36&gt;0,INDEX($BA$5:$BA$41,MATCH(36,$BB$5:$BB$41,0)),IF(OR($BI36=1,$BL36=1,$BH36&gt;0),"∑",""))</f>
        <v>32</v>
      </c>
      <c r="B37" s="68">
        <f>IF($BJ36&gt;0,IF(INDEX('Final Calculation Sheet'!$F$4:$F$40,$BJ36-3)="","",INDEX('Final Calculation Sheet'!$F$4:$F$40,$BJ36-3)),"")</f>
        <v>2067</v>
      </c>
      <c r="C37" s="68" t="str">
        <f>IF($BJ36&gt;0,IF(INDEX('Final Calculation Sheet'!$G$4:$G$40,$BJ36-3)="","",INDEX('Final Calculation Sheet'!$G$4:$G$40,$BJ36-3)),IF(OR($BI36=1,$BL36=1,$BH36&gt;0),IF($BI36=1,37,IF($BL36=1,37-INDEX($BD$4:$BD$13,10),INDEX($BD$4:$BD$13,$BH36)))&amp;" lot(s)",""))</f>
        <v>WATAN SCRAP TRADERS</v>
      </c>
      <c r="D37" s="69"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69">
        <f>IF($BJ36&gt;0,IF(INDEX('Final Calculation Sheet'!$D$4:$D$40,$BJ36-3)="","",INDEX('Final Calculation Sheet'!$D$4:$D$40,$BJ36-3)),IF(OR($BI36=1,$BL36=1,$BH36&gt;0),"–",""))</f>
        <v>21980</v>
      </c>
      <c r="F37" s="69">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69"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 ca="1">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0" t="str">
        <f>IF($BJ36&gt;0,IF(INDEX('Final Calculation Sheet'!$AE$4:$AE$40,$BJ36-3)="","",INDEX('Final Calculation Sheet'!$AE$4:$AE$40,$BJ36-3)),IF(OR($BI36=1,$BL36=1,$BH36&gt;0),"–",""))</f>
        <v>DR2640100027</v>
      </c>
      <c r="AG37" s="74">
        <f>IF($BJ36&gt;0,IF(INDEX('Final Calculation Sheet'!$AF$4:$AF$40,$BJ36-3)="","",INDEX('Final Calculation Sheet'!$AF$4:$AF$40,$BJ36-3)),IF(OR($BI36=1,$BL36=1,$BH36&gt;0),"–",""))</f>
        <v>1800003248</v>
      </c>
      <c r="AH37" s="70" t="str">
        <f>IF($BJ36&gt;0,IF(INDEX('Final Calculation Sheet'!$AG$4:$AG$40,$BJ36-3)="","",INDEX('Final Calculation Sheet'!$AG$4:$AG$40,$BJ36-3)),IF(OR($BI36=1,$BL36=1,$BH36&gt;0),"–",""))</f>
        <v>20.08.2026</v>
      </c>
      <c r="AI37" s="75"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SETTLED</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 t="shared" si="7"/>
        <v>0</v>
      </c>
      <c r="AM37">
        <f t="shared" si="1"/>
        <v>1</v>
      </c>
      <c r="AZ37">
        <f t="shared" si="2"/>
        <v>9</v>
      </c>
      <c r="BA37">
        <f t="shared" si="3"/>
        <v>33</v>
      </c>
      <c r="BB37">
        <f t="shared" si="4"/>
        <v>37</v>
      </c>
      <c r="BC37">
        <v>36</v>
      </c>
      <c r="BH37">
        <f>IFERROR(MATCH(37,$BF$4:$BF$13,0),0)</f>
        <v>0</v>
      </c>
      <c r="BI37">
        <f>IF(37=$BG$5,1,0)</f>
        <v>0</v>
      </c>
      <c r="BJ37">
        <f>IF(OR($BH37&gt;0,$BI37=1,$BL37=1),0,IFERROR(INDEX($BC$5:$BC$41,MATCH(37,$BB$5:$BB$41,0)),0))</f>
        <v>36</v>
      </c>
      <c r="BK37">
        <f>IF($BJ37&gt;0,IF(INDEX($AZ$5:$AZ$41,MATCH(37,$BB$5:$BB$41,0))=10,1,0),IF($BH37=10,1,0))</f>
        <v>0</v>
      </c>
      <c r="BL37">
        <f>IF(37=$BG$4,1,0)</f>
        <v>0</v>
      </c>
      <c r="BM37">
        <f t="shared" si="6"/>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IF($AF$4="",1,--(OR(SUMPRODUCT(--(TRIM(MID(SUBSTITUTE(SUBSTITUTE($AF$4,"/",","),",",REPT(" ",99)),(ROW($1:$8)-1)*99+1,99))&lt;&gt;""),--ISNUMBER(SEARCH(TRIM(MID(SUBSTITUTE(SUBSTITUTE($AF$4,"/",","),",",REPT(" ",99)),(ROW($1:$8)-1)*99+1,99)),IFERROR(('Final Calculation Sheet'!$AE$36)&amp;"",""))))&gt;0,AND(ISNUMBER(SEARCH("blank",$AF$4)),NOT(ISNUMBER(SEARCH("nonblank",$AF$4))),IFERROR(('Final Calculation Sheet'!$AE$36)&amp;"","")=""),AND(OR(ISNUMBER(SEARCH("nonblank",$AF$4)),ISNUMBER(SEARCH("&lt;&gt;",$AF$4))),IFERROR(('Final Calculation Sheet'!$AE$36)&amp;"","")&lt;&gt;""),AND(TRIM($AF$4)="",IFERROR(('Final Calculation Sheet'!$AE$36)&amp;"","")=""))))</f>
        <v>1</v>
      </c>
      <c r="CS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T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U37">
        <f>IF($AI$4="",1,--(OR(SUMPRODUCT(--(TRIM(MID(SUBSTITUTE(SUBSTITUTE($AI$4,"/",","),",",REPT(" ",99)),(ROW($1:$8)-1)*99+1,99))&lt;&gt;""),--ISNUMBER(SEARCH(TRIM(MID(SUBSTITUTE(SUBSTITUTE($AI$4,"/",","),",",REPT(" ",99)),(ROW($1:$8)-1)*99+1,99)),IFERROR((IF('Final Calculation Sheet'!$AD$36&lt;=5,"SETTLED","OUTSTANDING"))&amp;"",""))))&gt;0,AND(ISNUMBER(SEARCH("blank",$AI$4)),NOT(ISNUMBER(SEARCH("nonblank",$AI$4))),IFERROR((IF('Final Calculation Sheet'!$AD$36&lt;=5,"SETTLED","OUTSTANDING"))&amp;"","")=""),AND(OR(ISNUMBER(SEARCH("nonblank",$AI$4)),ISNUMBER(SEARCH("&lt;&gt;",$AI$4))),IFERROR((IF('Final Calculation Sheet'!$AD$36&lt;=5,"SETTLED","OUTSTANDING"))&amp;"","")&lt;&gt;""),AND(TRIM($AI$4)="",IFERROR((IF('Final Calculation Sheet'!$AD$36&lt;=5,"SETTLED","OUTSTANDING"))&amp;"","")=""))))</f>
        <v>1</v>
      </c>
    </row>
    <row r="38" spans="1:99" ht="15" customHeight="1" x14ac:dyDescent="0.25">
      <c r="A38" s="67">
        <f>IF($BJ37&gt;0,INDEX($BA$5:$BA$41,MATCH(37,$BB$5:$BB$41,0)),IF(OR($BI37=1,$BL37=1,$BH37&gt;0),"∑",""))</f>
        <v>33</v>
      </c>
      <c r="B38" s="68">
        <f>IF($BJ37&gt;0,IF(INDEX('Final Calculation Sheet'!$F$4:$F$40,$BJ37-3)="","",INDEX('Final Calculation Sheet'!$F$4:$F$40,$BJ37-3)),"")</f>
        <v>2069</v>
      </c>
      <c r="C38" s="68" t="str">
        <f>IF($BJ37&gt;0,IF(INDEX('Final Calculation Sheet'!$G$4:$G$40,$BJ37-3)="","",INDEX('Final Calculation Sheet'!$G$4:$G$40,$BJ37-3)),IF(OR($BI37=1,$BL37=1,$BH37&gt;0),IF($BI37=1,37,IF($BL37=1,37-INDEX($BD$4:$BD$13,10),INDEX($BD$4:$BD$13,$BH37)))&amp;" lot(s)",""))</f>
        <v>STERLING ENTERPRISES</v>
      </c>
      <c r="D38" s="69"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69">
        <f>IF($BJ37&gt;0,IF(INDEX('Final Calculation Sheet'!$D$4:$D$40,$BJ37-3)="","",INDEX('Final Calculation Sheet'!$D$4:$D$40,$BJ37-3)),IF(OR($BI37=1,$BL37=1,$BH37&gt;0),"–",""))</f>
        <v>21980</v>
      </c>
      <c r="F38" s="69">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69"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 ca="1">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0" t="str">
        <f>IF($BJ37&gt;0,IF(INDEX('Final Calculation Sheet'!$AE$4:$AE$40,$BJ37-3)="","",INDEX('Final Calculation Sheet'!$AE$4:$AE$40,$BJ37-3)),IF(OR($BI37=1,$BL37=1,$BH37&gt;0),"–",""))</f>
        <v/>
      </c>
      <c r="AG38" s="74" t="str">
        <f>IF($BJ37&gt;0,IF(INDEX('Final Calculation Sheet'!$AF$4:$AF$40,$BJ37-3)="","",INDEX('Final Calculation Sheet'!$AF$4:$AF$40,$BJ37-3)),IF(OR($BI37=1,$BL37=1,$BH37&gt;0),"–",""))</f>
        <v/>
      </c>
      <c r="AH38" s="70" t="str">
        <f>IF($BJ37&gt;0,IF(INDEX('Final Calculation Sheet'!$AG$4:$AG$40,$BJ37-3)="","",INDEX('Final Calculation Sheet'!$AG$4:$AG$40,$BJ37-3)),IF(OR($BI37=1,$BL37=1,$BH37&gt;0),"–",""))</f>
        <v/>
      </c>
      <c r="AI38" s="75"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OUTSTANDING</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 t="shared" si="7"/>
        <v>0</v>
      </c>
      <c r="AM38">
        <f t="shared" si="1"/>
        <v>1</v>
      </c>
      <c r="AZ38">
        <f t="shared" si="2"/>
        <v>9</v>
      </c>
      <c r="BA38">
        <f t="shared" si="3"/>
        <v>34</v>
      </c>
      <c r="BB38">
        <f t="shared" si="4"/>
        <v>38</v>
      </c>
      <c r="BC38">
        <v>37</v>
      </c>
      <c r="BH38">
        <f>IFERROR(MATCH(38,$BF$4:$BF$13,0),0)</f>
        <v>0</v>
      </c>
      <c r="BI38">
        <f>IF(38=$BG$5,1,0)</f>
        <v>0</v>
      </c>
      <c r="BJ38">
        <f>IF(OR($BH38&gt;0,$BI38=1,$BL38=1),0,IFERROR(INDEX($BC$5:$BC$41,MATCH(38,$BB$5:$BB$41,0)),0))</f>
        <v>37</v>
      </c>
      <c r="BK38">
        <f>IF($BJ38&gt;0,IF(INDEX($AZ$5:$AZ$41,MATCH(38,$BB$5:$BB$41,0))=10,1,0),IF($BH38=10,1,0))</f>
        <v>0</v>
      </c>
      <c r="BL38">
        <f>IF(38=$BG$4,1,0)</f>
        <v>0</v>
      </c>
      <c r="BM38">
        <f t="shared" si="6"/>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IF($AF$4="",1,--(OR(SUMPRODUCT(--(TRIM(MID(SUBSTITUTE(SUBSTITUTE($AF$4,"/",","),",",REPT(" ",99)),(ROW($1:$8)-1)*99+1,99))&lt;&gt;""),--ISNUMBER(SEARCH(TRIM(MID(SUBSTITUTE(SUBSTITUTE($AF$4,"/",","),",",REPT(" ",99)),(ROW($1:$8)-1)*99+1,99)),IFERROR(('Final Calculation Sheet'!$AE$37)&amp;"",""))))&gt;0,AND(ISNUMBER(SEARCH("blank",$AF$4)),NOT(ISNUMBER(SEARCH("nonblank",$AF$4))),IFERROR(('Final Calculation Sheet'!$AE$37)&amp;"","")=""),AND(OR(ISNUMBER(SEARCH("nonblank",$AF$4)),ISNUMBER(SEARCH("&lt;&gt;",$AF$4))),IFERROR(('Final Calculation Sheet'!$AE$37)&amp;"","")&lt;&gt;""),AND(TRIM($AF$4)="",IFERROR(('Final Calculation Sheet'!$AE$37)&amp;"","")=""))))</f>
        <v>1</v>
      </c>
      <c r="CS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T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U38">
        <f>IF($AI$4="",1,--(OR(SUMPRODUCT(--(TRIM(MID(SUBSTITUTE(SUBSTITUTE($AI$4,"/",","),",",REPT(" ",99)),(ROW($1:$8)-1)*99+1,99))&lt;&gt;""),--ISNUMBER(SEARCH(TRIM(MID(SUBSTITUTE(SUBSTITUTE($AI$4,"/",","),",",REPT(" ",99)),(ROW($1:$8)-1)*99+1,99)),IFERROR((IF('Final Calculation Sheet'!$AD$37&lt;=5,"SETTLED","OUTSTANDING"))&amp;"",""))))&gt;0,AND(ISNUMBER(SEARCH("blank",$AI$4)),NOT(ISNUMBER(SEARCH("nonblank",$AI$4))),IFERROR((IF('Final Calculation Sheet'!$AD$37&lt;=5,"SETTLED","OUTSTANDING"))&amp;"","")=""),AND(OR(ISNUMBER(SEARCH("nonblank",$AI$4)),ISNUMBER(SEARCH("&lt;&gt;",$AI$4))),IFERROR((IF('Final Calculation Sheet'!$AD$37&lt;=5,"SETTLED","OUTSTANDING"))&amp;"","")&lt;&gt;""),AND(TRIM($AI$4)="",IFERROR((IF('Final Calculation Sheet'!$AD$37&lt;=5,"SETTLED","OUTSTANDING"))&amp;"","")=""))))</f>
        <v>1</v>
      </c>
    </row>
    <row r="39" spans="1:99" ht="15" customHeight="1" x14ac:dyDescent="0.25">
      <c r="A39" s="67">
        <f>IF($BJ38&gt;0,INDEX($BA$5:$BA$41,MATCH(38,$BB$5:$BB$41,0)),IF(OR($BI38=1,$BL38=1,$BH38&gt;0),"∑",""))</f>
        <v>34</v>
      </c>
      <c r="B39" s="68">
        <f>IF($BJ38&gt;0,IF(INDEX('Final Calculation Sheet'!$F$4:$F$40,$BJ38-3)="","",INDEX('Final Calculation Sheet'!$F$4:$F$40,$BJ38-3)),"")</f>
        <v>2071</v>
      </c>
      <c r="C39" s="68" t="str">
        <f>IF($BJ38&gt;0,IF(INDEX('Final Calculation Sheet'!$G$4:$G$40,$BJ38-3)="","",INDEX('Final Calculation Sheet'!$G$4:$G$40,$BJ38-3)),IF(OR($BI38=1,$BL38=1,$BH38&gt;0),IF($BI38=1,37,IF($BL38=1,37-INDEX($BD$4:$BD$13,10),INDEX($BD$4:$BD$13,$BH38)))&amp;" lot(s)",""))</f>
        <v>NATIONAL ENTERPRISES</v>
      </c>
      <c r="D39" s="69"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69">
        <f>IF($BJ38&gt;0,IF(INDEX('Final Calculation Sheet'!$D$4:$D$40,$BJ38-3)="","",INDEX('Final Calculation Sheet'!$D$4:$D$40,$BJ38-3)),IF(OR($BI38=1,$BL38=1,$BH38&gt;0),"–",""))</f>
        <v>21980</v>
      </c>
      <c r="F39" s="69">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69"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 ca="1">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0" t="str">
        <f>IF($BJ38&gt;0,IF(INDEX('Final Calculation Sheet'!$AE$4:$AE$40,$BJ38-3)="","",INDEX('Final Calculation Sheet'!$AE$4:$AE$40,$BJ38-3)),IF(OR($BI38=1,$BL38=1,$BH38&gt;0),"–",""))</f>
        <v>DR2640100040</v>
      </c>
      <c r="AG39" s="74">
        <f>IF($BJ38&gt;0,IF(INDEX('Final Calculation Sheet'!$AF$4:$AF$40,$BJ38-3)="","",INDEX('Final Calculation Sheet'!$AF$4:$AF$40,$BJ38-3)),IF(OR($BI38=1,$BL38=1,$BH38&gt;0),"–",""))</f>
        <v>1800003314</v>
      </c>
      <c r="AH39" s="70" t="str">
        <f>IF($BJ38&gt;0,IF(INDEX('Final Calculation Sheet'!$AG$4:$AG$40,$BJ38-3)="","",INDEX('Final Calculation Sheet'!$AG$4:$AG$40,$BJ38-3)),IF(OR($BI38=1,$BL38=1,$BH38&gt;0),"–",""))</f>
        <v>27.08.2026</v>
      </c>
      <c r="AI39" s="7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SETTLED</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 t="shared" si="7"/>
        <v>0</v>
      </c>
      <c r="AM39">
        <f t="shared" si="1"/>
        <v>1</v>
      </c>
      <c r="AZ39">
        <f t="shared" si="2"/>
        <v>9</v>
      </c>
      <c r="BA39">
        <f t="shared" si="3"/>
        <v>35</v>
      </c>
      <c r="BB39">
        <f t="shared" si="4"/>
        <v>39</v>
      </c>
      <c r="BC39">
        <v>38</v>
      </c>
      <c r="BH39">
        <f>IFERROR(MATCH(39,$BF$4:$BF$13,0),0)</f>
        <v>0</v>
      </c>
      <c r="BI39">
        <f>IF(39=$BG$5,1,0)</f>
        <v>0</v>
      </c>
      <c r="BJ39">
        <f>IF(OR($BH39&gt;0,$BI39=1,$BL39=1),0,IFERROR(INDEX($BC$5:$BC$41,MATCH(39,$BB$5:$BB$41,0)),0))</f>
        <v>38</v>
      </c>
      <c r="BK39">
        <f>IF($BJ39&gt;0,IF(INDEX($AZ$5:$AZ$41,MATCH(39,$BB$5:$BB$41,0))=10,1,0),IF($BH39=10,1,0))</f>
        <v>0</v>
      </c>
      <c r="BL39">
        <f>IF(39=$BG$4,1,0)</f>
        <v>0</v>
      </c>
      <c r="BM39">
        <f t="shared" si="6"/>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IF($AF$4="",1,--(OR(SUMPRODUCT(--(TRIM(MID(SUBSTITUTE(SUBSTITUTE($AF$4,"/",","),",",REPT(" ",99)),(ROW($1:$8)-1)*99+1,99))&lt;&gt;""),--ISNUMBER(SEARCH(TRIM(MID(SUBSTITUTE(SUBSTITUTE($AF$4,"/",","),",",REPT(" ",99)),(ROW($1:$8)-1)*99+1,99)),IFERROR(('Final Calculation Sheet'!$AE$38)&amp;"",""))))&gt;0,AND(ISNUMBER(SEARCH("blank",$AF$4)),NOT(ISNUMBER(SEARCH("nonblank",$AF$4))),IFERROR(('Final Calculation Sheet'!$AE$38)&amp;"","")=""),AND(OR(ISNUMBER(SEARCH("nonblank",$AF$4)),ISNUMBER(SEARCH("&lt;&gt;",$AF$4))),IFERROR(('Final Calculation Sheet'!$AE$38)&amp;"","")&lt;&gt;""),AND(TRIM($AF$4)="",IFERROR(('Final Calculation Sheet'!$AE$38)&amp;"","")=""))))</f>
        <v>1</v>
      </c>
      <c r="CS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T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U39">
        <f>IF($AI$4="",1,--(OR(SUMPRODUCT(--(TRIM(MID(SUBSTITUTE(SUBSTITUTE($AI$4,"/",","),",",REPT(" ",99)),(ROW($1:$8)-1)*99+1,99))&lt;&gt;""),--ISNUMBER(SEARCH(TRIM(MID(SUBSTITUTE(SUBSTITUTE($AI$4,"/",","),",",REPT(" ",99)),(ROW($1:$8)-1)*99+1,99)),IFERROR((IF('Final Calculation Sheet'!$AD$38&lt;=5,"SETTLED","OUTSTANDING"))&amp;"",""))))&gt;0,AND(ISNUMBER(SEARCH("blank",$AI$4)),NOT(ISNUMBER(SEARCH("nonblank",$AI$4))),IFERROR((IF('Final Calculation Sheet'!$AD$38&lt;=5,"SETTLED","OUTSTANDING"))&amp;"","")=""),AND(OR(ISNUMBER(SEARCH("nonblank",$AI$4)),ISNUMBER(SEARCH("&lt;&gt;",$AI$4))),IFERROR((IF('Final Calculation Sheet'!$AD$38&lt;=5,"SETTLED","OUTSTANDING"))&amp;"","")&lt;&gt;""),AND(TRIM($AI$4)="",IFERROR((IF('Final Calculation Sheet'!$AD$38&lt;=5,"SETTLED","OUTSTANDING"))&amp;"","")=""))))</f>
        <v>1</v>
      </c>
    </row>
    <row r="40" spans="1:99" ht="15" customHeight="1" x14ac:dyDescent="0.25">
      <c r="A40" s="67">
        <f>IF($BJ39&gt;0,INDEX($BA$5:$BA$41,MATCH(39,$BB$5:$BB$41,0)),IF(OR($BI39=1,$BL39=1,$BH39&gt;0),"∑",""))</f>
        <v>35</v>
      </c>
      <c r="B40" s="68">
        <f>IF($BJ39&gt;0,IF(INDEX('Final Calculation Sheet'!$F$4:$F$40,$BJ39-3)="","",INDEX('Final Calculation Sheet'!$F$4:$F$40,$BJ39-3)),"")</f>
        <v>2086</v>
      </c>
      <c r="C40" s="68" t="str">
        <f>IF($BJ39&gt;0,IF(INDEX('Final Calculation Sheet'!$G$4:$G$40,$BJ39-3)="","",INDEX('Final Calculation Sheet'!$G$4:$G$40,$BJ39-3)),IF(OR($BI39=1,$BL39=1,$BH39&gt;0),IF($BI39=1,37,IF($BL39=1,37-INDEX($BD$4:$BD$13,10),INDEX($BD$4:$BD$13,$BH39)))&amp;" lot(s)",""))</f>
        <v>KASHYAP TRADING CO</v>
      </c>
      <c r="D40" s="69"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69">
        <f>IF($BJ39&gt;0,IF(INDEX('Final Calculation Sheet'!$D$4:$D$40,$BJ39-3)="","",INDEX('Final Calculation Sheet'!$D$4:$D$40,$BJ39-3)),IF(OR($BI39=1,$BL39=1,$BH39&gt;0),"–",""))</f>
        <v>21980</v>
      </c>
      <c r="F40" s="69">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69"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 ca="1">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0" t="str">
        <f>IF($BJ39&gt;0,IF(INDEX('Final Calculation Sheet'!$AE$4:$AE$40,$BJ39-3)="","",INDEX('Final Calculation Sheet'!$AE$4:$AE$40,$BJ39-3)),IF(OR($BI39=1,$BL39=1,$BH39&gt;0),"–",""))</f>
        <v>DR2640100025</v>
      </c>
      <c r="AG40" s="74">
        <f>IF($BJ39&gt;0,IF(INDEX('Final Calculation Sheet'!$AF$4:$AF$40,$BJ39-3)="","",INDEX('Final Calculation Sheet'!$AF$4:$AF$40,$BJ39-3)),IF(OR($BI39=1,$BL39=1,$BH39&gt;0),"–",""))</f>
        <v>1800003226</v>
      </c>
      <c r="AH40" s="70" t="str">
        <f>IF($BJ39&gt;0,IF(INDEX('Final Calculation Sheet'!$AG$4:$AG$40,$BJ39-3)="","",INDEX('Final Calculation Sheet'!$AG$4:$AG$40,$BJ39-3)),IF(OR($BI39=1,$BL39=1,$BH39&gt;0),"–",""))</f>
        <v>19.08.2026</v>
      </c>
      <c r="AI40" s="75"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SETTLED</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 t="shared" si="7"/>
        <v>0</v>
      </c>
      <c r="AM40">
        <f t="shared" si="1"/>
        <v>1</v>
      </c>
      <c r="AZ40">
        <f t="shared" si="2"/>
        <v>9</v>
      </c>
      <c r="BA40">
        <f t="shared" si="3"/>
        <v>36</v>
      </c>
      <c r="BB40">
        <f t="shared" si="4"/>
        <v>40</v>
      </c>
      <c r="BC40">
        <v>39</v>
      </c>
      <c r="BH40">
        <f>IFERROR(MATCH(40,$BF$4:$BF$13,0),0)</f>
        <v>0</v>
      </c>
      <c r="BI40">
        <f>IF(40=$BG$5,1,0)</f>
        <v>0</v>
      </c>
      <c r="BJ40">
        <f>IF(OR($BH40&gt;0,$BI40=1,$BL40=1),0,IFERROR(INDEX($BC$5:$BC$41,MATCH(40,$BB$5:$BB$41,0)),0))</f>
        <v>39</v>
      </c>
      <c r="BK40">
        <f>IF($BJ40&gt;0,IF(INDEX($AZ$5:$AZ$41,MATCH(40,$BB$5:$BB$41,0))=10,1,0),IF($BH40=10,1,0))</f>
        <v>0</v>
      </c>
      <c r="BL40">
        <f>IF(40=$BG$4,1,0)</f>
        <v>0</v>
      </c>
      <c r="BM40">
        <f t="shared" si="6"/>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IF($AF$4="",1,--(OR(SUMPRODUCT(--(TRIM(MID(SUBSTITUTE(SUBSTITUTE($AF$4,"/",","),",",REPT(" ",99)),(ROW($1:$8)-1)*99+1,99))&lt;&gt;""),--ISNUMBER(SEARCH(TRIM(MID(SUBSTITUTE(SUBSTITUTE($AF$4,"/",","),",",REPT(" ",99)),(ROW($1:$8)-1)*99+1,99)),IFERROR(('Final Calculation Sheet'!$AE$39)&amp;"",""))))&gt;0,AND(ISNUMBER(SEARCH("blank",$AF$4)),NOT(ISNUMBER(SEARCH("nonblank",$AF$4))),IFERROR(('Final Calculation Sheet'!$AE$39)&amp;"","")=""),AND(OR(ISNUMBER(SEARCH("nonblank",$AF$4)),ISNUMBER(SEARCH("&lt;&gt;",$AF$4))),IFERROR(('Final Calculation Sheet'!$AE$39)&amp;"","")&lt;&gt;""),AND(TRIM($AF$4)="",IFERROR(('Final Calculation Sheet'!$AE$39)&amp;"","")=""))))</f>
        <v>1</v>
      </c>
      <c r="CS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T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U40">
        <f>IF($AI$4="",1,--(OR(SUMPRODUCT(--(TRIM(MID(SUBSTITUTE(SUBSTITUTE($AI$4,"/",","),",",REPT(" ",99)),(ROW($1:$8)-1)*99+1,99))&lt;&gt;""),--ISNUMBER(SEARCH(TRIM(MID(SUBSTITUTE(SUBSTITUTE($AI$4,"/",","),",",REPT(" ",99)),(ROW($1:$8)-1)*99+1,99)),IFERROR((IF('Final Calculation Sheet'!$AD$39&lt;=5,"SETTLED","OUTSTANDING"))&amp;"",""))))&gt;0,AND(ISNUMBER(SEARCH("blank",$AI$4)),NOT(ISNUMBER(SEARCH("nonblank",$AI$4))),IFERROR((IF('Final Calculation Sheet'!$AD$39&lt;=5,"SETTLED","OUTSTANDING"))&amp;"","")=""),AND(OR(ISNUMBER(SEARCH("nonblank",$AI$4)),ISNUMBER(SEARCH("&lt;&gt;",$AI$4))),IFERROR((IF('Final Calculation Sheet'!$AD$39&lt;=5,"SETTLED","OUTSTANDING"))&amp;"","")&lt;&gt;""),AND(TRIM($AI$4)="",IFERROR((IF('Final Calculation Sheet'!$AD$39&lt;=5,"SETTLED","OUTSTANDING"))&amp;"","")=""))))</f>
        <v>1</v>
      </c>
    </row>
    <row r="41" spans="1:99" ht="15" customHeight="1" x14ac:dyDescent="0.25">
      <c r="A41" s="67">
        <f>IF($BJ40&gt;0,INDEX($BA$5:$BA$41,MATCH(40,$BB$5:$BB$41,0)),IF(OR($BI40=1,$BL40=1,$BH40&gt;0),"∑",""))</f>
        <v>36</v>
      </c>
      <c r="B41" s="68">
        <f>IF($BJ40&gt;0,IF(INDEX('Final Calculation Sheet'!$F$4:$F$40,$BJ40-3)="","",INDEX('Final Calculation Sheet'!$F$4:$F$40,$BJ40-3)),"")</f>
        <v>2089</v>
      </c>
      <c r="C41" s="68" t="str">
        <f>IF($BJ40&gt;0,IF(INDEX('Final Calculation Sheet'!$G$4:$G$40,$BJ40-3)="","",INDEX('Final Calculation Sheet'!$G$4:$G$40,$BJ40-3)),IF(OR($BI40=1,$BL40=1,$BH40&gt;0),IF($BI40=1,37,IF($BL40=1,37-INDEX($BD$4:$BD$13,10),INDEX($BD$4:$BD$13,$BH40)))&amp;" lot(s)",""))</f>
        <v>S M ENTERPRISES</v>
      </c>
      <c r="D41" s="69"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69">
        <f>IF($BJ40&gt;0,IF(INDEX('Final Calculation Sheet'!$D$4:$D$40,$BJ40-3)="","",INDEX('Final Calculation Sheet'!$D$4:$D$40,$BJ40-3)),IF(OR($BI40=1,$BL40=1,$BH40&gt;0),"–",""))</f>
        <v>21980</v>
      </c>
      <c r="F41" s="69">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69"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 ca="1">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0" t="str">
        <f>IF($BJ40&gt;0,IF(INDEX('Final Calculation Sheet'!$AE$4:$AE$40,$BJ40-3)="","",INDEX('Final Calculation Sheet'!$AE$4:$AE$40,$BJ40-3)),IF(OR($BI40=1,$BL40=1,$BH40&gt;0),"–",""))</f>
        <v/>
      </c>
      <c r="AG41" s="74" t="str">
        <f>IF($BJ40&gt;0,IF(INDEX('Final Calculation Sheet'!$AF$4:$AF$40,$BJ40-3)="","",INDEX('Final Calculation Sheet'!$AF$4:$AF$40,$BJ40-3)),IF(OR($BI40=1,$BL40=1,$BH40&gt;0),"–",""))</f>
        <v/>
      </c>
      <c r="AH41" s="70" t="str">
        <f>IF($BJ40&gt;0,IF(INDEX('Final Calculation Sheet'!$AG$4:$AG$40,$BJ40-3)="","",INDEX('Final Calculation Sheet'!$AG$4:$AG$40,$BJ40-3)),IF(OR($BI40=1,$BL40=1,$BH40&gt;0),"–",""))</f>
        <v/>
      </c>
      <c r="AI41" s="75"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SETTLED</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 t="shared" si="7"/>
        <v>0</v>
      </c>
      <c r="AM41">
        <f t="shared" si="1"/>
        <v>1</v>
      </c>
      <c r="AZ41">
        <f t="shared" si="2"/>
        <v>9</v>
      </c>
      <c r="BA41">
        <f t="shared" si="3"/>
        <v>37</v>
      </c>
      <c r="BB41">
        <f t="shared" si="4"/>
        <v>41</v>
      </c>
      <c r="BC41">
        <v>40</v>
      </c>
      <c r="BH41">
        <f>IFERROR(MATCH(41,$BF$4:$BF$13,0),0)</f>
        <v>0</v>
      </c>
      <c r="BI41">
        <f>IF(41=$BG$5,1,0)</f>
        <v>0</v>
      </c>
      <c r="BJ41">
        <f>IF(OR($BH41&gt;0,$BI41=1,$BL41=1),0,IFERROR(INDEX($BC$5:$BC$41,MATCH(41,$BB$5:$BB$41,0)),0))</f>
        <v>40</v>
      </c>
      <c r="BK41">
        <f>IF($BJ41&gt;0,IF(INDEX($AZ$5:$AZ$41,MATCH(41,$BB$5:$BB$41,0))=10,1,0),IF($BH41=10,1,0))</f>
        <v>0</v>
      </c>
      <c r="BL41">
        <f>IF(41=$BG$4,1,0)</f>
        <v>0</v>
      </c>
      <c r="BM41">
        <f t="shared" si="6"/>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IF($AF$4="",1,--(OR(SUMPRODUCT(--(TRIM(MID(SUBSTITUTE(SUBSTITUTE($AF$4,"/",","),",",REPT(" ",99)),(ROW($1:$8)-1)*99+1,99))&lt;&gt;""),--ISNUMBER(SEARCH(TRIM(MID(SUBSTITUTE(SUBSTITUTE($AF$4,"/",","),",",REPT(" ",99)),(ROW($1:$8)-1)*99+1,99)),IFERROR(('Final Calculation Sheet'!$AE$40)&amp;"",""))))&gt;0,AND(ISNUMBER(SEARCH("blank",$AF$4)),NOT(ISNUMBER(SEARCH("nonblank",$AF$4))),IFERROR(('Final Calculation Sheet'!$AE$40)&amp;"","")=""),AND(OR(ISNUMBER(SEARCH("nonblank",$AF$4)),ISNUMBER(SEARCH("&lt;&gt;",$AF$4))),IFERROR(('Final Calculation Sheet'!$AE$40)&amp;"","")&lt;&gt;""),AND(TRIM($AF$4)="",IFERROR(('Final Calculation Sheet'!$AE$40)&amp;"","")=""))))</f>
        <v>1</v>
      </c>
      <c r="CS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T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U41">
        <f>IF($AI$4="",1,--(OR(SUMPRODUCT(--(TRIM(MID(SUBSTITUTE(SUBSTITUTE($AI$4,"/",","),",",REPT(" ",99)),(ROW($1:$8)-1)*99+1,99))&lt;&gt;""),--ISNUMBER(SEARCH(TRIM(MID(SUBSTITUTE(SUBSTITUTE($AI$4,"/",","),",",REPT(" ",99)),(ROW($1:$8)-1)*99+1,99)),IFERROR((IF('Final Calculation Sheet'!$AD$40&lt;=5,"SETTLED","OUTSTANDING"))&amp;"",""))))&gt;0,AND(ISNUMBER(SEARCH("blank",$AI$4)),NOT(ISNUMBER(SEARCH("nonblank",$AI$4))),IFERROR((IF('Final Calculation Sheet'!$AD$40&lt;=5,"SETTLED","OUTSTANDING"))&amp;"","")=""),AND(OR(ISNUMBER(SEARCH("nonblank",$AI$4)),ISNUMBER(SEARCH("&lt;&gt;",$AI$4))),IFERROR((IF('Final Calculation Sheet'!$AD$40&lt;=5,"SETTLED","OUTSTANDING"))&amp;"","")&lt;&gt;""),AND(TRIM($AI$4)="",IFERROR((IF('Final Calculation Sheet'!$AD$40&lt;=5,"SETTLED","OUTSTANDING"))&amp;"","")=""))))</f>
        <v>1</v>
      </c>
    </row>
    <row r="42" spans="1:99" ht="15" customHeight="1" x14ac:dyDescent="0.25">
      <c r="A42" s="67">
        <f>IF($BJ41&gt;0,INDEX($BA$5:$BA$41,MATCH(41,$BB$5:$BB$41,0)),IF(OR($BI41=1,$BL41=1,$BH41&gt;0),"∑",""))</f>
        <v>37</v>
      </c>
      <c r="B42" s="68">
        <f>IF($BJ41&gt;0,IF(INDEX('Final Calculation Sheet'!$F$4:$F$40,$BJ41-3)="","",INDEX('Final Calculation Sheet'!$F$4:$F$40,$BJ41-3)),"")</f>
        <v>2091</v>
      </c>
      <c r="C42" s="68" t="str">
        <f>IF($BJ41&gt;0,IF(INDEX('Final Calculation Sheet'!$G$4:$G$40,$BJ41-3)="","",INDEX('Final Calculation Sheet'!$G$4:$G$40,$BJ41-3)),IF(OR($BI41=1,$BL41=1,$BH41&gt;0),IF($BI41=1,37,IF($BL41=1,37-INDEX($BD$4:$BD$13,10),INDEX($BD$4:$BD$13,$BH41)))&amp;" lot(s)",""))</f>
        <v>S M ENTERPRISES</v>
      </c>
      <c r="D42" s="69"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69">
        <f>IF($BJ41&gt;0,IF(INDEX('Final Calculation Sheet'!$D$4:$D$40,$BJ41-3)="","",INDEX('Final Calculation Sheet'!$D$4:$D$40,$BJ41-3)),IF(OR($BI41=1,$BL41=1,$BH41&gt;0),"–",""))</f>
        <v>21980</v>
      </c>
      <c r="F42" s="69">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69"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 ca="1">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0" t="str">
        <f>IF($BJ41&gt;0,IF(INDEX('Final Calculation Sheet'!$AE$4:$AE$40,$BJ41-3)="","",INDEX('Final Calculation Sheet'!$AE$4:$AE$40,$BJ41-3)),IF(OR($BI41=1,$BL41=1,$BH41&gt;0),"–",""))</f>
        <v/>
      </c>
      <c r="AG42" s="74" t="str">
        <f>IF($BJ41&gt;0,IF(INDEX('Final Calculation Sheet'!$AF$4:$AF$40,$BJ41-3)="","",INDEX('Final Calculation Sheet'!$AF$4:$AF$40,$BJ41-3)),IF(OR($BI41=1,$BL41=1,$BH41&gt;0),"–",""))</f>
        <v/>
      </c>
      <c r="AH42" s="70" t="str">
        <f>IF($BJ41&gt;0,IF(INDEX('Final Calculation Sheet'!$AG$4:$AG$40,$BJ41-3)="","",INDEX('Final Calculation Sheet'!$AG$4:$AG$40,$BJ41-3)),IF(OR($BI41=1,$BL41=1,$BH41&gt;0),"–",""))</f>
        <v/>
      </c>
      <c r="AI42" s="75"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SETTLED</v>
      </c>
      <c r="BH42">
        <f>IFERROR(MATCH(42,$BF$4:$BF$13,0),0)</f>
        <v>9</v>
      </c>
      <c r="BI42">
        <f>IF(42=$BG$5,1,0)</f>
        <v>0</v>
      </c>
      <c r="BJ42">
        <f>IF(OR($BH42&gt;0,$BI42=1,$BL42=1),0,IFERROR(INDEX($BC$5:$BC$41,MATCH(42,$BB$5:$BB$41,0)),0))</f>
        <v>0</v>
      </c>
      <c r="BK42">
        <f>IF($BJ42&gt;0,IF(INDEX($AZ$5:$AZ$41,MATCH(42,$BB$5:$BB$41,0))=10,1,0),IF($BH42=10,1,0))</f>
        <v>0</v>
      </c>
      <c r="BL42">
        <f>IF(42=$BG$4,1,0)</f>
        <v>0</v>
      </c>
    </row>
    <row r="43" spans="1:99" ht="15" customHeight="1" x14ac:dyDescent="0.25">
      <c r="A43" s="67" t="str">
        <f>IF($BJ42&gt;0,INDEX($BA$5:$BA$41,MATCH(42,$BB$5:$BB$41,0)),IF(OR($BI42=1,$BL42=1,$BH42&gt;0),"∑",""))</f>
        <v>∑</v>
      </c>
      <c r="B43" s="68" t="str">
        <f>IF($BJ42&gt;0,IF(INDEX('Final Calculation Sheet'!$F$4:$F$40,$BJ42-3)="","",INDEX('Final Calculation Sheet'!$F$4:$F$40,$BJ42-3)),"")</f>
        <v/>
      </c>
      <c r="C43" s="68" t="str">
        <f>IF($BJ42&gt;0,IF(INDEX('Final Calculation Sheet'!$G$4:$G$40,$BJ42-3)="","",INDEX('Final Calculation Sheet'!$G$4:$G$40,$BJ42-3)),IF(OR($BI42=1,$BL42=1,$BH42&gt;0),IF($BI42=1,37,IF($BL42=1,37-INDEX($BD$4:$BD$13,10),INDEX($BD$4:$BD$13,$BH42)))&amp;" lot(s)",""))</f>
        <v>37 lot(s)</v>
      </c>
      <c r="D43" s="69"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69" t="str">
        <f>IF($BJ42&gt;0,IF(INDEX('Final Calculation Sheet'!$D$4:$D$40,$BJ42-3)="","",INDEX('Final Calculation Sheet'!$D$4:$D$40,$BJ42-3)),IF(OR($BI42=1,$BL42=1,$BH42&gt;0),"–",""))</f>
        <v>–</v>
      </c>
      <c r="F43" s="69">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69"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 ca="1">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0" t="str">
        <f>IF($BJ42&gt;0,IF(INDEX('Final Calculation Sheet'!$AE$4:$AE$40,$BJ42-3)="","",INDEX('Final Calculation Sheet'!$AE$4:$AE$40,$BJ42-3)),IF(OR($BI42=1,$BL42=1,$BH42&gt;0),"–",""))</f>
        <v>–</v>
      </c>
      <c r="AG43" s="74" t="str">
        <f>IF($BJ42&gt;0,IF(INDEX('Final Calculation Sheet'!$AF$4:$AF$40,$BJ42-3)="","",INDEX('Final Calculation Sheet'!$AF$4:$AF$40,$BJ42-3)),IF(OR($BI42=1,$BL42=1,$BH42&gt;0),"–",""))</f>
        <v>–</v>
      </c>
      <c r="AH43" s="70" t="str">
        <f>IF($BJ42&gt;0,IF(INDEX('Final Calculation Sheet'!$AG$4:$AG$40,$BJ42-3)="","",INDEX('Final Calculation Sheet'!$AG$4:$AG$40,$BJ42-3)),IF(OR($BI42=1,$BL42=1,$BH42&gt;0),"–",""))</f>
        <v>–</v>
      </c>
      <c r="AI43" s="75" t="str">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OUTSTANDING</v>
      </c>
      <c r="BH43">
        <f>IFERROR(MATCH(43,$BF$4:$BF$13,0),0)</f>
        <v>0</v>
      </c>
      <c r="BI43">
        <f>IF(43=$BG$5,1,0)</f>
        <v>0</v>
      </c>
      <c r="BJ43">
        <f>IF(OR($BH43&gt;0,$BI43=1,$BL43=1),0,IFERROR(INDEX($BC$5:$BC$41,MATCH(43,$BB$5:$BB$41,0)),0))</f>
        <v>0</v>
      </c>
      <c r="BK43">
        <f>IF($BJ43&gt;0,IF(INDEX($AZ$5:$AZ$41,MATCH(43,$BB$5:$BB$41,0))=10,1,0),IF($BH43=10,1,0))</f>
        <v>0</v>
      </c>
      <c r="BL43">
        <f>IF(43=$BG$4,1,0)</f>
        <v>1</v>
      </c>
    </row>
    <row r="44" spans="1:99" ht="15" customHeight="1" x14ac:dyDescent="0.25">
      <c r="A44" s="67" t="str">
        <f>IF($BJ43&gt;0,INDEX($BA$5:$BA$41,MATCH(43,$BB$5:$BB$41,0)),IF(OR($BI43=1,$BL43=1,$BH43&gt;0),"∑",""))</f>
        <v>∑</v>
      </c>
      <c r="B44" s="68" t="str">
        <f>IF($BJ43&gt;0,IF(INDEX('Final Calculation Sheet'!$F$4:$F$40,$BJ43-3)="","",INDEX('Final Calculation Sheet'!$F$4:$F$40,$BJ43-3)),"")</f>
        <v/>
      </c>
      <c r="C44" s="68" t="str">
        <f>IF($BJ43&gt;0,IF(INDEX('Final Calculation Sheet'!$G$4:$G$40,$BJ43-3)="","",INDEX('Final Calculation Sheet'!$G$4:$G$40,$BJ43-3)),IF(OR($BI43=1,$BL43=1,$BH43&gt;0),IF($BI43=1,37,IF($BL43=1,37-INDEX($BD$4:$BD$13,10),INDEX($BD$4:$BD$13,$BH43)))&amp;" lot(s)",""))</f>
        <v>37 lot(s)</v>
      </c>
      <c r="D44" s="69"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69" t="str">
        <f>IF($BJ43&gt;0,IF(INDEX('Final Calculation Sheet'!$D$4:$D$40,$BJ43-3)="","",INDEX('Final Calculation Sheet'!$D$4:$D$40,$BJ43-3)),IF(OR($BI43=1,$BL43=1,$BH43&gt;0),"–",""))</f>
        <v>–</v>
      </c>
      <c r="F44" s="69">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69"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 ca="1">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0" t="str">
        <f>IF($BJ43&gt;0,IF(INDEX('Final Calculation Sheet'!$AE$4:$AE$40,$BJ43-3)="","",INDEX('Final Calculation Sheet'!$AE$4:$AE$40,$BJ43-3)),IF(OR($BI43=1,$BL43=1,$BH43&gt;0),"–",""))</f>
        <v>–</v>
      </c>
      <c r="AG44" s="74" t="str">
        <f>IF($BJ43&gt;0,IF(INDEX('Final Calculation Sheet'!$AF$4:$AF$40,$BJ43-3)="","",INDEX('Final Calculation Sheet'!$AF$4:$AF$40,$BJ43-3)),IF(OR($BI43=1,$BL43=1,$BH43&gt;0),"–",""))</f>
        <v>–</v>
      </c>
      <c r="AH44" s="70" t="str">
        <f>IF($BJ43&gt;0,IF(INDEX('Final Calculation Sheet'!$AG$4:$AG$40,$BJ43-3)="","",INDEX('Final Calculation Sheet'!$AG$4:$AG$40,$BJ43-3)),IF(OR($BI43=1,$BL43=1,$BH43&gt;0),"–",""))</f>
        <v>–</v>
      </c>
      <c r="AI44" s="75" t="str">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OUTSTANDING</v>
      </c>
      <c r="BH44">
        <f>IFERROR(MATCH(44,$BF$4:$BF$13,0),0)</f>
        <v>0</v>
      </c>
      <c r="BI44">
        <f>IF(44=$BG$5,1,0)</f>
        <v>1</v>
      </c>
      <c r="BJ44">
        <f>IF(OR($BH44&gt;0,$BI44=1,$BL44=1),0,IFERROR(INDEX($BC$5:$BC$41,MATCH(44,$BB$5:$BB$41,0)),0))</f>
        <v>0</v>
      </c>
      <c r="BK44">
        <f>IF($BJ44&gt;0,IF(INDEX($AZ$5:$AZ$41,MATCH(44,$BB$5:$BB$41,0))=10,1,0),IF($BH44=10,1,0))</f>
        <v>0</v>
      </c>
      <c r="BL44">
        <f>IF(44=$BG$4,1,0)</f>
        <v>0</v>
      </c>
    </row>
    <row r="45" spans="1:99" ht="15" customHeight="1" x14ac:dyDescent="0.25">
      <c r="A45" s="67" t="str">
        <f>IF($BJ44&gt;0,INDEX($BA$5:$BA$41,MATCH(44,$BB$5:$BB$41,0)),IF(OR($BI44=1,$BL44=1,$BH44&gt;0),"∑",""))</f>
        <v>∑</v>
      </c>
      <c r="B45" s="68" t="str">
        <f>IF($BJ44&gt;0,IF(INDEX('Final Calculation Sheet'!$F$4:$F$40,$BJ44-3)="","",INDEX('Final Calculation Sheet'!$F$4:$F$40,$BJ44-3)),"")</f>
        <v/>
      </c>
      <c r="C45" s="68" t="str">
        <f>IF($BJ44&gt;0,IF(INDEX('Final Calculation Sheet'!$G$4:$G$40,$BJ44-3)="","",INDEX('Final Calculation Sheet'!$G$4:$G$40,$BJ44-3)),IF(OR($BI44=1,$BL44=1,$BH44&gt;0),IF($BI44=1,37,IF($BL44=1,37-INDEX($BD$4:$BD$13,10),INDEX($BD$4:$BD$13,$BH44)))&amp;" lot(s)",""))</f>
        <v>37 lot(s)</v>
      </c>
      <c r="D45" s="69"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69" t="str">
        <f>IF($BJ44&gt;0,IF(INDEX('Final Calculation Sheet'!$D$4:$D$40,$BJ44-3)="","",INDEX('Final Calculation Sheet'!$D$4:$D$40,$BJ44-3)),IF(OR($BI44=1,$BL44=1,$BH44&gt;0),"–",""))</f>
        <v>–</v>
      </c>
      <c r="F45" s="69">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69"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 ca="1">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0" t="str">
        <f>IF($BJ44&gt;0,IF(INDEX('Final Calculation Sheet'!$AE$4:$AE$40,$BJ44-3)="","",INDEX('Final Calculation Sheet'!$AE$4:$AE$40,$BJ44-3)),IF(OR($BI44=1,$BL44=1,$BH44&gt;0),"–",""))</f>
        <v>–</v>
      </c>
      <c r="AG45" s="74" t="str">
        <f>IF($BJ44&gt;0,IF(INDEX('Final Calculation Sheet'!$AF$4:$AF$40,$BJ44-3)="","",INDEX('Final Calculation Sheet'!$AF$4:$AF$40,$BJ44-3)),IF(OR($BI44=1,$BL44=1,$BH44&gt;0),"–",""))</f>
        <v>–</v>
      </c>
      <c r="AH45" s="70" t="str">
        <f>IF($BJ44&gt;0,IF(INDEX('Final Calculation Sheet'!$AG$4:$AG$40,$BJ44-3)="","",INDEX('Final Calculation Sheet'!$AG$4:$AG$40,$BJ44-3)),IF(OR($BI44=1,$BL44=1,$BH44&gt;0),"–",""))</f>
        <v>–</v>
      </c>
      <c r="AI45" s="75" t="str">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OUTSTANDING</v>
      </c>
      <c r="BH45">
        <f>IFERROR(MATCH(45,$BF$4:$BF$13,0),0)</f>
        <v>0</v>
      </c>
      <c r="BI45">
        <f>IF(45=$BG$5,1,0)</f>
        <v>0</v>
      </c>
      <c r="BJ45">
        <f>IF(OR($BH45&gt;0,$BI45=1,$BL45=1),0,IFERROR(INDEX($BC$5:$BC$41,MATCH(45,$BB$5:$BB$41,0)),0))</f>
        <v>0</v>
      </c>
      <c r="BK45">
        <f>IF($BJ45&gt;0,IF(INDEX($AZ$5:$AZ$41,MATCH(45,$BB$5:$BB$41,0))=10,1,0),IF($BH45=10,1,0))</f>
        <v>0</v>
      </c>
      <c r="BL45">
        <f>IF(45=$BG$4,1,0)</f>
        <v>0</v>
      </c>
    </row>
    <row r="46" spans="1:99" ht="15" customHeight="1" x14ac:dyDescent="0.25">
      <c r="A46" s="67" t="str">
        <f>IF($BJ45&gt;0,INDEX($BA$5:$BA$41,MATCH(45,$BB$5:$BB$41,0)),IF(OR($BI45=1,$BL45=1,$BH45&gt;0),"∑",""))</f>
        <v/>
      </c>
      <c r="B46" s="68" t="str">
        <f>IF($BJ45&gt;0,IF(INDEX('Final Calculation Sheet'!$F$4:$F$40,$BJ45-3)="","",INDEX('Final Calculation Sheet'!$F$4:$F$40,$BJ45-3)),"")</f>
        <v/>
      </c>
      <c r="C46" s="68" t="str">
        <f>IF($BJ45&gt;0,IF(INDEX('Final Calculation Sheet'!$G$4:$G$40,$BJ45-3)="","",INDEX('Final Calculation Sheet'!$G$4:$G$40,$BJ45-3)),IF(OR($BI45=1,$BL45=1,$BH45&gt;0),IF($BI45=1,37,IF($BL45=1,37-INDEX($BD$4:$BD$13,10),INDEX($BD$4:$BD$13,$BH45)))&amp;" lot(s)",""))</f>
        <v/>
      </c>
      <c r="D46" s="69"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69" t="str">
        <f>IF($BJ45&gt;0,IF(INDEX('Final Calculation Sheet'!$D$4:$D$40,$BJ45-3)="","",INDEX('Final Calculation Sheet'!$D$4:$D$40,$BJ45-3)),IF(OR($BI45=1,$BL45=1,$BH45&gt;0),"–",""))</f>
        <v/>
      </c>
      <c r="F46" s="69"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69"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0" t="str">
        <f>IF($BJ45&gt;0,IF(INDEX('Final Calculation Sheet'!$AE$4:$AE$40,$BJ45-3)="","",INDEX('Final Calculation Sheet'!$AE$4:$AE$40,$BJ45-3)),IF(OR($BI45=1,$BL45=1,$BH45&gt;0),"–",""))</f>
        <v/>
      </c>
      <c r="AG46" s="74" t="str">
        <f>IF($BJ45&gt;0,IF(INDEX('Final Calculation Sheet'!$AF$4:$AF$40,$BJ45-3)="","",INDEX('Final Calculation Sheet'!$AF$4:$AF$40,$BJ45-3)),IF(OR($BI45=1,$BL45=1,$BH45&gt;0),"–",""))</f>
        <v/>
      </c>
      <c r="AH46" s="70" t="str">
        <f>IF($BJ45&gt;0,IF(INDEX('Final Calculation Sheet'!$AG$4:$AG$40,$BJ45-3)="","",INDEX('Final Calculation Sheet'!$AG$4:$AG$40,$BJ45-3)),IF(OR($BI45=1,$BL45=1,$BH45&gt;0),"–",""))</f>
        <v/>
      </c>
      <c r="AI46" s="75" t="str">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BH46">
        <f>IFERROR(MATCH(46,$BF$4:$BF$13,0),0)</f>
        <v>0</v>
      </c>
      <c r="BI46">
        <f>IF(46=$BG$5,1,0)</f>
        <v>0</v>
      </c>
      <c r="BJ46">
        <f>IF(OR($BH46&gt;0,$BI46=1,$BL46=1),0,IFERROR(INDEX($BC$5:$BC$41,MATCH(46,$BB$5:$BB$41,0)),0))</f>
        <v>0</v>
      </c>
      <c r="BK46">
        <f>IF($BJ46&gt;0,IF(INDEX($AZ$5:$AZ$41,MATCH(46,$BB$5:$BB$41,0))=10,1,0),IF($BH46=10,1,0))</f>
        <v>0</v>
      </c>
      <c r="BL46">
        <f>IF(46=$BG$4,1,0)</f>
        <v>0</v>
      </c>
    </row>
    <row r="47" spans="1:99" ht="15" customHeight="1" x14ac:dyDescent="0.25">
      <c r="A47" s="67" t="str">
        <f>IF($BJ46&gt;0,INDEX($BA$5:$BA$41,MATCH(46,$BB$5:$BB$41,0)),IF(OR($BI46=1,$BL46=1,$BH46&gt;0),"∑",""))</f>
        <v/>
      </c>
      <c r="B47" s="68" t="str">
        <f>IF($BJ46&gt;0,IF(INDEX('Final Calculation Sheet'!$F$4:$F$40,$BJ46-3)="","",INDEX('Final Calculation Sheet'!$F$4:$F$40,$BJ46-3)),"")</f>
        <v/>
      </c>
      <c r="C47" s="68" t="str">
        <f>IF($BJ46&gt;0,IF(INDEX('Final Calculation Sheet'!$G$4:$G$40,$BJ46-3)="","",INDEX('Final Calculation Sheet'!$G$4:$G$40,$BJ46-3)),IF(OR($BI46=1,$BL46=1,$BH46&gt;0),IF($BI46=1,37,IF($BL46=1,37-INDEX($BD$4:$BD$13,10),INDEX($BD$4:$BD$13,$BH46)))&amp;" lot(s)",""))</f>
        <v/>
      </c>
      <c r="D47" s="69"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69" t="str">
        <f>IF($BJ46&gt;0,IF(INDEX('Final Calculation Sheet'!$D$4:$D$40,$BJ46-3)="","",INDEX('Final Calculation Sheet'!$D$4:$D$40,$BJ46-3)),IF(OR($BI46=1,$BL46=1,$BH46&gt;0),"–",""))</f>
        <v/>
      </c>
      <c r="F47" s="69"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69"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0" t="str">
        <f>IF($BJ46&gt;0,IF(INDEX('Final Calculation Sheet'!$AE$4:$AE$40,$BJ46-3)="","",INDEX('Final Calculation Sheet'!$AE$4:$AE$40,$BJ46-3)),IF(OR($BI46=1,$BL46=1,$BH46&gt;0),"–",""))</f>
        <v/>
      </c>
      <c r="AG47" s="74" t="str">
        <f>IF($BJ46&gt;0,IF(INDEX('Final Calculation Sheet'!$AF$4:$AF$40,$BJ46-3)="","",INDEX('Final Calculation Sheet'!$AF$4:$AF$40,$BJ46-3)),IF(OR($BI46=1,$BL46=1,$BH46&gt;0),"–",""))</f>
        <v/>
      </c>
      <c r="AH47" s="70" t="str">
        <f>IF($BJ46&gt;0,IF(INDEX('Final Calculation Sheet'!$AG$4:$AG$40,$BJ46-3)="","",INDEX('Final Calculation Sheet'!$AG$4:$AG$40,$BJ46-3)),IF(OR($BI46=1,$BL46=1,$BH46&gt;0),"–",""))</f>
        <v/>
      </c>
      <c r="AI47" s="75" t="str">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BH47">
        <f>IFERROR(MATCH(47,$BF$4:$BF$13,0),0)</f>
        <v>0</v>
      </c>
      <c r="BI47">
        <f>IF(47=$BG$5,1,0)</f>
        <v>0</v>
      </c>
      <c r="BJ47">
        <f>IF(OR($BH47&gt;0,$BI47=1,$BL47=1),0,IFERROR(INDEX($BC$5:$BC$41,MATCH(47,$BB$5:$BB$41,0)),0))</f>
        <v>0</v>
      </c>
      <c r="BK47">
        <f>IF($BJ47&gt;0,IF(INDEX($AZ$5:$AZ$41,MATCH(47,$BB$5:$BB$41,0))=10,1,0),IF($BH47=10,1,0))</f>
        <v>0</v>
      </c>
      <c r="BL47">
        <f>IF(47=$BG$4,1,0)</f>
        <v>0</v>
      </c>
    </row>
    <row r="48" spans="1:99" ht="15" customHeight="1" x14ac:dyDescent="0.25">
      <c r="A48" s="67" t="str">
        <f>IF($BJ47&gt;0,INDEX($BA$5:$BA$41,MATCH(47,$BB$5:$BB$41,0)),IF(OR($BI47=1,$BL47=1,$BH47&gt;0),"∑",""))</f>
        <v/>
      </c>
      <c r="B48" s="68" t="str">
        <f>IF($BJ47&gt;0,IF(INDEX('Final Calculation Sheet'!$F$4:$F$40,$BJ47-3)="","",INDEX('Final Calculation Sheet'!$F$4:$F$40,$BJ47-3)),"")</f>
        <v/>
      </c>
      <c r="C48" s="68" t="str">
        <f>IF($BJ47&gt;0,IF(INDEX('Final Calculation Sheet'!$G$4:$G$40,$BJ47-3)="","",INDEX('Final Calculation Sheet'!$G$4:$G$40,$BJ47-3)),IF(OR($BI47=1,$BL47=1,$BH47&gt;0),IF($BI47=1,37,IF($BL47=1,37-INDEX($BD$4:$BD$13,10),INDEX($BD$4:$BD$13,$BH47)))&amp;" lot(s)",""))</f>
        <v/>
      </c>
      <c r="D48" s="69"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69" t="str">
        <f>IF($BJ47&gt;0,IF(INDEX('Final Calculation Sheet'!$D$4:$D$40,$BJ47-3)="","",INDEX('Final Calculation Sheet'!$D$4:$D$40,$BJ47-3)),IF(OR($BI47=1,$BL47=1,$BH47&gt;0),"–",""))</f>
        <v/>
      </c>
      <c r="F48" s="69"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69"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0" t="str">
        <f>IF($BJ47&gt;0,IF(INDEX('Final Calculation Sheet'!$AE$4:$AE$40,$BJ47-3)="","",INDEX('Final Calculation Sheet'!$AE$4:$AE$40,$BJ47-3)),IF(OR($BI47=1,$BL47=1,$BH47&gt;0),"–",""))</f>
        <v/>
      </c>
      <c r="AG48" s="74" t="str">
        <f>IF($BJ47&gt;0,IF(INDEX('Final Calculation Sheet'!$AF$4:$AF$40,$BJ47-3)="","",INDEX('Final Calculation Sheet'!$AF$4:$AF$40,$BJ47-3)),IF(OR($BI47=1,$BL47=1,$BH47&gt;0),"–",""))</f>
        <v/>
      </c>
      <c r="AH48" s="70" t="str">
        <f>IF($BJ47&gt;0,IF(INDEX('Final Calculation Sheet'!$AG$4:$AG$40,$BJ47-3)="","",INDEX('Final Calculation Sheet'!$AG$4:$AG$40,$BJ47-3)),IF(OR($BI47=1,$BL47=1,$BH47&gt;0),"–",""))</f>
        <v/>
      </c>
      <c r="AI48" s="75" t="str">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BH48">
        <f>IFERROR(MATCH(48,$BF$4:$BF$13,0),0)</f>
        <v>0</v>
      </c>
      <c r="BI48">
        <f>IF(48=$BG$5,1,0)</f>
        <v>0</v>
      </c>
      <c r="BJ48">
        <f>IF(OR($BH48&gt;0,$BI48=1,$BL48=1),0,IFERROR(INDEX($BC$5:$BC$41,MATCH(48,$BB$5:$BB$41,0)),0))</f>
        <v>0</v>
      </c>
      <c r="BK48">
        <f>IF($BJ48&gt;0,IF(INDEX($AZ$5:$AZ$41,MATCH(48,$BB$5:$BB$41,0))=10,1,0),IF($BH48=10,1,0))</f>
        <v>0</v>
      </c>
      <c r="BL48">
        <f>IF(48=$BG$4,1,0)</f>
        <v>0</v>
      </c>
    </row>
    <row r="49" spans="1:64" ht="15" customHeight="1" x14ac:dyDescent="0.25">
      <c r="A49" s="67" t="str">
        <f>IF($BJ48&gt;0,INDEX($BA$5:$BA$41,MATCH(48,$BB$5:$BB$41,0)),IF(OR($BI48=1,$BL48=1,$BH48&gt;0),"∑",""))</f>
        <v/>
      </c>
      <c r="B49" s="68" t="str">
        <f>IF($BJ48&gt;0,IF(INDEX('Final Calculation Sheet'!$F$4:$F$40,$BJ48-3)="","",INDEX('Final Calculation Sheet'!$F$4:$F$40,$BJ48-3)),"")</f>
        <v/>
      </c>
      <c r="C49" s="68" t="str">
        <f>IF($BJ48&gt;0,IF(INDEX('Final Calculation Sheet'!$G$4:$G$40,$BJ48-3)="","",INDEX('Final Calculation Sheet'!$G$4:$G$40,$BJ48-3)),IF(OR($BI48=1,$BL48=1,$BH48&gt;0),IF($BI48=1,37,IF($BL48=1,37-INDEX($BD$4:$BD$13,10),INDEX($BD$4:$BD$13,$BH48)))&amp;" lot(s)",""))</f>
        <v/>
      </c>
      <c r="D49" s="69"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69" t="str">
        <f>IF($BJ48&gt;0,IF(INDEX('Final Calculation Sheet'!$D$4:$D$40,$BJ48-3)="","",INDEX('Final Calculation Sheet'!$D$4:$D$40,$BJ48-3)),IF(OR($BI48=1,$BL48=1,$BH48&gt;0),"–",""))</f>
        <v/>
      </c>
      <c r="F49" s="69"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69"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0" t="str">
        <f>IF($BJ48&gt;0,IF(INDEX('Final Calculation Sheet'!$AE$4:$AE$40,$BJ48-3)="","",INDEX('Final Calculation Sheet'!$AE$4:$AE$40,$BJ48-3)),IF(OR($BI48=1,$BL48=1,$BH48&gt;0),"–",""))</f>
        <v/>
      </c>
      <c r="AG49" s="74" t="str">
        <f>IF($BJ48&gt;0,IF(INDEX('Final Calculation Sheet'!$AF$4:$AF$40,$BJ48-3)="","",INDEX('Final Calculation Sheet'!$AF$4:$AF$40,$BJ48-3)),IF(OR($BI48=1,$BL48=1,$BH48&gt;0),"–",""))</f>
        <v/>
      </c>
      <c r="AH49" s="70" t="str">
        <f>IF($BJ48&gt;0,IF(INDEX('Final Calculation Sheet'!$AG$4:$AG$40,$BJ48-3)="","",INDEX('Final Calculation Sheet'!$AG$4:$AG$40,$BJ48-3)),IF(OR($BI48=1,$BL48=1,$BH48&gt;0),"–",""))</f>
        <v/>
      </c>
      <c r="AI49" s="75" t="str">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BH49">
        <f>IFERROR(MATCH(49,$BF$4:$BF$13,0),0)</f>
        <v>0</v>
      </c>
      <c r="BI49">
        <f>IF(49=$BG$5,1,0)</f>
        <v>0</v>
      </c>
      <c r="BJ49">
        <f>IF(OR($BH49&gt;0,$BI49=1,$BL49=1),0,IFERROR(INDEX($BC$5:$BC$41,MATCH(49,$BB$5:$BB$41,0)),0))</f>
        <v>0</v>
      </c>
      <c r="BK49">
        <f>IF($BJ49&gt;0,IF(INDEX($AZ$5:$AZ$41,MATCH(49,$BB$5:$BB$41,0))=10,1,0),IF($BH49=10,1,0))</f>
        <v>0</v>
      </c>
      <c r="BL49">
        <f>IF(49=$BG$4,1,0)</f>
        <v>0</v>
      </c>
    </row>
    <row r="50" spans="1:64" ht="15" customHeight="1" x14ac:dyDescent="0.25">
      <c r="A50" s="67" t="str">
        <f>IF($BJ49&gt;0,INDEX($BA$5:$BA$41,MATCH(49,$BB$5:$BB$41,0)),IF(OR($BI49=1,$BL49=1,$BH49&gt;0),"∑",""))</f>
        <v/>
      </c>
      <c r="B50" s="68" t="str">
        <f>IF($BJ49&gt;0,IF(INDEX('Final Calculation Sheet'!$F$4:$F$40,$BJ49-3)="","",INDEX('Final Calculation Sheet'!$F$4:$F$40,$BJ49-3)),"")</f>
        <v/>
      </c>
      <c r="C50" s="68" t="str">
        <f>IF($BJ49&gt;0,IF(INDEX('Final Calculation Sheet'!$G$4:$G$40,$BJ49-3)="","",INDEX('Final Calculation Sheet'!$G$4:$G$40,$BJ49-3)),IF(OR($BI49=1,$BL49=1,$BH49&gt;0),IF($BI49=1,37,IF($BL49=1,37-INDEX($BD$4:$BD$13,10),INDEX($BD$4:$BD$13,$BH49)))&amp;" lot(s)",""))</f>
        <v/>
      </c>
      <c r="D50" s="69"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69" t="str">
        <f>IF($BJ49&gt;0,IF(INDEX('Final Calculation Sheet'!$D$4:$D$40,$BJ49-3)="","",INDEX('Final Calculation Sheet'!$D$4:$D$40,$BJ49-3)),IF(OR($BI49=1,$BL49=1,$BH49&gt;0),"–",""))</f>
        <v/>
      </c>
      <c r="F50" s="69"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69"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0" t="str">
        <f>IF($BJ49&gt;0,IF(INDEX('Final Calculation Sheet'!$AE$4:$AE$40,$BJ49-3)="","",INDEX('Final Calculation Sheet'!$AE$4:$AE$40,$BJ49-3)),IF(OR($BI49=1,$BL49=1,$BH49&gt;0),"–",""))</f>
        <v/>
      </c>
      <c r="AG50" s="74" t="str">
        <f>IF($BJ49&gt;0,IF(INDEX('Final Calculation Sheet'!$AF$4:$AF$40,$BJ49-3)="","",INDEX('Final Calculation Sheet'!$AF$4:$AF$40,$BJ49-3)),IF(OR($BI49=1,$BL49=1,$BH49&gt;0),"–",""))</f>
        <v/>
      </c>
      <c r="AH50" s="70" t="str">
        <f>IF($BJ49&gt;0,IF(INDEX('Final Calculation Sheet'!$AG$4:$AG$40,$BJ49-3)="","",INDEX('Final Calculation Sheet'!$AG$4:$AG$40,$BJ49-3)),IF(OR($BI49=1,$BL49=1,$BH49&gt;0),"–",""))</f>
        <v/>
      </c>
      <c r="AI50" s="75" t="str">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BH50">
        <f>IFERROR(MATCH(50,$BF$4:$BF$13,0),0)</f>
        <v>0</v>
      </c>
      <c r="BI50">
        <f>IF(50=$BG$5,1,0)</f>
        <v>0</v>
      </c>
      <c r="BJ50">
        <f>IF(OR($BH50&gt;0,$BI50=1,$BL50=1),0,IFERROR(INDEX($BC$5:$BC$41,MATCH(50,$BB$5:$BB$41,0)),0))</f>
        <v>0</v>
      </c>
      <c r="BK50">
        <f>IF($BJ50&gt;0,IF(INDEX($AZ$5:$AZ$41,MATCH(50,$BB$5:$BB$41,0))=10,1,0),IF($BH50=10,1,0))</f>
        <v>0</v>
      </c>
      <c r="BL50">
        <f>IF(50=$BG$4,1,0)</f>
        <v>0</v>
      </c>
    </row>
    <row r="51" spans="1:64" ht="15" customHeight="1" x14ac:dyDescent="0.25">
      <c r="A51" s="67" t="str">
        <f>IF($BJ50&gt;0,INDEX($BA$5:$BA$41,MATCH(50,$BB$5:$BB$41,0)),IF(OR($BI50=1,$BL50=1,$BH50&gt;0),"∑",""))</f>
        <v/>
      </c>
      <c r="B51" s="68" t="str">
        <f>IF($BJ50&gt;0,IF(INDEX('Final Calculation Sheet'!$F$4:$F$40,$BJ50-3)="","",INDEX('Final Calculation Sheet'!$F$4:$F$40,$BJ50-3)),"")</f>
        <v/>
      </c>
      <c r="C51" s="68" t="str">
        <f>IF($BJ50&gt;0,IF(INDEX('Final Calculation Sheet'!$G$4:$G$40,$BJ50-3)="","",INDEX('Final Calculation Sheet'!$G$4:$G$40,$BJ50-3)),IF(OR($BI50=1,$BL50=1,$BH50&gt;0),IF($BI50=1,37,IF($BL50=1,37-INDEX($BD$4:$BD$13,10),INDEX($BD$4:$BD$13,$BH50)))&amp;" lot(s)",""))</f>
        <v/>
      </c>
      <c r="D51" s="69"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69" t="str">
        <f>IF($BJ50&gt;0,IF(INDEX('Final Calculation Sheet'!$D$4:$D$40,$BJ50-3)="","",INDEX('Final Calculation Sheet'!$D$4:$D$40,$BJ50-3)),IF(OR($BI50=1,$BL50=1,$BH50&gt;0),"–",""))</f>
        <v/>
      </c>
      <c r="F51" s="69"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69"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0" t="str">
        <f>IF($BJ50&gt;0,IF(INDEX('Final Calculation Sheet'!$AE$4:$AE$40,$BJ50-3)="","",INDEX('Final Calculation Sheet'!$AE$4:$AE$40,$BJ50-3)),IF(OR($BI50=1,$BL50=1,$BH50&gt;0),"–",""))</f>
        <v/>
      </c>
      <c r="AG51" s="74" t="str">
        <f>IF($BJ50&gt;0,IF(INDEX('Final Calculation Sheet'!$AF$4:$AF$40,$BJ50-3)="","",INDEX('Final Calculation Sheet'!$AF$4:$AF$40,$BJ50-3)),IF(OR($BI50=1,$BL50=1,$BH50&gt;0),"–",""))</f>
        <v/>
      </c>
      <c r="AH51" s="70" t="str">
        <f>IF($BJ50&gt;0,IF(INDEX('Final Calculation Sheet'!$AG$4:$AG$40,$BJ50-3)="","",INDEX('Final Calculation Sheet'!$AG$4:$AG$40,$BJ50-3)),IF(OR($BI50=1,$BL50=1,$BH50&gt;0),"–",""))</f>
        <v/>
      </c>
      <c r="AI51" s="75" t="str">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BH51">
        <f>IFERROR(MATCH(51,$BF$4:$BF$13,0),0)</f>
        <v>0</v>
      </c>
      <c r="BI51">
        <f>IF(51=$BG$5,1,0)</f>
        <v>0</v>
      </c>
      <c r="BJ51">
        <f>IF(OR($BH51&gt;0,$BI51=1,$BL51=1),0,IFERROR(INDEX($BC$5:$BC$41,MATCH(51,$BB$5:$BB$41,0)),0))</f>
        <v>0</v>
      </c>
      <c r="BK51">
        <f>IF($BJ51&gt;0,IF(INDEX($AZ$5:$AZ$41,MATCH(51,$BB$5:$BB$41,0))=10,1,0),IF($BH51=10,1,0))</f>
        <v>0</v>
      </c>
      <c r="BL51">
        <f>IF(51=$BG$4,1,0)</f>
        <v>0</v>
      </c>
    </row>
    <row r="52" spans="1:64" ht="15" customHeight="1" x14ac:dyDescent="0.25">
      <c r="A52" s="67" t="str">
        <f>IF($BJ51&gt;0,INDEX($BA$5:$BA$41,MATCH(51,$BB$5:$BB$41,0)),IF(OR($BI51=1,$BL51=1,$BH51&gt;0),"∑",""))</f>
        <v/>
      </c>
      <c r="B52" s="68" t="str">
        <f>IF($BJ51&gt;0,IF(INDEX('Final Calculation Sheet'!$F$4:$F$40,$BJ51-3)="","",INDEX('Final Calculation Sheet'!$F$4:$F$40,$BJ51-3)),"")</f>
        <v/>
      </c>
      <c r="C52" s="68" t="str">
        <f>IF($BJ51&gt;0,IF(INDEX('Final Calculation Sheet'!$G$4:$G$40,$BJ51-3)="","",INDEX('Final Calculation Sheet'!$G$4:$G$40,$BJ51-3)),IF(OR($BI51=1,$BL51=1,$BH51&gt;0),IF($BI51=1,37,IF($BL51=1,37-INDEX($BD$4:$BD$13,10),INDEX($BD$4:$BD$13,$BH51)))&amp;" lot(s)",""))</f>
        <v/>
      </c>
      <c r="D52" s="69"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69" t="str">
        <f>IF($BJ51&gt;0,IF(INDEX('Final Calculation Sheet'!$D$4:$D$40,$BJ51-3)="","",INDEX('Final Calculation Sheet'!$D$4:$D$40,$BJ51-3)),IF(OR($BI51=1,$BL51=1,$BH51&gt;0),"–",""))</f>
        <v/>
      </c>
      <c r="F52" s="69"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69"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0" t="str">
        <f>IF($BJ51&gt;0,IF(INDEX('Final Calculation Sheet'!$AE$4:$AE$40,$BJ51-3)="","",INDEX('Final Calculation Sheet'!$AE$4:$AE$40,$BJ51-3)),IF(OR($BI51=1,$BL51=1,$BH51&gt;0),"–",""))</f>
        <v/>
      </c>
      <c r="AG52" s="74" t="str">
        <f>IF($BJ51&gt;0,IF(INDEX('Final Calculation Sheet'!$AF$4:$AF$40,$BJ51-3)="","",INDEX('Final Calculation Sheet'!$AF$4:$AF$40,$BJ51-3)),IF(OR($BI51=1,$BL51=1,$BH51&gt;0),"–",""))</f>
        <v/>
      </c>
      <c r="AH52" s="70" t="str">
        <f>IF($BJ51&gt;0,IF(INDEX('Final Calculation Sheet'!$AG$4:$AG$40,$BJ51-3)="","",INDEX('Final Calculation Sheet'!$AG$4:$AG$40,$BJ51-3)),IF(OR($BI51=1,$BL51=1,$BH51&gt;0),"–",""))</f>
        <v/>
      </c>
      <c r="AI52" s="75" t="str">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BH52">
        <f>IFERROR(MATCH(52,$BF$4:$BF$13,0),0)</f>
        <v>0</v>
      </c>
      <c r="BI52">
        <f>IF(52=$BG$5,1,0)</f>
        <v>0</v>
      </c>
      <c r="BJ52">
        <f>IF(OR($BH52&gt;0,$BI52=1,$BL52=1),0,IFERROR(INDEX($BC$5:$BC$41,MATCH(52,$BB$5:$BB$41,0)),0))</f>
        <v>0</v>
      </c>
      <c r="BK52">
        <f>IF($BJ52&gt;0,IF(INDEX($AZ$5:$AZ$41,MATCH(52,$BB$5:$BB$41,0))=10,1,0),IF($BH52=10,1,0))</f>
        <v>0</v>
      </c>
      <c r="BL52">
        <f>IF(52=$BG$4,1,0)</f>
        <v>0</v>
      </c>
    </row>
    <row r="53" spans="1:64" ht="15" customHeight="1" x14ac:dyDescent="0.25">
      <c r="A53" s="67" t="str">
        <f>IF($BJ52&gt;0,INDEX($BA$5:$BA$41,MATCH(52,$BB$5:$BB$41,0)),IF(OR($BI52=1,$BL52=1,$BH52&gt;0),"∑",""))</f>
        <v/>
      </c>
      <c r="B53" s="68" t="str">
        <f>IF($BJ52&gt;0,IF(INDEX('Final Calculation Sheet'!$F$4:$F$40,$BJ52-3)="","",INDEX('Final Calculation Sheet'!$F$4:$F$40,$BJ52-3)),"")</f>
        <v/>
      </c>
      <c r="C53" s="68" t="str">
        <f>IF($BJ52&gt;0,IF(INDEX('Final Calculation Sheet'!$G$4:$G$40,$BJ52-3)="","",INDEX('Final Calculation Sheet'!$G$4:$G$40,$BJ52-3)),IF(OR($BI52=1,$BL52=1,$BH52&gt;0),IF($BI52=1,37,IF($BL52=1,37-INDEX($BD$4:$BD$13,10),INDEX($BD$4:$BD$13,$BH52)))&amp;" lot(s)",""))</f>
        <v/>
      </c>
      <c r="D53" s="69"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69" t="str">
        <f>IF($BJ52&gt;0,IF(INDEX('Final Calculation Sheet'!$D$4:$D$40,$BJ52-3)="","",INDEX('Final Calculation Sheet'!$D$4:$D$40,$BJ52-3)),IF(OR($BI52=1,$BL52=1,$BH52&gt;0),"–",""))</f>
        <v/>
      </c>
      <c r="F53" s="69"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69"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0" t="str">
        <f>IF($BJ52&gt;0,IF(INDEX('Final Calculation Sheet'!$AE$4:$AE$40,$BJ52-3)="","",INDEX('Final Calculation Sheet'!$AE$4:$AE$40,$BJ52-3)),IF(OR($BI52=1,$BL52=1,$BH52&gt;0),"–",""))</f>
        <v/>
      </c>
      <c r="AG53" s="74" t="str">
        <f>IF($BJ52&gt;0,IF(INDEX('Final Calculation Sheet'!$AF$4:$AF$40,$BJ52-3)="","",INDEX('Final Calculation Sheet'!$AF$4:$AF$40,$BJ52-3)),IF(OR($BI52=1,$BL52=1,$BH52&gt;0),"–",""))</f>
        <v/>
      </c>
      <c r="AH53" s="70" t="str">
        <f>IF($BJ52&gt;0,IF(INDEX('Final Calculation Sheet'!$AG$4:$AG$40,$BJ52-3)="","",INDEX('Final Calculation Sheet'!$AG$4:$AG$40,$BJ52-3)),IF(OR($BI52=1,$BL52=1,$BH52&gt;0),"–",""))</f>
        <v/>
      </c>
      <c r="AI53" s="75" t="str">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BH53">
        <f>IFERROR(MATCH(53,$BF$4:$BF$13,0),0)</f>
        <v>0</v>
      </c>
      <c r="BI53">
        <f>IF(53=$BG$5,1,0)</f>
        <v>0</v>
      </c>
      <c r="BJ53">
        <f>IF(OR($BH53&gt;0,$BI53=1,$BL53=1),0,IFERROR(INDEX($BC$5:$BC$41,MATCH(53,$BB$5:$BB$41,0)),0))</f>
        <v>0</v>
      </c>
      <c r="BK53">
        <f>IF($BJ53&gt;0,IF(INDEX($AZ$5:$AZ$41,MATCH(53,$BB$5:$BB$41,0))=10,1,0),IF($BH53=10,1,0))</f>
        <v>0</v>
      </c>
      <c r="BL53">
        <f>IF(53=$BG$4,1,0)</f>
        <v>0</v>
      </c>
    </row>
    <row r="54" spans="1:64" ht="15" customHeight="1" x14ac:dyDescent="0.25">
      <c r="A54" s="67" t="str">
        <f>IF($BJ53&gt;0,INDEX($BA$5:$BA$41,MATCH(53,$BB$5:$BB$41,0)),IF(OR($BI53=1,$BL53=1,$BH53&gt;0),"∑",""))</f>
        <v/>
      </c>
      <c r="B54" s="68" t="str">
        <f>IF($BJ53&gt;0,IF(INDEX('Final Calculation Sheet'!$F$4:$F$40,$BJ53-3)="","",INDEX('Final Calculation Sheet'!$F$4:$F$40,$BJ53-3)),"")</f>
        <v/>
      </c>
      <c r="C54" s="68" t="str">
        <f>IF($BJ53&gt;0,IF(INDEX('Final Calculation Sheet'!$G$4:$G$40,$BJ53-3)="","",INDEX('Final Calculation Sheet'!$G$4:$G$40,$BJ53-3)),IF(OR($BI53=1,$BL53=1,$BH53&gt;0),IF($BI53=1,37,IF($BL53=1,37-INDEX($BD$4:$BD$13,10),INDEX($BD$4:$BD$13,$BH53)))&amp;" lot(s)",""))</f>
        <v/>
      </c>
      <c r="D54" s="69"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69" t="str">
        <f>IF($BJ53&gt;0,IF(INDEX('Final Calculation Sheet'!$D$4:$D$40,$BJ53-3)="","",INDEX('Final Calculation Sheet'!$D$4:$D$40,$BJ53-3)),IF(OR($BI53=1,$BL53=1,$BH53&gt;0),"–",""))</f>
        <v/>
      </c>
      <c r="F54" s="69"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69"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0" t="str">
        <f>IF($BJ53&gt;0,IF(INDEX('Final Calculation Sheet'!$AE$4:$AE$40,$BJ53-3)="","",INDEX('Final Calculation Sheet'!$AE$4:$AE$40,$BJ53-3)),IF(OR($BI53=1,$BL53=1,$BH53&gt;0),"–",""))</f>
        <v/>
      </c>
      <c r="AG54" s="74" t="str">
        <f>IF($BJ53&gt;0,IF(INDEX('Final Calculation Sheet'!$AF$4:$AF$40,$BJ53-3)="","",INDEX('Final Calculation Sheet'!$AF$4:$AF$40,$BJ53-3)),IF(OR($BI53=1,$BL53=1,$BH53&gt;0),"–",""))</f>
        <v/>
      </c>
      <c r="AH54" s="70" t="str">
        <f>IF($BJ53&gt;0,IF(INDEX('Final Calculation Sheet'!$AG$4:$AG$40,$BJ53-3)="","",INDEX('Final Calculation Sheet'!$AG$4:$AG$40,$BJ53-3)),IF(OR($BI53=1,$BL53=1,$BH53&gt;0),"–",""))</f>
        <v/>
      </c>
      <c r="AI54" s="75" t="str">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row>
  </sheetData>
  <mergeCells count="4">
    <mergeCell ref="A1:AI1"/>
    <mergeCell ref="A2:AI2"/>
    <mergeCell ref="B3:D3"/>
    <mergeCell ref="I3:AI3"/>
  </mergeCells>
  <conditionalFormatting sqref="A6:AH54">
    <cfRule type="expression" dxfId="50" priority="2">
      <formula>AND($B$3&lt;&gt;"",$BK5=1,$BH5=0,$BI5=0)</formula>
    </cfRule>
    <cfRule type="expression" dxfId="49" priority="3">
      <formula>$BH5=10</formula>
    </cfRule>
    <cfRule type="expression" dxfId="48" priority="4">
      <formula>$BI5=1</formula>
    </cfRule>
    <cfRule type="expression" dxfId="47" priority="5">
      <formula>$BL5=1</formula>
    </cfRule>
    <cfRule type="expression" dxfId="46" priority="6">
      <formula>$BH5&gt;0</formula>
    </cfRule>
    <cfRule type="expression" dxfId="45" priority="7">
      <formula>AND($B$3&lt;&gt;"",$BJ5&gt;0,$BK5=0)</formula>
    </cfRule>
    <cfRule type="expression" dxfId="44" priority="8">
      <formula>AND($BJ5&gt;0,MOD($BJ5,2)=0)</formula>
    </cfRule>
  </conditionalFormatting>
  <conditionalFormatting sqref="AE6:AE54">
    <cfRule type="cellIs" dxfId="43" priority="9" operator="greaterThan">
      <formula>5</formula>
    </cfRule>
  </conditionalFormatting>
  <conditionalFormatting sqref="AI6:AI54">
    <cfRule type="cellIs" dxfId="42" priority="10" operator="equal">
      <formula>"SETTLED"</formula>
    </cfRule>
    <cfRule type="cellIs" dxfId="41" priority="11" operator="equal">
      <formula>"OUTSTANDING"</formula>
    </cfRule>
  </conditionalFormatting>
  <conditionalFormatting sqref="A6:AI54">
    <cfRule type="expression" dxfId="40" priority="12">
      <formula>OR($BJ5&gt;0,$BH5&gt;0,$BI5=1,$BL5=1)</formula>
    </cfRule>
  </conditionalFormatting>
  <dataValidations count="37">
    <dataValidation type="list" sqref="F3" xr:uid="{00000000-0002-0000-0100-000000000000}">
      <formula1>$AO$4:$AO$9</formula1>
      <formula2>0</formula2>
    </dataValidation>
    <dataValidation type="list" sqref="B3" xr:uid="{00000000-0002-0000-0100-000001000000}">
      <formula1>SUG_MAIN</formula1>
      <formula2>0</formula2>
    </dataValidation>
    <dataValidation type="list" sqref="A4" xr:uid="{00000000-0002-0000-0100-000002000000}">
      <formula1>SUG_A</formula1>
      <formula2>0</formula2>
    </dataValidation>
    <dataValidation type="list" sqref="B4" xr:uid="{00000000-0002-0000-0100-000003000000}">
      <formula1>SUG_B</formula1>
      <formula2>0</formula2>
    </dataValidation>
    <dataValidation type="list" sqref="C4" xr:uid="{00000000-0002-0000-0100-000004000000}">
      <formula1>SUG_C</formula1>
      <formula2>0</formula2>
    </dataValidation>
    <dataValidation type="list" sqref="D4" xr:uid="{00000000-0002-0000-0100-000005000000}">
      <formula1>SUG_D</formula1>
      <formula2>0</formula2>
    </dataValidation>
    <dataValidation type="list" sqref="E4" xr:uid="{00000000-0002-0000-0100-000006000000}">
      <formula1>SUG_E</formula1>
      <formula2>0</formula2>
    </dataValidation>
    <dataValidation type="list" sqref="F4" xr:uid="{00000000-0002-0000-0100-000007000000}">
      <formula1>SUG_F</formula1>
      <formula2>0</formula2>
    </dataValidation>
    <dataValidation type="list" sqref="G4" xr:uid="{00000000-0002-0000-0100-000008000000}">
      <formula1>SUG_G</formula1>
      <formula2>0</formula2>
    </dataValidation>
    <dataValidation type="list" sqref="H4" xr:uid="{00000000-0002-0000-0100-000009000000}">
      <formula1>SUG_H</formula1>
      <formula2>0</formula2>
    </dataValidation>
    <dataValidation type="list" sqref="I4" xr:uid="{00000000-0002-0000-0100-00000A000000}">
      <formula1>SUG_I</formula1>
      <formula2>0</formula2>
    </dataValidation>
    <dataValidation type="list" sqref="J4" xr:uid="{00000000-0002-0000-0100-00000B000000}">
      <formula1>SUG_J</formula1>
      <formula2>0</formula2>
    </dataValidation>
    <dataValidation type="list" sqref="K4" xr:uid="{00000000-0002-0000-0100-00000C000000}">
      <formula1>SUG_K</formula1>
      <formula2>0</formula2>
    </dataValidation>
    <dataValidation type="list" sqref="L4" xr:uid="{00000000-0002-0000-0100-00000D000000}">
      <formula1>SUG_L</formula1>
      <formula2>0</formula2>
    </dataValidation>
    <dataValidation type="list" sqref="M4" xr:uid="{00000000-0002-0000-0100-00000E000000}">
      <formula1>SUG_M</formula1>
      <formula2>0</formula2>
    </dataValidation>
    <dataValidation type="list" sqref="N4" xr:uid="{00000000-0002-0000-0100-00000F000000}">
      <formula1>SUG_N</formula1>
      <formula2>0</formula2>
    </dataValidation>
    <dataValidation type="list" sqref="O4" xr:uid="{00000000-0002-0000-0100-000010000000}">
      <formula1>SUG_O</formula1>
      <formula2>0</formula2>
    </dataValidation>
    <dataValidation type="list" sqref="P4" xr:uid="{00000000-0002-0000-0100-000011000000}">
      <formula1>SUG_P</formula1>
      <formula2>0</formula2>
    </dataValidation>
    <dataValidation type="list" sqref="Q4" xr:uid="{00000000-0002-0000-0100-000012000000}">
      <formula1>SUG_Q</formula1>
      <formula2>0</formula2>
    </dataValidation>
    <dataValidation type="list" sqref="R4" xr:uid="{00000000-0002-0000-0100-000013000000}">
      <formula1>SUG_R</formula1>
      <formula2>0</formula2>
    </dataValidation>
    <dataValidation type="list" sqref="S4" xr:uid="{00000000-0002-0000-0100-000014000000}">
      <formula1>SUG_S</formula1>
      <formula2>0</formula2>
    </dataValidation>
    <dataValidation type="list" sqref="T4" xr:uid="{00000000-0002-0000-0100-000015000000}">
      <formula1>SUG_T</formula1>
      <formula2>0</formula2>
    </dataValidation>
    <dataValidation type="list" sqref="U4" xr:uid="{00000000-0002-0000-0100-000016000000}">
      <formula1>SUG_U</formula1>
      <formula2>0</formula2>
    </dataValidation>
    <dataValidation type="list" sqref="V4" xr:uid="{00000000-0002-0000-0100-000017000000}">
      <formula1>SUG_V</formula1>
      <formula2>0</formula2>
    </dataValidation>
    <dataValidation type="list" sqref="W4" xr:uid="{00000000-0002-0000-0100-000018000000}">
      <formula1>SUG_W</formula1>
      <formula2>0</formula2>
    </dataValidation>
    <dataValidation type="list" sqref="X4" xr:uid="{00000000-0002-0000-0100-000019000000}">
      <formula1>SUG_X</formula1>
      <formula2>0</formula2>
    </dataValidation>
    <dataValidation type="list" sqref="Y4" xr:uid="{00000000-0002-0000-0100-00001A000000}">
      <formula1>SUG_Y</formula1>
      <formula2>0</formula2>
    </dataValidation>
    <dataValidation type="list" sqref="Z4" xr:uid="{00000000-0002-0000-0100-00001B000000}">
      <formula1>SUG_Z</formula1>
      <formula2>0</formula2>
    </dataValidation>
    <dataValidation type="list" sqref="AA4" xr:uid="{00000000-0002-0000-0100-00001C000000}">
      <formula1>SUG_AA</formula1>
      <formula2>0</formula2>
    </dataValidation>
    <dataValidation type="list" sqref="AB4" xr:uid="{00000000-0002-0000-0100-00001D000000}">
      <formula1>SUG_AB</formula1>
      <formula2>0</formula2>
    </dataValidation>
    <dataValidation type="list" sqref="AC4" xr:uid="{00000000-0002-0000-0100-00001E000000}">
      <formula1>SUG_AC</formula1>
      <formula2>0</formula2>
    </dataValidation>
    <dataValidation type="list" sqref="AD4" xr:uid="{00000000-0002-0000-0100-00001F000000}">
      <formula1>SUG_AD</formula1>
      <formula2>0</formula2>
    </dataValidation>
    <dataValidation type="list" sqref="AE4" xr:uid="{00000000-0002-0000-0100-000020000000}">
      <formula1>SUG_AE</formula1>
      <formula2>0</formula2>
    </dataValidation>
    <dataValidation type="list" sqref="AF4" xr:uid="{00000000-0002-0000-0100-000021000000}">
      <formula1>SUG_AF</formula1>
      <formula2>0</formula2>
    </dataValidation>
    <dataValidation type="list" sqref="AG4" xr:uid="{00000000-0002-0000-0100-000022000000}">
      <formula1>SUG_AG</formula1>
      <formula2>0</formula2>
    </dataValidation>
    <dataValidation type="list" sqref="AH4" xr:uid="{00000000-0002-0000-0100-000023000000}">
      <formula1>SUG_AH</formula1>
      <formula2>0</formula2>
    </dataValidation>
    <dataValidation type="list" sqref="AI4" xr:uid="{00000000-0002-0000-0100-000024000000}">
      <formula1>SUG_AI</formula1>
      <formula2>0</formula2>
    </dataValidation>
  </dataValidations>
  <pageMargins left="0.75" right="0.75" top="1" bottom="1" header="0.511811023622047" footer="0.511811023622047"/>
  <pageSetup fitToHeight="0" orientation="landscape"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2E75B6"/>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defaultColWidth="8.7109375" defaultRowHeight="15" outlineLevelRow="1" outlineLevelCol="1" x14ac:dyDescent="0.25"/>
  <cols>
    <col min="1" max="1" width="14.85546875" customWidth="1"/>
    <col min="2" max="2" width="10" customWidth="1"/>
    <col min="3" max="3" width="30" customWidth="1"/>
    <col min="4" max="4" width="42" customWidth="1" outlineLevel="1"/>
    <col min="5" max="5" width="11.7109375" customWidth="1" outlineLevel="1"/>
    <col min="6" max="6" width="12" customWidth="1" outlineLevel="1"/>
    <col min="7" max="7" width="11" customWidth="1" outlineLevel="1"/>
    <col min="8" max="8" width="8.85546875" customWidth="1" outlineLevel="1"/>
    <col min="9" max="9" width="10.28515625" customWidth="1"/>
    <col min="10" max="10" width="8.85546875" customWidth="1"/>
    <col min="11" max="11" width="13.42578125" customWidth="1"/>
    <col min="12" max="16" width="13" customWidth="1"/>
    <col min="17" max="19" width="13.42578125" customWidth="1"/>
    <col min="20" max="20" width="13" customWidth="1"/>
    <col min="21" max="21" width="13.42578125" customWidth="1" outlineLevel="1"/>
    <col min="22" max="22" width="13.42578125" customWidth="1"/>
    <col min="23" max="23" width="13" customWidth="1"/>
    <col min="24" max="24" width="13" customWidth="1" outlineLevel="1"/>
    <col min="25" max="26" width="13" customWidth="1"/>
    <col min="27" max="27" width="13" customWidth="1" outlineLevel="1"/>
    <col min="28" max="35" width="13" customWidth="1"/>
    <col min="36" max="106" width="13" hidden="1" customWidth="1"/>
  </cols>
  <sheetData>
    <row r="1" spans="1:106" ht="30" customHeight="1" x14ac:dyDescent="0.25">
      <c r="A1" s="142" t="s">
        <v>142</v>
      </c>
      <c r="B1" s="142"/>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row>
    <row r="2" spans="1:106" ht="43.5" customHeight="1" x14ac:dyDescent="0.25">
      <c r="A2" s="143" t="s">
        <v>143</v>
      </c>
      <c r="B2" s="143"/>
      <c r="C2" s="143"/>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row>
    <row r="3" spans="1:106" ht="21.75" customHeight="1" x14ac:dyDescent="0.25">
      <c r="A3" s="59" t="s">
        <v>144</v>
      </c>
      <c r="B3" s="62">
        <f>SUMPRODUCT(1/COUNTIF('Final Calculation Sheet'!$G$4:$G$40,'Final Calculation Sheet'!$G$4:$G$40))</f>
        <v>12.999999999999998</v>
      </c>
      <c r="C3" s="59" t="s">
        <v>145</v>
      </c>
      <c r="D3" s="62">
        <f>COUNTA('Final Calculation Sheet'!$G$4:$G$40)</f>
        <v>37</v>
      </c>
    </row>
    <row r="4" spans="1:106" ht="18" customHeight="1" x14ac:dyDescent="0.25">
      <c r="A4" s="77" t="s">
        <v>146</v>
      </c>
      <c r="B4" s="78"/>
      <c r="C4" s="78"/>
      <c r="D4" s="78"/>
      <c r="E4" s="78"/>
      <c r="F4" s="78"/>
      <c r="G4" s="78"/>
      <c r="H4" s="78"/>
      <c r="I4" s="78"/>
      <c r="J4" s="78"/>
      <c r="K4" s="78"/>
      <c r="L4" s="78"/>
      <c r="M4" s="78"/>
      <c r="N4" s="78"/>
      <c r="O4" s="78"/>
      <c r="P4" s="78"/>
      <c r="Q4" s="78"/>
      <c r="R4" s="78"/>
      <c r="S4" s="78"/>
      <c r="T4" s="78"/>
      <c r="U4" s="78"/>
      <c r="V4" s="78"/>
      <c r="W4" s="78"/>
      <c r="X4" s="78"/>
      <c r="Y4" s="78"/>
      <c r="Z4" s="78"/>
      <c r="AA4" s="78"/>
      <c r="AB4" s="78"/>
      <c r="AC4" s="78"/>
      <c r="AD4" s="78"/>
      <c r="AE4" s="78"/>
      <c r="AF4" s="78"/>
      <c r="AG4" s="78"/>
      <c r="AH4" s="78"/>
      <c r="AI4" s="78"/>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s="79" t="e">
        <f>IF(AND(Lists!$DZ$4&lt;&gt;"",ISNUMBER(SEARCH($Y$4,Lists!$DZ$4))),1,0)</f>
        <v>#N/A</v>
      </c>
      <c r="CH4" s="79" t="e">
        <f>IF(ROW()-3&gt;MAX($CG$4:$CG$42),"",INDEX(Lists!$DZ$4:$DZ$42,MATCH(ROW()-3,$CG$4:$CG$42,0)))</f>
        <v>#N/A</v>
      </c>
      <c r="CI4" s="79" t="e">
        <f>IF(AND(Lists!$EE$4&lt;&gt;"",ISNUMBER(SEARCH($Z$4,Lists!$EE$4))),1,0)</f>
        <v>#N/A</v>
      </c>
      <c r="CJ4" s="79" t="e">
        <f>IF(ROW()-3&gt;MAX($CI$4:$CI$42),"",INDEX(Lists!$EE$4:$EE$42,MATCH(ROW()-3,$CI$4:$CI$42,0)))</f>
        <v>#N/A</v>
      </c>
      <c r="CK4">
        <f ca="1">IF(AND(Lists!$EJ$4&lt;&gt;"",ISNUMBER(SEARCH($AA$4,Lists!$EJ$4))),1,0)</f>
        <v>1</v>
      </c>
      <c r="CL4">
        <f ca="1">IF(ROW()-3&gt;MAX($CK$4:$CK$42),"",INDEX(Lists!$EJ$4:$EJ$42,MATCH(ROW()-3,$CK$4:$CK$42,0)))</f>
        <v>0</v>
      </c>
      <c r="CM4" s="79" t="e">
        <f>IF(AND(Lists!$EO$4&lt;&gt;"",ISNUMBER(SEARCH($AB$4,Lists!$EO$4))),1,0)</f>
        <v>#N/A</v>
      </c>
      <c r="CN4" s="79" t="e">
        <f>IF(ROW()-3&gt;MAX($CM$4:$CM$42),"",INDEX(Lists!$EO$4:$EO$42,MATCH(ROW()-3,$CM$4:$CM$42,0)))</f>
        <v>#N/A</v>
      </c>
      <c r="CO4" s="79" t="e">
        <f>IF(AND(Lists!$ET$4&lt;&gt;"",ISNUMBER(SEARCH($AC$4,Lists!$ET$4))),1,0)</f>
        <v>#N/A</v>
      </c>
      <c r="CP4" s="79"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s="79" t="e">
        <f>IF(AND(Lists!$FI$4&lt;&gt;"",ISNUMBER(SEARCH($AF$4,Lists!$FI$4))),1,0)</f>
        <v>#N/A</v>
      </c>
      <c r="CV4" s="79" t="e">
        <f>IF(ROW()-3&gt;MAX($CU$4:$CU$42),"",INDEX(Lists!$FI$4:$FI$42,MATCH(ROW()-3,$CU$4:$CU$42,0)))</f>
        <v>#N/A</v>
      </c>
      <c r="CW4" s="79" t="e">
        <f>IF(AND(Lists!$FN$4&lt;&gt;"",ISNUMBER(SEARCH($AG$4,Lists!$FN$4))),1,0)</f>
        <v>#N/A</v>
      </c>
      <c r="CX4" s="79" t="e">
        <f>IF(ROW()-3&gt;MAX($CW$4:$CW$42),"",INDEX(Lists!$FN$4:$FN$42,MATCH(ROW()-3,$CW$4:$CW$42,0)))</f>
        <v>#N/A</v>
      </c>
      <c r="CY4" s="79" t="e">
        <f>IF(AND(Lists!$FS$4&lt;&gt;"",ISNUMBER(SEARCH($AH$4,Lists!$FS$4))),1,0)</f>
        <v>#N/A</v>
      </c>
      <c r="CZ4" s="79" t="e">
        <f>IF(ROW()-3&gt;MAX($CY$4:$CY$42),"",INDEX(Lists!$FS$4:$FS$42,MATCH(ROW()-3,$CY$4:$CY$42,0)))</f>
        <v>#N/A</v>
      </c>
      <c r="DA4">
        <f>IF(AND(Lists!$FX$4&lt;&gt;"",ISNUMBER(SEARCH($AI$4,Lists!$FX$4))),1,0)</f>
        <v>1</v>
      </c>
      <c r="DB4" t="str">
        <f>IF(ROW()-3&gt;MAX($DA$4:$DA$42),"",INDEX(Lists!$FX$4:$FX$42,MATCH(ROW()-3,$DA$4:$DA$42,0)))</f>
        <v>OUTSTANDING</v>
      </c>
    </row>
    <row r="5" spans="1:106" ht="43.5" customHeight="1" x14ac:dyDescent="0.25">
      <c r="A5" s="64" t="s">
        <v>134</v>
      </c>
      <c r="B5" s="64" t="s">
        <v>2</v>
      </c>
      <c r="C5" s="64" t="s">
        <v>6</v>
      </c>
      <c r="D5" s="64" t="s">
        <v>135</v>
      </c>
      <c r="E5" s="64" t="s">
        <v>4</v>
      </c>
      <c r="F5" s="64" t="s">
        <v>1</v>
      </c>
      <c r="G5" s="64" t="s">
        <v>5</v>
      </c>
      <c r="H5" s="64" t="s">
        <v>3</v>
      </c>
      <c r="I5" s="64" t="s">
        <v>7</v>
      </c>
      <c r="J5" s="64" t="s">
        <v>8</v>
      </c>
      <c r="K5" s="64" t="s">
        <v>9</v>
      </c>
      <c r="L5" s="64" t="s">
        <v>10</v>
      </c>
      <c r="M5" s="64" t="s">
        <v>11</v>
      </c>
      <c r="N5" s="64" t="s">
        <v>136</v>
      </c>
      <c r="O5" s="64" t="s">
        <v>13</v>
      </c>
      <c r="P5" s="64" t="s">
        <v>137</v>
      </c>
      <c r="Q5" s="64" t="s">
        <v>15</v>
      </c>
      <c r="R5" s="64" t="s">
        <v>16</v>
      </c>
      <c r="S5" s="64" t="s">
        <v>17</v>
      </c>
      <c r="T5" s="64" t="s">
        <v>18</v>
      </c>
      <c r="U5" s="64" t="s">
        <v>19</v>
      </c>
      <c r="V5" s="64" t="s">
        <v>20</v>
      </c>
      <c r="W5" s="64" t="s">
        <v>138</v>
      </c>
      <c r="X5" s="64" t="s">
        <v>22</v>
      </c>
      <c r="Y5" s="64" t="s">
        <v>23</v>
      </c>
      <c r="Z5" s="64" t="s">
        <v>139</v>
      </c>
      <c r="AA5" s="64" t="s">
        <v>24</v>
      </c>
      <c r="AB5" s="64" t="s">
        <v>25</v>
      </c>
      <c r="AC5" s="64" t="s">
        <v>26</v>
      </c>
      <c r="AD5" s="64" t="s">
        <v>27</v>
      </c>
      <c r="AE5" s="64" t="s">
        <v>28</v>
      </c>
      <c r="AF5" s="64" t="s">
        <v>140</v>
      </c>
      <c r="AG5" s="64" t="s">
        <v>30</v>
      </c>
      <c r="AH5" s="64" t="s">
        <v>31</v>
      </c>
      <c r="AI5" s="64" t="s">
        <v>141</v>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s="79" t="e">
        <f>CG4+IF(AND(Lists!$DZ$5&lt;&gt;"",ISNUMBER(SEARCH($Y$4,Lists!$DZ$5))),1,0)</f>
        <v>#N/A</v>
      </c>
      <c r="CH5" s="79" t="e">
        <f>IF(ROW()-3&gt;MAX($CG$4:$CG$42),"",INDEX(Lists!$DZ$4:$DZ$42,MATCH(ROW()-3,$CG$4:$CG$42,0)))</f>
        <v>#N/A</v>
      </c>
      <c r="CI5" s="79" t="e">
        <f>CI4+IF(AND(Lists!$EE$5&lt;&gt;"",ISNUMBER(SEARCH($Z$4,Lists!$EE$5))),1,0)</f>
        <v>#N/A</v>
      </c>
      <c r="CJ5" s="79" t="e">
        <f>IF(ROW()-3&gt;MAX($CI$4:$CI$42),"",INDEX(Lists!$EE$4:$EE$42,MATCH(ROW()-3,$CI$4:$CI$42,0)))</f>
        <v>#N/A</v>
      </c>
      <c r="CK5">
        <f ca="1">CK4+IF(AND(Lists!$EJ$5&lt;&gt;"",ISNUMBER(SEARCH($AA$4,Lists!$EJ$5))),1,0)</f>
        <v>2</v>
      </c>
      <c r="CL5">
        <f ca="1">IF(ROW()-3&gt;MAX($CK$4:$CK$42),"",INDEX(Lists!$EJ$4:$EJ$42,MATCH(ROW()-3,$CK$4:$CK$42,0)))</f>
        <v>708.28319999999997</v>
      </c>
      <c r="CM5" s="79" t="e">
        <f>CM4+IF(AND(Lists!$EO$5&lt;&gt;"",ISNUMBER(SEARCH($AB$4,Lists!$EO$5))),1,0)</f>
        <v>#N/A</v>
      </c>
      <c r="CN5" s="79" t="e">
        <f>IF(ROW()-3&gt;MAX($CM$4:$CM$42),"",INDEX(Lists!$EO$4:$EO$42,MATCH(ROW()-3,$CM$4:$CM$42,0)))</f>
        <v>#N/A</v>
      </c>
      <c r="CO5" s="79" t="e">
        <f>CO4+IF(AND(Lists!$ET$5&lt;&gt;"",ISNUMBER(SEARCH($AC$4,Lists!$ET$5))),1,0)</f>
        <v>#N/A</v>
      </c>
      <c r="CP5" s="79"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s="79" t="e">
        <f>CU4+IF(AND(Lists!$FI$5&lt;&gt;"",ISNUMBER(SEARCH($AF$4,Lists!$FI$5))),1,0)</f>
        <v>#N/A</v>
      </c>
      <c r="CV5" s="79" t="e">
        <f>IF(ROW()-3&gt;MAX($CU$4:$CU$42),"",INDEX(Lists!$FI$4:$FI$42,MATCH(ROW()-3,$CU$4:$CU$42,0)))</f>
        <v>#N/A</v>
      </c>
      <c r="CW5" s="79" t="e">
        <f>CW4+IF(AND(Lists!$FN$5&lt;&gt;"",ISNUMBER(SEARCH($AG$4,Lists!$FN$5))),1,0)</f>
        <v>#N/A</v>
      </c>
      <c r="CX5" s="79" t="e">
        <f>IF(ROW()-3&gt;MAX($CW$4:$CW$42),"",INDEX(Lists!$FN$4:$FN$42,MATCH(ROW()-3,$CW$4:$CW$42,0)))</f>
        <v>#N/A</v>
      </c>
      <c r="CY5" s="79" t="e">
        <f>CY4+IF(AND(Lists!$FS$5&lt;&gt;"",ISNUMBER(SEARCH($AH$4,Lists!$FS$5))),1,0)</f>
        <v>#N/A</v>
      </c>
      <c r="CZ5" s="79" t="e">
        <f>IF(ROW()-3&gt;MAX($CY$4:$CY$42),"",INDEX(Lists!$FS$4:$FS$42,MATCH(ROW()-3,$CY$4:$CY$42,0)))</f>
        <v>#N/A</v>
      </c>
      <c r="DA5">
        <f>DA4+IF(AND(Lists!$FX$5&lt;&gt;"",ISNUMBER(SEARCH($AI$4,Lists!$FX$5))),1,0)</f>
        <v>2</v>
      </c>
      <c r="DB5" t="str">
        <f>IF(ROW()-3&gt;MAX($DA$4:$DA$42),"",INDEX(Lists!$FX$4:$FX$42,MATCH(ROW()-3,$DA$4:$DA$42,0)))</f>
        <v>SETTLED</v>
      </c>
    </row>
    <row r="6" spans="1:106" ht="15" customHeight="1" outlineLevel="1" x14ac:dyDescent="0.25">
      <c r="A6" s="67">
        <v>1</v>
      </c>
      <c r="B6" s="68">
        <f>IF('Final Calculation Sheet'!$F$4="","",'Final Calculation Sheet'!$F$4)</f>
        <v>1763</v>
      </c>
      <c r="C6" s="76" t="str">
        <f>IF('Final Calculation Sheet'!$G$4="","",'Final Calculation Sheet'!$G$4)</f>
        <v>AL HAMD TRADE CORPORATION</v>
      </c>
      <c r="D6" s="69"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69"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 ca="1">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0" t="str">
        <f>IF('Final Calculation Sheet'!$AE$4="","",'Final Calculation Sheet'!$AE$4)</f>
        <v>DR2640100029</v>
      </c>
      <c r="AG6" s="74">
        <f>IF('Final Calculation Sheet'!$AF$4="","",'Final Calculation Sheet'!$AF$4)</f>
        <v>1800003271</v>
      </c>
      <c r="AH6" s="70" t="str">
        <f>IF('Final Calculation Sheet'!$AG$4="","",'Final Calculation Sheet'!$AG$4)</f>
        <v>24.08.2026</v>
      </c>
      <c r="AI6" s="75" t="str">
        <f>IF('Final Calculation Sheet'!$AD$4="","",IF('Final Calculation Sheet'!$AD$4&lt;=5,"SETTLED","OUTSTANDING"))</f>
        <v>SETTLED</v>
      </c>
      <c r="AJ6" s="79"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Sheet'!$AD$4))))),IF($AF$4="",TRUE(),IF($AF$4="(blank)",'Final Calculation Sheet'!$AE$4="",IF($AF$4="(nonblank)",'Final Calculation Sheet'!$AE$4&lt;&gt;"",ISNUMBER(SEARCH($AF$4,'Final Calculation Sheet'!$AE$4))))),IF($AG$4="",TRUE(),IF($AG$4="(blank)",'Final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Sheet'!$AG$4))))),IF($AI$4="",TRUE(),IF($AI$4="(blank)",IF('Final Calculation Sheet'!$AD$4&lt;=5,"SETTLED","OUTSTANDING")="",IF($AI$4="(nonblank)",IF('Final Calculation Sheet'!$AD$4&lt;=5,"SETTLED","OUTSTANDING")&lt;&gt;"",ISNUMBER(SEARCH($AI$4,IF('Final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s="79" t="e">
        <f>CG5+IF(AND(Lists!$DZ$6&lt;&gt;"",ISNUMBER(SEARCH($Y$4,Lists!$DZ$6))),1,0)</f>
        <v>#N/A</v>
      </c>
      <c r="CH6" s="79" t="e">
        <f>IF(ROW()-3&gt;MAX($CG$4:$CG$42),"",INDEX(Lists!$DZ$4:$DZ$42,MATCH(ROW()-3,$CG$4:$CG$42,0)))</f>
        <v>#N/A</v>
      </c>
      <c r="CI6" s="79" t="e">
        <f>CI5+IF(AND(Lists!$EE$6&lt;&gt;"",ISNUMBER(SEARCH($Z$4,Lists!$EE$6))),1,0)</f>
        <v>#N/A</v>
      </c>
      <c r="CJ6" s="79" t="e">
        <f>IF(ROW()-3&gt;MAX($CI$4:$CI$42),"",INDEX(Lists!$EE$4:$EE$42,MATCH(ROW()-3,$CI$4:$CI$42,0)))</f>
        <v>#N/A</v>
      </c>
      <c r="CK6">
        <f ca="1">CK5+IF(AND(Lists!$EJ$6&lt;&gt;"",ISNUMBER(SEARCH($AA$4,Lists!$EJ$6))),1,0)</f>
        <v>3</v>
      </c>
      <c r="CL6">
        <f ca="1">IF(ROW()-3&gt;MAX($CK$4:$CK$42),"",INDEX(Lists!$EJ$4:$EJ$42,MATCH(ROW()-3,$CK$4:$CK$42,0)))</f>
        <v>1911.6</v>
      </c>
      <c r="CM6" s="79" t="e">
        <f>CM5+IF(AND(Lists!$EO$6&lt;&gt;"",ISNUMBER(SEARCH($AB$4,Lists!$EO$6))),1,0)</f>
        <v>#N/A</v>
      </c>
      <c r="CN6" s="79" t="e">
        <f>IF(ROW()-3&gt;MAX($CM$4:$CM$42),"",INDEX(Lists!$EO$4:$EO$42,MATCH(ROW()-3,$CM$4:$CM$42,0)))</f>
        <v>#N/A</v>
      </c>
      <c r="CO6" s="79" t="e">
        <f>CO5+IF(AND(Lists!$ET$6&lt;&gt;"",ISNUMBER(SEARCH($AC$4,Lists!$ET$6))),1,0)</f>
        <v>#N/A</v>
      </c>
      <c r="CP6" s="79"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s="79" t="e">
        <f>CU5+IF(AND(Lists!$FI$6&lt;&gt;"",ISNUMBER(SEARCH($AF$4,Lists!$FI$6))),1,0)</f>
        <v>#N/A</v>
      </c>
      <c r="CV6" s="79" t="e">
        <f>IF(ROW()-3&gt;MAX($CU$4:$CU$42),"",INDEX(Lists!$FI$4:$FI$42,MATCH(ROW()-3,$CU$4:$CU$42,0)))</f>
        <v>#N/A</v>
      </c>
      <c r="CW6" s="79" t="e">
        <f>CW5+IF(AND(Lists!$FN$6&lt;&gt;"",ISNUMBER(SEARCH($AG$4,Lists!$FN$6))),1,0)</f>
        <v>#N/A</v>
      </c>
      <c r="CX6" s="79" t="e">
        <f>IF(ROW()-3&gt;MAX($CW$4:$CW$42),"",INDEX(Lists!$FN$4:$FN$42,MATCH(ROW()-3,$CW$4:$CW$42,0)))</f>
        <v>#N/A</v>
      </c>
      <c r="CY6" s="79" t="e">
        <f>CY5+IF(AND(Lists!$FS$6&lt;&gt;"",ISNUMBER(SEARCH($AH$4,Lists!$FS$6))),1,0)</f>
        <v>#N/A</v>
      </c>
      <c r="CZ6" s="79" t="e">
        <f>IF(ROW()-3&gt;MAX($CY$4:$CY$42),"",INDEX(Lists!$FS$4:$FS$42,MATCH(ROW()-3,$CY$4:$CY$42,0)))</f>
        <v>#N/A</v>
      </c>
      <c r="DA6">
        <f>DA5+IF(AND(Lists!$FX$6&lt;&gt;"",ISNUMBER(SEARCH($AI$4,Lists!$FX$6))),1,0)</f>
        <v>2</v>
      </c>
      <c r="DB6" t="str">
        <f>IF(ROW()-3&gt;MAX($DA$4:$DA$42),"",INDEX(Lists!$FX$4:$FX$42,MATCH(ROW()-3,$DA$4:$DA$42,0)))</f>
        <v/>
      </c>
    </row>
    <row r="7" spans="1:106" ht="15" customHeight="1" x14ac:dyDescent="0.25">
      <c r="A7" s="81" t="s">
        <v>147</v>
      </c>
      <c r="B7" s="82"/>
      <c r="C7" s="82" t="str">
        <f>ROWS($C$6:$C$6)&amp;" lot(s)"</f>
        <v>1 lot(s)</v>
      </c>
      <c r="D7" s="82" t="s">
        <v>148</v>
      </c>
      <c r="E7" s="82" t="s">
        <v>149</v>
      </c>
      <c r="F7" s="83">
        <f>SUM(F6:F6)</f>
        <v>669</v>
      </c>
      <c r="G7" s="82" t="s">
        <v>149</v>
      </c>
      <c r="H7" s="84" t="s">
        <v>149</v>
      </c>
      <c r="I7" s="84">
        <f t="shared" ref="I7:Q7" si="0">SUM(I6:I6)</f>
        <v>790089</v>
      </c>
      <c r="J7" s="84">
        <f t="shared" si="0"/>
        <v>142216</v>
      </c>
      <c r="K7" s="84">
        <f t="shared" si="0"/>
        <v>932305</v>
      </c>
      <c r="L7" s="84">
        <f t="shared" si="0"/>
        <v>18646</v>
      </c>
      <c r="M7" s="84">
        <f t="shared" si="0"/>
        <v>790.08900000000006</v>
      </c>
      <c r="N7" s="84">
        <f t="shared" si="0"/>
        <v>20976.862949999999</v>
      </c>
      <c r="O7" s="85">
        <f t="shared" si="0"/>
        <v>355.54005000000001</v>
      </c>
      <c r="P7" s="84">
        <f t="shared" si="0"/>
        <v>20621.322899999999</v>
      </c>
      <c r="Q7" s="84">
        <f t="shared" si="0"/>
        <v>21411</v>
      </c>
      <c r="R7" s="86" t="s">
        <v>149</v>
      </c>
      <c r="S7" s="84">
        <f>SUM(S6:S6)</f>
        <v>15802</v>
      </c>
      <c r="T7" s="84">
        <f>SUM(T6:T6)</f>
        <v>913738</v>
      </c>
      <c r="U7" s="84">
        <f>SUM(U6:U6)</f>
        <v>197522</v>
      </c>
      <c r="V7" s="87">
        <f>SUM(V6:V6)</f>
        <v>197522</v>
      </c>
      <c r="W7" s="84" t="s">
        <v>149</v>
      </c>
      <c r="X7" s="84">
        <f>SUM(X6:X6)</f>
        <v>716215</v>
      </c>
      <c r="Y7" s="84">
        <f>SUM(Y6:Y6)</f>
        <v>716216</v>
      </c>
      <c r="Z7" s="84" t="s">
        <v>149</v>
      </c>
      <c r="AA7" s="84">
        <f ca="1">SUM(AA6:AA6)</f>
        <v>0</v>
      </c>
      <c r="AB7" s="84">
        <f>SUM(AB6:AB6)</f>
        <v>0</v>
      </c>
      <c r="AC7" s="84" t="s">
        <v>149</v>
      </c>
      <c r="AD7" s="84">
        <f>SUM(AD6:AD6)</f>
        <v>913738</v>
      </c>
      <c r="AE7" s="84">
        <f>SUM(AE6:AE6)</f>
        <v>0</v>
      </c>
      <c r="AF7" s="84" t="s">
        <v>149</v>
      </c>
      <c r="AG7" s="88" t="s">
        <v>149</v>
      </c>
      <c r="AH7" s="84" t="s">
        <v>149</v>
      </c>
      <c r="AI7" s="89" t="str">
        <f>IF(AE7&lt;=5,"SETTLED","OUTSTANDING")</f>
        <v>SETTLED</v>
      </c>
      <c r="AJ7" s="79"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Sheet'!$AD$5))))),IF($AF$4="",TRUE(),IF($AF$4="(blank)",'Final Calculation Sheet'!$AE$5="",IF($AF$4="(nonblank)",'Final Calculation Sheet'!$AE$5&lt;&gt;"",ISNUMBER(SEARCH($AF$4,'Final Calculation Sheet'!$AE$5))))),IF($AG$4="",TRUE(),IF($AG$4="(blank)",'Final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Sheet'!$AG$5))))),IF($AI$4="",TRUE(),IF($AI$4="(blank)",IF('Final Calculation Sheet'!$AD$5&lt;=5,"SETTLED","OUTSTANDING")="",IF($AI$4="(nonblank)",IF('Final Calculation Sheet'!$AD$5&lt;=5,"SETTLED","OUTSTANDING")&lt;&gt;"",ISNUMBER(SEARCH($AI$4,IF('Final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s="79" t="e">
        <f>CG6+IF(AND(Lists!$DZ$7&lt;&gt;"",ISNUMBER(SEARCH($Y$4,Lists!$DZ$7))),1,0)</f>
        <v>#N/A</v>
      </c>
      <c r="CH7" s="79" t="e">
        <f>IF(ROW()-3&gt;MAX($CG$4:$CG$42),"",INDEX(Lists!$DZ$4:$DZ$42,MATCH(ROW()-3,$CG$4:$CG$42,0)))</f>
        <v>#N/A</v>
      </c>
      <c r="CI7" s="79" t="e">
        <f>CI6+IF(AND(Lists!$EE$7&lt;&gt;"",ISNUMBER(SEARCH($Z$4,Lists!$EE$7))),1,0)</f>
        <v>#N/A</v>
      </c>
      <c r="CJ7" s="79" t="e">
        <f>IF(ROW()-3&gt;MAX($CI$4:$CI$42),"",INDEX(Lists!$EE$4:$EE$42,MATCH(ROW()-3,$CI$4:$CI$42,0)))</f>
        <v>#N/A</v>
      </c>
      <c r="CK7">
        <f ca="1">CK6+IF(AND(Lists!$EJ$7&lt;&gt;"",ISNUMBER(SEARCH($AA$4,Lists!$EJ$7))),1,0)</f>
        <v>4</v>
      </c>
      <c r="CL7">
        <f ca="1">IF(ROW()-3&gt;MAX($CK$4:$CK$42),"",INDEX(Lists!$EJ$4:$EJ$42,MATCH(ROW()-3,$CK$4:$CK$42,0)))</f>
        <v>2832.2123999999999</v>
      </c>
      <c r="CM7" s="79" t="e">
        <f>CM6+IF(AND(Lists!$EO$7&lt;&gt;"",ISNUMBER(SEARCH($AB$4,Lists!$EO$7))),1,0)</f>
        <v>#N/A</v>
      </c>
      <c r="CN7" s="79" t="e">
        <f>IF(ROW()-3&gt;MAX($CM$4:$CM$42),"",INDEX(Lists!$EO$4:$EO$42,MATCH(ROW()-3,$CM$4:$CM$42,0)))</f>
        <v>#N/A</v>
      </c>
      <c r="CO7" s="79" t="e">
        <f>CO6+IF(AND(Lists!$ET$7&lt;&gt;"",ISNUMBER(SEARCH($AC$4,Lists!$ET$7))),1,0)</f>
        <v>#N/A</v>
      </c>
      <c r="CP7" s="79"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s="79" t="e">
        <f>CU6+IF(AND(Lists!$FI$7&lt;&gt;"",ISNUMBER(SEARCH($AF$4,Lists!$FI$7))),1,0)</f>
        <v>#N/A</v>
      </c>
      <c r="CV7" s="79" t="e">
        <f>IF(ROW()-3&gt;MAX($CU$4:$CU$42),"",INDEX(Lists!$FI$4:$FI$42,MATCH(ROW()-3,$CU$4:$CU$42,0)))</f>
        <v>#N/A</v>
      </c>
      <c r="CW7" s="79" t="e">
        <f>CW6+IF(AND(Lists!$FN$7&lt;&gt;"",ISNUMBER(SEARCH($AG$4,Lists!$FN$7))),1,0)</f>
        <v>#N/A</v>
      </c>
      <c r="CX7" s="79" t="e">
        <f>IF(ROW()-3&gt;MAX($CW$4:$CW$42),"",INDEX(Lists!$FN$4:$FN$42,MATCH(ROW()-3,$CW$4:$CW$42,0)))</f>
        <v>#N/A</v>
      </c>
      <c r="CY7" s="79" t="e">
        <f>CY6+IF(AND(Lists!$FS$7&lt;&gt;"",ISNUMBER(SEARCH($AH$4,Lists!$FS$7))),1,0)</f>
        <v>#N/A</v>
      </c>
      <c r="CZ7" s="79" t="e">
        <f>IF(ROW()-3&gt;MAX($CY$4:$CY$42),"",INDEX(Lists!$FS$4:$FS$42,MATCH(ROW()-3,$CY$4:$CY$42,0)))</f>
        <v>#N/A</v>
      </c>
      <c r="DA7">
        <f>DA6+IF(AND(Lists!$FX$7&lt;&gt;"",ISNUMBER(SEARCH($AI$4,Lists!$FX$7))),1,0)</f>
        <v>2</v>
      </c>
      <c r="DB7" t="str">
        <f>IF(ROW()-3&gt;MAX($DA$4:$DA$42),"",INDEX(Lists!$FX$4:$FX$42,MATCH(ROW()-3,$DA$4:$DA$42,0)))</f>
        <v/>
      </c>
    </row>
    <row r="8" spans="1:106" ht="15" customHeight="1" outlineLevel="1" x14ac:dyDescent="0.25">
      <c r="A8" s="67">
        <v>1</v>
      </c>
      <c r="B8" s="68">
        <f>IF('Final Calculation Sheet'!$F$6="","",'Final Calculation Sheet'!$F$6)</f>
        <v>1875</v>
      </c>
      <c r="C8" s="76" t="str">
        <f>IF('Final Calculation Sheet'!$G$6="","",'Final Calculation Sheet'!$G$6)</f>
        <v>F R KHANS ENTERPRISES</v>
      </c>
      <c r="D8" s="69" t="str">
        <f>IF('Final Calculation Sheet'!$B$6="","",'Final Calculation Sheet'!$B$6)</f>
        <v>Scrap of Copper of faulty AC compressor</v>
      </c>
      <c r="E8" s="80">
        <f>IF('Final Calculation Sheet'!$D$6="","",'Final Calculation Sheet'!$D$6)</f>
        <v>21977</v>
      </c>
      <c r="F8" s="80">
        <f>IF('Final Calculation Sheet'!$A$6="","",'Final Calculation Sheet'!$A$6)</f>
        <v>28</v>
      </c>
      <c r="G8" s="69"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 ca="1">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0" t="str">
        <f>IF('Final Calculation Sheet'!$AE$6="","",'Final Calculation Sheet'!$AE$6)</f>
        <v>DR2640100047</v>
      </c>
      <c r="AG8" s="74">
        <f>IF('Final Calculation Sheet'!$AF$6="","",'Final Calculation Sheet'!$AF$6)</f>
        <v>1800003346</v>
      </c>
      <c r="AH8" s="70" t="str">
        <f>IF('Final Calculation Sheet'!$AG$6="","",'Final Calculation Sheet'!$AG$6)</f>
        <v>27.08.2026</v>
      </c>
      <c r="AI8" s="75" t="str">
        <f>IF('Final Calculation Sheet'!$AD$6="","",IF('Final Calculation Sheet'!$AD$6&lt;=5,"SETTLED","OUTSTANDING"))</f>
        <v>SETTLED</v>
      </c>
      <c r="AJ8" s="79"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Sheet'!$AD$6))))),IF($AF$4="",TRUE(),IF($AF$4="(blank)",'Final Calculation Sheet'!$AE$6="",IF($AF$4="(nonblank)",'Final Calculation Sheet'!$AE$6&lt;&gt;"",ISNUMBER(SEARCH($AF$4,'Final Calculation Sheet'!$AE$6))))),IF($AG$4="",TRUE(),IF($AG$4="(blank)",'Final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Sheet'!$AG$6))))),IF($AI$4="",TRUE(),IF($AI$4="(blank)",IF('Final Calculation Sheet'!$AD$6&lt;=5,"SETTLED","OUTSTANDING")="",IF($AI$4="(nonblank)",IF('Final Calculation Sheet'!$AD$6&lt;=5,"SETTLED","OUTSTANDING")&lt;&gt;"",ISNUMBER(SEARCH($AI$4,IF('Final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s="79" t="e">
        <f>CG7+IF(AND(Lists!$DZ$8&lt;&gt;"",ISNUMBER(SEARCH($Y$4,Lists!$DZ$8))),1,0)</f>
        <v>#N/A</v>
      </c>
      <c r="CH8" s="79" t="e">
        <f>IF(ROW()-3&gt;MAX($CG$4:$CG$42),"",INDEX(Lists!$DZ$4:$DZ$42,MATCH(ROW()-3,$CG$4:$CG$42,0)))</f>
        <v>#N/A</v>
      </c>
      <c r="CI8" s="79" t="e">
        <f>CI7+IF(AND(Lists!$EE$8&lt;&gt;"",ISNUMBER(SEARCH($Z$4,Lists!$EE$8))),1,0)</f>
        <v>#N/A</v>
      </c>
      <c r="CJ8" s="79" t="e">
        <f>IF(ROW()-3&gt;MAX($CI$4:$CI$42),"",INDEX(Lists!$EE$4:$EE$42,MATCH(ROW()-3,$CI$4:$CI$42,0)))</f>
        <v>#N/A</v>
      </c>
      <c r="CK8">
        <f ca="1">CK7+IF(AND(Lists!$EJ$8&lt;&gt;"",ISNUMBER(SEARCH($AA$4,Lists!$EJ$8))),1,0)</f>
        <v>5</v>
      </c>
      <c r="CL8">
        <f ca="1">IF(ROW()-3&gt;MAX($CK$4:$CK$42),"",INDEX(Lists!$EJ$4:$EJ$42,MATCH(ROW()-3,$CK$4:$CK$42,0)))</f>
        <v>9558.2124000000003</v>
      </c>
      <c r="CM8" s="79" t="e">
        <f>CM7+IF(AND(Lists!$EO$8&lt;&gt;"",ISNUMBER(SEARCH($AB$4,Lists!$EO$8))),1,0)</f>
        <v>#N/A</v>
      </c>
      <c r="CN8" s="79" t="e">
        <f>IF(ROW()-3&gt;MAX($CM$4:$CM$42),"",INDEX(Lists!$EO$4:$EO$42,MATCH(ROW()-3,$CM$4:$CM$42,0)))</f>
        <v>#N/A</v>
      </c>
      <c r="CO8" s="79" t="e">
        <f>CO7+IF(AND(Lists!$ET$8&lt;&gt;"",ISNUMBER(SEARCH($AC$4,Lists!$ET$8))),1,0)</f>
        <v>#N/A</v>
      </c>
      <c r="CP8" s="79"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s="79" t="e">
        <f>CU7+IF(AND(Lists!$FI$8&lt;&gt;"",ISNUMBER(SEARCH($AF$4,Lists!$FI$8))),1,0)</f>
        <v>#N/A</v>
      </c>
      <c r="CV8" s="79" t="e">
        <f>IF(ROW()-3&gt;MAX($CU$4:$CU$42),"",INDEX(Lists!$FI$4:$FI$42,MATCH(ROW()-3,$CU$4:$CU$42,0)))</f>
        <v>#N/A</v>
      </c>
      <c r="CW8" s="79" t="e">
        <f>CW7+IF(AND(Lists!$FN$8&lt;&gt;"",ISNUMBER(SEARCH($AG$4,Lists!$FN$8))),1,0)</f>
        <v>#N/A</v>
      </c>
      <c r="CX8" s="79" t="e">
        <f>IF(ROW()-3&gt;MAX($CW$4:$CW$42),"",INDEX(Lists!$FN$4:$FN$42,MATCH(ROW()-3,$CW$4:$CW$42,0)))</f>
        <v>#N/A</v>
      </c>
      <c r="CY8" s="79" t="e">
        <f>CY7+IF(AND(Lists!$FS$8&lt;&gt;"",ISNUMBER(SEARCH($AH$4,Lists!$FS$8))),1,0)</f>
        <v>#N/A</v>
      </c>
      <c r="CZ8" s="79" t="e">
        <f>IF(ROW()-3&gt;MAX($CY$4:$CY$42),"",INDEX(Lists!$FS$4:$FS$42,MATCH(ROW()-3,$CY$4:$CY$42,0)))</f>
        <v>#N/A</v>
      </c>
      <c r="DA8">
        <f>DA7+IF(AND(Lists!$FX$8&lt;&gt;"",ISNUMBER(SEARCH($AI$4,Lists!$FX$8))),1,0)</f>
        <v>2</v>
      </c>
      <c r="DB8" t="str">
        <f>IF(ROW()-3&gt;MAX($DA$4:$DA$42),"",INDEX(Lists!$FX$4:$FX$42,MATCH(ROW()-3,$DA$4:$DA$42,0)))</f>
        <v/>
      </c>
    </row>
    <row r="9" spans="1:106" ht="15" customHeight="1" outlineLevel="1" x14ac:dyDescent="0.25">
      <c r="A9" s="90">
        <v>2</v>
      </c>
      <c r="B9" s="91">
        <f>IF('Final Calculation Sheet'!$F$7="","",'Final Calculation Sheet'!$F$7)</f>
        <v>1876</v>
      </c>
      <c r="C9" s="92" t="str">
        <f>IF('Final Calculation Sheet'!$G$7="","",'Final Calculation Sheet'!$G$7)</f>
        <v>F R KHANS ENTERPRISES</v>
      </c>
      <c r="D9" s="93"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3"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 ca="1">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95" t="str">
        <f>IF('Final Calculation Sheet'!$AE$7="","",'Final Calculation Sheet'!$AE$7)</f>
        <v>DR2640100048</v>
      </c>
      <c r="AG9" s="99">
        <f>IF('Final Calculation Sheet'!$AF$7="","",'Final Calculation Sheet'!$AF$7)</f>
        <v>1800003347</v>
      </c>
      <c r="AH9" s="95" t="str">
        <f>IF('Final Calculation Sheet'!$AG$7="","",'Final Calculation Sheet'!$AG$7)</f>
        <v>27.08.2026</v>
      </c>
      <c r="AI9" s="100" t="str">
        <f>IF('Final Calculation Sheet'!$AD$7="","",IF('Final Calculation Sheet'!$AD$7&lt;=5,"SETTLED","OUTSTANDING"))</f>
        <v>SETTLED</v>
      </c>
      <c r="AJ9" s="7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Sheet'!$AD$7))))),IF($AF$4="",TRUE(),IF($AF$4="(blank)",'Final Calculation Sheet'!$AE$7="",IF($AF$4="(nonblank)",'Final Calculation Sheet'!$AE$7&lt;&gt;"",ISNUMBER(SEARCH($AF$4,'Final Calculation Sheet'!$AE$7))))),IF($AG$4="",TRUE(),IF($AG$4="(blank)",'Final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Sheet'!$AG$7))))),IF($AI$4="",TRUE(),IF($AI$4="(blank)",IF('Final Calculation Sheet'!$AD$7&lt;=5,"SETTLED","OUTSTANDING")="",IF($AI$4="(nonblank)",IF('Final Calculation Sheet'!$AD$7&lt;=5,"SETTLED","OUTSTANDING")&lt;&gt;"",ISNUMBER(SEARCH($AI$4,IF('Final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s="79" t="e">
        <f>CG8+IF(AND(Lists!$DZ$9&lt;&gt;"",ISNUMBER(SEARCH($Y$4,Lists!$DZ$9))),1,0)</f>
        <v>#N/A</v>
      </c>
      <c r="CH9" s="79" t="e">
        <f>IF(ROW()-3&gt;MAX($CG$4:$CG$42),"",INDEX(Lists!$DZ$4:$DZ$42,MATCH(ROW()-3,$CG$4:$CG$42,0)))</f>
        <v>#N/A</v>
      </c>
      <c r="CI9" s="79" t="e">
        <f>CI8+IF(AND(Lists!$EE$9&lt;&gt;"",ISNUMBER(SEARCH($Z$4,Lists!$EE$9))),1,0)</f>
        <v>#N/A</v>
      </c>
      <c r="CJ9" s="79" t="e">
        <f>IF(ROW()-3&gt;MAX($CI$4:$CI$42),"",INDEX(Lists!$EE$4:$EE$42,MATCH(ROW()-3,$CI$4:$CI$42,0)))</f>
        <v>#N/A</v>
      </c>
      <c r="CK9">
        <f ca="1">CK8+IF(AND(Lists!$EJ$9&lt;&gt;"",ISNUMBER(SEARCH($AA$4,Lists!$EJ$9))),1,0)</f>
        <v>6</v>
      </c>
      <c r="CL9">
        <f ca="1">IF(ROW()-3&gt;MAX($CK$4:$CK$42),"",INDEX(Lists!$EJ$4:$EJ$42,MATCH(ROW()-3,$CK$4:$CK$42,0)))</f>
        <v>19448.760000000002</v>
      </c>
      <c r="CM9" s="79" t="e">
        <f>CM8+IF(AND(Lists!$EO$9&lt;&gt;"",ISNUMBER(SEARCH($AB$4,Lists!$EO$9))),1,0)</f>
        <v>#N/A</v>
      </c>
      <c r="CN9" s="79" t="e">
        <f>IF(ROW()-3&gt;MAX($CM$4:$CM$42),"",INDEX(Lists!$EO$4:$EO$42,MATCH(ROW()-3,$CM$4:$CM$42,0)))</f>
        <v>#N/A</v>
      </c>
      <c r="CO9" s="79" t="e">
        <f>CO8+IF(AND(Lists!$ET$9&lt;&gt;"",ISNUMBER(SEARCH($AC$4,Lists!$ET$9))),1,0)</f>
        <v>#N/A</v>
      </c>
      <c r="CP9" s="7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s="79" t="e">
        <f>CU8+IF(AND(Lists!$FI$9&lt;&gt;"",ISNUMBER(SEARCH($AF$4,Lists!$FI$9))),1,0)</f>
        <v>#N/A</v>
      </c>
      <c r="CV9" s="79" t="e">
        <f>IF(ROW()-3&gt;MAX($CU$4:$CU$42),"",INDEX(Lists!$FI$4:$FI$42,MATCH(ROW()-3,$CU$4:$CU$42,0)))</f>
        <v>#N/A</v>
      </c>
      <c r="CW9" s="79" t="e">
        <f>CW8+IF(AND(Lists!$FN$9&lt;&gt;"",ISNUMBER(SEARCH($AG$4,Lists!$FN$9))),1,0)</f>
        <v>#N/A</v>
      </c>
      <c r="CX9" s="79" t="e">
        <f>IF(ROW()-3&gt;MAX($CW$4:$CW$42),"",INDEX(Lists!$FN$4:$FN$42,MATCH(ROW()-3,$CW$4:$CW$42,0)))</f>
        <v>#N/A</v>
      </c>
      <c r="CY9" s="79" t="e">
        <f>CY8+IF(AND(Lists!$FS$9&lt;&gt;"",ISNUMBER(SEARCH($AH$4,Lists!$FS$9))),1,0)</f>
        <v>#N/A</v>
      </c>
      <c r="CZ9" s="79" t="e">
        <f>IF(ROW()-3&gt;MAX($CY$4:$CY$42),"",INDEX(Lists!$FS$4:$FS$42,MATCH(ROW()-3,$CY$4:$CY$42,0)))</f>
        <v>#N/A</v>
      </c>
      <c r="DA9">
        <f>DA8+IF(AND(Lists!$FX$9&lt;&gt;"",ISNUMBER(SEARCH($AI$4,Lists!$FX$9))),1,0)</f>
        <v>2</v>
      </c>
      <c r="DB9" t="str">
        <f>IF(ROW()-3&gt;MAX($DA$4:$DA$42),"",INDEX(Lists!$FX$4:$FX$42,MATCH(ROW()-3,$DA$4:$DA$42,0)))</f>
        <v/>
      </c>
    </row>
    <row r="10" spans="1:106" ht="15" customHeight="1" x14ac:dyDescent="0.25">
      <c r="A10" s="81" t="s">
        <v>147</v>
      </c>
      <c r="B10" s="82"/>
      <c r="C10" s="82" t="str">
        <f>ROWS($C$8:$C$9)&amp;" lot(s)"</f>
        <v>2 lot(s)</v>
      </c>
      <c r="D10" s="82" t="s">
        <v>150</v>
      </c>
      <c r="E10" s="82" t="s">
        <v>149</v>
      </c>
      <c r="F10" s="83">
        <f>SUM(F8:F9)</f>
        <v>3028</v>
      </c>
      <c r="G10" s="82" t="s">
        <v>149</v>
      </c>
      <c r="H10" s="84" t="s">
        <v>149</v>
      </c>
      <c r="I10" s="84">
        <f t="shared" ref="I10:Q10" si="1">SUM(I8:I9)</f>
        <v>238768</v>
      </c>
      <c r="J10" s="84">
        <f t="shared" si="1"/>
        <v>42978</v>
      </c>
      <c r="K10" s="84">
        <f t="shared" si="1"/>
        <v>281746</v>
      </c>
      <c r="L10" s="84">
        <f t="shared" si="1"/>
        <v>5635</v>
      </c>
      <c r="M10" s="84">
        <f t="shared" si="1"/>
        <v>238.768</v>
      </c>
      <c r="N10" s="84">
        <f t="shared" si="1"/>
        <v>6339.2903999999999</v>
      </c>
      <c r="O10" s="85">
        <f t="shared" si="1"/>
        <v>107.44560000000001</v>
      </c>
      <c r="P10" s="84">
        <f t="shared" si="1"/>
        <v>6231.8447999999989</v>
      </c>
      <c r="Q10" s="84">
        <f t="shared" si="1"/>
        <v>6471</v>
      </c>
      <c r="R10" s="86" t="s">
        <v>149</v>
      </c>
      <c r="S10" s="84">
        <f>SUM(S8:S9)</f>
        <v>0</v>
      </c>
      <c r="T10" s="84">
        <f>SUM(T8:T9)</f>
        <v>280911</v>
      </c>
      <c r="U10" s="84">
        <f>SUM(U8:U9)</f>
        <v>59692</v>
      </c>
      <c r="V10" s="87">
        <f>SUM(V8:V9)</f>
        <v>59692</v>
      </c>
      <c r="W10" s="84" t="s">
        <v>149</v>
      </c>
      <c r="X10" s="84">
        <f>SUM(X8:X9)</f>
        <v>221219</v>
      </c>
      <c r="Y10" s="84">
        <f>SUM(Y8:Y9)</f>
        <v>221218</v>
      </c>
      <c r="Z10" s="84" t="s">
        <v>149</v>
      </c>
      <c r="AA10" s="84">
        <f ca="1">SUM(AA8:AA9)</f>
        <v>0</v>
      </c>
      <c r="AB10" s="84">
        <f>SUM(AB8:AB9)</f>
        <v>0</v>
      </c>
      <c r="AC10" s="84" t="s">
        <v>149</v>
      </c>
      <c r="AD10" s="84">
        <f>SUM(AD8:AD9)</f>
        <v>280910</v>
      </c>
      <c r="AE10" s="84">
        <f>SUM(AE8:AE9)</f>
        <v>1</v>
      </c>
      <c r="AF10" s="84" t="s">
        <v>149</v>
      </c>
      <c r="AG10" s="88" t="s">
        <v>149</v>
      </c>
      <c r="AH10" s="84" t="s">
        <v>149</v>
      </c>
      <c r="AI10" s="89" t="str">
        <f>IF(AE10&lt;=5,"SETTLED","OUTSTANDING")</f>
        <v>SETTLED</v>
      </c>
      <c r="AJ10" s="79"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Sheet'!$AD$8))))),IF($AF$4="",TRUE(),IF($AF$4="(blank)",'Final Calculation Sheet'!$AE$8="",IF($AF$4="(nonblank)",'Final Calculation Sheet'!$AE$8&lt;&gt;"",ISNUMBER(SEARCH($AF$4,'Final Calculation Sheet'!$AE$8))))),IF($AG$4="",TRUE(),IF($AG$4="(blank)",'Final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Sheet'!$AG$8))))),IF($AI$4="",TRUE(),IF($AI$4="(blank)",IF('Final Calculation Sheet'!$AD$8&lt;=5,"SETTLED","OUTSTANDING")="",IF($AI$4="(nonblank)",IF('Final Calculation Sheet'!$AD$8&lt;=5,"SETTLED","OUTSTANDING")&lt;&gt;"",ISNUMBER(SEARCH($AI$4,IF('Final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s="79" t="e">
        <f>CG9+IF(AND(Lists!$DZ$10&lt;&gt;"",ISNUMBER(SEARCH($Y$4,Lists!$DZ$10))),1,0)</f>
        <v>#N/A</v>
      </c>
      <c r="CH10" s="79" t="e">
        <f>IF(ROW()-3&gt;MAX($CG$4:$CG$42),"",INDEX(Lists!$DZ$4:$DZ$42,MATCH(ROW()-3,$CG$4:$CG$42,0)))</f>
        <v>#N/A</v>
      </c>
      <c r="CI10" s="79" t="e">
        <f>CI9+IF(AND(Lists!$EE$10&lt;&gt;"",ISNUMBER(SEARCH($Z$4,Lists!$EE$10))),1,0)</f>
        <v>#N/A</v>
      </c>
      <c r="CJ10" s="79" t="e">
        <f>IF(ROW()-3&gt;MAX($CI$4:$CI$42),"",INDEX(Lists!$EE$4:$EE$42,MATCH(ROW()-3,$CI$4:$CI$42,0)))</f>
        <v>#N/A</v>
      </c>
      <c r="CK10">
        <f ca="1">CK9+IF(AND(Lists!$EJ$10&lt;&gt;"",ISNUMBER(SEARCH($AA$4,Lists!$EJ$10))),1,0)</f>
        <v>6</v>
      </c>
      <c r="CL10" t="str">
        <f ca="1">IF(ROW()-3&gt;MAX($CK$4:$CK$42),"",INDEX(Lists!$EJ$4:$EJ$42,MATCH(ROW()-3,$CK$4:$CK$42,0)))</f>
        <v>(blank)</v>
      </c>
      <c r="CM10" s="79" t="e">
        <f>CM9+IF(AND(Lists!$EO$10&lt;&gt;"",ISNUMBER(SEARCH($AB$4,Lists!$EO$10))),1,0)</f>
        <v>#N/A</v>
      </c>
      <c r="CN10" s="79" t="e">
        <f>IF(ROW()-3&gt;MAX($CM$4:$CM$42),"",INDEX(Lists!$EO$4:$EO$42,MATCH(ROW()-3,$CM$4:$CM$42,0)))</f>
        <v>#N/A</v>
      </c>
      <c r="CO10" s="79" t="e">
        <f>CO9+IF(AND(Lists!$ET$10&lt;&gt;"",ISNUMBER(SEARCH($AC$4,Lists!$ET$10))),1,0)</f>
        <v>#N/A</v>
      </c>
      <c r="CP10" s="79"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s="79" t="e">
        <f>CU9+IF(AND(Lists!$FI$10&lt;&gt;"",ISNUMBER(SEARCH($AF$4,Lists!$FI$10))),1,0)</f>
        <v>#N/A</v>
      </c>
      <c r="CV10" s="79" t="e">
        <f>IF(ROW()-3&gt;MAX($CU$4:$CU$42),"",INDEX(Lists!$FI$4:$FI$42,MATCH(ROW()-3,$CU$4:$CU$42,0)))</f>
        <v>#N/A</v>
      </c>
      <c r="CW10" s="79" t="e">
        <f>CW9+IF(AND(Lists!$FN$10&lt;&gt;"",ISNUMBER(SEARCH($AG$4,Lists!$FN$10))),1,0)</f>
        <v>#N/A</v>
      </c>
      <c r="CX10" s="79" t="e">
        <f>IF(ROW()-3&gt;MAX($CW$4:$CW$42),"",INDEX(Lists!$FN$4:$FN$42,MATCH(ROW()-3,$CW$4:$CW$42,0)))</f>
        <v>#N/A</v>
      </c>
      <c r="CY10" s="79" t="e">
        <f>CY9+IF(AND(Lists!$FS$10&lt;&gt;"",ISNUMBER(SEARCH($AH$4,Lists!$FS$10))),1,0)</f>
        <v>#N/A</v>
      </c>
      <c r="CZ10" s="79" t="e">
        <f>IF(ROW()-3&gt;MAX($CY$4:$CY$42),"",INDEX(Lists!$FS$4:$FS$42,MATCH(ROW()-3,$CY$4:$CY$42,0)))</f>
        <v>#N/A</v>
      </c>
      <c r="DA10">
        <f>DA9+IF(AND(Lists!$FX$10&lt;&gt;"",ISNUMBER(SEARCH($AI$4,Lists!$FX$10))),1,0)</f>
        <v>2</v>
      </c>
      <c r="DB10" t="str">
        <f>IF(ROW()-3&gt;MAX($DA$4:$DA$42),"",INDEX(Lists!$FX$4:$FX$42,MATCH(ROW()-3,$DA$4:$DA$42,0)))</f>
        <v/>
      </c>
    </row>
    <row r="11" spans="1:106" ht="15" customHeight="1" outlineLevel="1" x14ac:dyDescent="0.25">
      <c r="A11" s="67">
        <v>1</v>
      </c>
      <c r="B11" s="68">
        <f>IF('Final Calculation Sheet'!$F$15="","",'Final Calculation Sheet'!$F$15)</f>
        <v>2008</v>
      </c>
      <c r="C11" s="76" t="str">
        <f>IF('Final Calculation Sheet'!$G$15="","",'Final Calculation Sheet'!$G$15)</f>
        <v>HIND TRADERS</v>
      </c>
      <c r="D11" s="69" t="str">
        <f>IF('Final Calculation Sheet'!$B$15="","",'Final Calculation Sheet'!$B$15)</f>
        <v>Scrap of empty oil Druam</v>
      </c>
      <c r="E11" s="80">
        <f>IF('Final Calculation Sheet'!$D$15="","",'Final Calculation Sheet'!$D$15)</f>
        <v>21977</v>
      </c>
      <c r="F11" s="80">
        <f>IF('Final Calculation Sheet'!$A$15="","",'Final Calculation Sheet'!$A$15)</f>
        <v>250</v>
      </c>
      <c r="G11" s="69"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 ca="1">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0" t="str">
        <f>IF('Final Calculation Sheet'!$AE$15="","",'Final Calculation Sheet'!$AE$15)</f>
        <v>DR2640100026</v>
      </c>
      <c r="AG11" s="74">
        <f>IF('Final Calculation Sheet'!$AF$15="","",'Final Calculation Sheet'!$AF$15)</f>
        <v>1800003247</v>
      </c>
      <c r="AH11" s="70" t="str">
        <f>IF('Final Calculation Sheet'!$AG$15="","",'Final Calculation Sheet'!$AG$15)</f>
        <v>20.08.2026</v>
      </c>
      <c r="AI11" s="75" t="str">
        <f>IF('Final Calculation Sheet'!$AD$15="","",IF('Final Calculation Sheet'!$AD$15&lt;=5,"SETTLED","OUTSTANDING"))</f>
        <v>SETTLED</v>
      </c>
      <c r="AJ11" s="79"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Sheet'!$AD$9))))),IF($AF$4="",TRUE(),IF($AF$4="(blank)",'Final Calculation Sheet'!$AE$9="",IF($AF$4="(nonblank)",'Final Calculation Sheet'!$AE$9&lt;&gt;"",ISNUMBER(SEARCH($AF$4,'Final Calculation Sheet'!$AE$9))))),IF($AG$4="",TRUE(),IF($AG$4="(blank)",'Final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Sheet'!$AG$9))))),IF($AI$4="",TRUE(),IF($AI$4="(blank)",IF('Final Calculation Sheet'!$AD$9&lt;=5,"SETTLED","OUTSTANDING")="",IF($AI$4="(nonblank)",IF('Final Calculation Sheet'!$AD$9&lt;=5,"SETTLED","OUTSTANDING")&lt;&gt;"",ISNUMBER(SEARCH($AI$4,IF('Final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s="79" t="e">
        <f>CG10+IF(AND(Lists!$DZ$11&lt;&gt;"",ISNUMBER(SEARCH($Y$4,Lists!$DZ$11))),1,0)</f>
        <v>#N/A</v>
      </c>
      <c r="CH11" s="79" t="e">
        <f>IF(ROW()-3&gt;MAX($CG$4:$CG$42),"",INDEX(Lists!$DZ$4:$DZ$42,MATCH(ROW()-3,$CG$4:$CG$42,0)))</f>
        <v>#N/A</v>
      </c>
      <c r="CI11" s="79" t="e">
        <f>CI10+IF(AND(Lists!$EE$11&lt;&gt;"",ISNUMBER(SEARCH($Z$4,Lists!$EE$11))),1,0)</f>
        <v>#N/A</v>
      </c>
      <c r="CJ11" s="79" t="e">
        <f>IF(ROW()-3&gt;MAX($CI$4:$CI$42),"",INDEX(Lists!$EE$4:$EE$42,MATCH(ROW()-3,$CI$4:$CI$42,0)))</f>
        <v>#N/A</v>
      </c>
      <c r="CK11">
        <f ca="1">CK10+IF(AND(Lists!$EJ$11&lt;&gt;"",ISNUMBER(SEARCH($AA$4,Lists!$EJ$11))),1,0)</f>
        <v>6</v>
      </c>
      <c r="CL11" t="str">
        <f ca="1">IF(ROW()-3&gt;MAX($CK$4:$CK$42),"",INDEX(Lists!$EJ$4:$EJ$42,MATCH(ROW()-3,$CK$4:$CK$42,0)))</f>
        <v>(nonblank)</v>
      </c>
      <c r="CM11" s="79" t="e">
        <f>CM10+IF(AND(Lists!$EO$11&lt;&gt;"",ISNUMBER(SEARCH($AB$4,Lists!$EO$11))),1,0)</f>
        <v>#N/A</v>
      </c>
      <c r="CN11" s="79" t="e">
        <f>IF(ROW()-3&gt;MAX($CM$4:$CM$42),"",INDEX(Lists!$EO$4:$EO$42,MATCH(ROW()-3,$CM$4:$CM$42,0)))</f>
        <v>#N/A</v>
      </c>
      <c r="CO11" s="79" t="e">
        <f>CO10+IF(AND(Lists!$ET$11&lt;&gt;"",ISNUMBER(SEARCH($AC$4,Lists!$ET$11))),1,0)</f>
        <v>#N/A</v>
      </c>
      <c r="CP11" s="79"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s="79" t="e">
        <f>CU10+IF(AND(Lists!$FI$11&lt;&gt;"",ISNUMBER(SEARCH($AF$4,Lists!$FI$11))),1,0)</f>
        <v>#N/A</v>
      </c>
      <c r="CV11" s="79" t="e">
        <f>IF(ROW()-3&gt;MAX($CU$4:$CU$42),"",INDEX(Lists!$FI$4:$FI$42,MATCH(ROW()-3,$CU$4:$CU$42,0)))</f>
        <v>#N/A</v>
      </c>
      <c r="CW11" s="79" t="e">
        <f>CW10+IF(AND(Lists!$FN$11&lt;&gt;"",ISNUMBER(SEARCH($AG$4,Lists!$FN$11))),1,0)</f>
        <v>#N/A</v>
      </c>
      <c r="CX11" s="79" t="e">
        <f>IF(ROW()-3&gt;MAX($CW$4:$CW$42),"",INDEX(Lists!$FN$4:$FN$42,MATCH(ROW()-3,$CW$4:$CW$42,0)))</f>
        <v>#N/A</v>
      </c>
      <c r="CY11" s="79" t="e">
        <f>CY10+IF(AND(Lists!$FS$11&lt;&gt;"",ISNUMBER(SEARCH($AH$4,Lists!$FS$11))),1,0)</f>
        <v>#N/A</v>
      </c>
      <c r="CZ11" s="79" t="e">
        <f>IF(ROW()-3&gt;MAX($CY$4:$CY$42),"",INDEX(Lists!$FS$4:$FS$42,MATCH(ROW()-3,$CY$4:$CY$42,0)))</f>
        <v>#N/A</v>
      </c>
      <c r="DA11">
        <f>DA10+IF(AND(Lists!$FX$11&lt;&gt;"",ISNUMBER(SEARCH($AI$4,Lists!$FX$11))),1,0)</f>
        <v>2</v>
      </c>
      <c r="DB11" t="str">
        <f>IF(ROW()-3&gt;MAX($DA$4:$DA$42),"",INDEX(Lists!$FX$4:$FX$42,MATCH(ROW()-3,$DA$4:$DA$42,0)))</f>
        <v/>
      </c>
    </row>
    <row r="12" spans="1:106" ht="15" customHeight="1" x14ac:dyDescent="0.25">
      <c r="A12" s="81" t="s">
        <v>147</v>
      </c>
      <c r="B12" s="82"/>
      <c r="C12" s="82" t="str">
        <f>ROWS($C$11:$C$11)&amp;" lot(s)"</f>
        <v>1 lot(s)</v>
      </c>
      <c r="D12" s="82" t="s">
        <v>151</v>
      </c>
      <c r="E12" s="82" t="s">
        <v>149</v>
      </c>
      <c r="F12" s="83">
        <f>SUM(F11:F11)</f>
        <v>250</v>
      </c>
      <c r="G12" s="82" t="s">
        <v>149</v>
      </c>
      <c r="H12" s="84" t="s">
        <v>149</v>
      </c>
      <c r="I12" s="84">
        <f t="shared" ref="I12:Q12" si="2">SUM(I11:I11)</f>
        <v>135750</v>
      </c>
      <c r="J12" s="84">
        <f t="shared" si="2"/>
        <v>24435</v>
      </c>
      <c r="K12" s="84">
        <f t="shared" si="2"/>
        <v>160185</v>
      </c>
      <c r="L12" s="84">
        <f t="shared" si="2"/>
        <v>3204</v>
      </c>
      <c r="M12" s="84">
        <f t="shared" si="2"/>
        <v>135.75</v>
      </c>
      <c r="N12" s="84">
        <f t="shared" si="2"/>
        <v>3604.1624999999999</v>
      </c>
      <c r="O12" s="85">
        <f t="shared" si="2"/>
        <v>61.087499999999999</v>
      </c>
      <c r="P12" s="84">
        <f t="shared" si="2"/>
        <v>3543.0749999999998</v>
      </c>
      <c r="Q12" s="84">
        <f t="shared" si="2"/>
        <v>3679</v>
      </c>
      <c r="R12" s="86" t="s">
        <v>149</v>
      </c>
      <c r="S12" s="84">
        <f>SUM(S11:S11)</f>
        <v>0</v>
      </c>
      <c r="T12" s="84">
        <f>SUM(T11:T11)</f>
        <v>159710</v>
      </c>
      <c r="U12" s="84">
        <f>SUM(U11:U11)</f>
        <v>33938</v>
      </c>
      <c r="V12" s="87">
        <f>SUM(V11:V11)</f>
        <v>33938</v>
      </c>
      <c r="W12" s="84" t="s">
        <v>149</v>
      </c>
      <c r="X12" s="84">
        <f>SUM(X11:X11)</f>
        <v>125772</v>
      </c>
      <c r="Y12" s="84">
        <f>SUM(Y11:Y11)</f>
        <v>125772</v>
      </c>
      <c r="Z12" s="84" t="s">
        <v>149</v>
      </c>
      <c r="AA12" s="84">
        <f ca="1">SUM(AA11:AA11)</f>
        <v>0</v>
      </c>
      <c r="AB12" s="84">
        <f>SUM(AB11:AB11)</f>
        <v>0</v>
      </c>
      <c r="AC12" s="84" t="s">
        <v>149</v>
      </c>
      <c r="AD12" s="84">
        <f>SUM(AD11:AD11)</f>
        <v>159710</v>
      </c>
      <c r="AE12" s="84">
        <f>SUM(AE11:AE11)</f>
        <v>0</v>
      </c>
      <c r="AF12" s="84" t="s">
        <v>149</v>
      </c>
      <c r="AG12" s="88" t="s">
        <v>149</v>
      </c>
      <c r="AH12" s="84" t="s">
        <v>149</v>
      </c>
      <c r="AI12" s="89" t="str">
        <f>IF(AE12&lt;=5,"SETTLED","OUTSTANDING")</f>
        <v>SETTLED</v>
      </c>
      <c r="AJ12" s="79"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Sheet'!$AD$10))))),IF($AF$4="",TRUE(),IF($AF$4="(blank)",'Final Calculation Sheet'!$AE$10="",IF($AF$4="(nonblank)",'Final Calculation Sheet'!$AE$10&lt;&gt;"",ISNUMBER(SEARCH($AF$4,'Final Calculation Sheet'!$AE$10))))),IF($AG$4="",TRUE(),IF($AG$4="(blank)",'Final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Sheet'!$AG$10))))),IF($AI$4="",TRUE(),IF($AI$4="(blank)",IF('Final Calculation Sheet'!$AD$10&lt;=5,"SETTLED","OUTSTANDING")="",IF($AI$4="(nonblank)",IF('Final Calculation Sheet'!$AD$10&lt;=5,"SETTLED","OUTSTANDING")&lt;&gt;"",ISNUMBER(SEARCH($AI$4,IF('Final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s="79" t="e">
        <f>CG11+IF(AND(Lists!$DZ$12&lt;&gt;"",ISNUMBER(SEARCH($Y$4,Lists!$DZ$12))),1,0)</f>
        <v>#N/A</v>
      </c>
      <c r="CH12" s="79" t="e">
        <f>IF(ROW()-3&gt;MAX($CG$4:$CG$42),"",INDEX(Lists!$DZ$4:$DZ$42,MATCH(ROW()-3,$CG$4:$CG$42,0)))</f>
        <v>#N/A</v>
      </c>
      <c r="CI12" s="79" t="e">
        <f>CI11+IF(AND(Lists!$EE$12&lt;&gt;"",ISNUMBER(SEARCH($Z$4,Lists!$EE$12))),1,0)</f>
        <v>#N/A</v>
      </c>
      <c r="CJ12" s="79" t="e">
        <f>IF(ROW()-3&gt;MAX($CI$4:$CI$42),"",INDEX(Lists!$EE$4:$EE$42,MATCH(ROW()-3,$CI$4:$CI$42,0)))</f>
        <v>#N/A</v>
      </c>
      <c r="CK12">
        <f ca="1">CK11+IF(AND(Lists!$EJ$12&lt;&gt;"",ISNUMBER(SEARCH($AA$4,Lists!$EJ$12))),1,0)</f>
        <v>6</v>
      </c>
      <c r="CL12" t="str">
        <f ca="1">IF(ROW()-3&gt;MAX($CK$4:$CK$42),"",INDEX(Lists!$EJ$4:$EJ$42,MATCH(ROW()-3,$CK$4:$CK$42,0)))</f>
        <v/>
      </c>
      <c r="CM12" s="79" t="e">
        <f>CM11+IF(AND(Lists!$EO$12&lt;&gt;"",ISNUMBER(SEARCH($AB$4,Lists!$EO$12))),1,0)</f>
        <v>#N/A</v>
      </c>
      <c r="CN12" s="79" t="e">
        <f>IF(ROW()-3&gt;MAX($CM$4:$CM$42),"",INDEX(Lists!$EO$4:$EO$42,MATCH(ROW()-3,$CM$4:$CM$42,0)))</f>
        <v>#N/A</v>
      </c>
      <c r="CO12" s="79" t="e">
        <f>CO11+IF(AND(Lists!$ET$12&lt;&gt;"",ISNUMBER(SEARCH($AC$4,Lists!$ET$12))),1,0)</f>
        <v>#N/A</v>
      </c>
      <c r="CP12" s="79"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s="79" t="e">
        <f>CU11+IF(AND(Lists!$FI$12&lt;&gt;"",ISNUMBER(SEARCH($AF$4,Lists!$FI$12))),1,0)</f>
        <v>#N/A</v>
      </c>
      <c r="CV12" s="79" t="e">
        <f>IF(ROW()-3&gt;MAX($CU$4:$CU$42),"",INDEX(Lists!$FI$4:$FI$42,MATCH(ROW()-3,$CU$4:$CU$42,0)))</f>
        <v>#N/A</v>
      </c>
      <c r="CW12" s="79" t="e">
        <f>CW11+IF(AND(Lists!$FN$12&lt;&gt;"",ISNUMBER(SEARCH($AG$4,Lists!$FN$12))),1,0)</f>
        <v>#N/A</v>
      </c>
      <c r="CX12" s="79" t="e">
        <f>IF(ROW()-3&gt;MAX($CW$4:$CW$42),"",INDEX(Lists!$FN$4:$FN$42,MATCH(ROW()-3,$CW$4:$CW$42,0)))</f>
        <v>#N/A</v>
      </c>
      <c r="CY12" s="79" t="e">
        <f>CY11+IF(AND(Lists!$FS$12&lt;&gt;"",ISNUMBER(SEARCH($AH$4,Lists!$FS$12))),1,0)</f>
        <v>#N/A</v>
      </c>
      <c r="CZ12" s="79" t="e">
        <f>IF(ROW()-3&gt;MAX($CY$4:$CY$42),"",INDEX(Lists!$FS$4:$FS$42,MATCH(ROW()-3,$CY$4:$CY$42,0)))</f>
        <v>#N/A</v>
      </c>
      <c r="DA12">
        <f>DA11+IF(AND(Lists!$FX$12&lt;&gt;"",ISNUMBER(SEARCH($AI$4,Lists!$FX$12))),1,0)</f>
        <v>2</v>
      </c>
      <c r="DB12" t="str">
        <f>IF(ROW()-3&gt;MAX($DA$4:$DA$42),"",INDEX(Lists!$FX$4:$FX$42,MATCH(ROW()-3,$DA$4:$DA$42,0)))</f>
        <v/>
      </c>
    </row>
    <row r="13" spans="1:106" ht="15" customHeight="1" outlineLevel="1" x14ac:dyDescent="0.25">
      <c r="A13" s="67">
        <v>1</v>
      </c>
      <c r="B13" s="68">
        <f>IF('Final Calculation Sheet'!$F$38="","",'Final Calculation Sheet'!$F$38)</f>
        <v>2086</v>
      </c>
      <c r="C13" s="76" t="str">
        <f>IF('Final Calculation Sheet'!$G$38="","",'Final Calculation Sheet'!$G$38)</f>
        <v>KASHYAP TRADING CO</v>
      </c>
      <c r="D13" s="69" t="str">
        <f>IF('Final Calculation Sheet'!$B$38="","",'Final Calculation Sheet'!$B$38)</f>
        <v>Scrap of 132 KV CT</v>
      </c>
      <c r="E13" s="80">
        <f>IF('Final Calculation Sheet'!$D$38="","",'Final Calculation Sheet'!$D$38)</f>
        <v>21980</v>
      </c>
      <c r="F13" s="80">
        <f>IF('Final Calculation Sheet'!$A$38="","",'Final Calculation Sheet'!$A$38)</f>
        <v>3</v>
      </c>
      <c r="G13" s="69"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 ca="1">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0" t="str">
        <f>IF('Final Calculation Sheet'!$AE$38="","",'Final Calculation Sheet'!$AE$38)</f>
        <v>DR2640100025</v>
      </c>
      <c r="AG13" s="74">
        <f>IF('Final Calculation Sheet'!$AF$38="","",'Final Calculation Sheet'!$AF$38)</f>
        <v>1800003226</v>
      </c>
      <c r="AH13" s="70" t="str">
        <f>IF('Final Calculation Sheet'!$AG$38="","",'Final Calculation Sheet'!$AG$38)</f>
        <v>19.08.2026</v>
      </c>
      <c r="AI13" s="75" t="str">
        <f>IF('Final Calculation Sheet'!$AD$38="","",IF('Final Calculation Sheet'!$AD$38&lt;=5,"SETTLED","OUTSTANDING"))</f>
        <v>SETTLED</v>
      </c>
      <c r="AJ13" s="79"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Sheet'!$AD$11))))),IF($AF$4="",TRUE(),IF($AF$4="(blank)",'Final Calculation Sheet'!$AE$11="",IF($AF$4="(nonblank)",'Final Calculation Sheet'!$AE$11&lt;&gt;"",ISNUMBER(SEARCH($AF$4,'Final Calculation Sheet'!$AE$11))))),IF($AG$4="",TRUE(),IF($AG$4="(blank)",'Final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Sheet'!$AG$11))))),IF($AI$4="",TRUE(),IF($AI$4="(blank)",IF('Final Calculation Sheet'!$AD$11&lt;=5,"SETTLED","OUTSTANDING")="",IF($AI$4="(nonblank)",IF('Final Calculation Sheet'!$AD$11&lt;=5,"SETTLED","OUTSTANDING")&lt;&gt;"",ISNUMBER(SEARCH($AI$4,IF('Final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s="79" t="e">
        <f>CG12+IF(AND(Lists!$DZ$13&lt;&gt;"",ISNUMBER(SEARCH($Y$4,Lists!$DZ$13))),1,0)</f>
        <v>#N/A</v>
      </c>
      <c r="CH13" s="79" t="e">
        <f>IF(ROW()-3&gt;MAX($CG$4:$CG$42),"",INDEX(Lists!$DZ$4:$DZ$42,MATCH(ROW()-3,$CG$4:$CG$42,0)))</f>
        <v>#N/A</v>
      </c>
      <c r="CI13" s="79" t="e">
        <f>CI12+IF(AND(Lists!$EE$13&lt;&gt;"",ISNUMBER(SEARCH($Z$4,Lists!$EE$13))),1,0)</f>
        <v>#N/A</v>
      </c>
      <c r="CJ13" s="79" t="e">
        <f>IF(ROW()-3&gt;MAX($CI$4:$CI$42),"",INDEX(Lists!$EE$4:$EE$42,MATCH(ROW()-3,$CI$4:$CI$42,0)))</f>
        <v>#N/A</v>
      </c>
      <c r="CK13">
        <f ca="1">CK12+IF(AND(Lists!$EJ$13&lt;&gt;"",ISNUMBER(SEARCH($AA$4,Lists!$EJ$13))),1,0)</f>
        <v>6</v>
      </c>
      <c r="CL13" t="str">
        <f ca="1">IF(ROW()-3&gt;MAX($CK$4:$CK$42),"",INDEX(Lists!$EJ$4:$EJ$42,MATCH(ROW()-3,$CK$4:$CK$42,0)))</f>
        <v/>
      </c>
      <c r="CM13" s="79" t="e">
        <f>CM12+IF(AND(Lists!$EO$13&lt;&gt;"",ISNUMBER(SEARCH($AB$4,Lists!$EO$13))),1,0)</f>
        <v>#N/A</v>
      </c>
      <c r="CN13" s="79" t="e">
        <f>IF(ROW()-3&gt;MAX($CM$4:$CM$42),"",INDEX(Lists!$EO$4:$EO$42,MATCH(ROW()-3,$CM$4:$CM$42,0)))</f>
        <v>#N/A</v>
      </c>
      <c r="CO13" s="79" t="e">
        <f>CO12+IF(AND(Lists!$ET$13&lt;&gt;"",ISNUMBER(SEARCH($AC$4,Lists!$ET$13))),1,0)</f>
        <v>#N/A</v>
      </c>
      <c r="CP13" s="79"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s="79" t="e">
        <f>CU12+IF(AND(Lists!$FI$13&lt;&gt;"",ISNUMBER(SEARCH($AF$4,Lists!$FI$13))),1,0)</f>
        <v>#N/A</v>
      </c>
      <c r="CV13" s="79" t="e">
        <f>IF(ROW()-3&gt;MAX($CU$4:$CU$42),"",INDEX(Lists!$FI$4:$FI$42,MATCH(ROW()-3,$CU$4:$CU$42,0)))</f>
        <v>#N/A</v>
      </c>
      <c r="CW13" s="79" t="e">
        <f>CW12+IF(AND(Lists!$FN$13&lt;&gt;"",ISNUMBER(SEARCH($AG$4,Lists!$FN$13))),1,0)</f>
        <v>#N/A</v>
      </c>
      <c r="CX13" s="79" t="e">
        <f>IF(ROW()-3&gt;MAX($CW$4:$CW$42),"",INDEX(Lists!$FN$4:$FN$42,MATCH(ROW()-3,$CW$4:$CW$42,0)))</f>
        <v>#N/A</v>
      </c>
      <c r="CY13" s="79" t="e">
        <f>CY12+IF(AND(Lists!$FS$13&lt;&gt;"",ISNUMBER(SEARCH($AH$4,Lists!$FS$13))),1,0)</f>
        <v>#N/A</v>
      </c>
      <c r="CZ13" s="79" t="e">
        <f>IF(ROW()-3&gt;MAX($CY$4:$CY$42),"",INDEX(Lists!$FS$4:$FS$42,MATCH(ROW()-3,$CY$4:$CY$42,0)))</f>
        <v>#N/A</v>
      </c>
      <c r="DA13">
        <f>DA12+IF(AND(Lists!$FX$13&lt;&gt;"",ISNUMBER(SEARCH($AI$4,Lists!$FX$13))),1,0)</f>
        <v>2</v>
      </c>
      <c r="DB13" t="str">
        <f>IF(ROW()-3&gt;MAX($DA$4:$DA$42),"",INDEX(Lists!$FX$4:$FX$42,MATCH(ROW()-3,$DA$4:$DA$42,0)))</f>
        <v/>
      </c>
    </row>
    <row r="14" spans="1:106" ht="15" customHeight="1" x14ac:dyDescent="0.25">
      <c r="A14" s="81" t="s">
        <v>147</v>
      </c>
      <c r="B14" s="82"/>
      <c r="C14" s="82" t="str">
        <f>ROWS($C$13:$C$13)&amp;" lot(s)"</f>
        <v>1 lot(s)</v>
      </c>
      <c r="D14" s="82" t="s">
        <v>152</v>
      </c>
      <c r="E14" s="82" t="s">
        <v>149</v>
      </c>
      <c r="F14" s="83">
        <f>SUM(F13:F13)</f>
        <v>3</v>
      </c>
      <c r="G14" s="82" t="s">
        <v>149</v>
      </c>
      <c r="H14" s="84" t="s">
        <v>149</v>
      </c>
      <c r="I14" s="84">
        <f t="shared" ref="I14:Q14" si="3">SUM(I13:I13)</f>
        <v>210003</v>
      </c>
      <c r="J14" s="84">
        <f t="shared" si="3"/>
        <v>37801</v>
      </c>
      <c r="K14" s="84">
        <f t="shared" si="3"/>
        <v>247804</v>
      </c>
      <c r="L14" s="84">
        <f t="shared" si="3"/>
        <v>4956</v>
      </c>
      <c r="M14" s="84">
        <f t="shared" si="3"/>
        <v>210.00300000000001</v>
      </c>
      <c r="N14" s="84">
        <f t="shared" si="3"/>
        <v>5575.5796499999997</v>
      </c>
      <c r="O14" s="85">
        <f t="shared" si="3"/>
        <v>94.501350000000002</v>
      </c>
      <c r="P14" s="84">
        <f t="shared" si="3"/>
        <v>5481.0782999999992</v>
      </c>
      <c r="Q14" s="84">
        <f t="shared" si="3"/>
        <v>5691</v>
      </c>
      <c r="R14" s="86" t="s">
        <v>149</v>
      </c>
      <c r="S14" s="84">
        <f>SUM(S13:S13)</f>
        <v>0</v>
      </c>
      <c r="T14" s="84">
        <f>SUM(T13:T13)</f>
        <v>247069</v>
      </c>
      <c r="U14" s="84">
        <f>SUM(U13:U13)</f>
        <v>52501</v>
      </c>
      <c r="V14" s="87">
        <f>SUM(V13:V13)</f>
        <v>52501</v>
      </c>
      <c r="W14" s="84" t="s">
        <v>149</v>
      </c>
      <c r="X14" s="84">
        <f>SUM(X13:X13)</f>
        <v>194568</v>
      </c>
      <c r="Y14" s="84">
        <f>SUM(Y13:Y13)</f>
        <v>194568</v>
      </c>
      <c r="Z14" s="84" t="s">
        <v>149</v>
      </c>
      <c r="AA14" s="84">
        <f ca="1">SUM(AA13:AA13)</f>
        <v>0</v>
      </c>
      <c r="AB14" s="84">
        <f>SUM(AB13:AB13)</f>
        <v>0</v>
      </c>
      <c r="AC14" s="84" t="s">
        <v>149</v>
      </c>
      <c r="AD14" s="84">
        <f>SUM(AD13:AD13)</f>
        <v>247069</v>
      </c>
      <c r="AE14" s="84">
        <f>SUM(AE13:AE13)</f>
        <v>0</v>
      </c>
      <c r="AF14" s="84" t="s">
        <v>149</v>
      </c>
      <c r="AG14" s="88" t="s">
        <v>149</v>
      </c>
      <c r="AH14" s="84" t="s">
        <v>149</v>
      </c>
      <c r="AI14" s="89" t="str">
        <f>IF(AE14&lt;=5,"SETTLED","OUTSTANDING")</f>
        <v>SETTLED</v>
      </c>
      <c r="AJ14" s="79"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Sheet'!$AD$12))))),IF($AF$4="",TRUE(),IF($AF$4="(blank)",'Final Calculation Sheet'!$AE$12="",IF($AF$4="(nonblank)",'Final Calculation Sheet'!$AE$12&lt;&gt;"",ISNUMBER(SEARCH($AF$4,'Final Calculation Sheet'!$AE$12))))),IF($AG$4="",TRUE(),IF($AG$4="(blank)",'Final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Sheet'!$AG$12))))),IF($AI$4="",TRUE(),IF($AI$4="(blank)",IF('Final Calculation Sheet'!$AD$12&lt;=5,"SETTLED","OUTSTANDING")="",IF($AI$4="(nonblank)",IF('Final Calculation Sheet'!$AD$12&lt;=5,"SETTLED","OUTSTANDING")&lt;&gt;"",ISNUMBER(SEARCH($AI$4,IF('Final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s="79" t="e">
        <f>CG13+IF(AND(Lists!$DZ$14&lt;&gt;"",ISNUMBER(SEARCH($Y$4,Lists!$DZ$14))),1,0)</f>
        <v>#N/A</v>
      </c>
      <c r="CH14" s="79" t="e">
        <f>IF(ROW()-3&gt;MAX($CG$4:$CG$42),"",INDEX(Lists!$DZ$4:$DZ$42,MATCH(ROW()-3,$CG$4:$CG$42,0)))</f>
        <v>#N/A</v>
      </c>
      <c r="CI14" s="79" t="e">
        <f>CI13+IF(AND(Lists!$EE$14&lt;&gt;"",ISNUMBER(SEARCH($Z$4,Lists!$EE$14))),1,0)</f>
        <v>#N/A</v>
      </c>
      <c r="CJ14" s="79" t="e">
        <f>IF(ROW()-3&gt;MAX($CI$4:$CI$42),"",INDEX(Lists!$EE$4:$EE$42,MATCH(ROW()-3,$CI$4:$CI$42,0)))</f>
        <v>#N/A</v>
      </c>
      <c r="CK14">
        <f ca="1">CK13+IF(AND(Lists!$EJ$14&lt;&gt;"",ISNUMBER(SEARCH($AA$4,Lists!$EJ$14))),1,0)</f>
        <v>6</v>
      </c>
      <c r="CL14" t="str">
        <f ca="1">IF(ROW()-3&gt;MAX($CK$4:$CK$42),"",INDEX(Lists!$EJ$4:$EJ$42,MATCH(ROW()-3,$CK$4:$CK$42,0)))</f>
        <v/>
      </c>
      <c r="CM14" s="79" t="e">
        <f>CM13+IF(AND(Lists!$EO$14&lt;&gt;"",ISNUMBER(SEARCH($AB$4,Lists!$EO$14))),1,0)</f>
        <v>#N/A</v>
      </c>
      <c r="CN14" s="79" t="e">
        <f>IF(ROW()-3&gt;MAX($CM$4:$CM$42),"",INDEX(Lists!$EO$4:$EO$42,MATCH(ROW()-3,$CM$4:$CM$42,0)))</f>
        <v>#N/A</v>
      </c>
      <c r="CO14" s="79" t="e">
        <f>CO13+IF(AND(Lists!$ET$14&lt;&gt;"",ISNUMBER(SEARCH($AC$4,Lists!$ET$14))),1,0)</f>
        <v>#N/A</v>
      </c>
      <c r="CP14" s="79"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s="79" t="e">
        <f>CU13+IF(AND(Lists!$FI$14&lt;&gt;"",ISNUMBER(SEARCH($AF$4,Lists!$FI$14))),1,0)</f>
        <v>#N/A</v>
      </c>
      <c r="CV14" s="79" t="e">
        <f>IF(ROW()-3&gt;MAX($CU$4:$CU$42),"",INDEX(Lists!$FI$4:$FI$42,MATCH(ROW()-3,$CU$4:$CU$42,0)))</f>
        <v>#N/A</v>
      </c>
      <c r="CW14" s="79" t="e">
        <f>CW13+IF(AND(Lists!$FN$14&lt;&gt;"",ISNUMBER(SEARCH($AG$4,Lists!$FN$14))),1,0)</f>
        <v>#N/A</v>
      </c>
      <c r="CX14" s="79" t="e">
        <f>IF(ROW()-3&gt;MAX($CW$4:$CW$42),"",INDEX(Lists!$FN$4:$FN$42,MATCH(ROW()-3,$CW$4:$CW$42,0)))</f>
        <v>#N/A</v>
      </c>
      <c r="CY14" s="79" t="e">
        <f>CY13+IF(AND(Lists!$FS$14&lt;&gt;"",ISNUMBER(SEARCH($AH$4,Lists!$FS$14))),1,0)</f>
        <v>#N/A</v>
      </c>
      <c r="CZ14" s="79" t="e">
        <f>IF(ROW()-3&gt;MAX($CY$4:$CY$42),"",INDEX(Lists!$FS$4:$FS$42,MATCH(ROW()-3,$CY$4:$CY$42,0)))</f>
        <v>#N/A</v>
      </c>
      <c r="DA14">
        <f>DA13+IF(AND(Lists!$FX$14&lt;&gt;"",ISNUMBER(SEARCH($AI$4,Lists!$FX$14))),1,0)</f>
        <v>2</v>
      </c>
      <c r="DB14" t="str">
        <f>IF(ROW()-3&gt;MAX($DA$4:$DA$42),"",INDEX(Lists!$FX$4:$FX$42,MATCH(ROW()-3,$DA$4:$DA$42,0)))</f>
        <v/>
      </c>
    </row>
    <row r="15" spans="1:106" ht="15" customHeight="1" outlineLevel="1" x14ac:dyDescent="0.25">
      <c r="A15" s="67">
        <v>1</v>
      </c>
      <c r="B15" s="68">
        <f>IF('Final Calculation Sheet'!$F$27="","",'Final Calculation Sheet'!$F$27)</f>
        <v>2036</v>
      </c>
      <c r="C15" s="76" t="str">
        <f>IF('Final Calculation Sheet'!$G$27="","",'Final Calculation Sheet'!$G$27)</f>
        <v>M I SCRAP TRADERS</v>
      </c>
      <c r="D15" s="69"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69"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 ca="1">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0" t="str">
        <f>IF('Final Calculation Sheet'!$AE$27="","",'Final Calculation Sheet'!$AE$27)</f>
        <v/>
      </c>
      <c r="AG15" s="74" t="str">
        <f>IF('Final Calculation Sheet'!$AF$27="","",'Final Calculation Sheet'!$AF$27)</f>
        <v/>
      </c>
      <c r="AH15" s="70" t="str">
        <f>IF('Final Calculation Sheet'!$AG$27="","",'Final Calculation Sheet'!$AG$27)</f>
        <v/>
      </c>
      <c r="AI15" s="75" t="str">
        <f>IF('Final Calculation Sheet'!$AD$27="","",IF('Final Calculation Sheet'!$AD$27&lt;=5,"SETTLED","OUTSTANDING"))</f>
        <v>OUTSTANDING</v>
      </c>
      <c r="AJ15" s="79"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Sheet'!$AD$13))))),IF($AF$4="",TRUE(),IF($AF$4="(blank)",'Final Calculation Sheet'!$AE$13="",IF($AF$4="(nonblank)",'Final Calculation Sheet'!$AE$13&lt;&gt;"",ISNUMBER(SEARCH($AF$4,'Final Calculation Sheet'!$AE$13))))),IF($AG$4="",TRUE(),IF($AG$4="(blank)",'Final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Sheet'!$AG$13))))),IF($AI$4="",TRUE(),IF($AI$4="(blank)",IF('Final Calculation Sheet'!$AD$13&lt;=5,"SETTLED","OUTSTANDING")="",IF($AI$4="(nonblank)",IF('Final Calculation Sheet'!$AD$13&lt;=5,"SETTLED","OUTSTANDING")&lt;&gt;"",ISNUMBER(SEARCH($AI$4,IF('Final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s="79" t="e">
        <f>CG14+IF(AND(Lists!$DZ$15&lt;&gt;"",ISNUMBER(SEARCH($Y$4,Lists!$DZ$15))),1,0)</f>
        <v>#N/A</v>
      </c>
      <c r="CH15" s="79" t="e">
        <f>IF(ROW()-3&gt;MAX($CG$4:$CG$42),"",INDEX(Lists!$DZ$4:$DZ$42,MATCH(ROW()-3,$CG$4:$CG$42,0)))</f>
        <v>#N/A</v>
      </c>
      <c r="CI15" s="79" t="e">
        <f>CI14+IF(AND(Lists!$EE$15&lt;&gt;"",ISNUMBER(SEARCH($Z$4,Lists!$EE$15))),1,0)</f>
        <v>#N/A</v>
      </c>
      <c r="CJ15" s="79" t="e">
        <f>IF(ROW()-3&gt;MAX($CI$4:$CI$42),"",INDEX(Lists!$EE$4:$EE$42,MATCH(ROW()-3,$CI$4:$CI$42,0)))</f>
        <v>#N/A</v>
      </c>
      <c r="CK15">
        <f ca="1">CK14+IF(AND(Lists!$EJ$15&lt;&gt;"",ISNUMBER(SEARCH($AA$4,Lists!$EJ$15))),1,0)</f>
        <v>6</v>
      </c>
      <c r="CL15" t="str">
        <f ca="1">IF(ROW()-3&gt;MAX($CK$4:$CK$42),"",INDEX(Lists!$EJ$4:$EJ$42,MATCH(ROW()-3,$CK$4:$CK$42,0)))</f>
        <v/>
      </c>
      <c r="CM15" s="79" t="e">
        <f>CM14+IF(AND(Lists!$EO$15&lt;&gt;"",ISNUMBER(SEARCH($AB$4,Lists!$EO$15))),1,0)</f>
        <v>#N/A</v>
      </c>
      <c r="CN15" s="79" t="e">
        <f>IF(ROW()-3&gt;MAX($CM$4:$CM$42),"",INDEX(Lists!$EO$4:$EO$42,MATCH(ROW()-3,$CM$4:$CM$42,0)))</f>
        <v>#N/A</v>
      </c>
      <c r="CO15" s="79" t="e">
        <f>CO14+IF(AND(Lists!$ET$15&lt;&gt;"",ISNUMBER(SEARCH($AC$4,Lists!$ET$15))),1,0)</f>
        <v>#N/A</v>
      </c>
      <c r="CP15" s="79"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s="79" t="e">
        <f>CU14+IF(AND(Lists!$FI$15&lt;&gt;"",ISNUMBER(SEARCH($AF$4,Lists!$FI$15))),1,0)</f>
        <v>#N/A</v>
      </c>
      <c r="CV15" s="79" t="e">
        <f>IF(ROW()-3&gt;MAX($CU$4:$CU$42),"",INDEX(Lists!$FI$4:$FI$42,MATCH(ROW()-3,$CU$4:$CU$42,0)))</f>
        <v>#N/A</v>
      </c>
      <c r="CW15" s="79" t="e">
        <f>CW14+IF(AND(Lists!$FN$15&lt;&gt;"",ISNUMBER(SEARCH($AG$4,Lists!$FN$15))),1,0)</f>
        <v>#N/A</v>
      </c>
      <c r="CX15" s="79" t="e">
        <f>IF(ROW()-3&gt;MAX($CW$4:$CW$42),"",INDEX(Lists!$FN$4:$FN$42,MATCH(ROW()-3,$CW$4:$CW$42,0)))</f>
        <v>#N/A</v>
      </c>
      <c r="CY15" s="79" t="e">
        <f>CY14+IF(AND(Lists!$FS$15&lt;&gt;"",ISNUMBER(SEARCH($AH$4,Lists!$FS$15))),1,0)</f>
        <v>#N/A</v>
      </c>
      <c r="CZ15" s="79" t="e">
        <f>IF(ROW()-3&gt;MAX($CY$4:$CY$42),"",INDEX(Lists!$FS$4:$FS$42,MATCH(ROW()-3,$CY$4:$CY$42,0)))</f>
        <v>#N/A</v>
      </c>
      <c r="DA15">
        <f>DA14+IF(AND(Lists!$FX$15&lt;&gt;"",ISNUMBER(SEARCH($AI$4,Lists!$FX$15))),1,0)</f>
        <v>2</v>
      </c>
      <c r="DB15" t="str">
        <f>IF(ROW()-3&gt;MAX($DA$4:$DA$42),"",INDEX(Lists!$FX$4:$FX$42,MATCH(ROW()-3,$DA$4:$DA$42,0)))</f>
        <v/>
      </c>
    </row>
    <row r="16" spans="1:106" ht="15" customHeight="1" x14ac:dyDescent="0.25">
      <c r="A16" s="81" t="s">
        <v>147</v>
      </c>
      <c r="B16" s="82"/>
      <c r="C16" s="82" t="str">
        <f>ROWS($C$15:$C$15)&amp;" lot(s)"</f>
        <v>1 lot(s)</v>
      </c>
      <c r="D16" s="82" t="s">
        <v>153</v>
      </c>
      <c r="E16" s="82" t="s">
        <v>149</v>
      </c>
      <c r="F16" s="83">
        <f>SUM(F15:F15)</f>
        <v>8.1999999999999993</v>
      </c>
      <c r="G16" s="82" t="s">
        <v>149</v>
      </c>
      <c r="H16" s="84" t="s">
        <v>149</v>
      </c>
      <c r="I16" s="84">
        <f t="shared" ref="I16:Q16" si="4">SUM(I15:I15)</f>
        <v>549400</v>
      </c>
      <c r="J16" s="84">
        <f t="shared" si="4"/>
        <v>98892</v>
      </c>
      <c r="K16" s="84">
        <f t="shared" si="4"/>
        <v>648292</v>
      </c>
      <c r="L16" s="84">
        <f t="shared" si="4"/>
        <v>12966</v>
      </c>
      <c r="M16" s="84">
        <f t="shared" si="4"/>
        <v>549.4</v>
      </c>
      <c r="N16" s="84">
        <f t="shared" si="4"/>
        <v>14586.57</v>
      </c>
      <c r="O16" s="85">
        <f t="shared" si="4"/>
        <v>247.23000000000002</v>
      </c>
      <c r="P16" s="84">
        <f t="shared" si="4"/>
        <v>14339.34</v>
      </c>
      <c r="Q16" s="84">
        <f t="shared" si="4"/>
        <v>14889</v>
      </c>
      <c r="R16" s="86" t="s">
        <v>149</v>
      </c>
      <c r="S16" s="84">
        <f>SUM(S15:S15)</f>
        <v>10988</v>
      </c>
      <c r="T16" s="84">
        <f>SUM(T15:T15)</f>
        <v>635381</v>
      </c>
      <c r="U16" s="84">
        <f>SUM(U15:U15)</f>
        <v>137350</v>
      </c>
      <c r="V16" s="87">
        <f>SUM(V15:V15)</f>
        <v>137350</v>
      </c>
      <c r="W16" s="84" t="s">
        <v>149</v>
      </c>
      <c r="X16" s="84">
        <f>SUM(X15:X15)</f>
        <v>498031</v>
      </c>
      <c r="Y16" s="84">
        <f>SUM(Y15:Y15)</f>
        <v>0</v>
      </c>
      <c r="Z16" s="84" t="s">
        <v>149</v>
      </c>
      <c r="AA16" s="84">
        <f ca="1">SUM(AA15:AA15)</f>
        <v>19448.760000000002</v>
      </c>
      <c r="AB16" s="84">
        <f>SUM(AB15:AB15)</f>
        <v>0</v>
      </c>
      <c r="AC16" s="84" t="s">
        <v>149</v>
      </c>
      <c r="AD16" s="84">
        <f>SUM(AD15:AD15)</f>
        <v>137350</v>
      </c>
      <c r="AE16" s="84">
        <f>SUM(AE15:AE15)</f>
        <v>498031</v>
      </c>
      <c r="AF16" s="84" t="s">
        <v>149</v>
      </c>
      <c r="AG16" s="88" t="s">
        <v>149</v>
      </c>
      <c r="AH16" s="84" t="s">
        <v>149</v>
      </c>
      <c r="AI16" s="89" t="str">
        <f>IF(AE16&lt;=5,"SETTLED","OUTSTANDING")</f>
        <v>OUTSTANDING</v>
      </c>
      <c r="AJ16" s="79"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Sheet'!$AD$14))))),IF($AF$4="",TRUE(),IF($AF$4="(blank)",'Final Calculation Sheet'!$AE$14="",IF($AF$4="(nonblank)",'Final Calculation Sheet'!$AE$14&lt;&gt;"",ISNUMBER(SEARCH($AF$4,'Final Calculation Sheet'!$AE$14))))),IF($AG$4="",TRUE(),IF($AG$4="(blank)",'Final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Sheet'!$AG$14))))),IF($AI$4="",TRUE(),IF($AI$4="(blank)",IF('Final Calculation Sheet'!$AD$14&lt;=5,"SETTLED","OUTSTANDING")="",IF($AI$4="(nonblank)",IF('Final Calculation Sheet'!$AD$14&lt;=5,"SETTLED","OUTSTANDING")&lt;&gt;"",ISNUMBER(SEARCH($AI$4,IF('Final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s="79" t="e">
        <f>CG15+IF(AND(Lists!$DZ$16&lt;&gt;"",ISNUMBER(SEARCH($Y$4,Lists!$DZ$16))),1,0)</f>
        <v>#N/A</v>
      </c>
      <c r="CH16" s="79" t="e">
        <f>IF(ROW()-3&gt;MAX($CG$4:$CG$42),"",INDEX(Lists!$DZ$4:$DZ$42,MATCH(ROW()-3,$CG$4:$CG$42,0)))</f>
        <v>#N/A</v>
      </c>
      <c r="CI16" s="79" t="e">
        <f>CI15+IF(AND(Lists!$EE$16&lt;&gt;"",ISNUMBER(SEARCH($Z$4,Lists!$EE$16))),1,0)</f>
        <v>#N/A</v>
      </c>
      <c r="CJ16" s="79" t="e">
        <f>IF(ROW()-3&gt;MAX($CI$4:$CI$42),"",INDEX(Lists!$EE$4:$EE$42,MATCH(ROW()-3,$CI$4:$CI$42,0)))</f>
        <v>#N/A</v>
      </c>
      <c r="CK16">
        <f ca="1">CK15+IF(AND(Lists!$EJ$16&lt;&gt;"",ISNUMBER(SEARCH($AA$4,Lists!$EJ$16))),1,0)</f>
        <v>6</v>
      </c>
      <c r="CL16" t="str">
        <f ca="1">IF(ROW()-3&gt;MAX($CK$4:$CK$42),"",INDEX(Lists!$EJ$4:$EJ$42,MATCH(ROW()-3,$CK$4:$CK$42,0)))</f>
        <v/>
      </c>
      <c r="CM16" s="79" t="e">
        <f>CM15+IF(AND(Lists!$EO$16&lt;&gt;"",ISNUMBER(SEARCH($AB$4,Lists!$EO$16))),1,0)</f>
        <v>#N/A</v>
      </c>
      <c r="CN16" s="79" t="e">
        <f>IF(ROW()-3&gt;MAX($CM$4:$CM$42),"",INDEX(Lists!$EO$4:$EO$42,MATCH(ROW()-3,$CM$4:$CM$42,0)))</f>
        <v>#N/A</v>
      </c>
      <c r="CO16" s="79" t="e">
        <f>CO15+IF(AND(Lists!$ET$16&lt;&gt;"",ISNUMBER(SEARCH($AC$4,Lists!$ET$16))),1,0)</f>
        <v>#N/A</v>
      </c>
      <c r="CP16" s="79"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s="79" t="e">
        <f>CU15+IF(AND(Lists!$FI$16&lt;&gt;"",ISNUMBER(SEARCH($AF$4,Lists!$FI$16))),1,0)</f>
        <v>#N/A</v>
      </c>
      <c r="CV16" s="79" t="e">
        <f>IF(ROW()-3&gt;MAX($CU$4:$CU$42),"",INDEX(Lists!$FI$4:$FI$42,MATCH(ROW()-3,$CU$4:$CU$42,0)))</f>
        <v>#N/A</v>
      </c>
      <c r="CW16" s="79" t="e">
        <f>CW15+IF(AND(Lists!$FN$16&lt;&gt;"",ISNUMBER(SEARCH($AG$4,Lists!$FN$16))),1,0)</f>
        <v>#N/A</v>
      </c>
      <c r="CX16" s="79" t="e">
        <f>IF(ROW()-3&gt;MAX($CW$4:$CW$42),"",INDEX(Lists!$FN$4:$FN$42,MATCH(ROW()-3,$CW$4:$CW$42,0)))</f>
        <v>#N/A</v>
      </c>
      <c r="CY16" s="79" t="e">
        <f>CY15+IF(AND(Lists!$FS$16&lt;&gt;"",ISNUMBER(SEARCH($AH$4,Lists!$FS$16))),1,0)</f>
        <v>#N/A</v>
      </c>
      <c r="CZ16" s="79" t="e">
        <f>IF(ROW()-3&gt;MAX($CY$4:$CY$42),"",INDEX(Lists!$FS$4:$FS$42,MATCH(ROW()-3,$CY$4:$CY$42,0)))</f>
        <v>#N/A</v>
      </c>
      <c r="DA16">
        <f>DA15+IF(AND(Lists!$FX$16&lt;&gt;"",ISNUMBER(SEARCH($AI$4,Lists!$FX$16))),1,0)</f>
        <v>2</v>
      </c>
      <c r="DB16" t="str">
        <f>IF(ROW()-3&gt;MAX($DA$4:$DA$42),"",INDEX(Lists!$FX$4:$FX$42,MATCH(ROW()-3,$DA$4:$DA$42,0)))</f>
        <v/>
      </c>
    </row>
    <row r="17" spans="1:106" ht="15" customHeight="1" outlineLevel="1" x14ac:dyDescent="0.25">
      <c r="A17" s="67">
        <v>1</v>
      </c>
      <c r="B17" s="68">
        <f>IF('Final Calculation Sheet'!$F$5="","",'Final Calculation Sheet'!$F$5)</f>
        <v>1874</v>
      </c>
      <c r="C17" s="76" t="str">
        <f>IF('Final Calculation Sheet'!$G$5="","",'Final Calculation Sheet'!$G$5)</f>
        <v>NATIONAL ENTERPRISES</v>
      </c>
      <c r="D17" s="69" t="str">
        <f>IF('Final Calculation Sheet'!$B$5="","",'Final Calculation Sheet'!$B$5)</f>
        <v>Scrap of Empty oil drum</v>
      </c>
      <c r="E17" s="80">
        <f>IF('Final Calculation Sheet'!$D$5="","",'Final Calculation Sheet'!$D$5)</f>
        <v>21977</v>
      </c>
      <c r="F17" s="80">
        <f>IF('Final Calculation Sheet'!$A$5="","",'Final Calculation Sheet'!$A$5)</f>
        <v>270</v>
      </c>
      <c r="G17" s="69"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 ca="1">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0" t="str">
        <f>IF('Final Calculation Sheet'!$AE$5="","",'Final Calculation Sheet'!$AE$5)</f>
        <v>DR2640100030</v>
      </c>
      <c r="AG17" s="74">
        <f>IF('Final Calculation Sheet'!$AF$5="","",'Final Calculation Sheet'!$AF$5)</f>
        <v>1800003302</v>
      </c>
      <c r="AH17" s="70" t="str">
        <f>IF('Final Calculation Sheet'!$AG$5="","",'Final Calculation Sheet'!$AG$5)</f>
        <v>27.08.2026</v>
      </c>
      <c r="AI17" s="75" t="str">
        <f>IF('Final Calculation Sheet'!$AD$5="","",IF('Final Calculation Sheet'!$AD$5&lt;=5,"SETTLED","OUTSTANDING"))</f>
        <v>SETTLED</v>
      </c>
      <c r="AJ17" s="79"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Sheet'!$AD$15))))),IF($AF$4="",TRUE(),IF($AF$4="(blank)",'Final Calculation Sheet'!$AE$15="",IF($AF$4="(nonblank)",'Final Calculation Sheet'!$AE$15&lt;&gt;"",ISNUMBER(SEARCH($AF$4,'Final Calculation Sheet'!$AE$15))))),IF($AG$4="",TRUE(),IF($AG$4="(blank)",'Final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Sheet'!$AG$15))))),IF($AI$4="",TRUE(),IF($AI$4="(blank)",IF('Final Calculation Sheet'!$AD$15&lt;=5,"SETTLED","OUTSTANDING")="",IF($AI$4="(nonblank)",IF('Final Calculation Sheet'!$AD$15&lt;=5,"SETTLED","OUTSTANDING")&lt;&gt;"",ISNUMBER(SEARCH($AI$4,IF('Final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s="79" t="e">
        <f>CG16+IF(AND(Lists!$DZ$17&lt;&gt;"",ISNUMBER(SEARCH($Y$4,Lists!$DZ$17))),1,0)</f>
        <v>#N/A</v>
      </c>
      <c r="CH17" s="79" t="e">
        <f>IF(ROW()-3&gt;MAX($CG$4:$CG$42),"",INDEX(Lists!$DZ$4:$DZ$42,MATCH(ROW()-3,$CG$4:$CG$42,0)))</f>
        <v>#N/A</v>
      </c>
      <c r="CI17" s="79" t="e">
        <f>CI16+IF(AND(Lists!$EE$17&lt;&gt;"",ISNUMBER(SEARCH($Z$4,Lists!$EE$17))),1,0)</f>
        <v>#N/A</v>
      </c>
      <c r="CJ17" s="79" t="e">
        <f>IF(ROW()-3&gt;MAX($CI$4:$CI$42),"",INDEX(Lists!$EE$4:$EE$42,MATCH(ROW()-3,$CI$4:$CI$42,0)))</f>
        <v>#N/A</v>
      </c>
      <c r="CK17">
        <f ca="1">CK16+IF(AND(Lists!$EJ$17&lt;&gt;"",ISNUMBER(SEARCH($AA$4,Lists!$EJ$17))),1,0)</f>
        <v>6</v>
      </c>
      <c r="CL17" t="str">
        <f ca="1">IF(ROW()-3&gt;MAX($CK$4:$CK$42),"",INDEX(Lists!$EJ$4:$EJ$42,MATCH(ROW()-3,$CK$4:$CK$42,0)))</f>
        <v/>
      </c>
      <c r="CM17" s="79" t="e">
        <f>CM16+IF(AND(Lists!$EO$17&lt;&gt;"",ISNUMBER(SEARCH($AB$4,Lists!$EO$17))),1,0)</f>
        <v>#N/A</v>
      </c>
      <c r="CN17" s="79" t="e">
        <f>IF(ROW()-3&gt;MAX($CM$4:$CM$42),"",INDEX(Lists!$EO$4:$EO$42,MATCH(ROW()-3,$CM$4:$CM$42,0)))</f>
        <v>#N/A</v>
      </c>
      <c r="CO17" s="79" t="e">
        <f>CO16+IF(AND(Lists!$ET$17&lt;&gt;"",ISNUMBER(SEARCH($AC$4,Lists!$ET$17))),1,0)</f>
        <v>#N/A</v>
      </c>
      <c r="CP17" s="79"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s="79" t="e">
        <f>CU16+IF(AND(Lists!$FI$17&lt;&gt;"",ISNUMBER(SEARCH($AF$4,Lists!$FI$17))),1,0)</f>
        <v>#N/A</v>
      </c>
      <c r="CV17" s="79" t="e">
        <f>IF(ROW()-3&gt;MAX($CU$4:$CU$42),"",INDEX(Lists!$FI$4:$FI$42,MATCH(ROW()-3,$CU$4:$CU$42,0)))</f>
        <v>#N/A</v>
      </c>
      <c r="CW17" s="79" t="e">
        <f>CW16+IF(AND(Lists!$FN$17&lt;&gt;"",ISNUMBER(SEARCH($AG$4,Lists!$FN$17))),1,0)</f>
        <v>#N/A</v>
      </c>
      <c r="CX17" s="79" t="e">
        <f>IF(ROW()-3&gt;MAX($CW$4:$CW$42),"",INDEX(Lists!$FN$4:$FN$42,MATCH(ROW()-3,$CW$4:$CW$42,0)))</f>
        <v>#N/A</v>
      </c>
      <c r="CY17" s="79" t="e">
        <f>CY16+IF(AND(Lists!$FS$17&lt;&gt;"",ISNUMBER(SEARCH($AH$4,Lists!$FS$17))),1,0)</f>
        <v>#N/A</v>
      </c>
      <c r="CZ17" s="79" t="e">
        <f>IF(ROW()-3&gt;MAX($CY$4:$CY$42),"",INDEX(Lists!$FS$4:$FS$42,MATCH(ROW()-3,$CY$4:$CY$42,0)))</f>
        <v>#N/A</v>
      </c>
      <c r="DA17">
        <f>DA16+IF(AND(Lists!$FX$17&lt;&gt;"",ISNUMBER(SEARCH($AI$4,Lists!$FX$17))),1,0)</f>
        <v>2</v>
      </c>
      <c r="DB17" t="str">
        <f>IF(ROW()-3&gt;MAX($DA$4:$DA$42),"",INDEX(Lists!$FX$4:$FX$42,MATCH(ROW()-3,$DA$4:$DA$42,0)))</f>
        <v/>
      </c>
    </row>
    <row r="18" spans="1:106" ht="15" customHeight="1" outlineLevel="1" x14ac:dyDescent="0.25">
      <c r="A18" s="90">
        <v>2</v>
      </c>
      <c r="B18" s="91">
        <f>IF('Final Calculation Sheet'!$F$10="","",'Final Calculation Sheet'!$F$10)</f>
        <v>2002</v>
      </c>
      <c r="C18" s="92" t="str">
        <f>IF('Final Calculation Sheet'!$G$10="","",'Final Calculation Sheet'!$G$10)</f>
        <v>NATIONAL ENTERPRISES</v>
      </c>
      <c r="D18" s="93" t="str">
        <f>IF('Final Calculation Sheet'!$B$10="","",'Final Calculation Sheet'!$B$10)</f>
        <v>Scrap of 132 KV CT</v>
      </c>
      <c r="E18" s="94">
        <f>IF('Final Calculation Sheet'!$D$10="","",'Final Calculation Sheet'!$D$10)</f>
        <v>21977</v>
      </c>
      <c r="F18" s="94">
        <f>IF('Final Calculation Sheet'!$A$10="","",'Final Calculation Sheet'!$A$10)</f>
        <v>4</v>
      </c>
      <c r="G18" s="93"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 ca="1">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95" t="str">
        <f>IF('Final Calculation Sheet'!$AE$10="","",'Final Calculation Sheet'!$AE$10)</f>
        <v>DR2640100031</v>
      </c>
      <c r="AG18" s="99">
        <f>IF('Final Calculation Sheet'!$AF$10="","",'Final Calculation Sheet'!$AF$10)</f>
        <v>1800003303</v>
      </c>
      <c r="AH18" s="95" t="str">
        <f>IF('Final Calculation Sheet'!$AG$10="","",'Final Calculation Sheet'!$AG$10)</f>
        <v>27.08.2026</v>
      </c>
      <c r="AI18" s="100" t="str">
        <f>IF('Final Calculation Sheet'!$AD$10="","",IF('Final Calculation Sheet'!$AD$10&lt;=5,"SETTLED","OUTSTANDING"))</f>
        <v>SETTLED</v>
      </c>
      <c r="AJ18" s="79"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Sheet'!$AD$16))))),IF($AF$4="",TRUE(),IF($AF$4="(blank)",'Final Calculation Sheet'!$AE$16="",IF($AF$4="(nonblank)",'Final Calculation Sheet'!$AE$16&lt;&gt;"",ISNUMBER(SEARCH($AF$4,'Final Calculation Sheet'!$AE$16))))),IF($AG$4="",TRUE(),IF($AG$4="(blank)",'Final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Sheet'!$AG$16))))),IF($AI$4="",TRUE(),IF($AI$4="(blank)",IF('Final Calculation Sheet'!$AD$16&lt;=5,"SETTLED","OUTSTANDING")="",IF($AI$4="(nonblank)",IF('Final Calculation Sheet'!$AD$16&lt;=5,"SETTLED","OUTSTANDING")&lt;&gt;"",ISNUMBER(SEARCH($AI$4,IF('Final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s="79" t="e">
        <f>CG17+IF(AND(Lists!$DZ$18&lt;&gt;"",ISNUMBER(SEARCH($Y$4,Lists!$DZ$18))),1,0)</f>
        <v>#N/A</v>
      </c>
      <c r="CH18" s="79" t="e">
        <f>IF(ROW()-3&gt;MAX($CG$4:$CG$42),"",INDEX(Lists!$DZ$4:$DZ$42,MATCH(ROW()-3,$CG$4:$CG$42,0)))</f>
        <v>#N/A</v>
      </c>
      <c r="CI18" s="79" t="e">
        <f>CI17+IF(AND(Lists!$EE$18&lt;&gt;"",ISNUMBER(SEARCH($Z$4,Lists!$EE$18))),1,0)</f>
        <v>#N/A</v>
      </c>
      <c r="CJ18" s="79" t="e">
        <f>IF(ROW()-3&gt;MAX($CI$4:$CI$42),"",INDEX(Lists!$EE$4:$EE$42,MATCH(ROW()-3,$CI$4:$CI$42,0)))</f>
        <v>#N/A</v>
      </c>
      <c r="CK18">
        <f ca="1">CK17+IF(AND(Lists!$EJ$18&lt;&gt;"",ISNUMBER(SEARCH($AA$4,Lists!$EJ$18))),1,0)</f>
        <v>6</v>
      </c>
      <c r="CL18" t="str">
        <f ca="1">IF(ROW()-3&gt;MAX($CK$4:$CK$42),"",INDEX(Lists!$EJ$4:$EJ$42,MATCH(ROW()-3,$CK$4:$CK$42,0)))</f>
        <v/>
      </c>
      <c r="CM18" s="79" t="e">
        <f>CM17+IF(AND(Lists!$EO$18&lt;&gt;"",ISNUMBER(SEARCH($AB$4,Lists!$EO$18))),1,0)</f>
        <v>#N/A</v>
      </c>
      <c r="CN18" s="79" t="e">
        <f>IF(ROW()-3&gt;MAX($CM$4:$CM$42),"",INDEX(Lists!$EO$4:$EO$42,MATCH(ROW()-3,$CM$4:$CM$42,0)))</f>
        <v>#N/A</v>
      </c>
      <c r="CO18" s="79" t="e">
        <f>CO17+IF(AND(Lists!$ET$18&lt;&gt;"",ISNUMBER(SEARCH($AC$4,Lists!$ET$18))),1,0)</f>
        <v>#N/A</v>
      </c>
      <c r="CP18" s="79"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s="79" t="e">
        <f>CU17+IF(AND(Lists!$FI$18&lt;&gt;"",ISNUMBER(SEARCH($AF$4,Lists!$FI$18))),1,0)</f>
        <v>#N/A</v>
      </c>
      <c r="CV18" s="79" t="e">
        <f>IF(ROW()-3&gt;MAX($CU$4:$CU$42),"",INDEX(Lists!$FI$4:$FI$42,MATCH(ROW()-3,$CU$4:$CU$42,0)))</f>
        <v>#N/A</v>
      </c>
      <c r="CW18" s="79" t="e">
        <f>CW17+IF(AND(Lists!$FN$18&lt;&gt;"",ISNUMBER(SEARCH($AG$4,Lists!$FN$18))),1,0)</f>
        <v>#N/A</v>
      </c>
      <c r="CX18" s="79" t="e">
        <f>IF(ROW()-3&gt;MAX($CW$4:$CW$42),"",INDEX(Lists!$FN$4:$FN$42,MATCH(ROW()-3,$CW$4:$CW$42,0)))</f>
        <v>#N/A</v>
      </c>
      <c r="CY18" s="79" t="e">
        <f>CY17+IF(AND(Lists!$FS$18&lt;&gt;"",ISNUMBER(SEARCH($AH$4,Lists!$FS$18))),1,0)</f>
        <v>#N/A</v>
      </c>
      <c r="CZ18" s="79" t="e">
        <f>IF(ROW()-3&gt;MAX($CY$4:$CY$42),"",INDEX(Lists!$FS$4:$FS$42,MATCH(ROW()-3,$CY$4:$CY$42,0)))</f>
        <v>#N/A</v>
      </c>
      <c r="DA18">
        <f>DA17+IF(AND(Lists!$FX$18&lt;&gt;"",ISNUMBER(SEARCH($AI$4,Lists!$FX$18))),1,0)</f>
        <v>2</v>
      </c>
      <c r="DB18" t="str">
        <f>IF(ROW()-3&gt;MAX($DA$4:$DA$42),"",INDEX(Lists!$FX$4:$FX$42,MATCH(ROW()-3,$DA$4:$DA$42,0)))</f>
        <v/>
      </c>
    </row>
    <row r="19" spans="1:106" ht="15" customHeight="1" outlineLevel="1" x14ac:dyDescent="0.25">
      <c r="A19" s="67">
        <v>3</v>
      </c>
      <c r="B19" s="68">
        <f>IF('Final Calculation Sheet'!$F$11="","",'Final Calculation Sheet'!$F$11)</f>
        <v>2003</v>
      </c>
      <c r="C19" s="76" t="str">
        <f>IF('Final Calculation Sheet'!$G$11="","",'Final Calculation Sheet'!$G$11)</f>
        <v>NATIONAL ENTERPRISES</v>
      </c>
      <c r="D19" s="69" t="str">
        <f>IF('Final Calculation Sheet'!$B$11="","",'Final Calculation Sheet'!$B$11)</f>
        <v>Scrap of 145 KV CB</v>
      </c>
      <c r="E19" s="80">
        <f>IF('Final Calculation Sheet'!$D$11="","",'Final Calculation Sheet'!$D$11)</f>
        <v>21977</v>
      </c>
      <c r="F19" s="80">
        <f>IF('Final Calculation Sheet'!$A$11="","",'Final Calculation Sheet'!$A$11)</f>
        <v>1</v>
      </c>
      <c r="G19" s="69"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 ca="1">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0" t="str">
        <f>IF('Final Calculation Sheet'!$AE$11="","",'Final Calculation Sheet'!$AE$11)</f>
        <v>DR2640100032</v>
      </c>
      <c r="AG19" s="74">
        <f>IF('Final Calculation Sheet'!$AF$11="","",'Final Calculation Sheet'!$AF$11)</f>
        <v>1800003304</v>
      </c>
      <c r="AH19" s="70" t="str">
        <f>IF('Final Calculation Sheet'!$AG$11="","",'Final Calculation Sheet'!$AG$11)</f>
        <v>27.08.2026</v>
      </c>
      <c r="AI19" s="75" t="str">
        <f>IF('Final Calculation Sheet'!$AD$11="","",IF('Final Calculation Sheet'!$AD$11&lt;=5,"SETTLED","OUTSTANDING"))</f>
        <v>SETTLED</v>
      </c>
      <c r="AJ19" s="7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Sheet'!$AD$17))))),IF($AF$4="",TRUE(),IF($AF$4="(blank)",'Final Calculation Sheet'!$AE$17="",IF($AF$4="(nonblank)",'Final Calculation Sheet'!$AE$17&lt;&gt;"",ISNUMBER(SEARCH($AF$4,'Final Calculation Sheet'!$AE$17))))),IF($AG$4="",TRUE(),IF($AG$4="(blank)",'Final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Sheet'!$AG$17))))),IF($AI$4="",TRUE(),IF($AI$4="(blank)",IF('Final Calculation Sheet'!$AD$17&lt;=5,"SETTLED","OUTSTANDING")="",IF($AI$4="(nonblank)",IF('Final Calculation Sheet'!$AD$17&lt;=5,"SETTLED","OUTSTANDING")&lt;&gt;"",ISNUMBER(SEARCH($AI$4,IF('Final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s="79" t="e">
        <f>CG18+IF(AND(Lists!$DZ$19&lt;&gt;"",ISNUMBER(SEARCH($Y$4,Lists!$DZ$19))),1,0)</f>
        <v>#N/A</v>
      </c>
      <c r="CH19" s="79" t="e">
        <f>IF(ROW()-3&gt;MAX($CG$4:$CG$42),"",INDEX(Lists!$DZ$4:$DZ$42,MATCH(ROW()-3,$CG$4:$CG$42,0)))</f>
        <v>#N/A</v>
      </c>
      <c r="CI19" s="79" t="e">
        <f>CI18+IF(AND(Lists!$EE$19&lt;&gt;"",ISNUMBER(SEARCH($Z$4,Lists!$EE$19))),1,0)</f>
        <v>#N/A</v>
      </c>
      <c r="CJ19" s="79" t="e">
        <f>IF(ROW()-3&gt;MAX($CI$4:$CI$42),"",INDEX(Lists!$EE$4:$EE$42,MATCH(ROW()-3,$CI$4:$CI$42,0)))</f>
        <v>#N/A</v>
      </c>
      <c r="CK19">
        <f ca="1">CK18+IF(AND(Lists!$EJ$19&lt;&gt;"",ISNUMBER(SEARCH($AA$4,Lists!$EJ$19))),1,0)</f>
        <v>6</v>
      </c>
      <c r="CL19" t="str">
        <f ca="1">IF(ROW()-3&gt;MAX($CK$4:$CK$42),"",INDEX(Lists!$EJ$4:$EJ$42,MATCH(ROW()-3,$CK$4:$CK$42,0)))</f>
        <v/>
      </c>
      <c r="CM19" s="79" t="e">
        <f>CM18+IF(AND(Lists!$EO$19&lt;&gt;"",ISNUMBER(SEARCH($AB$4,Lists!$EO$19))),1,0)</f>
        <v>#N/A</v>
      </c>
      <c r="CN19" s="79" t="e">
        <f>IF(ROW()-3&gt;MAX($CM$4:$CM$42),"",INDEX(Lists!$EO$4:$EO$42,MATCH(ROW()-3,$CM$4:$CM$42,0)))</f>
        <v>#N/A</v>
      </c>
      <c r="CO19" s="79" t="e">
        <f>CO18+IF(AND(Lists!$ET$19&lt;&gt;"",ISNUMBER(SEARCH($AC$4,Lists!$ET$19))),1,0)</f>
        <v>#N/A</v>
      </c>
      <c r="CP19" s="7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s="79" t="e">
        <f>CU18+IF(AND(Lists!$FI$19&lt;&gt;"",ISNUMBER(SEARCH($AF$4,Lists!$FI$19))),1,0)</f>
        <v>#N/A</v>
      </c>
      <c r="CV19" s="79" t="e">
        <f>IF(ROW()-3&gt;MAX($CU$4:$CU$42),"",INDEX(Lists!$FI$4:$FI$42,MATCH(ROW()-3,$CU$4:$CU$42,0)))</f>
        <v>#N/A</v>
      </c>
      <c r="CW19" s="79" t="e">
        <f>CW18+IF(AND(Lists!$FN$19&lt;&gt;"",ISNUMBER(SEARCH($AG$4,Lists!$FN$19))),1,0)</f>
        <v>#N/A</v>
      </c>
      <c r="CX19" s="79" t="e">
        <f>IF(ROW()-3&gt;MAX($CW$4:$CW$42),"",INDEX(Lists!$FN$4:$FN$42,MATCH(ROW()-3,$CW$4:$CW$42,0)))</f>
        <v>#N/A</v>
      </c>
      <c r="CY19" s="79" t="e">
        <f>CY18+IF(AND(Lists!$FS$19&lt;&gt;"",ISNUMBER(SEARCH($AH$4,Lists!$FS$19))),1,0)</f>
        <v>#N/A</v>
      </c>
      <c r="CZ19" s="79" t="e">
        <f>IF(ROW()-3&gt;MAX($CY$4:$CY$42),"",INDEX(Lists!$FS$4:$FS$42,MATCH(ROW()-3,$CY$4:$CY$42,0)))</f>
        <v>#N/A</v>
      </c>
      <c r="DA19">
        <f>DA18+IF(AND(Lists!$FX$19&lt;&gt;"",ISNUMBER(SEARCH($AI$4,Lists!$FX$19))),1,0)</f>
        <v>2</v>
      </c>
      <c r="DB19" t="str">
        <f>IF(ROW()-3&gt;MAX($DA$4:$DA$42),"",INDEX(Lists!$FX$4:$FX$42,MATCH(ROW()-3,$DA$4:$DA$42,0)))</f>
        <v/>
      </c>
    </row>
    <row r="20" spans="1:106" ht="15" customHeight="1" outlineLevel="1" x14ac:dyDescent="0.25">
      <c r="A20" s="90">
        <v>4</v>
      </c>
      <c r="B20" s="91">
        <f>IF('Final Calculation Sheet'!$F$12="","",'Final Calculation Sheet'!$F$12)</f>
        <v>2005</v>
      </c>
      <c r="C20" s="92" t="str">
        <f>IF('Final Calculation Sheet'!$G$12="","",'Final Calculation Sheet'!$G$12)</f>
        <v>NATIONAL ENTERPRISES</v>
      </c>
      <c r="D20" s="93" t="str">
        <f>IF('Final Calculation Sheet'!$B$12="","",'Final Calculation Sheet'!$B$12)</f>
        <v>Scrap of 220KV CT</v>
      </c>
      <c r="E20" s="94">
        <f>IF('Final Calculation Sheet'!$D$12="","",'Final Calculation Sheet'!$D$12)</f>
        <v>21977</v>
      </c>
      <c r="F20" s="94">
        <f>IF('Final Calculation Sheet'!$A$12="","",'Final Calculation Sheet'!$A$12)</f>
        <v>1</v>
      </c>
      <c r="G20" s="93"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 ca="1">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95" t="str">
        <f>IF('Final Calculation Sheet'!$AE$12="","",'Final Calculation Sheet'!$AE$12)</f>
        <v>DR2640100033</v>
      </c>
      <c r="AG20" s="99">
        <f>IF('Final Calculation Sheet'!$AF$12="","",'Final Calculation Sheet'!$AF$12)</f>
        <v>1800003305</v>
      </c>
      <c r="AH20" s="95" t="str">
        <f>IF('Final Calculation Sheet'!$AG$12="","",'Final Calculation Sheet'!$AG$12)</f>
        <v>27.08.2026</v>
      </c>
      <c r="AI20" s="100" t="str">
        <f>IF('Final Calculation Sheet'!$AD$12="","",IF('Final Calculation Sheet'!$AD$12&lt;=5,"SETTLED","OUTSTANDING"))</f>
        <v>SETTLED</v>
      </c>
      <c r="AJ20" s="79"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Sheet'!$AD$18))))),IF($AF$4="",TRUE(),IF($AF$4="(blank)",'Final Calculation Sheet'!$AE$18="",IF($AF$4="(nonblank)",'Final Calculation Sheet'!$AE$18&lt;&gt;"",ISNUMBER(SEARCH($AF$4,'Final Calculation Sheet'!$AE$18))))),IF($AG$4="",TRUE(),IF($AG$4="(blank)",'Final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Sheet'!$AG$18))))),IF($AI$4="",TRUE(),IF($AI$4="(blank)",IF('Final Calculation Sheet'!$AD$18&lt;=5,"SETTLED","OUTSTANDING")="",IF($AI$4="(nonblank)",IF('Final Calculation Sheet'!$AD$18&lt;=5,"SETTLED","OUTSTANDING")&lt;&gt;"",ISNUMBER(SEARCH($AI$4,IF('Final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s="79" t="e">
        <f>CG19+IF(AND(Lists!$DZ$20&lt;&gt;"",ISNUMBER(SEARCH($Y$4,Lists!$DZ$20))),1,0)</f>
        <v>#N/A</v>
      </c>
      <c r="CH20" s="79" t="e">
        <f>IF(ROW()-3&gt;MAX($CG$4:$CG$42),"",INDEX(Lists!$DZ$4:$DZ$42,MATCH(ROW()-3,$CG$4:$CG$42,0)))</f>
        <v>#N/A</v>
      </c>
      <c r="CI20" s="79" t="e">
        <f>CI19+IF(AND(Lists!$EE$20&lt;&gt;"",ISNUMBER(SEARCH($Z$4,Lists!$EE$20))),1,0)</f>
        <v>#N/A</v>
      </c>
      <c r="CJ20" s="79" t="e">
        <f>IF(ROW()-3&gt;MAX($CI$4:$CI$42),"",INDEX(Lists!$EE$4:$EE$42,MATCH(ROW()-3,$CI$4:$CI$42,0)))</f>
        <v>#N/A</v>
      </c>
      <c r="CK20">
        <f ca="1">CK19+IF(AND(Lists!$EJ$20&lt;&gt;"",ISNUMBER(SEARCH($AA$4,Lists!$EJ$20))),1,0)</f>
        <v>6</v>
      </c>
      <c r="CL20" t="str">
        <f ca="1">IF(ROW()-3&gt;MAX($CK$4:$CK$42),"",INDEX(Lists!$EJ$4:$EJ$42,MATCH(ROW()-3,$CK$4:$CK$42,0)))</f>
        <v/>
      </c>
      <c r="CM20" s="79" t="e">
        <f>CM19+IF(AND(Lists!$EO$20&lt;&gt;"",ISNUMBER(SEARCH($AB$4,Lists!$EO$20))),1,0)</f>
        <v>#N/A</v>
      </c>
      <c r="CN20" s="79" t="e">
        <f>IF(ROW()-3&gt;MAX($CM$4:$CM$42),"",INDEX(Lists!$EO$4:$EO$42,MATCH(ROW()-3,$CM$4:$CM$42,0)))</f>
        <v>#N/A</v>
      </c>
      <c r="CO20" s="79" t="e">
        <f>CO19+IF(AND(Lists!$ET$20&lt;&gt;"",ISNUMBER(SEARCH($AC$4,Lists!$ET$20))),1,0)</f>
        <v>#N/A</v>
      </c>
      <c r="CP20" s="79"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s="79" t="e">
        <f>CU19+IF(AND(Lists!$FI$20&lt;&gt;"",ISNUMBER(SEARCH($AF$4,Lists!$FI$20))),1,0)</f>
        <v>#N/A</v>
      </c>
      <c r="CV20" s="79" t="e">
        <f>IF(ROW()-3&gt;MAX($CU$4:$CU$42),"",INDEX(Lists!$FI$4:$FI$42,MATCH(ROW()-3,$CU$4:$CU$42,0)))</f>
        <v>#N/A</v>
      </c>
      <c r="CW20" s="79" t="e">
        <f>CW19+IF(AND(Lists!$FN$20&lt;&gt;"",ISNUMBER(SEARCH($AG$4,Lists!$FN$20))),1,0)</f>
        <v>#N/A</v>
      </c>
      <c r="CX20" s="79" t="e">
        <f>IF(ROW()-3&gt;MAX($CW$4:$CW$42),"",INDEX(Lists!$FN$4:$FN$42,MATCH(ROW()-3,$CW$4:$CW$42,0)))</f>
        <v>#N/A</v>
      </c>
      <c r="CY20" s="79" t="e">
        <f>CY19+IF(AND(Lists!$FS$20&lt;&gt;"",ISNUMBER(SEARCH($AH$4,Lists!$FS$20))),1,0)</f>
        <v>#N/A</v>
      </c>
      <c r="CZ20" s="79" t="e">
        <f>IF(ROW()-3&gt;MAX($CY$4:$CY$42),"",INDEX(Lists!$FS$4:$FS$42,MATCH(ROW()-3,$CY$4:$CY$42,0)))</f>
        <v>#N/A</v>
      </c>
      <c r="DA20">
        <f>DA19+IF(AND(Lists!$FX$20&lt;&gt;"",ISNUMBER(SEARCH($AI$4,Lists!$FX$20))),1,0)</f>
        <v>2</v>
      </c>
      <c r="DB20" t="str">
        <f>IF(ROW()-3&gt;MAX($DA$4:$DA$42),"",INDEX(Lists!$FX$4:$FX$42,MATCH(ROW()-3,$DA$4:$DA$42,0)))</f>
        <v/>
      </c>
    </row>
    <row r="21" spans="1:106" ht="15" customHeight="1" outlineLevel="1" x14ac:dyDescent="0.25">
      <c r="A21" s="67">
        <v>5</v>
      </c>
      <c r="B21" s="68">
        <f>IF('Final Calculation Sheet'!$F$18="","",'Final Calculation Sheet'!$F$18)</f>
        <v>2018</v>
      </c>
      <c r="C21" s="76" t="str">
        <f>IF('Final Calculation Sheet'!$G$18="","",'Final Calculation Sheet'!$G$18)</f>
        <v>NATIONAL ENTERPRISES</v>
      </c>
      <c r="D21" s="69" t="str">
        <f>IF('Final Calculation Sheet'!$B$18="","",'Final Calculation Sheet'!$B$18)</f>
        <v>Scrap of 220 KV Circuit Breaker</v>
      </c>
      <c r="E21" s="80">
        <f>IF('Final Calculation Sheet'!$D$18="","",'Final Calculation Sheet'!$D$18)</f>
        <v>21978</v>
      </c>
      <c r="F21" s="80">
        <f>IF('Final Calculation Sheet'!$A$18="","",'Final Calculation Sheet'!$A$18)</f>
        <v>1</v>
      </c>
      <c r="G21" s="69"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 ca="1">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0" t="str">
        <f>IF('Final Calculation Sheet'!$AE$18="","",'Final Calculation Sheet'!$AE$18)</f>
        <v>DR2640100034</v>
      </c>
      <c r="AG21" s="74">
        <f>IF('Final Calculation Sheet'!$AF$18="","",'Final Calculation Sheet'!$AF$18)</f>
        <v>1800003306</v>
      </c>
      <c r="AH21" s="70" t="str">
        <f>IF('Final Calculation Sheet'!$AG$18="","",'Final Calculation Sheet'!$AG$18)</f>
        <v>27.08.2026</v>
      </c>
      <c r="AI21" s="75" t="str">
        <f>IF('Final Calculation Sheet'!$AD$18="","",IF('Final Calculation Sheet'!$AD$18&lt;=5,"SETTLED","OUTSTANDING"))</f>
        <v>SETTLED</v>
      </c>
      <c r="AJ21" s="79"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Sheet'!$AD$19))))),IF($AF$4="",TRUE(),IF($AF$4="(blank)",'Final Calculation Sheet'!$AE$19="",IF($AF$4="(nonblank)",'Final Calculation Sheet'!$AE$19&lt;&gt;"",ISNUMBER(SEARCH($AF$4,'Final Calculation Sheet'!$AE$19))))),IF($AG$4="",TRUE(),IF($AG$4="(blank)",'Final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Sheet'!$AG$19))))),IF($AI$4="",TRUE(),IF($AI$4="(blank)",IF('Final Calculation Sheet'!$AD$19&lt;=5,"SETTLED","OUTSTANDING")="",IF($AI$4="(nonblank)",IF('Final Calculation Sheet'!$AD$19&lt;=5,"SETTLED","OUTSTANDING")&lt;&gt;"",ISNUMBER(SEARCH($AI$4,IF('Final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s="79" t="e">
        <f>CG20+IF(AND(Lists!$DZ$21&lt;&gt;"",ISNUMBER(SEARCH($Y$4,Lists!$DZ$21))),1,0)</f>
        <v>#N/A</v>
      </c>
      <c r="CH21" s="79" t="e">
        <f>IF(ROW()-3&gt;MAX($CG$4:$CG$42),"",INDEX(Lists!$DZ$4:$DZ$42,MATCH(ROW()-3,$CG$4:$CG$42,0)))</f>
        <v>#N/A</v>
      </c>
      <c r="CI21" s="79" t="e">
        <f>CI20+IF(AND(Lists!$EE$21&lt;&gt;"",ISNUMBER(SEARCH($Z$4,Lists!$EE$21))),1,0)</f>
        <v>#N/A</v>
      </c>
      <c r="CJ21" s="79" t="e">
        <f>IF(ROW()-3&gt;MAX($CI$4:$CI$42),"",INDEX(Lists!$EE$4:$EE$42,MATCH(ROW()-3,$CI$4:$CI$42,0)))</f>
        <v>#N/A</v>
      </c>
      <c r="CK21">
        <f ca="1">CK20+IF(AND(Lists!$EJ$21&lt;&gt;"",ISNUMBER(SEARCH($AA$4,Lists!$EJ$21))),1,0)</f>
        <v>6</v>
      </c>
      <c r="CL21" t="str">
        <f ca="1">IF(ROW()-3&gt;MAX($CK$4:$CK$42),"",INDEX(Lists!$EJ$4:$EJ$42,MATCH(ROW()-3,$CK$4:$CK$42,0)))</f>
        <v/>
      </c>
      <c r="CM21" s="79" t="e">
        <f>CM20+IF(AND(Lists!$EO$21&lt;&gt;"",ISNUMBER(SEARCH($AB$4,Lists!$EO$21))),1,0)</f>
        <v>#N/A</v>
      </c>
      <c r="CN21" s="79" t="e">
        <f>IF(ROW()-3&gt;MAX($CM$4:$CM$42),"",INDEX(Lists!$EO$4:$EO$42,MATCH(ROW()-3,$CM$4:$CM$42,0)))</f>
        <v>#N/A</v>
      </c>
      <c r="CO21" s="79" t="e">
        <f>CO20+IF(AND(Lists!$ET$21&lt;&gt;"",ISNUMBER(SEARCH($AC$4,Lists!$ET$21))),1,0)</f>
        <v>#N/A</v>
      </c>
      <c r="CP21" s="79"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s="79" t="e">
        <f>CU20+IF(AND(Lists!$FI$21&lt;&gt;"",ISNUMBER(SEARCH($AF$4,Lists!$FI$21))),1,0)</f>
        <v>#N/A</v>
      </c>
      <c r="CV21" s="79" t="e">
        <f>IF(ROW()-3&gt;MAX($CU$4:$CU$42),"",INDEX(Lists!$FI$4:$FI$42,MATCH(ROW()-3,$CU$4:$CU$42,0)))</f>
        <v>#N/A</v>
      </c>
      <c r="CW21" s="79" t="e">
        <f>CW20+IF(AND(Lists!$FN$21&lt;&gt;"",ISNUMBER(SEARCH($AG$4,Lists!$FN$21))),1,0)</f>
        <v>#N/A</v>
      </c>
      <c r="CX21" s="79" t="e">
        <f>IF(ROW()-3&gt;MAX($CW$4:$CW$42),"",INDEX(Lists!$FN$4:$FN$42,MATCH(ROW()-3,$CW$4:$CW$42,0)))</f>
        <v>#N/A</v>
      </c>
      <c r="CY21" s="79" t="e">
        <f>CY20+IF(AND(Lists!$FS$21&lt;&gt;"",ISNUMBER(SEARCH($AH$4,Lists!$FS$21))),1,0)</f>
        <v>#N/A</v>
      </c>
      <c r="CZ21" s="79" t="e">
        <f>IF(ROW()-3&gt;MAX($CY$4:$CY$42),"",INDEX(Lists!$FS$4:$FS$42,MATCH(ROW()-3,$CY$4:$CY$42,0)))</f>
        <v>#N/A</v>
      </c>
      <c r="DA21">
        <f>DA20+IF(AND(Lists!$FX$21&lt;&gt;"",ISNUMBER(SEARCH($AI$4,Lists!$FX$21))),1,0)</f>
        <v>2</v>
      </c>
      <c r="DB21" t="str">
        <f>IF(ROW()-3&gt;MAX($DA$4:$DA$42),"",INDEX(Lists!$FX$4:$FX$42,MATCH(ROW()-3,$DA$4:$DA$42,0)))</f>
        <v/>
      </c>
    </row>
    <row r="22" spans="1:106" ht="15" customHeight="1" outlineLevel="1" x14ac:dyDescent="0.25">
      <c r="A22" s="90">
        <v>6</v>
      </c>
      <c r="B22" s="91">
        <f>IF('Final Calculation Sheet'!$F$19="","",'Final Calculation Sheet'!$F$19)</f>
        <v>2019</v>
      </c>
      <c r="C22" s="92" t="str">
        <f>IF('Final Calculation Sheet'!$G$19="","",'Final Calculation Sheet'!$G$19)</f>
        <v>NATIONAL ENTERPRISES</v>
      </c>
      <c r="D22" s="93" t="str">
        <f>IF('Final Calculation Sheet'!$B$19="","",'Final Calculation Sheet'!$B$19)</f>
        <v>Scrap of 220 KV Circuit Breaker</v>
      </c>
      <c r="E22" s="94">
        <f>IF('Final Calculation Sheet'!$D$19="","",'Final Calculation Sheet'!$D$19)</f>
        <v>21978</v>
      </c>
      <c r="F22" s="94">
        <f>IF('Final Calculation Sheet'!$A$19="","",'Final Calculation Sheet'!$A$19)</f>
        <v>1</v>
      </c>
      <c r="G22" s="93"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 ca="1">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95" t="str">
        <f>IF('Final Calculation Sheet'!$AE$19="","",'Final Calculation Sheet'!$AE$19)</f>
        <v>DR2640100035</v>
      </c>
      <c r="AG22" s="99">
        <f>IF('Final Calculation Sheet'!$AF$19="","",'Final Calculation Sheet'!$AF$19)</f>
        <v>1800003307</v>
      </c>
      <c r="AH22" s="95" t="str">
        <f>IF('Final Calculation Sheet'!$AG$19="","",'Final Calculation Sheet'!$AG$19)</f>
        <v>27.08.2026</v>
      </c>
      <c r="AI22" s="100" t="str">
        <f>IF('Final Calculation Sheet'!$AD$19="","",IF('Final Calculation Sheet'!$AD$19&lt;=5,"SETTLED","OUTSTANDING"))</f>
        <v>SETTLED</v>
      </c>
      <c r="AJ22" s="79"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Sheet'!$AD$20))))),IF($AF$4="",TRUE(),IF($AF$4="(blank)",'Final Calculation Sheet'!$AE$20="",IF($AF$4="(nonblank)",'Final Calculation Sheet'!$AE$20&lt;&gt;"",ISNUMBER(SEARCH($AF$4,'Final Calculation Sheet'!$AE$20))))),IF($AG$4="",TRUE(),IF($AG$4="(blank)",'Final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Sheet'!$AG$20))))),IF($AI$4="",TRUE(),IF($AI$4="(blank)",IF('Final Calculation Sheet'!$AD$20&lt;=5,"SETTLED","OUTSTANDING")="",IF($AI$4="(nonblank)",IF('Final Calculation Sheet'!$AD$20&lt;=5,"SETTLED","OUTSTANDING")&lt;&gt;"",ISNUMBER(SEARCH($AI$4,IF('Final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s="79" t="e">
        <f>CG21+IF(AND(Lists!$DZ$22&lt;&gt;"",ISNUMBER(SEARCH($Y$4,Lists!$DZ$22))),1,0)</f>
        <v>#N/A</v>
      </c>
      <c r="CH22" s="79" t="e">
        <f>IF(ROW()-3&gt;MAX($CG$4:$CG$42),"",INDEX(Lists!$DZ$4:$DZ$42,MATCH(ROW()-3,$CG$4:$CG$42,0)))</f>
        <v>#N/A</v>
      </c>
      <c r="CI22" s="79" t="e">
        <f>CI21+IF(AND(Lists!$EE$22&lt;&gt;"",ISNUMBER(SEARCH($Z$4,Lists!$EE$22))),1,0)</f>
        <v>#N/A</v>
      </c>
      <c r="CJ22" s="79" t="e">
        <f>IF(ROW()-3&gt;MAX($CI$4:$CI$42),"",INDEX(Lists!$EE$4:$EE$42,MATCH(ROW()-3,$CI$4:$CI$42,0)))</f>
        <v>#N/A</v>
      </c>
      <c r="CK22">
        <f ca="1">CK21+IF(AND(Lists!$EJ$22&lt;&gt;"",ISNUMBER(SEARCH($AA$4,Lists!$EJ$22))),1,0)</f>
        <v>6</v>
      </c>
      <c r="CL22" t="str">
        <f ca="1">IF(ROW()-3&gt;MAX($CK$4:$CK$42),"",INDEX(Lists!$EJ$4:$EJ$42,MATCH(ROW()-3,$CK$4:$CK$42,0)))</f>
        <v/>
      </c>
      <c r="CM22" s="79" t="e">
        <f>CM21+IF(AND(Lists!$EO$22&lt;&gt;"",ISNUMBER(SEARCH($AB$4,Lists!$EO$22))),1,0)</f>
        <v>#N/A</v>
      </c>
      <c r="CN22" s="79" t="e">
        <f>IF(ROW()-3&gt;MAX($CM$4:$CM$42),"",INDEX(Lists!$EO$4:$EO$42,MATCH(ROW()-3,$CM$4:$CM$42,0)))</f>
        <v>#N/A</v>
      </c>
      <c r="CO22" s="79" t="e">
        <f>CO21+IF(AND(Lists!$ET$22&lt;&gt;"",ISNUMBER(SEARCH($AC$4,Lists!$ET$22))),1,0)</f>
        <v>#N/A</v>
      </c>
      <c r="CP22" s="79"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s="79" t="e">
        <f>CU21+IF(AND(Lists!$FI$22&lt;&gt;"",ISNUMBER(SEARCH($AF$4,Lists!$FI$22))),1,0)</f>
        <v>#N/A</v>
      </c>
      <c r="CV22" s="79" t="e">
        <f>IF(ROW()-3&gt;MAX($CU$4:$CU$42),"",INDEX(Lists!$FI$4:$FI$42,MATCH(ROW()-3,$CU$4:$CU$42,0)))</f>
        <v>#N/A</v>
      </c>
      <c r="CW22" s="79" t="e">
        <f>CW21+IF(AND(Lists!$FN$22&lt;&gt;"",ISNUMBER(SEARCH($AG$4,Lists!$FN$22))),1,0)</f>
        <v>#N/A</v>
      </c>
      <c r="CX22" s="79" t="e">
        <f>IF(ROW()-3&gt;MAX($CW$4:$CW$42),"",INDEX(Lists!$FN$4:$FN$42,MATCH(ROW()-3,$CW$4:$CW$42,0)))</f>
        <v>#N/A</v>
      </c>
      <c r="CY22" s="79" t="e">
        <f>CY21+IF(AND(Lists!$FS$22&lt;&gt;"",ISNUMBER(SEARCH($AH$4,Lists!$FS$22))),1,0)</f>
        <v>#N/A</v>
      </c>
      <c r="CZ22" s="79" t="e">
        <f>IF(ROW()-3&gt;MAX($CY$4:$CY$42),"",INDEX(Lists!$FS$4:$FS$42,MATCH(ROW()-3,$CY$4:$CY$42,0)))</f>
        <v>#N/A</v>
      </c>
      <c r="DA22">
        <f>DA21+IF(AND(Lists!$FX$22&lt;&gt;"",ISNUMBER(SEARCH($AI$4,Lists!$FX$22))),1,0)</f>
        <v>2</v>
      </c>
      <c r="DB22" t="str">
        <f>IF(ROW()-3&gt;MAX($DA$4:$DA$42),"",INDEX(Lists!$FX$4:$FX$42,MATCH(ROW()-3,$DA$4:$DA$42,0)))</f>
        <v/>
      </c>
    </row>
    <row r="23" spans="1:106" ht="15" customHeight="1" outlineLevel="1" x14ac:dyDescent="0.25">
      <c r="A23" s="67">
        <v>7</v>
      </c>
      <c r="B23" s="68">
        <f>IF('Final Calculation Sheet'!$F$22="","",'Final Calculation Sheet'!$F$22)</f>
        <v>2023</v>
      </c>
      <c r="C23" s="76" t="str">
        <f>IF('Final Calculation Sheet'!$G$22="","",'Final Calculation Sheet'!$G$22)</f>
        <v>NATIONAL ENTERPRISES</v>
      </c>
      <c r="D23" s="69" t="str">
        <f>IF('Final Calculation Sheet'!$B$22="","",'Final Calculation Sheet'!$B$22)</f>
        <v>Scrap of 132 KV CT</v>
      </c>
      <c r="E23" s="80">
        <f>IF('Final Calculation Sheet'!$D$22="","",'Final Calculation Sheet'!$D$22)</f>
        <v>21978</v>
      </c>
      <c r="F23" s="80">
        <f>IF('Final Calculation Sheet'!$A$22="","",'Final Calculation Sheet'!$A$22)</f>
        <v>3</v>
      </c>
      <c r="G23" s="69"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 ca="1">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0" t="str">
        <f>IF('Final Calculation Sheet'!$AE$22="","",'Final Calculation Sheet'!$AE$22)</f>
        <v>DR2640100044</v>
      </c>
      <c r="AG23" s="74">
        <f>IF('Final Calculation Sheet'!$AF$22="","",'Final Calculation Sheet'!$AF$22)</f>
        <v>1800003308</v>
      </c>
      <c r="AH23" s="70" t="str">
        <f>IF('Final Calculation Sheet'!$AG$22="","",'Final Calculation Sheet'!$AG$22)</f>
        <v>27.08.2026</v>
      </c>
      <c r="AI23" s="75" t="str">
        <f>IF('Final Calculation Sheet'!$AD$22="","",IF('Final Calculation Sheet'!$AD$22&lt;=5,"SETTLED","OUTSTANDING"))</f>
        <v>SETTLED</v>
      </c>
      <c r="AJ23" s="79"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Sheet'!$AD$21))))),IF($AF$4="",TRUE(),IF($AF$4="(blank)",'Final Calculation Sheet'!$AE$21="",IF($AF$4="(nonblank)",'Final Calculation Sheet'!$AE$21&lt;&gt;"",ISNUMBER(SEARCH($AF$4,'Final Calculation Sheet'!$AE$21))))),IF($AG$4="",TRUE(),IF($AG$4="(blank)",'Final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Sheet'!$AG$21))))),IF($AI$4="",TRUE(),IF($AI$4="(blank)",IF('Final Calculation Sheet'!$AD$21&lt;=5,"SETTLED","OUTSTANDING")="",IF($AI$4="(nonblank)",IF('Final Calculation Sheet'!$AD$21&lt;=5,"SETTLED","OUTSTANDING")&lt;&gt;"",ISNUMBER(SEARCH($AI$4,IF('Final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s="79" t="e">
        <f>CG22+IF(AND(Lists!$DZ$23&lt;&gt;"",ISNUMBER(SEARCH($Y$4,Lists!$DZ$23))),1,0)</f>
        <v>#N/A</v>
      </c>
      <c r="CH23" s="79" t="e">
        <f>IF(ROW()-3&gt;MAX($CG$4:$CG$42),"",INDEX(Lists!$DZ$4:$DZ$42,MATCH(ROW()-3,$CG$4:$CG$42,0)))</f>
        <v>#N/A</v>
      </c>
      <c r="CI23" s="79" t="e">
        <f>CI22+IF(AND(Lists!$EE$23&lt;&gt;"",ISNUMBER(SEARCH($Z$4,Lists!$EE$23))),1,0)</f>
        <v>#N/A</v>
      </c>
      <c r="CJ23" s="79" t="e">
        <f>IF(ROW()-3&gt;MAX($CI$4:$CI$42),"",INDEX(Lists!$EE$4:$EE$42,MATCH(ROW()-3,$CI$4:$CI$42,0)))</f>
        <v>#N/A</v>
      </c>
      <c r="CK23">
        <f ca="1">CK22+IF(AND(Lists!$EJ$23&lt;&gt;"",ISNUMBER(SEARCH($AA$4,Lists!$EJ$23))),1,0)</f>
        <v>6</v>
      </c>
      <c r="CL23" t="str">
        <f ca="1">IF(ROW()-3&gt;MAX($CK$4:$CK$42),"",INDEX(Lists!$EJ$4:$EJ$42,MATCH(ROW()-3,$CK$4:$CK$42,0)))</f>
        <v/>
      </c>
      <c r="CM23" s="79" t="e">
        <f>CM22+IF(AND(Lists!$EO$23&lt;&gt;"",ISNUMBER(SEARCH($AB$4,Lists!$EO$23))),1,0)</f>
        <v>#N/A</v>
      </c>
      <c r="CN23" s="79" t="e">
        <f>IF(ROW()-3&gt;MAX($CM$4:$CM$42),"",INDEX(Lists!$EO$4:$EO$42,MATCH(ROW()-3,$CM$4:$CM$42,0)))</f>
        <v>#N/A</v>
      </c>
      <c r="CO23" s="79" t="e">
        <f>CO22+IF(AND(Lists!$ET$23&lt;&gt;"",ISNUMBER(SEARCH($AC$4,Lists!$ET$23))),1,0)</f>
        <v>#N/A</v>
      </c>
      <c r="CP23" s="79"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s="79" t="e">
        <f>CU22+IF(AND(Lists!$FI$23&lt;&gt;"",ISNUMBER(SEARCH($AF$4,Lists!$FI$23))),1,0)</f>
        <v>#N/A</v>
      </c>
      <c r="CV23" s="79" t="e">
        <f>IF(ROW()-3&gt;MAX($CU$4:$CU$42),"",INDEX(Lists!$FI$4:$FI$42,MATCH(ROW()-3,$CU$4:$CU$42,0)))</f>
        <v>#N/A</v>
      </c>
      <c r="CW23" s="79" t="e">
        <f>CW22+IF(AND(Lists!$FN$23&lt;&gt;"",ISNUMBER(SEARCH($AG$4,Lists!$FN$23))),1,0)</f>
        <v>#N/A</v>
      </c>
      <c r="CX23" s="79" t="e">
        <f>IF(ROW()-3&gt;MAX($CW$4:$CW$42),"",INDEX(Lists!$FN$4:$FN$42,MATCH(ROW()-3,$CW$4:$CW$42,0)))</f>
        <v>#N/A</v>
      </c>
      <c r="CY23" s="79" t="e">
        <f>CY22+IF(AND(Lists!$FS$23&lt;&gt;"",ISNUMBER(SEARCH($AH$4,Lists!$FS$23))),1,0)</f>
        <v>#N/A</v>
      </c>
      <c r="CZ23" s="79" t="e">
        <f>IF(ROW()-3&gt;MAX($CY$4:$CY$42),"",INDEX(Lists!$FS$4:$FS$42,MATCH(ROW()-3,$CY$4:$CY$42,0)))</f>
        <v>#N/A</v>
      </c>
      <c r="DA23">
        <f>DA22+IF(AND(Lists!$FX$23&lt;&gt;"",ISNUMBER(SEARCH($AI$4,Lists!$FX$23))),1,0)</f>
        <v>2</v>
      </c>
      <c r="DB23" t="str">
        <f>IF(ROW()-3&gt;MAX($DA$4:$DA$42),"",INDEX(Lists!$FX$4:$FX$42,MATCH(ROW()-3,$DA$4:$DA$42,0)))</f>
        <v/>
      </c>
    </row>
    <row r="24" spans="1:106" ht="15" customHeight="1" outlineLevel="1" x14ac:dyDescent="0.25">
      <c r="A24" s="90">
        <v>8</v>
      </c>
      <c r="B24" s="91">
        <f>IF('Final Calculation Sheet'!$F$24="","",'Final Calculation Sheet'!$F$24)</f>
        <v>2027</v>
      </c>
      <c r="C24" s="92" t="str">
        <f>IF('Final Calculation Sheet'!$G$24="","",'Final Calculation Sheet'!$G$24)</f>
        <v>NATIONAL ENTERPRISES</v>
      </c>
      <c r="D24" s="93" t="str">
        <f>IF('Final Calculation Sheet'!$B$24="","",'Final Calculation Sheet'!$B$24)</f>
        <v>Scrap of 132 KV CT</v>
      </c>
      <c r="E24" s="94">
        <f>IF('Final Calculation Sheet'!$D$24="","",'Final Calculation Sheet'!$D$24)</f>
        <v>21978</v>
      </c>
      <c r="F24" s="94">
        <f>IF('Final Calculation Sheet'!$A$24="","",'Final Calculation Sheet'!$A$24)</f>
        <v>1</v>
      </c>
      <c r="G24" s="93"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 ca="1">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95" t="str">
        <f>IF('Final Calculation Sheet'!$AE$24="","",'Final Calculation Sheet'!$AE$24)</f>
        <v>DR2640100036</v>
      </c>
      <c r="AG24" s="99">
        <f>IF('Final Calculation Sheet'!$AF$24="","",'Final Calculation Sheet'!$AF$24)</f>
        <v>1800003309</v>
      </c>
      <c r="AH24" s="95" t="str">
        <f>IF('Final Calculation Sheet'!$AG$24="","",'Final Calculation Sheet'!$AG$24)</f>
        <v>27.08.2026</v>
      </c>
      <c r="AI24" s="100" t="str">
        <f>IF('Final Calculation Sheet'!$AD$24="","",IF('Final Calculation Sheet'!$AD$24&lt;=5,"SETTLED","OUTSTANDING"))</f>
        <v>SETTLED</v>
      </c>
      <c r="AJ24" s="79"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Sheet'!$AD$22))))),IF($AF$4="",TRUE(),IF($AF$4="(blank)",'Final Calculation Sheet'!$AE$22="",IF($AF$4="(nonblank)",'Final Calculation Sheet'!$AE$22&lt;&gt;"",ISNUMBER(SEARCH($AF$4,'Final Calculation Sheet'!$AE$22))))),IF($AG$4="",TRUE(),IF($AG$4="(blank)",'Final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Sheet'!$AG$22))))),IF($AI$4="",TRUE(),IF($AI$4="(blank)",IF('Final Calculation Sheet'!$AD$22&lt;=5,"SETTLED","OUTSTANDING")="",IF($AI$4="(nonblank)",IF('Final Calculation Sheet'!$AD$22&lt;=5,"SETTLED","OUTSTANDING")&lt;&gt;"",ISNUMBER(SEARCH($AI$4,IF('Final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s="79" t="e">
        <f>CG23+IF(AND(Lists!$DZ$24&lt;&gt;"",ISNUMBER(SEARCH($Y$4,Lists!$DZ$24))),1,0)</f>
        <v>#N/A</v>
      </c>
      <c r="CH24" s="79" t="e">
        <f>IF(ROW()-3&gt;MAX($CG$4:$CG$42),"",INDEX(Lists!$DZ$4:$DZ$42,MATCH(ROW()-3,$CG$4:$CG$42,0)))</f>
        <v>#N/A</v>
      </c>
      <c r="CI24" s="79" t="e">
        <f>CI23+IF(AND(Lists!$EE$24&lt;&gt;"",ISNUMBER(SEARCH($Z$4,Lists!$EE$24))),1,0)</f>
        <v>#N/A</v>
      </c>
      <c r="CJ24" s="79" t="e">
        <f>IF(ROW()-3&gt;MAX($CI$4:$CI$42),"",INDEX(Lists!$EE$4:$EE$42,MATCH(ROW()-3,$CI$4:$CI$42,0)))</f>
        <v>#N/A</v>
      </c>
      <c r="CK24">
        <f ca="1">CK23+IF(AND(Lists!$EJ$24&lt;&gt;"",ISNUMBER(SEARCH($AA$4,Lists!$EJ$24))),1,0)</f>
        <v>6</v>
      </c>
      <c r="CL24" t="str">
        <f ca="1">IF(ROW()-3&gt;MAX($CK$4:$CK$42),"",INDEX(Lists!$EJ$4:$EJ$42,MATCH(ROW()-3,$CK$4:$CK$42,0)))</f>
        <v/>
      </c>
      <c r="CM24" s="79" t="e">
        <f>CM23+IF(AND(Lists!$EO$24&lt;&gt;"",ISNUMBER(SEARCH($AB$4,Lists!$EO$24))),1,0)</f>
        <v>#N/A</v>
      </c>
      <c r="CN24" s="79" t="e">
        <f>IF(ROW()-3&gt;MAX($CM$4:$CM$42),"",INDEX(Lists!$EO$4:$EO$42,MATCH(ROW()-3,$CM$4:$CM$42,0)))</f>
        <v>#N/A</v>
      </c>
      <c r="CO24" s="79" t="e">
        <f>CO23+IF(AND(Lists!$ET$24&lt;&gt;"",ISNUMBER(SEARCH($AC$4,Lists!$ET$24))),1,0)</f>
        <v>#N/A</v>
      </c>
      <c r="CP24" s="79"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s="79" t="e">
        <f>CU23+IF(AND(Lists!$FI$24&lt;&gt;"",ISNUMBER(SEARCH($AF$4,Lists!$FI$24))),1,0)</f>
        <v>#N/A</v>
      </c>
      <c r="CV24" s="79" t="e">
        <f>IF(ROW()-3&gt;MAX($CU$4:$CU$42),"",INDEX(Lists!$FI$4:$FI$42,MATCH(ROW()-3,$CU$4:$CU$42,0)))</f>
        <v>#N/A</v>
      </c>
      <c r="CW24" s="79" t="e">
        <f>CW23+IF(AND(Lists!$FN$24&lt;&gt;"",ISNUMBER(SEARCH($AG$4,Lists!$FN$24))),1,0)</f>
        <v>#N/A</v>
      </c>
      <c r="CX24" s="79" t="e">
        <f>IF(ROW()-3&gt;MAX($CW$4:$CW$42),"",INDEX(Lists!$FN$4:$FN$42,MATCH(ROW()-3,$CW$4:$CW$42,0)))</f>
        <v>#N/A</v>
      </c>
      <c r="CY24" s="79" t="e">
        <f>CY23+IF(AND(Lists!$FS$24&lt;&gt;"",ISNUMBER(SEARCH($AH$4,Lists!$FS$24))),1,0)</f>
        <v>#N/A</v>
      </c>
      <c r="CZ24" s="79" t="e">
        <f>IF(ROW()-3&gt;MAX($CY$4:$CY$42),"",INDEX(Lists!$FS$4:$FS$42,MATCH(ROW()-3,$CY$4:$CY$42,0)))</f>
        <v>#N/A</v>
      </c>
      <c r="DA24">
        <f>DA23+IF(AND(Lists!$FX$24&lt;&gt;"",ISNUMBER(SEARCH($AI$4,Lists!$FX$24))),1,0)</f>
        <v>2</v>
      </c>
      <c r="DB24" t="str">
        <f>IF(ROW()-3&gt;MAX($DA$4:$DA$42),"",INDEX(Lists!$FX$4:$FX$42,MATCH(ROW()-3,$DA$4:$DA$42,0)))</f>
        <v/>
      </c>
    </row>
    <row r="25" spans="1:106" ht="15" customHeight="1" outlineLevel="1" x14ac:dyDescent="0.25">
      <c r="A25" s="67">
        <v>9</v>
      </c>
      <c r="B25" s="68">
        <f>IF('Final Calculation Sheet'!$F$26="","",'Final Calculation Sheet'!$F$26)</f>
        <v>2035</v>
      </c>
      <c r="C25" s="76" t="str">
        <f>IF('Final Calculation Sheet'!$G$26="","",'Final Calculation Sheet'!$G$26)</f>
        <v>NATIONAL ENTERPRISES</v>
      </c>
      <c r="D25" s="69" t="str">
        <f>IF('Final Calculation Sheet'!$B$26="","",'Final Calculation Sheet'!$B$26)</f>
        <v>Scrap of 132 KV Wave Trap</v>
      </c>
      <c r="E25" s="80">
        <f>IF('Final Calculation Sheet'!$D$26="","",'Final Calculation Sheet'!$D$26)</f>
        <v>21978</v>
      </c>
      <c r="F25" s="80">
        <f>IF('Final Calculation Sheet'!$A$26="","",'Final Calculation Sheet'!$A$26)</f>
        <v>2</v>
      </c>
      <c r="G25" s="69"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 ca="1">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0" t="str">
        <f>IF('Final Calculation Sheet'!$AE$26="","",'Final Calculation Sheet'!$AE$26)</f>
        <v>DR2640100037</v>
      </c>
      <c r="AG25" s="74">
        <f>IF('Final Calculation Sheet'!$AF$26="","",'Final Calculation Sheet'!$AF$26)</f>
        <v>1800003310</v>
      </c>
      <c r="AH25" s="70" t="str">
        <f>IF('Final Calculation Sheet'!$AG$26="","",'Final Calculation Sheet'!$AG$26)</f>
        <v>27.08.2026</v>
      </c>
      <c r="AI25" s="75" t="str">
        <f>IF('Final Calculation Sheet'!$AD$26="","",IF('Final Calculation Sheet'!$AD$26&lt;=5,"SETTLED","OUTSTANDING"))</f>
        <v>SETTLED</v>
      </c>
      <c r="AJ25" s="79"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Sheet'!$AD$23))))),IF($AF$4="",TRUE(),IF($AF$4="(blank)",'Final Calculation Sheet'!$AE$23="",IF($AF$4="(nonblank)",'Final Calculation Sheet'!$AE$23&lt;&gt;"",ISNUMBER(SEARCH($AF$4,'Final Calculation Sheet'!$AE$23))))),IF($AG$4="",TRUE(),IF($AG$4="(blank)",'Final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Sheet'!$AG$23))))),IF($AI$4="",TRUE(),IF($AI$4="(blank)",IF('Final Calculation Sheet'!$AD$23&lt;=5,"SETTLED","OUTSTANDING")="",IF($AI$4="(nonblank)",IF('Final Calculation Sheet'!$AD$23&lt;=5,"SETTLED","OUTSTANDING")&lt;&gt;"",ISNUMBER(SEARCH($AI$4,IF('Final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s="79" t="e">
        <f>CG24+IF(AND(Lists!$DZ$25&lt;&gt;"",ISNUMBER(SEARCH($Y$4,Lists!$DZ$25))),1,0)</f>
        <v>#N/A</v>
      </c>
      <c r="CH25" s="79" t="e">
        <f>IF(ROW()-3&gt;MAX($CG$4:$CG$42),"",INDEX(Lists!$DZ$4:$DZ$42,MATCH(ROW()-3,$CG$4:$CG$42,0)))</f>
        <v>#N/A</v>
      </c>
      <c r="CI25" s="79" t="e">
        <f>CI24+IF(AND(Lists!$EE$25&lt;&gt;"",ISNUMBER(SEARCH($Z$4,Lists!$EE$25))),1,0)</f>
        <v>#N/A</v>
      </c>
      <c r="CJ25" s="79" t="e">
        <f>IF(ROW()-3&gt;MAX($CI$4:$CI$42),"",INDEX(Lists!$EE$4:$EE$42,MATCH(ROW()-3,$CI$4:$CI$42,0)))</f>
        <v>#N/A</v>
      </c>
      <c r="CK25">
        <f ca="1">CK24+IF(AND(Lists!$EJ$25&lt;&gt;"",ISNUMBER(SEARCH($AA$4,Lists!$EJ$25))),1,0)</f>
        <v>6</v>
      </c>
      <c r="CL25" t="str">
        <f ca="1">IF(ROW()-3&gt;MAX($CK$4:$CK$42),"",INDEX(Lists!$EJ$4:$EJ$42,MATCH(ROW()-3,$CK$4:$CK$42,0)))</f>
        <v/>
      </c>
      <c r="CM25" s="79" t="e">
        <f>CM24+IF(AND(Lists!$EO$25&lt;&gt;"",ISNUMBER(SEARCH($AB$4,Lists!$EO$25))),1,0)</f>
        <v>#N/A</v>
      </c>
      <c r="CN25" s="79" t="e">
        <f>IF(ROW()-3&gt;MAX($CM$4:$CM$42),"",INDEX(Lists!$EO$4:$EO$42,MATCH(ROW()-3,$CM$4:$CM$42,0)))</f>
        <v>#N/A</v>
      </c>
      <c r="CO25" s="79" t="e">
        <f>CO24+IF(AND(Lists!$ET$25&lt;&gt;"",ISNUMBER(SEARCH($AC$4,Lists!$ET$25))),1,0)</f>
        <v>#N/A</v>
      </c>
      <c r="CP25" s="79"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s="79" t="e">
        <f>CU24+IF(AND(Lists!$FI$25&lt;&gt;"",ISNUMBER(SEARCH($AF$4,Lists!$FI$25))),1,0)</f>
        <v>#N/A</v>
      </c>
      <c r="CV25" s="79" t="e">
        <f>IF(ROW()-3&gt;MAX($CU$4:$CU$42),"",INDEX(Lists!$FI$4:$FI$42,MATCH(ROW()-3,$CU$4:$CU$42,0)))</f>
        <v>#N/A</v>
      </c>
      <c r="CW25" s="79" t="e">
        <f>CW24+IF(AND(Lists!$FN$25&lt;&gt;"",ISNUMBER(SEARCH($AG$4,Lists!$FN$25))),1,0)</f>
        <v>#N/A</v>
      </c>
      <c r="CX25" s="79" t="e">
        <f>IF(ROW()-3&gt;MAX($CW$4:$CW$42),"",INDEX(Lists!$FN$4:$FN$42,MATCH(ROW()-3,$CW$4:$CW$42,0)))</f>
        <v>#N/A</v>
      </c>
      <c r="CY25" s="79" t="e">
        <f>CY24+IF(AND(Lists!$FS$25&lt;&gt;"",ISNUMBER(SEARCH($AH$4,Lists!$FS$25))),1,0)</f>
        <v>#N/A</v>
      </c>
      <c r="CZ25" s="79" t="e">
        <f>IF(ROW()-3&gt;MAX($CY$4:$CY$42),"",INDEX(Lists!$FS$4:$FS$42,MATCH(ROW()-3,$CY$4:$CY$42,0)))</f>
        <v>#N/A</v>
      </c>
      <c r="DA25">
        <f>DA24+IF(AND(Lists!$FX$25&lt;&gt;"",ISNUMBER(SEARCH($AI$4,Lists!$FX$25))),1,0)</f>
        <v>2</v>
      </c>
      <c r="DB25" t="str">
        <f>IF(ROW()-3&gt;MAX($DA$4:$DA$42),"",INDEX(Lists!$FX$4:$FX$42,MATCH(ROW()-3,$DA$4:$DA$42,0)))</f>
        <v/>
      </c>
    </row>
    <row r="26" spans="1:106" ht="15" customHeight="1" outlineLevel="1" x14ac:dyDescent="0.25">
      <c r="A26" s="90">
        <v>10</v>
      </c>
      <c r="B26" s="91">
        <f>IF('Final Calculation Sheet'!$F$30="","",'Final Calculation Sheet'!$F$30)</f>
        <v>2043</v>
      </c>
      <c r="C26" s="92" t="str">
        <f>IF('Final Calculation Sheet'!$G$30="","",'Final Calculation Sheet'!$G$30)</f>
        <v>NATIONAL ENTERPRISES</v>
      </c>
      <c r="D26" s="93" t="str">
        <f>IF('Final Calculation Sheet'!$B$30="","",'Final Calculation Sheet'!$B$30)</f>
        <v>Scrap of 132 KV CT</v>
      </c>
      <c r="E26" s="94">
        <f>IF('Final Calculation Sheet'!$D$30="","",'Final Calculation Sheet'!$D$30)</f>
        <v>21979</v>
      </c>
      <c r="F26" s="94">
        <f>IF('Final Calculation Sheet'!$A$30="","",'Final Calculation Sheet'!$A$30)</f>
        <v>5</v>
      </c>
      <c r="G26" s="93"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 ca="1">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95" t="str">
        <f>IF('Final Calculation Sheet'!$AE$30="","",'Final Calculation Sheet'!$AE$30)</f>
        <v>DR2640100038</v>
      </c>
      <c r="AG26" s="99">
        <f>IF('Final Calculation Sheet'!$AF$30="","",'Final Calculation Sheet'!$AF$30)</f>
        <v>1800003311</v>
      </c>
      <c r="AH26" s="95" t="str">
        <f>IF('Final Calculation Sheet'!$AG$30="","",'Final Calculation Sheet'!$AG$30)</f>
        <v>27.08.2026</v>
      </c>
      <c r="AI26" s="100" t="str">
        <f>IF('Final Calculation Sheet'!$AD$30="","",IF('Final Calculation Sheet'!$AD$30&lt;=5,"SETTLED","OUTSTANDING"))</f>
        <v>SETTLED</v>
      </c>
      <c r="AJ26" s="79"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Sheet'!$AD$24))))),IF($AF$4="",TRUE(),IF($AF$4="(blank)",'Final Calculation Sheet'!$AE$24="",IF($AF$4="(nonblank)",'Final Calculation Sheet'!$AE$24&lt;&gt;"",ISNUMBER(SEARCH($AF$4,'Final Calculation Sheet'!$AE$24))))),IF($AG$4="",TRUE(),IF($AG$4="(blank)",'Final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Sheet'!$AG$24))))),IF($AI$4="",TRUE(),IF($AI$4="(blank)",IF('Final Calculation Sheet'!$AD$24&lt;=5,"SETTLED","OUTSTANDING")="",IF($AI$4="(nonblank)",IF('Final Calculation Sheet'!$AD$24&lt;=5,"SETTLED","OUTSTANDING")&lt;&gt;"",ISNUMBER(SEARCH($AI$4,IF('Final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s="79" t="e">
        <f>CG25+IF(AND(Lists!$DZ$26&lt;&gt;"",ISNUMBER(SEARCH($Y$4,Lists!$DZ$26))),1,0)</f>
        <v>#N/A</v>
      </c>
      <c r="CH26" s="79" t="e">
        <f>IF(ROW()-3&gt;MAX($CG$4:$CG$42),"",INDEX(Lists!$DZ$4:$DZ$42,MATCH(ROW()-3,$CG$4:$CG$42,0)))</f>
        <v>#N/A</v>
      </c>
      <c r="CI26" s="79" t="e">
        <f>CI25+IF(AND(Lists!$EE$26&lt;&gt;"",ISNUMBER(SEARCH($Z$4,Lists!$EE$26))),1,0)</f>
        <v>#N/A</v>
      </c>
      <c r="CJ26" s="79" t="e">
        <f>IF(ROW()-3&gt;MAX($CI$4:$CI$42),"",INDEX(Lists!$EE$4:$EE$42,MATCH(ROW()-3,$CI$4:$CI$42,0)))</f>
        <v>#N/A</v>
      </c>
      <c r="CK26">
        <f ca="1">CK25+IF(AND(Lists!$EJ$26&lt;&gt;"",ISNUMBER(SEARCH($AA$4,Lists!$EJ$26))),1,0)</f>
        <v>6</v>
      </c>
      <c r="CL26" t="str">
        <f ca="1">IF(ROW()-3&gt;MAX($CK$4:$CK$42),"",INDEX(Lists!$EJ$4:$EJ$42,MATCH(ROW()-3,$CK$4:$CK$42,0)))</f>
        <v/>
      </c>
      <c r="CM26" s="79" t="e">
        <f>CM25+IF(AND(Lists!$EO$26&lt;&gt;"",ISNUMBER(SEARCH($AB$4,Lists!$EO$26))),1,0)</f>
        <v>#N/A</v>
      </c>
      <c r="CN26" s="79" t="e">
        <f>IF(ROW()-3&gt;MAX($CM$4:$CM$42),"",INDEX(Lists!$EO$4:$EO$42,MATCH(ROW()-3,$CM$4:$CM$42,0)))</f>
        <v>#N/A</v>
      </c>
      <c r="CO26" s="79" t="e">
        <f>CO25+IF(AND(Lists!$ET$26&lt;&gt;"",ISNUMBER(SEARCH($AC$4,Lists!$ET$26))),1,0)</f>
        <v>#N/A</v>
      </c>
      <c r="CP26" s="79"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s="79" t="e">
        <f>CU25+IF(AND(Lists!$FI$26&lt;&gt;"",ISNUMBER(SEARCH($AF$4,Lists!$FI$26))),1,0)</f>
        <v>#N/A</v>
      </c>
      <c r="CV26" s="79" t="e">
        <f>IF(ROW()-3&gt;MAX($CU$4:$CU$42),"",INDEX(Lists!$FI$4:$FI$42,MATCH(ROW()-3,$CU$4:$CU$42,0)))</f>
        <v>#N/A</v>
      </c>
      <c r="CW26" s="79" t="e">
        <f>CW25+IF(AND(Lists!$FN$26&lt;&gt;"",ISNUMBER(SEARCH($AG$4,Lists!$FN$26))),1,0)</f>
        <v>#N/A</v>
      </c>
      <c r="CX26" s="79" t="e">
        <f>IF(ROW()-3&gt;MAX($CW$4:$CW$42),"",INDEX(Lists!$FN$4:$FN$42,MATCH(ROW()-3,$CW$4:$CW$42,0)))</f>
        <v>#N/A</v>
      </c>
      <c r="CY26" s="79" t="e">
        <f>CY25+IF(AND(Lists!$FS$26&lt;&gt;"",ISNUMBER(SEARCH($AH$4,Lists!$FS$26))),1,0)</f>
        <v>#N/A</v>
      </c>
      <c r="CZ26" s="79" t="e">
        <f>IF(ROW()-3&gt;MAX($CY$4:$CY$42),"",INDEX(Lists!$FS$4:$FS$42,MATCH(ROW()-3,$CY$4:$CY$42,0)))</f>
        <v>#N/A</v>
      </c>
      <c r="DA26">
        <f>DA25+IF(AND(Lists!$FX$26&lt;&gt;"",ISNUMBER(SEARCH($AI$4,Lists!$FX$26))),1,0)</f>
        <v>2</v>
      </c>
      <c r="DB26" t="str">
        <f>IF(ROW()-3&gt;MAX($DA$4:$DA$42),"",INDEX(Lists!$FX$4:$FX$42,MATCH(ROW()-3,$DA$4:$DA$42,0)))</f>
        <v/>
      </c>
    </row>
    <row r="27" spans="1:106" ht="15" customHeight="1" outlineLevel="1" x14ac:dyDescent="0.25">
      <c r="A27" s="67">
        <v>11</v>
      </c>
      <c r="B27" s="68">
        <f>IF('Final Calculation Sheet'!$F$32="","",'Final Calculation Sheet'!$F$32)</f>
        <v>2055</v>
      </c>
      <c r="C27" s="76" t="str">
        <f>IF('Final Calculation Sheet'!$G$32="","",'Final Calculation Sheet'!$G$32)</f>
        <v>NATIONAL ENTERPRISES</v>
      </c>
      <c r="D27" s="69" t="str">
        <f>IF('Final Calculation Sheet'!$B$32="","",'Final Calculation Sheet'!$B$32)</f>
        <v>Scrap of 220 KV CT</v>
      </c>
      <c r="E27" s="80">
        <f>IF('Final Calculation Sheet'!$D$32="","",'Final Calculation Sheet'!$D$32)</f>
        <v>21979</v>
      </c>
      <c r="F27" s="80">
        <f>IF('Final Calculation Sheet'!$A$32="","",'Final Calculation Sheet'!$A$32)</f>
        <v>2</v>
      </c>
      <c r="G27" s="69"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 ca="1">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0" t="str">
        <f>IF('Final Calculation Sheet'!$AE$32="","",'Final Calculation Sheet'!$AE$32)</f>
        <v>DR2640100039</v>
      </c>
      <c r="AG27" s="74">
        <f>IF('Final Calculation Sheet'!$AF$32="","",'Final Calculation Sheet'!$AF$32)</f>
        <v>1800003312</v>
      </c>
      <c r="AH27" s="70" t="str">
        <f>IF('Final Calculation Sheet'!$AG$32="","",'Final Calculation Sheet'!$AG$32)</f>
        <v>27.08.2026</v>
      </c>
      <c r="AI27" s="75" t="str">
        <f>IF('Final Calculation Sheet'!$AD$32="","",IF('Final Calculation Sheet'!$AD$32&lt;=5,"SETTLED","OUTSTANDING"))</f>
        <v>SETTLED</v>
      </c>
      <c r="AJ27" s="79"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Sheet'!$AD$25))))),IF($AF$4="",TRUE(),IF($AF$4="(blank)",'Final Calculation Sheet'!$AE$25="",IF($AF$4="(nonblank)",'Final Calculation Sheet'!$AE$25&lt;&gt;"",ISNUMBER(SEARCH($AF$4,'Final Calculation Sheet'!$AE$25))))),IF($AG$4="",TRUE(),IF($AG$4="(blank)",'Final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Sheet'!$AG$25))))),IF($AI$4="",TRUE(),IF($AI$4="(blank)",IF('Final Calculation Sheet'!$AD$25&lt;=5,"SETTLED","OUTSTANDING")="",IF($AI$4="(nonblank)",IF('Final Calculation Sheet'!$AD$25&lt;=5,"SETTLED","OUTSTANDING")&lt;&gt;"",ISNUMBER(SEARCH($AI$4,IF('Final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s="79" t="e">
        <f>CG26+IF(AND(Lists!$DZ$27&lt;&gt;"",ISNUMBER(SEARCH($Y$4,Lists!$DZ$27))),1,0)</f>
        <v>#N/A</v>
      </c>
      <c r="CH27" s="79" t="e">
        <f>IF(ROW()-3&gt;MAX($CG$4:$CG$42),"",INDEX(Lists!$DZ$4:$DZ$42,MATCH(ROW()-3,$CG$4:$CG$42,0)))</f>
        <v>#N/A</v>
      </c>
      <c r="CI27" s="79" t="e">
        <f>CI26+IF(AND(Lists!$EE$27&lt;&gt;"",ISNUMBER(SEARCH($Z$4,Lists!$EE$27))),1,0)</f>
        <v>#N/A</v>
      </c>
      <c r="CJ27" s="79" t="e">
        <f>IF(ROW()-3&gt;MAX($CI$4:$CI$42),"",INDEX(Lists!$EE$4:$EE$42,MATCH(ROW()-3,$CI$4:$CI$42,0)))</f>
        <v>#N/A</v>
      </c>
      <c r="CK27">
        <f ca="1">CK26+IF(AND(Lists!$EJ$27&lt;&gt;"",ISNUMBER(SEARCH($AA$4,Lists!$EJ$27))),1,0)</f>
        <v>6</v>
      </c>
      <c r="CL27" t="str">
        <f ca="1">IF(ROW()-3&gt;MAX($CK$4:$CK$42),"",INDEX(Lists!$EJ$4:$EJ$42,MATCH(ROW()-3,$CK$4:$CK$42,0)))</f>
        <v/>
      </c>
      <c r="CM27" s="79" t="e">
        <f>CM26+IF(AND(Lists!$EO$27&lt;&gt;"",ISNUMBER(SEARCH($AB$4,Lists!$EO$27))),1,0)</f>
        <v>#N/A</v>
      </c>
      <c r="CN27" s="79" t="e">
        <f>IF(ROW()-3&gt;MAX($CM$4:$CM$42),"",INDEX(Lists!$EO$4:$EO$42,MATCH(ROW()-3,$CM$4:$CM$42,0)))</f>
        <v>#N/A</v>
      </c>
      <c r="CO27" s="79" t="e">
        <f>CO26+IF(AND(Lists!$ET$27&lt;&gt;"",ISNUMBER(SEARCH($AC$4,Lists!$ET$27))),1,0)</f>
        <v>#N/A</v>
      </c>
      <c r="CP27" s="79"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s="79" t="e">
        <f>CU26+IF(AND(Lists!$FI$27&lt;&gt;"",ISNUMBER(SEARCH($AF$4,Lists!$FI$27))),1,0)</f>
        <v>#N/A</v>
      </c>
      <c r="CV27" s="79" t="e">
        <f>IF(ROW()-3&gt;MAX($CU$4:$CU$42),"",INDEX(Lists!$FI$4:$FI$42,MATCH(ROW()-3,$CU$4:$CU$42,0)))</f>
        <v>#N/A</v>
      </c>
      <c r="CW27" s="79" t="e">
        <f>CW26+IF(AND(Lists!$FN$27&lt;&gt;"",ISNUMBER(SEARCH($AG$4,Lists!$FN$27))),1,0)</f>
        <v>#N/A</v>
      </c>
      <c r="CX27" s="79" t="e">
        <f>IF(ROW()-3&gt;MAX($CW$4:$CW$42),"",INDEX(Lists!$FN$4:$FN$42,MATCH(ROW()-3,$CW$4:$CW$42,0)))</f>
        <v>#N/A</v>
      </c>
      <c r="CY27" s="79" t="e">
        <f>CY26+IF(AND(Lists!$FS$27&lt;&gt;"",ISNUMBER(SEARCH($AH$4,Lists!$FS$27))),1,0)</f>
        <v>#N/A</v>
      </c>
      <c r="CZ27" s="79" t="e">
        <f>IF(ROW()-3&gt;MAX($CY$4:$CY$42),"",INDEX(Lists!$FS$4:$FS$42,MATCH(ROW()-3,$CY$4:$CY$42,0)))</f>
        <v>#N/A</v>
      </c>
      <c r="DA27">
        <f>DA26+IF(AND(Lists!$FX$27&lt;&gt;"",ISNUMBER(SEARCH($AI$4,Lists!$FX$27))),1,0)</f>
        <v>2</v>
      </c>
      <c r="DB27" t="str">
        <f>IF(ROW()-3&gt;MAX($DA$4:$DA$42),"",INDEX(Lists!$FX$4:$FX$42,MATCH(ROW()-3,$DA$4:$DA$42,0)))</f>
        <v/>
      </c>
    </row>
    <row r="28" spans="1:106" ht="15" customHeight="1" outlineLevel="1" x14ac:dyDescent="0.25">
      <c r="A28" s="90">
        <v>12</v>
      </c>
      <c r="B28" s="91">
        <f>IF('Final Calculation Sheet'!$F$33="","",'Final Calculation Sheet'!$F$33)</f>
        <v>2059</v>
      </c>
      <c r="C28" s="92" t="str">
        <f>IF('Final Calculation Sheet'!$G$33="","",'Final Calculation Sheet'!$G$33)</f>
        <v>NATIONAL ENTERPRISES</v>
      </c>
      <c r="D28" s="93" t="str">
        <f>IF('Final Calculation Sheet'!$B$33="","",'Final Calculation Sheet'!$B$33)</f>
        <v>Scrap of 33 KV GCB</v>
      </c>
      <c r="E28" s="94">
        <f>IF('Final Calculation Sheet'!$D$33="","",'Final Calculation Sheet'!$D$33)</f>
        <v>21979</v>
      </c>
      <c r="F28" s="94">
        <f>IF('Final Calculation Sheet'!$A$33="","",'Final Calculation Sheet'!$A$33)</f>
        <v>1</v>
      </c>
      <c r="G28" s="93"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 ca="1">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95" t="str">
        <f>IF('Final Calculation Sheet'!$AE$33="","",'Final Calculation Sheet'!$AE$33)</f>
        <v>DR2640100046</v>
      </c>
      <c r="AG28" s="99">
        <f>IF('Final Calculation Sheet'!$AF$33="","",'Final Calculation Sheet'!$AF$33)</f>
        <v>1800003313</v>
      </c>
      <c r="AH28" s="95" t="str">
        <f>IF('Final Calculation Sheet'!$AG$33="","",'Final Calculation Sheet'!$AG$33)</f>
        <v>27.08.2026</v>
      </c>
      <c r="AI28" s="100" t="str">
        <f>IF('Final Calculation Sheet'!$AD$33="","",IF('Final Calculation Sheet'!$AD$33&lt;=5,"SETTLED","OUTSTANDING"))</f>
        <v>SETTLED</v>
      </c>
      <c r="AJ28" s="79"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Sheet'!$AD$26))))),IF($AF$4="",TRUE(),IF($AF$4="(blank)",'Final Calculation Sheet'!$AE$26="",IF($AF$4="(nonblank)",'Final Calculation Sheet'!$AE$26&lt;&gt;"",ISNUMBER(SEARCH($AF$4,'Final Calculation Sheet'!$AE$26))))),IF($AG$4="",TRUE(),IF($AG$4="(blank)",'Final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Sheet'!$AG$26))))),IF($AI$4="",TRUE(),IF($AI$4="(blank)",IF('Final Calculation Sheet'!$AD$26&lt;=5,"SETTLED","OUTSTANDING")="",IF($AI$4="(nonblank)",IF('Final Calculation Sheet'!$AD$26&lt;=5,"SETTLED","OUTSTANDING")&lt;&gt;"",ISNUMBER(SEARCH($AI$4,IF('Final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s="79" t="e">
        <f>CG27+IF(AND(Lists!$DZ$28&lt;&gt;"",ISNUMBER(SEARCH($Y$4,Lists!$DZ$28))),1,0)</f>
        <v>#N/A</v>
      </c>
      <c r="CH28" s="79" t="e">
        <f>IF(ROW()-3&gt;MAX($CG$4:$CG$42),"",INDEX(Lists!$DZ$4:$DZ$42,MATCH(ROW()-3,$CG$4:$CG$42,0)))</f>
        <v>#N/A</v>
      </c>
      <c r="CI28" s="79" t="e">
        <f>CI27+IF(AND(Lists!$EE$28&lt;&gt;"",ISNUMBER(SEARCH($Z$4,Lists!$EE$28))),1,0)</f>
        <v>#N/A</v>
      </c>
      <c r="CJ28" s="79" t="e">
        <f>IF(ROW()-3&gt;MAX($CI$4:$CI$42),"",INDEX(Lists!$EE$4:$EE$42,MATCH(ROW()-3,$CI$4:$CI$42,0)))</f>
        <v>#N/A</v>
      </c>
      <c r="CK28">
        <f ca="1">CK27+IF(AND(Lists!$EJ$28&lt;&gt;"",ISNUMBER(SEARCH($AA$4,Lists!$EJ$28))),1,0)</f>
        <v>6</v>
      </c>
      <c r="CL28" t="str">
        <f ca="1">IF(ROW()-3&gt;MAX($CK$4:$CK$42),"",INDEX(Lists!$EJ$4:$EJ$42,MATCH(ROW()-3,$CK$4:$CK$42,0)))</f>
        <v/>
      </c>
      <c r="CM28" s="79" t="e">
        <f>CM27+IF(AND(Lists!$EO$28&lt;&gt;"",ISNUMBER(SEARCH($AB$4,Lists!$EO$28))),1,0)</f>
        <v>#N/A</v>
      </c>
      <c r="CN28" s="79" t="e">
        <f>IF(ROW()-3&gt;MAX($CM$4:$CM$42),"",INDEX(Lists!$EO$4:$EO$42,MATCH(ROW()-3,$CM$4:$CM$42,0)))</f>
        <v>#N/A</v>
      </c>
      <c r="CO28" s="79" t="e">
        <f>CO27+IF(AND(Lists!$ET$28&lt;&gt;"",ISNUMBER(SEARCH($AC$4,Lists!$ET$28))),1,0)</f>
        <v>#N/A</v>
      </c>
      <c r="CP28" s="79"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s="79" t="e">
        <f>CU27+IF(AND(Lists!$FI$28&lt;&gt;"",ISNUMBER(SEARCH($AF$4,Lists!$FI$28))),1,0)</f>
        <v>#N/A</v>
      </c>
      <c r="CV28" s="79" t="e">
        <f>IF(ROW()-3&gt;MAX($CU$4:$CU$42),"",INDEX(Lists!$FI$4:$FI$42,MATCH(ROW()-3,$CU$4:$CU$42,0)))</f>
        <v>#N/A</v>
      </c>
      <c r="CW28" s="79" t="e">
        <f>CW27+IF(AND(Lists!$FN$28&lt;&gt;"",ISNUMBER(SEARCH($AG$4,Lists!$FN$28))),1,0)</f>
        <v>#N/A</v>
      </c>
      <c r="CX28" s="79" t="e">
        <f>IF(ROW()-3&gt;MAX($CW$4:$CW$42),"",INDEX(Lists!$FN$4:$FN$42,MATCH(ROW()-3,$CW$4:$CW$42,0)))</f>
        <v>#N/A</v>
      </c>
      <c r="CY28" s="79" t="e">
        <f>CY27+IF(AND(Lists!$FS$28&lt;&gt;"",ISNUMBER(SEARCH($AH$4,Lists!$FS$28))),1,0)</f>
        <v>#N/A</v>
      </c>
      <c r="CZ28" s="79" t="e">
        <f>IF(ROW()-3&gt;MAX($CY$4:$CY$42),"",INDEX(Lists!$FS$4:$FS$42,MATCH(ROW()-3,$CY$4:$CY$42,0)))</f>
        <v>#N/A</v>
      </c>
      <c r="DA28">
        <f>DA27+IF(AND(Lists!$FX$28&lt;&gt;"",ISNUMBER(SEARCH($AI$4,Lists!$FX$28))),1,0)</f>
        <v>2</v>
      </c>
      <c r="DB28" t="str">
        <f>IF(ROW()-3&gt;MAX($DA$4:$DA$42),"",INDEX(Lists!$FX$4:$FX$42,MATCH(ROW()-3,$DA$4:$DA$42,0)))</f>
        <v/>
      </c>
    </row>
    <row r="29" spans="1:106" ht="15" customHeight="1" outlineLevel="1" x14ac:dyDescent="0.25">
      <c r="A29" s="67">
        <v>13</v>
      </c>
      <c r="B29" s="68">
        <f>IF('Final Calculation Sheet'!$F$37="","",'Final Calculation Sheet'!$F$37)</f>
        <v>2071</v>
      </c>
      <c r="C29" s="76" t="str">
        <f>IF('Final Calculation Sheet'!$G$37="","",'Final Calculation Sheet'!$G$37)</f>
        <v>NATIONAL ENTERPRISES</v>
      </c>
      <c r="D29" s="69" t="str">
        <f>IF('Final Calculation Sheet'!$B$37="","",'Final Calculation Sheet'!$B$37)</f>
        <v>Scrap of 66 KV Isolater</v>
      </c>
      <c r="E29" s="80">
        <f>IF('Final Calculation Sheet'!$D$37="","",'Final Calculation Sheet'!$D$37)</f>
        <v>21980</v>
      </c>
      <c r="F29" s="80">
        <f>IF('Final Calculation Sheet'!$A$37="","",'Final Calculation Sheet'!$A$37)</f>
        <v>3</v>
      </c>
      <c r="G29" s="69"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 ca="1">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0" t="str">
        <f>IF('Final Calculation Sheet'!$AE$37="","",'Final Calculation Sheet'!$AE$37)</f>
        <v>DR2640100040</v>
      </c>
      <c r="AG29" s="74">
        <f>IF('Final Calculation Sheet'!$AF$37="","",'Final Calculation Sheet'!$AF$37)</f>
        <v>1800003314</v>
      </c>
      <c r="AH29" s="70" t="str">
        <f>IF('Final Calculation Sheet'!$AG$37="","",'Final Calculation Sheet'!$AG$37)</f>
        <v>27.08.2026</v>
      </c>
      <c r="AI29" s="75" t="str">
        <f>IF('Final Calculation Sheet'!$AD$37="","",IF('Final Calculation Sheet'!$AD$37&lt;=5,"SETTLED","OUTSTANDING"))</f>
        <v>SETTLED</v>
      </c>
      <c r="AJ29" s="7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Sheet'!$AD$27))))),IF($AF$4="",TRUE(),IF($AF$4="(blank)",'Final Calculation Sheet'!$AE$27="",IF($AF$4="(nonblank)",'Final Calculation Sheet'!$AE$27&lt;&gt;"",ISNUMBER(SEARCH($AF$4,'Final Calculation Sheet'!$AE$27))))),IF($AG$4="",TRUE(),IF($AG$4="(blank)",'Final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Sheet'!$AG$27))))),IF($AI$4="",TRUE(),IF($AI$4="(blank)",IF('Final Calculation Sheet'!$AD$27&lt;=5,"SETTLED","OUTSTANDING")="",IF($AI$4="(nonblank)",IF('Final Calculation Sheet'!$AD$27&lt;=5,"SETTLED","OUTSTANDING")&lt;&gt;"",ISNUMBER(SEARCH($AI$4,IF('Final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s="79" t="e">
        <f>CG28+IF(AND(Lists!$DZ$29&lt;&gt;"",ISNUMBER(SEARCH($Y$4,Lists!$DZ$29))),1,0)</f>
        <v>#N/A</v>
      </c>
      <c r="CH29" s="79" t="e">
        <f>IF(ROW()-3&gt;MAX($CG$4:$CG$42),"",INDEX(Lists!$DZ$4:$DZ$42,MATCH(ROW()-3,$CG$4:$CG$42,0)))</f>
        <v>#N/A</v>
      </c>
      <c r="CI29" s="79" t="e">
        <f>CI28+IF(AND(Lists!$EE$29&lt;&gt;"",ISNUMBER(SEARCH($Z$4,Lists!$EE$29))),1,0)</f>
        <v>#N/A</v>
      </c>
      <c r="CJ29" s="79" t="e">
        <f>IF(ROW()-3&gt;MAX($CI$4:$CI$42),"",INDEX(Lists!$EE$4:$EE$42,MATCH(ROW()-3,$CI$4:$CI$42,0)))</f>
        <v>#N/A</v>
      </c>
      <c r="CK29">
        <f ca="1">CK28+IF(AND(Lists!$EJ$29&lt;&gt;"",ISNUMBER(SEARCH($AA$4,Lists!$EJ$29))),1,0)</f>
        <v>6</v>
      </c>
      <c r="CL29" t="str">
        <f ca="1">IF(ROW()-3&gt;MAX($CK$4:$CK$42),"",INDEX(Lists!$EJ$4:$EJ$42,MATCH(ROW()-3,$CK$4:$CK$42,0)))</f>
        <v/>
      </c>
      <c r="CM29" s="79" t="e">
        <f>CM28+IF(AND(Lists!$EO$29&lt;&gt;"",ISNUMBER(SEARCH($AB$4,Lists!$EO$29))),1,0)</f>
        <v>#N/A</v>
      </c>
      <c r="CN29" s="79" t="e">
        <f>IF(ROW()-3&gt;MAX($CM$4:$CM$42),"",INDEX(Lists!$EO$4:$EO$42,MATCH(ROW()-3,$CM$4:$CM$42,0)))</f>
        <v>#N/A</v>
      </c>
      <c r="CO29" s="79" t="e">
        <f>CO28+IF(AND(Lists!$ET$29&lt;&gt;"",ISNUMBER(SEARCH($AC$4,Lists!$ET$29))),1,0)</f>
        <v>#N/A</v>
      </c>
      <c r="CP29" s="7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s="79" t="e">
        <f>CU28+IF(AND(Lists!$FI$29&lt;&gt;"",ISNUMBER(SEARCH($AF$4,Lists!$FI$29))),1,0)</f>
        <v>#N/A</v>
      </c>
      <c r="CV29" s="79" t="e">
        <f>IF(ROW()-3&gt;MAX($CU$4:$CU$42),"",INDEX(Lists!$FI$4:$FI$42,MATCH(ROW()-3,$CU$4:$CU$42,0)))</f>
        <v>#N/A</v>
      </c>
      <c r="CW29" s="79" t="e">
        <f>CW28+IF(AND(Lists!$FN$29&lt;&gt;"",ISNUMBER(SEARCH($AG$4,Lists!$FN$29))),1,0)</f>
        <v>#N/A</v>
      </c>
      <c r="CX29" s="79" t="e">
        <f>IF(ROW()-3&gt;MAX($CW$4:$CW$42),"",INDEX(Lists!$FN$4:$FN$42,MATCH(ROW()-3,$CW$4:$CW$42,0)))</f>
        <v>#N/A</v>
      </c>
      <c r="CY29" s="79" t="e">
        <f>CY28+IF(AND(Lists!$FS$29&lt;&gt;"",ISNUMBER(SEARCH($AH$4,Lists!$FS$29))),1,0)</f>
        <v>#N/A</v>
      </c>
      <c r="CZ29" s="79" t="e">
        <f>IF(ROW()-3&gt;MAX($CY$4:$CY$42),"",INDEX(Lists!$FS$4:$FS$42,MATCH(ROW()-3,$CY$4:$CY$42,0)))</f>
        <v>#N/A</v>
      </c>
      <c r="DA29">
        <f>DA28+IF(AND(Lists!$FX$29&lt;&gt;"",ISNUMBER(SEARCH($AI$4,Lists!$FX$29))),1,0)</f>
        <v>2</v>
      </c>
      <c r="DB29" t="str">
        <f>IF(ROW()-3&gt;MAX($DA$4:$DA$42),"",INDEX(Lists!$FX$4:$FX$42,MATCH(ROW()-3,$DA$4:$DA$42,0)))</f>
        <v/>
      </c>
    </row>
    <row r="30" spans="1:106" ht="15" customHeight="1" x14ac:dyDescent="0.25">
      <c r="A30" s="81" t="s">
        <v>147</v>
      </c>
      <c r="B30" s="82"/>
      <c r="C30" s="82" t="str">
        <f>ROWS($C$17:$C$29)&amp;" lot(s)"</f>
        <v>13 lot(s)</v>
      </c>
      <c r="D30" s="82" t="s">
        <v>154</v>
      </c>
      <c r="E30" s="82" t="s">
        <v>149</v>
      </c>
      <c r="F30" s="83">
        <f>SUM(F17:F29)</f>
        <v>295</v>
      </c>
      <c r="G30" s="82" t="s">
        <v>149</v>
      </c>
      <c r="H30" s="84" t="s">
        <v>149</v>
      </c>
      <c r="I30" s="84">
        <f t="shared" ref="I30:Q30" si="5">SUM(I17:I29)</f>
        <v>1921410</v>
      </c>
      <c r="J30" s="84">
        <f t="shared" si="5"/>
        <v>345853</v>
      </c>
      <c r="K30" s="84">
        <f t="shared" si="5"/>
        <v>2267263</v>
      </c>
      <c r="L30" s="84">
        <f t="shared" si="5"/>
        <v>45345</v>
      </c>
      <c r="M30" s="84">
        <f t="shared" si="5"/>
        <v>1921.4099999999996</v>
      </c>
      <c r="N30" s="84">
        <f t="shared" si="5"/>
        <v>51013.4355</v>
      </c>
      <c r="O30" s="85">
        <f t="shared" si="5"/>
        <v>864.6345</v>
      </c>
      <c r="P30" s="84">
        <f t="shared" si="5"/>
        <v>50148.800999999999</v>
      </c>
      <c r="Q30" s="84">
        <f t="shared" si="5"/>
        <v>52071</v>
      </c>
      <c r="R30" s="86" t="s">
        <v>149</v>
      </c>
      <c r="S30" s="84">
        <f>SUM(S17:S29)</f>
        <v>0</v>
      </c>
      <c r="T30" s="84">
        <f>SUM(T17:T29)</f>
        <v>2260539</v>
      </c>
      <c r="U30" s="84">
        <f>SUM(U17:U29)</f>
        <v>480354</v>
      </c>
      <c r="V30" s="87">
        <f>SUM(V17:V29)</f>
        <v>480354</v>
      </c>
      <c r="W30" s="84" t="s">
        <v>149</v>
      </c>
      <c r="X30" s="84">
        <f>SUM(X17:X29)</f>
        <v>1780188</v>
      </c>
      <c r="Y30" s="84">
        <f>SUM(Y17:Y29)</f>
        <v>1780184</v>
      </c>
      <c r="Z30" s="84" t="s">
        <v>149</v>
      </c>
      <c r="AA30" s="84">
        <f ca="1">SUM(AA17:AA29)</f>
        <v>0</v>
      </c>
      <c r="AB30" s="84">
        <f>SUM(AB17:AB29)</f>
        <v>0</v>
      </c>
      <c r="AC30" s="84" t="s">
        <v>149</v>
      </c>
      <c r="AD30" s="84">
        <f>SUM(AD17:AD29)</f>
        <v>2260538</v>
      </c>
      <c r="AE30" s="84">
        <f>SUM(AE17:AE29)</f>
        <v>1</v>
      </c>
      <c r="AF30" s="84" t="s">
        <v>149</v>
      </c>
      <c r="AG30" s="88" t="s">
        <v>149</v>
      </c>
      <c r="AH30" s="84" t="s">
        <v>149</v>
      </c>
      <c r="AI30" s="89" t="str">
        <f>IF(AE30&lt;=5,"SETTLED","OUTSTANDING")</f>
        <v>SETTLED</v>
      </c>
      <c r="AJ30" s="79"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Sheet'!$AD$28))))),IF($AF$4="",TRUE(),IF($AF$4="(blank)",'Final Calculation Sheet'!$AE$28="",IF($AF$4="(nonblank)",'Final Calculation Sheet'!$AE$28&lt;&gt;"",ISNUMBER(SEARCH($AF$4,'Final Calculation Sheet'!$AE$28))))),IF($AG$4="",TRUE(),IF($AG$4="(blank)",'Final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Sheet'!$AG$28))))),IF($AI$4="",TRUE(),IF($AI$4="(blank)",IF('Final Calculation Sheet'!$AD$28&lt;=5,"SETTLED","OUTSTANDING")="",IF($AI$4="(nonblank)",IF('Final Calculation Sheet'!$AD$28&lt;=5,"SETTLED","OUTSTANDING")&lt;&gt;"",ISNUMBER(SEARCH($AI$4,IF('Final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s="79" t="e">
        <f>CG29+IF(AND(Lists!$DZ$30&lt;&gt;"",ISNUMBER(SEARCH($Y$4,Lists!$DZ$30))),1,0)</f>
        <v>#N/A</v>
      </c>
      <c r="CH30" s="79" t="e">
        <f>IF(ROW()-3&gt;MAX($CG$4:$CG$42),"",INDEX(Lists!$DZ$4:$DZ$42,MATCH(ROW()-3,$CG$4:$CG$42,0)))</f>
        <v>#N/A</v>
      </c>
      <c r="CI30" s="79" t="e">
        <f>CI29+IF(AND(Lists!$EE$30&lt;&gt;"",ISNUMBER(SEARCH($Z$4,Lists!$EE$30))),1,0)</f>
        <v>#N/A</v>
      </c>
      <c r="CJ30" s="79" t="e">
        <f>IF(ROW()-3&gt;MAX($CI$4:$CI$42),"",INDEX(Lists!$EE$4:$EE$42,MATCH(ROW()-3,$CI$4:$CI$42,0)))</f>
        <v>#N/A</v>
      </c>
      <c r="CK30">
        <f ca="1">CK29+IF(AND(Lists!$EJ$30&lt;&gt;"",ISNUMBER(SEARCH($AA$4,Lists!$EJ$30))),1,0)</f>
        <v>6</v>
      </c>
      <c r="CL30" t="str">
        <f ca="1">IF(ROW()-3&gt;MAX($CK$4:$CK$42),"",INDEX(Lists!$EJ$4:$EJ$42,MATCH(ROW()-3,$CK$4:$CK$42,0)))</f>
        <v/>
      </c>
      <c r="CM30" s="79" t="e">
        <f>CM29+IF(AND(Lists!$EO$30&lt;&gt;"",ISNUMBER(SEARCH($AB$4,Lists!$EO$30))),1,0)</f>
        <v>#N/A</v>
      </c>
      <c r="CN30" s="79" t="e">
        <f>IF(ROW()-3&gt;MAX($CM$4:$CM$42),"",INDEX(Lists!$EO$4:$EO$42,MATCH(ROW()-3,$CM$4:$CM$42,0)))</f>
        <v>#N/A</v>
      </c>
      <c r="CO30" s="79" t="e">
        <f>CO29+IF(AND(Lists!$ET$30&lt;&gt;"",ISNUMBER(SEARCH($AC$4,Lists!$ET$30))),1,0)</f>
        <v>#N/A</v>
      </c>
      <c r="CP30" s="79"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s="79" t="e">
        <f>CU29+IF(AND(Lists!$FI$30&lt;&gt;"",ISNUMBER(SEARCH($AF$4,Lists!$FI$30))),1,0)</f>
        <v>#N/A</v>
      </c>
      <c r="CV30" s="79" t="e">
        <f>IF(ROW()-3&gt;MAX($CU$4:$CU$42),"",INDEX(Lists!$FI$4:$FI$42,MATCH(ROW()-3,$CU$4:$CU$42,0)))</f>
        <v>#N/A</v>
      </c>
      <c r="CW30" s="79" t="e">
        <f>CW29+IF(AND(Lists!$FN$30&lt;&gt;"",ISNUMBER(SEARCH($AG$4,Lists!$FN$30))),1,0)</f>
        <v>#N/A</v>
      </c>
      <c r="CX30" s="79" t="e">
        <f>IF(ROW()-3&gt;MAX($CW$4:$CW$42),"",INDEX(Lists!$FN$4:$FN$42,MATCH(ROW()-3,$CW$4:$CW$42,0)))</f>
        <v>#N/A</v>
      </c>
      <c r="CY30" s="79" t="e">
        <f>CY29+IF(AND(Lists!$FS$30&lt;&gt;"",ISNUMBER(SEARCH($AH$4,Lists!$FS$30))),1,0)</f>
        <v>#N/A</v>
      </c>
      <c r="CZ30" s="79" t="e">
        <f>IF(ROW()-3&gt;MAX($CY$4:$CY$42),"",INDEX(Lists!$FS$4:$FS$42,MATCH(ROW()-3,$CY$4:$CY$42,0)))</f>
        <v>#N/A</v>
      </c>
      <c r="DA30">
        <f>DA29+IF(AND(Lists!$FX$30&lt;&gt;"",ISNUMBER(SEARCH($AI$4,Lists!$FX$30))),1,0)</f>
        <v>2</v>
      </c>
      <c r="DB30" t="str">
        <f>IF(ROW()-3&gt;MAX($DA$4:$DA$42),"",INDEX(Lists!$FX$4:$FX$42,MATCH(ROW()-3,$DA$4:$DA$42,0)))</f>
        <v/>
      </c>
    </row>
    <row r="31" spans="1:106" ht="15" customHeight="1" outlineLevel="1" x14ac:dyDescent="0.25">
      <c r="A31" s="67">
        <v>1</v>
      </c>
      <c r="B31" s="68">
        <f>IF('Final Calculation Sheet'!$F$21="","",'Final Calculation Sheet'!$F$21)</f>
        <v>2022</v>
      </c>
      <c r="C31" s="76" t="str">
        <f>IF('Final Calculation Sheet'!$G$21="","",'Final Calculation Sheet'!$G$21)</f>
        <v>NATIONAL SCRAP AND BUILDING MATERIAL SUPPLIER</v>
      </c>
      <c r="D31" s="69" t="str">
        <f>IF('Final Calculation Sheet'!$B$21="","",'Final Calculation Sheet'!$B$21)</f>
        <v>Scrap of 132 KV CT</v>
      </c>
      <c r="E31" s="80">
        <f>IF('Final Calculation Sheet'!$D$21="","",'Final Calculation Sheet'!$D$21)</f>
        <v>21978</v>
      </c>
      <c r="F31" s="80">
        <f>IF('Final Calculation Sheet'!$A$21="","",'Final Calculation Sheet'!$A$21)</f>
        <v>3</v>
      </c>
      <c r="G31" s="69"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 ca="1">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0" t="str">
        <f>IF('Final Calculation Sheet'!$AE$21="","",'Final Calculation Sheet'!$AE$21)</f>
        <v>DR2640100028</v>
      </c>
      <c r="AG31" s="74">
        <f>IF('Final Calculation Sheet'!$AF$21="","",'Final Calculation Sheet'!$AF$21)</f>
        <v>1800003269</v>
      </c>
      <c r="AH31" s="70" t="str">
        <f>IF('Final Calculation Sheet'!$AG$21="","",'Final Calculation Sheet'!$AG$21)</f>
        <v>24.08.2026</v>
      </c>
      <c r="AI31" s="75" t="str">
        <f>IF('Final Calculation Sheet'!$AD$21="","",IF('Final Calculation Sheet'!$AD$21&lt;=5,"SETTLED","OUTSTANDING"))</f>
        <v>SETTLED</v>
      </c>
      <c r="AJ31" s="79"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Sheet'!$AD$29))))),IF($AF$4="",TRUE(),IF($AF$4="(blank)",'Final Calculation Sheet'!$AE$29="",IF($AF$4="(nonblank)",'Final Calculation Sheet'!$AE$29&lt;&gt;"",ISNUMBER(SEARCH($AF$4,'Final Calculation Sheet'!$AE$29))))),IF($AG$4="",TRUE(),IF($AG$4="(blank)",'Final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Sheet'!$AG$29))))),IF($AI$4="",TRUE(),IF($AI$4="(blank)",IF('Final Calculation Sheet'!$AD$29&lt;=5,"SETTLED","OUTSTANDING")="",IF($AI$4="(nonblank)",IF('Final Calculation Sheet'!$AD$29&lt;=5,"SETTLED","OUTSTANDING")&lt;&gt;"",ISNUMBER(SEARCH($AI$4,IF('Final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s="79" t="e">
        <f>CG30+IF(AND(Lists!$DZ$31&lt;&gt;"",ISNUMBER(SEARCH($Y$4,Lists!$DZ$31))),1,0)</f>
        <v>#N/A</v>
      </c>
      <c r="CH31" s="79" t="e">
        <f>IF(ROW()-3&gt;MAX($CG$4:$CG$42),"",INDEX(Lists!$DZ$4:$DZ$42,MATCH(ROW()-3,$CG$4:$CG$42,0)))</f>
        <v>#N/A</v>
      </c>
      <c r="CI31" s="79" t="e">
        <f>CI30+IF(AND(Lists!$EE$31&lt;&gt;"",ISNUMBER(SEARCH($Z$4,Lists!$EE$31))),1,0)</f>
        <v>#N/A</v>
      </c>
      <c r="CJ31" s="79" t="e">
        <f>IF(ROW()-3&gt;MAX($CI$4:$CI$42),"",INDEX(Lists!$EE$4:$EE$42,MATCH(ROW()-3,$CI$4:$CI$42,0)))</f>
        <v>#N/A</v>
      </c>
      <c r="CK31">
        <f ca="1">CK30+IF(AND(Lists!$EJ$31&lt;&gt;"",ISNUMBER(SEARCH($AA$4,Lists!$EJ$31))),1,0)</f>
        <v>6</v>
      </c>
      <c r="CL31" t="str">
        <f ca="1">IF(ROW()-3&gt;MAX($CK$4:$CK$42),"",INDEX(Lists!$EJ$4:$EJ$42,MATCH(ROW()-3,$CK$4:$CK$42,0)))</f>
        <v/>
      </c>
      <c r="CM31" s="79" t="e">
        <f>CM30+IF(AND(Lists!$EO$31&lt;&gt;"",ISNUMBER(SEARCH($AB$4,Lists!$EO$31))),1,0)</f>
        <v>#N/A</v>
      </c>
      <c r="CN31" s="79" t="e">
        <f>IF(ROW()-3&gt;MAX($CM$4:$CM$42),"",INDEX(Lists!$EO$4:$EO$42,MATCH(ROW()-3,$CM$4:$CM$42,0)))</f>
        <v>#N/A</v>
      </c>
      <c r="CO31" s="79" t="e">
        <f>CO30+IF(AND(Lists!$ET$31&lt;&gt;"",ISNUMBER(SEARCH($AC$4,Lists!$ET$31))),1,0)</f>
        <v>#N/A</v>
      </c>
      <c r="CP31" s="79"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s="79" t="e">
        <f>CU30+IF(AND(Lists!$FI$31&lt;&gt;"",ISNUMBER(SEARCH($AF$4,Lists!$FI$31))),1,0)</f>
        <v>#N/A</v>
      </c>
      <c r="CV31" s="79" t="e">
        <f>IF(ROW()-3&gt;MAX($CU$4:$CU$42),"",INDEX(Lists!$FI$4:$FI$42,MATCH(ROW()-3,$CU$4:$CU$42,0)))</f>
        <v>#N/A</v>
      </c>
      <c r="CW31" s="79" t="e">
        <f>CW30+IF(AND(Lists!$FN$31&lt;&gt;"",ISNUMBER(SEARCH($AG$4,Lists!$FN$31))),1,0)</f>
        <v>#N/A</v>
      </c>
      <c r="CX31" s="79" t="e">
        <f>IF(ROW()-3&gt;MAX($CW$4:$CW$42),"",INDEX(Lists!$FN$4:$FN$42,MATCH(ROW()-3,$CW$4:$CW$42,0)))</f>
        <v>#N/A</v>
      </c>
      <c r="CY31" s="79" t="e">
        <f>CY30+IF(AND(Lists!$FS$31&lt;&gt;"",ISNUMBER(SEARCH($AH$4,Lists!$FS$31))),1,0)</f>
        <v>#N/A</v>
      </c>
      <c r="CZ31" s="79" t="e">
        <f>IF(ROW()-3&gt;MAX($CY$4:$CY$42),"",INDEX(Lists!$FS$4:$FS$42,MATCH(ROW()-3,$CY$4:$CY$42,0)))</f>
        <v>#N/A</v>
      </c>
      <c r="DA31">
        <f>DA30+IF(AND(Lists!$FX$31&lt;&gt;"",ISNUMBER(SEARCH($AI$4,Lists!$FX$31))),1,0)</f>
        <v>2</v>
      </c>
      <c r="DB31" t="str">
        <f>IF(ROW()-3&gt;MAX($DA$4:$DA$42),"",INDEX(Lists!$FX$4:$FX$42,MATCH(ROW()-3,$DA$4:$DA$42,0)))</f>
        <v/>
      </c>
    </row>
    <row r="32" spans="1:106" ht="15" customHeight="1" x14ac:dyDescent="0.25">
      <c r="A32" s="81" t="s">
        <v>147</v>
      </c>
      <c r="B32" s="82"/>
      <c r="C32" s="82" t="str">
        <f>ROWS($C$31:$C$31)&amp;" lot(s)"</f>
        <v>1 lot(s)</v>
      </c>
      <c r="D32" s="82" t="s">
        <v>155</v>
      </c>
      <c r="E32" s="82" t="s">
        <v>149</v>
      </c>
      <c r="F32" s="83">
        <f>SUM(F31:F31)</f>
        <v>3</v>
      </c>
      <c r="G32" s="82" t="s">
        <v>149</v>
      </c>
      <c r="H32" s="84" t="s">
        <v>149</v>
      </c>
      <c r="I32" s="84">
        <f t="shared" ref="I32:Q32" si="6">SUM(I31:I31)</f>
        <v>330600</v>
      </c>
      <c r="J32" s="84">
        <f t="shared" si="6"/>
        <v>59508</v>
      </c>
      <c r="K32" s="84">
        <f t="shared" si="6"/>
        <v>390108</v>
      </c>
      <c r="L32" s="84">
        <f t="shared" si="6"/>
        <v>7802</v>
      </c>
      <c r="M32" s="84">
        <f t="shared" si="6"/>
        <v>330.6</v>
      </c>
      <c r="N32" s="84">
        <f t="shared" si="6"/>
        <v>8777.43</v>
      </c>
      <c r="O32" s="85">
        <f t="shared" si="6"/>
        <v>148.77000000000001</v>
      </c>
      <c r="P32" s="84">
        <f t="shared" si="6"/>
        <v>8628.66</v>
      </c>
      <c r="Q32" s="84">
        <f t="shared" si="6"/>
        <v>8959</v>
      </c>
      <c r="R32" s="86" t="s">
        <v>149</v>
      </c>
      <c r="S32" s="84">
        <f>SUM(S31:S31)</f>
        <v>0</v>
      </c>
      <c r="T32" s="84">
        <f>SUM(T31:T31)</f>
        <v>388951</v>
      </c>
      <c r="U32" s="84">
        <f>SUM(U31:U31)</f>
        <v>82650</v>
      </c>
      <c r="V32" s="87">
        <f>SUM(V31:V31)</f>
        <v>82650</v>
      </c>
      <c r="W32" s="84" t="s">
        <v>149</v>
      </c>
      <c r="X32" s="84">
        <f>SUM(X31:X31)</f>
        <v>306301</v>
      </c>
      <c r="Y32" s="84">
        <f>SUM(Y31:Y31)</f>
        <v>306301</v>
      </c>
      <c r="Z32" s="84" t="s">
        <v>149</v>
      </c>
      <c r="AA32" s="84">
        <f ca="1">SUM(AA31:AA31)</f>
        <v>0</v>
      </c>
      <c r="AB32" s="84">
        <f>SUM(AB31:AB31)</f>
        <v>0</v>
      </c>
      <c r="AC32" s="84" t="s">
        <v>149</v>
      </c>
      <c r="AD32" s="84">
        <f>SUM(AD31:AD31)</f>
        <v>388951</v>
      </c>
      <c r="AE32" s="84">
        <f>SUM(AE31:AE31)</f>
        <v>0</v>
      </c>
      <c r="AF32" s="84" t="s">
        <v>149</v>
      </c>
      <c r="AG32" s="88" t="s">
        <v>149</v>
      </c>
      <c r="AH32" s="84" t="s">
        <v>149</v>
      </c>
      <c r="AI32" s="89" t="str">
        <f>IF(AE32&lt;=5,"SETTLED","OUTSTANDING")</f>
        <v>SETTLED</v>
      </c>
      <c r="AJ32" s="79"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Sheet'!$AD$30))))),IF($AF$4="",TRUE(),IF($AF$4="(blank)",'Final Calculation Sheet'!$AE$30="",IF($AF$4="(nonblank)",'Final Calculation Sheet'!$AE$30&lt;&gt;"",ISNUMBER(SEARCH($AF$4,'Final Calculation Sheet'!$AE$30))))),IF($AG$4="",TRUE(),IF($AG$4="(blank)",'Final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Sheet'!$AG$30))))),IF($AI$4="",TRUE(),IF($AI$4="(blank)",IF('Final Calculation Sheet'!$AD$30&lt;=5,"SETTLED","OUTSTANDING")="",IF($AI$4="(nonblank)",IF('Final Calculation Sheet'!$AD$30&lt;=5,"SETTLED","OUTSTANDING")&lt;&gt;"",ISNUMBER(SEARCH($AI$4,IF('Final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s="79" t="e">
        <f>CG31+IF(AND(Lists!$DZ$32&lt;&gt;"",ISNUMBER(SEARCH($Y$4,Lists!$DZ$32))),1,0)</f>
        <v>#N/A</v>
      </c>
      <c r="CH32" s="79" t="e">
        <f>IF(ROW()-3&gt;MAX($CG$4:$CG$42),"",INDEX(Lists!$DZ$4:$DZ$42,MATCH(ROW()-3,$CG$4:$CG$42,0)))</f>
        <v>#N/A</v>
      </c>
      <c r="CI32" s="79" t="e">
        <f>CI31+IF(AND(Lists!$EE$32&lt;&gt;"",ISNUMBER(SEARCH($Z$4,Lists!$EE$32))),1,0)</f>
        <v>#N/A</v>
      </c>
      <c r="CJ32" s="79" t="e">
        <f>IF(ROW()-3&gt;MAX($CI$4:$CI$42),"",INDEX(Lists!$EE$4:$EE$42,MATCH(ROW()-3,$CI$4:$CI$42,0)))</f>
        <v>#N/A</v>
      </c>
      <c r="CK32">
        <f ca="1">CK31+IF(AND(Lists!$EJ$32&lt;&gt;"",ISNUMBER(SEARCH($AA$4,Lists!$EJ$32))),1,0)</f>
        <v>6</v>
      </c>
      <c r="CL32" t="str">
        <f ca="1">IF(ROW()-3&gt;MAX($CK$4:$CK$42),"",INDEX(Lists!$EJ$4:$EJ$42,MATCH(ROW()-3,$CK$4:$CK$42,0)))</f>
        <v/>
      </c>
      <c r="CM32" s="79" t="e">
        <f>CM31+IF(AND(Lists!$EO$32&lt;&gt;"",ISNUMBER(SEARCH($AB$4,Lists!$EO$32))),1,0)</f>
        <v>#N/A</v>
      </c>
      <c r="CN32" s="79" t="e">
        <f>IF(ROW()-3&gt;MAX($CM$4:$CM$42),"",INDEX(Lists!$EO$4:$EO$42,MATCH(ROW()-3,$CM$4:$CM$42,0)))</f>
        <v>#N/A</v>
      </c>
      <c r="CO32" s="79" t="e">
        <f>CO31+IF(AND(Lists!$ET$32&lt;&gt;"",ISNUMBER(SEARCH($AC$4,Lists!$ET$32))),1,0)</f>
        <v>#N/A</v>
      </c>
      <c r="CP32" s="79"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s="79" t="e">
        <f>CU31+IF(AND(Lists!$FI$32&lt;&gt;"",ISNUMBER(SEARCH($AF$4,Lists!$FI$32))),1,0)</f>
        <v>#N/A</v>
      </c>
      <c r="CV32" s="79" t="e">
        <f>IF(ROW()-3&gt;MAX($CU$4:$CU$42),"",INDEX(Lists!$FI$4:$FI$42,MATCH(ROW()-3,$CU$4:$CU$42,0)))</f>
        <v>#N/A</v>
      </c>
      <c r="CW32" s="79" t="e">
        <f>CW31+IF(AND(Lists!$FN$32&lt;&gt;"",ISNUMBER(SEARCH($AG$4,Lists!$FN$32))),1,0)</f>
        <v>#N/A</v>
      </c>
      <c r="CX32" s="79" t="e">
        <f>IF(ROW()-3&gt;MAX($CW$4:$CW$42),"",INDEX(Lists!$FN$4:$FN$42,MATCH(ROW()-3,$CW$4:$CW$42,0)))</f>
        <v>#N/A</v>
      </c>
      <c r="CY32" s="79" t="e">
        <f>CY31+IF(AND(Lists!$FS$32&lt;&gt;"",ISNUMBER(SEARCH($AH$4,Lists!$FS$32))),1,0)</f>
        <v>#N/A</v>
      </c>
      <c r="CZ32" s="79" t="e">
        <f>IF(ROW()-3&gt;MAX($CY$4:$CY$42),"",INDEX(Lists!$FS$4:$FS$42,MATCH(ROW()-3,$CY$4:$CY$42,0)))</f>
        <v>#N/A</v>
      </c>
      <c r="DA32">
        <f>DA31+IF(AND(Lists!$FX$32&lt;&gt;"",ISNUMBER(SEARCH($AI$4,Lists!$FX$32))),1,0)</f>
        <v>2</v>
      </c>
      <c r="DB32" t="str">
        <f>IF(ROW()-3&gt;MAX($DA$4:$DA$42),"",INDEX(Lists!$FX$4:$FX$42,MATCH(ROW()-3,$DA$4:$DA$42,0)))</f>
        <v/>
      </c>
    </row>
    <row r="33" spans="1:106" ht="15" customHeight="1" outlineLevel="1" x14ac:dyDescent="0.25">
      <c r="A33" s="67">
        <v>1</v>
      </c>
      <c r="B33" s="68">
        <f>IF('Final Calculation Sheet'!$F$8="","",'Final Calculation Sheet'!$F$8)</f>
        <v>1923</v>
      </c>
      <c r="C33" s="76" t="str">
        <f>IF('Final Calculation Sheet'!$G$8="","",'Final Calculation Sheet'!$G$8)</f>
        <v>OMKAR STEELS</v>
      </c>
      <c r="D33" s="69" t="str">
        <f>IF('Final Calculation Sheet'!$B$8="","",'Final Calculation Sheet'!$B$8)</f>
        <v>SCRAP ACSR CONDUCTORS (Conductor Pieces)</v>
      </c>
      <c r="E33" s="80">
        <f>IF('Final Calculation Sheet'!$D$8="","",'Final Calculation Sheet'!$D$8)</f>
        <v>21980</v>
      </c>
      <c r="F33" s="80">
        <f>IF('Final Calculation Sheet'!$A$8="","",'Final Calculation Sheet'!$A$8)</f>
        <v>7253</v>
      </c>
      <c r="G33" s="69"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 ca="1">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0" t="str">
        <f>IF('Final Calculation Sheet'!$AE$8="","",'Final Calculation Sheet'!$AE$8)</f>
        <v>DR2640100045</v>
      </c>
      <c r="AG33" s="74">
        <f>IF('Final Calculation Sheet'!$AF$8="","",'Final Calculation Sheet'!$AF$8)</f>
        <v>1800003315</v>
      </c>
      <c r="AH33" s="70" t="str">
        <f>IF('Final Calculation Sheet'!$AG$8="","",'Final Calculation Sheet'!$AG$8)</f>
        <v>27.08.2026</v>
      </c>
      <c r="AI33" s="75" t="str">
        <f>IF('Final Calculation Sheet'!$AD$8="","",IF('Final Calculation Sheet'!$AD$8&lt;=5,"SETTLED","OUTSTANDING"))</f>
        <v>SETTLED</v>
      </c>
      <c r="AJ33" s="79"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Sheet'!$AD$31))))),IF($AF$4="",TRUE(),IF($AF$4="(blank)",'Final Calculation Sheet'!$AE$31="",IF($AF$4="(nonblank)",'Final Calculation Sheet'!$AE$31&lt;&gt;"",ISNUMBER(SEARCH($AF$4,'Final Calculation Sheet'!$AE$31))))),IF($AG$4="",TRUE(),IF($AG$4="(blank)",'Final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Sheet'!$AG$31))))),IF($AI$4="",TRUE(),IF($AI$4="(blank)",IF('Final Calculation Sheet'!$AD$31&lt;=5,"SETTLED","OUTSTANDING")="",IF($AI$4="(nonblank)",IF('Final Calculation Sheet'!$AD$31&lt;=5,"SETTLED","OUTSTANDING")&lt;&gt;"",ISNUMBER(SEARCH($AI$4,IF('Final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s="79" t="e">
        <f>CG32+IF(AND(Lists!$DZ$33&lt;&gt;"",ISNUMBER(SEARCH($Y$4,Lists!$DZ$33))),1,0)</f>
        <v>#N/A</v>
      </c>
      <c r="CH33" s="79" t="e">
        <f>IF(ROW()-3&gt;MAX($CG$4:$CG$42),"",INDEX(Lists!$DZ$4:$DZ$42,MATCH(ROW()-3,$CG$4:$CG$42,0)))</f>
        <v>#N/A</v>
      </c>
      <c r="CI33" s="79" t="e">
        <f>CI32+IF(AND(Lists!$EE$33&lt;&gt;"",ISNUMBER(SEARCH($Z$4,Lists!$EE$33))),1,0)</f>
        <v>#N/A</v>
      </c>
      <c r="CJ33" s="79" t="e">
        <f>IF(ROW()-3&gt;MAX($CI$4:$CI$42),"",INDEX(Lists!$EE$4:$EE$42,MATCH(ROW()-3,$CI$4:$CI$42,0)))</f>
        <v>#N/A</v>
      </c>
      <c r="CK33">
        <f ca="1">CK32+IF(AND(Lists!$EJ$33&lt;&gt;"",ISNUMBER(SEARCH($AA$4,Lists!$EJ$33))),1,0)</f>
        <v>6</v>
      </c>
      <c r="CL33" t="str">
        <f ca="1">IF(ROW()-3&gt;MAX($CK$4:$CK$42),"",INDEX(Lists!$EJ$4:$EJ$42,MATCH(ROW()-3,$CK$4:$CK$42,0)))</f>
        <v/>
      </c>
      <c r="CM33" s="79" t="e">
        <f>CM32+IF(AND(Lists!$EO$33&lt;&gt;"",ISNUMBER(SEARCH($AB$4,Lists!$EO$33))),1,0)</f>
        <v>#N/A</v>
      </c>
      <c r="CN33" s="79" t="e">
        <f>IF(ROW()-3&gt;MAX($CM$4:$CM$42),"",INDEX(Lists!$EO$4:$EO$42,MATCH(ROW()-3,$CM$4:$CM$42,0)))</f>
        <v>#N/A</v>
      </c>
      <c r="CO33" s="79" t="e">
        <f>CO32+IF(AND(Lists!$ET$33&lt;&gt;"",ISNUMBER(SEARCH($AC$4,Lists!$ET$33))),1,0)</f>
        <v>#N/A</v>
      </c>
      <c r="CP33" s="79"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s="79" t="e">
        <f>CU32+IF(AND(Lists!$FI$33&lt;&gt;"",ISNUMBER(SEARCH($AF$4,Lists!$FI$33))),1,0)</f>
        <v>#N/A</v>
      </c>
      <c r="CV33" s="79" t="e">
        <f>IF(ROW()-3&gt;MAX($CU$4:$CU$42),"",INDEX(Lists!$FI$4:$FI$42,MATCH(ROW()-3,$CU$4:$CU$42,0)))</f>
        <v>#N/A</v>
      </c>
      <c r="CW33" s="79" t="e">
        <f>CW32+IF(AND(Lists!$FN$33&lt;&gt;"",ISNUMBER(SEARCH($AG$4,Lists!$FN$33))),1,0)</f>
        <v>#N/A</v>
      </c>
      <c r="CX33" s="79" t="e">
        <f>IF(ROW()-3&gt;MAX($CW$4:$CW$42),"",INDEX(Lists!$FN$4:$FN$42,MATCH(ROW()-3,$CW$4:$CW$42,0)))</f>
        <v>#N/A</v>
      </c>
      <c r="CY33" s="79" t="e">
        <f>CY32+IF(AND(Lists!$FS$33&lt;&gt;"",ISNUMBER(SEARCH($AH$4,Lists!$FS$33))),1,0)</f>
        <v>#N/A</v>
      </c>
      <c r="CZ33" s="79" t="e">
        <f>IF(ROW()-3&gt;MAX($CY$4:$CY$42),"",INDEX(Lists!$FS$4:$FS$42,MATCH(ROW()-3,$CY$4:$CY$42,0)))</f>
        <v>#N/A</v>
      </c>
      <c r="DA33">
        <f>DA32+IF(AND(Lists!$FX$33&lt;&gt;"",ISNUMBER(SEARCH($AI$4,Lists!$FX$33))),1,0)</f>
        <v>2</v>
      </c>
      <c r="DB33" t="str">
        <f>IF(ROW()-3&gt;MAX($DA$4:$DA$42),"",INDEX(Lists!$FX$4:$FX$42,MATCH(ROW()-3,$DA$4:$DA$42,0)))</f>
        <v/>
      </c>
    </row>
    <row r="34" spans="1:106" ht="15" customHeight="1" outlineLevel="1" x14ac:dyDescent="0.25">
      <c r="A34" s="90">
        <v>2</v>
      </c>
      <c r="B34" s="91">
        <f>IF('Final Calculation Sheet'!$F$20="","",'Final Calculation Sheet'!$F$20)</f>
        <v>2020</v>
      </c>
      <c r="C34" s="92" t="str">
        <f>IF('Final Calculation Sheet'!$G$20="","",'Final Calculation Sheet'!$G$20)</f>
        <v>OMKAR STEELS</v>
      </c>
      <c r="D34" s="93" t="str">
        <f>IF('Final Calculation Sheet'!$B$20="","",'Final Calculation Sheet'!$B$20)</f>
        <v>SCRAP 80MM² AAAC EARTHWIRE</v>
      </c>
      <c r="E34" s="94">
        <f>IF('Final Calculation Sheet'!$D$20="","",'Final Calculation Sheet'!$D$20)</f>
        <v>21978</v>
      </c>
      <c r="F34" s="94">
        <f>IF('Final Calculation Sheet'!$A$20="","",'Final Calculation Sheet'!$A$20)</f>
        <v>3500</v>
      </c>
      <c r="G34" s="93"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 ca="1">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95" t="str">
        <f>IF('Final Calculation Sheet'!$AE$20="","",'Final Calculation Sheet'!$AE$20)</f>
        <v>DR2640100017</v>
      </c>
      <c r="AG34" s="99">
        <f>IF('Final Calculation Sheet'!$AF$20="","",'Final Calculation Sheet'!$AF$20)</f>
        <v>1800003065</v>
      </c>
      <c r="AH34" s="95" t="str">
        <f>IF('Final Calculation Sheet'!$AG$20="","",'Final Calculation Sheet'!$AG$20)</f>
        <v>12.08.2026</v>
      </c>
      <c r="AI34" s="100" t="str">
        <f>IF('Final Calculation Sheet'!$AD$20="","",IF('Final Calculation Sheet'!$AD$20&lt;=5,"SETTLED","OUTSTANDING"))</f>
        <v>SETTLED</v>
      </c>
      <c r="AJ34" s="79"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Sheet'!$AD$32))))),IF($AF$4="",TRUE(),IF($AF$4="(blank)",'Final Calculation Sheet'!$AE$32="",IF($AF$4="(nonblank)",'Final Calculation Sheet'!$AE$32&lt;&gt;"",ISNUMBER(SEARCH($AF$4,'Final Calculation Sheet'!$AE$32))))),IF($AG$4="",TRUE(),IF($AG$4="(blank)",'Final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Sheet'!$AG$32))))),IF($AI$4="",TRUE(),IF($AI$4="(blank)",IF('Final Calculation Sheet'!$AD$32&lt;=5,"SETTLED","OUTSTANDING")="",IF($AI$4="(nonblank)",IF('Final Calculation Sheet'!$AD$32&lt;=5,"SETTLED","OUTSTANDING")&lt;&gt;"",ISNUMBER(SEARCH($AI$4,IF('Final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s="79" t="e">
        <f>CG33+IF(AND(Lists!$DZ$34&lt;&gt;"",ISNUMBER(SEARCH($Y$4,Lists!$DZ$34))),1,0)</f>
        <v>#N/A</v>
      </c>
      <c r="CH34" s="79" t="e">
        <f>IF(ROW()-3&gt;MAX($CG$4:$CG$42),"",INDEX(Lists!$DZ$4:$DZ$42,MATCH(ROW()-3,$CG$4:$CG$42,0)))</f>
        <v>#N/A</v>
      </c>
      <c r="CI34" s="79" t="e">
        <f>CI33+IF(AND(Lists!$EE$34&lt;&gt;"",ISNUMBER(SEARCH($Z$4,Lists!$EE$34))),1,0)</f>
        <v>#N/A</v>
      </c>
      <c r="CJ34" s="79" t="e">
        <f>IF(ROW()-3&gt;MAX($CI$4:$CI$42),"",INDEX(Lists!$EE$4:$EE$42,MATCH(ROW()-3,$CI$4:$CI$42,0)))</f>
        <v>#N/A</v>
      </c>
      <c r="CK34">
        <f ca="1">CK33+IF(AND(Lists!$EJ$34&lt;&gt;"",ISNUMBER(SEARCH($AA$4,Lists!$EJ$34))),1,0)</f>
        <v>6</v>
      </c>
      <c r="CL34" t="str">
        <f ca="1">IF(ROW()-3&gt;MAX($CK$4:$CK$42),"",INDEX(Lists!$EJ$4:$EJ$42,MATCH(ROW()-3,$CK$4:$CK$42,0)))</f>
        <v/>
      </c>
      <c r="CM34" s="79" t="e">
        <f>CM33+IF(AND(Lists!$EO$34&lt;&gt;"",ISNUMBER(SEARCH($AB$4,Lists!$EO$34))),1,0)</f>
        <v>#N/A</v>
      </c>
      <c r="CN34" s="79" t="e">
        <f>IF(ROW()-3&gt;MAX($CM$4:$CM$42),"",INDEX(Lists!$EO$4:$EO$42,MATCH(ROW()-3,$CM$4:$CM$42,0)))</f>
        <v>#N/A</v>
      </c>
      <c r="CO34" s="79" t="e">
        <f>CO33+IF(AND(Lists!$ET$34&lt;&gt;"",ISNUMBER(SEARCH($AC$4,Lists!$ET$34))),1,0)</f>
        <v>#N/A</v>
      </c>
      <c r="CP34" s="79"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s="79" t="e">
        <f>CU33+IF(AND(Lists!$FI$34&lt;&gt;"",ISNUMBER(SEARCH($AF$4,Lists!$FI$34))),1,0)</f>
        <v>#N/A</v>
      </c>
      <c r="CV34" s="79" t="e">
        <f>IF(ROW()-3&gt;MAX($CU$4:$CU$42),"",INDEX(Lists!$FI$4:$FI$42,MATCH(ROW()-3,$CU$4:$CU$42,0)))</f>
        <v>#N/A</v>
      </c>
      <c r="CW34" s="79" t="e">
        <f>CW33+IF(AND(Lists!$FN$34&lt;&gt;"",ISNUMBER(SEARCH($AG$4,Lists!$FN$34))),1,0)</f>
        <v>#N/A</v>
      </c>
      <c r="CX34" s="79" t="e">
        <f>IF(ROW()-3&gt;MAX($CW$4:$CW$42),"",INDEX(Lists!$FN$4:$FN$42,MATCH(ROW()-3,$CW$4:$CW$42,0)))</f>
        <v>#N/A</v>
      </c>
      <c r="CY34" s="79" t="e">
        <f>CY33+IF(AND(Lists!$FS$34&lt;&gt;"",ISNUMBER(SEARCH($AH$4,Lists!$FS$34))),1,0)</f>
        <v>#N/A</v>
      </c>
      <c r="CZ34" s="79" t="e">
        <f>IF(ROW()-3&gt;MAX($CY$4:$CY$42),"",INDEX(Lists!$FS$4:$FS$42,MATCH(ROW()-3,$CY$4:$CY$42,0)))</f>
        <v>#N/A</v>
      </c>
      <c r="DA34">
        <f>DA33+IF(AND(Lists!$FX$34&lt;&gt;"",ISNUMBER(SEARCH($AI$4,Lists!$FX$34))),1,0)</f>
        <v>2</v>
      </c>
      <c r="DB34" t="str">
        <f>IF(ROW()-3&gt;MAX($DA$4:$DA$42),"",INDEX(Lists!$FX$4:$FX$42,MATCH(ROW()-3,$DA$4:$DA$42,0)))</f>
        <v/>
      </c>
    </row>
    <row r="35" spans="1:106" ht="15" customHeight="1" x14ac:dyDescent="0.25">
      <c r="A35" s="81" t="s">
        <v>147</v>
      </c>
      <c r="B35" s="82"/>
      <c r="C35" s="82" t="str">
        <f>ROWS($C$33:$C$34)&amp;" lot(s)"</f>
        <v>2 lot(s)</v>
      </c>
      <c r="D35" s="82" t="s">
        <v>156</v>
      </c>
      <c r="E35" s="82" t="s">
        <v>149</v>
      </c>
      <c r="F35" s="83">
        <f>SUM(F33:F34)</f>
        <v>10753</v>
      </c>
      <c r="G35" s="82" t="s">
        <v>149</v>
      </c>
      <c r="H35" s="84" t="s">
        <v>149</v>
      </c>
      <c r="I35" s="84">
        <f t="shared" ref="I35:Q35" si="7">SUM(I33:I34)</f>
        <v>2811931</v>
      </c>
      <c r="J35" s="84">
        <f t="shared" si="7"/>
        <v>506148</v>
      </c>
      <c r="K35" s="84">
        <f t="shared" si="7"/>
        <v>3318079</v>
      </c>
      <c r="L35" s="84">
        <f t="shared" si="7"/>
        <v>66362</v>
      </c>
      <c r="M35" s="84">
        <f t="shared" si="7"/>
        <v>2811.931</v>
      </c>
      <c r="N35" s="84">
        <f t="shared" si="7"/>
        <v>74656.768049999999</v>
      </c>
      <c r="O35" s="85">
        <f t="shared" si="7"/>
        <v>1265.36895</v>
      </c>
      <c r="P35" s="84">
        <f t="shared" si="7"/>
        <v>73391.399099999995</v>
      </c>
      <c r="Q35" s="84">
        <f t="shared" si="7"/>
        <v>76203</v>
      </c>
      <c r="R35" s="86" t="s">
        <v>149</v>
      </c>
      <c r="S35" s="84">
        <f>SUM(S33:S34)</f>
        <v>56239</v>
      </c>
      <c r="T35" s="84">
        <f>SUM(T33:T34)</f>
        <v>3251998</v>
      </c>
      <c r="U35" s="84">
        <f>SUM(U33:U34)</f>
        <v>702983</v>
      </c>
      <c r="V35" s="87">
        <f>SUM(V33:V34)</f>
        <v>702983</v>
      </c>
      <c r="W35" s="84" t="s">
        <v>149</v>
      </c>
      <c r="X35" s="84">
        <f>SUM(X33:X34)</f>
        <v>2549015</v>
      </c>
      <c r="Y35" s="84">
        <f>SUM(Y33:Y34)</f>
        <v>2549015</v>
      </c>
      <c r="Z35" s="84" t="s">
        <v>149</v>
      </c>
      <c r="AA35" s="84">
        <f ca="1">SUM(AA33:AA34)</f>
        <v>0</v>
      </c>
      <c r="AB35" s="84">
        <f>SUM(AB33:AB34)</f>
        <v>0</v>
      </c>
      <c r="AC35" s="84" t="s">
        <v>149</v>
      </c>
      <c r="AD35" s="84">
        <f>SUM(AD33:AD34)</f>
        <v>3251998</v>
      </c>
      <c r="AE35" s="84">
        <f>SUM(AE33:AE34)</f>
        <v>0</v>
      </c>
      <c r="AF35" s="84" t="s">
        <v>149</v>
      </c>
      <c r="AG35" s="88" t="s">
        <v>149</v>
      </c>
      <c r="AH35" s="84" t="s">
        <v>149</v>
      </c>
      <c r="AI35" s="89" t="str">
        <f>IF(AE35&lt;=5,"SETTLED","OUTSTANDING")</f>
        <v>SETTLED</v>
      </c>
      <c r="AJ35" s="79"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Sheet'!$AD$33))))),IF($AF$4="",TRUE(),IF($AF$4="(blank)",'Final Calculation Sheet'!$AE$33="",IF($AF$4="(nonblank)",'Final Calculation Sheet'!$AE$33&lt;&gt;"",ISNUMBER(SEARCH($AF$4,'Final Calculation Sheet'!$AE$33))))),IF($AG$4="",TRUE(),IF($AG$4="(blank)",'Final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Sheet'!$AG$33))))),IF($AI$4="",TRUE(),IF($AI$4="(blank)",IF('Final Calculation Sheet'!$AD$33&lt;=5,"SETTLED","OUTSTANDING")="",IF($AI$4="(nonblank)",IF('Final Calculation Sheet'!$AD$33&lt;=5,"SETTLED","OUTSTANDING")&lt;&gt;"",ISNUMBER(SEARCH($AI$4,IF('Final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s="79" t="e">
        <f>CG34+IF(AND(Lists!$DZ$35&lt;&gt;"",ISNUMBER(SEARCH($Y$4,Lists!$DZ$35))),1,0)</f>
        <v>#N/A</v>
      </c>
      <c r="CH35" s="79" t="e">
        <f>IF(ROW()-3&gt;MAX($CG$4:$CG$42),"",INDEX(Lists!$DZ$4:$DZ$42,MATCH(ROW()-3,$CG$4:$CG$42,0)))</f>
        <v>#N/A</v>
      </c>
      <c r="CI35" s="79" t="e">
        <f>CI34+IF(AND(Lists!$EE$35&lt;&gt;"",ISNUMBER(SEARCH($Z$4,Lists!$EE$35))),1,0)</f>
        <v>#N/A</v>
      </c>
      <c r="CJ35" s="79" t="e">
        <f>IF(ROW()-3&gt;MAX($CI$4:$CI$42),"",INDEX(Lists!$EE$4:$EE$42,MATCH(ROW()-3,$CI$4:$CI$42,0)))</f>
        <v>#N/A</v>
      </c>
      <c r="CK35">
        <f ca="1">CK34+IF(AND(Lists!$EJ$35&lt;&gt;"",ISNUMBER(SEARCH($AA$4,Lists!$EJ$35))),1,0)</f>
        <v>6</v>
      </c>
      <c r="CL35" t="str">
        <f ca="1">IF(ROW()-3&gt;MAX($CK$4:$CK$42),"",INDEX(Lists!$EJ$4:$EJ$42,MATCH(ROW()-3,$CK$4:$CK$42,0)))</f>
        <v/>
      </c>
      <c r="CM35" s="79" t="e">
        <f>CM34+IF(AND(Lists!$EO$35&lt;&gt;"",ISNUMBER(SEARCH($AB$4,Lists!$EO$35))),1,0)</f>
        <v>#N/A</v>
      </c>
      <c r="CN35" s="79" t="e">
        <f>IF(ROW()-3&gt;MAX($CM$4:$CM$42),"",INDEX(Lists!$EO$4:$EO$42,MATCH(ROW()-3,$CM$4:$CM$42,0)))</f>
        <v>#N/A</v>
      </c>
      <c r="CO35" s="79" t="e">
        <f>CO34+IF(AND(Lists!$ET$35&lt;&gt;"",ISNUMBER(SEARCH($AC$4,Lists!$ET$35))),1,0)</f>
        <v>#N/A</v>
      </c>
      <c r="CP35" s="79"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s="79" t="e">
        <f>CU34+IF(AND(Lists!$FI$35&lt;&gt;"",ISNUMBER(SEARCH($AF$4,Lists!$FI$35))),1,0)</f>
        <v>#N/A</v>
      </c>
      <c r="CV35" s="79" t="e">
        <f>IF(ROW()-3&gt;MAX($CU$4:$CU$42),"",INDEX(Lists!$FI$4:$FI$42,MATCH(ROW()-3,$CU$4:$CU$42,0)))</f>
        <v>#N/A</v>
      </c>
      <c r="CW35" s="79" t="e">
        <f>CW34+IF(AND(Lists!$FN$35&lt;&gt;"",ISNUMBER(SEARCH($AG$4,Lists!$FN$35))),1,0)</f>
        <v>#N/A</v>
      </c>
      <c r="CX35" s="79" t="e">
        <f>IF(ROW()-3&gt;MAX($CW$4:$CW$42),"",INDEX(Lists!$FN$4:$FN$42,MATCH(ROW()-3,$CW$4:$CW$42,0)))</f>
        <v>#N/A</v>
      </c>
      <c r="CY35" s="79" t="e">
        <f>CY34+IF(AND(Lists!$FS$35&lt;&gt;"",ISNUMBER(SEARCH($AH$4,Lists!$FS$35))),1,0)</f>
        <v>#N/A</v>
      </c>
      <c r="CZ35" s="79" t="e">
        <f>IF(ROW()-3&gt;MAX($CY$4:$CY$42),"",INDEX(Lists!$FS$4:$FS$42,MATCH(ROW()-3,$CY$4:$CY$42,0)))</f>
        <v>#N/A</v>
      </c>
      <c r="DA35">
        <f>DA34+IF(AND(Lists!$FX$35&lt;&gt;"",ISNUMBER(SEARCH($AI$4,Lists!$FX$35))),1,0)</f>
        <v>2</v>
      </c>
      <c r="DB35" t="str">
        <f>IF(ROW()-3&gt;MAX($DA$4:$DA$42),"",INDEX(Lists!$FX$4:$FX$42,MATCH(ROW()-3,$DA$4:$DA$42,0)))</f>
        <v/>
      </c>
    </row>
    <row r="36" spans="1:106" ht="15" customHeight="1" outlineLevel="1" x14ac:dyDescent="0.25">
      <c r="A36" s="67">
        <v>1</v>
      </c>
      <c r="B36" s="68">
        <f>IF('Final Calculation Sheet'!$F$39="","",'Final Calculation Sheet'!$F$39)</f>
        <v>2089</v>
      </c>
      <c r="C36" s="76" t="str">
        <f>IF('Final Calculation Sheet'!$G$39="","",'Final Calculation Sheet'!$G$39)</f>
        <v>S M ENTERPRISES</v>
      </c>
      <c r="D36" s="69" t="str">
        <f>IF('Final Calculation Sheet'!$B$39="","",'Final Calculation Sheet'!$B$39)</f>
        <v>Scrap of 66 kv TBC C &amp; R Panel</v>
      </c>
      <c r="E36" s="80">
        <f>IF('Final Calculation Sheet'!$D$39="","",'Final Calculation Sheet'!$D$39)</f>
        <v>21980</v>
      </c>
      <c r="F36" s="80">
        <f>IF('Final Calculation Sheet'!$A$39="","",'Final Calculation Sheet'!$A$39)</f>
        <v>2</v>
      </c>
      <c r="G36" s="69"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 ca="1">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0" t="str">
        <f>IF('Final Calculation Sheet'!$AE$39="","",'Final Calculation Sheet'!$AE$39)</f>
        <v/>
      </c>
      <c r="AG36" s="74" t="str">
        <f>IF('Final Calculation Sheet'!$AF$39="","",'Final Calculation Sheet'!$AF$39)</f>
        <v/>
      </c>
      <c r="AH36" s="70" t="str">
        <f>IF('Final Calculation Sheet'!$AG$39="","",'Final Calculation Sheet'!$AG$39)</f>
        <v/>
      </c>
      <c r="AI36" s="75" t="str">
        <f>IF('Final Calculation Sheet'!$AD$39="","",IF('Final Calculation Sheet'!$AD$39&lt;=5,"SETTLED","OUTSTANDING"))</f>
        <v>SETTLED</v>
      </c>
      <c r="AJ36" s="79"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Sheet'!$AD$34))))),IF($AF$4="",TRUE(),IF($AF$4="(blank)",'Final Calculation Sheet'!$AE$34="",IF($AF$4="(nonblank)",'Final Calculation Sheet'!$AE$34&lt;&gt;"",ISNUMBER(SEARCH($AF$4,'Final Calculation Sheet'!$AE$34))))),IF($AG$4="",TRUE(),IF($AG$4="(blank)",'Final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Sheet'!$AG$34))))),IF($AI$4="",TRUE(),IF($AI$4="(blank)",IF('Final Calculation Sheet'!$AD$34&lt;=5,"SETTLED","OUTSTANDING")="",IF($AI$4="(nonblank)",IF('Final Calculation Sheet'!$AD$34&lt;=5,"SETTLED","OUTSTANDING")&lt;&gt;"",ISNUMBER(SEARCH($AI$4,IF('Final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s="79" t="e">
        <f>CG35+IF(AND(Lists!$DZ$36&lt;&gt;"",ISNUMBER(SEARCH($Y$4,Lists!$DZ$36))),1,0)</f>
        <v>#N/A</v>
      </c>
      <c r="CH36" s="79" t="e">
        <f>IF(ROW()-3&gt;MAX($CG$4:$CG$42),"",INDEX(Lists!$DZ$4:$DZ$42,MATCH(ROW()-3,$CG$4:$CG$42,0)))</f>
        <v>#N/A</v>
      </c>
      <c r="CI36" s="79" t="e">
        <f>CI35+IF(AND(Lists!$EE$36&lt;&gt;"",ISNUMBER(SEARCH($Z$4,Lists!$EE$36))),1,0)</f>
        <v>#N/A</v>
      </c>
      <c r="CJ36" s="79" t="e">
        <f>IF(ROW()-3&gt;MAX($CI$4:$CI$42),"",INDEX(Lists!$EE$4:$EE$42,MATCH(ROW()-3,$CI$4:$CI$42,0)))</f>
        <v>#N/A</v>
      </c>
      <c r="CK36">
        <f ca="1">CK35+IF(AND(Lists!$EJ$36&lt;&gt;"",ISNUMBER(SEARCH($AA$4,Lists!$EJ$36))),1,0)</f>
        <v>6</v>
      </c>
      <c r="CL36" t="str">
        <f ca="1">IF(ROW()-3&gt;MAX($CK$4:$CK$42),"",INDEX(Lists!$EJ$4:$EJ$42,MATCH(ROW()-3,$CK$4:$CK$42,0)))</f>
        <v/>
      </c>
      <c r="CM36" s="79" t="e">
        <f>CM35+IF(AND(Lists!$EO$36&lt;&gt;"",ISNUMBER(SEARCH($AB$4,Lists!$EO$36))),1,0)</f>
        <v>#N/A</v>
      </c>
      <c r="CN36" s="79" t="e">
        <f>IF(ROW()-3&gt;MAX($CM$4:$CM$42),"",INDEX(Lists!$EO$4:$EO$42,MATCH(ROW()-3,$CM$4:$CM$42,0)))</f>
        <v>#N/A</v>
      </c>
      <c r="CO36" s="79" t="e">
        <f>CO35+IF(AND(Lists!$ET$36&lt;&gt;"",ISNUMBER(SEARCH($AC$4,Lists!$ET$36))),1,0)</f>
        <v>#N/A</v>
      </c>
      <c r="CP36" s="79"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s="79" t="e">
        <f>CU35+IF(AND(Lists!$FI$36&lt;&gt;"",ISNUMBER(SEARCH($AF$4,Lists!$FI$36))),1,0)</f>
        <v>#N/A</v>
      </c>
      <c r="CV36" s="79" t="e">
        <f>IF(ROW()-3&gt;MAX($CU$4:$CU$42),"",INDEX(Lists!$FI$4:$FI$42,MATCH(ROW()-3,$CU$4:$CU$42,0)))</f>
        <v>#N/A</v>
      </c>
      <c r="CW36" s="79" t="e">
        <f>CW35+IF(AND(Lists!$FN$36&lt;&gt;"",ISNUMBER(SEARCH($AG$4,Lists!$FN$36))),1,0)</f>
        <v>#N/A</v>
      </c>
      <c r="CX36" s="79" t="e">
        <f>IF(ROW()-3&gt;MAX($CW$4:$CW$42),"",INDEX(Lists!$FN$4:$FN$42,MATCH(ROW()-3,$CW$4:$CW$42,0)))</f>
        <v>#N/A</v>
      </c>
      <c r="CY36" s="79" t="e">
        <f>CY35+IF(AND(Lists!$FS$36&lt;&gt;"",ISNUMBER(SEARCH($AH$4,Lists!$FS$36))),1,0)</f>
        <v>#N/A</v>
      </c>
      <c r="CZ36" s="79" t="e">
        <f>IF(ROW()-3&gt;MAX($CY$4:$CY$42),"",INDEX(Lists!$FS$4:$FS$42,MATCH(ROW()-3,$CY$4:$CY$42,0)))</f>
        <v>#N/A</v>
      </c>
      <c r="DA36">
        <f>DA35+IF(AND(Lists!$FX$36&lt;&gt;"",ISNUMBER(SEARCH($AI$4,Lists!$FX$36))),1,0)</f>
        <v>2</v>
      </c>
      <c r="DB36" t="str">
        <f>IF(ROW()-3&gt;MAX($DA$4:$DA$42),"",INDEX(Lists!$FX$4:$FX$42,MATCH(ROW()-3,$DA$4:$DA$42,0)))</f>
        <v/>
      </c>
    </row>
    <row r="37" spans="1:106" ht="15" customHeight="1" outlineLevel="1" x14ac:dyDescent="0.25">
      <c r="A37" s="90">
        <v>2</v>
      </c>
      <c r="B37" s="91">
        <f>IF('Final Calculation Sheet'!$F$40="","",'Final Calculation Sheet'!$F$40)</f>
        <v>2091</v>
      </c>
      <c r="C37" s="92" t="str">
        <f>IF('Final Calculation Sheet'!$G$40="","",'Final Calculation Sheet'!$G$40)</f>
        <v>S M ENTERPRISES</v>
      </c>
      <c r="D37" s="93" t="str">
        <f>IF('Final Calculation Sheet'!$B$40="","",'Final Calculation Sheet'!$B$40)</f>
        <v>Scrap of 132 KV CT</v>
      </c>
      <c r="E37" s="94">
        <f>IF('Final Calculation Sheet'!$D$40="","",'Final Calculation Sheet'!$D$40)</f>
        <v>21980</v>
      </c>
      <c r="F37" s="94">
        <f>IF('Final Calculation Sheet'!$A$40="","",'Final Calculation Sheet'!$A$40)</f>
        <v>3</v>
      </c>
      <c r="G37" s="93"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 ca="1">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95" t="str">
        <f>IF('Final Calculation Sheet'!$AE$40="","",'Final Calculation Sheet'!$AE$40)</f>
        <v/>
      </c>
      <c r="AG37" s="99" t="str">
        <f>IF('Final Calculation Sheet'!$AF$40="","",'Final Calculation Sheet'!$AF$40)</f>
        <v/>
      </c>
      <c r="AH37" s="95" t="str">
        <f>IF('Final Calculation Sheet'!$AG$40="","",'Final Calculation Sheet'!$AG$40)</f>
        <v/>
      </c>
      <c r="AI37" s="100" t="str">
        <f>IF('Final Calculation Sheet'!$AD$40="","",IF('Final Calculation Sheet'!$AD$40&lt;=5,"SETTLED","OUTSTANDING"))</f>
        <v>SETTLED</v>
      </c>
      <c r="AJ37" s="79"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Sheet'!$AD$35))))),IF($AF$4="",TRUE(),IF($AF$4="(blank)",'Final Calculation Sheet'!$AE$35="",IF($AF$4="(nonblank)",'Final Calculation Sheet'!$AE$35&lt;&gt;"",ISNUMBER(SEARCH($AF$4,'Final Calculation Sheet'!$AE$35))))),IF($AG$4="",TRUE(),IF($AG$4="(blank)",'Final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Sheet'!$AG$35))))),IF($AI$4="",TRUE(),IF($AI$4="(blank)",IF('Final Calculation Sheet'!$AD$35&lt;=5,"SETTLED","OUTSTANDING")="",IF($AI$4="(nonblank)",IF('Final Calculation Sheet'!$AD$35&lt;=5,"SETTLED","OUTSTANDING")&lt;&gt;"",ISNUMBER(SEARCH($AI$4,IF('Final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s="79" t="e">
        <f>CG36+IF(AND(Lists!$DZ$37&lt;&gt;"",ISNUMBER(SEARCH($Y$4,Lists!$DZ$37))),1,0)</f>
        <v>#N/A</v>
      </c>
      <c r="CH37" s="79" t="e">
        <f>IF(ROW()-3&gt;MAX($CG$4:$CG$42),"",INDEX(Lists!$DZ$4:$DZ$42,MATCH(ROW()-3,$CG$4:$CG$42,0)))</f>
        <v>#N/A</v>
      </c>
      <c r="CI37" s="79" t="e">
        <f>CI36+IF(AND(Lists!$EE$37&lt;&gt;"",ISNUMBER(SEARCH($Z$4,Lists!$EE$37))),1,0)</f>
        <v>#N/A</v>
      </c>
      <c r="CJ37" s="79" t="e">
        <f>IF(ROW()-3&gt;MAX($CI$4:$CI$42),"",INDEX(Lists!$EE$4:$EE$42,MATCH(ROW()-3,$CI$4:$CI$42,0)))</f>
        <v>#N/A</v>
      </c>
      <c r="CK37">
        <f ca="1">CK36+IF(AND(Lists!$EJ$37&lt;&gt;"",ISNUMBER(SEARCH($AA$4,Lists!$EJ$37))),1,0)</f>
        <v>6</v>
      </c>
      <c r="CL37" t="str">
        <f ca="1">IF(ROW()-3&gt;MAX($CK$4:$CK$42),"",INDEX(Lists!$EJ$4:$EJ$42,MATCH(ROW()-3,$CK$4:$CK$42,0)))</f>
        <v/>
      </c>
      <c r="CM37" s="79" t="e">
        <f>CM36+IF(AND(Lists!$EO$37&lt;&gt;"",ISNUMBER(SEARCH($AB$4,Lists!$EO$37))),1,0)</f>
        <v>#N/A</v>
      </c>
      <c r="CN37" s="79" t="e">
        <f>IF(ROW()-3&gt;MAX($CM$4:$CM$42),"",INDEX(Lists!$EO$4:$EO$42,MATCH(ROW()-3,$CM$4:$CM$42,0)))</f>
        <v>#N/A</v>
      </c>
      <c r="CO37" s="79" t="e">
        <f>CO36+IF(AND(Lists!$ET$37&lt;&gt;"",ISNUMBER(SEARCH($AC$4,Lists!$ET$37))),1,0)</f>
        <v>#N/A</v>
      </c>
      <c r="CP37" s="79"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s="79" t="e">
        <f>CU36+IF(AND(Lists!$FI$37&lt;&gt;"",ISNUMBER(SEARCH($AF$4,Lists!$FI$37))),1,0)</f>
        <v>#N/A</v>
      </c>
      <c r="CV37" s="79" t="e">
        <f>IF(ROW()-3&gt;MAX($CU$4:$CU$42),"",INDEX(Lists!$FI$4:$FI$42,MATCH(ROW()-3,$CU$4:$CU$42,0)))</f>
        <v>#N/A</v>
      </c>
      <c r="CW37" s="79" t="e">
        <f>CW36+IF(AND(Lists!$FN$37&lt;&gt;"",ISNUMBER(SEARCH($AG$4,Lists!$FN$37))),1,0)</f>
        <v>#N/A</v>
      </c>
      <c r="CX37" s="79" t="e">
        <f>IF(ROW()-3&gt;MAX($CW$4:$CW$42),"",INDEX(Lists!$FN$4:$FN$42,MATCH(ROW()-3,$CW$4:$CW$42,0)))</f>
        <v>#N/A</v>
      </c>
      <c r="CY37" s="79" t="e">
        <f>CY36+IF(AND(Lists!$FS$37&lt;&gt;"",ISNUMBER(SEARCH($AH$4,Lists!$FS$37))),1,0)</f>
        <v>#N/A</v>
      </c>
      <c r="CZ37" s="79" t="e">
        <f>IF(ROW()-3&gt;MAX($CY$4:$CY$42),"",INDEX(Lists!$FS$4:$FS$42,MATCH(ROW()-3,$CY$4:$CY$42,0)))</f>
        <v>#N/A</v>
      </c>
      <c r="DA37">
        <f>DA36+IF(AND(Lists!$FX$37&lt;&gt;"",ISNUMBER(SEARCH($AI$4,Lists!$FX$37))),1,0)</f>
        <v>2</v>
      </c>
      <c r="DB37" t="str">
        <f>IF(ROW()-3&gt;MAX($DA$4:$DA$42),"",INDEX(Lists!$FX$4:$FX$42,MATCH(ROW()-3,$DA$4:$DA$42,0)))</f>
        <v/>
      </c>
    </row>
    <row r="38" spans="1:106" ht="15" customHeight="1" x14ac:dyDescent="0.25">
      <c r="A38" s="81" t="s">
        <v>147</v>
      </c>
      <c r="B38" s="82"/>
      <c r="C38" s="82" t="str">
        <f>ROWS($C$36:$C$37)&amp;" lot(s)"</f>
        <v>2 lot(s)</v>
      </c>
      <c r="D38" s="82" t="s">
        <v>157</v>
      </c>
      <c r="E38" s="82" t="s">
        <v>149</v>
      </c>
      <c r="F38" s="83">
        <f>SUM(F36:F37)</f>
        <v>5</v>
      </c>
      <c r="G38" s="82" t="s">
        <v>149</v>
      </c>
      <c r="H38" s="84" t="s">
        <v>149</v>
      </c>
      <c r="I38" s="84">
        <f t="shared" ref="I38:Q38" si="8">SUM(I36:I37)</f>
        <v>150021</v>
      </c>
      <c r="J38" s="84">
        <f t="shared" si="8"/>
        <v>27004</v>
      </c>
      <c r="K38" s="84">
        <f t="shared" si="8"/>
        <v>177025</v>
      </c>
      <c r="L38" s="84">
        <f t="shared" si="8"/>
        <v>3540</v>
      </c>
      <c r="M38" s="84">
        <f t="shared" si="8"/>
        <v>150.02100000000002</v>
      </c>
      <c r="N38" s="84">
        <f t="shared" si="8"/>
        <v>3983.0575499999995</v>
      </c>
      <c r="O38" s="85">
        <f t="shared" si="8"/>
        <v>67.509450000000001</v>
      </c>
      <c r="P38" s="84">
        <f t="shared" si="8"/>
        <v>3915.5480999999995</v>
      </c>
      <c r="Q38" s="84">
        <f t="shared" si="8"/>
        <v>4065</v>
      </c>
      <c r="R38" s="86" t="s">
        <v>149</v>
      </c>
      <c r="S38" s="84">
        <f>SUM(S36:S37)</f>
        <v>0</v>
      </c>
      <c r="T38" s="84">
        <f>SUM(T36:T37)</f>
        <v>176500</v>
      </c>
      <c r="U38" s="84">
        <f>SUM(U36:U37)</f>
        <v>37505</v>
      </c>
      <c r="V38" s="87">
        <f>SUM(V36:V37)</f>
        <v>37505</v>
      </c>
      <c r="W38" s="84" t="s">
        <v>149</v>
      </c>
      <c r="X38" s="84">
        <f>SUM(X36:X37)</f>
        <v>138994</v>
      </c>
      <c r="Y38" s="84">
        <f>SUM(Y36:Y37)</f>
        <v>138995</v>
      </c>
      <c r="Z38" s="84" t="s">
        <v>149</v>
      </c>
      <c r="AA38" s="84">
        <f ca="1">SUM(AA36:AA37)</f>
        <v>3540.4955999999997</v>
      </c>
      <c r="AB38" s="84">
        <f>SUM(AB36:AB37)</f>
        <v>3540</v>
      </c>
      <c r="AC38" s="84" t="s">
        <v>149</v>
      </c>
      <c r="AD38" s="84">
        <f>SUM(AD36:AD37)</f>
        <v>180040</v>
      </c>
      <c r="AE38" s="84">
        <f>SUM(AE36:AE37)</f>
        <v>-3540</v>
      </c>
      <c r="AF38" s="84" t="s">
        <v>149</v>
      </c>
      <c r="AG38" s="88" t="s">
        <v>149</v>
      </c>
      <c r="AH38" s="84" t="s">
        <v>149</v>
      </c>
      <c r="AI38" s="89" t="str">
        <f>IF(AE38&lt;=5,"SETTLED","OUTSTANDING")</f>
        <v>SETTLED</v>
      </c>
      <c r="AJ38" s="79"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Sheet'!$AD$36))))),IF($AF$4="",TRUE(),IF($AF$4="(blank)",'Final Calculation Sheet'!$AE$36="",IF($AF$4="(nonblank)",'Final Calculation Sheet'!$AE$36&lt;&gt;"",ISNUMBER(SEARCH($AF$4,'Final Calculation Sheet'!$AE$36))))),IF($AG$4="",TRUE(),IF($AG$4="(blank)",'Final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Sheet'!$AG$36))))),IF($AI$4="",TRUE(),IF($AI$4="(blank)",IF('Final Calculation Sheet'!$AD$36&lt;=5,"SETTLED","OUTSTANDING")="",IF($AI$4="(nonblank)",IF('Final Calculation Sheet'!$AD$36&lt;=5,"SETTLED","OUTSTANDING")&lt;&gt;"",ISNUMBER(SEARCH($AI$4,IF('Final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s="79" t="e">
        <f>CG37+IF(AND(Lists!$DZ$38&lt;&gt;"",ISNUMBER(SEARCH($Y$4,Lists!$DZ$38))),1,0)</f>
        <v>#N/A</v>
      </c>
      <c r="CH38" s="79" t="e">
        <f>IF(ROW()-3&gt;MAX($CG$4:$CG$42),"",INDEX(Lists!$DZ$4:$DZ$42,MATCH(ROW()-3,$CG$4:$CG$42,0)))</f>
        <v>#N/A</v>
      </c>
      <c r="CI38" s="79" t="e">
        <f>CI37+IF(AND(Lists!$EE$38&lt;&gt;"",ISNUMBER(SEARCH($Z$4,Lists!$EE$38))),1,0)</f>
        <v>#N/A</v>
      </c>
      <c r="CJ38" s="79" t="e">
        <f>IF(ROW()-3&gt;MAX($CI$4:$CI$42),"",INDEX(Lists!$EE$4:$EE$42,MATCH(ROW()-3,$CI$4:$CI$42,0)))</f>
        <v>#N/A</v>
      </c>
      <c r="CK38">
        <f ca="1">CK37+IF(AND(Lists!$EJ$38&lt;&gt;"",ISNUMBER(SEARCH($AA$4,Lists!$EJ$38))),1,0)</f>
        <v>6</v>
      </c>
      <c r="CL38" t="str">
        <f ca="1">IF(ROW()-3&gt;MAX($CK$4:$CK$42),"",INDEX(Lists!$EJ$4:$EJ$42,MATCH(ROW()-3,$CK$4:$CK$42,0)))</f>
        <v/>
      </c>
      <c r="CM38" s="79" t="e">
        <f>CM37+IF(AND(Lists!$EO$38&lt;&gt;"",ISNUMBER(SEARCH($AB$4,Lists!$EO$38))),1,0)</f>
        <v>#N/A</v>
      </c>
      <c r="CN38" s="79" t="e">
        <f>IF(ROW()-3&gt;MAX($CM$4:$CM$42),"",INDEX(Lists!$EO$4:$EO$42,MATCH(ROW()-3,$CM$4:$CM$42,0)))</f>
        <v>#N/A</v>
      </c>
      <c r="CO38" s="79" t="e">
        <f>CO37+IF(AND(Lists!$ET$38&lt;&gt;"",ISNUMBER(SEARCH($AC$4,Lists!$ET$38))),1,0)</f>
        <v>#N/A</v>
      </c>
      <c r="CP38" s="79"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s="79" t="e">
        <f>CU37+IF(AND(Lists!$FI$38&lt;&gt;"",ISNUMBER(SEARCH($AF$4,Lists!$FI$38))),1,0)</f>
        <v>#N/A</v>
      </c>
      <c r="CV38" s="79" t="e">
        <f>IF(ROW()-3&gt;MAX($CU$4:$CU$42),"",INDEX(Lists!$FI$4:$FI$42,MATCH(ROW()-3,$CU$4:$CU$42,0)))</f>
        <v>#N/A</v>
      </c>
      <c r="CW38" s="79" t="e">
        <f>CW37+IF(AND(Lists!$FN$38&lt;&gt;"",ISNUMBER(SEARCH($AG$4,Lists!$FN$38))),1,0)</f>
        <v>#N/A</v>
      </c>
      <c r="CX38" s="79" t="e">
        <f>IF(ROW()-3&gt;MAX($CW$4:$CW$42),"",INDEX(Lists!$FN$4:$FN$42,MATCH(ROW()-3,$CW$4:$CW$42,0)))</f>
        <v>#N/A</v>
      </c>
      <c r="CY38" s="79" t="e">
        <f>CY37+IF(AND(Lists!$FS$38&lt;&gt;"",ISNUMBER(SEARCH($AH$4,Lists!$FS$38))),1,0)</f>
        <v>#N/A</v>
      </c>
      <c r="CZ38" s="79" t="e">
        <f>IF(ROW()-3&gt;MAX($CY$4:$CY$42),"",INDEX(Lists!$FS$4:$FS$42,MATCH(ROW()-3,$CY$4:$CY$42,0)))</f>
        <v>#N/A</v>
      </c>
      <c r="DA38">
        <f>DA37+IF(AND(Lists!$FX$38&lt;&gt;"",ISNUMBER(SEARCH($AI$4,Lists!$FX$38))),1,0)</f>
        <v>2</v>
      </c>
      <c r="DB38" t="str">
        <f>IF(ROW()-3&gt;MAX($DA$4:$DA$42),"",INDEX(Lists!$FX$4:$FX$42,MATCH(ROW()-3,$DA$4:$DA$42,0)))</f>
        <v/>
      </c>
    </row>
    <row r="39" spans="1:106" ht="15" customHeight="1" outlineLevel="1" x14ac:dyDescent="0.25">
      <c r="A39" s="67">
        <v>1</v>
      </c>
      <c r="B39" s="68">
        <f>IF('Final Calculation Sheet'!$F$31="","",'Final Calculation Sheet'!$F$31)</f>
        <v>2046</v>
      </c>
      <c r="C39" s="76" t="str">
        <f>IF('Final Calculation Sheet'!$G$31="","",'Final Calculation Sheet'!$G$31)</f>
        <v>SAHARA ENTERPRISES</v>
      </c>
      <c r="D39" s="69" t="str">
        <f>IF('Final Calculation Sheet'!$B$31="","",'Final Calculation Sheet'!$B$31)</f>
        <v>Scrap of AAAC Earth wire</v>
      </c>
      <c r="E39" s="80">
        <f>IF('Final Calculation Sheet'!$D$31="","",'Final Calculation Sheet'!$D$31)</f>
        <v>21979</v>
      </c>
      <c r="F39" s="80">
        <f>IF('Final Calculation Sheet'!$A$31="","",'Final Calculation Sheet'!$A$31)</f>
        <v>670</v>
      </c>
      <c r="G39" s="69"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 ca="1">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0" t="str">
        <f>IF('Final Calculation Sheet'!$AE$31="","",'Final Calculation Sheet'!$AE$31)</f>
        <v>DR2640100041</v>
      </c>
      <c r="AG39" s="74">
        <f>IF('Final Calculation Sheet'!$AF$31="","",'Final Calculation Sheet'!$AF$31)</f>
        <v>1800003316</v>
      </c>
      <c r="AH39" s="70" t="str">
        <f>IF('Final Calculation Sheet'!$AG$31="","",'Final Calculation Sheet'!$AG$31)</f>
        <v>27.08.2026</v>
      </c>
      <c r="AI39" s="75" t="str">
        <f>IF('Final Calculation Sheet'!$AD$31="","",IF('Final Calculation Sheet'!$AD$31&lt;=5,"SETTLED","OUTSTANDING"))</f>
        <v>SETTLED</v>
      </c>
      <c r="AJ39" s="7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Sheet'!$AD$37))))),IF($AF$4="",TRUE(),IF($AF$4="(blank)",'Final Calculation Sheet'!$AE$37="",IF($AF$4="(nonblank)",'Final Calculation Sheet'!$AE$37&lt;&gt;"",ISNUMBER(SEARCH($AF$4,'Final Calculation Sheet'!$AE$37))))),IF($AG$4="",TRUE(),IF($AG$4="(blank)",'Final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Sheet'!$AG$37))))),IF($AI$4="",TRUE(),IF($AI$4="(blank)",IF('Final Calculation Sheet'!$AD$37&lt;=5,"SETTLED","OUTSTANDING")="",IF($AI$4="(nonblank)",IF('Final Calculation Sheet'!$AD$37&lt;=5,"SETTLED","OUTSTANDING")&lt;&gt;"",ISNUMBER(SEARCH($AI$4,IF('Final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s="79" t="e">
        <f>CG38+IF(AND(Lists!$DZ$39&lt;&gt;"",ISNUMBER(SEARCH($Y$4,Lists!$DZ$39))),1,0)</f>
        <v>#N/A</v>
      </c>
      <c r="CH39" s="79" t="e">
        <f>IF(ROW()-3&gt;MAX($CG$4:$CG$42),"",INDEX(Lists!$DZ$4:$DZ$42,MATCH(ROW()-3,$CG$4:$CG$42,0)))</f>
        <v>#N/A</v>
      </c>
      <c r="CI39" s="79" t="e">
        <f>CI38+IF(AND(Lists!$EE$39&lt;&gt;"",ISNUMBER(SEARCH($Z$4,Lists!$EE$39))),1,0)</f>
        <v>#N/A</v>
      </c>
      <c r="CJ39" s="79" t="e">
        <f>IF(ROW()-3&gt;MAX($CI$4:$CI$42),"",INDEX(Lists!$EE$4:$EE$42,MATCH(ROW()-3,$CI$4:$CI$42,0)))</f>
        <v>#N/A</v>
      </c>
      <c r="CK39">
        <f ca="1">CK38+IF(AND(Lists!$EJ$39&lt;&gt;"",ISNUMBER(SEARCH($AA$4,Lists!$EJ$39))),1,0)</f>
        <v>6</v>
      </c>
      <c r="CL39" t="str">
        <f ca="1">IF(ROW()-3&gt;MAX($CK$4:$CK$42),"",INDEX(Lists!$EJ$4:$EJ$42,MATCH(ROW()-3,$CK$4:$CK$42,0)))</f>
        <v/>
      </c>
      <c r="CM39" s="79" t="e">
        <f>CM38+IF(AND(Lists!$EO$39&lt;&gt;"",ISNUMBER(SEARCH($AB$4,Lists!$EO$39))),1,0)</f>
        <v>#N/A</v>
      </c>
      <c r="CN39" s="79" t="e">
        <f>IF(ROW()-3&gt;MAX($CM$4:$CM$42),"",INDEX(Lists!$EO$4:$EO$42,MATCH(ROW()-3,$CM$4:$CM$42,0)))</f>
        <v>#N/A</v>
      </c>
      <c r="CO39" s="79" t="e">
        <f>CO38+IF(AND(Lists!$ET$39&lt;&gt;"",ISNUMBER(SEARCH($AC$4,Lists!$ET$39))),1,0)</f>
        <v>#N/A</v>
      </c>
      <c r="CP39" s="7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s="79" t="e">
        <f>CU38+IF(AND(Lists!$FI$39&lt;&gt;"",ISNUMBER(SEARCH($AF$4,Lists!$FI$39))),1,0)</f>
        <v>#N/A</v>
      </c>
      <c r="CV39" s="79" t="e">
        <f>IF(ROW()-3&gt;MAX($CU$4:$CU$42),"",INDEX(Lists!$FI$4:$FI$42,MATCH(ROW()-3,$CU$4:$CU$42,0)))</f>
        <v>#N/A</v>
      </c>
      <c r="CW39" s="79" t="e">
        <f>CW38+IF(AND(Lists!$FN$39&lt;&gt;"",ISNUMBER(SEARCH($AG$4,Lists!$FN$39))),1,0)</f>
        <v>#N/A</v>
      </c>
      <c r="CX39" s="79" t="e">
        <f>IF(ROW()-3&gt;MAX($CW$4:$CW$42),"",INDEX(Lists!$FN$4:$FN$42,MATCH(ROW()-3,$CW$4:$CW$42,0)))</f>
        <v>#N/A</v>
      </c>
      <c r="CY39" s="79" t="e">
        <f>CY38+IF(AND(Lists!$FS$39&lt;&gt;"",ISNUMBER(SEARCH($AH$4,Lists!$FS$39))),1,0)</f>
        <v>#N/A</v>
      </c>
      <c r="CZ39" s="79" t="e">
        <f>IF(ROW()-3&gt;MAX($CY$4:$CY$42),"",INDEX(Lists!$FS$4:$FS$42,MATCH(ROW()-3,$CY$4:$CY$42,0)))</f>
        <v>#N/A</v>
      </c>
      <c r="DA39">
        <f>DA38+IF(AND(Lists!$FX$39&lt;&gt;"",ISNUMBER(SEARCH($AI$4,Lists!$FX$39))),1,0)</f>
        <v>2</v>
      </c>
      <c r="DB39" t="str">
        <f>IF(ROW()-3&gt;MAX($DA$4:$DA$42),"",INDEX(Lists!$FX$4:$FX$42,MATCH(ROW()-3,$DA$4:$DA$42,0)))</f>
        <v/>
      </c>
    </row>
    <row r="40" spans="1:106" ht="15" customHeight="1" x14ac:dyDescent="0.25">
      <c r="A40" s="81" t="s">
        <v>147</v>
      </c>
      <c r="B40" s="82"/>
      <c r="C40" s="82" t="str">
        <f>ROWS($C$39:$C$39)&amp;" lot(s)"</f>
        <v>1 lot(s)</v>
      </c>
      <c r="D40" s="82" t="s">
        <v>158</v>
      </c>
      <c r="E40" s="82" t="s">
        <v>149</v>
      </c>
      <c r="F40" s="83">
        <f>SUM(F39:F39)</f>
        <v>670</v>
      </c>
      <c r="G40" s="82" t="s">
        <v>149</v>
      </c>
      <c r="H40" s="84" t="s">
        <v>149</v>
      </c>
      <c r="I40" s="84">
        <f t="shared" ref="I40:Q40" si="9">SUM(I39:I39)</f>
        <v>207030</v>
      </c>
      <c r="J40" s="84">
        <f t="shared" si="9"/>
        <v>37265</v>
      </c>
      <c r="K40" s="84">
        <f t="shared" si="9"/>
        <v>244295</v>
      </c>
      <c r="L40" s="84">
        <f t="shared" si="9"/>
        <v>4886</v>
      </c>
      <c r="M40" s="84">
        <f t="shared" si="9"/>
        <v>207.03</v>
      </c>
      <c r="N40" s="84">
        <f t="shared" si="9"/>
        <v>5496.6464999999998</v>
      </c>
      <c r="O40" s="85">
        <f t="shared" si="9"/>
        <v>93.163499999999999</v>
      </c>
      <c r="P40" s="84">
        <f t="shared" si="9"/>
        <v>5403.4830000000002</v>
      </c>
      <c r="Q40" s="84">
        <f t="shared" si="9"/>
        <v>5611</v>
      </c>
      <c r="R40" s="86" t="s">
        <v>149</v>
      </c>
      <c r="S40" s="84">
        <f>SUM(S39:S39)</f>
        <v>0</v>
      </c>
      <c r="T40" s="84">
        <f>SUM(T39:T39)</f>
        <v>243571</v>
      </c>
      <c r="U40" s="84">
        <f>SUM(U39:U39)</f>
        <v>51758</v>
      </c>
      <c r="V40" s="87">
        <f>SUM(V39:V39)</f>
        <v>51758</v>
      </c>
      <c r="W40" s="84" t="s">
        <v>149</v>
      </c>
      <c r="X40" s="84">
        <f>SUM(X39:X39)</f>
        <v>191813</v>
      </c>
      <c r="Y40" s="84">
        <f>SUM(Y39:Y39)</f>
        <v>191812</v>
      </c>
      <c r="Z40" s="84" t="s">
        <v>149</v>
      </c>
      <c r="AA40" s="84">
        <f ca="1">SUM(AA39:AA39)</f>
        <v>0</v>
      </c>
      <c r="AB40" s="84">
        <f>SUM(AB39:AB39)</f>
        <v>0</v>
      </c>
      <c r="AC40" s="84" t="s">
        <v>149</v>
      </c>
      <c r="AD40" s="84">
        <f>SUM(AD39:AD39)</f>
        <v>243570</v>
      </c>
      <c r="AE40" s="84">
        <f>SUM(AE39:AE39)</f>
        <v>1</v>
      </c>
      <c r="AF40" s="84" t="s">
        <v>149</v>
      </c>
      <c r="AG40" s="88" t="s">
        <v>149</v>
      </c>
      <c r="AH40" s="84" t="s">
        <v>149</v>
      </c>
      <c r="AI40" s="89" t="str">
        <f>IF(AE40&lt;=5,"SETTLED","OUTSTANDING")</f>
        <v>SETTLED</v>
      </c>
      <c r="AJ40" s="79"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Sheet'!$AD$38))))),IF($AF$4="",TRUE(),IF($AF$4="(blank)",'Final Calculation Sheet'!$AE$38="",IF($AF$4="(nonblank)",'Final Calculation Sheet'!$AE$38&lt;&gt;"",ISNUMBER(SEARCH($AF$4,'Final Calculation Sheet'!$AE$38))))),IF($AG$4="",TRUE(),IF($AG$4="(blank)",'Final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Sheet'!$AG$38))))),IF($AI$4="",TRUE(),IF($AI$4="(blank)",IF('Final Calculation Sheet'!$AD$38&lt;=5,"SETTLED","OUTSTANDING")="",IF($AI$4="(nonblank)",IF('Final Calculation Sheet'!$AD$38&lt;=5,"SETTLED","OUTSTANDING")&lt;&gt;"",ISNUMBER(SEARCH($AI$4,IF('Final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s="79" t="e">
        <f>CG39+IF(AND(Lists!$DZ$40&lt;&gt;"",ISNUMBER(SEARCH($Y$4,Lists!$DZ$40))),1,0)</f>
        <v>#N/A</v>
      </c>
      <c r="CH40" s="79" t="e">
        <f>IF(ROW()-3&gt;MAX($CG$4:$CG$42),"",INDEX(Lists!$DZ$4:$DZ$42,MATCH(ROW()-3,$CG$4:$CG$42,0)))</f>
        <v>#N/A</v>
      </c>
      <c r="CI40" s="79" t="e">
        <f>CI39+IF(AND(Lists!$EE$40&lt;&gt;"",ISNUMBER(SEARCH($Z$4,Lists!$EE$40))),1,0)</f>
        <v>#N/A</v>
      </c>
      <c r="CJ40" s="79" t="e">
        <f>IF(ROW()-3&gt;MAX($CI$4:$CI$42),"",INDEX(Lists!$EE$4:$EE$42,MATCH(ROW()-3,$CI$4:$CI$42,0)))</f>
        <v>#N/A</v>
      </c>
      <c r="CK40">
        <f ca="1">CK39+IF(AND(Lists!$EJ$40&lt;&gt;"",ISNUMBER(SEARCH($AA$4,Lists!$EJ$40))),1,0)</f>
        <v>6</v>
      </c>
      <c r="CL40" t="str">
        <f ca="1">IF(ROW()-3&gt;MAX($CK$4:$CK$42),"",INDEX(Lists!$EJ$4:$EJ$42,MATCH(ROW()-3,$CK$4:$CK$42,0)))</f>
        <v/>
      </c>
      <c r="CM40" s="79" t="e">
        <f>CM39+IF(AND(Lists!$EO$40&lt;&gt;"",ISNUMBER(SEARCH($AB$4,Lists!$EO$40))),1,0)</f>
        <v>#N/A</v>
      </c>
      <c r="CN40" s="79" t="e">
        <f>IF(ROW()-3&gt;MAX($CM$4:$CM$42),"",INDEX(Lists!$EO$4:$EO$42,MATCH(ROW()-3,$CM$4:$CM$42,0)))</f>
        <v>#N/A</v>
      </c>
      <c r="CO40" s="79" t="e">
        <f>CO39+IF(AND(Lists!$ET$40&lt;&gt;"",ISNUMBER(SEARCH($AC$4,Lists!$ET$40))),1,0)</f>
        <v>#N/A</v>
      </c>
      <c r="CP40" s="79"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s="79" t="e">
        <f>CU39+IF(AND(Lists!$FI$40&lt;&gt;"",ISNUMBER(SEARCH($AF$4,Lists!$FI$40))),1,0)</f>
        <v>#N/A</v>
      </c>
      <c r="CV40" s="79" t="e">
        <f>IF(ROW()-3&gt;MAX($CU$4:$CU$42),"",INDEX(Lists!$FI$4:$FI$42,MATCH(ROW()-3,$CU$4:$CU$42,0)))</f>
        <v>#N/A</v>
      </c>
      <c r="CW40" s="79" t="e">
        <f>CW39+IF(AND(Lists!$FN$40&lt;&gt;"",ISNUMBER(SEARCH($AG$4,Lists!$FN$40))),1,0)</f>
        <v>#N/A</v>
      </c>
      <c r="CX40" s="79" t="e">
        <f>IF(ROW()-3&gt;MAX($CW$4:$CW$42),"",INDEX(Lists!$FN$4:$FN$42,MATCH(ROW()-3,$CW$4:$CW$42,0)))</f>
        <v>#N/A</v>
      </c>
      <c r="CY40" s="79" t="e">
        <f>CY39+IF(AND(Lists!$FS$40&lt;&gt;"",ISNUMBER(SEARCH($AH$4,Lists!$FS$40))),1,0)</f>
        <v>#N/A</v>
      </c>
      <c r="CZ40" s="79" t="e">
        <f>IF(ROW()-3&gt;MAX($CY$4:$CY$42),"",INDEX(Lists!$FS$4:$FS$42,MATCH(ROW()-3,$CY$4:$CY$42,0)))</f>
        <v>#N/A</v>
      </c>
      <c r="DA40">
        <f>DA39+IF(AND(Lists!$FX$40&lt;&gt;"",ISNUMBER(SEARCH($AI$4,Lists!$FX$40))),1,0)</f>
        <v>2</v>
      </c>
      <c r="DB40" t="str">
        <f>IF(ROW()-3&gt;MAX($DA$4:$DA$42),"",INDEX(Lists!$FX$4:$FX$42,MATCH(ROW()-3,$DA$4:$DA$42,0)))</f>
        <v/>
      </c>
    </row>
    <row r="41" spans="1:106" ht="15" customHeight="1" outlineLevel="1" x14ac:dyDescent="0.25">
      <c r="A41" s="67">
        <v>1</v>
      </c>
      <c r="B41" s="68">
        <f>IF('Final Calculation Sheet'!$F$9="","",'Final Calculation Sheet'!$F$9)</f>
        <v>1976</v>
      </c>
      <c r="C41" s="76" t="str">
        <f>IF('Final Calculation Sheet'!$G$9="","",'Final Calculation Sheet'!$G$9)</f>
        <v>SHAR JAHAN TRADERS</v>
      </c>
      <c r="D41" s="69" t="str">
        <f>IF('Final Calculation Sheet'!$B$9="","",'Final Calculation Sheet'!$B$9)</f>
        <v>Scrap Power Transformer</v>
      </c>
      <c r="E41" s="80">
        <f>IF('Final Calculation Sheet'!$D$9="","",'Final Calculation Sheet'!$D$9)</f>
        <v>21977</v>
      </c>
      <c r="F41" s="80">
        <f>IF('Final Calculation Sheet'!$A$9="","",'Final Calculation Sheet'!$A$9)</f>
        <v>1</v>
      </c>
      <c r="G41" s="69"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 ca="1">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0" t="str">
        <f>IF('Final Calculation Sheet'!$AE$9="","",'Final Calculation Sheet'!$AE$9)</f>
        <v>DR2640100023</v>
      </c>
      <c r="AG41" s="74">
        <f>IF('Final Calculation Sheet'!$AF$9="","",'Final Calculation Sheet'!$AF$9)</f>
        <v>1800003194</v>
      </c>
      <c r="AH41" s="70" t="str">
        <f>IF('Final Calculation Sheet'!$AG$9="","",'Final Calculation Sheet'!$AG$9)</f>
        <v>17.08.2026</v>
      </c>
      <c r="AI41" s="75" t="str">
        <f>IF('Final Calculation Sheet'!$AD$9="","",IF('Final Calculation Sheet'!$AD$9&lt;=5,"SETTLED","OUTSTANDING"))</f>
        <v>SETTLED</v>
      </c>
      <c r="AJ41" s="79"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Sheet'!$AD$39))))),IF($AF$4="",TRUE(),IF($AF$4="(blank)",'Final Calculation Sheet'!$AE$39="",IF($AF$4="(nonblank)",'Final Calculation Sheet'!$AE$39&lt;&gt;"",ISNUMBER(SEARCH($AF$4,'Final Calculation Sheet'!$AE$39))))),IF($AG$4="",TRUE(),IF($AG$4="(blank)",'Final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Sheet'!$AG$39))))),IF($AI$4="",TRUE(),IF($AI$4="(blank)",IF('Final Calculation Sheet'!$AD$39&lt;=5,"SETTLED","OUTSTANDING")="",IF($AI$4="(nonblank)",IF('Final Calculation Sheet'!$AD$39&lt;=5,"SETTLED","OUTSTANDING")&lt;&gt;"",ISNUMBER(SEARCH($AI$4,IF('Final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s="79" t="e">
        <f>IF(ROW()-3&gt;MAX($CG$4:$CG$42),"",INDEX(Lists!$DZ$4:$DZ$42,MATCH(ROW()-3,$CG$4:$CG$42,0)))</f>
        <v>#N/A</v>
      </c>
      <c r="CI41" t="e">
        <f>CI40+IF(AND(Lists!$EE$41&lt;&gt;"",ISNUMBER(SEARCH($Z$4,Lists!$EE$41))),1,0)</f>
        <v>#N/A</v>
      </c>
      <c r="CJ41" s="79" t="e">
        <f>IF(ROW()-3&gt;MAX($CI$4:$CI$42),"",INDEX(Lists!$EE$4:$EE$42,MATCH(ROW()-3,$CI$4:$CI$42,0)))</f>
        <v>#N/A</v>
      </c>
      <c r="CK41">
        <f ca="1">CK40+IF(AND(Lists!$EJ$41&lt;&gt;"",ISNUMBER(SEARCH($AA$4,Lists!$EJ$41))),1,0)</f>
        <v>7</v>
      </c>
      <c r="CL41" t="str">
        <f ca="1">IF(ROW()-3&gt;MAX($CK$4:$CK$42),"",INDEX(Lists!$EJ$4:$EJ$42,MATCH(ROW()-3,$CK$4:$CK$42,0)))</f>
        <v/>
      </c>
      <c r="CM41" t="e">
        <f>CM40+IF(AND(Lists!$EO$41&lt;&gt;"",ISNUMBER(SEARCH($AB$4,Lists!$EO$41))),1,0)</f>
        <v>#N/A</v>
      </c>
      <c r="CN41" s="79" t="e">
        <f>IF(ROW()-3&gt;MAX($CM$4:$CM$42),"",INDEX(Lists!$EO$4:$EO$42,MATCH(ROW()-3,$CM$4:$CM$42,0)))</f>
        <v>#N/A</v>
      </c>
      <c r="CO41" t="e">
        <f>CO40+IF(AND(Lists!$ET$41&lt;&gt;"",ISNUMBER(SEARCH($AC$4,Lists!$ET$41))),1,0)</f>
        <v>#N/A</v>
      </c>
      <c r="CP41" s="79"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CU40+IF(AND(Lists!$FI$41&lt;&gt;"",ISNUMBER(SEARCH($AF$4,Lists!$FI$41))),1,0)</f>
        <v>#N/A</v>
      </c>
      <c r="CV41" s="79" t="e">
        <f>IF(ROW()-3&gt;MAX($CU$4:$CU$42),"",INDEX(Lists!$FI$4:$FI$42,MATCH(ROW()-3,$CU$4:$CU$42,0)))</f>
        <v>#N/A</v>
      </c>
      <c r="CW41" t="e">
        <f>CW40+IF(AND(Lists!$FN$41&lt;&gt;"",ISNUMBER(SEARCH($AG$4,Lists!$FN$41))),1,0)</f>
        <v>#N/A</v>
      </c>
      <c r="CX41" s="79" t="e">
        <f>IF(ROW()-3&gt;MAX($CW$4:$CW$42),"",INDEX(Lists!$FN$4:$FN$42,MATCH(ROW()-3,$CW$4:$CW$42,0)))</f>
        <v>#N/A</v>
      </c>
      <c r="CY41" t="e">
        <f>CY40+IF(AND(Lists!$FS$41&lt;&gt;"",ISNUMBER(SEARCH($AH$4,Lists!$FS$41))),1,0)</f>
        <v>#N/A</v>
      </c>
      <c r="CZ41" s="79" t="e">
        <f>IF(ROW()-3&gt;MAX($CY$4:$CY$42),"",INDEX(Lists!$FS$4:$FS$42,MATCH(ROW()-3,$CY$4:$CY$42,0)))</f>
        <v>#N/A</v>
      </c>
      <c r="DA41">
        <f>DA40+IF(AND(Lists!$FX$41&lt;&gt;"",ISNUMBER(SEARCH($AI$4,Lists!$FX$41))),1,0)</f>
        <v>2</v>
      </c>
      <c r="DB41" t="str">
        <f>IF(ROW()-3&gt;MAX($DA$4:$DA$42),"",INDEX(Lists!$FX$4:$FX$42,MATCH(ROW()-3,$DA$4:$DA$42,0)))</f>
        <v/>
      </c>
    </row>
    <row r="42" spans="1:106" ht="15" customHeight="1" outlineLevel="1" x14ac:dyDescent="0.25">
      <c r="A42" s="90">
        <v>2</v>
      </c>
      <c r="B42" s="91">
        <f>IF('Final Calculation Sheet'!$F$14="","",'Final Calculation Sheet'!$F$14)</f>
        <v>2007</v>
      </c>
      <c r="C42" s="92" t="str">
        <f>IF('Final Calculation Sheet'!$G$14="","",'Final Calculation Sheet'!$G$14)</f>
        <v>SHAR JAHAN TRADERS</v>
      </c>
      <c r="D42" s="93" t="str">
        <f>IF('Final Calculation Sheet'!$B$14="","",'Final Calculation Sheet'!$B$14)</f>
        <v>SCRAP POWER TRANSFORMER</v>
      </c>
      <c r="E42" s="94">
        <f>IF('Final Calculation Sheet'!$D$14="","",'Final Calculation Sheet'!$D$14)</f>
        <v>21977</v>
      </c>
      <c r="F42" s="94">
        <f>IF('Final Calculation Sheet'!$A$14="","",'Final Calculation Sheet'!$A$14)</f>
        <v>1</v>
      </c>
      <c r="G42" s="93"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 ca="1">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95" t="str">
        <f>IF('Final Calculation Sheet'!$AE$14="","",'Final Calculation Sheet'!$AE$14)</f>
        <v>DR2640100024</v>
      </c>
      <c r="AG42" s="99">
        <f>IF('Final Calculation Sheet'!$AF$14="","",'Final Calculation Sheet'!$AF$14)</f>
        <v>1800003196</v>
      </c>
      <c r="AH42" s="95" t="str">
        <f>IF('Final Calculation Sheet'!$AG$14="","",'Final Calculation Sheet'!$AG$14)</f>
        <v>17.08.2026</v>
      </c>
      <c r="AI42" s="100" t="str">
        <f>IF('Final Calculation Sheet'!$AD$14="","",IF('Final Calculation Sheet'!$AD$14&lt;=5,"SETTLED","OUTSTANDING"))</f>
        <v>SETTLED</v>
      </c>
      <c r="AJ42" s="79"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Sheet'!$AD$40))))),IF($AF$4="",TRUE(),IF($AF$4="(blank)",'Final Calculation Sheet'!$AE$40="",IF($AF$4="(nonblank)",'Final Calculation Sheet'!$AE$40&lt;&gt;"",ISNUMBER(SEARCH($AF$4,'Final Calculation Sheet'!$AE$40))))),IF($AG$4="",TRUE(),IF($AG$4="(blank)",'Final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Sheet'!$AG$40))))),IF($AI$4="",TRUE(),IF($AI$4="(blank)",IF('Final Calculation Sheet'!$AD$40&lt;=5,"SETTLED","OUTSTANDING")="",IF($AI$4="(nonblank)",IF('Final Calculation Sheet'!$AD$40&lt;=5,"SETTLED","OUTSTANDING")&lt;&gt;"",ISNUMBER(SEARCH($AI$4,IF('Final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s="79" t="e">
        <f>IF(ROW()-3&gt;MAX($CG$4:$CG$42),"",INDEX(Lists!$DZ$4:$DZ$42,MATCH(ROW()-3,$CG$4:$CG$42,0)))</f>
        <v>#N/A</v>
      </c>
      <c r="CI42" t="e">
        <f>CI41+IF(AND(Lists!$EE$42&lt;&gt;"",ISNUMBER(SEARCH($Z$4,Lists!$EE$42))),1,0)</f>
        <v>#N/A</v>
      </c>
      <c r="CJ42" s="79" t="e">
        <f>IF(ROW()-3&gt;MAX($CI$4:$CI$42),"",INDEX(Lists!$EE$4:$EE$42,MATCH(ROW()-3,$CI$4:$CI$42,0)))</f>
        <v>#N/A</v>
      </c>
      <c r="CK42">
        <f ca="1">CK41+IF(AND(Lists!$EJ$42&lt;&gt;"",ISNUMBER(SEARCH($AA$4,Lists!$EJ$42))),1,0)</f>
        <v>8</v>
      </c>
      <c r="CL42" t="str">
        <f ca="1">IF(ROW()-3&gt;MAX($CK$4:$CK$42),"",INDEX(Lists!$EJ$4:$EJ$42,MATCH(ROW()-3,$CK$4:$CK$42,0)))</f>
        <v/>
      </c>
      <c r="CM42" t="e">
        <f>CM41+IF(AND(Lists!$EO$42&lt;&gt;"",ISNUMBER(SEARCH($AB$4,Lists!$EO$42))),1,0)</f>
        <v>#N/A</v>
      </c>
      <c r="CN42" s="79" t="e">
        <f>IF(ROW()-3&gt;MAX($CM$4:$CM$42),"",INDEX(Lists!$EO$4:$EO$42,MATCH(ROW()-3,$CM$4:$CM$42,0)))</f>
        <v>#N/A</v>
      </c>
      <c r="CO42" t="e">
        <f>CO41+IF(AND(Lists!$ET$42&lt;&gt;"",ISNUMBER(SEARCH($AC$4,Lists!$ET$42))),1,0)</f>
        <v>#N/A</v>
      </c>
      <c r="CP42" s="79"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CU41+IF(AND(Lists!$FI$42&lt;&gt;"",ISNUMBER(SEARCH($AF$4,Lists!$FI$42))),1,0)</f>
        <v>#N/A</v>
      </c>
      <c r="CV42" s="79" t="e">
        <f>IF(ROW()-3&gt;MAX($CU$4:$CU$42),"",INDEX(Lists!$FI$4:$FI$42,MATCH(ROW()-3,$CU$4:$CU$42,0)))</f>
        <v>#N/A</v>
      </c>
      <c r="CW42" t="e">
        <f>CW41+IF(AND(Lists!$FN$42&lt;&gt;"",ISNUMBER(SEARCH($AG$4,Lists!$FN$42))),1,0)</f>
        <v>#N/A</v>
      </c>
      <c r="CX42" s="79" t="e">
        <f>IF(ROW()-3&gt;MAX($CW$4:$CW$42),"",INDEX(Lists!$FN$4:$FN$42,MATCH(ROW()-3,$CW$4:$CW$42,0)))</f>
        <v>#N/A</v>
      </c>
      <c r="CY42" t="e">
        <f>CY41+IF(AND(Lists!$FS$42&lt;&gt;"",ISNUMBER(SEARCH($AH$4,Lists!$FS$42))),1,0)</f>
        <v>#N/A</v>
      </c>
      <c r="CZ42" s="79" t="e">
        <f>IF(ROW()-3&gt;MAX($CY$4:$CY$42),"",INDEX(Lists!$FS$4:$FS$42,MATCH(ROW()-3,$CY$4:$CY$42,0)))</f>
        <v>#N/A</v>
      </c>
      <c r="DA42">
        <f>DA41+IF(AND(Lists!$FX$42&lt;&gt;"",ISNUMBER(SEARCH($AI$4,Lists!$FX$42))),1,0)</f>
        <v>2</v>
      </c>
      <c r="DB42" t="str">
        <f>IF(ROW()-3&gt;MAX($DA$4:$DA$42),"",INDEX(Lists!$FX$4:$FX$42,MATCH(ROW()-3,$DA$4:$DA$42,0)))</f>
        <v/>
      </c>
    </row>
    <row r="43" spans="1:106" ht="15" customHeight="1" x14ac:dyDescent="0.25">
      <c r="A43" s="81" t="s">
        <v>147</v>
      </c>
      <c r="B43" s="82"/>
      <c r="C43" s="82" t="str">
        <f>ROWS($C$41:$C$42)&amp;" lot(s)"</f>
        <v>2 lot(s)</v>
      </c>
      <c r="D43" s="82" t="s">
        <v>159</v>
      </c>
      <c r="E43" s="82" t="s">
        <v>149</v>
      </c>
      <c r="F43" s="83">
        <f>SUM(F41:F42)</f>
        <v>2</v>
      </c>
      <c r="G43" s="82" t="s">
        <v>149</v>
      </c>
      <c r="H43" s="84" t="s">
        <v>149</v>
      </c>
      <c r="I43" s="84">
        <f t="shared" ref="I43:Q43" si="10">SUM(I41:I42)</f>
        <v>6644430</v>
      </c>
      <c r="J43" s="84">
        <f t="shared" si="10"/>
        <v>1195998</v>
      </c>
      <c r="K43" s="84">
        <f t="shared" si="10"/>
        <v>7840428</v>
      </c>
      <c r="L43" s="84">
        <f t="shared" si="10"/>
        <v>156809</v>
      </c>
      <c r="M43" s="84">
        <f t="shared" si="10"/>
        <v>6644.43</v>
      </c>
      <c r="N43" s="84">
        <f t="shared" si="10"/>
        <v>176409.6165</v>
      </c>
      <c r="O43" s="85">
        <f t="shared" si="10"/>
        <v>2989.9934999999996</v>
      </c>
      <c r="P43" s="84">
        <f t="shared" si="10"/>
        <v>173419.62299999999</v>
      </c>
      <c r="Q43" s="84">
        <f t="shared" si="10"/>
        <v>180064</v>
      </c>
      <c r="R43" s="86" t="s">
        <v>149</v>
      </c>
      <c r="S43" s="84">
        <f>SUM(S41:S42)</f>
        <v>0</v>
      </c>
      <c r="T43" s="84">
        <f>SUM(T41:T42)</f>
        <v>7817172</v>
      </c>
      <c r="U43" s="84">
        <f>SUM(U41:U42)</f>
        <v>1661108</v>
      </c>
      <c r="V43" s="87">
        <f>SUM(V41:V42)</f>
        <v>1661108</v>
      </c>
      <c r="W43" s="84" t="s">
        <v>149</v>
      </c>
      <c r="X43" s="84">
        <f>SUM(X41:X42)</f>
        <v>6156064</v>
      </c>
      <c r="Y43" s="84">
        <f>SUM(Y41:Y42)</f>
        <v>6156066</v>
      </c>
      <c r="Z43" s="84" t="s">
        <v>149</v>
      </c>
      <c r="AA43" s="84">
        <f ca="1">SUM(AA41:AA42)</f>
        <v>0</v>
      </c>
      <c r="AB43" s="84">
        <f>SUM(AB41:AB42)</f>
        <v>0</v>
      </c>
      <c r="AC43" s="84" t="s">
        <v>149</v>
      </c>
      <c r="AD43" s="84">
        <f>SUM(AD41:AD42)</f>
        <v>7817174</v>
      </c>
      <c r="AE43" s="84">
        <f>SUM(AE41:AE42)</f>
        <v>-1.9999999995343387</v>
      </c>
      <c r="AF43" s="84" t="s">
        <v>149</v>
      </c>
      <c r="AG43" s="88" t="s">
        <v>149</v>
      </c>
      <c r="AH43" s="84" t="s">
        <v>149</v>
      </c>
      <c r="AI43" s="89" t="str">
        <f>IF(AE43&lt;=5,"SETTLED","OUTSTANDING")</f>
        <v>SETTLED</v>
      </c>
    </row>
    <row r="44" spans="1:106" ht="15" customHeight="1" outlineLevel="1" x14ac:dyDescent="0.25">
      <c r="A44" s="67">
        <v>1</v>
      </c>
      <c r="B44" s="68">
        <f>IF('Final Calculation Sheet'!$F$13="","",'Final Calculation Sheet'!$F$13)</f>
        <v>2006</v>
      </c>
      <c r="C44" s="76" t="str">
        <f>IF('Final Calculation Sheet'!$G$13="","",'Final Calculation Sheet'!$G$13)</f>
        <v>STERLING ENTERPRISES</v>
      </c>
      <c r="D44" s="69" t="str">
        <f>IF('Final Calculation Sheet'!$B$13="","",'Final Calculation Sheet'!$B$13)</f>
        <v>Scrap of empty oil drums</v>
      </c>
      <c r="E44" s="80">
        <f>IF('Final Calculation Sheet'!$D$13="","",'Final Calculation Sheet'!$D$13)</f>
        <v>21977</v>
      </c>
      <c r="F44" s="80">
        <f>IF('Final Calculation Sheet'!$A$13="","",'Final Calculation Sheet'!$A$13)</f>
        <v>25</v>
      </c>
      <c r="G44" s="69"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 ca="1">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0" t="str">
        <f>IF('Final Calculation Sheet'!$AE$13="","",'Final Calculation Sheet'!$AE$13)</f>
        <v>DR2640100018</v>
      </c>
      <c r="AG44" s="74">
        <f>IF('Final Calculation Sheet'!$AF$13="","",'Final Calculation Sheet'!$AF$13)</f>
        <v>1800003156</v>
      </c>
      <c r="AH44" s="70" t="str">
        <f>IF('Final Calculation Sheet'!$AG$13="","",'Final Calculation Sheet'!$AG$13)</f>
        <v>14.08.2026</v>
      </c>
      <c r="AI44" s="75" t="str">
        <f>IF('Final Calculation Sheet'!$AD$13="","",IF('Final Calculation Sheet'!$AD$13&lt;=5,"SETTLED","OUTSTANDING"))</f>
        <v>SETTLED</v>
      </c>
    </row>
    <row r="45" spans="1:106" ht="15" customHeight="1" outlineLevel="1" x14ac:dyDescent="0.25">
      <c r="A45" s="90">
        <v>2</v>
      </c>
      <c r="B45" s="91">
        <f>IF('Final Calculation Sheet'!$F$16="","",'Final Calculation Sheet'!$F$16)</f>
        <v>2011</v>
      </c>
      <c r="C45" s="92" t="str">
        <f>IF('Final Calculation Sheet'!$G$16="","",'Final Calculation Sheet'!$G$16)</f>
        <v>STERLING ENTERPRISES</v>
      </c>
      <c r="D45" s="93" t="str">
        <f>IF('Final Calculation Sheet'!$B$16="","",'Final Calculation Sheet'!$B$16)</f>
        <v>Scrap of empty oil Barrel</v>
      </c>
      <c r="E45" s="94">
        <f>IF('Final Calculation Sheet'!$D$16="","",'Final Calculation Sheet'!$D$16)</f>
        <v>21977</v>
      </c>
      <c r="F45" s="94">
        <f>IF('Final Calculation Sheet'!$A$16="","",'Final Calculation Sheet'!$A$16)</f>
        <v>22</v>
      </c>
      <c r="G45" s="93"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 ca="1">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95" t="str">
        <f>IF('Final Calculation Sheet'!$AE$16="","",'Final Calculation Sheet'!$AE$16)</f>
        <v>DR2640100019</v>
      </c>
      <c r="AG45" s="99">
        <f>IF('Final Calculation Sheet'!$AF$16="","",'Final Calculation Sheet'!$AF$16)</f>
        <v>1800003157</v>
      </c>
      <c r="AH45" s="95" t="str">
        <f>IF('Final Calculation Sheet'!$AG$16="","",'Final Calculation Sheet'!$AG$16)</f>
        <v>14.08.2026</v>
      </c>
      <c r="AI45" s="100" t="str">
        <f>IF('Final Calculation Sheet'!$AD$16="","",IF('Final Calculation Sheet'!$AD$16&lt;=5,"SETTLED","OUTSTANDING"))</f>
        <v>SETTLED</v>
      </c>
    </row>
    <row r="46" spans="1:106" ht="15" customHeight="1" outlineLevel="1" x14ac:dyDescent="0.25">
      <c r="A46" s="67">
        <v>3</v>
      </c>
      <c r="B46" s="68">
        <f>IF('Final Calculation Sheet'!$F$17="","",'Final Calculation Sheet'!$F$17)</f>
        <v>2015</v>
      </c>
      <c r="C46" s="76" t="str">
        <f>IF('Final Calculation Sheet'!$G$17="","",'Final Calculation Sheet'!$G$17)</f>
        <v>STERLING ENTERPRISES</v>
      </c>
      <c r="D46" s="69" t="str">
        <f>IF('Final Calculation Sheet'!$B$17="","",'Final Calculation Sheet'!$B$17)</f>
        <v>Scrap of empty oil Barrels</v>
      </c>
      <c r="E46" s="80">
        <f>IF('Final Calculation Sheet'!$D$17="","",'Final Calculation Sheet'!$D$17)</f>
        <v>21978</v>
      </c>
      <c r="F46" s="80">
        <f>IF('Final Calculation Sheet'!$A$17="","",'Final Calculation Sheet'!$A$17)</f>
        <v>100</v>
      </c>
      <c r="G46" s="69"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 ca="1">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0" t="str">
        <f>IF('Final Calculation Sheet'!$AE$17="","",'Final Calculation Sheet'!$AE$17)</f>
        <v>DR2640100020</v>
      </c>
      <c r="AG46" s="74">
        <f>IF('Final Calculation Sheet'!$AF$17="","",'Final Calculation Sheet'!$AF$17)</f>
        <v>1800003158</v>
      </c>
      <c r="AH46" s="70" t="str">
        <f>IF('Final Calculation Sheet'!$AG$17="","",'Final Calculation Sheet'!$AG$17)</f>
        <v>14.08.2026</v>
      </c>
      <c r="AI46" s="75" t="str">
        <f>IF('Final Calculation Sheet'!$AD$17="","",IF('Final Calculation Sheet'!$AD$17&lt;=5,"SETTLED","OUTSTANDING"))</f>
        <v>SETTLED</v>
      </c>
    </row>
    <row r="47" spans="1:106" ht="15" customHeight="1" outlineLevel="1" x14ac:dyDescent="0.25">
      <c r="A47" s="90">
        <v>4</v>
      </c>
      <c r="B47" s="91">
        <f>IF('Final Calculation Sheet'!$F$23="","",'Final Calculation Sheet'!$F$23)</f>
        <v>2025</v>
      </c>
      <c r="C47" s="92" t="str">
        <f>IF('Final Calculation Sheet'!$G$23="","",'Final Calculation Sheet'!$G$23)</f>
        <v>STERLING ENTERPRISES</v>
      </c>
      <c r="D47" s="93" t="str">
        <f>IF('Final Calculation Sheet'!$B$23="","",'Final Calculation Sheet'!$B$23)</f>
        <v>Scrap of empty oil Barrels</v>
      </c>
      <c r="E47" s="94">
        <f>IF('Final Calculation Sheet'!$D$23="","",'Final Calculation Sheet'!$D$23)</f>
        <v>21978</v>
      </c>
      <c r="F47" s="94">
        <f>IF('Final Calculation Sheet'!$A$23="","",'Final Calculation Sheet'!$A$23)</f>
        <v>90</v>
      </c>
      <c r="G47" s="93"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 ca="1">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95" t="str">
        <f>IF('Final Calculation Sheet'!$AE$23="","",'Final Calculation Sheet'!$AE$23)</f>
        <v>DR2640100021</v>
      </c>
      <c r="AG47" s="99">
        <f>IF('Final Calculation Sheet'!$AF$23="","",'Final Calculation Sheet'!$AF$23)</f>
        <v>1800003160</v>
      </c>
      <c r="AH47" s="95" t="str">
        <f>IF('Final Calculation Sheet'!$AG$23="","",'Final Calculation Sheet'!$AG$23)</f>
        <v>14.08.2026</v>
      </c>
      <c r="AI47" s="100" t="str">
        <f>IF('Final Calculation Sheet'!$AD$23="","",IF('Final Calculation Sheet'!$AD$23&lt;=5,"SETTLED","OUTSTANDING"))</f>
        <v>SETTLED</v>
      </c>
    </row>
    <row r="48" spans="1:106" ht="15" customHeight="1" outlineLevel="1" x14ac:dyDescent="0.25">
      <c r="A48" s="67">
        <v>5</v>
      </c>
      <c r="B48" s="68">
        <f>IF('Final Calculation Sheet'!$F$29="","",'Final Calculation Sheet'!$F$29)</f>
        <v>2040</v>
      </c>
      <c r="C48" s="76" t="str">
        <f>IF('Final Calculation Sheet'!$G$29="","",'Final Calculation Sheet'!$G$29)</f>
        <v>STERLING ENTERPRISES</v>
      </c>
      <c r="D48" s="69" t="str">
        <f>IF('Final Calculation Sheet'!$B$29="","",'Final Calculation Sheet'!$B$29)</f>
        <v>Scrap of 33 KV CT</v>
      </c>
      <c r="E48" s="80">
        <f>IF('Final Calculation Sheet'!$D$29="","",'Final Calculation Sheet'!$D$29)</f>
        <v>21978</v>
      </c>
      <c r="F48" s="80">
        <f>IF('Final Calculation Sheet'!$A$29="","",'Final Calculation Sheet'!$A$29)</f>
        <v>3</v>
      </c>
      <c r="G48" s="69"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 ca="1">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0" t="str">
        <f>IF('Final Calculation Sheet'!$AE$29="","",'Final Calculation Sheet'!$AE$29)</f>
        <v/>
      </c>
      <c r="AG48" s="74" t="str">
        <f>IF('Final Calculation Sheet'!$AF$29="","",'Final Calculation Sheet'!$AF$29)</f>
        <v/>
      </c>
      <c r="AH48" s="70" t="str">
        <f>IF('Final Calculation Sheet'!$AG$29="","",'Final Calculation Sheet'!$AG$29)</f>
        <v/>
      </c>
      <c r="AI48" s="75" t="str">
        <f>IF('Final Calculation Sheet'!$AD$29="","",IF('Final Calculation Sheet'!$AD$29&lt;=5,"SETTLED","OUTSTANDING"))</f>
        <v>OUTSTANDING</v>
      </c>
    </row>
    <row r="49" spans="1:38" ht="15" customHeight="1" outlineLevel="1" x14ac:dyDescent="0.25">
      <c r="A49" s="90">
        <v>6</v>
      </c>
      <c r="B49" s="91">
        <f>IF('Final Calculation Sheet'!$F$34="","",'Final Calculation Sheet'!$F$34)</f>
        <v>2062</v>
      </c>
      <c r="C49" s="92" t="str">
        <f>IF('Final Calculation Sheet'!$G$34="","",'Final Calculation Sheet'!$G$34)</f>
        <v>STERLING ENTERPRISES</v>
      </c>
      <c r="D49" s="93" t="str">
        <f>IF('Final Calculation Sheet'!$B$34="","",'Final Calculation Sheet'!$B$34)</f>
        <v>Scrap of Empty oil Barrels</v>
      </c>
      <c r="E49" s="94">
        <f>IF('Final Calculation Sheet'!$D$34="","",'Final Calculation Sheet'!$D$34)</f>
        <v>21979</v>
      </c>
      <c r="F49" s="94">
        <f>IF('Final Calculation Sheet'!$A$34="","",'Final Calculation Sheet'!$A$34)</f>
        <v>30</v>
      </c>
      <c r="G49" s="93"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 ca="1">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95" t="str">
        <f>IF('Final Calculation Sheet'!$AE$34="","",'Final Calculation Sheet'!$AE$34)</f>
        <v>DR2640100022</v>
      </c>
      <c r="AG49" s="99">
        <f>IF('Final Calculation Sheet'!$AF$34="","",'Final Calculation Sheet'!$AF$34)</f>
        <v>1800003161</v>
      </c>
      <c r="AH49" s="95" t="str">
        <f>IF('Final Calculation Sheet'!$AG$34="","",'Final Calculation Sheet'!$AG$34)</f>
        <v>14.08.2026</v>
      </c>
      <c r="AI49" s="100" t="str">
        <f>IF('Final Calculation Sheet'!$AD$34="","",IF('Final Calculation Sheet'!$AD$34&lt;=5,"SETTLED","OUTSTANDING"))</f>
        <v>SETTLED</v>
      </c>
    </row>
    <row r="50" spans="1:38" ht="15" customHeight="1" outlineLevel="1" x14ac:dyDescent="0.25">
      <c r="A50" s="67">
        <v>7</v>
      </c>
      <c r="B50" s="68">
        <f>IF('Final Calculation Sheet'!$F$36="","",'Final Calculation Sheet'!$F$36)</f>
        <v>2069</v>
      </c>
      <c r="C50" s="76" t="str">
        <f>IF('Final Calculation Sheet'!$G$36="","",'Final Calculation Sheet'!$G$36)</f>
        <v>STERLING ENTERPRISES</v>
      </c>
      <c r="D50" s="69" t="str">
        <f>IF('Final Calculation Sheet'!$B$36="","",'Final Calculation Sheet'!$B$36)</f>
        <v>Scrap of 33 KV CB</v>
      </c>
      <c r="E50" s="80">
        <f>IF('Final Calculation Sheet'!$D$36="","",'Final Calculation Sheet'!$D$36)</f>
        <v>21980</v>
      </c>
      <c r="F50" s="80">
        <f>IF('Final Calculation Sheet'!$A$36="","",'Final Calculation Sheet'!$A$36)</f>
        <v>1</v>
      </c>
      <c r="G50" s="69"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 ca="1">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0" t="str">
        <f>IF('Final Calculation Sheet'!$AE$36="","",'Final Calculation Sheet'!$AE$36)</f>
        <v/>
      </c>
      <c r="AG50" s="74" t="str">
        <f>IF('Final Calculation Sheet'!$AF$36="","",'Final Calculation Sheet'!$AF$36)</f>
        <v/>
      </c>
      <c r="AH50" s="70" t="str">
        <f>IF('Final Calculation Sheet'!$AG$36="","",'Final Calculation Sheet'!$AG$36)</f>
        <v/>
      </c>
      <c r="AI50" s="75" t="str">
        <f>IF('Final Calculation Sheet'!$AD$36="","",IF('Final Calculation Sheet'!$AD$36&lt;=5,"SETTLED","OUTSTANDING"))</f>
        <v>OUTSTANDING</v>
      </c>
    </row>
    <row r="51" spans="1:38" ht="15" customHeight="1" x14ac:dyDescent="0.25">
      <c r="A51" s="81" t="s">
        <v>147</v>
      </c>
      <c r="B51" s="82"/>
      <c r="C51" s="82" t="str">
        <f>ROWS($C$44:$C$50)&amp;" lot(s)"</f>
        <v>7 lot(s)</v>
      </c>
      <c r="D51" s="82" t="s">
        <v>160</v>
      </c>
      <c r="E51" s="82" t="s">
        <v>149</v>
      </c>
      <c r="F51" s="83">
        <f>SUM(F44:F50)</f>
        <v>271</v>
      </c>
      <c r="G51" s="82" t="s">
        <v>149</v>
      </c>
      <c r="H51" s="84" t="s">
        <v>149</v>
      </c>
      <c r="I51" s="84">
        <f t="shared" ref="I51:Q51" si="11">SUM(I44:I50)</f>
        <v>511966</v>
      </c>
      <c r="J51" s="84">
        <f t="shared" si="11"/>
        <v>92154</v>
      </c>
      <c r="K51" s="84">
        <f t="shared" si="11"/>
        <v>604120</v>
      </c>
      <c r="L51" s="84">
        <f t="shared" si="11"/>
        <v>12082</v>
      </c>
      <c r="M51" s="84">
        <f t="shared" si="11"/>
        <v>511.96600000000007</v>
      </c>
      <c r="N51" s="84">
        <f t="shared" si="11"/>
        <v>13592.6973</v>
      </c>
      <c r="O51" s="85">
        <f t="shared" si="11"/>
        <v>230.38470000000001</v>
      </c>
      <c r="P51" s="84">
        <f t="shared" si="11"/>
        <v>13362.312599999999</v>
      </c>
      <c r="Q51" s="84">
        <f t="shared" si="11"/>
        <v>13873</v>
      </c>
      <c r="R51" s="86" t="s">
        <v>149</v>
      </c>
      <c r="S51" s="84">
        <f>SUM(S44:S50)</f>
        <v>0</v>
      </c>
      <c r="T51" s="84">
        <f>SUM(T44:T50)</f>
        <v>602329</v>
      </c>
      <c r="U51" s="84">
        <f>SUM(U44:U50)</f>
        <v>127992</v>
      </c>
      <c r="V51" s="87">
        <f>SUM(V44:V50)</f>
        <v>127992</v>
      </c>
      <c r="W51" s="84" t="s">
        <v>149</v>
      </c>
      <c r="X51" s="84">
        <f>SUM(X44:X50)</f>
        <v>474338</v>
      </c>
      <c r="Y51" s="84">
        <f>SUM(Y44:Y50)</f>
        <v>174193</v>
      </c>
      <c r="Z51" s="84" t="s">
        <v>149</v>
      </c>
      <c r="AA51" s="84">
        <f ca="1">SUM(AA44:AA50)</f>
        <v>11469.812400000001</v>
      </c>
      <c r="AB51" s="84">
        <f>SUM(AB44:AB50)</f>
        <v>0</v>
      </c>
      <c r="AC51" s="84" t="s">
        <v>149</v>
      </c>
      <c r="AD51" s="84">
        <f>SUM(AD44:AD50)</f>
        <v>302185</v>
      </c>
      <c r="AE51" s="84">
        <f>SUM(AE44:AE50)</f>
        <v>300144</v>
      </c>
      <c r="AF51" s="84" t="s">
        <v>149</v>
      </c>
      <c r="AG51" s="88" t="s">
        <v>149</v>
      </c>
      <c r="AH51" s="84" t="s">
        <v>149</v>
      </c>
      <c r="AI51" s="89" t="str">
        <f>IF(AE51&lt;=5,"SETTLED","OUTSTANDING")</f>
        <v>OUTSTANDING</v>
      </c>
    </row>
    <row r="52" spans="1:38" ht="15" customHeight="1" outlineLevel="1" x14ac:dyDescent="0.25">
      <c r="A52" s="67">
        <v>1</v>
      </c>
      <c r="B52" s="68">
        <f>IF('Final Calculation Sheet'!$F$25="","",'Final Calculation Sheet'!$F$25)</f>
        <v>2033</v>
      </c>
      <c r="C52" s="76" t="str">
        <f>IF('Final Calculation Sheet'!$G$25="","",'Final Calculation Sheet'!$G$25)</f>
        <v>WATAN SCRAP TRADERS</v>
      </c>
      <c r="D52" s="69" t="str">
        <f>IF('Final Calculation Sheet'!$B$25="","",'Final Calculation Sheet'!$B$25)</f>
        <v>Scrap Empty Oil Drum/ Barrel</v>
      </c>
      <c r="E52" s="80">
        <f>IF('Final Calculation Sheet'!$D$25="","",'Final Calculation Sheet'!$D$25)</f>
        <v>21978</v>
      </c>
      <c r="F52" s="80">
        <f>IF('Final Calculation Sheet'!$A$25="","",'Final Calculation Sheet'!$A$25)</f>
        <v>1000</v>
      </c>
      <c r="G52" s="69"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 ca="1">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0" t="str">
        <f>IF('Final Calculation Sheet'!$AE$25="","",'Final Calculation Sheet'!$AE$25)</f>
        <v>DR2640100042</v>
      </c>
      <c r="AG52" s="74">
        <f>IF('Final Calculation Sheet'!$AF$25="","",'Final Calculation Sheet'!$AF$25)</f>
        <v>1800003317</v>
      </c>
      <c r="AH52" s="70" t="str">
        <f>IF('Final Calculation Sheet'!$AG$25="","",'Final Calculation Sheet'!$AG$25)</f>
        <v>27.08.2026</v>
      </c>
      <c r="AI52" s="75" t="str">
        <f>IF('Final Calculation Sheet'!$AD$25="","",IF('Final Calculation Sheet'!$AD$25&lt;=5,"SETTLED","OUTSTANDING"))</f>
        <v>SETTLED</v>
      </c>
    </row>
    <row r="53" spans="1:38" ht="15" customHeight="1" outlineLevel="1" x14ac:dyDescent="0.25">
      <c r="A53" s="90">
        <v>2</v>
      </c>
      <c r="B53" s="91">
        <f>IF('Final Calculation Sheet'!$F$28="","",'Final Calculation Sheet'!$F$28)</f>
        <v>2037</v>
      </c>
      <c r="C53" s="92" t="str">
        <f>IF('Final Calculation Sheet'!$G$28="","",'Final Calculation Sheet'!$G$28)</f>
        <v>WATAN SCRAP TRADERS</v>
      </c>
      <c r="D53" s="93" t="str">
        <f>IF('Final Calculation Sheet'!$B$28="","",'Final Calculation Sheet'!$B$28)</f>
        <v>Scrap of empty oil Barrels</v>
      </c>
      <c r="E53" s="94">
        <f>IF('Final Calculation Sheet'!$D$28="","",'Final Calculation Sheet'!$D$28)</f>
        <v>21978</v>
      </c>
      <c r="F53" s="94">
        <f>IF('Final Calculation Sheet'!$A$28="","",'Final Calculation Sheet'!$A$28)</f>
        <v>50</v>
      </c>
      <c r="G53" s="93"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 ca="1">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95" t="str">
        <f>IF('Final Calculation Sheet'!$AE$28="","",'Final Calculation Sheet'!$AE$28)</f>
        <v>DR2640100043</v>
      </c>
      <c r="AG53" s="99">
        <f>IF('Final Calculation Sheet'!$AF$28="","",'Final Calculation Sheet'!$AF$28)</f>
        <v>1800003318</v>
      </c>
      <c r="AH53" s="95" t="str">
        <f>IF('Final Calculation Sheet'!$AG$28="","",'Final Calculation Sheet'!$AG$28)</f>
        <v>27.08.2026</v>
      </c>
      <c r="AI53" s="100" t="str">
        <f>IF('Final Calculation Sheet'!$AD$28="","",IF('Final Calculation Sheet'!$AD$28&lt;=5,"SETTLED","OUTSTANDING"))</f>
        <v>SETTLED</v>
      </c>
    </row>
    <row r="54" spans="1:38" ht="15" customHeight="1" outlineLevel="1" x14ac:dyDescent="0.25">
      <c r="A54" s="67">
        <v>3</v>
      </c>
      <c r="B54" s="68">
        <f>IF('Final Calculation Sheet'!$F$35="","",'Final Calculation Sheet'!$F$35)</f>
        <v>2067</v>
      </c>
      <c r="C54" s="76" t="str">
        <f>IF('Final Calculation Sheet'!$G$35="","",'Final Calculation Sheet'!$G$35)</f>
        <v>WATAN SCRAP TRADERS</v>
      </c>
      <c r="D54" s="69" t="str">
        <f>IF('Final Calculation Sheet'!$B$35="","",'Final Calculation Sheet'!$B$35)</f>
        <v>Scrap of empty oil drums</v>
      </c>
      <c r="E54" s="80">
        <f>IF('Final Calculation Sheet'!$D$35="","",'Final Calculation Sheet'!$D$35)</f>
        <v>21980</v>
      </c>
      <c r="F54" s="80">
        <f>IF('Final Calculation Sheet'!$A$35="","",'Final Calculation Sheet'!$A$35)</f>
        <v>150</v>
      </c>
      <c r="G54" s="69"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 ca="1">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0" t="str">
        <f>IF('Final Calculation Sheet'!$AE$35="","",'Final Calculation Sheet'!$AE$35)</f>
        <v>DR2640100027</v>
      </c>
      <c r="AG54" s="74">
        <f>IF('Final Calculation Sheet'!$AF$35="","",'Final Calculation Sheet'!$AF$35)</f>
        <v>1800003248</v>
      </c>
      <c r="AH54" s="70" t="str">
        <f>IF('Final Calculation Sheet'!$AG$35="","",'Final Calculation Sheet'!$AG$35)</f>
        <v>20.08.2026</v>
      </c>
      <c r="AI54" s="75" t="str">
        <f>IF('Final Calculation Sheet'!$AD$35="","",IF('Final Calculation Sheet'!$AD$35&lt;=5,"SETTLED","OUTSTANDING"))</f>
        <v>SETTLED</v>
      </c>
    </row>
    <row r="55" spans="1:38" ht="15" customHeight="1" x14ac:dyDescent="0.25">
      <c r="A55" s="81" t="s">
        <v>147</v>
      </c>
      <c r="B55" s="82"/>
      <c r="C55" s="82" t="str">
        <f>ROWS($C$52:$C$54)&amp;" lot(s)"</f>
        <v>3 lot(s)</v>
      </c>
      <c r="D55" s="82" t="s">
        <v>161</v>
      </c>
      <c r="E55" s="82" t="s">
        <v>149</v>
      </c>
      <c r="F55" s="83">
        <f>SUM(F52:F54)</f>
        <v>1200</v>
      </c>
      <c r="G55" s="82" t="s">
        <v>149</v>
      </c>
      <c r="H55" s="84" t="s">
        <v>149</v>
      </c>
      <c r="I55" s="84">
        <f t="shared" ref="I55:Q55" si="12">SUM(I52:I54)</f>
        <v>629200</v>
      </c>
      <c r="J55" s="84">
        <f t="shared" si="12"/>
        <v>113256</v>
      </c>
      <c r="K55" s="84">
        <f t="shared" si="12"/>
        <v>742456</v>
      </c>
      <c r="L55" s="84">
        <f t="shared" si="12"/>
        <v>14849</v>
      </c>
      <c r="M55" s="84">
        <f t="shared" si="12"/>
        <v>629.19999999999993</v>
      </c>
      <c r="N55" s="84">
        <f t="shared" si="12"/>
        <v>16705.259999999998</v>
      </c>
      <c r="O55" s="85">
        <f t="shared" si="12"/>
        <v>283.14</v>
      </c>
      <c r="P55" s="84">
        <f t="shared" si="12"/>
        <v>16422.12</v>
      </c>
      <c r="Q55" s="84">
        <f t="shared" si="12"/>
        <v>17052</v>
      </c>
      <c r="R55" s="86" t="s">
        <v>149</v>
      </c>
      <c r="S55" s="84">
        <f>SUM(S52:S54)</f>
        <v>0</v>
      </c>
      <c r="T55" s="84">
        <f>SUM(T52:T54)</f>
        <v>740254</v>
      </c>
      <c r="U55" s="84">
        <f>SUM(U52:U54)</f>
        <v>157301</v>
      </c>
      <c r="V55" s="87">
        <f>SUM(V52:V54)</f>
        <v>157301</v>
      </c>
      <c r="W55" s="84" t="s">
        <v>149</v>
      </c>
      <c r="X55" s="84">
        <f>SUM(X52:X54)</f>
        <v>582955</v>
      </c>
      <c r="Y55" s="84">
        <f>SUM(Y52:Y54)</f>
        <v>582953</v>
      </c>
      <c r="Z55" s="84" t="s">
        <v>149</v>
      </c>
      <c r="AA55" s="84">
        <f ca="1">SUM(AA52:AA54)</f>
        <v>0</v>
      </c>
      <c r="AB55" s="84">
        <f>SUM(AB52:AB54)</f>
        <v>0</v>
      </c>
      <c r="AC55" s="84" t="s">
        <v>149</v>
      </c>
      <c r="AD55" s="84">
        <f>SUM(AD52:AD54)</f>
        <v>740254</v>
      </c>
      <c r="AE55" s="84">
        <f>SUM(AE52:AE54)</f>
        <v>0</v>
      </c>
      <c r="AF55" s="84" t="s">
        <v>149</v>
      </c>
      <c r="AG55" s="88" t="s">
        <v>149</v>
      </c>
      <c r="AH55" s="84" t="s">
        <v>149</v>
      </c>
      <c r="AI55" s="89" t="str">
        <f>IF(AE55&lt;=5,"SETTLED","OUTSTANDING")</f>
        <v>SETTLED</v>
      </c>
    </row>
    <row r="56" spans="1:38" ht="15" customHeight="1" x14ac:dyDescent="0.25">
      <c r="A56" s="101" t="s">
        <v>147</v>
      </c>
      <c r="B56" s="102"/>
      <c r="C56" s="102" t="str">
        <f>COUNTA('Final Calculation Sheet'!$G$4:$G$40)&amp;" lot(s)"</f>
        <v>37 lot(s)</v>
      </c>
      <c r="D56" s="102" t="s">
        <v>162</v>
      </c>
      <c r="E56" s="102" t="s">
        <v>149</v>
      </c>
      <c r="F56" s="102">
        <f>SUM(F7,F10,F12,F14,F16,F30,F32,F35,F38,F40,F43,F51,F55)</f>
        <v>17157.2</v>
      </c>
      <c r="G56" s="102" t="s">
        <v>149</v>
      </c>
      <c r="H56" s="103" t="s">
        <v>149</v>
      </c>
      <c r="I56" s="103">
        <f t="shared" ref="I56:Q56" si="13">SUM(I7,I10,I12,I14,I16,I30,I32,I35,I38,I40,I43,I51,I55)</f>
        <v>15130598</v>
      </c>
      <c r="J56" s="103">
        <f t="shared" si="13"/>
        <v>2723508</v>
      </c>
      <c r="K56" s="103">
        <f t="shared" si="13"/>
        <v>17854106</v>
      </c>
      <c r="L56" s="103">
        <f t="shared" si="13"/>
        <v>357082</v>
      </c>
      <c r="M56" s="103">
        <f t="shared" si="13"/>
        <v>15130.598</v>
      </c>
      <c r="N56" s="103">
        <f t="shared" si="13"/>
        <v>401717.37690000003</v>
      </c>
      <c r="O56" s="104">
        <f t="shared" si="13"/>
        <v>6808.7690999999995</v>
      </c>
      <c r="P56" s="103">
        <f t="shared" si="13"/>
        <v>394908.6078</v>
      </c>
      <c r="Q56" s="103">
        <f t="shared" si="13"/>
        <v>410039</v>
      </c>
      <c r="R56" s="105" t="s">
        <v>149</v>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s">
        <v>149</v>
      </c>
      <c r="X56" s="103">
        <f>SUM(X7,X10,X12,X14,X16,X30,X32,X35,X38,X40,X43,X51,X55)</f>
        <v>13935473</v>
      </c>
      <c r="Y56" s="103">
        <f>SUM(Y7,Y10,Y12,Y14,Y16,Y30,Y32,Y35,Y38,Y40,Y43,Y51,Y55)</f>
        <v>13137293</v>
      </c>
      <c r="Z56" s="103" t="s">
        <v>149</v>
      </c>
      <c r="AA56" s="103">
        <f ca="1">SUM(AA7,AA10,AA12,AA14,AA16,AA30,AA32,AA35,AA38,AA40,AA43,AA51,AA55)</f>
        <v>34459.067999999999</v>
      </c>
      <c r="AB56" s="103">
        <f>SUM(AB7,AB10,AB12,AB14,AB16,AB30,AB32,AB35,AB38,AB40,AB43,AB51,AB55)</f>
        <v>3540</v>
      </c>
      <c r="AC56" s="103" t="s">
        <v>149</v>
      </c>
      <c r="AD56" s="103">
        <f>SUM(AD7,AD10,AD12,AD14,AD16,AD30,AD32,AD35,AD38,AD40,AD43,AD51,AD55)</f>
        <v>16923487</v>
      </c>
      <c r="AE56" s="103">
        <f>SUM(AE7,AE10,AE12,AE14,AE16,AE30,AE32,AE35,AE38,AE40,AE43,AE51,AE55)</f>
        <v>794636.00000000047</v>
      </c>
      <c r="AF56" s="103" t="s">
        <v>149</v>
      </c>
      <c r="AG56" s="107" t="s">
        <v>149</v>
      </c>
      <c r="AH56" s="103" t="s">
        <v>149</v>
      </c>
      <c r="AI56" s="108" t="str">
        <f>IF(AE56&lt;=5,"SETTLED","OUTSTANDING")</f>
        <v>OUTSTANDING</v>
      </c>
    </row>
    <row r="57" spans="1:38" ht="15" customHeight="1" x14ac:dyDescent="0.25">
      <c r="A57" s="109" t="s">
        <v>147</v>
      </c>
      <c r="B57" s="110"/>
      <c r="C57" s="110" t="str">
        <f>COUNTA('Final Calculation Sheet'!$G$4:$G$40)&amp;" lot(s)"</f>
        <v>37 lot(s)</v>
      </c>
      <c r="D57" s="110" t="s">
        <v>163</v>
      </c>
      <c r="E57" s="110" t="s">
        <v>149</v>
      </c>
      <c r="F57" s="110">
        <f>SUM('Final Calculation Sheet'!$A$4:$A$40)</f>
        <v>17157.2</v>
      </c>
      <c r="G57" s="110" t="s">
        <v>149</v>
      </c>
      <c r="H57" s="111" t="s">
        <v>149</v>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s">
        <v>149</v>
      </c>
      <c r="S57" s="111">
        <f>SUM('Final Calculation Sheet'!$R$4:$R$40)</f>
        <v>83029</v>
      </c>
      <c r="T57" s="111">
        <f>SUM('Final Calculation Sheet'!$S$4:$S$40)</f>
        <v>17718123</v>
      </c>
      <c r="U57" s="111">
        <f>SUM('Final Calculation Sheet'!$T$4:$T$40)</f>
        <v>3782654</v>
      </c>
      <c r="V57" s="114">
        <f>SUM('Final Calculation Sheet'!$U$4:$U$40)</f>
        <v>3782654</v>
      </c>
      <c r="W57" s="111" t="s">
        <v>149</v>
      </c>
      <c r="X57" s="111">
        <f>SUM('Final Calculation Sheet'!$W$4:$W$40)</f>
        <v>13935473</v>
      </c>
      <c r="Y57" s="111">
        <f>SUM('Final Calculation Sheet'!$X$4:$X$40)</f>
        <v>13137293</v>
      </c>
      <c r="Z57" s="111" t="s">
        <v>149</v>
      </c>
      <c r="AA57" s="111">
        <f ca="1">SUM('Final Calculation Sheet'!$Z$4:$Z$40)</f>
        <v>34459.067999999999</v>
      </c>
      <c r="AB57" s="111">
        <f>SUM('Final Calculation Sheet'!$AA$4:$AA$40)</f>
        <v>3540</v>
      </c>
      <c r="AC57" s="111" t="s">
        <v>149</v>
      </c>
      <c r="AD57" s="111">
        <f>SUM('Final Calculation Sheet'!$AC$4:$AC$40)</f>
        <v>16923487</v>
      </c>
      <c r="AE57" s="111">
        <f>SUM('Final Calculation Sheet'!$AD$4:$AD$40)</f>
        <v>794636.00000000047</v>
      </c>
      <c r="AF57" s="111" t="s">
        <v>149</v>
      </c>
      <c r="AG57" s="115" t="s">
        <v>149</v>
      </c>
      <c r="AH57" s="111" t="s">
        <v>149</v>
      </c>
      <c r="AI57" s="116" t="str">
        <f>IF(AE57&lt;=5,"SETTLED","OUTSTANDING")</f>
        <v>OUTSTANDING</v>
      </c>
    </row>
    <row r="59" spans="1:38" x14ac:dyDescent="0.25">
      <c r="A59" s="117" t="s">
        <v>164</v>
      </c>
      <c r="B59" s="117"/>
      <c r="C59" s="117" t="str">
        <f>IF(COUNTIF($B$4:$AI$4,"&lt;&gt;")=0,"—",SUM($AJ$6:$AJ$42)&amp;" of 37")</f>
        <v>—</v>
      </c>
      <c r="D59" s="117"/>
      <c r="E59" s="117" t="s">
        <v>165</v>
      </c>
      <c r="F59" s="117"/>
      <c r="G59" s="117"/>
      <c r="H59" s="117"/>
      <c r="I59" s="117"/>
      <c r="J59" s="117"/>
      <c r="K59" s="117"/>
      <c r="L59" s="117"/>
      <c r="M59" s="117"/>
      <c r="N59" s="117"/>
      <c r="O59" s="117"/>
      <c r="P59" s="117"/>
      <c r="Q59" s="117"/>
      <c r="R59" s="117"/>
      <c r="S59" s="117"/>
      <c r="T59" s="117"/>
      <c r="U59" s="117"/>
      <c r="V59" s="117"/>
      <c r="W59" s="117"/>
      <c r="X59" s="117"/>
      <c r="Y59" s="117"/>
      <c r="Z59" s="117"/>
      <c r="AA59" s="117"/>
      <c r="AB59" s="117"/>
      <c r="AC59" s="117"/>
      <c r="AD59" s="117"/>
      <c r="AE59" s="117"/>
      <c r="AF59" s="117"/>
      <c r="AG59" s="117"/>
      <c r="AH59" s="117"/>
      <c r="AI59" s="117"/>
    </row>
    <row r="60" spans="1:38" x14ac:dyDescent="0.25">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2" t="str">
        <f>IF($AL$60="","",IF(INDEX('Final Calculation Sheet'!$AE$4:$AE$40,$AL$60)="","",INDEX('Final Calculation Sheet'!$AE$4:$AE$40,$AL$60)))</f>
        <v/>
      </c>
      <c r="AG60" s="126" t="str">
        <f>IF($AL$60="","",IF(INDEX('Final Calculation Sheet'!$AF$4:$AF$40,$AL$60)="","",INDEX('Final Calculation Sheet'!$AF$4:$AF$40,$AL$60)))</f>
        <v/>
      </c>
      <c r="AH60" s="122" t="str">
        <f>IF($AL$60="","",IF(INDEX('Final Calculation Sheet'!$AG$4:$AG$40,$AL$60)="","",INDEX('Final Calculation Sheet'!$AG$4:$AG$40,$AL$60)))</f>
        <v/>
      </c>
      <c r="AI60" s="127" t="str">
        <f>IF($AL$60="","",IF(INDEX('Final Calculation Sheet'!$AD$4:$AD$40,$AL$60)&lt;=5,"SETTLED","OUTSTANDING"))</f>
        <v/>
      </c>
      <c r="AL60" t="str">
        <f>IF(COUNTIF($B$4:$AI$4,"&lt;&gt;")=0,"",IFERROR(MATCH(1,$AK$6:$AK$42,0),""))</f>
        <v/>
      </c>
    </row>
    <row r="61" spans="1:38" x14ac:dyDescent="0.25">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1" t="str">
        <f>IF($AL$61="","",IF(INDEX('Final Calculation Sheet'!$AE$4:$AE$40,$AL$61)="","",INDEX('Final Calculation Sheet'!$AE$4:$AE$40,$AL$61)))</f>
        <v/>
      </c>
      <c r="AG61" s="135" t="str">
        <f>IF($AL$61="","",IF(INDEX('Final Calculation Sheet'!$AF$4:$AF$40,$AL$61)="","",INDEX('Final Calculation Sheet'!$AF$4:$AF$40,$AL$61)))</f>
        <v/>
      </c>
      <c r="AH61" s="131" t="str">
        <f>IF($AL$61="","",IF(INDEX('Final Calculation Sheet'!$AG$4:$AG$40,$AL$61)="","",INDEX('Final Calculation Sheet'!$AG$4:$AG$40,$AL$61)))</f>
        <v/>
      </c>
      <c r="AI61" s="136" t="str">
        <f>IF($AL$61="","",IF(INDEX('Final Calculation Sheet'!$AD$4:$AD$40,$AL$61)&lt;=5,"SETTLED","OUTSTANDING"))</f>
        <v/>
      </c>
      <c r="AL61" t="str">
        <f>IF(COUNTIF($B$4:$AI$4,"&lt;&gt;")=0,"",IFERROR(MATCH(2,$AK$6:$AK$42,0),""))</f>
        <v/>
      </c>
    </row>
    <row r="62" spans="1:38" x14ac:dyDescent="0.25">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2" t="str">
        <f>IF($AL$62="","",IF(INDEX('Final Calculation Sheet'!$AE$4:$AE$40,$AL$62)="","",INDEX('Final Calculation Sheet'!$AE$4:$AE$40,$AL$62)))</f>
        <v/>
      </c>
      <c r="AG62" s="126" t="str">
        <f>IF($AL$62="","",IF(INDEX('Final Calculation Sheet'!$AF$4:$AF$40,$AL$62)="","",INDEX('Final Calculation Sheet'!$AF$4:$AF$40,$AL$62)))</f>
        <v/>
      </c>
      <c r="AH62" s="122" t="str">
        <f>IF($AL$62="","",IF(INDEX('Final Calculation Sheet'!$AG$4:$AG$40,$AL$62)="","",INDEX('Final Calculation Sheet'!$AG$4:$AG$40,$AL$62)))</f>
        <v/>
      </c>
      <c r="AI62" s="127" t="str">
        <f>IF($AL$62="","",IF(INDEX('Final Calculation Sheet'!$AD$4:$AD$40,$AL$62)&lt;=5,"SETTLED","OUTSTANDING"))</f>
        <v/>
      </c>
      <c r="AL62" t="str">
        <f>IF(COUNTIF($B$4:$AI$4,"&lt;&gt;")=0,"",IFERROR(MATCH(3,$AK$6:$AK$42,0),""))</f>
        <v/>
      </c>
    </row>
    <row r="63" spans="1:38" x14ac:dyDescent="0.25">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1" t="str">
        <f>IF($AL$63="","",IF(INDEX('Final Calculation Sheet'!$AE$4:$AE$40,$AL$63)="","",INDEX('Final Calculation Sheet'!$AE$4:$AE$40,$AL$63)))</f>
        <v/>
      </c>
      <c r="AG63" s="135" t="str">
        <f>IF($AL$63="","",IF(INDEX('Final Calculation Sheet'!$AF$4:$AF$40,$AL$63)="","",INDEX('Final Calculation Sheet'!$AF$4:$AF$40,$AL$63)))</f>
        <v/>
      </c>
      <c r="AH63" s="131" t="str">
        <f>IF($AL$63="","",IF(INDEX('Final Calculation Sheet'!$AG$4:$AG$40,$AL$63)="","",INDEX('Final Calculation Sheet'!$AG$4:$AG$40,$AL$63)))</f>
        <v/>
      </c>
      <c r="AI63" s="136" t="str">
        <f>IF($AL$63="","",IF(INDEX('Final Calculation Sheet'!$AD$4:$AD$40,$AL$63)&lt;=5,"SETTLED","OUTSTANDING"))</f>
        <v/>
      </c>
      <c r="AL63" t="str">
        <f>IF(COUNTIF($B$4:$AI$4,"&lt;&gt;")=0,"",IFERROR(MATCH(4,$AK$6:$AK$42,0),""))</f>
        <v/>
      </c>
    </row>
    <row r="64" spans="1:38" x14ac:dyDescent="0.25">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2" t="str">
        <f>IF($AL$64="","",IF(INDEX('Final Calculation Sheet'!$AE$4:$AE$40,$AL$64)="","",INDEX('Final Calculation Sheet'!$AE$4:$AE$40,$AL$64)))</f>
        <v/>
      </c>
      <c r="AG64" s="126" t="str">
        <f>IF($AL$64="","",IF(INDEX('Final Calculation Sheet'!$AF$4:$AF$40,$AL$64)="","",INDEX('Final Calculation Sheet'!$AF$4:$AF$40,$AL$64)))</f>
        <v/>
      </c>
      <c r="AH64" s="122" t="str">
        <f>IF($AL$64="","",IF(INDEX('Final Calculation Sheet'!$AG$4:$AG$40,$AL$64)="","",INDEX('Final Calculation Sheet'!$AG$4:$AG$40,$AL$64)))</f>
        <v/>
      </c>
      <c r="AI64" s="127" t="str">
        <f>IF($AL$64="","",IF(INDEX('Final Calculation Sheet'!$AD$4:$AD$40,$AL$64)&lt;=5,"SETTLED","OUTSTANDING"))</f>
        <v/>
      </c>
      <c r="AL64" t="str">
        <f>IF(COUNTIF($B$4:$AI$4,"&lt;&gt;")=0,"",IFERROR(MATCH(5,$AK$6:$AK$42,0),""))</f>
        <v/>
      </c>
    </row>
    <row r="65" spans="1:38" x14ac:dyDescent="0.2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1" t="str">
        <f>IF($AL$65="","",IF(INDEX('Final Calculation Sheet'!$AE$4:$AE$40,$AL$65)="","",INDEX('Final Calculation Sheet'!$AE$4:$AE$40,$AL$65)))</f>
        <v/>
      </c>
      <c r="AG65" s="135" t="str">
        <f>IF($AL$65="","",IF(INDEX('Final Calculation Sheet'!$AF$4:$AF$40,$AL$65)="","",INDEX('Final Calculation Sheet'!$AF$4:$AF$40,$AL$65)))</f>
        <v/>
      </c>
      <c r="AH65" s="131" t="str">
        <f>IF($AL$65="","",IF(INDEX('Final Calculation Sheet'!$AG$4:$AG$40,$AL$65)="","",INDEX('Final Calculation Sheet'!$AG$4:$AG$40,$AL$65)))</f>
        <v/>
      </c>
      <c r="AI65" s="136" t="str">
        <f>IF($AL$65="","",IF(INDEX('Final Calculation Sheet'!$AD$4:$AD$40,$AL$65)&lt;=5,"SETTLED","OUTSTANDING"))</f>
        <v/>
      </c>
      <c r="AL65" t="str">
        <f>IF(COUNTIF($B$4:$AI$4,"&lt;&gt;")=0,"",IFERROR(MATCH(6,$AK$6:$AK$42,0),""))</f>
        <v/>
      </c>
    </row>
    <row r="66" spans="1:38" x14ac:dyDescent="0.25">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2" t="str">
        <f>IF($AL$66="","",IF(INDEX('Final Calculation Sheet'!$AE$4:$AE$40,$AL$66)="","",INDEX('Final Calculation Sheet'!$AE$4:$AE$40,$AL$66)))</f>
        <v/>
      </c>
      <c r="AG66" s="126" t="str">
        <f>IF($AL$66="","",IF(INDEX('Final Calculation Sheet'!$AF$4:$AF$40,$AL$66)="","",INDEX('Final Calculation Sheet'!$AF$4:$AF$40,$AL$66)))</f>
        <v/>
      </c>
      <c r="AH66" s="122" t="str">
        <f>IF($AL$66="","",IF(INDEX('Final Calculation Sheet'!$AG$4:$AG$40,$AL$66)="","",INDEX('Final Calculation Sheet'!$AG$4:$AG$40,$AL$66)))</f>
        <v/>
      </c>
      <c r="AI66" s="127" t="str">
        <f>IF($AL$66="","",IF(INDEX('Final Calculation Sheet'!$AD$4:$AD$40,$AL$66)&lt;=5,"SETTLED","OUTSTANDING"))</f>
        <v/>
      </c>
      <c r="AL66" t="str">
        <f>IF(COUNTIF($B$4:$AI$4,"&lt;&gt;")=0,"",IFERROR(MATCH(7,$AK$6:$AK$42,0),""))</f>
        <v/>
      </c>
    </row>
    <row r="67" spans="1:38" x14ac:dyDescent="0.25">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1" t="str">
        <f>IF($AL$67="","",IF(INDEX('Final Calculation Sheet'!$AE$4:$AE$40,$AL$67)="","",INDEX('Final Calculation Sheet'!$AE$4:$AE$40,$AL$67)))</f>
        <v/>
      </c>
      <c r="AG67" s="135" t="str">
        <f>IF($AL$67="","",IF(INDEX('Final Calculation Sheet'!$AF$4:$AF$40,$AL$67)="","",INDEX('Final Calculation Sheet'!$AF$4:$AF$40,$AL$67)))</f>
        <v/>
      </c>
      <c r="AH67" s="131" t="str">
        <f>IF($AL$67="","",IF(INDEX('Final Calculation Sheet'!$AG$4:$AG$40,$AL$67)="","",INDEX('Final Calculation Sheet'!$AG$4:$AG$40,$AL$67)))</f>
        <v/>
      </c>
      <c r="AI67" s="136" t="str">
        <f>IF($AL$67="","",IF(INDEX('Final Calculation Sheet'!$AD$4:$AD$40,$AL$67)&lt;=5,"SETTLED","OUTSTANDING"))</f>
        <v/>
      </c>
      <c r="AL67" t="str">
        <f>IF(COUNTIF($B$4:$AI$4,"&lt;&gt;")=0,"",IFERROR(MATCH(8,$AK$6:$AK$42,0),""))</f>
        <v/>
      </c>
    </row>
    <row r="68" spans="1:38" x14ac:dyDescent="0.25">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2" t="str">
        <f>IF($AL$68="","",IF(INDEX('Final Calculation Sheet'!$AE$4:$AE$40,$AL$68)="","",INDEX('Final Calculation Sheet'!$AE$4:$AE$40,$AL$68)))</f>
        <v/>
      </c>
      <c r="AG68" s="126" t="str">
        <f>IF($AL$68="","",IF(INDEX('Final Calculation Sheet'!$AF$4:$AF$40,$AL$68)="","",INDEX('Final Calculation Sheet'!$AF$4:$AF$40,$AL$68)))</f>
        <v/>
      </c>
      <c r="AH68" s="122" t="str">
        <f>IF($AL$68="","",IF(INDEX('Final Calculation Sheet'!$AG$4:$AG$40,$AL$68)="","",INDEX('Final Calculation Sheet'!$AG$4:$AG$40,$AL$68)))</f>
        <v/>
      </c>
      <c r="AI68" s="127" t="str">
        <f>IF($AL$68="","",IF(INDEX('Final Calculation Sheet'!$AD$4:$AD$40,$AL$68)&lt;=5,"SETTLED","OUTSTANDING"))</f>
        <v/>
      </c>
      <c r="AL68" t="str">
        <f>IF(COUNTIF($B$4:$AI$4,"&lt;&gt;")=0,"",IFERROR(MATCH(9,$AK$6:$AK$42,0),""))</f>
        <v/>
      </c>
    </row>
    <row r="69" spans="1:38" x14ac:dyDescent="0.25">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1" t="str">
        <f>IF($AL$69="","",IF(INDEX('Final Calculation Sheet'!$AE$4:$AE$40,$AL$69)="","",INDEX('Final Calculation Sheet'!$AE$4:$AE$40,$AL$69)))</f>
        <v/>
      </c>
      <c r="AG69" s="135" t="str">
        <f>IF($AL$69="","",IF(INDEX('Final Calculation Sheet'!$AF$4:$AF$40,$AL$69)="","",INDEX('Final Calculation Sheet'!$AF$4:$AF$40,$AL$69)))</f>
        <v/>
      </c>
      <c r="AH69" s="131" t="str">
        <f>IF($AL$69="","",IF(INDEX('Final Calculation Sheet'!$AG$4:$AG$40,$AL$69)="","",INDEX('Final Calculation Sheet'!$AG$4:$AG$40,$AL$69)))</f>
        <v/>
      </c>
      <c r="AI69" s="136" t="str">
        <f>IF($AL$69="","",IF(INDEX('Final Calculation Sheet'!$AD$4:$AD$40,$AL$69)&lt;=5,"SETTLED","OUTSTANDING"))</f>
        <v/>
      </c>
      <c r="AL69" t="str">
        <f>IF(COUNTIF($B$4:$AI$4,"&lt;&gt;")=0,"",IFERROR(MATCH(10,$AK$6:$AK$42,0),""))</f>
        <v/>
      </c>
    </row>
    <row r="70" spans="1:38" x14ac:dyDescent="0.25">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2" t="str">
        <f>IF($AL$70="","",IF(INDEX('Final Calculation Sheet'!$AE$4:$AE$40,$AL$70)="","",INDEX('Final Calculation Sheet'!$AE$4:$AE$40,$AL$70)))</f>
        <v/>
      </c>
      <c r="AG70" s="126" t="str">
        <f>IF($AL$70="","",IF(INDEX('Final Calculation Sheet'!$AF$4:$AF$40,$AL$70)="","",INDEX('Final Calculation Sheet'!$AF$4:$AF$40,$AL$70)))</f>
        <v/>
      </c>
      <c r="AH70" s="122" t="str">
        <f>IF($AL$70="","",IF(INDEX('Final Calculation Sheet'!$AG$4:$AG$40,$AL$70)="","",INDEX('Final Calculation Sheet'!$AG$4:$AG$40,$AL$70)))</f>
        <v/>
      </c>
      <c r="AI70" s="127" t="str">
        <f>IF($AL$70="","",IF(INDEX('Final Calculation Sheet'!$AD$4:$AD$40,$AL$70)&lt;=5,"SETTLED","OUTSTANDING"))</f>
        <v/>
      </c>
      <c r="AL70" t="str">
        <f>IF(COUNTIF($B$4:$AI$4,"&lt;&gt;")=0,"",IFERROR(MATCH(11,$AK$6:$AK$42,0),""))</f>
        <v/>
      </c>
    </row>
    <row r="71" spans="1:38" x14ac:dyDescent="0.25">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1" t="str">
        <f>IF($AL$71="","",IF(INDEX('Final Calculation Sheet'!$AE$4:$AE$40,$AL$71)="","",INDEX('Final Calculation Sheet'!$AE$4:$AE$40,$AL$71)))</f>
        <v/>
      </c>
      <c r="AG71" s="135" t="str">
        <f>IF($AL$71="","",IF(INDEX('Final Calculation Sheet'!$AF$4:$AF$40,$AL$71)="","",INDEX('Final Calculation Sheet'!$AF$4:$AF$40,$AL$71)))</f>
        <v/>
      </c>
      <c r="AH71" s="131" t="str">
        <f>IF($AL$71="","",IF(INDEX('Final Calculation Sheet'!$AG$4:$AG$40,$AL$71)="","",INDEX('Final Calculation Sheet'!$AG$4:$AG$40,$AL$71)))</f>
        <v/>
      </c>
      <c r="AI71" s="136" t="str">
        <f>IF($AL$71="","",IF(INDEX('Final Calculation Sheet'!$AD$4:$AD$40,$AL$71)&lt;=5,"SETTLED","OUTSTANDING"))</f>
        <v/>
      </c>
      <c r="AL71" t="str">
        <f>IF(COUNTIF($B$4:$AI$4,"&lt;&gt;")=0,"",IFERROR(MATCH(12,$AK$6:$AK$42,0),""))</f>
        <v/>
      </c>
    </row>
    <row r="72" spans="1:38" x14ac:dyDescent="0.25">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2" t="str">
        <f>IF($AL$72="","",IF(INDEX('Final Calculation Sheet'!$AE$4:$AE$40,$AL$72)="","",INDEX('Final Calculation Sheet'!$AE$4:$AE$40,$AL$72)))</f>
        <v/>
      </c>
      <c r="AG72" s="126" t="str">
        <f>IF($AL$72="","",IF(INDEX('Final Calculation Sheet'!$AF$4:$AF$40,$AL$72)="","",INDEX('Final Calculation Sheet'!$AF$4:$AF$40,$AL$72)))</f>
        <v/>
      </c>
      <c r="AH72" s="122" t="str">
        <f>IF($AL$72="","",IF(INDEX('Final Calculation Sheet'!$AG$4:$AG$40,$AL$72)="","",INDEX('Final Calculation Sheet'!$AG$4:$AG$40,$AL$72)))</f>
        <v/>
      </c>
      <c r="AI72" s="127" t="str">
        <f>IF($AL$72="","",IF(INDEX('Final Calculation Sheet'!$AD$4:$AD$40,$AL$72)&lt;=5,"SETTLED","OUTSTANDING"))</f>
        <v/>
      </c>
      <c r="AL72" t="str">
        <f>IF(COUNTIF($B$4:$AI$4,"&lt;&gt;")=0,"",IFERROR(MATCH(13,$AK$6:$AK$42,0),""))</f>
        <v/>
      </c>
    </row>
    <row r="73" spans="1:38" x14ac:dyDescent="0.25">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1" t="str">
        <f>IF($AL$73="","",IF(INDEX('Final Calculation Sheet'!$AE$4:$AE$40,$AL$73)="","",INDEX('Final Calculation Sheet'!$AE$4:$AE$40,$AL$73)))</f>
        <v/>
      </c>
      <c r="AG73" s="135" t="str">
        <f>IF($AL$73="","",IF(INDEX('Final Calculation Sheet'!$AF$4:$AF$40,$AL$73)="","",INDEX('Final Calculation Sheet'!$AF$4:$AF$40,$AL$73)))</f>
        <v/>
      </c>
      <c r="AH73" s="131" t="str">
        <f>IF($AL$73="","",IF(INDEX('Final Calculation Sheet'!$AG$4:$AG$40,$AL$73)="","",INDEX('Final Calculation Sheet'!$AG$4:$AG$40,$AL$73)))</f>
        <v/>
      </c>
      <c r="AI73" s="136" t="str">
        <f>IF($AL$73="","",IF(INDEX('Final Calculation Sheet'!$AD$4:$AD$40,$AL$73)&lt;=5,"SETTLED","OUTSTANDING"))</f>
        <v/>
      </c>
      <c r="AL73" t="str">
        <f>IF(COUNTIF($B$4:$AI$4,"&lt;&gt;")=0,"",IFERROR(MATCH(14,$AK$6:$AK$42,0),""))</f>
        <v/>
      </c>
    </row>
    <row r="74" spans="1:38" x14ac:dyDescent="0.25">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2" t="str">
        <f>IF($AL$74="","",IF(INDEX('Final Calculation Sheet'!$AE$4:$AE$40,$AL$74)="","",INDEX('Final Calculation Sheet'!$AE$4:$AE$40,$AL$74)))</f>
        <v/>
      </c>
      <c r="AG74" s="126" t="str">
        <f>IF($AL$74="","",IF(INDEX('Final Calculation Sheet'!$AF$4:$AF$40,$AL$74)="","",INDEX('Final Calculation Sheet'!$AF$4:$AF$40,$AL$74)))</f>
        <v/>
      </c>
      <c r="AH74" s="122" t="str">
        <f>IF($AL$74="","",IF(INDEX('Final Calculation Sheet'!$AG$4:$AG$40,$AL$74)="","",INDEX('Final Calculation Sheet'!$AG$4:$AG$40,$AL$74)))</f>
        <v/>
      </c>
      <c r="AI74" s="127" t="str">
        <f>IF($AL$74="","",IF(INDEX('Final Calculation Sheet'!$AD$4:$AD$40,$AL$74)&lt;=5,"SETTLED","OUTSTANDING"))</f>
        <v/>
      </c>
      <c r="AL74" t="str">
        <f>IF(COUNTIF($B$4:$AI$4,"&lt;&gt;")=0,"",IFERROR(MATCH(15,$AK$6:$AK$42,0),""))</f>
        <v/>
      </c>
    </row>
    <row r="75" spans="1:38" x14ac:dyDescent="0.2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1" t="str">
        <f>IF($AL$75="","",IF(INDEX('Final Calculation Sheet'!$AE$4:$AE$40,$AL$75)="","",INDEX('Final Calculation Sheet'!$AE$4:$AE$40,$AL$75)))</f>
        <v/>
      </c>
      <c r="AG75" s="135" t="str">
        <f>IF($AL$75="","",IF(INDEX('Final Calculation Sheet'!$AF$4:$AF$40,$AL$75)="","",INDEX('Final Calculation Sheet'!$AF$4:$AF$40,$AL$75)))</f>
        <v/>
      </c>
      <c r="AH75" s="131" t="str">
        <f>IF($AL$75="","",IF(INDEX('Final Calculation Sheet'!$AG$4:$AG$40,$AL$75)="","",INDEX('Final Calculation Sheet'!$AG$4:$AG$40,$AL$75)))</f>
        <v/>
      </c>
      <c r="AI75" s="136" t="str">
        <f>IF($AL$75="","",IF(INDEX('Final Calculation Sheet'!$AD$4:$AD$40,$AL$75)&lt;=5,"SETTLED","OUTSTANDING"))</f>
        <v/>
      </c>
      <c r="AL75" t="str">
        <f>IF(COUNTIF($B$4:$AI$4,"&lt;&gt;")=0,"",IFERROR(MATCH(16,$AK$6:$AK$42,0),""))</f>
        <v/>
      </c>
    </row>
    <row r="76" spans="1:38" x14ac:dyDescent="0.25">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2" t="str">
        <f>IF($AL$76="","",IF(INDEX('Final Calculation Sheet'!$AE$4:$AE$40,$AL$76)="","",INDEX('Final Calculation Sheet'!$AE$4:$AE$40,$AL$76)))</f>
        <v/>
      </c>
      <c r="AG76" s="126" t="str">
        <f>IF($AL$76="","",IF(INDEX('Final Calculation Sheet'!$AF$4:$AF$40,$AL$76)="","",INDEX('Final Calculation Sheet'!$AF$4:$AF$40,$AL$76)))</f>
        <v/>
      </c>
      <c r="AH76" s="122" t="str">
        <f>IF($AL$76="","",IF(INDEX('Final Calculation Sheet'!$AG$4:$AG$40,$AL$76)="","",INDEX('Final Calculation Sheet'!$AG$4:$AG$40,$AL$76)))</f>
        <v/>
      </c>
      <c r="AI76" s="127" t="str">
        <f>IF($AL$76="","",IF(INDEX('Final Calculation Sheet'!$AD$4:$AD$40,$AL$76)&lt;=5,"SETTLED","OUTSTANDING"))</f>
        <v/>
      </c>
      <c r="AL76" t="str">
        <f>IF(COUNTIF($B$4:$AI$4,"&lt;&gt;")=0,"",IFERROR(MATCH(17,$AK$6:$AK$42,0),""))</f>
        <v/>
      </c>
    </row>
    <row r="77" spans="1:38" x14ac:dyDescent="0.25">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1" t="str">
        <f>IF($AL$77="","",IF(INDEX('Final Calculation Sheet'!$AE$4:$AE$40,$AL$77)="","",INDEX('Final Calculation Sheet'!$AE$4:$AE$40,$AL$77)))</f>
        <v/>
      </c>
      <c r="AG77" s="135" t="str">
        <f>IF($AL$77="","",IF(INDEX('Final Calculation Sheet'!$AF$4:$AF$40,$AL$77)="","",INDEX('Final Calculation Sheet'!$AF$4:$AF$40,$AL$77)))</f>
        <v/>
      </c>
      <c r="AH77" s="131" t="str">
        <f>IF($AL$77="","",IF(INDEX('Final Calculation Sheet'!$AG$4:$AG$40,$AL$77)="","",INDEX('Final Calculation Sheet'!$AG$4:$AG$40,$AL$77)))</f>
        <v/>
      </c>
      <c r="AI77" s="136" t="str">
        <f>IF($AL$77="","",IF(INDEX('Final Calculation Sheet'!$AD$4:$AD$40,$AL$77)&lt;=5,"SETTLED","OUTSTANDING"))</f>
        <v/>
      </c>
      <c r="AL77" t="str">
        <f>IF(COUNTIF($B$4:$AI$4,"&lt;&gt;")=0,"",IFERROR(MATCH(18,$AK$6:$AK$42,0),""))</f>
        <v/>
      </c>
    </row>
    <row r="78" spans="1:38" x14ac:dyDescent="0.25">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2" t="str">
        <f>IF($AL$78="","",IF(INDEX('Final Calculation Sheet'!$AE$4:$AE$40,$AL$78)="","",INDEX('Final Calculation Sheet'!$AE$4:$AE$40,$AL$78)))</f>
        <v/>
      </c>
      <c r="AG78" s="126" t="str">
        <f>IF($AL$78="","",IF(INDEX('Final Calculation Sheet'!$AF$4:$AF$40,$AL$78)="","",INDEX('Final Calculation Sheet'!$AF$4:$AF$40,$AL$78)))</f>
        <v/>
      </c>
      <c r="AH78" s="122" t="str">
        <f>IF($AL$78="","",IF(INDEX('Final Calculation Sheet'!$AG$4:$AG$40,$AL$78)="","",INDEX('Final Calculation Sheet'!$AG$4:$AG$40,$AL$78)))</f>
        <v/>
      </c>
      <c r="AI78" s="127" t="str">
        <f>IF($AL$78="","",IF(INDEX('Final Calculation Sheet'!$AD$4:$AD$40,$AL$78)&lt;=5,"SETTLED","OUTSTANDING"))</f>
        <v/>
      </c>
      <c r="AL78" t="str">
        <f>IF(COUNTIF($B$4:$AI$4,"&lt;&gt;")=0,"",IFERROR(MATCH(19,$AK$6:$AK$42,0),""))</f>
        <v/>
      </c>
    </row>
    <row r="79" spans="1:38" x14ac:dyDescent="0.25">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1" t="str">
        <f>IF($AL$79="","",IF(INDEX('Final Calculation Sheet'!$AE$4:$AE$40,$AL$79)="","",INDEX('Final Calculation Sheet'!$AE$4:$AE$40,$AL$79)))</f>
        <v/>
      </c>
      <c r="AG79" s="135" t="str">
        <f>IF($AL$79="","",IF(INDEX('Final Calculation Sheet'!$AF$4:$AF$40,$AL$79)="","",INDEX('Final Calculation Sheet'!$AF$4:$AF$40,$AL$79)))</f>
        <v/>
      </c>
      <c r="AH79" s="131" t="str">
        <f>IF($AL$79="","",IF(INDEX('Final Calculation Sheet'!$AG$4:$AG$40,$AL$79)="","",INDEX('Final Calculation Sheet'!$AG$4:$AG$40,$AL$79)))</f>
        <v/>
      </c>
      <c r="AI79" s="136" t="str">
        <f>IF($AL$79="","",IF(INDEX('Final Calculation Sheet'!$AD$4:$AD$40,$AL$79)&lt;=5,"SETTLED","OUTSTANDING"))</f>
        <v/>
      </c>
      <c r="AL79" t="str">
        <f>IF(COUNTIF($B$4:$AI$4,"&lt;&gt;")=0,"",IFERROR(MATCH(20,$AK$6:$AK$42,0),""))</f>
        <v/>
      </c>
    </row>
    <row r="80" spans="1:38" x14ac:dyDescent="0.25">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2" t="str">
        <f>IF($AL$80="","",IF(INDEX('Final Calculation Sheet'!$AE$4:$AE$40,$AL$80)="","",INDEX('Final Calculation Sheet'!$AE$4:$AE$40,$AL$80)))</f>
        <v/>
      </c>
      <c r="AG80" s="126" t="str">
        <f>IF($AL$80="","",IF(INDEX('Final Calculation Sheet'!$AF$4:$AF$40,$AL$80)="","",INDEX('Final Calculation Sheet'!$AF$4:$AF$40,$AL$80)))</f>
        <v/>
      </c>
      <c r="AH80" s="122" t="str">
        <f>IF($AL$80="","",IF(INDEX('Final Calculation Sheet'!$AG$4:$AG$40,$AL$80)="","",INDEX('Final Calculation Sheet'!$AG$4:$AG$40,$AL$80)))</f>
        <v/>
      </c>
      <c r="AI80" s="127" t="str">
        <f>IF($AL$80="","",IF(INDEX('Final Calculation Sheet'!$AD$4:$AD$40,$AL$80)&lt;=5,"SETTLED","OUTSTANDING"))</f>
        <v/>
      </c>
      <c r="AL80" t="str">
        <f>IF(COUNTIF($B$4:$AI$4,"&lt;&gt;")=0,"",IFERROR(MATCH(21,$AK$6:$AK$42,0),""))</f>
        <v/>
      </c>
    </row>
    <row r="81" spans="1:38" x14ac:dyDescent="0.25">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1" t="str">
        <f>IF($AL$81="","",IF(INDEX('Final Calculation Sheet'!$AE$4:$AE$40,$AL$81)="","",INDEX('Final Calculation Sheet'!$AE$4:$AE$40,$AL$81)))</f>
        <v/>
      </c>
      <c r="AG81" s="135" t="str">
        <f>IF($AL$81="","",IF(INDEX('Final Calculation Sheet'!$AF$4:$AF$40,$AL$81)="","",INDEX('Final Calculation Sheet'!$AF$4:$AF$40,$AL$81)))</f>
        <v/>
      </c>
      <c r="AH81" s="131" t="str">
        <f>IF($AL$81="","",IF(INDEX('Final Calculation Sheet'!$AG$4:$AG$40,$AL$81)="","",INDEX('Final Calculation Sheet'!$AG$4:$AG$40,$AL$81)))</f>
        <v/>
      </c>
      <c r="AI81" s="136" t="str">
        <f>IF($AL$81="","",IF(INDEX('Final Calculation Sheet'!$AD$4:$AD$40,$AL$81)&lt;=5,"SETTLED","OUTSTANDING"))</f>
        <v/>
      </c>
      <c r="AL81" t="str">
        <f>IF(COUNTIF($B$4:$AI$4,"&lt;&gt;")=0,"",IFERROR(MATCH(22,$AK$6:$AK$42,0),""))</f>
        <v/>
      </c>
    </row>
    <row r="82" spans="1:38" x14ac:dyDescent="0.25">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2" t="str">
        <f>IF($AL$82="","",IF(INDEX('Final Calculation Sheet'!$AE$4:$AE$40,$AL$82)="","",INDEX('Final Calculation Sheet'!$AE$4:$AE$40,$AL$82)))</f>
        <v/>
      </c>
      <c r="AG82" s="126" t="str">
        <f>IF($AL$82="","",IF(INDEX('Final Calculation Sheet'!$AF$4:$AF$40,$AL$82)="","",INDEX('Final Calculation Sheet'!$AF$4:$AF$40,$AL$82)))</f>
        <v/>
      </c>
      <c r="AH82" s="122" t="str">
        <f>IF($AL$82="","",IF(INDEX('Final Calculation Sheet'!$AG$4:$AG$40,$AL$82)="","",INDEX('Final Calculation Sheet'!$AG$4:$AG$40,$AL$82)))</f>
        <v/>
      </c>
      <c r="AI82" s="127" t="str">
        <f>IF($AL$82="","",IF(INDEX('Final Calculation Sheet'!$AD$4:$AD$40,$AL$82)&lt;=5,"SETTLED","OUTSTANDING"))</f>
        <v/>
      </c>
      <c r="AL82" t="str">
        <f>IF(COUNTIF($B$4:$AI$4,"&lt;&gt;")=0,"",IFERROR(MATCH(23,$AK$6:$AK$42,0),""))</f>
        <v/>
      </c>
    </row>
    <row r="83" spans="1:38" x14ac:dyDescent="0.25">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1" t="str">
        <f>IF($AL$83="","",IF(INDEX('Final Calculation Sheet'!$AE$4:$AE$40,$AL$83)="","",INDEX('Final Calculation Sheet'!$AE$4:$AE$40,$AL$83)))</f>
        <v/>
      </c>
      <c r="AG83" s="135" t="str">
        <f>IF($AL$83="","",IF(INDEX('Final Calculation Sheet'!$AF$4:$AF$40,$AL$83)="","",INDEX('Final Calculation Sheet'!$AF$4:$AF$40,$AL$83)))</f>
        <v/>
      </c>
      <c r="AH83" s="131" t="str">
        <f>IF($AL$83="","",IF(INDEX('Final Calculation Sheet'!$AG$4:$AG$40,$AL$83)="","",INDEX('Final Calculation Sheet'!$AG$4:$AG$40,$AL$83)))</f>
        <v/>
      </c>
      <c r="AI83" s="136" t="str">
        <f>IF($AL$83="","",IF(INDEX('Final Calculation Sheet'!$AD$4:$AD$40,$AL$83)&lt;=5,"SETTLED","OUTSTANDING"))</f>
        <v/>
      </c>
      <c r="AL83" t="str">
        <f>IF(COUNTIF($B$4:$AI$4,"&lt;&gt;")=0,"",IFERROR(MATCH(24,$AK$6:$AK$42,0),""))</f>
        <v/>
      </c>
    </row>
    <row r="84" spans="1:38" x14ac:dyDescent="0.25">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2" t="str">
        <f>IF($AL$84="","",IF(INDEX('Final Calculation Sheet'!$AE$4:$AE$40,$AL$84)="","",INDEX('Final Calculation Sheet'!$AE$4:$AE$40,$AL$84)))</f>
        <v/>
      </c>
      <c r="AG84" s="126" t="str">
        <f>IF($AL$84="","",IF(INDEX('Final Calculation Sheet'!$AF$4:$AF$40,$AL$84)="","",INDEX('Final Calculation Sheet'!$AF$4:$AF$40,$AL$84)))</f>
        <v/>
      </c>
      <c r="AH84" s="122" t="str">
        <f>IF($AL$84="","",IF(INDEX('Final Calculation Sheet'!$AG$4:$AG$40,$AL$84)="","",INDEX('Final Calculation Sheet'!$AG$4:$AG$40,$AL$84)))</f>
        <v/>
      </c>
      <c r="AI84" s="127" t="str">
        <f>IF($AL$84="","",IF(INDEX('Final Calculation Sheet'!$AD$4:$AD$40,$AL$84)&lt;=5,"SETTLED","OUTSTANDING"))</f>
        <v/>
      </c>
      <c r="AL84" t="str">
        <f>IF(COUNTIF($B$4:$AI$4,"&lt;&gt;")=0,"",IFERROR(MATCH(25,$AK$6:$AK$42,0),""))</f>
        <v/>
      </c>
    </row>
    <row r="85" spans="1:38" x14ac:dyDescent="0.2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1" t="str">
        <f>IF($AL$85="","",IF(INDEX('Final Calculation Sheet'!$AE$4:$AE$40,$AL$85)="","",INDEX('Final Calculation Sheet'!$AE$4:$AE$40,$AL$85)))</f>
        <v/>
      </c>
      <c r="AG85" s="135" t="str">
        <f>IF($AL$85="","",IF(INDEX('Final Calculation Sheet'!$AF$4:$AF$40,$AL$85)="","",INDEX('Final Calculation Sheet'!$AF$4:$AF$40,$AL$85)))</f>
        <v/>
      </c>
      <c r="AH85" s="131" t="str">
        <f>IF($AL$85="","",IF(INDEX('Final Calculation Sheet'!$AG$4:$AG$40,$AL$85)="","",INDEX('Final Calculation Sheet'!$AG$4:$AG$40,$AL$85)))</f>
        <v/>
      </c>
      <c r="AI85" s="136" t="str">
        <f>IF($AL$85="","",IF(INDEX('Final Calculation Sheet'!$AD$4:$AD$40,$AL$85)&lt;=5,"SETTLED","OUTSTANDING"))</f>
        <v/>
      </c>
      <c r="AL85" t="str">
        <f>IF(COUNTIF($B$4:$AI$4,"&lt;&gt;")=0,"",IFERROR(MATCH(26,$AK$6:$AK$42,0),""))</f>
        <v/>
      </c>
    </row>
    <row r="86" spans="1:38" x14ac:dyDescent="0.25">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2" t="str">
        <f>IF($AL$86="","",IF(INDEX('Final Calculation Sheet'!$AE$4:$AE$40,$AL$86)="","",INDEX('Final Calculation Sheet'!$AE$4:$AE$40,$AL$86)))</f>
        <v/>
      </c>
      <c r="AG86" s="126" t="str">
        <f>IF($AL$86="","",IF(INDEX('Final Calculation Sheet'!$AF$4:$AF$40,$AL$86)="","",INDEX('Final Calculation Sheet'!$AF$4:$AF$40,$AL$86)))</f>
        <v/>
      </c>
      <c r="AH86" s="122" t="str">
        <f>IF($AL$86="","",IF(INDEX('Final Calculation Sheet'!$AG$4:$AG$40,$AL$86)="","",INDEX('Final Calculation Sheet'!$AG$4:$AG$40,$AL$86)))</f>
        <v/>
      </c>
      <c r="AI86" s="127" t="str">
        <f>IF($AL$86="","",IF(INDEX('Final Calculation Sheet'!$AD$4:$AD$40,$AL$86)&lt;=5,"SETTLED","OUTSTANDING"))</f>
        <v/>
      </c>
      <c r="AL86" t="str">
        <f>IF(COUNTIF($B$4:$AI$4,"&lt;&gt;")=0,"",IFERROR(MATCH(27,$AK$6:$AK$42,0),""))</f>
        <v/>
      </c>
    </row>
    <row r="87" spans="1:38" x14ac:dyDescent="0.25">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1" t="str">
        <f>IF($AL$87="","",IF(INDEX('Final Calculation Sheet'!$AE$4:$AE$40,$AL$87)="","",INDEX('Final Calculation Sheet'!$AE$4:$AE$40,$AL$87)))</f>
        <v/>
      </c>
      <c r="AG87" s="135" t="str">
        <f>IF($AL$87="","",IF(INDEX('Final Calculation Sheet'!$AF$4:$AF$40,$AL$87)="","",INDEX('Final Calculation Sheet'!$AF$4:$AF$40,$AL$87)))</f>
        <v/>
      </c>
      <c r="AH87" s="131" t="str">
        <f>IF($AL$87="","",IF(INDEX('Final Calculation Sheet'!$AG$4:$AG$40,$AL$87)="","",INDEX('Final Calculation Sheet'!$AG$4:$AG$40,$AL$87)))</f>
        <v/>
      </c>
      <c r="AI87" s="136" t="str">
        <f>IF($AL$87="","",IF(INDEX('Final Calculation Sheet'!$AD$4:$AD$40,$AL$87)&lt;=5,"SETTLED","OUTSTANDING"))</f>
        <v/>
      </c>
      <c r="AL87" t="str">
        <f>IF(COUNTIF($B$4:$AI$4,"&lt;&gt;")=0,"",IFERROR(MATCH(28,$AK$6:$AK$42,0),""))</f>
        <v/>
      </c>
    </row>
    <row r="88" spans="1:38" x14ac:dyDescent="0.25">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2" t="str">
        <f>IF($AL$88="","",IF(INDEX('Final Calculation Sheet'!$AE$4:$AE$40,$AL$88)="","",INDEX('Final Calculation Sheet'!$AE$4:$AE$40,$AL$88)))</f>
        <v/>
      </c>
      <c r="AG88" s="126" t="str">
        <f>IF($AL$88="","",IF(INDEX('Final Calculation Sheet'!$AF$4:$AF$40,$AL$88)="","",INDEX('Final Calculation Sheet'!$AF$4:$AF$40,$AL$88)))</f>
        <v/>
      </c>
      <c r="AH88" s="122" t="str">
        <f>IF($AL$88="","",IF(INDEX('Final Calculation Sheet'!$AG$4:$AG$40,$AL$88)="","",INDEX('Final Calculation Sheet'!$AG$4:$AG$40,$AL$88)))</f>
        <v/>
      </c>
      <c r="AI88" s="127" t="str">
        <f>IF($AL$88="","",IF(INDEX('Final Calculation Sheet'!$AD$4:$AD$40,$AL$88)&lt;=5,"SETTLED","OUTSTANDING"))</f>
        <v/>
      </c>
      <c r="AL88" t="str">
        <f>IF(COUNTIF($B$4:$AI$4,"&lt;&gt;")=0,"",IFERROR(MATCH(29,$AK$6:$AK$42,0),""))</f>
        <v/>
      </c>
    </row>
    <row r="89" spans="1:38" x14ac:dyDescent="0.25">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1" t="str">
        <f>IF($AL$89="","",IF(INDEX('Final Calculation Sheet'!$AE$4:$AE$40,$AL$89)="","",INDEX('Final Calculation Sheet'!$AE$4:$AE$40,$AL$89)))</f>
        <v/>
      </c>
      <c r="AG89" s="135" t="str">
        <f>IF($AL$89="","",IF(INDEX('Final Calculation Sheet'!$AF$4:$AF$40,$AL$89)="","",INDEX('Final Calculation Sheet'!$AF$4:$AF$40,$AL$89)))</f>
        <v/>
      </c>
      <c r="AH89" s="131" t="str">
        <f>IF($AL$89="","",IF(INDEX('Final Calculation Sheet'!$AG$4:$AG$40,$AL$89)="","",INDEX('Final Calculation Sheet'!$AG$4:$AG$40,$AL$89)))</f>
        <v/>
      </c>
      <c r="AI89" s="136" t="str">
        <f>IF($AL$89="","",IF(INDEX('Final Calculation Sheet'!$AD$4:$AD$40,$AL$89)&lt;=5,"SETTLED","OUTSTANDING"))</f>
        <v/>
      </c>
      <c r="AL89" t="str">
        <f>IF(COUNTIF($B$4:$AI$4,"&lt;&gt;")=0,"",IFERROR(MATCH(30,$AK$6:$AK$42,0),""))</f>
        <v/>
      </c>
    </row>
    <row r="90" spans="1:38" x14ac:dyDescent="0.25">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2" t="str">
        <f>IF($AL$90="","",IF(INDEX('Final Calculation Sheet'!$AE$4:$AE$40,$AL$90)="","",INDEX('Final Calculation Sheet'!$AE$4:$AE$40,$AL$90)))</f>
        <v/>
      </c>
      <c r="AG90" s="126" t="str">
        <f>IF($AL$90="","",IF(INDEX('Final Calculation Sheet'!$AF$4:$AF$40,$AL$90)="","",INDEX('Final Calculation Sheet'!$AF$4:$AF$40,$AL$90)))</f>
        <v/>
      </c>
      <c r="AH90" s="122" t="str">
        <f>IF($AL$90="","",IF(INDEX('Final Calculation Sheet'!$AG$4:$AG$40,$AL$90)="","",INDEX('Final Calculation Sheet'!$AG$4:$AG$40,$AL$90)))</f>
        <v/>
      </c>
      <c r="AI90" s="127" t="str">
        <f>IF($AL$90="","",IF(INDEX('Final Calculation Sheet'!$AD$4:$AD$40,$AL$90)&lt;=5,"SETTLED","OUTSTANDING"))</f>
        <v/>
      </c>
      <c r="AL90" t="str">
        <f>IF(COUNTIF($B$4:$AI$4,"&lt;&gt;")=0,"",IFERROR(MATCH(31,$AK$6:$AK$42,0),""))</f>
        <v/>
      </c>
    </row>
    <row r="91" spans="1:38" x14ac:dyDescent="0.25">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1" t="str">
        <f>IF($AL$91="","",IF(INDEX('Final Calculation Sheet'!$AE$4:$AE$40,$AL$91)="","",INDEX('Final Calculation Sheet'!$AE$4:$AE$40,$AL$91)))</f>
        <v/>
      </c>
      <c r="AG91" s="135" t="str">
        <f>IF($AL$91="","",IF(INDEX('Final Calculation Sheet'!$AF$4:$AF$40,$AL$91)="","",INDEX('Final Calculation Sheet'!$AF$4:$AF$40,$AL$91)))</f>
        <v/>
      </c>
      <c r="AH91" s="131" t="str">
        <f>IF($AL$91="","",IF(INDEX('Final Calculation Sheet'!$AG$4:$AG$40,$AL$91)="","",INDEX('Final Calculation Sheet'!$AG$4:$AG$40,$AL$91)))</f>
        <v/>
      </c>
      <c r="AI91" s="136" t="str">
        <f>IF($AL$91="","",IF(INDEX('Final Calculation Sheet'!$AD$4:$AD$40,$AL$91)&lt;=5,"SETTLED","OUTSTANDING"))</f>
        <v/>
      </c>
      <c r="AL91" t="str">
        <f>IF(COUNTIF($B$4:$AI$4,"&lt;&gt;")=0,"",IFERROR(MATCH(32,$AK$6:$AK$42,0),""))</f>
        <v/>
      </c>
    </row>
    <row r="92" spans="1:38" x14ac:dyDescent="0.25">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2" t="str">
        <f>IF($AL$92="","",IF(INDEX('Final Calculation Sheet'!$AE$4:$AE$40,$AL$92)="","",INDEX('Final Calculation Sheet'!$AE$4:$AE$40,$AL$92)))</f>
        <v/>
      </c>
      <c r="AG92" s="126" t="str">
        <f>IF($AL$92="","",IF(INDEX('Final Calculation Sheet'!$AF$4:$AF$40,$AL$92)="","",INDEX('Final Calculation Sheet'!$AF$4:$AF$40,$AL$92)))</f>
        <v/>
      </c>
      <c r="AH92" s="122" t="str">
        <f>IF($AL$92="","",IF(INDEX('Final Calculation Sheet'!$AG$4:$AG$40,$AL$92)="","",INDEX('Final Calculation Sheet'!$AG$4:$AG$40,$AL$92)))</f>
        <v/>
      </c>
      <c r="AI92" s="127" t="str">
        <f>IF($AL$92="","",IF(INDEX('Final Calculation Sheet'!$AD$4:$AD$40,$AL$92)&lt;=5,"SETTLED","OUTSTANDING"))</f>
        <v/>
      </c>
      <c r="AL92" t="str">
        <f>IF(COUNTIF($B$4:$AI$4,"&lt;&gt;")=0,"",IFERROR(MATCH(33,$AK$6:$AK$42,0),""))</f>
        <v/>
      </c>
    </row>
    <row r="93" spans="1:38" x14ac:dyDescent="0.25">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1" t="str">
        <f>IF($AL$93="","",IF(INDEX('Final Calculation Sheet'!$AE$4:$AE$40,$AL$93)="","",INDEX('Final Calculation Sheet'!$AE$4:$AE$40,$AL$93)))</f>
        <v/>
      </c>
      <c r="AG93" s="135" t="str">
        <f>IF($AL$93="","",IF(INDEX('Final Calculation Sheet'!$AF$4:$AF$40,$AL$93)="","",INDEX('Final Calculation Sheet'!$AF$4:$AF$40,$AL$93)))</f>
        <v/>
      </c>
      <c r="AH93" s="131" t="str">
        <f>IF($AL$93="","",IF(INDEX('Final Calculation Sheet'!$AG$4:$AG$40,$AL$93)="","",INDEX('Final Calculation Sheet'!$AG$4:$AG$40,$AL$93)))</f>
        <v/>
      </c>
      <c r="AI93" s="136" t="str">
        <f>IF($AL$93="","",IF(INDEX('Final Calculation Sheet'!$AD$4:$AD$40,$AL$93)&lt;=5,"SETTLED","OUTSTANDING"))</f>
        <v/>
      </c>
      <c r="AL93" t="str">
        <f>IF(COUNTIF($B$4:$AI$4,"&lt;&gt;")=0,"",IFERROR(MATCH(34,$AK$6:$AK$42,0),""))</f>
        <v/>
      </c>
    </row>
    <row r="94" spans="1:38" x14ac:dyDescent="0.25">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2" t="str">
        <f>IF($AL$94="","",IF(INDEX('Final Calculation Sheet'!$AE$4:$AE$40,$AL$94)="","",INDEX('Final Calculation Sheet'!$AE$4:$AE$40,$AL$94)))</f>
        <v/>
      </c>
      <c r="AG94" s="126" t="str">
        <f>IF($AL$94="","",IF(INDEX('Final Calculation Sheet'!$AF$4:$AF$40,$AL$94)="","",INDEX('Final Calculation Sheet'!$AF$4:$AF$40,$AL$94)))</f>
        <v/>
      </c>
      <c r="AH94" s="122" t="str">
        <f>IF($AL$94="","",IF(INDEX('Final Calculation Sheet'!$AG$4:$AG$40,$AL$94)="","",INDEX('Final Calculation Sheet'!$AG$4:$AG$40,$AL$94)))</f>
        <v/>
      </c>
      <c r="AI94" s="127" t="str">
        <f>IF($AL$94="","",IF(INDEX('Final Calculation Sheet'!$AD$4:$AD$40,$AL$94)&lt;=5,"SETTLED","OUTSTANDING"))</f>
        <v/>
      </c>
      <c r="AL94" t="str">
        <f>IF(COUNTIF($B$4:$AI$4,"&lt;&gt;")=0,"",IFERROR(MATCH(35,$AK$6:$AK$42,0),""))</f>
        <v/>
      </c>
    </row>
    <row r="95" spans="1:38" x14ac:dyDescent="0.2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1" t="str">
        <f>IF($AL$95="","",IF(INDEX('Final Calculation Sheet'!$AE$4:$AE$40,$AL$95)="","",INDEX('Final Calculation Sheet'!$AE$4:$AE$40,$AL$95)))</f>
        <v/>
      </c>
      <c r="AG95" s="135" t="str">
        <f>IF($AL$95="","",IF(INDEX('Final Calculation Sheet'!$AF$4:$AF$40,$AL$95)="","",INDEX('Final Calculation Sheet'!$AF$4:$AF$40,$AL$95)))</f>
        <v/>
      </c>
      <c r="AH95" s="131" t="str">
        <f>IF($AL$95="","",IF(INDEX('Final Calculation Sheet'!$AG$4:$AG$40,$AL$95)="","",INDEX('Final Calculation Sheet'!$AG$4:$AG$40,$AL$95)))</f>
        <v/>
      </c>
      <c r="AI95" s="136" t="str">
        <f>IF($AL$95="","",IF(INDEX('Final Calculation Sheet'!$AD$4:$AD$40,$AL$95)&lt;=5,"SETTLED","OUTSTANDING"))</f>
        <v/>
      </c>
      <c r="AL95" t="str">
        <f>IF(COUNTIF($B$4:$AI$4,"&lt;&gt;")=0,"",IFERROR(MATCH(36,$AK$6:$AK$42,0),""))</f>
        <v/>
      </c>
    </row>
    <row r="96" spans="1:38" x14ac:dyDescent="0.25">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2" t="str">
        <f>IF($AL$96="","",IF(INDEX('Final Calculation Sheet'!$AE$4:$AE$40,$AL$96)="","",INDEX('Final Calculation Sheet'!$AE$4:$AE$40,$AL$96)))</f>
        <v/>
      </c>
      <c r="AG96" s="126" t="str">
        <f>IF($AL$96="","",IF(INDEX('Final Calculation Sheet'!$AF$4:$AF$40,$AL$96)="","",INDEX('Final Calculation Sheet'!$AF$4:$AF$40,$AL$96)))</f>
        <v/>
      </c>
      <c r="AH96" s="122" t="str">
        <f>IF($AL$96="","",IF(INDEX('Final Calculation Sheet'!$AG$4:$AG$40,$AL$96)="","",INDEX('Final Calculation Sheet'!$AG$4:$AG$40,$AL$96)))</f>
        <v/>
      </c>
      <c r="AI96" s="127" t="str">
        <f>IF($AL$96="","",IF(INDEX('Final Calculation Sheet'!$AD$4:$AD$40,$AL$96)&lt;=5,"SETTLED","OUTSTANDING"))</f>
        <v/>
      </c>
      <c r="AL96" t="str">
        <f>IF(COUNTIF($B$4:$AI$4,"&lt;&gt;")=0,"",IFERROR(MATCH(37,$AK$6:$AK$42,0),""))</f>
        <v/>
      </c>
    </row>
  </sheetData>
  <mergeCells count="2">
    <mergeCell ref="A1:AI1"/>
    <mergeCell ref="A2:AI2"/>
  </mergeCells>
  <conditionalFormatting sqref="AE6:AE57">
    <cfRule type="cellIs" dxfId="39" priority="2" operator="greaterThan">
      <formula>5</formula>
    </cfRule>
  </conditionalFormatting>
  <conditionalFormatting sqref="AI6:AI57">
    <cfRule type="cellIs" dxfId="38" priority="3" operator="equal">
      <formula>"SETTLED"</formula>
    </cfRule>
    <cfRule type="cellIs" dxfId="37" priority="4" operator="equal">
      <formula>"OUTSTANDING"</formula>
    </cfRule>
  </conditionalFormatting>
  <conditionalFormatting sqref="B6:B55">
    <cfRule type="expression" dxfId="36" priority="5">
      <formula>AND(ISNUMBER($A6),$B$4&lt;&gt;"",IF($B$4="(blank)",B6="",IF($B$4="(nonblank)",B6&lt;&gt;"",ISNUMBER(SEARCH($B$4,B6)))))</formula>
    </cfRule>
  </conditionalFormatting>
  <conditionalFormatting sqref="C6:C55">
    <cfRule type="expression" dxfId="35" priority="6">
      <formula>AND(ISNUMBER($A6),$C$4&lt;&gt;"",IF($C$4="(blank)",C6="",IF($C$4="(nonblank)",C6&lt;&gt;"",ISNUMBER(SEARCH($C$4,C6)))))</formula>
    </cfRule>
  </conditionalFormatting>
  <conditionalFormatting sqref="D6:D55">
    <cfRule type="expression" dxfId="34" priority="7">
      <formula>AND(ISNUMBER($A6),$D$4&lt;&gt;"",IF($D$4="(blank)",D6="",IF($D$4="(nonblank)",D6&lt;&gt;"",ISNUMBER(SEARCH($D$4,D6)))))</formula>
    </cfRule>
  </conditionalFormatting>
  <conditionalFormatting sqref="E6:E55">
    <cfRule type="expression" dxfId="33" priority="8">
      <formula>AND(ISNUMBER($A6),$E$4&lt;&gt;"",IF($E$4="(blank)",E6="",IF($E$4="(nonblank)",E6&lt;&gt;"",ISNUMBER(SEARCH($E$4,E6)))))</formula>
    </cfRule>
  </conditionalFormatting>
  <conditionalFormatting sqref="F6:F55">
    <cfRule type="expression" dxfId="32" priority="9">
      <formula>AND(ISNUMBER($A6),$F$4&lt;&gt;"",IF($F$4="(blank)",F6="",IF($F$4="(nonblank)",F6&lt;&gt;"",ISNUMBER(SEARCH($F$4,F6)))))</formula>
    </cfRule>
  </conditionalFormatting>
  <conditionalFormatting sqref="G6:G55">
    <cfRule type="expression" dxfId="31" priority="10">
      <formula>AND(ISNUMBER($A6),$G$4&lt;&gt;"",IF($G$4="(blank)",G6="",IF($G$4="(nonblank)",G6&lt;&gt;"",ISNUMBER(SEARCH($G$4,G6)))))</formula>
    </cfRule>
  </conditionalFormatting>
  <conditionalFormatting sqref="H6:H55">
    <cfRule type="expression" dxfId="30" priority="11">
      <formula>AND(ISNUMBER($A6),$H$4&lt;&gt;"",IF($H$4="(blank)",H6="",IF($H$4="(nonblank)",H6&lt;&gt;"",ISNUMBER(SEARCH($H$4,H6)))))</formula>
    </cfRule>
  </conditionalFormatting>
  <conditionalFormatting sqref="I6:I55">
    <cfRule type="expression" dxfId="29" priority="12">
      <formula>AND(ISNUMBER($A6),$I$4&lt;&gt;"",IF($I$4="(blank)",I6="",IF($I$4="(nonblank)",I6&lt;&gt;"",ISNUMBER(SEARCH($I$4,I6)))))</formula>
    </cfRule>
  </conditionalFormatting>
  <conditionalFormatting sqref="J6:J55">
    <cfRule type="expression" dxfId="28" priority="13">
      <formula>AND(ISNUMBER($A6),$J$4&lt;&gt;"",IF($J$4="(blank)",J6="",IF($J$4="(nonblank)",J6&lt;&gt;"",ISNUMBER(SEARCH($J$4,J6)))))</formula>
    </cfRule>
  </conditionalFormatting>
  <conditionalFormatting sqref="K6:K55">
    <cfRule type="expression" dxfId="27" priority="14">
      <formula>AND(ISNUMBER($A6),$K$4&lt;&gt;"",IF($K$4="(blank)",K6="",IF($K$4="(nonblank)",K6&lt;&gt;"",ISNUMBER(SEARCH($K$4,K6)))))</formula>
    </cfRule>
  </conditionalFormatting>
  <conditionalFormatting sqref="L6:L55">
    <cfRule type="expression" dxfId="26" priority="15">
      <formula>AND(ISNUMBER($A6),$L$4&lt;&gt;"",IF($L$4="(blank)",L6="",IF($L$4="(nonblank)",L6&lt;&gt;"",ISNUMBER(SEARCH($L$4,L6)))))</formula>
    </cfRule>
  </conditionalFormatting>
  <conditionalFormatting sqref="M6:M55">
    <cfRule type="expression" dxfId="25" priority="16">
      <formula>AND(ISNUMBER($A6),$M$4&lt;&gt;"",IF($M$4="(blank)",M6="",IF($M$4="(nonblank)",M6&lt;&gt;"",ISNUMBER(SEARCH($M$4,M6)))))</formula>
    </cfRule>
  </conditionalFormatting>
  <conditionalFormatting sqref="N6:N55">
    <cfRule type="expression" dxfId="24" priority="17">
      <formula>AND(ISNUMBER($A6),$N$4&lt;&gt;"",IF($N$4="(blank)",N6="",IF($N$4="(nonblank)",N6&lt;&gt;"",ISNUMBER(SEARCH($N$4,N6)))))</formula>
    </cfRule>
  </conditionalFormatting>
  <conditionalFormatting sqref="O6:O55">
    <cfRule type="expression" dxfId="23" priority="18">
      <formula>AND(ISNUMBER($A6),$O$4&lt;&gt;"",IF($O$4="(blank)",O6="",IF($O$4="(nonblank)",O6&lt;&gt;"",ISNUMBER(SEARCH($O$4,O6)))))</formula>
    </cfRule>
  </conditionalFormatting>
  <conditionalFormatting sqref="P6:P55">
    <cfRule type="expression" dxfId="22" priority="19">
      <formula>AND(ISNUMBER($A6),$P$4&lt;&gt;"",IF($P$4="(blank)",P6="",IF($P$4="(nonblank)",P6&lt;&gt;"",ISNUMBER(SEARCH($P$4,P6)))))</formula>
    </cfRule>
  </conditionalFormatting>
  <conditionalFormatting sqref="Q6:Q55">
    <cfRule type="expression" dxfId="21" priority="20">
      <formula>AND(ISNUMBER($A6),$Q$4&lt;&gt;"",IF($Q$4="(blank)",Q6="",IF($Q$4="(nonblank)",Q6&lt;&gt;"",ISNUMBER(SEARCH($Q$4,Q6)))))</formula>
    </cfRule>
  </conditionalFormatting>
  <conditionalFormatting sqref="R6:R55">
    <cfRule type="expression" dxfId="20" priority="21">
      <formula>AND(ISNUMBER($A6),$R$4&lt;&gt;"",IF($R$4="(blank)",R6="",IF($R$4="(nonblank)",R6&lt;&gt;"",ISNUMBER(SEARCH($R$4,R6)))))</formula>
    </cfRule>
  </conditionalFormatting>
  <conditionalFormatting sqref="S6:S55">
    <cfRule type="expression" dxfId="19" priority="22">
      <formula>AND(ISNUMBER($A6),$S$4&lt;&gt;"",IF($S$4="(blank)",S6="",IF($S$4="(nonblank)",S6&lt;&gt;"",ISNUMBER(SEARCH($S$4,S6)))))</formula>
    </cfRule>
  </conditionalFormatting>
  <conditionalFormatting sqref="T6:T55">
    <cfRule type="expression" dxfId="18" priority="23">
      <formula>AND(ISNUMBER($A6),$T$4&lt;&gt;"",IF($T$4="(blank)",T6="",IF($T$4="(nonblank)",T6&lt;&gt;"",ISNUMBER(SEARCH($T$4,T6)))))</formula>
    </cfRule>
  </conditionalFormatting>
  <conditionalFormatting sqref="U6:U55">
    <cfRule type="expression" dxfId="17" priority="24">
      <formula>AND(ISNUMBER($A6),$U$4&lt;&gt;"",IF($U$4="(blank)",U6="",IF($U$4="(nonblank)",U6&lt;&gt;"",ISNUMBER(SEARCH($U$4,U6)))))</formula>
    </cfRule>
  </conditionalFormatting>
  <conditionalFormatting sqref="V6:V55">
    <cfRule type="expression" dxfId="16" priority="25">
      <formula>AND(ISNUMBER($A6),$V$4&lt;&gt;"",IF($V$4="(blank)",V6="",IF($V$4="(nonblank)",V6&lt;&gt;"",ISNUMBER(SEARCH($V$4,V6)))))</formula>
    </cfRule>
  </conditionalFormatting>
  <conditionalFormatting sqref="W6:W55">
    <cfRule type="expression" dxfId="15" priority="26">
      <formula>AND(ISNUMBER($A6),$W$4&lt;&gt;"",IF($W$4="(blank)",W6="",IF($W$4="(nonblank)",W6&lt;&gt;"",ISNUMBER(SEARCH($W$4,W6)))))</formula>
    </cfRule>
  </conditionalFormatting>
  <conditionalFormatting sqref="X6:X55">
    <cfRule type="expression" dxfId="14" priority="27">
      <formula>AND(ISNUMBER($A6),$X$4&lt;&gt;"",IF($X$4="(blank)",X6="",IF($X$4="(nonblank)",X6&lt;&gt;"",ISNUMBER(SEARCH($X$4,X6)))))</formula>
    </cfRule>
  </conditionalFormatting>
  <conditionalFormatting sqref="Y6:Y55">
    <cfRule type="expression" dxfId="13" priority="28">
      <formula>AND(ISNUMBER($A6),$Y$4&lt;&gt;"",IF($Y$4="(blank)",Y6="",IF($Y$4="(nonblank)",Y6&lt;&gt;"",ISNUMBER(SEARCH($Y$4,Y6)))))</formula>
    </cfRule>
  </conditionalFormatting>
  <conditionalFormatting sqref="Z6:Z55">
    <cfRule type="expression" dxfId="12" priority="29">
      <formula>AND(ISNUMBER($A6),$Z$4&lt;&gt;"",IF($Z$4="(blank)",Z6="",IF($Z$4="(nonblank)",Z6&lt;&gt;"",ISNUMBER(SEARCH($Z$4,Z6)))))</formula>
    </cfRule>
  </conditionalFormatting>
  <conditionalFormatting sqref="AA6:AA55">
    <cfRule type="expression" dxfId="11" priority="30">
      <formula>AND(ISNUMBER($A6),$AA$4&lt;&gt;"",IF($AA$4="(blank)",AA6="",IF($AA$4="(nonblank)",AA6&lt;&gt;"",ISNUMBER(SEARCH($AA$4,AA6)))))</formula>
    </cfRule>
  </conditionalFormatting>
  <conditionalFormatting sqref="AB6:AB55">
    <cfRule type="expression" dxfId="10" priority="31">
      <formula>AND(ISNUMBER($A6),$AB$4&lt;&gt;"",IF($AB$4="(blank)",AB6="",IF($AB$4="(nonblank)",AB6&lt;&gt;"",ISNUMBER(SEARCH($AB$4,AB6)))))</formula>
    </cfRule>
  </conditionalFormatting>
  <conditionalFormatting sqref="AC6:AC55">
    <cfRule type="expression" dxfId="9" priority="32">
      <formula>AND(ISNUMBER($A6),$AC$4&lt;&gt;"",IF($AC$4="(blank)",AC6="",IF($AC$4="(nonblank)",AC6&lt;&gt;"",ISNUMBER(SEARCH($AC$4,AC6)))))</formula>
    </cfRule>
  </conditionalFormatting>
  <conditionalFormatting sqref="AD6:AD55">
    <cfRule type="expression" dxfId="8" priority="33">
      <formula>AND(ISNUMBER($A6),$AD$4&lt;&gt;"",IF($AD$4="(blank)",AD6="",IF($AD$4="(nonblank)",AD6&lt;&gt;"",ISNUMBER(SEARCH($AD$4,AD6)))))</formula>
    </cfRule>
  </conditionalFormatting>
  <conditionalFormatting sqref="AE6:AE55">
    <cfRule type="expression" dxfId="7" priority="34">
      <formula>AND(ISNUMBER($A6),$AE$4&lt;&gt;"",IF($AE$4="(blank)",AE6="",IF($AE$4="(nonblank)",AE6&lt;&gt;"",ISNUMBER(SEARCH($AE$4,AE6)))))</formula>
    </cfRule>
  </conditionalFormatting>
  <conditionalFormatting sqref="AF6:AF55">
    <cfRule type="expression" dxfId="6" priority="35">
      <formula>AND(ISNUMBER($A6),$AF$4&lt;&gt;"",IF($AF$4="(blank)",AF6="",IF($AF$4="(nonblank)",AF6&lt;&gt;"",ISNUMBER(SEARCH($AF$4,AF6)))))</formula>
    </cfRule>
  </conditionalFormatting>
  <conditionalFormatting sqref="AG6:AG55">
    <cfRule type="expression" dxfId="5" priority="36">
      <formula>AND(ISNUMBER($A6),$AG$4&lt;&gt;"",IF($AG$4="(blank)",AG6="",IF($AG$4="(nonblank)",AG6&lt;&gt;"",ISNUMBER(SEARCH($AG$4,AG6)))))</formula>
    </cfRule>
  </conditionalFormatting>
  <conditionalFormatting sqref="AH6:AH55">
    <cfRule type="expression" dxfId="4" priority="37">
      <formula>AND(ISNUMBER($A6),$AH$4&lt;&gt;"",IF($AH$4="(blank)",AH6="",IF($AH$4="(nonblank)",AH6&lt;&gt;"",ISNUMBER(SEARCH($AH$4,AH6)))))</formula>
    </cfRule>
  </conditionalFormatting>
  <conditionalFormatting sqref="AI6:AI55">
    <cfRule type="expression" dxfId="3" priority="38">
      <formula>AND(ISNUMBER($A6),$AI$4&lt;&gt;"",IF($AI$4="(blank)",AI6="",IF($AI$4="(nonblank)",AI6&lt;&gt;"",ISNUMBER(SEARCH($AI$4,AI6)))))</formula>
    </cfRule>
  </conditionalFormatting>
  <conditionalFormatting sqref="AI60:AI96">
    <cfRule type="cellIs" dxfId="2" priority="39" operator="equal">
      <formula>"SETTLED"</formula>
    </cfRule>
    <cfRule type="cellIs" dxfId="1" priority="40" operator="equal">
      <formula>"OUTSTANDING"</formula>
    </cfRule>
  </conditionalFormatting>
  <conditionalFormatting sqref="AE60:AE96">
    <cfRule type="cellIs" dxfId="0" priority="41" operator="greaterThan">
      <formula>5</formula>
    </cfRule>
  </conditionalFormatting>
  <dataValidations count="34">
    <dataValidation type="list" sqref="B4" xr:uid="{00000000-0002-0000-0200-000000000000}">
      <formula1>SUGN_B</formula1>
      <formula2>0</formula2>
    </dataValidation>
    <dataValidation type="list" sqref="C4" xr:uid="{00000000-0002-0000-0200-000001000000}">
      <formula1>SUGN_C</formula1>
      <formula2>0</formula2>
    </dataValidation>
    <dataValidation type="list" sqref="D4" xr:uid="{00000000-0002-0000-0200-000002000000}">
      <formula1>SUGN_D</formula1>
      <formula2>0</formula2>
    </dataValidation>
    <dataValidation type="list" sqref="E4" xr:uid="{00000000-0002-0000-0200-000003000000}">
      <formula1>SUGN_E</formula1>
      <formula2>0</formula2>
    </dataValidation>
    <dataValidation type="list" sqref="F4" xr:uid="{00000000-0002-0000-0200-000004000000}">
      <formula1>SUGN_F</formula1>
      <formula2>0</formula2>
    </dataValidation>
    <dataValidation type="list" sqref="G4" xr:uid="{00000000-0002-0000-0200-000005000000}">
      <formula1>SUGN_G</formula1>
      <formula2>0</formula2>
    </dataValidation>
    <dataValidation type="list" sqref="H4" xr:uid="{00000000-0002-0000-0200-000006000000}">
      <formula1>SUGN_H</formula1>
      <formula2>0</formula2>
    </dataValidation>
    <dataValidation type="list" sqref="I4" xr:uid="{00000000-0002-0000-0200-000007000000}">
      <formula1>SUGN_I</formula1>
      <formula2>0</formula2>
    </dataValidation>
    <dataValidation type="list" sqref="J4" xr:uid="{00000000-0002-0000-0200-000008000000}">
      <formula1>SUGN_J</formula1>
      <formula2>0</formula2>
    </dataValidation>
    <dataValidation type="list" sqref="K4" xr:uid="{00000000-0002-0000-0200-000009000000}">
      <formula1>SUGN_K</formula1>
      <formula2>0</formula2>
    </dataValidation>
    <dataValidation type="list" sqref="L4" xr:uid="{00000000-0002-0000-0200-00000A000000}">
      <formula1>SUGN_L</formula1>
      <formula2>0</formula2>
    </dataValidation>
    <dataValidation type="list" sqref="M4" xr:uid="{00000000-0002-0000-0200-00000B000000}">
      <formula1>SUGN_M</formula1>
      <formula2>0</formula2>
    </dataValidation>
    <dataValidation type="list" sqref="N4" xr:uid="{00000000-0002-0000-0200-00000C000000}">
      <formula1>SUGN_N</formula1>
      <formula2>0</formula2>
    </dataValidation>
    <dataValidation type="list" sqref="O4" xr:uid="{00000000-0002-0000-0200-00000D000000}">
      <formula1>SUGN_O</formula1>
      <formula2>0</formula2>
    </dataValidation>
    <dataValidation type="list" sqref="P4" xr:uid="{00000000-0002-0000-0200-00000E000000}">
      <formula1>SUGN_P</formula1>
      <formula2>0</formula2>
    </dataValidation>
    <dataValidation type="list" sqref="Q4" xr:uid="{00000000-0002-0000-0200-00000F000000}">
      <formula1>SUGN_Q</formula1>
      <formula2>0</formula2>
    </dataValidation>
    <dataValidation type="list" sqref="R4" xr:uid="{00000000-0002-0000-0200-000010000000}">
      <formula1>SUGN_R</formula1>
      <formula2>0</formula2>
    </dataValidation>
    <dataValidation type="list" sqref="S4" xr:uid="{00000000-0002-0000-0200-000011000000}">
      <formula1>SUGN_S</formula1>
      <formula2>0</formula2>
    </dataValidation>
    <dataValidation type="list" sqref="T4" xr:uid="{00000000-0002-0000-0200-000012000000}">
      <formula1>SUGN_T</formula1>
      <formula2>0</formula2>
    </dataValidation>
    <dataValidation type="list" sqref="U4" xr:uid="{00000000-0002-0000-0200-000013000000}">
      <formula1>SUGN_U</formula1>
      <formula2>0</formula2>
    </dataValidation>
    <dataValidation type="list" sqref="V4" xr:uid="{00000000-0002-0000-0200-000014000000}">
      <formula1>SUGN_V</formula1>
      <formula2>0</formula2>
    </dataValidation>
    <dataValidation type="list" sqref="W4" xr:uid="{00000000-0002-0000-0200-000015000000}">
      <formula1>SUGN_W</formula1>
      <formula2>0</formula2>
    </dataValidation>
    <dataValidation type="list" sqref="X4" xr:uid="{00000000-0002-0000-0200-000016000000}">
      <formula1>SUGN_X</formula1>
      <formula2>0</formula2>
    </dataValidation>
    <dataValidation type="list" sqref="Y4" xr:uid="{00000000-0002-0000-0200-000017000000}">
      <formula1>SUGN_Y</formula1>
      <formula2>0</formula2>
    </dataValidation>
    <dataValidation type="list" sqref="Z4" xr:uid="{00000000-0002-0000-0200-000018000000}">
      <formula1>SUGN_Z</formula1>
      <formula2>0</formula2>
    </dataValidation>
    <dataValidation type="list" sqref="AA4" xr:uid="{00000000-0002-0000-0200-000019000000}">
      <formula1>SUGN_AA</formula1>
      <formula2>0</formula2>
    </dataValidation>
    <dataValidation type="list" sqref="AB4" xr:uid="{00000000-0002-0000-0200-00001A000000}">
      <formula1>SUGN_AB</formula1>
      <formula2>0</formula2>
    </dataValidation>
    <dataValidation type="list" sqref="AC4" xr:uid="{00000000-0002-0000-0200-00001B000000}">
      <formula1>SUGN_AC</formula1>
      <formula2>0</formula2>
    </dataValidation>
    <dataValidation type="list" sqref="AD4" xr:uid="{00000000-0002-0000-0200-00001C000000}">
      <formula1>SUGN_AD</formula1>
      <formula2>0</formula2>
    </dataValidation>
    <dataValidation type="list" sqref="AE4" xr:uid="{00000000-0002-0000-0200-00001D000000}">
      <formula1>SUGN_AE</formula1>
      <formula2>0</formula2>
    </dataValidation>
    <dataValidation type="list" sqref="AF4" xr:uid="{00000000-0002-0000-0200-00001E000000}">
      <formula1>SUGN_AF</formula1>
      <formula2>0</formula2>
    </dataValidation>
    <dataValidation type="list" sqref="AG4" xr:uid="{00000000-0002-0000-0200-00001F000000}">
      <formula1>SUGN_AG</formula1>
      <formula2>0</formula2>
    </dataValidation>
    <dataValidation type="list" sqref="AH4" xr:uid="{00000000-0002-0000-0200-000020000000}">
      <formula1>SUGN_AH</formula1>
      <formula2>0</formula2>
    </dataValidation>
    <dataValidation type="list" sqref="AI4" xr:uid="{00000000-0002-0000-0200-000021000000}">
      <formula1>SUGN_AI</formula1>
      <formula2>0</formula2>
    </dataValidation>
  </dataValidation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X114"/>
  <sheetViews>
    <sheetView zoomScaleNormal="100" workbookViewId="0"/>
  </sheetViews>
  <sheetFormatPr defaultColWidth="8.7109375" defaultRowHeight="15" x14ac:dyDescent="0.25"/>
  <cols>
    <col min="1" max="1" width="30" customWidth="1"/>
    <col min="5" max="6" width="30" customWidth="1"/>
    <col min="10" max="11" width="30" customWidth="1"/>
    <col min="15" max="16" width="30" customWidth="1"/>
    <col min="20" max="21" width="30" customWidth="1"/>
    <col min="25" max="26" width="30" customWidth="1"/>
    <col min="30" max="31" width="30" customWidth="1"/>
    <col min="35" max="36" width="30" customWidth="1"/>
    <col min="40" max="41" width="30" customWidth="1"/>
    <col min="45" max="46" width="30" customWidth="1"/>
    <col min="50" max="51" width="30" customWidth="1"/>
    <col min="55" max="56" width="30" customWidth="1"/>
    <col min="60" max="61" width="30" customWidth="1"/>
    <col min="65" max="66" width="30" customWidth="1"/>
    <col min="70" max="71" width="30" customWidth="1"/>
    <col min="75" max="76" width="30" customWidth="1"/>
    <col min="80" max="81" width="30" customWidth="1"/>
    <col min="85" max="86" width="30" customWidth="1"/>
    <col min="90" max="91" width="30" customWidth="1"/>
    <col min="95" max="96" width="30" customWidth="1"/>
    <col min="100" max="101" width="30" customWidth="1"/>
    <col min="105" max="106" width="30" customWidth="1"/>
    <col min="110" max="111" width="30" customWidth="1"/>
    <col min="115" max="116" width="30" customWidth="1"/>
    <col min="120" max="121" width="30" customWidth="1"/>
    <col min="125" max="126" width="30" customWidth="1"/>
    <col min="130" max="131" width="30" customWidth="1"/>
    <col min="135" max="136" width="30" customWidth="1"/>
    <col min="140" max="141" width="30" customWidth="1"/>
    <col min="145" max="146" width="30" customWidth="1"/>
    <col min="150" max="151" width="30" customWidth="1"/>
    <col min="155" max="156" width="30" customWidth="1"/>
    <col min="160" max="161" width="30" customWidth="1"/>
    <col min="165" max="166" width="30" customWidth="1"/>
    <col min="170" max="171" width="30" customWidth="1"/>
    <col min="175" max="176" width="30" customWidth="1"/>
    <col min="180" max="180" width="30" customWidth="1"/>
  </cols>
  <sheetData>
    <row r="1" spans="1:180" x14ac:dyDescent="0.25">
      <c r="A1" t="s">
        <v>166</v>
      </c>
    </row>
    <row r="3" spans="1:180" x14ac:dyDescent="0.25">
      <c r="A3" t="s">
        <v>167</v>
      </c>
      <c r="F3" t="s">
        <v>168</v>
      </c>
      <c r="K3" t="s">
        <v>169</v>
      </c>
      <c r="P3" t="s">
        <v>170</v>
      </c>
      <c r="U3" t="s">
        <v>171</v>
      </c>
      <c r="Z3" t="s">
        <v>172</v>
      </c>
      <c r="AE3" t="s">
        <v>173</v>
      </c>
      <c r="AJ3" t="s">
        <v>174</v>
      </c>
      <c r="AO3" t="s">
        <v>175</v>
      </c>
      <c r="AT3" t="s">
        <v>176</v>
      </c>
      <c r="AY3" t="s">
        <v>177</v>
      </c>
      <c r="BD3" t="s">
        <v>178</v>
      </c>
      <c r="BI3" t="s">
        <v>179</v>
      </c>
      <c r="BN3" t="s">
        <v>180</v>
      </c>
      <c r="BS3" t="s">
        <v>181</v>
      </c>
      <c r="BX3" t="s">
        <v>182</v>
      </c>
      <c r="CC3" t="s">
        <v>183</v>
      </c>
      <c r="CH3" t="s">
        <v>184</v>
      </c>
      <c r="CM3" t="s">
        <v>185</v>
      </c>
      <c r="CR3" t="s">
        <v>186</v>
      </c>
      <c r="CW3" t="s">
        <v>187</v>
      </c>
      <c r="DB3" t="s">
        <v>188</v>
      </c>
      <c r="DG3" t="s">
        <v>189</v>
      </c>
      <c r="DL3" t="s">
        <v>190</v>
      </c>
      <c r="DQ3" t="s">
        <v>191</v>
      </c>
      <c r="DV3" t="s">
        <v>192</v>
      </c>
      <c r="EA3" t="s">
        <v>193</v>
      </c>
      <c r="EF3" t="s">
        <v>194</v>
      </c>
      <c r="EK3" t="s">
        <v>195</v>
      </c>
      <c r="EP3" t="s">
        <v>196</v>
      </c>
      <c r="EU3" t="s">
        <v>197</v>
      </c>
      <c r="EZ3" t="s">
        <v>198</v>
      </c>
      <c r="FE3" t="s">
        <v>199</v>
      </c>
      <c r="FJ3" t="s">
        <v>200</v>
      </c>
      <c r="FO3" t="s">
        <v>201</v>
      </c>
      <c r="FT3" t="s">
        <v>202</v>
      </c>
    </row>
    <row r="4" spans="1:180" x14ac:dyDescent="0.25">
      <c r="A4">
        <f>IF('Final Calculation Sheet'!$F$4="","",'Final Calculation Sheet'!$F$4)</f>
        <v>1763</v>
      </c>
      <c r="B4" s="137">
        <f>IF(A4="","",COUNTIFS(A$4:A$114,"&lt;"&amp;A4,A$4:A$114,"&lt;&gt;"&amp;"")+COUNTIF(A$4:A4,A4))</f>
        <v>1</v>
      </c>
      <c r="C4" s="137">
        <f t="shared" ref="C4:C35" si="0">IF(ROW()-3&gt;COUNTIF(A$4:A$114,"&lt;&gt;"&amp;""),"",INDEX(A$4:A$114,MATCH(ROW()-3,B$4:B$114,0)))</f>
        <v>1763</v>
      </c>
      <c r="D4" s="137">
        <f>IF(AND(C4&lt;&gt;"",COUNTIF(C$4:C4,C4)=1),1,0)</f>
        <v>1</v>
      </c>
      <c r="E4" t="e">
        <f t="shared" ref="E4:E35" si="1">IF(ROW()-3&gt;MAX(D$4:D$114),"",INDEX(C$4:C$114,MATCH(ROW()-3,D$4:D$114,0)))</f>
        <v>#N/A</v>
      </c>
      <c r="F4">
        <f t="shared" ref="F4:F40" si="2">ROW()-3</f>
        <v>1</v>
      </c>
      <c r="G4" s="137">
        <f>IF(F4="","",COUNTIFS(F$4:F$40,"&lt;"&amp;F4,F$4:F$40,"&lt;&gt;"&amp;"")+COUNTIF(F$4:F4,F4))</f>
        <v>1</v>
      </c>
      <c r="H4" s="137">
        <f t="shared" ref="H4:H40" si="3">IF(ROW()-3&gt;COUNTIF(F$4:F$40,"&lt;&gt;"&amp;""),"",INDEX(F$4:F$40,MATCH(ROW()-3,G$4:G$40,0)))</f>
        <v>1</v>
      </c>
      <c r="I4" s="137">
        <f>IF(AND(H4&lt;&gt;"",COUNTIF(H$4:H4,H4)=1),1,0)</f>
        <v>1</v>
      </c>
      <c r="J4">
        <f t="shared" ref="J4:J40" si="4">IF(ROW()-3&gt;MAX(I$4:I$40),"",INDEX(H$4:H$40,MATCH(ROW()-3,I$4:I$40,0)))</f>
        <v>1</v>
      </c>
      <c r="K4">
        <f>IF('Final Calculation Sheet'!$F$4="","",'Final Calculation Sheet'!$F$4)</f>
        <v>1763</v>
      </c>
      <c r="L4" s="137">
        <f>IF(K4="","",COUNTIFS(K$4:K$40,"&lt;"&amp;K4,K$4:K$40,"&lt;&gt;"&amp;"")+COUNTIF(K$4:K4,K4))</f>
        <v>1</v>
      </c>
      <c r="M4" s="137">
        <f t="shared" ref="M4:M40" si="5">IF(ROW()-3&gt;COUNTIF(K$4:K$40,"&lt;&gt;"&amp;""),"",INDEX(K$4:K$40,MATCH(ROW()-3,L$4:L$40,0)))</f>
        <v>1763</v>
      </c>
      <c r="N4" s="137">
        <f>IF(AND(M4&lt;&gt;"",COUNTIF(M$4:M4,M4)=1),1,0)</f>
        <v>1</v>
      </c>
      <c r="O4">
        <f t="shared" ref="O4:O40" si="6">IF(ROW()-3&gt;MAX(N$4:N$40),"",INDEX(M$4:M$40,MATCH(ROW()-3,N$4:N$40,0)))</f>
        <v>1763</v>
      </c>
      <c r="P4" t="str">
        <f>IF('Final Calculation Sheet'!$G$4="","",'Final Calculation Sheet'!$G$4)</f>
        <v>AL HAMD TRADE CORPORATION</v>
      </c>
      <c r="Q4" s="137">
        <f>IF(P4="","",COUNTIFS(P$4:P$40,"&lt;"&amp;P4,P$4:P$40,"&lt;&gt;"&amp;"")+COUNTIF(P$4:P4,P4))</f>
        <v>1</v>
      </c>
      <c r="R4" t="str">
        <f t="shared" ref="R4:R40" si="7">IF(ROW()-3&gt;COUNTIF(P$4:P$40,"&lt;&gt;"&amp;""),"",INDEX(P$4:P$40,MATCH(ROW()-3,Q$4:Q$40,0)))</f>
        <v>AL HAMD TRADE CORPORATION</v>
      </c>
      <c r="S4" s="137">
        <f>IF(AND(R4&lt;&gt;"",COUNTIF(R$4:R4,R4)=1),1,0)</f>
        <v>1</v>
      </c>
      <c r="T4" t="str">
        <f t="shared" ref="T4:T40" si="8">IF(ROW()-3&gt;MAX(S$4:S$40),"",INDEX(R$4:R$40,MATCH(ROW()-3,S$4:S$40,0)))</f>
        <v>AL HAMD TRADE CORPORATION</v>
      </c>
      <c r="U4" t="str">
        <f>IF('Final Calculation Sheet'!$B$4="","",'Final Calculation Sheet'!$B$4)</f>
        <v>SCRAP COPPER OF T/F WINDING (Oil impregnated paper insulated T/F winding)</v>
      </c>
      <c r="V4" s="137">
        <f>IF(U4="","",COUNTIFS(U$4:U$40,"&lt;"&amp;U4,U$4:U$40,"&lt;&gt;"&amp;"")+COUNTIF(U$4:U4,U4))</f>
        <v>4</v>
      </c>
      <c r="W4" t="str">
        <f t="shared" ref="W4:W40" si="9">IF(ROW()-3&gt;COUNTIF(U$4:U$40,"&lt;&gt;"&amp;""),"",INDEX(U$4:U$40,MATCH(ROW()-3,V$4:V$40,0)))</f>
        <v>Mix Scrap (Tower angles &amp; 0.2 ACSR Condutor pieces)</v>
      </c>
      <c r="X4" s="137">
        <f>IF(AND(W4&lt;&gt;"",COUNTIF(W$4:W4,W4)=1),1,0)</f>
        <v>1</v>
      </c>
      <c r="Y4" t="str">
        <f t="shared" ref="Y4:Y40" si="10">IF(ROW()-3&gt;MAX(X$4:X$40),"",INDEX(W$4:W$40,MATCH(ROW()-3,X$4:X$40,0)))</f>
        <v>Mix Scrap (Tower angles &amp; 0.2 ACSR Condutor pieces)</v>
      </c>
      <c r="Z4">
        <f>IF('Final Calculation Sheet'!$D$4="","",'Final Calculation Sheet'!$D$4)</f>
        <v>21980</v>
      </c>
      <c r="AA4" s="137">
        <f>IF(Z4="","",COUNTIFS(Z$4:Z$40,"&lt;"&amp;Z4,Z$4:Z$40,"&lt;&gt;"&amp;"")+COUNTIF(Z$4:Z4,Z4))</f>
        <v>30</v>
      </c>
      <c r="AB4" s="137">
        <f t="shared" ref="AB4:AB40" si="11">IF(ROW()-3&gt;COUNTIF(Z$4:Z$40,"&lt;&gt;"&amp;""),"",INDEX(Z$4:Z$40,MATCH(ROW()-3,AA$4:AA$40,0)))</f>
        <v>21977</v>
      </c>
      <c r="AC4" s="137">
        <f>IF(AND(AB4&lt;&gt;"",COUNTIF(AB$4:AB4,AB4)=1),1,0)</f>
        <v>1</v>
      </c>
      <c r="AD4">
        <f t="shared" ref="AD4:AD40" si="12">IF(ROW()-3&gt;MAX(AC$4:AC$40),"",INDEX(AB$4:AB$40,MATCH(ROW()-3,AC$4:AC$40,0)))</f>
        <v>21977</v>
      </c>
      <c r="AE4">
        <f>IF('Final Calculation Sheet'!$A$4="","",'Final Calculation Sheet'!$A$4)</f>
        <v>669</v>
      </c>
      <c r="AF4" s="137">
        <f>IF(AE4="","",COUNTIFS(AE$4:AE$40,"&lt;"&amp;AE4,AE$4:AE$40,"&lt;&gt;"&amp;"")+COUNTIF(AE$4:AE4,AE4))</f>
        <v>32</v>
      </c>
      <c r="AG4" s="137">
        <f t="shared" ref="AG4:AG40" si="13">IF(ROW()-3&gt;COUNTIF(AE$4:AE$40,"&lt;&gt;"&amp;""),"",INDEX(AE$4:AE$40,MATCH(ROW()-3,AF$4:AF$40,0)))</f>
        <v>1</v>
      </c>
      <c r="AH4" s="137">
        <f>IF(AND(AG4&lt;&gt;"",COUNTIF(AG$4:AG4,AG4)=1),1,0)</f>
        <v>1</v>
      </c>
      <c r="AI4">
        <f t="shared" ref="AI4:AI40" si="14">IF(ROW()-3&gt;MAX(AH$4:AH$40),"",INDEX(AG$4:AG$40,MATCH(ROW()-3,AH$4:AH$40,0)))</f>
        <v>1</v>
      </c>
      <c r="AJ4" t="str">
        <f>IF('Final Calculation Sheet'!$E$4="","",'Final Calculation Sheet'!$E$4)</f>
        <v>KG</v>
      </c>
      <c r="AK4" s="137">
        <f>IF(AJ4="","",COUNTIFS(AJ$4:AJ$40,"&lt;"&amp;AJ4,AJ$4:AJ$40,"&lt;&gt;"&amp;"")+COUNTIF(AJ$4:AJ4,AJ4))</f>
        <v>1</v>
      </c>
      <c r="AL4" t="str">
        <f t="shared" ref="AL4:AL40" si="15">IF(ROW()-3&gt;COUNTIF(AJ$4:AJ$40,"&lt;&gt;"&amp;""),"",INDEX(AJ$4:AJ$40,MATCH(ROW()-3,AK$4:AK$40,0)))</f>
        <v>KG</v>
      </c>
      <c r="AM4" s="137">
        <f>IF(AND(AL4&lt;&gt;"",COUNTIF(AL$4:AL4,AL4)=1),1,0)</f>
        <v>1</v>
      </c>
      <c r="AN4" t="str">
        <f t="shared" ref="AN4:AN40" si="16">IF(ROW()-3&gt;MAX(AM$4:AM$40),"",INDEX(AL$4:AL$40,MATCH(ROW()-3,AM$4:AM$40,0)))</f>
        <v>KG</v>
      </c>
      <c r="AO4" s="55">
        <f>IF('Final Calculation Sheet'!$C$4="","",'Final Calculation Sheet'!$C$4)</f>
        <v>1181</v>
      </c>
      <c r="AP4" s="137">
        <f>IF(AO4="","",COUNTIFS(AO$4:AO$40,"&lt;"&amp;AO4,AO$4:AO$40,"&lt;&gt;"&amp;"")+COUNTIF(AO$4:AO4,AO4))</f>
        <v>15</v>
      </c>
      <c r="AQ4" s="55">
        <f t="shared" ref="AQ4:AQ40" si="17">IF(ROW()-3&gt;COUNTIF(AO$4:AO$40,"&lt;&gt;"&amp;""),"",INDEX(AO$4:AO$40,MATCH(ROW()-3,AP$4:AP$40,0)))</f>
        <v>66</v>
      </c>
      <c r="AR4" s="137">
        <f>IF(AND(AQ4&lt;&gt;"",COUNTIF(AQ$4:AQ4,AQ4)=1),1,0)</f>
        <v>1</v>
      </c>
      <c r="AS4" s="55">
        <f t="shared" ref="AS4:AS40" si="18">IF(ROW()-3&gt;MAX(AR$4:AR$40),"",INDEX(AQ$4:AQ$40,MATCH(ROW()-3,AR$4:AR$40,0)))</f>
        <v>66</v>
      </c>
      <c r="AT4" s="55">
        <f>IF('Final Calculation Sheet'!$H$4="","",'Final Calculation Sheet'!$H$4)</f>
        <v>790089</v>
      </c>
      <c r="AU4" s="137">
        <f>IF(AT4="","",COUNTIFS(AT$4:AT$40,"&lt;"&amp;AT4,AT$4:AT$40,"&lt;&gt;"&amp;"")+COUNTIF(AT$4:AT4,AT4))</f>
        <v>33</v>
      </c>
      <c r="AV4" s="55">
        <f t="shared" ref="AV4:AV40" si="19">IF(ROW()-3&gt;COUNTIF(AT$4:AT$40,"&lt;&gt;"&amp;""),"",INDEX(AT$4:AT$40,MATCH(ROW()-3,AU$4:AU$40,0)))</f>
        <v>15400</v>
      </c>
      <c r="AW4" s="137">
        <f>IF(AND(AV4&lt;&gt;"",COUNTIF(AV$4:AV4,AV4)=1),1,0)</f>
        <v>1</v>
      </c>
      <c r="AX4" s="55">
        <f t="shared" ref="AX4:AX40" si="20">IF(ROW()-3&gt;MAX(AW$4:AW$40),"",INDEX(AV$4:AV$40,MATCH(ROW()-3,AW$4:AW$40,0)))</f>
        <v>15400</v>
      </c>
      <c r="AY4" s="55">
        <f>IF('Final Calculation Sheet'!$I$4="","",'Final Calculation Sheet'!$I$4)</f>
        <v>142216</v>
      </c>
      <c r="AZ4" s="137">
        <f>IF(AY4="","",COUNTIFS(AY$4:AY$40,"&lt;"&amp;AY4,AY$4:AY$40,"&lt;&gt;"&amp;"")+COUNTIF(AY$4:AY4,AY4))</f>
        <v>33</v>
      </c>
      <c r="BA4" s="55">
        <f t="shared" ref="BA4:BA40" si="21">IF(ROW()-3&gt;COUNTIF(AY$4:AY$40,"&lt;&gt;"&amp;""),"",INDEX(AY$4:AY$40,MATCH(ROW()-3,AZ$4:AZ$40,0)))</f>
        <v>2772</v>
      </c>
      <c r="BB4" s="137">
        <f>IF(AND(BA4&lt;&gt;"",COUNTIF(BA$4:BA4,BA4)=1),1,0)</f>
        <v>1</v>
      </c>
      <c r="BC4" s="55">
        <f t="shared" ref="BC4:BC40" si="22">IF(ROW()-3&gt;MAX(BB$4:BB$40),"",INDEX(BA$4:BA$40,MATCH(ROW()-3,BB$4:BB$40,0)))</f>
        <v>2772</v>
      </c>
      <c r="BD4" s="55">
        <f>IF('Final Calculation Sheet'!$J$4="","",'Final Calculation Sheet'!$J$4)</f>
        <v>932305</v>
      </c>
      <c r="BE4" s="137">
        <f>IF(BD4="","",COUNTIFS(BD$4:BD$40,"&lt;"&amp;BD4,BD$4:BD$40,"&lt;&gt;"&amp;"")+COUNTIF(BD$4:BD4,BD4))</f>
        <v>33</v>
      </c>
      <c r="BF4" s="55">
        <f t="shared" ref="BF4:BF40" si="23">IF(ROW()-3&gt;COUNTIF(BD$4:BD$40,"&lt;&gt;"&amp;""),"",INDEX(BD$4:BD$40,MATCH(ROW()-3,BE$4:BE$40,0)))</f>
        <v>18172</v>
      </c>
      <c r="BG4" s="137">
        <f>IF(AND(BF4&lt;&gt;"",COUNTIF(BF$4:BF4,BF4)=1),1,0)</f>
        <v>1</v>
      </c>
      <c r="BH4" s="55">
        <f t="shared" ref="BH4:BH40" si="24">IF(ROW()-3&gt;MAX(BG$4:BG$40),"",INDEX(BF$4:BF$40,MATCH(ROW()-3,BG$4:BG$40,0)))</f>
        <v>18172</v>
      </c>
      <c r="BI4" s="55">
        <f>IF('Final Calculation Sheet'!$K$4="","",'Final Calculation Sheet'!$K$4)</f>
        <v>18646</v>
      </c>
      <c r="BJ4" s="137">
        <f>IF(BI4="","",COUNTIFS(BI$4:BI$40,"&lt;"&amp;BI4,BI$4:BI$40,"&lt;&gt;"&amp;"")+COUNTIF(BI$4:BI4,BI4))</f>
        <v>33</v>
      </c>
      <c r="BK4" s="55">
        <f t="shared" ref="BK4:BK40" si="25">IF(ROW()-3&gt;COUNTIF(BI$4:BI$40,"&lt;&gt;"&amp;""),"",INDEX(BI$4:BI$40,MATCH(ROW()-3,BJ$4:BJ$40,0)))</f>
        <v>363</v>
      </c>
      <c r="BL4" s="137">
        <f>IF(AND(BK4&lt;&gt;"",COUNTIF(BK$4:BK4,BK4)=1),1,0)</f>
        <v>1</v>
      </c>
      <c r="BM4" s="55">
        <f t="shared" ref="BM4:BM40" si="26">IF(ROW()-3&gt;MAX(BL$4:BL$40),"",INDEX(BK$4:BK$40,MATCH(ROW()-3,BL$4:BL$40,0)))</f>
        <v>363</v>
      </c>
      <c r="BN4" s="55">
        <f>IF('Final Calculation Sheet'!$L$4="","",'Final Calculation Sheet'!$L$4)</f>
        <v>790.08900000000006</v>
      </c>
      <c r="BO4" s="137">
        <f>IF(BN4="","",COUNTIFS(BN$4:BN$40,"&lt;"&amp;BN4,BN$4:BN$40,"&lt;&gt;"&amp;"")+COUNTIF(BN$4:BN4,BN4))</f>
        <v>33</v>
      </c>
      <c r="BP4" s="55">
        <f t="shared" ref="BP4:BP40" si="27">IF(ROW()-3&gt;COUNTIF(BN$4:BN$40,"&lt;&gt;"&amp;""),"",INDEX(BN$4:BN$40,MATCH(ROW()-3,BO$4:BO$40,0)))</f>
        <v>15.4</v>
      </c>
      <c r="BQ4" s="137">
        <f>IF(AND(BP4&lt;&gt;"",COUNTIF(BP$4:BP4,BP4)=1),1,0)</f>
        <v>1</v>
      </c>
      <c r="BR4" s="55">
        <f t="shared" ref="BR4:BR40" si="28">IF(ROW()-3&gt;MAX(BQ$4:BQ$40),"",INDEX(BP$4:BP$40,MATCH(ROW()-3,BQ$4:BQ$40,0)))</f>
        <v>15.4</v>
      </c>
      <c r="BS4" s="55">
        <f>IF('Final Calculation Sheet'!$M$4="","",'Final Calculation Sheet'!$M$4)</f>
        <v>20976.862949999999</v>
      </c>
      <c r="BT4" s="137">
        <f>IF(BS4="","",COUNTIFS(BS$4:BS$40,"&lt;"&amp;BS4,BS$4:BS$40,"&lt;&gt;"&amp;"")+COUNTIF(BS$4:BS4,BS4))</f>
        <v>33</v>
      </c>
      <c r="BU4" s="55">
        <f t="shared" ref="BU4:BU40" si="29">IF(ROW()-3&gt;COUNTIF(BS$4:BS$40,"&lt;&gt;"&amp;""),"",INDEX(BS$4:BS$40,MATCH(ROW()-3,BT$4:BT$40,0)))</f>
        <v>408.87</v>
      </c>
      <c r="BV4" s="137">
        <f>IF(AND(BU4&lt;&gt;"",COUNTIF(BU$4:BU4,BU4)=1),1,0)</f>
        <v>1</v>
      </c>
      <c r="BW4" s="55">
        <f t="shared" ref="BW4:BW40" si="30">IF(ROW()-3&gt;MAX(BV$4:BV$40),"",INDEX(BU$4:BU$40,MATCH(ROW()-3,BV$4:BV$40,0)))</f>
        <v>408.87</v>
      </c>
      <c r="BX4" s="138">
        <f>IF('Final Calculation Sheet'!$N$4="","",'Final Calculation Sheet'!$N$4)</f>
        <v>355.54005000000001</v>
      </c>
      <c r="BY4" s="137">
        <f>IF(BX4="","",COUNTIFS(BX$4:BX$40,"&lt;"&amp;BX4,BX$4:BX$40,"&lt;&gt;"&amp;"")+COUNTIF(BX$4:BX4,BX4))</f>
        <v>33</v>
      </c>
      <c r="BZ4" s="138">
        <f t="shared" ref="BZ4:BZ40" si="31">IF(ROW()-3&gt;COUNTIF(BX$4:BX$40,"&lt;&gt;"&amp;""),"",INDEX(BX$4:BX$40,MATCH(ROW()-3,BY$4:BY$40,0)))</f>
        <v>6.93</v>
      </c>
      <c r="CA4" s="137">
        <f>IF(AND(BZ4&lt;&gt;"",COUNTIF(BZ$4:BZ4,BZ4)=1),1,0)</f>
        <v>1</v>
      </c>
      <c r="CB4" s="138">
        <f t="shared" ref="CB4:CB40" si="32">IF(ROW()-3&gt;MAX(CA$4:CA$40),"",INDEX(BZ$4:BZ$40,MATCH(ROW()-3,CA$4:CA$40,0)))</f>
        <v>6.93</v>
      </c>
      <c r="CC4" s="55">
        <f>IF('Final Calculation Sheet'!$O$4="","",'Final Calculation Sheet'!$O$4)</f>
        <v>20621.322899999999</v>
      </c>
      <c r="CD4" s="137">
        <f>IF(CC4="","",COUNTIFS(CC$4:CC$40,"&lt;"&amp;CC4,CC$4:CC$40,"&lt;&gt;"&amp;"")+COUNTIF(CC$4:CC4,CC4))</f>
        <v>33</v>
      </c>
      <c r="CE4" s="55">
        <f t="shared" ref="CE4:CE40" si="33">IF(ROW()-3&gt;COUNTIF(CC$4:CC$40,"&lt;&gt;"&amp;""),"",INDEX(CC$4:CC$40,MATCH(ROW()-3,CD$4:CD$40,0)))</f>
        <v>401.94</v>
      </c>
      <c r="CF4" s="137">
        <f>IF(AND(CE4&lt;&gt;"",COUNTIF(CE$4:CE4,CE4)=1),1,0)</f>
        <v>1</v>
      </c>
      <c r="CG4" s="55">
        <f t="shared" ref="CG4:CG40" si="34">IF(ROW()-3&gt;MAX(CF$4:CF$40),"",INDEX(CE$4:CE$40,MATCH(ROW()-3,CF$4:CF$40,0)))</f>
        <v>401.94</v>
      </c>
      <c r="CH4" s="55">
        <f>IF('Final Calculation Sheet'!$P$4="","",'Final Calculation Sheet'!$P$4)</f>
        <v>21411</v>
      </c>
      <c r="CI4" s="137">
        <f>IF(CH4="","",COUNTIFS(CH$4:CH$40,"&lt;"&amp;CH4,CH$4:CH$40,"&lt;&gt;"&amp;"")+COUNTIF(CH$4:CH4,CH4))</f>
        <v>33</v>
      </c>
      <c r="CJ4" s="55">
        <f t="shared" ref="CJ4:CJ40" si="35">IF(ROW()-3&gt;COUNTIF(CH$4:CH$40,"&lt;&gt;"&amp;""),"",INDEX(CH$4:CH$40,MATCH(ROW()-3,CI$4:CI$40,0)))</f>
        <v>417</v>
      </c>
      <c r="CK4" s="137">
        <f>IF(AND(CJ4&lt;&gt;"",COUNTIF(CJ$4:CJ4,CJ4)=1),1,0)</f>
        <v>1</v>
      </c>
      <c r="CL4" s="55">
        <f t="shared" ref="CL4:CL40" si="36">IF(ROW()-3&gt;MAX(CK$4:CK$40),"",INDEX(CJ$4:CJ$40,MATCH(ROW()-3,CK$4:CK$40,0)))</f>
        <v>417</v>
      </c>
      <c r="CM4" s="139">
        <f>IF('Final Calculation Sheet'!$Q$4="","",'Final Calculation Sheet'!$Q$4)</f>
        <v>0.02</v>
      </c>
      <c r="CN4" s="137">
        <f>IF(CM4="","",COUNTIFS(CM$4:CM$40,"&lt;"&amp;CM4,CM$4:CM$40,"&lt;&gt;"&amp;"")+COUNTIF(CM$4:CM4,CM4))</f>
        <v>34</v>
      </c>
      <c r="CO4" s="139">
        <f t="shared" ref="CO4:CO40" si="37">IF(ROW()-3&gt;COUNTIF(CM$4:CM$40,"&lt;&gt;"&amp;""),"",INDEX(CM$4:CM$40,MATCH(ROW()-3,CN$4:CN$40,0)))</f>
        <v>0</v>
      </c>
      <c r="CP4" s="137">
        <f>IF(AND(CO4&lt;&gt;"",COUNTIF(CO$4:CO4,CO4)=1),1,0)</f>
        <v>1</v>
      </c>
      <c r="CQ4" s="139">
        <f t="shared" ref="CQ4:CQ40" si="38">IF(ROW()-3&gt;MAX(CP$4:CP$40),"",INDEX(CO$4:CO$40,MATCH(ROW()-3,CP$4:CP$40,0)))</f>
        <v>0</v>
      </c>
      <c r="CR4" s="55">
        <f>IF('Final Calculation Sheet'!$R$4="","",'Final Calculation Sheet'!$R$4)</f>
        <v>15802</v>
      </c>
      <c r="CS4" s="137">
        <f>IF(CR4="","",COUNTIFS(CR$4:CR$40,"&lt;"&amp;CR4,CR$4:CR$40,"&lt;&gt;"&amp;"")+COUNTIF(CR$4:CR4,CR4))</f>
        <v>35</v>
      </c>
      <c r="CT4" s="55">
        <f t="shared" ref="CT4:CT40" si="39">IF(ROW()-3&gt;COUNTIF(CR$4:CR$40,"&lt;&gt;"&amp;""),"",INDEX(CR$4:CR$40,MATCH(ROW()-3,CS$4:CS$40,0)))</f>
        <v>0</v>
      </c>
      <c r="CU4" s="137">
        <f>IF(AND(CT4&lt;&gt;"",COUNTIF(CT$4:CT4,CT4)=1),1,0)</f>
        <v>1</v>
      </c>
      <c r="CV4" s="55">
        <f t="shared" ref="CV4:CV40" si="40">IF(ROW()-3&gt;MAX(CU$4:CU$40),"",INDEX(CT$4:CT$40,MATCH(ROW()-3,CU$4:CU$40,0)))</f>
        <v>0</v>
      </c>
      <c r="CW4" s="55">
        <f>IF('Final Calculation Sheet'!$S$4="","",'Final Calculation Sheet'!$S$4)</f>
        <v>913738</v>
      </c>
      <c r="CX4" s="137">
        <f>IF(CW4="","",COUNTIFS(CW$4:CW$40,"&lt;"&amp;CW4,CW$4:CW$40,"&lt;&gt;"&amp;"")+COUNTIF(CW$4:CW4,CW4))</f>
        <v>33</v>
      </c>
      <c r="CY4" s="55">
        <f t="shared" ref="CY4:CY40" si="41">IF(ROW()-3&gt;COUNTIF(CW$4:CW$40,"&lt;&gt;"&amp;""),"",INDEX(CW$4:CW$40,MATCH(ROW()-3,CX$4:CX$40,0)))</f>
        <v>18118</v>
      </c>
      <c r="CZ4" s="137">
        <f>IF(AND(CY4&lt;&gt;"",COUNTIF(CY$4:CY4,CY4)=1),1,0)</f>
        <v>1</v>
      </c>
      <c r="DA4" s="55">
        <f t="shared" ref="DA4:DA40" si="42">IF(ROW()-3&gt;MAX(CZ$4:CZ$40),"",INDEX(CY$4:CY$40,MATCH(ROW()-3,CZ$4:CZ$40,0)))</f>
        <v>18118</v>
      </c>
      <c r="DB4" s="55">
        <f>IF('Final Calculation Sheet'!$T$4="","",'Final Calculation Sheet'!$T$4)</f>
        <v>197522</v>
      </c>
      <c r="DC4" s="137">
        <f>IF(DB4="","",COUNTIFS(DB$4:DB$40,"&lt;"&amp;DB4,DB$4:DB$40,"&lt;&gt;"&amp;"")+COUNTIF(DB$4:DB4,DB4))</f>
        <v>33</v>
      </c>
      <c r="DD4" s="55">
        <f t="shared" ref="DD4:DD40" si="43">IF(ROW()-3&gt;COUNTIF(DB$4:DB$40,"&lt;&gt;"&amp;""),"",INDEX(DB$4:DB$40,MATCH(ROW()-3,DC$4:DC$40,0)))</f>
        <v>3850</v>
      </c>
      <c r="DE4" s="137">
        <f>IF(AND(DD4&lt;&gt;"",COUNTIF(DD$4:DD4,DD4)=1),1,0)</f>
        <v>1</v>
      </c>
      <c r="DF4" s="55">
        <f t="shared" ref="DF4:DF40" si="44">IF(ROW()-3&gt;MAX(DE$4:DE$40),"",INDEX(DD$4:DD$40,MATCH(ROW()-3,DE$4:DE$40,0)))</f>
        <v>3850</v>
      </c>
      <c r="DG4" s="140">
        <f>IF('Final Calculation Sheet'!$U$4="","",'Final Calculation Sheet'!$U$4)</f>
        <v>197522</v>
      </c>
      <c r="DH4" s="137">
        <f>IF(DG4="","",COUNTIFS(DG$4:DG$40,"&lt;"&amp;DG4,DG$4:DG$40,"&lt;&gt;"&amp;"")+COUNTIF(DG$4:DG4,DG4))</f>
        <v>33</v>
      </c>
      <c r="DI4" s="140">
        <f t="shared" ref="DI4:DI40" si="45">IF(ROW()-3&gt;COUNTIF(DG$4:DG$40,"&lt;&gt;"&amp;""),"",INDEX(DG$4:DG$40,MATCH(ROW()-3,DH$4:DH$40,0)))</f>
        <v>3850</v>
      </c>
      <c r="DJ4" s="137">
        <f>IF(AND(DI4&lt;&gt;"",COUNTIF(DI$4:DI4,DI4)=1),1,0)</f>
        <v>1</v>
      </c>
      <c r="DK4" s="140">
        <f t="shared" ref="DK4:DK40" si="46">IF(ROW()-3&gt;MAX(DJ$4:DJ$40),"",INDEX(DI$4:DI$40,MATCH(ROW()-3,DJ$4:DJ$40,0)))</f>
        <v>3850</v>
      </c>
      <c r="DL4" t="str">
        <f>IF('Final Calculation Sheet'!$V$4="","",'Final Calculation Sheet'!$V$4)</f>
        <v>24.08.2026</v>
      </c>
      <c r="DM4" s="137">
        <f>IF(DL4="","",COUNTIFS(DL$4:DL$40,"&lt;"&amp;DL4,DL$4:DL$40,"&lt;&gt;"&amp;"")+COUNTIF(DL$4:DL4,DL4))</f>
        <v>37</v>
      </c>
      <c r="DN4" t="str">
        <f t="shared" ref="DN4:DN40" si="47">IF(ROW()-3&gt;COUNTIF(DL$4:DL$40,"&lt;&gt;"&amp;""),"",INDEX(DL$4:DL$40,MATCH(ROW()-3,DM$4:DM$40,0)))</f>
        <v>10.08.2026</v>
      </c>
      <c r="DO4" s="137">
        <f>IF(AND(DN4&lt;&gt;"",COUNTIF(DN$4:DN4,DN4)=1),1,0)</f>
        <v>1</v>
      </c>
      <c r="DP4" t="str">
        <f t="shared" ref="DP4:DP40" si="48">IF(ROW()-3&gt;MAX(DO$4:DO$40),"",INDEX(DN$4:DN$40,MATCH(ROW()-3,DO$4:DO$40,0)))</f>
        <v>10.08.2026</v>
      </c>
      <c r="DQ4" s="55">
        <f>IF('Final Calculation Sheet'!$W$4="","",'Final Calculation Sheet'!$W$4)</f>
        <v>716215</v>
      </c>
      <c r="DR4" s="137">
        <f>IF(DQ4="","",COUNTIFS(DQ$4:DQ$40,"&lt;"&amp;DQ4,DQ$4:DQ$40,"&lt;&gt;"&amp;"")+COUNTIF(DQ$4:DQ4,DQ4))</f>
        <v>33</v>
      </c>
      <c r="DS4" s="55">
        <f t="shared" ref="DS4:DS40" si="49">IF(ROW()-3&gt;COUNTIF(DQ$4:DQ$40,"&lt;&gt;"&amp;""),"",INDEX(DQ$4:DQ$40,MATCH(ROW()-3,DR$4:DR$40,0)))</f>
        <v>14268</v>
      </c>
      <c r="DT4" s="137">
        <f>IF(AND(DS4&lt;&gt;"",COUNTIF(DS$4:DS4,DS4)=1),1,0)</f>
        <v>1</v>
      </c>
      <c r="DU4" s="55">
        <f t="shared" ref="DU4:DU40" si="50">IF(ROW()-3&gt;MAX(DT$4:DT$40),"",INDEX(DS$4:DS$40,MATCH(ROW()-3,DT$4:DT$40,0)))</f>
        <v>14268</v>
      </c>
      <c r="DV4" s="55">
        <f>IF('Final Calculation Sheet'!$X$4="","",'Final Calculation Sheet'!$X$4)</f>
        <v>716216</v>
      </c>
      <c r="DW4" s="137">
        <f>IF(DV4="","",COUNTIFS(DV$4:DV$40,"&lt;"&amp;DV4,DV$4:DV$40,"&lt;&gt;"&amp;"")+COUNTIF(DV$4:DV4,DV4))</f>
        <v>30</v>
      </c>
      <c r="DX4" s="55">
        <f t="shared" ref="DX4:DX40" si="51">IF(ROW()-3&gt;COUNTIF(DV$4:DV$40,"&lt;&gt;"&amp;""),"",INDEX(DV$4:DV$40,MATCH(ROW()-3,DW$4:DW$40,0)))</f>
        <v>14267</v>
      </c>
      <c r="DY4" s="137">
        <f>IF(AND(DX4&lt;&gt;"",COUNTIF(DX$4:DX4,DX4)=1),1,0)</f>
        <v>1</v>
      </c>
      <c r="DZ4" t="e">
        <f t="shared" ref="DZ4:DZ40" si="52">IF(ROW()-3&gt;MAX(DY$4:DY$40),"",INDEX(DX$4:DX$40,MATCH(ROW()-3,DY$4:DY$40,0)))</f>
        <v>#N/A</v>
      </c>
      <c r="EA4" t="str">
        <f>IF('Final Calculation Sheet'!$Y$4="","",'Final Calculation Sheet'!$Y$4)</f>
        <v>18.08.2026</v>
      </c>
      <c r="EB4" s="137">
        <f>IF(EA4="","",COUNTIFS(EA$4:EA$40,"&lt;"&amp;EA4,EA$4:EA$40,"&lt;&gt;"&amp;"")+COUNTIF(EA$4:EA4,EA4))</f>
        <v>12</v>
      </c>
      <c r="EC4" s="55">
        <f t="shared" ref="EC4:EC40" si="53">IF(ROW()-3&gt;COUNTIF(EA$4:EA$40,"&lt;&gt;"&amp;""),"",INDEX(EA$4:EA$40,MATCH(ROW()-3,EB$4:EB$40,0)))</f>
        <v>0</v>
      </c>
      <c r="ED4" s="137">
        <f>IF(AND(EC4&lt;&gt;"",COUNTIF(EC$4:EC4,EC4)=1),1,0)</f>
        <v>1</v>
      </c>
      <c r="EE4" t="e">
        <f t="shared" ref="EE4:EE40" si="54">IF(ROW()-3&gt;MAX(ED$4:ED$40),"",INDEX(EC$4:EC$40,MATCH(ROW()-3,ED$4:ED$40,0)))</f>
        <v>#N/A</v>
      </c>
      <c r="EF4" s="55">
        <f ca="1">IF('Final Calculation Sheet'!$Z$4="","",'Final Calculation Sheet'!$Z$4)</f>
        <v>0</v>
      </c>
      <c r="EG4" s="137">
        <f ca="1">IF(EF4="","",COUNTIFS(EF$4:EF$40,"&lt;"&amp;EF4,EF$4:EF$40,"&lt;&gt;"&amp;"")+COUNTIF(EF$4:EF4,EF4))</f>
        <v>1</v>
      </c>
      <c r="EH4" s="55">
        <f t="shared" ref="EH4:EH40" ca="1" si="55">IF(ROW()-3&gt;COUNTIF(EF$4:EF$40,"&lt;&gt;"&amp;""),"",INDEX(EF$4:EF$40,MATCH(ROW()-3,EG$4:EG$40,0)))</f>
        <v>0</v>
      </c>
      <c r="EI4" s="137">
        <f ca="1">IF(AND(EH4&lt;&gt;"",COUNTIF(EH$4:EH4,EH4)=1),1,0)</f>
        <v>1</v>
      </c>
      <c r="EJ4" s="55">
        <f t="shared" ref="EJ4:EJ40" ca="1" si="56">IF(ROW()-3&gt;MAX(EI$4:EI$40),"",INDEX(EH$4:EH$40,MATCH(ROW()-3,EI$4:EI$40,0)))</f>
        <v>0</v>
      </c>
      <c r="EK4" t="str">
        <f>IF('Final Calculation Sheet'!$AA$4="","",'Final Calculation Sheet'!$AA$4)</f>
        <v/>
      </c>
      <c r="EL4" t="str">
        <f>IF(EK4="","",COUNTIFS(EK$4:EK$40,"&lt;"&amp;EK4,EK$4:EK$40,"&lt;&gt;"&amp;"")+COUNTIF(EK$4:EK4,EK4))</f>
        <v/>
      </c>
      <c r="EM4" s="55">
        <f t="shared" ref="EM4:EM40" si="57">IF(ROW()-3&gt;COUNTIF(EK$4:EK$40,"&lt;&gt;"&amp;""),"",INDEX(EK$4:EK$40,MATCH(ROW()-3,EL$4:EL$40,0)))</f>
        <v>708</v>
      </c>
      <c r="EN4" s="137">
        <f>IF(AND(EM4&lt;&gt;"",COUNTIF(EM$4:EM4,EM4)=1),1,0)</f>
        <v>1</v>
      </c>
      <c r="EO4" t="e">
        <f t="shared" ref="EO4:EO40" si="58">IF(ROW()-3&gt;MAX(EN$4:EN$40),"",INDEX(EM$4:EM$40,MATCH(ROW()-3,EN$4:EN$40,0)))</f>
        <v>#N/A</v>
      </c>
      <c r="EP4" t="str">
        <f>IF('Final Calculation Sheet'!$AB$4="","",'Final Calculation Sheet'!$AB$4)</f>
        <v/>
      </c>
      <c r="EQ4" t="str">
        <f>IF(EP4="","",COUNTIFS(EP$4:EP$40,"&lt;"&amp;EP4,EP$4:EP$40,"&lt;&gt;"&amp;"")+COUNTIF(EP$4:EP4,EP4))</f>
        <v/>
      </c>
      <c r="ER4" s="137" t="e">
        <f t="shared" ref="ER4:ER40" si="59">IF(ROW()-3&gt;COUNTIF(EP$4:EP$40,"&lt;&gt;"&amp;""),"",INDEX(EP$4:EP$40,MATCH(ROW()-3,EQ$4:EQ$40,0)))</f>
        <v>#N/A</v>
      </c>
      <c r="ES4" s="137" t="e">
        <f>IF(AND(ER4&lt;&gt;"",COUNTIF(ER$4:ER4,ER4)=1),1,0)</f>
        <v>#N/A</v>
      </c>
      <c r="ET4" t="e">
        <f t="shared" ref="ET4:ET40" si="60">IF(ROW()-3&gt;MAX(ES$4:ES$40),"",INDEX(ER$4:ER$40,MATCH(ROW()-3,ES$4:ES$40,0)))</f>
        <v>#N/A</v>
      </c>
      <c r="EU4" s="55">
        <f>IF('Final Calculation Sheet'!$AC$4="","",'Final Calculation Sheet'!$AC$4)</f>
        <v>913738</v>
      </c>
      <c r="EV4" s="137">
        <f>IF(EU4="","",COUNTIFS(EU$4:EU$40,"&lt;"&amp;EU4,EU$4:EU$40,"&lt;&gt;"&amp;"")+COUNTIF(EU$4:EU4,EU4))</f>
        <v>33</v>
      </c>
      <c r="EW4" s="55">
        <f t="shared" ref="EW4:EW40" si="61">IF(ROW()-3&gt;COUNTIF(EU$4:EU$40,"&lt;&gt;"&amp;""),"",INDEX(EU$4:EU$40,MATCH(ROW()-3,EV$4:EV$40,0)))</f>
        <v>13500</v>
      </c>
      <c r="EX4" s="137">
        <f>IF(AND(EW4&lt;&gt;"",COUNTIF(EW$4:EW4,EW4)=1),1,0)</f>
        <v>1</v>
      </c>
      <c r="EY4" s="55">
        <f t="shared" ref="EY4:EY40" si="62">IF(ROW()-3&gt;MAX(EX$4:EX$40),"",INDEX(EW$4:EW$40,MATCH(ROW()-3,EX$4:EX$40,0)))</f>
        <v>13500</v>
      </c>
      <c r="EZ4" s="55">
        <f>IF('Final Calculation Sheet'!$AD$4="","",'Final Calculation Sheet'!$AD$4)</f>
        <v>0</v>
      </c>
      <c r="FA4" s="137">
        <f>IF(EZ4="","",COUNTIFS(EZ$4:EZ$40,"&lt;"&amp;EZ4,EZ$4:EZ$40,"&lt;&gt;"&amp;"")+COUNTIF(EZ$4:EZ4,EZ4))</f>
        <v>8</v>
      </c>
      <c r="FB4" s="55">
        <f t="shared" ref="FB4:FB40" si="63">IF(ROW()-3&gt;COUNTIF(EZ$4:EZ$40,"&lt;&gt;"&amp;""),"",INDEX(EZ$4:EZ$40,MATCH(ROW()-3,FA$4:FA$40,0)))</f>
        <v>-2832</v>
      </c>
      <c r="FC4" s="137">
        <f>IF(AND(FB4&lt;&gt;"",COUNTIF(FB$4:FB4,FB4)=1),1,0)</f>
        <v>1</v>
      </c>
      <c r="FD4" s="55" t="e">
        <f t="shared" ref="FD4:FD40" si="64">IF(ROW()-3&gt;MAX(FC$4:FC$40),"",INDEX(FB$4:FB$40,MATCH(ROW()-3,FC$4:FC$40,0)))</f>
        <v>#N/A</v>
      </c>
      <c r="FE4" t="str">
        <f>IF('Final Calculation Sheet'!$AE$4="","",'Final Calculation Sheet'!$AE$4)</f>
        <v>DR2640100029</v>
      </c>
      <c r="FF4" s="137">
        <f>IF(FE4="","",COUNTIFS(FE$4:FE$40,"&lt;"&amp;FE4,FE$4:FE$40,"&lt;&gt;"&amp;"")+COUNTIF(FE$4:FE4,FE4))</f>
        <v>18</v>
      </c>
      <c r="FG4" s="137" t="e">
        <f t="shared" ref="FG4:FG40" si="65">IF(ROW()-3&gt;COUNTIF(FE$4:FE$40,"&lt;&gt;"&amp;""),"",INDEX(FE$4:FE$40,MATCH(ROW()-3,FF$4:FF$40,0)))</f>
        <v>#N/A</v>
      </c>
      <c r="FH4" s="137" t="e">
        <f>IF(AND(FG4&lt;&gt;"",COUNTIF(FG$4:FG4,FG4)=1),1,0)</f>
        <v>#N/A</v>
      </c>
      <c r="FI4" t="e">
        <f t="shared" ref="FI4:FI40" si="66">IF(ROW()-3&gt;MAX(FH$4:FH$40),"",INDEX(FG$4:FG$40,MATCH(ROW()-3,FH$4:FH$40,0)))</f>
        <v>#N/A</v>
      </c>
      <c r="FJ4" s="141">
        <f>IF('Final Calculation Sheet'!$AF$4="","",'Final Calculation Sheet'!$AF$4)</f>
        <v>1800003271</v>
      </c>
      <c r="FK4" s="137">
        <f>IF(FJ4="","",COUNTIFS(FJ$4:FJ$40,"&lt;"&amp;FJ4,FJ$4:FJ$40,"&lt;&gt;"&amp;"")+COUNTIF(FJ$4:FJ4,FJ4))</f>
        <v>13</v>
      </c>
      <c r="FL4" s="141">
        <f t="shared" ref="FL4:FL40" si="67">IF(ROW()-3&gt;COUNTIF(FJ$4:FJ$40,"&lt;&gt;"&amp;""),"",INDEX(FJ$4:FJ$40,MATCH(ROW()-3,FK$4:FK$40,0)))</f>
        <v>1800003065</v>
      </c>
      <c r="FM4" s="137">
        <f>IF(AND(FL4&lt;&gt;"",COUNTIF(FL$4:FL4,FL4)=1),1,0)</f>
        <v>1</v>
      </c>
      <c r="FN4" t="e">
        <f t="shared" ref="FN4:FN40" si="68">IF(ROW()-3&gt;MAX(FM$4:FM$40),"",INDEX(FL$4:FL$40,MATCH(ROW()-3,FM$4:FM$40,0)))</f>
        <v>#N/A</v>
      </c>
      <c r="FO4" t="str">
        <f>IF('Final Calculation Sheet'!$AG$4="","",'Final Calculation Sheet'!$AG$4)</f>
        <v>24.08.2026</v>
      </c>
      <c r="FP4" s="137">
        <f>IF(FO4="","",COUNTIFS(FO$4:FO$40,"&lt;"&amp;FO4,FO$4:FO$40,"&lt;&gt;"&amp;"")+COUNTIF(FO$4:FO4,FO4))</f>
        <v>17</v>
      </c>
      <c r="FQ4" s="137" t="e">
        <f t="shared" ref="FQ4:FQ40" si="69">IF(ROW()-3&gt;COUNTIF(FO$4:FO$40,"&lt;&gt;"&amp;""),"",INDEX(FO$4:FO$40,MATCH(ROW()-3,FP$4:FP$40,0)))</f>
        <v>#N/A</v>
      </c>
      <c r="FR4" s="137" t="e">
        <f>IF(AND(FQ4&lt;&gt;"",COUNTIF(FQ$4:FQ4,FQ4)=1),1,0)</f>
        <v>#N/A</v>
      </c>
      <c r="FS4" t="e">
        <f t="shared" ref="FS4:FS40" si="70">IF(ROW()-3&gt;MAX(FR$4:FR$40),"",INDEX(FQ$4:FQ$40,MATCH(ROW()-3,FR$4:FR$40,0)))</f>
        <v>#N/A</v>
      </c>
      <c r="FT4" t="s">
        <v>203</v>
      </c>
      <c r="FU4" s="137">
        <f>IF(FT4="","",COUNTIFS(FT$4:FT$40,"&lt;"&amp;FT4,FT$4:FT$40,"&lt;&gt;"&amp;"")+COUNTIF(FT$4:FT4,FT4))</f>
        <v>2</v>
      </c>
      <c r="FV4" t="str">
        <f t="shared" ref="FV4:FV40" si="71">IF(ROW()-3&gt;COUNTIF(FT$4:FT$40,"&lt;&gt;"&amp;""),"",INDEX(FT$4:FT$40,MATCH(ROW()-3,FU$4:FU$40,0)))</f>
        <v>OUTSTANDING</v>
      </c>
      <c r="FW4" s="137">
        <f>IF(AND(FV4&lt;&gt;"",COUNTIF(FV$4:FV4,FV4)=1),1,0)</f>
        <v>1</v>
      </c>
      <c r="FX4" t="str">
        <f t="shared" ref="FX4:FX40" si="72">IF(ROW()-3&gt;MAX(FW$4:FW$40),"",INDEX(FV$4:FV$40,MATCH(ROW()-3,FW$4:FW$40,0)))</f>
        <v>OUTSTANDING</v>
      </c>
    </row>
    <row r="5" spans="1:180" x14ac:dyDescent="0.25">
      <c r="A5">
        <f>IF('Final Calculation Sheet'!$F$5="","",'Final Calculation Sheet'!$F$5)</f>
        <v>1874</v>
      </c>
      <c r="B5" s="137">
        <f>IF(A5="","",COUNTIFS(A$4:A$114,"&lt;"&amp;A5,A$4:A$114,"&lt;&gt;"&amp;"")+COUNTIF(A$4:A5,A5))</f>
        <v>2</v>
      </c>
      <c r="C5" s="137">
        <f t="shared" si="0"/>
        <v>1874</v>
      </c>
      <c r="D5" s="137">
        <f>D4+IF(AND(C5&lt;&gt;"",COUNTIF(C$4:C5,C5)=1),1,0)</f>
        <v>2</v>
      </c>
      <c r="E5" t="e">
        <f t="shared" si="1"/>
        <v>#N/A</v>
      </c>
      <c r="F5">
        <f t="shared" si="2"/>
        <v>2</v>
      </c>
      <c r="G5" s="137">
        <f>IF(F5="","",COUNTIFS(F$4:F$40,"&lt;"&amp;F5,F$4:F$40,"&lt;&gt;"&amp;"")+COUNTIF(F$4:F5,F5))</f>
        <v>2</v>
      </c>
      <c r="H5" s="137">
        <f t="shared" si="3"/>
        <v>2</v>
      </c>
      <c r="I5" s="137">
        <f>I4+IF(AND(H5&lt;&gt;"",COUNTIF(H$4:H5,H5)=1),1,0)</f>
        <v>2</v>
      </c>
      <c r="J5">
        <f t="shared" si="4"/>
        <v>2</v>
      </c>
      <c r="K5">
        <f>IF('Final Calculation Sheet'!$F$5="","",'Final Calculation Sheet'!$F$5)</f>
        <v>1874</v>
      </c>
      <c r="L5" s="137">
        <f>IF(K5="","",COUNTIFS(K$4:K$40,"&lt;"&amp;K5,K$4:K$40,"&lt;&gt;"&amp;"")+COUNTIF(K$4:K5,K5))</f>
        <v>2</v>
      </c>
      <c r="M5" s="137">
        <f t="shared" si="5"/>
        <v>1874</v>
      </c>
      <c r="N5" s="137">
        <f>N4+IF(AND(M5&lt;&gt;"",COUNTIF(M$4:M5,M5)=1),1,0)</f>
        <v>2</v>
      </c>
      <c r="O5">
        <f t="shared" si="6"/>
        <v>1874</v>
      </c>
      <c r="P5" t="str">
        <f>IF('Final Calculation Sheet'!$G$5="","",'Final Calculation Sheet'!$G$5)</f>
        <v>NATIONAL ENTERPRISES</v>
      </c>
      <c r="Q5" s="137">
        <f>IF(P5="","",COUNTIFS(P$4:P$40,"&lt;"&amp;P5,P$4:P$40,"&lt;&gt;"&amp;"")+COUNTIF(P$4:P5,P5))</f>
        <v>7</v>
      </c>
      <c r="R5" t="str">
        <f t="shared" si="7"/>
        <v>F R KHANS ENTERPRISES</v>
      </c>
      <c r="S5" s="137">
        <f>S4+IF(AND(R5&lt;&gt;"",COUNTIF(R$4:R5,R5)=1),1,0)</f>
        <v>2</v>
      </c>
      <c r="T5" t="str">
        <f t="shared" si="8"/>
        <v>F R KHANS ENTERPRISES</v>
      </c>
      <c r="U5" t="str">
        <f>IF('Final Calculation Sheet'!$B$5="","",'Final Calculation Sheet'!$B$5)</f>
        <v>Scrap of Empty oil drum</v>
      </c>
      <c r="V5" s="137">
        <f>IF(U5="","",COUNTIFS(U$4:U$40,"&lt;"&amp;U5,U$4:U$40,"&lt;&gt;"&amp;"")+COUNTIF(U$4:U5,U5))</f>
        <v>32</v>
      </c>
      <c r="W5" t="str">
        <f t="shared" si="9"/>
        <v>SCRAP 80MM² AAAC EARTHWIRE</v>
      </c>
      <c r="X5" s="137">
        <f>X4+IF(AND(W5&lt;&gt;"",COUNTIF(W$4:W5,W5)=1),1,0)</f>
        <v>2</v>
      </c>
      <c r="Y5" t="str">
        <f t="shared" si="10"/>
        <v>SCRAP 80MM² AAAC EARTHWIRE</v>
      </c>
      <c r="Z5">
        <f>IF('Final Calculation Sheet'!$D$5="","",'Final Calculation Sheet'!$D$5)</f>
        <v>21977</v>
      </c>
      <c r="AA5" s="137">
        <f>IF(Z5="","",COUNTIFS(Z$4:Z$40,"&lt;"&amp;Z5,Z$4:Z$40,"&lt;&gt;"&amp;"")+COUNTIF(Z$4:Z5,Z5))</f>
        <v>1</v>
      </c>
      <c r="AB5" s="137">
        <f t="shared" si="11"/>
        <v>21977</v>
      </c>
      <c r="AC5" s="137">
        <f>AC4+IF(AND(AB5&lt;&gt;"",COUNTIF(AB$4:AB5,AB5)=1),1,0)</f>
        <v>1</v>
      </c>
      <c r="AD5">
        <f t="shared" si="12"/>
        <v>21978</v>
      </c>
      <c r="AE5">
        <f>IF('Final Calculation Sheet'!$A$5="","",'Final Calculation Sheet'!$A$5)</f>
        <v>270</v>
      </c>
      <c r="AF5" s="137">
        <f>IF(AE5="","",COUNTIFS(AE$4:AE$40,"&lt;"&amp;AE5,AE$4:AE$40,"&lt;&gt;"&amp;"")+COUNTIF(AE$4:AE5,AE5))</f>
        <v>31</v>
      </c>
      <c r="AG5" s="137">
        <f t="shared" si="13"/>
        <v>1</v>
      </c>
      <c r="AH5" s="137">
        <f>AH4+IF(AND(AG5&lt;&gt;"",COUNTIF(AG$4:AG5,AG5)=1),1,0)</f>
        <v>1</v>
      </c>
      <c r="AI5">
        <f t="shared" si="14"/>
        <v>2</v>
      </c>
      <c r="AJ5" t="str">
        <f>IF('Final Calculation Sheet'!$E$5="","",'Final Calculation Sheet'!$E$5)</f>
        <v>NO</v>
      </c>
      <c r="AK5" s="137">
        <f>IF(AJ5="","",COUNTIFS(AJ$4:AJ$40,"&lt;"&amp;AJ5,AJ$4:AJ$40,"&lt;&gt;"&amp;"")+COUNTIF(AJ$4:AJ5,AJ5))</f>
        <v>8</v>
      </c>
      <c r="AL5" t="str">
        <f t="shared" si="15"/>
        <v>KG</v>
      </c>
      <c r="AM5" s="137">
        <f>AM4+IF(AND(AL5&lt;&gt;"",COUNTIF(AL$4:AL5,AL5)=1),1,0)</f>
        <v>1</v>
      </c>
      <c r="AN5" t="str">
        <f t="shared" si="16"/>
        <v>MT</v>
      </c>
      <c r="AO5" s="55">
        <f>IF('Final Calculation Sheet'!$C$5="","",'Final Calculation Sheet'!$C$5)</f>
        <v>580</v>
      </c>
      <c r="AP5" s="137">
        <f>IF(AO5="","",COUNTIFS(AO$4:AO$40,"&lt;"&amp;AO5,AO$4:AO$40,"&lt;&gt;"&amp;"")+COUNTIF(AO$4:AO5,AO5))</f>
        <v>9</v>
      </c>
      <c r="AQ5" s="55">
        <f t="shared" si="17"/>
        <v>227</v>
      </c>
      <c r="AR5" s="137">
        <f>AR4+IF(AND(AQ5&lt;&gt;"",COUNTIF(AQ$4:AQ5,AQ5)=1),1,0)</f>
        <v>2</v>
      </c>
      <c r="AS5" s="55">
        <f t="shared" si="18"/>
        <v>227</v>
      </c>
      <c r="AT5" s="55">
        <f>IF('Final Calculation Sheet'!$H$5="","",'Final Calculation Sheet'!$H$5)</f>
        <v>156600</v>
      </c>
      <c r="AU5" s="137">
        <f>IF(AT5="","",COUNTIFS(AT$4:AT$40,"&lt;"&amp;AT5,AT$4:AT$40,"&lt;&gt;"&amp;"")+COUNTIF(AT$4:AT5,AT5))</f>
        <v>19</v>
      </c>
      <c r="AV5" s="55">
        <f t="shared" si="19"/>
        <v>17500</v>
      </c>
      <c r="AW5" s="137">
        <f>AW4+IF(AND(AV5&lt;&gt;"",COUNTIF(AV$4:AV5,AV5)=1),1,0)</f>
        <v>2</v>
      </c>
      <c r="AX5" s="55">
        <f t="shared" si="20"/>
        <v>17500</v>
      </c>
      <c r="AY5" s="55">
        <f>IF('Final Calculation Sheet'!$I$5="","",'Final Calculation Sheet'!$I$5)</f>
        <v>28188</v>
      </c>
      <c r="AZ5" s="137">
        <f>IF(AY5="","",COUNTIFS(AY$4:AY$40,"&lt;"&amp;AY5,AY$4:AY$40,"&lt;&gt;"&amp;"")+COUNTIF(AY$4:AY5,AY5))</f>
        <v>19</v>
      </c>
      <c r="BA5" s="55">
        <f t="shared" si="21"/>
        <v>3150</v>
      </c>
      <c r="BB5" s="137">
        <f>BB4+IF(AND(BA5&lt;&gt;"",COUNTIF(BA$4:BA5,BA5)=1),1,0)</f>
        <v>2</v>
      </c>
      <c r="BC5" s="55">
        <f t="shared" si="22"/>
        <v>3150</v>
      </c>
      <c r="BD5" s="55">
        <f>IF('Final Calculation Sheet'!$J$5="","",'Final Calculation Sheet'!$J$5)</f>
        <v>184788</v>
      </c>
      <c r="BE5" s="137">
        <f>IF(BD5="","",COUNTIFS(BD$4:BD$40,"&lt;"&amp;BD5,BD$4:BD$40,"&lt;&gt;"&amp;"")+COUNTIF(BD$4:BD5,BD5))</f>
        <v>19</v>
      </c>
      <c r="BF5" s="55">
        <f t="shared" si="23"/>
        <v>20650</v>
      </c>
      <c r="BG5" s="137">
        <f>BG4+IF(AND(BF5&lt;&gt;"",COUNTIF(BF$4:BF5,BF5)=1),1,0)</f>
        <v>2</v>
      </c>
      <c r="BH5" s="55">
        <f t="shared" si="24"/>
        <v>20650</v>
      </c>
      <c r="BI5" s="55">
        <f>IF('Final Calculation Sheet'!$K$5="","",'Final Calculation Sheet'!$K$5)</f>
        <v>3696</v>
      </c>
      <c r="BJ5" s="137">
        <f>IF(BI5="","",COUNTIFS(BI$4:BI$40,"&lt;"&amp;BI5,BI$4:BI$40,"&lt;&gt;"&amp;"")+COUNTIF(BI$4:BI5,BI5))</f>
        <v>19</v>
      </c>
      <c r="BK5" s="55">
        <f t="shared" si="25"/>
        <v>413</v>
      </c>
      <c r="BL5" s="137">
        <f>BL4+IF(AND(BK5&lt;&gt;"",COUNTIF(BK$4:BK5,BK5)=1),1,0)</f>
        <v>2</v>
      </c>
      <c r="BM5" s="55">
        <f t="shared" si="26"/>
        <v>413</v>
      </c>
      <c r="BN5" s="55">
        <f>IF('Final Calculation Sheet'!$L$5="","",'Final Calculation Sheet'!$L$5)</f>
        <v>156.6</v>
      </c>
      <c r="BO5" s="137">
        <f>IF(BN5="","",COUNTIFS(BN$4:BN$40,"&lt;"&amp;BN5,BN$4:BN$40,"&lt;&gt;"&amp;"")+COUNTIF(BN$4:BN5,BN5))</f>
        <v>19</v>
      </c>
      <c r="BP5" s="55">
        <f t="shared" si="27"/>
        <v>17.5</v>
      </c>
      <c r="BQ5" s="137">
        <f>BQ4+IF(AND(BP5&lt;&gt;"",COUNTIF(BP$4:BP5,BP5)=1),1,0)</f>
        <v>2</v>
      </c>
      <c r="BR5" s="55">
        <f t="shared" si="28"/>
        <v>17.5</v>
      </c>
      <c r="BS5" s="55">
        <f>IF('Final Calculation Sheet'!$M$5="","",'Final Calculation Sheet'!$M$5)</f>
        <v>4157.7299999999996</v>
      </c>
      <c r="BT5" s="137">
        <f>IF(BS5="","",COUNTIFS(BS$4:BS$40,"&lt;"&amp;BS5,BS$4:BS$40,"&lt;&gt;"&amp;"")+COUNTIF(BS$4:BS5,BS5))</f>
        <v>19</v>
      </c>
      <c r="BU5" s="55">
        <f t="shared" si="29"/>
        <v>464.625</v>
      </c>
      <c r="BV5" s="137">
        <f>BV4+IF(AND(BU5&lt;&gt;"",COUNTIF(BU$4:BU5,BU5)=1),1,0)</f>
        <v>2</v>
      </c>
      <c r="BW5" s="55">
        <f t="shared" si="30"/>
        <v>464.625</v>
      </c>
      <c r="BX5" s="138">
        <f>IF('Final Calculation Sheet'!$N$5="","",'Final Calculation Sheet'!$N$5)</f>
        <v>70.47</v>
      </c>
      <c r="BY5" s="137">
        <f>IF(BX5="","",COUNTIFS(BX$4:BX$40,"&lt;"&amp;BX5,BX$4:BX$40,"&lt;&gt;"&amp;"")+COUNTIF(BX$4:BX5,BX5))</f>
        <v>19</v>
      </c>
      <c r="BZ5" s="138">
        <f t="shared" si="31"/>
        <v>7.875</v>
      </c>
      <c r="CA5" s="137">
        <f>CA4+IF(AND(BZ5&lt;&gt;"",COUNTIF(BZ$4:BZ5,BZ5)=1),1,0)</f>
        <v>2</v>
      </c>
      <c r="CB5" s="138">
        <f t="shared" si="32"/>
        <v>7.875</v>
      </c>
      <c r="CC5" s="55">
        <f>IF('Final Calculation Sheet'!$O$5="","",'Final Calculation Sheet'!$O$5)</f>
        <v>4087.2599999999998</v>
      </c>
      <c r="CD5" s="137">
        <f>IF(CC5="","",COUNTIFS(CC$4:CC$40,"&lt;"&amp;CC5,CC$4:CC$40,"&lt;&gt;"&amp;"")+COUNTIF(CC$4:CC5,CC5))</f>
        <v>19</v>
      </c>
      <c r="CE5" s="55">
        <f t="shared" si="33"/>
        <v>456.75</v>
      </c>
      <c r="CF5" s="137">
        <f>CF4+IF(AND(CE5&lt;&gt;"",COUNTIF(CE$4:CE5,CE5)=1),1,0)</f>
        <v>2</v>
      </c>
      <c r="CG5" s="55">
        <f t="shared" si="34"/>
        <v>456.75</v>
      </c>
      <c r="CH5" s="55">
        <f>IF('Final Calculation Sheet'!$P$5="","",'Final Calculation Sheet'!$P$5)</f>
        <v>4244</v>
      </c>
      <c r="CI5" s="137">
        <f>IF(CH5="","",COUNTIFS(CH$4:CH$40,"&lt;"&amp;CH5,CH$4:CH$40,"&lt;&gt;"&amp;"")+COUNTIF(CH$4:CH5,CH5))</f>
        <v>19</v>
      </c>
      <c r="CJ5" s="55">
        <f t="shared" si="35"/>
        <v>474</v>
      </c>
      <c r="CK5" s="137">
        <f>CK4+IF(AND(CJ5&lt;&gt;"",COUNTIF(CJ$4:CJ5,CJ5)=1),1,0)</f>
        <v>2</v>
      </c>
      <c r="CL5" s="55">
        <f t="shared" si="36"/>
        <v>474</v>
      </c>
      <c r="CM5" s="139">
        <f>IF('Final Calculation Sheet'!$Q$5="","",'Final Calculation Sheet'!$Q$5)</f>
        <v>0</v>
      </c>
      <c r="CN5" s="137">
        <f>IF(CM5="","",COUNTIFS(CM$4:CM$40,"&lt;"&amp;CM5,CM$4:CM$40,"&lt;&gt;"&amp;"")+COUNTIF(CM$4:CM5,CM5))</f>
        <v>1</v>
      </c>
      <c r="CO5" s="139">
        <f t="shared" si="37"/>
        <v>0</v>
      </c>
      <c r="CP5" s="137">
        <f>CP4+IF(AND(CO5&lt;&gt;"",COUNTIF(CO$4:CO5,CO5)=1),1,0)</f>
        <v>1</v>
      </c>
      <c r="CQ5" s="139">
        <f t="shared" si="38"/>
        <v>0.02</v>
      </c>
      <c r="CR5" s="55">
        <f>IF('Final Calculation Sheet'!$R$5="","",'Final Calculation Sheet'!$R$5)</f>
        <v>0</v>
      </c>
      <c r="CS5" s="137">
        <f>IF(CR5="","",COUNTIFS(CR$4:CR$40,"&lt;"&amp;CR5,CR$4:CR$40,"&lt;&gt;"&amp;"")+COUNTIF(CR$4:CR5,CR5))</f>
        <v>1</v>
      </c>
      <c r="CT5" s="55">
        <f t="shared" si="39"/>
        <v>0</v>
      </c>
      <c r="CU5" s="137">
        <f>CU4+IF(AND(CT5&lt;&gt;"",COUNTIF(CT$4:CT5,CT5)=1),1,0)</f>
        <v>1</v>
      </c>
      <c r="CV5" s="55">
        <f t="shared" si="40"/>
        <v>10988</v>
      </c>
      <c r="CW5" s="55">
        <f>IF('Final Calculation Sheet'!$S$5="","",'Final Calculation Sheet'!$S$5)</f>
        <v>184240</v>
      </c>
      <c r="CX5" s="137">
        <f>IF(CW5="","",COUNTIFS(CW$4:CW$40,"&lt;"&amp;CW5,CW$4:CW$40,"&lt;&gt;"&amp;"")+COUNTIF(CW$4:CW5,CW5))</f>
        <v>19</v>
      </c>
      <c r="CY5" s="55">
        <f t="shared" si="41"/>
        <v>20589</v>
      </c>
      <c r="CZ5" s="137">
        <f>CZ4+IF(AND(CY5&lt;&gt;"",COUNTIF(CY$4:CY5,CY5)=1),1,0)</f>
        <v>2</v>
      </c>
      <c r="DA5" s="55">
        <f t="shared" si="42"/>
        <v>20589</v>
      </c>
      <c r="DB5" s="55">
        <f>IF('Final Calculation Sheet'!$T$5="","",'Final Calculation Sheet'!$T$5)</f>
        <v>39150</v>
      </c>
      <c r="DC5" s="137">
        <f>IF(DB5="","",COUNTIFS(DB$4:DB$40,"&lt;"&amp;DB5,DB$4:DB$40,"&lt;&gt;"&amp;"")+COUNTIF(DB$4:DB5,DB5))</f>
        <v>19</v>
      </c>
      <c r="DD5" s="55">
        <f t="shared" si="43"/>
        <v>4375</v>
      </c>
      <c r="DE5" s="137">
        <f>DE4+IF(AND(DD5&lt;&gt;"",COUNTIF(DD$4:DD5,DD5)=1),1,0)</f>
        <v>2</v>
      </c>
      <c r="DF5" s="55">
        <f t="shared" si="44"/>
        <v>4375</v>
      </c>
      <c r="DG5" s="140">
        <f>IF('Final Calculation Sheet'!$U$5="","",'Final Calculation Sheet'!$U$5)</f>
        <v>39150</v>
      </c>
      <c r="DH5" s="137">
        <f>IF(DG5="","",COUNTIFS(DG$4:DG$40,"&lt;"&amp;DG5,DG$4:DG$40,"&lt;&gt;"&amp;"")+COUNTIF(DG$4:DG5,DG5))</f>
        <v>19</v>
      </c>
      <c r="DI5" s="140">
        <f t="shared" si="45"/>
        <v>4375</v>
      </c>
      <c r="DJ5" s="137">
        <f>DJ4+IF(AND(DI5&lt;&gt;"",COUNTIF(DI$4:DI5,DI5)=1),1,0)</f>
        <v>2</v>
      </c>
      <c r="DK5" s="140">
        <f t="shared" si="46"/>
        <v>4375</v>
      </c>
      <c r="DL5" t="str">
        <f>IF('Final Calculation Sheet'!$V$5="","",'Final Calculation Sheet'!$V$5)</f>
        <v>13.08.2026</v>
      </c>
      <c r="DM5" s="137">
        <f>IF(DL5="","",COUNTIFS(DL$4:DL$40,"&lt;"&amp;DL5,DL$4:DL$40,"&lt;&gt;"&amp;"")+COUNTIF(DL$4:DL5,DL5))</f>
        <v>12</v>
      </c>
      <c r="DN5" t="str">
        <f t="shared" si="47"/>
        <v>11.08.2026</v>
      </c>
      <c r="DO5" s="137">
        <f>DO4+IF(AND(DN5&lt;&gt;"",COUNTIF(DN$4:DN5,DN5)=1),1,0)</f>
        <v>2</v>
      </c>
      <c r="DP5" t="str">
        <f t="shared" si="48"/>
        <v>11.08.2026</v>
      </c>
      <c r="DQ5" s="55">
        <f>IF('Final Calculation Sheet'!$W$5="","",'Final Calculation Sheet'!$W$5)</f>
        <v>145090</v>
      </c>
      <c r="DR5" s="137">
        <f>IF(DQ5="","",COUNTIFS(DQ$4:DQ$40,"&lt;"&amp;DQ5,DQ$4:DQ$40,"&lt;&gt;"&amp;"")+COUNTIF(DQ$4:DQ5,DQ5))</f>
        <v>19</v>
      </c>
      <c r="DS5" s="55">
        <f t="shared" si="49"/>
        <v>16214</v>
      </c>
      <c r="DT5" s="137">
        <f>DT4+IF(AND(DS5&lt;&gt;"",COUNTIF(DS$4:DS5,DS5)=1),1,0)</f>
        <v>2</v>
      </c>
      <c r="DU5" s="55">
        <f t="shared" si="50"/>
        <v>16214</v>
      </c>
      <c r="DV5" s="55">
        <f>IF('Final Calculation Sheet'!$X$5="","",'Final Calculation Sheet'!$X$5)</f>
        <v>145090</v>
      </c>
      <c r="DW5" s="137">
        <f>IF(DV5="","",COUNTIFS(DV$4:DV$40,"&lt;"&amp;DV5,DV$4:DV$40,"&lt;&gt;"&amp;"")+COUNTIF(DV$4:DV5,DV5))</f>
        <v>18</v>
      </c>
      <c r="DX5" s="55">
        <f t="shared" si="51"/>
        <v>16214</v>
      </c>
      <c r="DY5" s="137">
        <f>DY4+IF(AND(DX5&lt;&gt;"",COUNTIF(DX$4:DX5,DX5)=1),1,0)</f>
        <v>2</v>
      </c>
      <c r="DZ5" t="e">
        <f t="shared" si="52"/>
        <v>#N/A</v>
      </c>
      <c r="EA5" t="str">
        <f>IF('Final Calculation Sheet'!$Y$5="","",'Final Calculation Sheet'!$Y$5)</f>
        <v>24.08.2026</v>
      </c>
      <c r="EB5" s="137">
        <f>IF(EA5="","",COUNTIFS(EA$4:EA$40,"&lt;"&amp;EA5,EA$4:EA$40,"&lt;&gt;"&amp;"")+COUNTIF(EA$4:EA5,EA5))</f>
        <v>21</v>
      </c>
      <c r="EC5" s="55">
        <f t="shared" si="53"/>
        <v>0</v>
      </c>
      <c r="ED5" s="137">
        <f>ED4+IF(AND(EC5&lt;&gt;"",COUNTIF(EC$4:EC5,EC5)=1),1,0)</f>
        <v>1</v>
      </c>
      <c r="EE5" t="e">
        <f t="shared" si="54"/>
        <v>#N/A</v>
      </c>
      <c r="EF5" s="55">
        <f ca="1">IF('Final Calculation Sheet'!$Z$5="","",'Final Calculation Sheet'!$Z$5)</f>
        <v>0</v>
      </c>
      <c r="EG5" s="137">
        <f ca="1">IF(EF5="","",COUNTIFS(EF$4:EF$40,"&lt;"&amp;EF5,EF$4:EF$40,"&lt;&gt;"&amp;"")+COUNTIF(EF$4:EF5,EF5))</f>
        <v>2</v>
      </c>
      <c r="EH5" s="55">
        <f t="shared" ca="1" si="55"/>
        <v>0</v>
      </c>
      <c r="EI5" s="137">
        <f ca="1">EI4+IF(AND(EH5&lt;&gt;"",COUNTIF(EH$4:EH5,EH5)=1),1,0)</f>
        <v>1</v>
      </c>
      <c r="EJ5" s="55">
        <f t="shared" ca="1" si="56"/>
        <v>708.28319999999997</v>
      </c>
      <c r="EK5" t="str">
        <f>IF('Final Calculation Sheet'!$AA$5="","",'Final Calculation Sheet'!$AA$5)</f>
        <v/>
      </c>
      <c r="EL5" t="str">
        <f>IF(EK5="","",COUNTIFS(EK$4:EK$40,"&lt;"&amp;EK5,EK$4:EK$40,"&lt;&gt;"&amp;"")+COUNTIF(EK$4:EK5,EK5))</f>
        <v/>
      </c>
      <c r="EM5" s="55">
        <f t="shared" si="57"/>
        <v>2832</v>
      </c>
      <c r="EN5" s="137">
        <f>EN4+IF(AND(EM5&lt;&gt;"",COUNTIF(EM$4:EM5,EM5)=1),1,0)</f>
        <v>2</v>
      </c>
      <c r="EO5" t="e">
        <f t="shared" si="58"/>
        <v>#N/A</v>
      </c>
      <c r="EP5" t="str">
        <f>IF('Final Calculation Sheet'!$AB$5="","",'Final Calculation Sheet'!$AB$5)</f>
        <v/>
      </c>
      <c r="EQ5" t="str">
        <f>IF(EP5="","",COUNTIFS(EP$4:EP$40,"&lt;"&amp;EP5,EP$4:EP$40,"&lt;&gt;"&amp;"")+COUNTIF(EP$4:EP5,EP5))</f>
        <v/>
      </c>
      <c r="ER5" s="137" t="e">
        <f t="shared" si="59"/>
        <v>#N/A</v>
      </c>
      <c r="ES5" s="137" t="e">
        <f>ES4+IF(AND(ER5&lt;&gt;"",COUNTIF(ER$4:ER5,ER5)=1),1,0)</f>
        <v>#N/A</v>
      </c>
      <c r="ET5" t="e">
        <f t="shared" si="60"/>
        <v>#N/A</v>
      </c>
      <c r="EU5" s="55">
        <f>IF('Final Calculation Sheet'!$AC$5="","",'Final Calculation Sheet'!$AC$5)</f>
        <v>184240</v>
      </c>
      <c r="EV5" s="137">
        <f>IF(EU5="","",COUNTIFS(EU$4:EU$40,"&lt;"&amp;EU5,EU$4:EU$40,"&lt;&gt;"&amp;"")+COUNTIF(EU$4:EU5,EU5))</f>
        <v>21</v>
      </c>
      <c r="EW5" s="55">
        <f t="shared" si="61"/>
        <v>18117</v>
      </c>
      <c r="EX5" s="137">
        <f>EX4+IF(AND(EW5&lt;&gt;"",COUNTIF(EW$4:EW5,EW5)=1),1,0)</f>
        <v>2</v>
      </c>
      <c r="EY5" s="55">
        <f t="shared" si="62"/>
        <v>18117</v>
      </c>
      <c r="EZ5" s="55">
        <f>IF('Final Calculation Sheet'!$AD$5="","",'Final Calculation Sheet'!$AD$5)</f>
        <v>0</v>
      </c>
      <c r="FA5" s="137">
        <f>IF(EZ5="","",COUNTIFS(EZ$4:EZ$40,"&lt;"&amp;EZ5,EZ$4:EZ$40,"&lt;&gt;"&amp;"")+COUNTIF(EZ$4:EZ5,EZ5))</f>
        <v>9</v>
      </c>
      <c r="FB5" s="55">
        <f t="shared" si="63"/>
        <v>-708</v>
      </c>
      <c r="FC5" s="137">
        <f>FC4+IF(AND(FB5&lt;&gt;"",COUNTIF(FB$4:FB5,FB5)=1),1,0)</f>
        <v>2</v>
      </c>
      <c r="FD5" s="55" t="e">
        <f t="shared" si="64"/>
        <v>#N/A</v>
      </c>
      <c r="FE5" t="str">
        <f>IF('Final Calculation Sheet'!$AE$5="","",'Final Calculation Sheet'!$AE$5)</f>
        <v>DR2640100030</v>
      </c>
      <c r="FF5" s="137">
        <f>IF(FE5="","",COUNTIFS(FE$4:FE$40,"&lt;"&amp;FE5,FE$4:FE$40,"&lt;&gt;"&amp;"")+COUNTIF(FE$4:FE5,FE5))</f>
        <v>19</v>
      </c>
      <c r="FG5" s="137" t="e">
        <f t="shared" si="65"/>
        <v>#N/A</v>
      </c>
      <c r="FH5" s="137" t="e">
        <f>FH4+IF(AND(FG5&lt;&gt;"",COUNTIF(FG$4:FG5,FG5)=1),1,0)</f>
        <v>#N/A</v>
      </c>
      <c r="FI5" t="e">
        <f t="shared" si="66"/>
        <v>#N/A</v>
      </c>
      <c r="FJ5" s="141">
        <f>IF('Final Calculation Sheet'!$AF$5="","",'Final Calculation Sheet'!$AF$5)</f>
        <v>1800003302</v>
      </c>
      <c r="FK5" s="137">
        <f>IF(FJ5="","",COUNTIFS(FJ$4:FJ$40,"&lt;"&amp;FJ5,FJ$4:FJ$40,"&lt;&gt;"&amp;"")+COUNTIF(FJ$4:FJ5,FJ5))</f>
        <v>14</v>
      </c>
      <c r="FL5" s="141">
        <f t="shared" si="67"/>
        <v>1800003156</v>
      </c>
      <c r="FM5" s="137">
        <f>FM4+IF(AND(FL5&lt;&gt;"",COUNTIF(FL$4:FL5,FL5)=1),1,0)</f>
        <v>2</v>
      </c>
      <c r="FN5" t="e">
        <f t="shared" si="68"/>
        <v>#N/A</v>
      </c>
      <c r="FO5" t="str">
        <f>IF('Final Calculation Sheet'!$AG$5="","",'Final Calculation Sheet'!$AG$5)</f>
        <v>27.08.2026</v>
      </c>
      <c r="FP5" s="137">
        <f>IF(FO5="","",COUNTIFS(FO$4:FO$40,"&lt;"&amp;FO5,FO$4:FO$40,"&lt;&gt;"&amp;"")+COUNTIF(FO$4:FO5,FO5))</f>
        <v>19</v>
      </c>
      <c r="FQ5" s="137" t="e">
        <f t="shared" si="69"/>
        <v>#N/A</v>
      </c>
      <c r="FR5" s="137" t="e">
        <f>FR4+IF(AND(FQ5&lt;&gt;"",COUNTIF(FQ$4:FQ5,FQ5)=1),1,0)</f>
        <v>#N/A</v>
      </c>
      <c r="FS5" t="e">
        <f t="shared" si="70"/>
        <v>#N/A</v>
      </c>
      <c r="FT5" t="s">
        <v>204</v>
      </c>
      <c r="FU5" s="137">
        <f>IF(FT5="","",COUNTIFS(FT$4:FT$40,"&lt;"&amp;FT5,FT$4:FT$40,"&lt;&gt;"&amp;"")+COUNTIF(FT$4:FT5,FT5))</f>
        <v>1</v>
      </c>
      <c r="FV5" t="str">
        <f t="shared" si="71"/>
        <v>SETTLED</v>
      </c>
      <c r="FW5" s="137">
        <f>FW4+IF(AND(FV5&lt;&gt;"",COUNTIF(FV$4:FV5,FV5)=1),1,0)</f>
        <v>2</v>
      </c>
      <c r="FX5" t="str">
        <f t="shared" si="72"/>
        <v>SETTLED</v>
      </c>
    </row>
    <row r="6" spans="1:180" x14ac:dyDescent="0.25">
      <c r="A6">
        <f>IF('Final Calculation Sheet'!$F$6="","",'Final Calculation Sheet'!$F$6)</f>
        <v>1875</v>
      </c>
      <c r="B6" s="137">
        <f>IF(A6="","",COUNTIFS(A$4:A$114,"&lt;"&amp;A6,A$4:A$114,"&lt;&gt;"&amp;"")+COUNTIF(A$4:A6,A6))</f>
        <v>3</v>
      </c>
      <c r="C6" s="137">
        <f t="shared" si="0"/>
        <v>1875</v>
      </c>
      <c r="D6" s="137">
        <f>D5+IF(AND(C6&lt;&gt;"",COUNTIF(C$4:C6,C6)=1),1,0)</f>
        <v>3</v>
      </c>
      <c r="E6" t="e">
        <f t="shared" si="1"/>
        <v>#N/A</v>
      </c>
      <c r="F6">
        <f t="shared" si="2"/>
        <v>3</v>
      </c>
      <c r="G6" s="137">
        <f>IF(F6="","",COUNTIFS(F$4:F$40,"&lt;"&amp;F6,F$4:F$40,"&lt;&gt;"&amp;"")+COUNTIF(F$4:F6,F6))</f>
        <v>3</v>
      </c>
      <c r="H6" s="137">
        <f t="shared" si="3"/>
        <v>3</v>
      </c>
      <c r="I6" s="137">
        <f>I5+IF(AND(H6&lt;&gt;"",COUNTIF(H$4:H6,H6)=1),1,0)</f>
        <v>3</v>
      </c>
      <c r="J6">
        <f t="shared" si="4"/>
        <v>3</v>
      </c>
      <c r="K6">
        <f>IF('Final Calculation Sheet'!$F$6="","",'Final Calculation Sheet'!$F$6)</f>
        <v>1875</v>
      </c>
      <c r="L6" s="137">
        <f>IF(K6="","",COUNTIFS(K$4:K$40,"&lt;"&amp;K6,K$4:K$40,"&lt;&gt;"&amp;"")+COUNTIF(K$4:K6,K6))</f>
        <v>3</v>
      </c>
      <c r="M6" s="137">
        <f t="shared" si="5"/>
        <v>1875</v>
      </c>
      <c r="N6" s="137">
        <f>N5+IF(AND(M6&lt;&gt;"",COUNTIF(M$4:M6,M6)=1),1,0)</f>
        <v>3</v>
      </c>
      <c r="O6">
        <f t="shared" si="6"/>
        <v>1875</v>
      </c>
      <c r="P6" t="str">
        <f>IF('Final Calculation Sheet'!$G$6="","",'Final Calculation Sheet'!$G$6)</f>
        <v>F R KHANS ENTERPRISES</v>
      </c>
      <c r="Q6" s="137">
        <f>IF(P6="","",COUNTIFS(P$4:P$40,"&lt;"&amp;P6,P$4:P$40,"&lt;&gt;"&amp;"")+COUNTIF(P$4:P6,P6))</f>
        <v>2</v>
      </c>
      <c r="R6" t="str">
        <f t="shared" si="7"/>
        <v>F R KHANS ENTERPRISES</v>
      </c>
      <c r="S6" s="137">
        <f>S5+IF(AND(R6&lt;&gt;"",COUNTIF(R$4:R6,R6)=1),1,0)</f>
        <v>2</v>
      </c>
      <c r="T6" t="str">
        <f t="shared" si="8"/>
        <v>HIND TRADERS</v>
      </c>
      <c r="U6" t="str">
        <f>IF('Final Calculation Sheet'!$B$6="","",'Final Calculation Sheet'!$B$6)</f>
        <v>Scrap of Copper of faulty AC compressor</v>
      </c>
      <c r="V6" s="137">
        <f>IF(U6="","",COUNTIFS(U$4:U$40,"&lt;"&amp;U6,U$4:U$40,"&lt;&gt;"&amp;"")+COUNTIF(U$4:U6,U6))</f>
        <v>25</v>
      </c>
      <c r="W6" t="str">
        <f t="shared" si="9"/>
        <v>SCRAP ACSR CONDUCTORS (Conductor Pieces)</v>
      </c>
      <c r="X6" s="137">
        <f>X5+IF(AND(W6&lt;&gt;"",COUNTIF(W$4:W6,W6)=1),1,0)</f>
        <v>3</v>
      </c>
      <c r="Y6" t="str">
        <f t="shared" si="10"/>
        <v>SCRAP ACSR CONDUCTORS (Conductor Pieces)</v>
      </c>
      <c r="Z6">
        <f>IF('Final Calculation Sheet'!$D$6="","",'Final Calculation Sheet'!$D$6)</f>
        <v>21977</v>
      </c>
      <c r="AA6" s="137">
        <f>IF(Z6="","",COUNTIFS(Z$4:Z$40,"&lt;"&amp;Z6,Z$4:Z$40,"&lt;&gt;"&amp;"")+COUNTIF(Z$4:Z6,Z6))</f>
        <v>2</v>
      </c>
      <c r="AB6" s="137">
        <f t="shared" si="11"/>
        <v>21977</v>
      </c>
      <c r="AC6" s="137">
        <f>AC5+IF(AND(AB6&lt;&gt;"",COUNTIF(AB$4:AB6,AB6)=1),1,0)</f>
        <v>1</v>
      </c>
      <c r="AD6">
        <f t="shared" si="12"/>
        <v>21979</v>
      </c>
      <c r="AE6">
        <f>IF('Final Calculation Sheet'!$A$6="","",'Final Calculation Sheet'!$A$6)</f>
        <v>28</v>
      </c>
      <c r="AF6" s="137">
        <f>IF(AE6="","",COUNTIFS(AE$4:AE$40,"&lt;"&amp;AE6,AE$4:AE$40,"&lt;&gt;"&amp;"")+COUNTIF(AE$4:AE6,AE6))</f>
        <v>24</v>
      </c>
      <c r="AG6" s="137">
        <f t="shared" si="13"/>
        <v>1</v>
      </c>
      <c r="AH6" s="137">
        <f>AH5+IF(AND(AG6&lt;&gt;"",COUNTIF(AG$4:AG6,AG6)=1),1,0)</f>
        <v>1</v>
      </c>
      <c r="AI6">
        <f t="shared" si="14"/>
        <v>3</v>
      </c>
      <c r="AJ6" t="str">
        <f>IF('Final Calculation Sheet'!$E$6="","",'Final Calculation Sheet'!$E$6)</f>
        <v>KG</v>
      </c>
      <c r="AK6" s="137">
        <f>IF(AJ6="","",COUNTIFS(AJ$4:AJ$40,"&lt;"&amp;AJ6,AJ$4:AJ$40,"&lt;&gt;"&amp;"")+COUNTIF(AJ$4:AJ6,AJ6))</f>
        <v>2</v>
      </c>
      <c r="AL6" t="str">
        <f t="shared" si="15"/>
        <v>KG</v>
      </c>
      <c r="AM6" s="137">
        <f>AM5+IF(AND(AL6&lt;&gt;"",COUNTIF(AL$4:AL6,AL6)=1),1,0)</f>
        <v>1</v>
      </c>
      <c r="AN6" t="str">
        <f t="shared" si="16"/>
        <v>NO</v>
      </c>
      <c r="AO6" s="55">
        <f>IF('Final Calculation Sheet'!$C$6="","",'Final Calculation Sheet'!$C$6)</f>
        <v>1456</v>
      </c>
      <c r="AP6" s="137">
        <f>IF(AO6="","",COUNTIFS(AO$4:AO$40,"&lt;"&amp;AO6,AO$4:AO$40,"&lt;&gt;"&amp;"")+COUNTIF(AO$4:AO6,AO6))</f>
        <v>16</v>
      </c>
      <c r="AQ6" s="55">
        <f t="shared" si="17"/>
        <v>309</v>
      </c>
      <c r="AR6" s="137">
        <f>AR5+IF(AND(AQ6&lt;&gt;"",COUNTIF(AQ$4:AQ6,AQ6)=1),1,0)</f>
        <v>3</v>
      </c>
      <c r="AS6" s="55">
        <f t="shared" si="18"/>
        <v>309</v>
      </c>
      <c r="AT6" s="55">
        <f>IF('Final Calculation Sheet'!$H$6="","",'Final Calculation Sheet'!$H$6)</f>
        <v>40768</v>
      </c>
      <c r="AU6" s="137">
        <f>IF(AT6="","",COUNTIFS(AT$4:AT$40,"&lt;"&amp;AT6,AT$4:AT$40,"&lt;&gt;"&amp;"")+COUNTIF(AT$4:AT6,AT6))</f>
        <v>8</v>
      </c>
      <c r="AV6" s="55">
        <f t="shared" si="19"/>
        <v>21060</v>
      </c>
      <c r="AW6" s="137">
        <f>AW5+IF(AND(AV6&lt;&gt;"",COUNTIF(AV$4:AV6,AV6)=1),1,0)</f>
        <v>3</v>
      </c>
      <c r="AX6" s="55">
        <f t="shared" si="20"/>
        <v>21060</v>
      </c>
      <c r="AY6" s="55">
        <f>IF('Final Calculation Sheet'!$I$6="","",'Final Calculation Sheet'!$I$6)</f>
        <v>7338</v>
      </c>
      <c r="AZ6" s="137">
        <f>IF(AY6="","",COUNTIFS(AY$4:AY$40,"&lt;"&amp;AY6,AY$4:AY$40,"&lt;&gt;"&amp;"")+COUNTIF(AY$4:AY6,AY6))</f>
        <v>8</v>
      </c>
      <c r="BA6" s="55">
        <f t="shared" si="21"/>
        <v>3791</v>
      </c>
      <c r="BB6" s="137">
        <f>BB5+IF(AND(BA6&lt;&gt;"",COUNTIF(BA$4:BA6,BA6)=1),1,0)</f>
        <v>3</v>
      </c>
      <c r="BC6" s="55">
        <f t="shared" si="22"/>
        <v>3791</v>
      </c>
      <c r="BD6" s="55">
        <f>IF('Final Calculation Sheet'!$J$6="","",'Final Calculation Sheet'!$J$6)</f>
        <v>48106</v>
      </c>
      <c r="BE6" s="137">
        <f>IF(BD6="","",COUNTIFS(BD$4:BD$40,"&lt;"&amp;BD6,BD$4:BD$40,"&lt;&gt;"&amp;"")+COUNTIF(BD$4:BD6,BD6))</f>
        <v>8</v>
      </c>
      <c r="BF6" s="55">
        <f t="shared" si="23"/>
        <v>24851</v>
      </c>
      <c r="BG6" s="137">
        <f>BG5+IF(AND(BF6&lt;&gt;"",COUNTIF(BF$4:BF6,BF6)=1),1,0)</f>
        <v>3</v>
      </c>
      <c r="BH6" s="55">
        <f t="shared" si="24"/>
        <v>24851</v>
      </c>
      <c r="BI6" s="55">
        <f>IF('Final Calculation Sheet'!$K$6="","",'Final Calculation Sheet'!$K$6)</f>
        <v>962</v>
      </c>
      <c r="BJ6" s="137">
        <f>IF(BI6="","",COUNTIFS(BI$4:BI$40,"&lt;"&amp;BI6,BI$4:BI$40,"&lt;&gt;"&amp;"")+COUNTIF(BI$4:BI6,BI6))</f>
        <v>8</v>
      </c>
      <c r="BK6" s="55">
        <f t="shared" si="25"/>
        <v>497</v>
      </c>
      <c r="BL6" s="137">
        <f>BL5+IF(AND(BK6&lt;&gt;"",COUNTIF(BK$4:BK6,BK6)=1),1,0)</f>
        <v>3</v>
      </c>
      <c r="BM6" s="55">
        <f t="shared" si="26"/>
        <v>497</v>
      </c>
      <c r="BN6" s="55">
        <f>IF('Final Calculation Sheet'!$L$6="","",'Final Calculation Sheet'!$L$6)</f>
        <v>40.768000000000001</v>
      </c>
      <c r="BO6" s="137">
        <f>IF(BN6="","",COUNTIFS(BN$4:BN$40,"&lt;"&amp;BN6,BN$4:BN$40,"&lt;&gt;"&amp;"")+COUNTIF(BN$4:BN6,BN6))</f>
        <v>8</v>
      </c>
      <c r="BP6" s="55">
        <f t="shared" si="27"/>
        <v>21.06</v>
      </c>
      <c r="BQ6" s="137">
        <f>BQ5+IF(AND(BP6&lt;&gt;"",COUNTIF(BP$4:BP6,BP6)=1),1,0)</f>
        <v>3</v>
      </c>
      <c r="BR6" s="55">
        <f t="shared" si="28"/>
        <v>21.06</v>
      </c>
      <c r="BS6" s="55">
        <f>IF('Final Calculation Sheet'!$M$6="","",'Final Calculation Sheet'!$M$6)</f>
        <v>1082.3904</v>
      </c>
      <c r="BT6" s="137">
        <f>IF(BS6="","",COUNTIFS(BS$4:BS$40,"&lt;"&amp;BS6,BS$4:BS$40,"&lt;&gt;"&amp;"")+COUNTIF(BS$4:BS6,BS6))</f>
        <v>8</v>
      </c>
      <c r="BU6" s="55">
        <f t="shared" si="29"/>
        <v>559.14299999999992</v>
      </c>
      <c r="BV6" s="137">
        <f>BV5+IF(AND(BU6&lt;&gt;"",COUNTIF(BU$4:BU6,BU6)=1),1,0)</f>
        <v>3</v>
      </c>
      <c r="BW6" s="55">
        <f t="shared" si="30"/>
        <v>559.14299999999992</v>
      </c>
      <c r="BX6" s="138">
        <f>IF('Final Calculation Sheet'!$N$6="","",'Final Calculation Sheet'!$N$6)</f>
        <v>18.345600000000001</v>
      </c>
      <c r="BY6" s="137">
        <f>IF(BX6="","",COUNTIFS(BX$4:BX$40,"&lt;"&amp;BX6,BX$4:BX$40,"&lt;&gt;"&amp;"")+COUNTIF(BX$4:BX6,BX6))</f>
        <v>8</v>
      </c>
      <c r="BZ6" s="138">
        <f t="shared" si="31"/>
        <v>9.4770000000000003</v>
      </c>
      <c r="CA6" s="137">
        <f>CA5+IF(AND(BZ6&lt;&gt;"",COUNTIF(BZ$4:BZ6,BZ6)=1),1,0)</f>
        <v>3</v>
      </c>
      <c r="CB6" s="138">
        <f t="shared" si="32"/>
        <v>9.4770000000000003</v>
      </c>
      <c r="CC6" s="55">
        <f>IF('Final Calculation Sheet'!$O$6="","",'Final Calculation Sheet'!$O$6)</f>
        <v>1064.0447999999999</v>
      </c>
      <c r="CD6" s="137">
        <f>IF(CC6="","",COUNTIFS(CC$4:CC$40,"&lt;"&amp;CC6,CC$4:CC$40,"&lt;&gt;"&amp;"")+COUNTIF(CC$4:CC6,CC6))</f>
        <v>8</v>
      </c>
      <c r="CE6" s="55">
        <f t="shared" si="33"/>
        <v>549.66599999999994</v>
      </c>
      <c r="CF6" s="137">
        <f>CF5+IF(AND(CE6&lt;&gt;"",COUNTIF(CE$4:CE6,CE6)=1),1,0)</f>
        <v>3</v>
      </c>
      <c r="CG6" s="55">
        <f t="shared" si="34"/>
        <v>549.66599999999994</v>
      </c>
      <c r="CH6" s="55">
        <f>IF('Final Calculation Sheet'!$P$6="","",'Final Calculation Sheet'!$P$6)</f>
        <v>1105</v>
      </c>
      <c r="CI6" s="137">
        <f>IF(CH6="","",COUNTIFS(CH$4:CH$40,"&lt;"&amp;CH6,CH$4:CH$40,"&lt;&gt;"&amp;"")+COUNTIF(CH$4:CH6,CH6))</f>
        <v>8</v>
      </c>
      <c r="CJ6" s="55">
        <f t="shared" si="35"/>
        <v>571</v>
      </c>
      <c r="CK6" s="137">
        <f>CK5+IF(AND(CJ6&lt;&gt;"",COUNTIF(CJ$4:CJ6,CJ6)=1),1,0)</f>
        <v>3</v>
      </c>
      <c r="CL6" s="55">
        <f t="shared" si="36"/>
        <v>571</v>
      </c>
      <c r="CM6" s="139">
        <f>IF('Final Calculation Sheet'!$Q$6="","",'Final Calculation Sheet'!$Q$6)</f>
        <v>0</v>
      </c>
      <c r="CN6" s="137">
        <f>IF(CM6="","",COUNTIFS(CM$4:CM$40,"&lt;"&amp;CM6,CM$4:CM$40,"&lt;&gt;"&amp;"")+COUNTIF(CM$4:CM6,CM6))</f>
        <v>2</v>
      </c>
      <c r="CO6" s="139">
        <f t="shared" si="37"/>
        <v>0</v>
      </c>
      <c r="CP6" s="137">
        <f>CP5+IF(AND(CO6&lt;&gt;"",COUNTIF(CO$4:CO6,CO6)=1),1,0)</f>
        <v>1</v>
      </c>
      <c r="CQ6" t="str">
        <f t="shared" si="38"/>
        <v/>
      </c>
      <c r="CR6" s="55">
        <f>IF('Final Calculation Sheet'!$R$6="","",'Final Calculation Sheet'!$R$6)</f>
        <v>0</v>
      </c>
      <c r="CS6" s="137">
        <f>IF(CR6="","",COUNTIFS(CR$4:CR$40,"&lt;"&amp;CR6,CR$4:CR$40,"&lt;&gt;"&amp;"")+COUNTIF(CR$4:CR6,CR6))</f>
        <v>2</v>
      </c>
      <c r="CT6" s="55">
        <f t="shared" si="39"/>
        <v>0</v>
      </c>
      <c r="CU6" s="137">
        <f>CU5+IF(AND(CT6&lt;&gt;"",COUNTIF(CT$4:CT6,CT6)=1),1,0)</f>
        <v>1</v>
      </c>
      <c r="CV6" s="55">
        <f t="shared" si="40"/>
        <v>15802</v>
      </c>
      <c r="CW6" s="55">
        <f>IF('Final Calculation Sheet'!$S$6="","",'Final Calculation Sheet'!$S$6)</f>
        <v>47964</v>
      </c>
      <c r="CX6" s="137">
        <f>IF(CW6="","",COUNTIFS(CW$4:CW$40,"&lt;"&amp;CW6,CW$4:CW$40,"&lt;&gt;"&amp;"")+COUNTIF(CW$4:CW6,CW6))</f>
        <v>8</v>
      </c>
      <c r="CY6" s="55">
        <f t="shared" si="41"/>
        <v>24777</v>
      </c>
      <c r="CZ6" s="137">
        <f>CZ5+IF(AND(CY6&lt;&gt;"",COUNTIF(CY$4:CY6,CY6)=1),1,0)</f>
        <v>3</v>
      </c>
      <c r="DA6" s="55">
        <f t="shared" si="42"/>
        <v>24777</v>
      </c>
      <c r="DB6" s="55">
        <f>IF('Final Calculation Sheet'!$T$6="","",'Final Calculation Sheet'!$T$6)</f>
        <v>10192</v>
      </c>
      <c r="DC6" s="137">
        <f>IF(DB6="","",COUNTIFS(DB$4:DB$40,"&lt;"&amp;DB6,DB$4:DB$40,"&lt;&gt;"&amp;"")+COUNTIF(DB$4:DB6,DB6))</f>
        <v>8</v>
      </c>
      <c r="DD6" s="55">
        <f t="shared" si="43"/>
        <v>5265</v>
      </c>
      <c r="DE6" s="137">
        <f>DE5+IF(AND(DD6&lt;&gt;"",COUNTIF(DD$4:DD6,DD6)=1),1,0)</f>
        <v>3</v>
      </c>
      <c r="DF6" s="55">
        <f t="shared" si="44"/>
        <v>5265</v>
      </c>
      <c r="DG6" s="140">
        <f>IF('Final Calculation Sheet'!$U$6="","",'Final Calculation Sheet'!$U$6)</f>
        <v>10192</v>
      </c>
      <c r="DH6" s="137">
        <f>IF(DG6="","",COUNTIFS(DG$4:DG$40,"&lt;"&amp;DG6,DG$4:DG$40,"&lt;&gt;"&amp;"")+COUNTIF(DG$4:DG6,DG6))</f>
        <v>8</v>
      </c>
      <c r="DI6" s="140">
        <f t="shared" si="45"/>
        <v>5265</v>
      </c>
      <c r="DJ6" s="137">
        <f>DJ5+IF(AND(DI6&lt;&gt;"",COUNTIF(DI$4:DI6,DI6)=1),1,0)</f>
        <v>3</v>
      </c>
      <c r="DK6" s="140">
        <f t="shared" si="46"/>
        <v>5265</v>
      </c>
      <c r="DL6" t="str">
        <f>IF('Final Calculation Sheet'!$V$6="","",'Final Calculation Sheet'!$V$6)</f>
        <v>11.08.2026</v>
      </c>
      <c r="DM6" s="137">
        <f>IF(DL6="","",COUNTIFS(DL$4:DL$40,"&lt;"&amp;DL6,DL$4:DL$40,"&lt;&gt;"&amp;"")+COUNTIF(DL$4:DL6,DL6))</f>
        <v>2</v>
      </c>
      <c r="DN6" t="str">
        <f t="shared" si="47"/>
        <v>11.08.2026</v>
      </c>
      <c r="DO6" s="137">
        <f>DO5+IF(AND(DN6&lt;&gt;"",COUNTIF(DN$4:DN6,DN6)=1),1,0)</f>
        <v>2</v>
      </c>
      <c r="DP6" t="str">
        <f t="shared" si="48"/>
        <v>13.08.2026</v>
      </c>
      <c r="DQ6" s="55">
        <f>IF('Final Calculation Sheet'!$W$6="","",'Final Calculation Sheet'!$W$6)</f>
        <v>37772</v>
      </c>
      <c r="DR6" s="137">
        <f>IF(DQ6="","",COUNTIFS(DQ$4:DQ$40,"&lt;"&amp;DQ6,DQ$4:DQ$40,"&lt;&gt;"&amp;"")+COUNTIF(DQ$4:DQ6,DQ6))</f>
        <v>8</v>
      </c>
      <c r="DS6" s="55">
        <f t="shared" si="49"/>
        <v>19512</v>
      </c>
      <c r="DT6" s="137">
        <f>DT5+IF(AND(DS6&lt;&gt;"",COUNTIF(DS$4:DS6,DS6)=1),1,0)</f>
        <v>3</v>
      </c>
      <c r="DU6" s="55">
        <f t="shared" si="50"/>
        <v>19512</v>
      </c>
      <c r="DV6" s="55">
        <f>IF('Final Calculation Sheet'!$X$6="","",'Final Calculation Sheet'!$X$6)</f>
        <v>37772</v>
      </c>
      <c r="DW6" s="137">
        <f>IF(DV6="","",COUNTIFS(DV$4:DV$40,"&lt;"&amp;DV6,DV$4:DV$40,"&lt;&gt;"&amp;"")+COUNTIF(DV$4:DV6,DV6))</f>
        <v>8</v>
      </c>
      <c r="DX6" s="55">
        <f t="shared" si="51"/>
        <v>19512</v>
      </c>
      <c r="DY6" s="137">
        <f>DY5+IF(AND(DX6&lt;&gt;"",COUNTIF(DX$4:DX6,DX6)=1),1,0)</f>
        <v>3</v>
      </c>
      <c r="DZ6" t="e">
        <f t="shared" si="52"/>
        <v>#N/A</v>
      </c>
      <c r="EA6" t="str">
        <f>IF('Final Calculation Sheet'!$Y$6="","",'Final Calculation Sheet'!$Y$6)</f>
        <v>20.08.2026</v>
      </c>
      <c r="EB6" s="137">
        <f>IF(EA6="","",COUNTIFS(EA$4:EA$40,"&lt;"&amp;EA6,EA$4:EA$40,"&lt;&gt;"&amp;"")+COUNTIF(EA$4:EA6,EA6))</f>
        <v>14</v>
      </c>
      <c r="EC6" t="str">
        <f t="shared" si="53"/>
        <v>10.08.2026</v>
      </c>
      <c r="ED6" s="137">
        <f>ED5+IF(AND(EC6&lt;&gt;"",COUNTIF(EC$4:EC6,EC6)=1),1,0)</f>
        <v>2</v>
      </c>
      <c r="EE6" t="e">
        <f t="shared" si="54"/>
        <v>#N/A</v>
      </c>
      <c r="EF6" s="55">
        <f ca="1">IF('Final Calculation Sheet'!$Z$6="","",'Final Calculation Sheet'!$Z$6)</f>
        <v>0</v>
      </c>
      <c r="EG6" s="137">
        <f ca="1">IF(EF6="","",COUNTIFS(EF$4:EF$40,"&lt;"&amp;EF6,EF$4:EF$40,"&lt;&gt;"&amp;"")+COUNTIF(EF$4:EF6,EF6))</f>
        <v>3</v>
      </c>
      <c r="EH6" s="55">
        <f t="shared" ca="1" si="55"/>
        <v>0</v>
      </c>
      <c r="EI6" s="137">
        <f ca="1">EI5+IF(AND(EH6&lt;&gt;"",COUNTIF(EH$4:EH6,EH6)=1),1,0)</f>
        <v>1</v>
      </c>
      <c r="EJ6" s="55">
        <f t="shared" ca="1" si="56"/>
        <v>1911.6</v>
      </c>
      <c r="EK6" t="str">
        <f>IF('Final Calculation Sheet'!$AA$6="","",'Final Calculation Sheet'!$AA$6)</f>
        <v/>
      </c>
      <c r="EL6" t="str">
        <f>IF(EK6="","",COUNTIFS(EK$4:EK$40,"&lt;"&amp;EK6,EK$4:EK$40,"&lt;&gt;"&amp;"")+COUNTIF(EK$4:EK6,EK6))</f>
        <v/>
      </c>
      <c r="EM6" s="137" t="e">
        <f t="shared" si="57"/>
        <v>#N/A</v>
      </c>
      <c r="EN6" s="137" t="e">
        <f>EN5+IF(AND(EM6&lt;&gt;"",COUNTIF(EM$4:EM6,EM6)=1),1,0)</f>
        <v>#N/A</v>
      </c>
      <c r="EO6" t="e">
        <f t="shared" si="58"/>
        <v>#N/A</v>
      </c>
      <c r="EP6" t="str">
        <f>IF('Final Calculation Sheet'!$AB$6="","",'Final Calculation Sheet'!$AB$6)</f>
        <v/>
      </c>
      <c r="EQ6" t="str">
        <f>IF(EP6="","",COUNTIFS(EP$4:EP$40,"&lt;"&amp;EP6,EP$4:EP$40,"&lt;&gt;"&amp;"")+COUNTIF(EP$4:EP6,EP6))</f>
        <v/>
      </c>
      <c r="ER6" s="137" t="e">
        <f t="shared" si="59"/>
        <v>#N/A</v>
      </c>
      <c r="ES6" s="137" t="e">
        <f>ES5+IF(AND(ER6&lt;&gt;"",COUNTIF(ER$4:ER6,ER6)=1),1,0)</f>
        <v>#N/A</v>
      </c>
      <c r="ET6" t="e">
        <f t="shared" si="60"/>
        <v>#N/A</v>
      </c>
      <c r="EU6" s="55">
        <f>IF('Final Calculation Sheet'!$AC$6="","",'Final Calculation Sheet'!$AC$6)</f>
        <v>47964</v>
      </c>
      <c r="EV6" s="137">
        <f>IF(EU6="","",COUNTIFS(EU$4:EU$40,"&lt;"&amp;EU6,EU$4:EU$40,"&lt;&gt;"&amp;"")+COUNTIF(EU$4:EU6,EU6))</f>
        <v>9</v>
      </c>
      <c r="EW6" s="55">
        <f t="shared" si="61"/>
        <v>20589</v>
      </c>
      <c r="EX6" s="137">
        <f>EX5+IF(AND(EW6&lt;&gt;"",COUNTIF(EW$4:EW6,EW6)=1),1,0)</f>
        <v>3</v>
      </c>
      <c r="EY6" s="55">
        <f t="shared" si="62"/>
        <v>20589</v>
      </c>
      <c r="EZ6" s="55">
        <f>IF('Final Calculation Sheet'!$AD$6="","",'Final Calculation Sheet'!$AD$6)</f>
        <v>0</v>
      </c>
      <c r="FA6" s="137">
        <f>IF(EZ6="","",COUNTIFS(EZ$4:EZ$40,"&lt;"&amp;EZ6,EZ$4:EZ$40,"&lt;&gt;"&amp;"")+COUNTIF(EZ$4:EZ6,EZ6))</f>
        <v>10</v>
      </c>
      <c r="FB6" s="55">
        <f t="shared" si="63"/>
        <v>-48</v>
      </c>
      <c r="FC6" s="137">
        <f>FC5+IF(AND(FB6&lt;&gt;"",COUNTIF(FB$4:FB6,FB6)=1),1,0)</f>
        <v>3</v>
      </c>
      <c r="FD6" s="55" t="e">
        <f t="shared" si="64"/>
        <v>#N/A</v>
      </c>
      <c r="FE6" t="str">
        <f>IF('Final Calculation Sheet'!$AE$6="","",'Final Calculation Sheet'!$AE$6)</f>
        <v>DR2640100047</v>
      </c>
      <c r="FF6" s="137">
        <f>IF(FE6="","",COUNTIFS(FE$4:FE$40,"&lt;"&amp;FE6,FE$4:FE$40,"&lt;&gt;"&amp;"")+COUNTIF(FE$4:FE6,FE6))</f>
        <v>36</v>
      </c>
      <c r="FG6" s="137" t="e">
        <f t="shared" si="65"/>
        <v>#N/A</v>
      </c>
      <c r="FH6" s="137" t="e">
        <f>FH5+IF(AND(FG6&lt;&gt;"",COUNTIF(FG$4:FG6,FG6)=1),1,0)</f>
        <v>#N/A</v>
      </c>
      <c r="FI6" t="e">
        <f t="shared" si="66"/>
        <v>#N/A</v>
      </c>
      <c r="FJ6" s="141">
        <f>IF('Final Calculation Sheet'!$AF$6="","",'Final Calculation Sheet'!$AF$6)</f>
        <v>1800003346</v>
      </c>
      <c r="FK6" s="137">
        <f>IF(FJ6="","",COUNTIFS(FJ$4:FJ$40,"&lt;"&amp;FJ6,FJ$4:FJ$40,"&lt;&gt;"&amp;"")+COUNTIF(FJ$4:FJ6,FJ6))</f>
        <v>31</v>
      </c>
      <c r="FL6" s="141">
        <f t="shared" si="67"/>
        <v>1800003157</v>
      </c>
      <c r="FM6" s="137">
        <f>FM5+IF(AND(FL6&lt;&gt;"",COUNTIF(FL$4:FL6,FL6)=1),1,0)</f>
        <v>3</v>
      </c>
      <c r="FN6" t="e">
        <f t="shared" si="68"/>
        <v>#N/A</v>
      </c>
      <c r="FO6" t="str">
        <f>IF('Final Calculation Sheet'!$AG$6="","",'Final Calculation Sheet'!$AG$6)</f>
        <v>27.08.2026</v>
      </c>
      <c r="FP6" s="137">
        <f>IF(FO6="","",COUNTIFS(FO$4:FO$40,"&lt;"&amp;FO6,FO$4:FO$40,"&lt;&gt;"&amp;"")+COUNTIF(FO$4:FO6,FO6))</f>
        <v>20</v>
      </c>
      <c r="FQ6" s="137" t="e">
        <f t="shared" si="69"/>
        <v>#N/A</v>
      </c>
      <c r="FR6" s="137" t="e">
        <f>FR5+IF(AND(FQ6&lt;&gt;"",COUNTIF(FQ$4:FQ6,FQ6)=1),1,0)</f>
        <v>#N/A</v>
      </c>
      <c r="FS6" t="e">
        <f t="shared" si="70"/>
        <v>#N/A</v>
      </c>
      <c r="FU6" t="str">
        <f>IF(FT6="","",COUNTIFS(FT$4:FT$40,"&lt;"&amp;FT6,FT$4:FT$40,"&lt;&gt;"&amp;"")+COUNTIF(FT$4:FT6,FT6))</f>
        <v/>
      </c>
      <c r="FV6" t="str">
        <f t="shared" si="71"/>
        <v/>
      </c>
      <c r="FW6" s="137">
        <f>FW5+IF(AND(FV6&lt;&gt;"",COUNTIF(FV$4:FV6,FV6)=1),1,0)</f>
        <v>2</v>
      </c>
      <c r="FX6" t="str">
        <f t="shared" si="72"/>
        <v/>
      </c>
    </row>
    <row r="7" spans="1:180" x14ac:dyDescent="0.25">
      <c r="A7">
        <f>IF('Final Calculation Sheet'!$F$7="","",'Final Calculation Sheet'!$F$7)</f>
        <v>1876</v>
      </c>
      <c r="B7" s="137">
        <f>IF(A7="","",COUNTIFS(A$4:A$114,"&lt;"&amp;A7,A$4:A$114,"&lt;&gt;"&amp;"")+COUNTIF(A$4:A7,A7))</f>
        <v>4</v>
      </c>
      <c r="C7" s="137">
        <f t="shared" si="0"/>
        <v>1876</v>
      </c>
      <c r="D7" s="137">
        <f>D6+IF(AND(C7&lt;&gt;"",COUNTIF(C$4:C7,C7)=1),1,0)</f>
        <v>4</v>
      </c>
      <c r="E7" t="e">
        <f t="shared" si="1"/>
        <v>#N/A</v>
      </c>
      <c r="F7">
        <f t="shared" si="2"/>
        <v>4</v>
      </c>
      <c r="G7" s="137">
        <f>IF(F7="","",COUNTIFS(F$4:F$40,"&lt;"&amp;F7,F$4:F$40,"&lt;&gt;"&amp;"")+COUNTIF(F$4:F7,F7))</f>
        <v>4</v>
      </c>
      <c r="H7" s="137">
        <f t="shared" si="3"/>
        <v>4</v>
      </c>
      <c r="I7" s="137">
        <f>I6+IF(AND(H7&lt;&gt;"",COUNTIF(H$4:H7,H7)=1),1,0)</f>
        <v>4</v>
      </c>
      <c r="J7">
        <f t="shared" si="4"/>
        <v>4</v>
      </c>
      <c r="K7">
        <f>IF('Final Calculation Sheet'!$F$7="","",'Final Calculation Sheet'!$F$7)</f>
        <v>1876</v>
      </c>
      <c r="L7" s="137">
        <f>IF(K7="","",COUNTIFS(K$4:K$40,"&lt;"&amp;K7,K$4:K$40,"&lt;&gt;"&amp;"")+COUNTIF(K$4:K7,K7))</f>
        <v>4</v>
      </c>
      <c r="M7" s="137">
        <f t="shared" si="5"/>
        <v>1876</v>
      </c>
      <c r="N7" s="137">
        <f>N6+IF(AND(M7&lt;&gt;"",COUNTIF(M$4:M7,M7)=1),1,0)</f>
        <v>4</v>
      </c>
      <c r="O7">
        <f t="shared" si="6"/>
        <v>1876</v>
      </c>
      <c r="P7" t="str">
        <f>IF('Final Calculation Sheet'!$G$7="","",'Final Calculation Sheet'!$G$7)</f>
        <v>F R KHANS ENTERPRISES</v>
      </c>
      <c r="Q7" s="137">
        <f>IF(P7="","",COUNTIFS(P$4:P$40,"&lt;"&amp;P7,P$4:P$40,"&lt;&gt;"&amp;"")+COUNTIF(P$4:P7,P7))</f>
        <v>3</v>
      </c>
      <c r="R7" t="str">
        <f t="shared" si="7"/>
        <v>HIND TRADERS</v>
      </c>
      <c r="S7" s="137">
        <f>S6+IF(AND(R7&lt;&gt;"",COUNTIF(R$4:R7,R7)=1),1,0)</f>
        <v>3</v>
      </c>
      <c r="T7" t="str">
        <f t="shared" si="8"/>
        <v>KASHYAP TRADING CO</v>
      </c>
      <c r="U7" t="str">
        <f>IF('Final Calculation Sheet'!$B$7="","",'Final Calculation Sheet'!$B$7)</f>
        <v>Scrap of MS (extracted from equip cage and empty Sf6 gas cylinder)</v>
      </c>
      <c r="V7" s="137">
        <f>IF(U7="","",COUNTIFS(U$4:U$40,"&lt;"&amp;U7,U$4:U$40,"&lt;&gt;"&amp;"")+COUNTIF(U$4:U7,U7))</f>
        <v>35</v>
      </c>
      <c r="W7" t="str">
        <f t="shared" si="9"/>
        <v>SCRAP COPPER OF T/F WINDING (Oil impregnated paper insulated T/F winding)</v>
      </c>
      <c r="X7" s="137">
        <f>X6+IF(AND(W7&lt;&gt;"",COUNTIF(W$4:W7,W7)=1),1,0)</f>
        <v>4</v>
      </c>
      <c r="Y7" t="str">
        <f t="shared" si="10"/>
        <v>SCRAP COPPER OF T/F WINDING (Oil impregnated paper insulated T/F winding)</v>
      </c>
      <c r="Z7">
        <f>IF('Final Calculation Sheet'!$D$7="","",'Final Calculation Sheet'!$D$7)</f>
        <v>21977</v>
      </c>
      <c r="AA7" s="137">
        <f>IF(Z7="","",COUNTIFS(Z$4:Z$40,"&lt;"&amp;Z7,Z$4:Z$40,"&lt;&gt;"&amp;"")+COUNTIF(Z$4:Z7,Z7))</f>
        <v>3</v>
      </c>
      <c r="AB7" s="137">
        <f t="shared" si="11"/>
        <v>21977</v>
      </c>
      <c r="AC7" s="137">
        <f>AC6+IF(AND(AB7&lt;&gt;"",COUNTIF(AB$4:AB7,AB7)=1),1,0)</f>
        <v>1</v>
      </c>
      <c r="AD7">
        <f t="shared" si="12"/>
        <v>21980</v>
      </c>
      <c r="AE7">
        <f>IF('Final Calculation Sheet'!$A$7="","",'Final Calculation Sheet'!$A$7)</f>
        <v>3000</v>
      </c>
      <c r="AF7" s="137">
        <f>IF(AE7="","",COUNTIFS(AE$4:AE$40,"&lt;"&amp;AE7,AE$4:AE$40,"&lt;&gt;"&amp;"")+COUNTIF(AE$4:AE7,AE7))</f>
        <v>35</v>
      </c>
      <c r="AG7" s="137">
        <f t="shared" si="13"/>
        <v>1</v>
      </c>
      <c r="AH7" s="137">
        <f>AH6+IF(AND(AG7&lt;&gt;"",COUNTIF(AG$4:AG7,AG7)=1),1,0)</f>
        <v>1</v>
      </c>
      <c r="AI7">
        <f t="shared" si="14"/>
        <v>4</v>
      </c>
      <c r="AJ7" t="str">
        <f>IF('Final Calculation Sheet'!$E$7="","",'Final Calculation Sheet'!$E$7)</f>
        <v>KG</v>
      </c>
      <c r="AK7" s="137">
        <f>IF(AJ7="","",COUNTIFS(AJ$4:AJ$40,"&lt;"&amp;AJ7,AJ$4:AJ$40,"&lt;&gt;"&amp;"")+COUNTIF(AJ$4:AJ7,AJ7))</f>
        <v>3</v>
      </c>
      <c r="AL7" t="str">
        <f t="shared" si="15"/>
        <v>KG</v>
      </c>
      <c r="AM7" s="137">
        <f>AM6+IF(AND(AL7&lt;&gt;"",COUNTIF(AL$4:AL7,AL7)=1),1,0)</f>
        <v>1</v>
      </c>
      <c r="AN7" t="str">
        <f t="shared" si="16"/>
        <v/>
      </c>
      <c r="AO7" s="55">
        <f>IF('Final Calculation Sheet'!$C$7="","",'Final Calculation Sheet'!$C$7)</f>
        <v>66</v>
      </c>
      <c r="AP7" s="137">
        <f>IF(AO7="","",COUNTIFS(AO$4:AO$40,"&lt;"&amp;AO7,AO$4:AO$40,"&lt;&gt;"&amp;"")+COUNTIF(AO$4:AO7,AO7))</f>
        <v>1</v>
      </c>
      <c r="AQ7" s="55">
        <f t="shared" si="17"/>
        <v>333</v>
      </c>
      <c r="AR7" s="137">
        <f>AR6+IF(AND(AQ7&lt;&gt;"",COUNTIF(AQ$4:AQ7,AQ7)=1),1,0)</f>
        <v>4</v>
      </c>
      <c r="AS7" s="55">
        <f t="shared" si="18"/>
        <v>333</v>
      </c>
      <c r="AT7" s="55">
        <f>IF('Final Calculation Sheet'!$H$7="","",'Final Calculation Sheet'!$H$7)</f>
        <v>198000</v>
      </c>
      <c r="AU7" s="137">
        <f>IF(AT7="","",COUNTIFS(AT$4:AT$40,"&lt;"&amp;AT7,AT$4:AT$40,"&lt;&gt;"&amp;"")+COUNTIF(AT$4:AT7,AT7))</f>
        <v>21</v>
      </c>
      <c r="AV7" s="55">
        <f t="shared" si="19"/>
        <v>26550</v>
      </c>
      <c r="AW7" s="137">
        <f>AW6+IF(AND(AV7&lt;&gt;"",COUNTIF(AV$4:AV7,AV7)=1),1,0)</f>
        <v>4</v>
      </c>
      <c r="AX7" s="55">
        <f t="shared" si="20"/>
        <v>26550</v>
      </c>
      <c r="AY7" s="55">
        <f>IF('Final Calculation Sheet'!$I$7="","",'Final Calculation Sheet'!$I$7)</f>
        <v>35640</v>
      </c>
      <c r="AZ7" s="137">
        <f>IF(AY7="","",COUNTIFS(AY$4:AY$40,"&lt;"&amp;AY7,AY$4:AY$40,"&lt;&gt;"&amp;"")+COUNTIF(AY$4:AY7,AY7))</f>
        <v>21</v>
      </c>
      <c r="BA7" s="55">
        <f t="shared" si="21"/>
        <v>4779</v>
      </c>
      <c r="BB7" s="137">
        <f>BB6+IF(AND(BA7&lt;&gt;"",COUNTIF(BA$4:BA7,BA7)=1),1,0)</f>
        <v>4</v>
      </c>
      <c r="BC7" s="55">
        <f t="shared" si="22"/>
        <v>4779</v>
      </c>
      <c r="BD7" s="55">
        <f>IF('Final Calculation Sheet'!$J$7="","",'Final Calculation Sheet'!$J$7)</f>
        <v>233640</v>
      </c>
      <c r="BE7" s="137">
        <f>IF(BD7="","",COUNTIFS(BD$4:BD$40,"&lt;"&amp;BD7,BD$4:BD$40,"&lt;&gt;"&amp;"")+COUNTIF(BD$4:BD7,BD7))</f>
        <v>21</v>
      </c>
      <c r="BF7" s="55">
        <f t="shared" si="23"/>
        <v>31329</v>
      </c>
      <c r="BG7" s="137">
        <f>BG6+IF(AND(BF7&lt;&gt;"",COUNTIF(BF$4:BF7,BF7)=1),1,0)</f>
        <v>4</v>
      </c>
      <c r="BH7" s="55">
        <f t="shared" si="24"/>
        <v>31329</v>
      </c>
      <c r="BI7" s="55">
        <f>IF('Final Calculation Sheet'!$K$7="","",'Final Calculation Sheet'!$K$7)</f>
        <v>4673</v>
      </c>
      <c r="BJ7" s="137">
        <f>IF(BI7="","",COUNTIFS(BI$4:BI$40,"&lt;"&amp;BI7,BI$4:BI$40,"&lt;&gt;"&amp;"")+COUNTIF(BI$4:BI7,BI7))</f>
        <v>21</v>
      </c>
      <c r="BK7" s="55">
        <f t="shared" si="25"/>
        <v>627</v>
      </c>
      <c r="BL7" s="137">
        <f>BL6+IF(AND(BK7&lt;&gt;"",COUNTIF(BK$4:BK7,BK7)=1),1,0)</f>
        <v>4</v>
      </c>
      <c r="BM7" s="55">
        <f t="shared" si="26"/>
        <v>627</v>
      </c>
      <c r="BN7" s="55">
        <f>IF('Final Calculation Sheet'!$L$7="","",'Final Calculation Sheet'!$L$7)</f>
        <v>198</v>
      </c>
      <c r="BO7" s="137">
        <f>IF(BN7="","",COUNTIFS(BN$4:BN$40,"&lt;"&amp;BN7,BN$4:BN$40,"&lt;&gt;"&amp;"")+COUNTIF(BN$4:BN7,BN7))</f>
        <v>21</v>
      </c>
      <c r="BP7" s="55">
        <f t="shared" si="27"/>
        <v>26.55</v>
      </c>
      <c r="BQ7" s="137">
        <f>BQ6+IF(AND(BP7&lt;&gt;"",COUNTIF(BP$4:BP7,BP7)=1),1,0)</f>
        <v>4</v>
      </c>
      <c r="BR7" s="55">
        <f t="shared" si="28"/>
        <v>26.55</v>
      </c>
      <c r="BS7" s="55">
        <f>IF('Final Calculation Sheet'!$M$7="","",'Final Calculation Sheet'!$M$7)</f>
        <v>5256.9</v>
      </c>
      <c r="BT7" s="137">
        <f>IF(BS7="","",COUNTIFS(BS$4:BS$40,"&lt;"&amp;BS7,BS$4:BS$40,"&lt;&gt;"&amp;"")+COUNTIF(BS$4:BS7,BS7))</f>
        <v>21</v>
      </c>
      <c r="BU7" s="55">
        <f t="shared" si="29"/>
        <v>704.90249999999992</v>
      </c>
      <c r="BV7" s="137">
        <f>BV6+IF(AND(BU7&lt;&gt;"",COUNTIF(BU$4:BU7,BU7)=1),1,0)</f>
        <v>4</v>
      </c>
      <c r="BW7" s="55">
        <f t="shared" si="30"/>
        <v>704.90249999999992</v>
      </c>
      <c r="BX7" s="138">
        <f>IF('Final Calculation Sheet'!$N$7="","",'Final Calculation Sheet'!$N$7)</f>
        <v>89.100000000000009</v>
      </c>
      <c r="BY7" s="137">
        <f>IF(BX7="","",COUNTIFS(BX$4:BX$40,"&lt;"&amp;BX7,BX$4:BX$40,"&lt;&gt;"&amp;"")+COUNTIF(BX$4:BX7,BX7))</f>
        <v>21</v>
      </c>
      <c r="BZ7" s="138">
        <f t="shared" si="31"/>
        <v>11.9475</v>
      </c>
      <c r="CA7" s="137">
        <f>CA6+IF(AND(BZ7&lt;&gt;"",COUNTIF(BZ$4:BZ7,BZ7)=1),1,0)</f>
        <v>4</v>
      </c>
      <c r="CB7" s="138">
        <f t="shared" si="32"/>
        <v>11.9475</v>
      </c>
      <c r="CC7" s="55">
        <f>IF('Final Calculation Sheet'!$O$7="","",'Final Calculation Sheet'!$O$7)</f>
        <v>5167.7999999999993</v>
      </c>
      <c r="CD7" s="137">
        <f>IF(CC7="","",COUNTIFS(CC$4:CC$40,"&lt;"&amp;CC7,CC$4:CC$40,"&lt;&gt;"&amp;"")+COUNTIF(CC$4:CC7,CC7))</f>
        <v>21</v>
      </c>
      <c r="CE7" s="55">
        <f t="shared" si="33"/>
        <v>692.95499999999993</v>
      </c>
      <c r="CF7" s="137">
        <f>CF6+IF(AND(CE7&lt;&gt;"",COUNTIF(CE$4:CE7,CE7)=1),1,0)</f>
        <v>4</v>
      </c>
      <c r="CG7" s="55">
        <f t="shared" si="34"/>
        <v>692.95499999999993</v>
      </c>
      <c r="CH7" s="55">
        <f>IF('Final Calculation Sheet'!$P$7="","",'Final Calculation Sheet'!$P$7)</f>
        <v>5366</v>
      </c>
      <c r="CI7" s="137">
        <f>IF(CH7="","",COUNTIFS(CH$4:CH$40,"&lt;"&amp;CH7,CH$4:CH$40,"&lt;&gt;"&amp;"")+COUNTIF(CH$4:CH7,CH7))</f>
        <v>21</v>
      </c>
      <c r="CJ7" s="55">
        <f t="shared" si="35"/>
        <v>720</v>
      </c>
      <c r="CK7" s="137">
        <f>CK6+IF(AND(CJ7&lt;&gt;"",COUNTIF(CJ$4:CJ7,CJ7)=1),1,0)</f>
        <v>4</v>
      </c>
      <c r="CL7" s="55">
        <f t="shared" si="36"/>
        <v>720</v>
      </c>
      <c r="CM7" s="139">
        <f>IF('Final Calculation Sheet'!$Q$7="","",'Final Calculation Sheet'!$Q$7)</f>
        <v>0</v>
      </c>
      <c r="CN7" s="137">
        <f>IF(CM7="","",COUNTIFS(CM$4:CM$40,"&lt;"&amp;CM7,CM$4:CM$40,"&lt;&gt;"&amp;"")+COUNTIF(CM$4:CM7,CM7))</f>
        <v>3</v>
      </c>
      <c r="CO7" s="139">
        <f t="shared" si="37"/>
        <v>0</v>
      </c>
      <c r="CP7" s="137">
        <f>CP6+IF(AND(CO7&lt;&gt;"",COUNTIF(CO$4:CO7,CO7)=1),1,0)</f>
        <v>1</v>
      </c>
      <c r="CQ7" t="str">
        <f t="shared" si="38"/>
        <v/>
      </c>
      <c r="CR7" s="55">
        <f>IF('Final Calculation Sheet'!$R$7="","",'Final Calculation Sheet'!$R$7)</f>
        <v>0</v>
      </c>
      <c r="CS7" s="137">
        <f>IF(CR7="","",COUNTIFS(CR$4:CR$40,"&lt;"&amp;CR7,CR$4:CR$40,"&lt;&gt;"&amp;"")+COUNTIF(CR$4:CR7,CR7))</f>
        <v>3</v>
      </c>
      <c r="CT7" s="55">
        <f t="shared" si="39"/>
        <v>0</v>
      </c>
      <c r="CU7" s="137">
        <f>CU6+IF(AND(CT7&lt;&gt;"",COUNTIF(CT$4:CT7,CT7)=1),1,0)</f>
        <v>1</v>
      </c>
      <c r="CV7" s="55">
        <f t="shared" si="40"/>
        <v>23310</v>
      </c>
      <c r="CW7" s="55">
        <f>IF('Final Calculation Sheet'!$S$7="","",'Final Calculation Sheet'!$S$7)</f>
        <v>232947</v>
      </c>
      <c r="CX7" s="137">
        <f>IF(CW7="","",COUNTIFS(CW$4:CW$40,"&lt;"&amp;CW7,CW$4:CW$40,"&lt;&gt;"&amp;"")+COUNTIF(CW$4:CW7,CW7))</f>
        <v>21</v>
      </c>
      <c r="CY7" s="55">
        <f t="shared" si="41"/>
        <v>31236</v>
      </c>
      <c r="CZ7" s="137">
        <f>CZ6+IF(AND(CY7&lt;&gt;"",COUNTIF(CY$4:CY7,CY7)=1),1,0)</f>
        <v>4</v>
      </c>
      <c r="DA7" s="55">
        <f t="shared" si="42"/>
        <v>31236</v>
      </c>
      <c r="DB7" s="55">
        <f>IF('Final Calculation Sheet'!$T$7="","",'Final Calculation Sheet'!$T$7)</f>
        <v>49500</v>
      </c>
      <c r="DC7" s="137">
        <f>IF(DB7="","",COUNTIFS(DB$4:DB$40,"&lt;"&amp;DB7,DB$4:DB$40,"&lt;&gt;"&amp;"")+COUNTIF(DB$4:DB7,DB7))</f>
        <v>21</v>
      </c>
      <c r="DD7" s="55">
        <f t="shared" si="43"/>
        <v>6638</v>
      </c>
      <c r="DE7" s="137">
        <f>DE6+IF(AND(DD7&lt;&gt;"",COUNTIF(DD$4:DD7,DD7)=1),1,0)</f>
        <v>4</v>
      </c>
      <c r="DF7" s="55">
        <f t="shared" si="44"/>
        <v>6638</v>
      </c>
      <c r="DG7" s="140">
        <f>IF('Final Calculation Sheet'!$U$7="","",'Final Calculation Sheet'!$U$7)</f>
        <v>49500</v>
      </c>
      <c r="DH7" s="137">
        <f>IF(DG7="","",COUNTIFS(DG$4:DG$40,"&lt;"&amp;DG7,DG$4:DG$40,"&lt;&gt;"&amp;"")+COUNTIF(DG$4:DG7,DG7))</f>
        <v>21</v>
      </c>
      <c r="DI7" s="140">
        <f t="shared" si="45"/>
        <v>6638</v>
      </c>
      <c r="DJ7" s="137">
        <f>DJ6+IF(AND(DI7&lt;&gt;"",COUNTIF(DI$4:DI7,DI7)=1),1,0)</f>
        <v>4</v>
      </c>
      <c r="DK7" s="140">
        <f t="shared" si="46"/>
        <v>6638</v>
      </c>
      <c r="DL7" t="str">
        <f>IF('Final Calculation Sheet'!$V$7="","",'Final Calculation Sheet'!$V$7)</f>
        <v>11.08.2026</v>
      </c>
      <c r="DM7" s="137">
        <f>IF(DL7="","",COUNTIFS(DL$4:DL$40,"&lt;"&amp;DL7,DL$4:DL$40,"&lt;&gt;"&amp;"")+COUNTIF(DL$4:DL7,DL7))</f>
        <v>3</v>
      </c>
      <c r="DN7" t="str">
        <f t="shared" si="47"/>
        <v>11.08.2026</v>
      </c>
      <c r="DO7" s="137">
        <f>DO6+IF(AND(DN7&lt;&gt;"",COUNTIF(DN$4:DN7,DN7)=1),1,0)</f>
        <v>2</v>
      </c>
      <c r="DP7" t="str">
        <f t="shared" si="48"/>
        <v>14.08.2026</v>
      </c>
      <c r="DQ7" s="55">
        <f>IF('Final Calculation Sheet'!$W$7="","",'Final Calculation Sheet'!$W$7)</f>
        <v>183447</v>
      </c>
      <c r="DR7" s="137">
        <f>IF(DQ7="","",COUNTIFS(DQ$4:DQ$40,"&lt;"&amp;DQ7,DQ$4:DQ$40,"&lt;&gt;"&amp;"")+COUNTIF(DQ$4:DQ7,DQ7))</f>
        <v>21</v>
      </c>
      <c r="DS7" s="55">
        <f t="shared" si="49"/>
        <v>24599</v>
      </c>
      <c r="DT7" s="137">
        <f>DT6+IF(AND(DS7&lt;&gt;"",COUNTIF(DS$4:DS7,DS7)=1),1,0)</f>
        <v>4</v>
      </c>
      <c r="DU7" s="55">
        <f t="shared" si="50"/>
        <v>24599</v>
      </c>
      <c r="DV7" s="55">
        <f>IF('Final Calculation Sheet'!$X$7="","",'Final Calculation Sheet'!$X$7)</f>
        <v>183446</v>
      </c>
      <c r="DW7" s="137">
        <f>IF(DV7="","",COUNTIFS(DV$4:DV$40,"&lt;"&amp;DV7,DV$4:DV$40,"&lt;&gt;"&amp;"")+COUNTIF(DV$4:DV7,DV7))</f>
        <v>20</v>
      </c>
      <c r="DX7" s="55">
        <f t="shared" si="51"/>
        <v>24598</v>
      </c>
      <c r="DY7" s="137">
        <f>DY6+IF(AND(DX7&lt;&gt;"",COUNTIF(DX$4:DX7,DX7)=1),1,0)</f>
        <v>4</v>
      </c>
      <c r="DZ7" t="e">
        <f t="shared" si="52"/>
        <v>#N/A</v>
      </c>
      <c r="EA7" t="str">
        <f>IF('Final Calculation Sheet'!$Y$7="","",'Final Calculation Sheet'!$Y$7)</f>
        <v>20.08.2026</v>
      </c>
      <c r="EB7" s="137">
        <f>IF(EA7="","",COUNTIFS(EA$4:EA$40,"&lt;"&amp;EA7,EA$4:EA$40,"&lt;&gt;"&amp;"")+COUNTIF(EA$4:EA7,EA7))</f>
        <v>15</v>
      </c>
      <c r="EC7" t="str">
        <f t="shared" si="53"/>
        <v>11.08.2026</v>
      </c>
      <c r="ED7" s="137">
        <f>ED6+IF(AND(EC7&lt;&gt;"",COUNTIF(EC$4:EC7,EC7)=1),1,0)</f>
        <v>3</v>
      </c>
      <c r="EE7" t="e">
        <f t="shared" si="54"/>
        <v>#N/A</v>
      </c>
      <c r="EF7" s="55">
        <f ca="1">IF('Final Calculation Sheet'!$Z$7="","",'Final Calculation Sheet'!$Z$7)</f>
        <v>0</v>
      </c>
      <c r="EG7" s="137">
        <f ca="1">IF(EF7="","",COUNTIFS(EF$4:EF$40,"&lt;"&amp;EF7,EF$4:EF$40,"&lt;&gt;"&amp;"")+COUNTIF(EF$4:EF7,EF7))</f>
        <v>4</v>
      </c>
      <c r="EH7" s="55">
        <f t="shared" ca="1" si="55"/>
        <v>0</v>
      </c>
      <c r="EI7" s="137">
        <f ca="1">EI6+IF(AND(EH7&lt;&gt;"",COUNTIF(EH$4:EH7,EH7)=1),1,0)</f>
        <v>1</v>
      </c>
      <c r="EJ7" s="55">
        <f t="shared" ca="1" si="56"/>
        <v>2832.2123999999999</v>
      </c>
      <c r="EK7" t="str">
        <f>IF('Final Calculation Sheet'!$AA$7="","",'Final Calculation Sheet'!$AA$7)</f>
        <v/>
      </c>
      <c r="EL7" t="str">
        <f>IF(EK7="","",COUNTIFS(EK$4:EK$40,"&lt;"&amp;EK7,EK$4:EK$40,"&lt;&gt;"&amp;"")+COUNTIF(EK$4:EK7,EK7))</f>
        <v/>
      </c>
      <c r="EM7" s="137" t="e">
        <f t="shared" si="57"/>
        <v>#N/A</v>
      </c>
      <c r="EN7" s="137" t="e">
        <f>EN6+IF(AND(EM7&lt;&gt;"",COUNTIF(EM$4:EM7,EM7)=1),1,0)</f>
        <v>#N/A</v>
      </c>
      <c r="EO7" t="e">
        <f t="shared" si="58"/>
        <v>#N/A</v>
      </c>
      <c r="EP7" t="str">
        <f>IF('Final Calculation Sheet'!$AB$7="","",'Final Calculation Sheet'!$AB$7)</f>
        <v/>
      </c>
      <c r="EQ7" t="str">
        <f>IF(EP7="","",COUNTIFS(EP$4:EP$40,"&lt;"&amp;EP7,EP$4:EP$40,"&lt;&gt;"&amp;"")+COUNTIF(EP$4:EP7,EP7))</f>
        <v/>
      </c>
      <c r="ER7" s="137" t="e">
        <f t="shared" si="59"/>
        <v>#N/A</v>
      </c>
      <c r="ES7" s="137" t="e">
        <f>ES6+IF(AND(ER7&lt;&gt;"",COUNTIF(ER$4:ER7,ER7)=1),1,0)</f>
        <v>#N/A</v>
      </c>
      <c r="ET7" t="e">
        <f t="shared" si="60"/>
        <v>#N/A</v>
      </c>
      <c r="EU7" s="55">
        <f>IF('Final Calculation Sheet'!$AC$7="","",'Final Calculation Sheet'!$AC$7)</f>
        <v>232946</v>
      </c>
      <c r="EV7" s="137">
        <f>IF(EU7="","",COUNTIFS(EU$4:EU$40,"&lt;"&amp;EU7,EU$4:EU$40,"&lt;&gt;"&amp;"")+COUNTIF(EU$4:EU7,EU7))</f>
        <v>23</v>
      </c>
      <c r="EW7" s="55">
        <f t="shared" si="61"/>
        <v>24777</v>
      </c>
      <c r="EX7" s="137">
        <f>EX6+IF(AND(EW7&lt;&gt;"",COUNTIF(EW$4:EW7,EW7)=1),1,0)</f>
        <v>4</v>
      </c>
      <c r="EY7" s="55">
        <f t="shared" si="62"/>
        <v>24777</v>
      </c>
      <c r="EZ7" s="55">
        <f>IF('Final Calculation Sheet'!$AD$7="","",'Final Calculation Sheet'!$AD$7)</f>
        <v>1</v>
      </c>
      <c r="FA7" s="137">
        <f>IF(EZ7="","",COUNTIFS(EZ$4:EZ$40,"&lt;"&amp;EZ7,EZ$4:EZ$40,"&lt;&gt;"&amp;"")+COUNTIF(EZ$4:EZ7,EZ7))</f>
        <v>29</v>
      </c>
      <c r="FB7" s="55" t="e">
        <f t="shared" si="63"/>
        <v>#N/A</v>
      </c>
      <c r="FC7" s="137" t="e">
        <f>FC6+IF(AND(FB7&lt;&gt;"",COUNTIF(FB$4:FB7,FB7)=1),1,0)</f>
        <v>#N/A</v>
      </c>
      <c r="FD7" s="55" t="e">
        <f t="shared" si="64"/>
        <v>#N/A</v>
      </c>
      <c r="FE7" t="str">
        <f>IF('Final Calculation Sheet'!$AE$7="","",'Final Calculation Sheet'!$AE$7)</f>
        <v>DR2640100048</v>
      </c>
      <c r="FF7" s="137">
        <f>IF(FE7="","",COUNTIFS(FE$4:FE$40,"&lt;"&amp;FE7,FE$4:FE$40,"&lt;&gt;"&amp;"")+COUNTIF(FE$4:FE7,FE7))</f>
        <v>37</v>
      </c>
      <c r="FG7" s="137" t="e">
        <f t="shared" si="65"/>
        <v>#N/A</v>
      </c>
      <c r="FH7" s="137" t="e">
        <f>FH6+IF(AND(FG7&lt;&gt;"",COUNTIF(FG$4:FG7,FG7)=1),1,0)</f>
        <v>#N/A</v>
      </c>
      <c r="FI7" t="e">
        <f t="shared" si="66"/>
        <v>#N/A</v>
      </c>
      <c r="FJ7" s="141">
        <f>IF('Final Calculation Sheet'!$AF$7="","",'Final Calculation Sheet'!$AF$7)</f>
        <v>1800003347</v>
      </c>
      <c r="FK7" s="137">
        <f>IF(FJ7="","",COUNTIFS(FJ$4:FJ$40,"&lt;"&amp;FJ7,FJ$4:FJ$40,"&lt;&gt;"&amp;"")+COUNTIF(FJ$4:FJ7,FJ7))</f>
        <v>32</v>
      </c>
      <c r="FL7" s="141">
        <f t="shared" si="67"/>
        <v>1800003158</v>
      </c>
      <c r="FM7" s="137">
        <f>FM6+IF(AND(FL7&lt;&gt;"",COUNTIF(FL$4:FL7,FL7)=1),1,0)</f>
        <v>4</v>
      </c>
      <c r="FN7" t="e">
        <f t="shared" si="68"/>
        <v>#N/A</v>
      </c>
      <c r="FO7" t="str">
        <f>IF('Final Calculation Sheet'!$AG$7="","",'Final Calculation Sheet'!$AG$7)</f>
        <v>27.08.2026</v>
      </c>
      <c r="FP7" s="137">
        <f>IF(FO7="","",COUNTIFS(FO$4:FO$40,"&lt;"&amp;FO7,FO$4:FO$40,"&lt;&gt;"&amp;"")+COUNTIF(FO$4:FO7,FO7))</f>
        <v>21</v>
      </c>
      <c r="FQ7" s="137" t="e">
        <f t="shared" si="69"/>
        <v>#N/A</v>
      </c>
      <c r="FR7" s="137" t="e">
        <f>FR6+IF(AND(FQ7&lt;&gt;"",COUNTIF(FQ$4:FQ7,FQ7)=1),1,0)</f>
        <v>#N/A</v>
      </c>
      <c r="FS7" t="e">
        <f t="shared" si="70"/>
        <v>#N/A</v>
      </c>
      <c r="FU7" t="str">
        <f>IF(FT7="","",COUNTIFS(FT$4:FT$40,"&lt;"&amp;FT7,FT$4:FT$40,"&lt;&gt;"&amp;"")+COUNTIF(FT$4:FT7,FT7))</f>
        <v/>
      </c>
      <c r="FV7" t="str">
        <f t="shared" si="71"/>
        <v/>
      </c>
      <c r="FW7" s="137">
        <f>FW6+IF(AND(FV7&lt;&gt;"",COUNTIF(FV$4:FV7,FV7)=1),1,0)</f>
        <v>2</v>
      </c>
      <c r="FX7" t="str">
        <f t="shared" si="72"/>
        <v/>
      </c>
    </row>
    <row r="8" spans="1:180" x14ac:dyDescent="0.25">
      <c r="A8">
        <f>IF('Final Calculation Sheet'!$F$8="","",'Final Calculation Sheet'!$F$8)</f>
        <v>1923</v>
      </c>
      <c r="B8" s="137">
        <f>IF(A8="","",COUNTIFS(A$4:A$114,"&lt;"&amp;A8,A$4:A$114,"&lt;&gt;"&amp;"")+COUNTIF(A$4:A8,A8))</f>
        <v>5</v>
      </c>
      <c r="C8" s="137">
        <f t="shared" si="0"/>
        <v>1923</v>
      </c>
      <c r="D8" s="137">
        <f>D7+IF(AND(C8&lt;&gt;"",COUNTIF(C$4:C8,C8)=1),1,0)</f>
        <v>5</v>
      </c>
      <c r="E8" t="e">
        <f t="shared" si="1"/>
        <v>#N/A</v>
      </c>
      <c r="F8">
        <f t="shared" si="2"/>
        <v>5</v>
      </c>
      <c r="G8" s="137">
        <f>IF(F8="","",COUNTIFS(F$4:F$40,"&lt;"&amp;F8,F$4:F$40,"&lt;&gt;"&amp;"")+COUNTIF(F$4:F8,F8))</f>
        <v>5</v>
      </c>
      <c r="H8" s="137">
        <f t="shared" si="3"/>
        <v>5</v>
      </c>
      <c r="I8" s="137">
        <f>I7+IF(AND(H8&lt;&gt;"",COUNTIF(H$4:H8,H8)=1),1,0)</f>
        <v>5</v>
      </c>
      <c r="J8">
        <f t="shared" si="4"/>
        <v>5</v>
      </c>
      <c r="K8">
        <f>IF('Final Calculation Sheet'!$F$8="","",'Final Calculation Sheet'!$F$8)</f>
        <v>1923</v>
      </c>
      <c r="L8" s="137">
        <f>IF(K8="","",COUNTIFS(K$4:K$40,"&lt;"&amp;K8,K$4:K$40,"&lt;&gt;"&amp;"")+COUNTIF(K$4:K8,K8))</f>
        <v>5</v>
      </c>
      <c r="M8" s="137">
        <f t="shared" si="5"/>
        <v>1923</v>
      </c>
      <c r="N8" s="137">
        <f>N7+IF(AND(M8&lt;&gt;"",COUNTIF(M$4:M8,M8)=1),1,0)</f>
        <v>5</v>
      </c>
      <c r="O8">
        <f t="shared" si="6"/>
        <v>1923</v>
      </c>
      <c r="P8" t="str">
        <f>IF('Final Calculation Sheet'!$G$8="","",'Final Calculation Sheet'!$G$8)</f>
        <v>OMKAR STEELS</v>
      </c>
      <c r="Q8" s="137">
        <f>IF(P8="","",COUNTIFS(P$4:P$40,"&lt;"&amp;P8,P$4:P$40,"&lt;&gt;"&amp;"")+COUNTIF(P$4:P8,P8))</f>
        <v>21</v>
      </c>
      <c r="R8" t="str">
        <f t="shared" si="7"/>
        <v>KASHYAP TRADING CO</v>
      </c>
      <c r="S8" s="137">
        <f>S7+IF(AND(R8&lt;&gt;"",COUNTIF(R$4:R8,R8)=1),1,0)</f>
        <v>4</v>
      </c>
      <c r="T8" t="str">
        <f t="shared" si="8"/>
        <v>M I SCRAP TRADERS</v>
      </c>
      <c r="U8" t="str">
        <f>IF('Final Calculation Sheet'!$B$8="","",'Final Calculation Sheet'!$B$8)</f>
        <v>SCRAP ACSR CONDUCTORS (Conductor Pieces)</v>
      </c>
      <c r="V8" s="137">
        <f>IF(U8="","",COUNTIFS(U$4:U$40,"&lt;"&amp;U8,U$4:U$40,"&lt;&gt;"&amp;"")+COUNTIF(U$4:U8,U8))</f>
        <v>3</v>
      </c>
      <c r="W8" t="str">
        <f t="shared" si="9"/>
        <v>Scrap Empty Oil Drum/ Barrel</v>
      </c>
      <c r="X8" s="137">
        <f>X7+IF(AND(W8&lt;&gt;"",COUNTIF(W$4:W8,W8)=1),1,0)</f>
        <v>5</v>
      </c>
      <c r="Y8" t="str">
        <f t="shared" si="10"/>
        <v>Scrap Empty Oil Drum/ Barrel</v>
      </c>
      <c r="Z8">
        <f>IF('Final Calculation Sheet'!$D$8="","",'Final Calculation Sheet'!$D$8)</f>
        <v>21980</v>
      </c>
      <c r="AA8" s="137">
        <f>IF(Z8="","",COUNTIFS(Z$4:Z$40,"&lt;"&amp;Z8,Z$4:Z$40,"&lt;&gt;"&amp;"")+COUNTIF(Z$4:Z8,Z8))</f>
        <v>31</v>
      </c>
      <c r="AB8" s="137">
        <f t="shared" si="11"/>
        <v>21977</v>
      </c>
      <c r="AC8" s="137">
        <f>AC7+IF(AND(AB8&lt;&gt;"",COUNTIF(AB$4:AB8,AB8)=1),1,0)</f>
        <v>1</v>
      </c>
      <c r="AD8" t="str">
        <f t="shared" si="12"/>
        <v/>
      </c>
      <c r="AE8">
        <f>IF('Final Calculation Sheet'!$A$8="","",'Final Calculation Sheet'!$A$8)</f>
        <v>7253</v>
      </c>
      <c r="AF8" s="137">
        <f>IF(AE8="","",COUNTIFS(AE$4:AE$40,"&lt;"&amp;AE8,AE$4:AE$40,"&lt;&gt;"&amp;"")+COUNTIF(AE$4:AE8,AE8))</f>
        <v>37</v>
      </c>
      <c r="AG8" s="137">
        <f t="shared" si="13"/>
        <v>1</v>
      </c>
      <c r="AH8" s="137">
        <f>AH7+IF(AND(AG8&lt;&gt;"",COUNTIF(AG$4:AG8,AG8)=1),1,0)</f>
        <v>1</v>
      </c>
      <c r="AI8">
        <f t="shared" si="14"/>
        <v>5</v>
      </c>
      <c r="AJ8" t="str">
        <f>IF('Final Calculation Sheet'!$E$8="","",'Final Calculation Sheet'!$E$8)</f>
        <v>KG</v>
      </c>
      <c r="AK8" s="137">
        <f>IF(AJ8="","",COUNTIFS(AJ$4:AJ$40,"&lt;"&amp;AJ8,AJ$4:AJ$40,"&lt;&gt;"&amp;"")+COUNTIF(AJ$4:AJ8,AJ8))</f>
        <v>4</v>
      </c>
      <c r="AL8" t="str">
        <f t="shared" si="15"/>
        <v>KG</v>
      </c>
      <c r="AM8" s="137">
        <f>AM7+IF(AND(AL8&lt;&gt;"",COUNTIF(AL$4:AL8,AL8)=1),1,0)</f>
        <v>1</v>
      </c>
      <c r="AN8" t="str">
        <f t="shared" si="16"/>
        <v/>
      </c>
      <c r="AO8" s="55">
        <f>IF('Final Calculation Sheet'!$C$8="","",'Final Calculation Sheet'!$C$8)</f>
        <v>227</v>
      </c>
      <c r="AP8" s="137">
        <f>IF(AO8="","",COUNTIFS(AO$4:AO$40,"&lt;"&amp;AO8,AO$4:AO$40,"&lt;&gt;"&amp;"")+COUNTIF(AO$4:AO8,AO8))</f>
        <v>2</v>
      </c>
      <c r="AQ8" s="55">
        <f t="shared" si="17"/>
        <v>517</v>
      </c>
      <c r="AR8" s="137">
        <f>AR7+IF(AND(AQ8&lt;&gt;"",COUNTIF(AQ$4:AQ8,AQ8)=1),1,0)</f>
        <v>5</v>
      </c>
      <c r="AS8" s="55">
        <f t="shared" si="18"/>
        <v>517</v>
      </c>
      <c r="AT8" s="55">
        <f>IF('Final Calculation Sheet'!$H$8="","",'Final Calculation Sheet'!$H$8)</f>
        <v>1646431</v>
      </c>
      <c r="AU8" s="137">
        <f>IF(AT8="","",COUNTIFS(AT$4:AT$40,"&lt;"&amp;AT8,AT$4:AT$40,"&lt;&gt;"&amp;"")+COUNTIF(AT$4:AT8,AT8))</f>
        <v>35</v>
      </c>
      <c r="AV8" s="55">
        <f t="shared" si="19"/>
        <v>28002</v>
      </c>
      <c r="AW8" s="137">
        <f>AW7+IF(AND(AV8&lt;&gt;"",COUNTIF(AV$4:AV8,AV8)=1),1,0)</f>
        <v>5</v>
      </c>
      <c r="AX8" s="55">
        <f t="shared" si="20"/>
        <v>28002</v>
      </c>
      <c r="AY8" s="55">
        <f>IF('Final Calculation Sheet'!$I$8="","",'Final Calculation Sheet'!$I$8)</f>
        <v>296358</v>
      </c>
      <c r="AZ8" s="137">
        <f>IF(AY8="","",COUNTIFS(AY$4:AY$40,"&lt;"&amp;AY8,AY$4:AY$40,"&lt;&gt;"&amp;"")+COUNTIF(AY$4:AY8,AY8))</f>
        <v>35</v>
      </c>
      <c r="BA8" s="55">
        <f t="shared" si="21"/>
        <v>5040</v>
      </c>
      <c r="BB8" s="137">
        <f>BB7+IF(AND(BA8&lt;&gt;"",COUNTIF(BA$4:BA8,BA8)=1),1,0)</f>
        <v>5</v>
      </c>
      <c r="BC8" s="55">
        <f t="shared" si="22"/>
        <v>5040</v>
      </c>
      <c r="BD8" s="55">
        <f>IF('Final Calculation Sheet'!$J$8="","",'Final Calculation Sheet'!$J$8)</f>
        <v>1942789</v>
      </c>
      <c r="BE8" s="137">
        <f>IF(BD8="","",COUNTIFS(BD$4:BD$40,"&lt;"&amp;BD8,BD$4:BD$40,"&lt;&gt;"&amp;"")+COUNTIF(BD$4:BD8,BD8))</f>
        <v>35</v>
      </c>
      <c r="BF8" s="55">
        <f t="shared" si="23"/>
        <v>33042</v>
      </c>
      <c r="BG8" s="137">
        <f>BG7+IF(AND(BF8&lt;&gt;"",COUNTIF(BF$4:BF8,BF8)=1),1,0)</f>
        <v>5</v>
      </c>
      <c r="BH8" s="55">
        <f t="shared" si="24"/>
        <v>33042</v>
      </c>
      <c r="BI8" s="55">
        <f>IF('Final Calculation Sheet'!$K$8="","",'Final Calculation Sheet'!$K$8)</f>
        <v>38856</v>
      </c>
      <c r="BJ8" s="137">
        <f>IF(BI8="","",COUNTIFS(BI$4:BI$40,"&lt;"&amp;BI8,BI$4:BI$40,"&lt;&gt;"&amp;"")+COUNTIF(BI$4:BI8,BI8))</f>
        <v>35</v>
      </c>
      <c r="BK8" s="55">
        <f t="shared" si="25"/>
        <v>661</v>
      </c>
      <c r="BL8" s="137">
        <f>BL7+IF(AND(BK8&lt;&gt;"",COUNTIF(BK$4:BK8,BK8)=1),1,0)</f>
        <v>5</v>
      </c>
      <c r="BM8" s="55">
        <f t="shared" si="26"/>
        <v>661</v>
      </c>
      <c r="BN8" s="55">
        <f>IF('Final Calculation Sheet'!$L$8="","",'Final Calculation Sheet'!$L$8)</f>
        <v>1646.431</v>
      </c>
      <c r="BO8" s="137">
        <f>IF(BN8="","",COUNTIFS(BN$4:BN$40,"&lt;"&amp;BN8,BN$4:BN$40,"&lt;&gt;"&amp;"")+COUNTIF(BN$4:BN8,BN8))</f>
        <v>35</v>
      </c>
      <c r="BP8" s="55">
        <f t="shared" si="27"/>
        <v>28.001999999999999</v>
      </c>
      <c r="BQ8" s="137">
        <f>BQ7+IF(AND(BP8&lt;&gt;"",COUNTIF(BP$4:BP8,BP8)=1),1,0)</f>
        <v>5</v>
      </c>
      <c r="BR8" s="55">
        <f t="shared" si="28"/>
        <v>28.001999999999999</v>
      </c>
      <c r="BS8" s="55">
        <f>IF('Final Calculation Sheet'!$M$8="","",'Final Calculation Sheet'!$M$8)</f>
        <v>43712.743049999997</v>
      </c>
      <c r="BT8" s="137">
        <f>IF(BS8="","",COUNTIFS(BS$4:BS$40,"&lt;"&amp;BS8,BS$4:BS$40,"&lt;&gt;"&amp;"")+COUNTIF(BS$4:BS8,BS8))</f>
        <v>35</v>
      </c>
      <c r="BU8" s="55">
        <f t="shared" si="29"/>
        <v>743.45309999999995</v>
      </c>
      <c r="BV8" s="137">
        <f>BV7+IF(AND(BU8&lt;&gt;"",COUNTIF(BU$4:BU8,BU8)=1),1,0)</f>
        <v>5</v>
      </c>
      <c r="BW8" s="55">
        <f t="shared" si="30"/>
        <v>743.45309999999995</v>
      </c>
      <c r="BX8" s="138">
        <f>IF('Final Calculation Sheet'!$N$8="","",'Final Calculation Sheet'!$N$8)</f>
        <v>740.89395000000002</v>
      </c>
      <c r="BY8" s="137">
        <f>IF(BX8="","",COUNTIFS(BX$4:BX$40,"&lt;"&amp;BX8,BX$4:BX$40,"&lt;&gt;"&amp;"")+COUNTIF(BX$4:BX8,BX8))</f>
        <v>35</v>
      </c>
      <c r="BZ8" s="138">
        <f t="shared" si="31"/>
        <v>12.600899999999999</v>
      </c>
      <c r="CA8" s="137">
        <f>CA7+IF(AND(BZ8&lt;&gt;"",COUNTIF(BZ$4:BZ8,BZ8)=1),1,0)</f>
        <v>5</v>
      </c>
      <c r="CB8" s="138">
        <f t="shared" si="32"/>
        <v>12.600899999999999</v>
      </c>
      <c r="CC8" s="55">
        <f>IF('Final Calculation Sheet'!$O$8="","",'Final Calculation Sheet'!$O$8)</f>
        <v>42971.849099999999</v>
      </c>
      <c r="CD8" s="137">
        <f>IF(CC8="","",COUNTIFS(CC$4:CC$40,"&lt;"&amp;CC8,CC$4:CC$40,"&lt;&gt;"&amp;"")+COUNTIF(CC$4:CC8,CC8))</f>
        <v>35</v>
      </c>
      <c r="CE8" s="55">
        <f t="shared" si="33"/>
        <v>730.85219999999993</v>
      </c>
      <c r="CF8" s="137">
        <f>CF7+IF(AND(CE8&lt;&gt;"",COUNTIF(CE$4:CE8,CE8)=1),1,0)</f>
        <v>5</v>
      </c>
      <c r="CG8" s="55">
        <f t="shared" si="34"/>
        <v>730.85219999999993</v>
      </c>
      <c r="CH8" s="55">
        <f>IF('Final Calculation Sheet'!$P$8="","",'Final Calculation Sheet'!$P$8)</f>
        <v>44618</v>
      </c>
      <c r="CI8" s="137">
        <f>IF(CH8="","",COUNTIFS(CH$4:CH$40,"&lt;"&amp;CH8,CH$4:CH$40,"&lt;&gt;"&amp;"")+COUNTIF(CH$4:CH8,CH8))</f>
        <v>35</v>
      </c>
      <c r="CJ8" s="55">
        <f t="shared" si="35"/>
        <v>759</v>
      </c>
      <c r="CK8" s="137">
        <f>CK7+IF(AND(CJ8&lt;&gt;"",COUNTIF(CJ$4:CJ8,CJ8)=1),1,0)</f>
        <v>5</v>
      </c>
      <c r="CL8" s="55">
        <f t="shared" si="36"/>
        <v>759</v>
      </c>
      <c r="CM8" s="139">
        <f>IF('Final Calculation Sheet'!$Q$8="","",'Final Calculation Sheet'!$Q$8)</f>
        <v>0.02</v>
      </c>
      <c r="CN8" s="137">
        <f>IF(CM8="","",COUNTIFS(CM$4:CM$40,"&lt;"&amp;CM8,CM$4:CM$40,"&lt;&gt;"&amp;"")+COUNTIF(CM$4:CM8,CM8))</f>
        <v>35</v>
      </c>
      <c r="CO8" s="139">
        <f t="shared" si="37"/>
        <v>0</v>
      </c>
      <c r="CP8" s="137">
        <f>CP7+IF(AND(CO8&lt;&gt;"",COUNTIF(CO$4:CO8,CO8)=1),1,0)</f>
        <v>1</v>
      </c>
      <c r="CQ8" t="str">
        <f t="shared" si="38"/>
        <v/>
      </c>
      <c r="CR8" s="55">
        <f>IF('Final Calculation Sheet'!$R$8="","",'Final Calculation Sheet'!$R$8)</f>
        <v>32929</v>
      </c>
      <c r="CS8" s="137">
        <f>IF(CR8="","",COUNTIFS(CR$4:CR$40,"&lt;"&amp;CR8,CR$4:CR$40,"&lt;&gt;"&amp;"")+COUNTIF(CR$4:CR8,CR8))</f>
        <v>37</v>
      </c>
      <c r="CT8" s="55">
        <f t="shared" si="39"/>
        <v>0</v>
      </c>
      <c r="CU8" s="137">
        <f>CU7+IF(AND(CT8&lt;&gt;"",COUNTIF(CT$4:CT8,CT8)=1),1,0)</f>
        <v>1</v>
      </c>
      <c r="CV8" s="55">
        <f t="shared" si="40"/>
        <v>32929</v>
      </c>
      <c r="CW8" s="55">
        <f>IF('Final Calculation Sheet'!$S$8="","",'Final Calculation Sheet'!$S$8)</f>
        <v>1904097</v>
      </c>
      <c r="CX8" s="137">
        <f>IF(CW8="","",COUNTIFS(CW$4:CW$40,"&lt;"&amp;CW8,CW$4:CW$40,"&lt;&gt;"&amp;"")+COUNTIF(CW$4:CW8,CW8))</f>
        <v>35</v>
      </c>
      <c r="CY8" s="55">
        <f t="shared" si="41"/>
        <v>32944</v>
      </c>
      <c r="CZ8" s="137">
        <f>CZ7+IF(AND(CY8&lt;&gt;"",COUNTIF(CY$4:CY8,CY8)=1),1,0)</f>
        <v>5</v>
      </c>
      <c r="DA8" s="55">
        <f t="shared" si="42"/>
        <v>32944</v>
      </c>
      <c r="DB8" s="55">
        <f>IF('Final Calculation Sheet'!$T$8="","",'Final Calculation Sheet'!$T$8)</f>
        <v>411608</v>
      </c>
      <c r="DC8" s="137">
        <f>IF(DB8="","",COUNTIFS(DB$4:DB$40,"&lt;"&amp;DB8,DB$4:DB$40,"&lt;&gt;"&amp;"")+COUNTIF(DB$4:DB8,DB8))</f>
        <v>35</v>
      </c>
      <c r="DD8" s="55">
        <f t="shared" si="43"/>
        <v>7001</v>
      </c>
      <c r="DE8" s="137">
        <f>DE7+IF(AND(DD8&lt;&gt;"",COUNTIF(DD$4:DD8,DD8)=1),1,0)</f>
        <v>5</v>
      </c>
      <c r="DF8" s="55">
        <f t="shared" si="44"/>
        <v>7001</v>
      </c>
      <c r="DG8" s="140">
        <f>IF('Final Calculation Sheet'!$U$8="","",'Final Calculation Sheet'!$U$8)</f>
        <v>411608</v>
      </c>
      <c r="DH8" s="137">
        <f>IF(DG8="","",COUNTIFS(DG$4:DG$40,"&lt;"&amp;DG8,DG$4:DG$40,"&lt;&gt;"&amp;"")+COUNTIF(DG$4:DG8,DG8))</f>
        <v>35</v>
      </c>
      <c r="DI8" s="140">
        <f t="shared" si="45"/>
        <v>7001</v>
      </c>
      <c r="DJ8" s="137">
        <f>DJ7+IF(AND(DI8&lt;&gt;"",COUNTIF(DI$4:DI8,DI8)=1),1,0)</f>
        <v>5</v>
      </c>
      <c r="DK8" s="140">
        <f t="shared" si="46"/>
        <v>7001</v>
      </c>
      <c r="DL8" t="str">
        <f>IF('Final Calculation Sheet'!$V$8="","",'Final Calculation Sheet'!$V$8)</f>
        <v>14.08.2026</v>
      </c>
      <c r="DM8" s="137">
        <f>IF(DL8="","",COUNTIFS(DL$4:DL$40,"&lt;"&amp;DL8,DL$4:DL$40,"&lt;&gt;"&amp;"")+COUNTIF(DL$4:DL8,DL8))</f>
        <v>27</v>
      </c>
      <c r="DN8" t="str">
        <f t="shared" si="47"/>
        <v>11.08.2026</v>
      </c>
      <c r="DO8" s="137">
        <f>DO7+IF(AND(DN8&lt;&gt;"",COUNTIF(DN$4:DN8,DN8)=1),1,0)</f>
        <v>2</v>
      </c>
      <c r="DP8" t="str">
        <f t="shared" si="48"/>
        <v>17.08.2026</v>
      </c>
      <c r="DQ8" s="55">
        <f>IF('Final Calculation Sheet'!$W$8="","",'Final Calculation Sheet'!$W$8)</f>
        <v>1492489</v>
      </c>
      <c r="DR8" s="137">
        <f>IF(DQ8="","",COUNTIFS(DQ$4:DQ$40,"&lt;"&amp;DQ8,DQ$4:DQ$40,"&lt;&gt;"&amp;"")+COUNTIF(DQ$4:DQ8,DQ8))</f>
        <v>35</v>
      </c>
      <c r="DS8" s="55">
        <f t="shared" si="49"/>
        <v>25944</v>
      </c>
      <c r="DT8" s="137">
        <f>DT7+IF(AND(DS8&lt;&gt;"",COUNTIF(DS$4:DS8,DS8)=1),1,0)</f>
        <v>5</v>
      </c>
      <c r="DU8" s="55">
        <f t="shared" si="50"/>
        <v>25944</v>
      </c>
      <c r="DV8" s="55">
        <f>IF('Final Calculation Sheet'!$X$8="","",'Final Calculation Sheet'!$X$8)</f>
        <v>1492490</v>
      </c>
      <c r="DW8" s="137">
        <f>IF(DV8="","",COUNTIFS(DV$4:DV$40,"&lt;"&amp;DV8,DV$4:DV$40,"&lt;&gt;"&amp;"")+COUNTIF(DV$4:DV8,DV8))</f>
        <v>32</v>
      </c>
      <c r="DX8" s="55">
        <f t="shared" si="51"/>
        <v>25943</v>
      </c>
      <c r="DY8" s="137">
        <f>DY7+IF(AND(DX8&lt;&gt;"",COUNTIF(DX$4:DX8,DX8)=1),1,0)</f>
        <v>5</v>
      </c>
      <c r="DZ8" t="e">
        <f t="shared" si="52"/>
        <v>#N/A</v>
      </c>
      <c r="EA8" t="str">
        <f>IF('Final Calculation Sheet'!$Y$8="","",'Final Calculation Sheet'!$Y$8)</f>
        <v>24.08.2026</v>
      </c>
      <c r="EB8" s="137">
        <f>IF(EA8="","",COUNTIFS(EA$4:EA$40,"&lt;"&amp;EA8,EA$4:EA$40,"&lt;&gt;"&amp;"")+COUNTIF(EA$4:EA8,EA8))</f>
        <v>22</v>
      </c>
      <c r="EC8" t="str">
        <f t="shared" si="53"/>
        <v>11.08.2026</v>
      </c>
      <c r="ED8" s="137">
        <f>ED7+IF(AND(EC8&lt;&gt;"",COUNTIF(EC$4:EC8,EC8)=1),1,0)</f>
        <v>3</v>
      </c>
      <c r="EE8" t="e">
        <f t="shared" si="54"/>
        <v>#N/A</v>
      </c>
      <c r="EF8" s="55">
        <f ca="1">IF('Final Calculation Sheet'!$Z$8="","",'Final Calculation Sheet'!$Z$8)</f>
        <v>0</v>
      </c>
      <c r="EG8" s="137">
        <f ca="1">IF(EF8="","",COUNTIFS(EF$4:EF$40,"&lt;"&amp;EF8,EF$4:EF$40,"&lt;&gt;"&amp;"")+COUNTIF(EF$4:EF8,EF8))</f>
        <v>5</v>
      </c>
      <c r="EH8" s="55">
        <f t="shared" ca="1" si="55"/>
        <v>0</v>
      </c>
      <c r="EI8" s="137">
        <f ca="1">EI7+IF(AND(EH8&lt;&gt;"",COUNTIF(EH$4:EH8,EH8)=1),1,0)</f>
        <v>1</v>
      </c>
      <c r="EJ8" s="55">
        <f t="shared" ca="1" si="56"/>
        <v>9558.2124000000003</v>
      </c>
      <c r="EK8" t="str">
        <f>IF('Final Calculation Sheet'!$AA$8="","",'Final Calculation Sheet'!$AA$8)</f>
        <v/>
      </c>
      <c r="EL8" t="str">
        <f>IF(EK8="","",COUNTIFS(EK$4:EK$40,"&lt;"&amp;EK8,EK$4:EK$40,"&lt;&gt;"&amp;"")+COUNTIF(EK$4:EK8,EK8))</f>
        <v/>
      </c>
      <c r="EM8" s="137" t="e">
        <f t="shared" si="57"/>
        <v>#N/A</v>
      </c>
      <c r="EN8" s="137" t="e">
        <f>EN7+IF(AND(EM8&lt;&gt;"",COUNTIF(EM$4:EM8,EM8)=1),1,0)</f>
        <v>#N/A</v>
      </c>
      <c r="EO8" t="e">
        <f t="shared" si="58"/>
        <v>#N/A</v>
      </c>
      <c r="EP8" t="str">
        <f>IF('Final Calculation Sheet'!$AB$8="","",'Final Calculation Sheet'!$AB$8)</f>
        <v/>
      </c>
      <c r="EQ8" t="str">
        <f>IF(EP8="","",COUNTIFS(EP$4:EP$40,"&lt;"&amp;EP8,EP$4:EP$40,"&lt;&gt;"&amp;"")+COUNTIF(EP$4:EP8,EP8))</f>
        <v/>
      </c>
      <c r="ER8" s="137" t="e">
        <f t="shared" si="59"/>
        <v>#N/A</v>
      </c>
      <c r="ES8" s="137" t="e">
        <f>ES7+IF(AND(ER8&lt;&gt;"",COUNTIF(ER$4:ER8,ER8)=1),1,0)</f>
        <v>#N/A</v>
      </c>
      <c r="ET8" t="e">
        <f t="shared" si="60"/>
        <v>#N/A</v>
      </c>
      <c r="EU8" s="55">
        <f>IF('Final Calculation Sheet'!$AC$8="","",'Final Calculation Sheet'!$AC$8)</f>
        <v>1904098</v>
      </c>
      <c r="EV8" s="137">
        <f>IF(EU8="","",COUNTIFS(EU$4:EU$40,"&lt;"&amp;EU8,EU$4:EU$40,"&lt;&gt;"&amp;"")+COUNTIF(EU$4:EU8,EU8))</f>
        <v>35</v>
      </c>
      <c r="EW8" s="55">
        <f t="shared" si="61"/>
        <v>31236</v>
      </c>
      <c r="EX8" s="137">
        <f>EX7+IF(AND(EW8&lt;&gt;"",COUNTIF(EW$4:EW8,EW8)=1),1,0)</f>
        <v>5</v>
      </c>
      <c r="EY8" s="55">
        <f t="shared" si="62"/>
        <v>31236</v>
      </c>
      <c r="EZ8" s="55">
        <f>IF('Final Calculation Sheet'!$AD$8="","",'Final Calculation Sheet'!$AD$8)</f>
        <v>-1</v>
      </c>
      <c r="FA8" s="137">
        <f>IF(EZ8="","",COUNTIFS(EZ$4:EZ$40,"&lt;"&amp;EZ8,EZ$4:EZ$40,"&lt;&gt;"&amp;"")+COUNTIF(EZ$4:EZ8,EZ8))</f>
        <v>5</v>
      </c>
      <c r="FB8" s="55">
        <f t="shared" si="63"/>
        <v>-1</v>
      </c>
      <c r="FC8" s="137" t="e">
        <f>FC7+IF(AND(FB8&lt;&gt;"",COUNTIF(FB$4:FB8,FB8)=1),1,0)</f>
        <v>#N/A</v>
      </c>
      <c r="FD8" s="55" t="e">
        <f t="shared" si="64"/>
        <v>#N/A</v>
      </c>
      <c r="FE8" t="str">
        <f>IF('Final Calculation Sheet'!$AE$8="","",'Final Calculation Sheet'!$AE$8)</f>
        <v>DR2640100045</v>
      </c>
      <c r="FF8" s="137">
        <f>IF(FE8="","",COUNTIFS(FE$4:FE$40,"&lt;"&amp;FE8,FE$4:FE$40,"&lt;&gt;"&amp;"")+COUNTIF(FE$4:FE8,FE8))</f>
        <v>34</v>
      </c>
      <c r="FG8" s="137" t="e">
        <f t="shared" si="65"/>
        <v>#N/A</v>
      </c>
      <c r="FH8" s="137" t="e">
        <f>FH7+IF(AND(FG8&lt;&gt;"",COUNTIF(FG$4:FG8,FG8)=1),1,0)</f>
        <v>#N/A</v>
      </c>
      <c r="FI8" t="e">
        <f t="shared" si="66"/>
        <v>#N/A</v>
      </c>
      <c r="FJ8" s="141">
        <f>IF('Final Calculation Sheet'!$AF$8="","",'Final Calculation Sheet'!$AF$8)</f>
        <v>1800003315</v>
      </c>
      <c r="FK8" s="137">
        <f>IF(FJ8="","",COUNTIFS(FJ$4:FJ$40,"&lt;"&amp;FJ8,FJ$4:FJ$40,"&lt;&gt;"&amp;"")+COUNTIF(FJ$4:FJ8,FJ8))</f>
        <v>27</v>
      </c>
      <c r="FL8" s="141">
        <f t="shared" si="67"/>
        <v>1800003160</v>
      </c>
      <c r="FM8" s="137">
        <f>FM7+IF(AND(FL8&lt;&gt;"",COUNTIF(FL$4:FL8,FL8)=1),1,0)</f>
        <v>5</v>
      </c>
      <c r="FN8" t="e">
        <f t="shared" si="68"/>
        <v>#N/A</v>
      </c>
      <c r="FO8" t="str">
        <f>IF('Final Calculation Sheet'!$AG$8="","",'Final Calculation Sheet'!$AG$8)</f>
        <v>27.08.2026</v>
      </c>
      <c r="FP8" s="137">
        <f>IF(FO8="","",COUNTIFS(FO$4:FO$40,"&lt;"&amp;FO8,FO$4:FO$40,"&lt;&gt;"&amp;"")+COUNTIF(FO$4:FO8,FO8))</f>
        <v>22</v>
      </c>
      <c r="FQ8" s="137" t="e">
        <f t="shared" si="69"/>
        <v>#N/A</v>
      </c>
      <c r="FR8" s="137" t="e">
        <f>FR7+IF(AND(FQ8&lt;&gt;"",COUNTIF(FQ$4:FQ8,FQ8)=1),1,0)</f>
        <v>#N/A</v>
      </c>
      <c r="FS8" t="e">
        <f t="shared" si="70"/>
        <v>#N/A</v>
      </c>
      <c r="FU8" t="str">
        <f>IF(FT8="","",COUNTIFS(FT$4:FT$40,"&lt;"&amp;FT8,FT$4:FT$40,"&lt;&gt;"&amp;"")+COUNTIF(FT$4:FT8,FT8))</f>
        <v/>
      </c>
      <c r="FV8" t="str">
        <f t="shared" si="71"/>
        <v/>
      </c>
      <c r="FW8" s="137">
        <f>FW7+IF(AND(FV8&lt;&gt;"",COUNTIF(FV$4:FV8,FV8)=1),1,0)</f>
        <v>2</v>
      </c>
      <c r="FX8" t="str">
        <f t="shared" si="72"/>
        <v/>
      </c>
    </row>
    <row r="9" spans="1:180" x14ac:dyDescent="0.25">
      <c r="A9">
        <f>IF('Final Calculation Sheet'!$F$9="","",'Final Calculation Sheet'!$F$9)</f>
        <v>1976</v>
      </c>
      <c r="B9" s="137">
        <f>IF(A9="","",COUNTIFS(A$4:A$114,"&lt;"&amp;A9,A$4:A$114,"&lt;&gt;"&amp;"")+COUNTIF(A$4:A9,A9))</f>
        <v>6</v>
      </c>
      <c r="C9" s="137">
        <f t="shared" si="0"/>
        <v>1976</v>
      </c>
      <c r="D9" s="137">
        <f>D8+IF(AND(C9&lt;&gt;"",COUNTIF(C$4:C9,C9)=1),1,0)</f>
        <v>6</v>
      </c>
      <c r="E9" t="e">
        <f t="shared" si="1"/>
        <v>#N/A</v>
      </c>
      <c r="F9">
        <f t="shared" si="2"/>
        <v>6</v>
      </c>
      <c r="G9" s="137">
        <f>IF(F9="","",COUNTIFS(F$4:F$40,"&lt;"&amp;F9,F$4:F$40,"&lt;&gt;"&amp;"")+COUNTIF(F$4:F9,F9))</f>
        <v>6</v>
      </c>
      <c r="H9" s="137">
        <f t="shared" si="3"/>
        <v>6</v>
      </c>
      <c r="I9" s="137">
        <f>I8+IF(AND(H9&lt;&gt;"",COUNTIF(H$4:H9,H9)=1),1,0)</f>
        <v>6</v>
      </c>
      <c r="J9">
        <f t="shared" si="4"/>
        <v>6</v>
      </c>
      <c r="K9">
        <f>IF('Final Calculation Sheet'!$F$9="","",'Final Calculation Sheet'!$F$9)</f>
        <v>1976</v>
      </c>
      <c r="L9" s="137">
        <f>IF(K9="","",COUNTIFS(K$4:K$40,"&lt;"&amp;K9,K$4:K$40,"&lt;&gt;"&amp;"")+COUNTIF(K$4:K9,K9))</f>
        <v>6</v>
      </c>
      <c r="M9" s="137">
        <f t="shared" si="5"/>
        <v>1976</v>
      </c>
      <c r="N9" s="137">
        <f>N8+IF(AND(M9&lt;&gt;"",COUNTIF(M$4:M9,M9)=1),1,0)</f>
        <v>6</v>
      </c>
      <c r="O9">
        <f t="shared" si="6"/>
        <v>1976</v>
      </c>
      <c r="P9" t="str">
        <f>IF('Final Calculation Sheet'!$G$9="","",'Final Calculation Sheet'!$G$9)</f>
        <v>SHAR JAHAN TRADERS</v>
      </c>
      <c r="Q9" s="137">
        <f>IF(P9="","",COUNTIFS(P$4:P$40,"&lt;"&amp;P9,P$4:P$40,"&lt;&gt;"&amp;"")+COUNTIF(P$4:P9,P9))</f>
        <v>26</v>
      </c>
      <c r="R9" t="str">
        <f t="shared" si="7"/>
        <v>M I SCRAP TRADERS</v>
      </c>
      <c r="S9" s="137">
        <f>S8+IF(AND(R9&lt;&gt;"",COUNTIF(R$4:R9,R9)=1),1,0)</f>
        <v>5</v>
      </c>
      <c r="T9" t="str">
        <f t="shared" si="8"/>
        <v>NATIONAL ENTERPRISES</v>
      </c>
      <c r="U9" t="str">
        <f>IF('Final Calculation Sheet'!$B$9="","",'Final Calculation Sheet'!$B$9)</f>
        <v>Scrap Power Transformer</v>
      </c>
      <c r="V9" s="137">
        <f>IF(U9="","",COUNTIFS(U$4:U$40,"&lt;"&amp;U9,U$4:U$40,"&lt;&gt;"&amp;"")+COUNTIF(U$4:U9,U9))</f>
        <v>36</v>
      </c>
      <c r="W9" t="str">
        <f t="shared" si="9"/>
        <v>Scrap of 132 KV CT</v>
      </c>
      <c r="X9" s="137">
        <f>X8+IF(AND(W9&lt;&gt;"",COUNTIF(W$4:W9,W9)=1),1,0)</f>
        <v>6</v>
      </c>
      <c r="Y9" t="str">
        <f t="shared" si="10"/>
        <v>Scrap of 132 KV CT</v>
      </c>
      <c r="Z9">
        <f>IF('Final Calculation Sheet'!$D$9="","",'Final Calculation Sheet'!$D$9)</f>
        <v>21977</v>
      </c>
      <c r="AA9" s="137">
        <f>IF(Z9="","",COUNTIFS(Z$4:Z$40,"&lt;"&amp;Z9,Z$4:Z$40,"&lt;&gt;"&amp;"")+COUNTIF(Z$4:Z9,Z9))</f>
        <v>4</v>
      </c>
      <c r="AB9" s="137">
        <f t="shared" si="11"/>
        <v>21977</v>
      </c>
      <c r="AC9" s="137">
        <f>AC8+IF(AND(AB9&lt;&gt;"",COUNTIF(AB$4:AB9,AB9)=1),1,0)</f>
        <v>1</v>
      </c>
      <c r="AD9" t="str">
        <f t="shared" si="12"/>
        <v/>
      </c>
      <c r="AE9">
        <f>IF('Final Calculation Sheet'!$A$9="","",'Final Calculation Sheet'!$A$9)</f>
        <v>1</v>
      </c>
      <c r="AF9" s="137">
        <f>IF(AE9="","",COUNTIFS(AE$4:AE$40,"&lt;"&amp;AE9,AE$4:AE$40,"&lt;&gt;"&amp;"")+COUNTIF(AE$4:AE9,AE9))</f>
        <v>1</v>
      </c>
      <c r="AG9" s="137">
        <f t="shared" si="13"/>
        <v>1</v>
      </c>
      <c r="AH9" s="137">
        <f>AH8+IF(AND(AG9&lt;&gt;"",COUNTIF(AG$4:AG9,AG9)=1),1,0)</f>
        <v>1</v>
      </c>
      <c r="AI9">
        <f t="shared" si="14"/>
        <v>8.1999999999999993</v>
      </c>
      <c r="AJ9" t="str">
        <f>IF('Final Calculation Sheet'!$E$9="","",'Final Calculation Sheet'!$E$9)</f>
        <v>NO</v>
      </c>
      <c r="AK9" s="137">
        <f>IF(AJ9="","",COUNTIFS(AJ$4:AJ$40,"&lt;"&amp;AJ9,AJ$4:AJ$40,"&lt;&gt;"&amp;"")+COUNTIF(AJ$4:AJ9,AJ9))</f>
        <v>9</v>
      </c>
      <c r="AL9" t="str">
        <f t="shared" si="15"/>
        <v>KG</v>
      </c>
      <c r="AM9" s="137">
        <f>AM8+IF(AND(AL9&lt;&gt;"",COUNTIF(AL$4:AL9,AL9)=1),1,0)</f>
        <v>1</v>
      </c>
      <c r="AN9" t="str">
        <f t="shared" si="16"/>
        <v/>
      </c>
      <c r="AO9" s="55">
        <f>IF('Final Calculation Sheet'!$C$9="","",'Final Calculation Sheet'!$C$9)</f>
        <v>2787314</v>
      </c>
      <c r="AP9" s="137">
        <f>IF(AO9="","",COUNTIFS(AO$4:AO$40,"&lt;"&amp;AO9,AO$4:AO$40,"&lt;&gt;"&amp;"")+COUNTIF(AO$4:AO9,AO9))</f>
        <v>36</v>
      </c>
      <c r="AQ9" s="55">
        <f t="shared" si="17"/>
        <v>531</v>
      </c>
      <c r="AR9" s="137">
        <f>AR8+IF(AND(AQ9&lt;&gt;"",COUNTIF(AQ$4:AQ9,AQ9)=1),1,0)</f>
        <v>6</v>
      </c>
      <c r="AS9" s="55">
        <f t="shared" si="18"/>
        <v>531</v>
      </c>
      <c r="AT9" s="55">
        <f>IF('Final Calculation Sheet'!$H$9="","",'Final Calculation Sheet'!$H$9)</f>
        <v>2787314</v>
      </c>
      <c r="AU9" s="137">
        <f>IF(AT9="","",COUNTIFS(AT$4:AT$40,"&lt;"&amp;AT9,AT$4:AT$40,"&lt;&gt;"&amp;"")+COUNTIF(AT$4:AT9,AT9))</f>
        <v>36</v>
      </c>
      <c r="AV9" s="55">
        <f t="shared" si="19"/>
        <v>29502</v>
      </c>
      <c r="AW9" s="137">
        <f>AW8+IF(AND(AV9&lt;&gt;"",COUNTIF(AV$4:AV9,AV9)=1),1,0)</f>
        <v>6</v>
      </c>
      <c r="AX9" s="55">
        <f t="shared" si="20"/>
        <v>29502</v>
      </c>
      <c r="AY9" s="55">
        <f>IF('Final Calculation Sheet'!$I$9="","",'Final Calculation Sheet'!$I$9)</f>
        <v>501717</v>
      </c>
      <c r="AZ9" s="137">
        <f>IF(AY9="","",COUNTIFS(AY$4:AY$40,"&lt;"&amp;AY9,AY$4:AY$40,"&lt;&gt;"&amp;"")+COUNTIF(AY$4:AY9,AY9))</f>
        <v>36</v>
      </c>
      <c r="BA9" s="55">
        <f t="shared" si="21"/>
        <v>5310</v>
      </c>
      <c r="BB9" s="137">
        <f>BB8+IF(AND(BA9&lt;&gt;"",COUNTIF(BA$4:BA9,BA9)=1),1,0)</f>
        <v>6</v>
      </c>
      <c r="BC9" s="55">
        <f t="shared" si="22"/>
        <v>5310</v>
      </c>
      <c r="BD9" s="55">
        <f>IF('Final Calculation Sheet'!$J$9="","",'Final Calculation Sheet'!$J$9)</f>
        <v>3289031</v>
      </c>
      <c r="BE9" s="137">
        <f>IF(BD9="","",COUNTIFS(BD$4:BD$40,"&lt;"&amp;BD9,BD$4:BD$40,"&lt;&gt;"&amp;"")+COUNTIF(BD$4:BD9,BD9))</f>
        <v>36</v>
      </c>
      <c r="BF9" s="55">
        <f t="shared" si="23"/>
        <v>34812</v>
      </c>
      <c r="BG9" s="137">
        <f>BG8+IF(AND(BF9&lt;&gt;"",COUNTIF(BF$4:BF9,BF9)=1),1,0)</f>
        <v>6</v>
      </c>
      <c r="BH9" s="55">
        <f t="shared" si="24"/>
        <v>34812</v>
      </c>
      <c r="BI9" s="55">
        <f>IF('Final Calculation Sheet'!$K$9="","",'Final Calculation Sheet'!$K$9)</f>
        <v>65781</v>
      </c>
      <c r="BJ9" s="137">
        <f>IF(BI9="","",COUNTIFS(BI$4:BI$40,"&lt;"&amp;BI9,BI$4:BI$40,"&lt;&gt;"&amp;"")+COUNTIF(BI$4:BI9,BI9))</f>
        <v>36</v>
      </c>
      <c r="BK9" s="55">
        <f t="shared" si="25"/>
        <v>696</v>
      </c>
      <c r="BL9" s="137">
        <f>BL8+IF(AND(BK9&lt;&gt;"",COUNTIF(BK$4:BK9,BK9)=1),1,0)</f>
        <v>6</v>
      </c>
      <c r="BM9" s="55">
        <f t="shared" si="26"/>
        <v>696</v>
      </c>
      <c r="BN9" s="55">
        <f>IF('Final Calculation Sheet'!$L$9="","",'Final Calculation Sheet'!$L$9)</f>
        <v>2787.3139999999999</v>
      </c>
      <c r="BO9" s="137">
        <f>IF(BN9="","",COUNTIFS(BN$4:BN$40,"&lt;"&amp;BN9,BN$4:BN$40,"&lt;&gt;"&amp;"")+COUNTIF(BN$4:BN9,BN9))</f>
        <v>36</v>
      </c>
      <c r="BP9" s="55">
        <f t="shared" si="27"/>
        <v>29.501999999999999</v>
      </c>
      <c r="BQ9" s="137">
        <f>BQ8+IF(AND(BP9&lt;&gt;"",COUNTIF(BP$4:BP9,BP9)=1),1,0)</f>
        <v>6</v>
      </c>
      <c r="BR9" s="55">
        <f t="shared" si="28"/>
        <v>29.501999999999999</v>
      </c>
      <c r="BS9" s="55">
        <f>IF('Final Calculation Sheet'!$M$9="","",'Final Calculation Sheet'!$M$9)</f>
        <v>74003.186699999991</v>
      </c>
      <c r="BT9" s="137">
        <f>IF(BS9="","",COUNTIFS(BS$4:BS$40,"&lt;"&amp;BS9,BS$4:BS$40,"&lt;&gt;"&amp;"")+COUNTIF(BS$4:BS9,BS9))</f>
        <v>36</v>
      </c>
      <c r="BU9" s="55">
        <f t="shared" si="29"/>
        <v>783.27809999999988</v>
      </c>
      <c r="BV9" s="137">
        <f>BV8+IF(AND(BU9&lt;&gt;"",COUNTIF(BU$4:BU9,BU9)=1),1,0)</f>
        <v>6</v>
      </c>
      <c r="BW9" s="55">
        <f t="shared" si="30"/>
        <v>783.27809999999988</v>
      </c>
      <c r="BX9" s="138">
        <f>IF('Final Calculation Sheet'!$N$9="","",'Final Calculation Sheet'!$N$9)</f>
        <v>1254.2912999999999</v>
      </c>
      <c r="BY9" s="137">
        <f>IF(BX9="","",COUNTIFS(BX$4:BX$40,"&lt;"&amp;BX9,BX$4:BX$40,"&lt;&gt;"&amp;"")+COUNTIF(BX$4:BX9,BX9))</f>
        <v>36</v>
      </c>
      <c r="BZ9" s="138">
        <f t="shared" si="31"/>
        <v>13.2759</v>
      </c>
      <c r="CA9" s="137">
        <f>CA8+IF(AND(BZ9&lt;&gt;"",COUNTIF(BZ$4:BZ9,BZ9)=1),1,0)</f>
        <v>6</v>
      </c>
      <c r="CB9" s="138">
        <f t="shared" si="32"/>
        <v>13.2759</v>
      </c>
      <c r="CC9" s="55">
        <f>IF('Final Calculation Sheet'!$O$9="","",'Final Calculation Sheet'!$O$9)</f>
        <v>72748.895399999994</v>
      </c>
      <c r="CD9" s="137">
        <f>IF(CC9="","",COUNTIFS(CC$4:CC$40,"&lt;"&amp;CC9,CC$4:CC$40,"&lt;&gt;"&amp;"")+COUNTIF(CC$4:CC9,CC9))</f>
        <v>36</v>
      </c>
      <c r="CE9" s="55">
        <f t="shared" si="33"/>
        <v>770.0021999999999</v>
      </c>
      <c r="CF9" s="137">
        <f>CF8+IF(AND(CE9&lt;&gt;"",COUNTIF(CE$4:CE9,CE9)=1),1,0)</f>
        <v>6</v>
      </c>
      <c r="CG9" s="55">
        <f t="shared" si="34"/>
        <v>770.0021999999999</v>
      </c>
      <c r="CH9" s="55">
        <f>IF('Final Calculation Sheet'!$P$9="","",'Final Calculation Sheet'!$P$9)</f>
        <v>75536</v>
      </c>
      <c r="CI9" s="137">
        <f>IF(CH9="","",COUNTIFS(CH$4:CH$40,"&lt;"&amp;CH9,CH$4:CH$40,"&lt;&gt;"&amp;"")+COUNTIF(CH$4:CH9,CH9))</f>
        <v>36</v>
      </c>
      <c r="CJ9" s="55">
        <f t="shared" si="35"/>
        <v>800</v>
      </c>
      <c r="CK9" s="137">
        <f>CK8+IF(AND(CJ9&lt;&gt;"",COUNTIF(CJ$4:CJ9,CJ9)=1),1,0)</f>
        <v>6</v>
      </c>
      <c r="CL9" s="55">
        <f t="shared" si="36"/>
        <v>800</v>
      </c>
      <c r="CM9" s="139">
        <f>IF('Final Calculation Sheet'!$Q$9="","",'Final Calculation Sheet'!$Q$9)</f>
        <v>0</v>
      </c>
      <c r="CN9" s="137">
        <f>IF(CM9="","",COUNTIFS(CM$4:CM$40,"&lt;"&amp;CM9,CM$4:CM$40,"&lt;&gt;"&amp;"")+COUNTIF(CM$4:CM9,CM9))</f>
        <v>4</v>
      </c>
      <c r="CO9" s="139">
        <f t="shared" si="37"/>
        <v>0</v>
      </c>
      <c r="CP9" s="137">
        <f>CP8+IF(AND(CO9&lt;&gt;"",COUNTIF(CO$4:CO9,CO9)=1),1,0)</f>
        <v>1</v>
      </c>
      <c r="CQ9" t="str">
        <f t="shared" si="38"/>
        <v/>
      </c>
      <c r="CR9" s="55">
        <f>IF('Final Calculation Sheet'!$R$9="","",'Final Calculation Sheet'!$R$9)</f>
        <v>0</v>
      </c>
      <c r="CS9" s="137">
        <f>IF(CR9="","",COUNTIFS(CR$4:CR$40,"&lt;"&amp;CR9,CR$4:CR$40,"&lt;&gt;"&amp;"")+COUNTIF(CR$4:CR9,CR9))</f>
        <v>4</v>
      </c>
      <c r="CT9" s="55">
        <f t="shared" si="39"/>
        <v>0</v>
      </c>
      <c r="CU9" s="137">
        <f>CU8+IF(AND(CT9&lt;&gt;"",COUNTIF(CT$4:CT9,CT9)=1),1,0)</f>
        <v>1</v>
      </c>
      <c r="CV9" t="str">
        <f t="shared" si="40"/>
        <v/>
      </c>
      <c r="CW9" s="55">
        <f>IF('Final Calculation Sheet'!$S$9="","",'Final Calculation Sheet'!$S$9)</f>
        <v>3279275</v>
      </c>
      <c r="CX9" s="137">
        <f>IF(CW9="","",COUNTIFS(CW$4:CW$40,"&lt;"&amp;CW9,CW$4:CW$40,"&lt;&gt;"&amp;"")+COUNTIF(CW$4:CW9,CW9))</f>
        <v>36</v>
      </c>
      <c r="CY9" s="55">
        <f t="shared" si="41"/>
        <v>34709</v>
      </c>
      <c r="CZ9" s="137">
        <f>CZ8+IF(AND(CY9&lt;&gt;"",COUNTIF(CY$4:CY9,CY9)=1),1,0)</f>
        <v>6</v>
      </c>
      <c r="DA9" s="55">
        <f t="shared" si="42"/>
        <v>34709</v>
      </c>
      <c r="DB9" s="55">
        <f>IF('Final Calculation Sheet'!$T$9="","",'Final Calculation Sheet'!$T$9)</f>
        <v>696829</v>
      </c>
      <c r="DC9" s="137">
        <f>IF(DB9="","",COUNTIFS(DB$4:DB$40,"&lt;"&amp;DB9,DB$4:DB$40,"&lt;&gt;"&amp;"")+COUNTIF(DB$4:DB9,DB9))</f>
        <v>36</v>
      </c>
      <c r="DD9" s="55">
        <f t="shared" si="43"/>
        <v>7376</v>
      </c>
      <c r="DE9" s="137">
        <f>DE8+IF(AND(DD9&lt;&gt;"",COUNTIF(DD$4:DD9,DD9)=1),1,0)</f>
        <v>6</v>
      </c>
      <c r="DF9" s="55">
        <f t="shared" si="44"/>
        <v>7376</v>
      </c>
      <c r="DG9" s="140">
        <f>IF('Final Calculation Sheet'!$U$9="","",'Final Calculation Sheet'!$U$9)</f>
        <v>696829</v>
      </c>
      <c r="DH9" s="137">
        <f>IF(DG9="","",COUNTIFS(DG$4:DG$40,"&lt;"&amp;DG9,DG$4:DG$40,"&lt;&gt;"&amp;"")+COUNTIF(DG$4:DG9,DG9))</f>
        <v>36</v>
      </c>
      <c r="DI9" s="140">
        <f t="shared" si="45"/>
        <v>7376</v>
      </c>
      <c r="DJ9" s="137">
        <f>DJ8+IF(AND(DI9&lt;&gt;"",COUNTIF(DI$4:DI9,DI9)=1),1,0)</f>
        <v>6</v>
      </c>
      <c r="DK9" s="140">
        <f t="shared" si="46"/>
        <v>7376</v>
      </c>
      <c r="DL9" t="str">
        <f>IF('Final Calculation Sheet'!$V$9="","",'Final Calculation Sheet'!$V$9)</f>
        <v>13.08.2026</v>
      </c>
      <c r="DM9" s="137">
        <f>IF(DL9="","",COUNTIFS(DL$4:DL$40,"&lt;"&amp;DL9,DL$4:DL$40,"&lt;&gt;"&amp;"")+COUNTIF(DL$4:DL9,DL9))</f>
        <v>13</v>
      </c>
      <c r="DN9" t="str">
        <f t="shared" si="47"/>
        <v>11.08.2026</v>
      </c>
      <c r="DO9" s="137">
        <f>DO8+IF(AND(DN9&lt;&gt;"",COUNTIF(DN$4:DN9,DN9)=1),1,0)</f>
        <v>2</v>
      </c>
      <c r="DP9" t="str">
        <f t="shared" si="48"/>
        <v>24.08.2026</v>
      </c>
      <c r="DQ9" s="55">
        <f>IF('Final Calculation Sheet'!$W$9="","",'Final Calculation Sheet'!$W$9)</f>
        <v>2582446</v>
      </c>
      <c r="DR9" s="137">
        <f>IF(DQ9="","",COUNTIFS(DQ$4:DQ$40,"&lt;"&amp;DQ9,DQ$4:DQ$40,"&lt;&gt;"&amp;"")+COUNTIF(DQ$4:DQ9,DQ9))</f>
        <v>36</v>
      </c>
      <c r="DS9" s="55">
        <f t="shared" si="49"/>
        <v>27334</v>
      </c>
      <c r="DT9" s="137">
        <f>DT8+IF(AND(DS9&lt;&gt;"",COUNTIF(DS$4:DS9,DS9)=1),1,0)</f>
        <v>6</v>
      </c>
      <c r="DU9" s="55">
        <f t="shared" si="50"/>
        <v>27334</v>
      </c>
      <c r="DV9" s="55">
        <f>IF('Final Calculation Sheet'!$X$9="","",'Final Calculation Sheet'!$X$9)</f>
        <v>2582447.0942916102</v>
      </c>
      <c r="DW9" s="137">
        <f>IF(DV9="","",COUNTIFS(DV$4:DV$40,"&lt;"&amp;DV9,DV$4:DV$40,"&lt;&gt;"&amp;"")+COUNTIF(DV$4:DV9,DV9))</f>
        <v>33</v>
      </c>
      <c r="DX9" s="55">
        <f t="shared" si="51"/>
        <v>27332</v>
      </c>
      <c r="DY9" s="137">
        <f>DY8+IF(AND(DX9&lt;&gt;"",COUNTIF(DX$4:DX9,DX9)=1),1,0)</f>
        <v>6</v>
      </c>
      <c r="DZ9" t="e">
        <f t="shared" si="52"/>
        <v>#N/A</v>
      </c>
      <c r="EA9" t="str">
        <f>IF('Final Calculation Sheet'!$Y$9="","",'Final Calculation Sheet'!$Y$9)</f>
        <v>13.08.2026</v>
      </c>
      <c r="EB9" s="137">
        <f>IF(EA9="","",COUNTIFS(EA$4:EA$40,"&lt;"&amp;EA9,EA$4:EA$40,"&lt;&gt;"&amp;"")+COUNTIF(EA$4:EA9,EA9))</f>
        <v>9</v>
      </c>
      <c r="EC9" t="str">
        <f t="shared" si="53"/>
        <v>11.08.2026</v>
      </c>
      <c r="ED9" s="137">
        <f>ED8+IF(AND(EC9&lt;&gt;"",COUNTIF(EC$4:EC9,EC9)=1),1,0)</f>
        <v>3</v>
      </c>
      <c r="EE9" t="e">
        <f t="shared" si="54"/>
        <v>#N/A</v>
      </c>
      <c r="EF9" s="55">
        <f ca="1">IF('Final Calculation Sheet'!$Z$9="","",'Final Calculation Sheet'!$Z$9)</f>
        <v>0</v>
      </c>
      <c r="EG9" s="137">
        <f ca="1">IF(EF9="","",COUNTIFS(EF$4:EF$40,"&lt;"&amp;EF9,EF$4:EF$40,"&lt;&gt;"&amp;"")+COUNTIF(EF$4:EF9,EF9))</f>
        <v>6</v>
      </c>
      <c r="EH9" s="55">
        <f t="shared" ca="1" si="55"/>
        <v>0</v>
      </c>
      <c r="EI9" s="137">
        <f ca="1">EI8+IF(AND(EH9&lt;&gt;"",COUNTIF(EH$4:EH9,EH9)=1),1,0)</f>
        <v>1</v>
      </c>
      <c r="EJ9" s="55">
        <f t="shared" ca="1" si="56"/>
        <v>19448.760000000002</v>
      </c>
      <c r="EK9" t="str">
        <f>IF('Final Calculation Sheet'!$AA$9="","",'Final Calculation Sheet'!$AA$9)</f>
        <v/>
      </c>
      <c r="EL9" t="str">
        <f>IF(EK9="","",COUNTIFS(EK$4:EK$40,"&lt;"&amp;EK9,EK$4:EK$40,"&lt;&gt;"&amp;"")+COUNTIF(EK$4:EK9,EK9))</f>
        <v/>
      </c>
      <c r="EM9" s="137" t="e">
        <f t="shared" si="57"/>
        <v>#N/A</v>
      </c>
      <c r="EN9" s="137" t="e">
        <f>EN8+IF(AND(EM9&lt;&gt;"",COUNTIF(EM$4:EM9,EM9)=1),1,0)</f>
        <v>#N/A</v>
      </c>
      <c r="EO9" t="e">
        <f t="shared" si="58"/>
        <v>#N/A</v>
      </c>
      <c r="EP9" t="str">
        <f>IF('Final Calculation Sheet'!$AB$9="","",'Final Calculation Sheet'!$AB$9)</f>
        <v/>
      </c>
      <c r="EQ9" t="str">
        <f>IF(EP9="","",COUNTIFS(EP$4:EP$40,"&lt;"&amp;EP9,EP$4:EP$40,"&lt;&gt;"&amp;"")+COUNTIF(EP$4:EP9,EP9))</f>
        <v/>
      </c>
      <c r="ER9" s="137" t="e">
        <f t="shared" si="59"/>
        <v>#N/A</v>
      </c>
      <c r="ES9" s="137" t="e">
        <f>ES8+IF(AND(ER9&lt;&gt;"",COUNTIF(ER$4:ER9,ER9)=1),1,0)</f>
        <v>#N/A</v>
      </c>
      <c r="ET9" t="e">
        <f t="shared" si="60"/>
        <v>#N/A</v>
      </c>
      <c r="EU9" s="55">
        <f>IF('Final Calculation Sheet'!$AC$9="","",'Final Calculation Sheet'!$AC$9)</f>
        <v>3279276.0942916102</v>
      </c>
      <c r="EV9" s="137">
        <f>IF(EU9="","",COUNTIFS(EU$4:EU$40,"&lt;"&amp;EU9,EU$4:EU$40,"&lt;&gt;"&amp;"")+COUNTIF(EU$4:EU9,EU9))</f>
        <v>36</v>
      </c>
      <c r="EW9" s="55">
        <f t="shared" si="61"/>
        <v>32944</v>
      </c>
      <c r="EX9" s="137">
        <f>EX8+IF(AND(EW9&lt;&gt;"",COUNTIF(EW$4:EW9,EW9)=1),1,0)</f>
        <v>6</v>
      </c>
      <c r="EY9" s="55">
        <f t="shared" si="62"/>
        <v>32944</v>
      </c>
      <c r="EZ9" s="55">
        <f>IF('Final Calculation Sheet'!$AD$9="","",'Final Calculation Sheet'!$AD$9)</f>
        <v>-1.0942916101776063</v>
      </c>
      <c r="FA9" s="137">
        <f>IF(EZ9="","",COUNTIFS(EZ$4:EZ$40,"&lt;"&amp;EZ9,EZ$4:EZ$40,"&lt;&gt;"&amp;"")+COUNTIF(EZ$4:EZ9,EZ9))</f>
        <v>5</v>
      </c>
      <c r="FB9" s="55">
        <f t="shared" si="63"/>
        <v>-1</v>
      </c>
      <c r="FC9" s="137" t="e">
        <f>FC8+IF(AND(FB9&lt;&gt;"",COUNTIF(FB$4:FB9,FB9)=1),1,0)</f>
        <v>#N/A</v>
      </c>
      <c r="FD9" s="55" t="e">
        <f t="shared" si="64"/>
        <v>#N/A</v>
      </c>
      <c r="FE9" t="str">
        <f>IF('Final Calculation Sheet'!$AE$9="","",'Final Calculation Sheet'!$AE$9)</f>
        <v>DR2640100023</v>
      </c>
      <c r="FF9" s="137">
        <f>IF(FE9="","",COUNTIFS(FE$4:FE$40,"&lt;"&amp;FE9,FE$4:FE$40,"&lt;&gt;"&amp;"")+COUNTIF(FE$4:FE9,FE9))</f>
        <v>12</v>
      </c>
      <c r="FG9" t="str">
        <f t="shared" si="65"/>
        <v>DR2640100017</v>
      </c>
      <c r="FH9" s="137" t="e">
        <f>FH8+IF(AND(FG9&lt;&gt;"",COUNTIF(FG$4:FG9,FG9)=1),1,0)</f>
        <v>#N/A</v>
      </c>
      <c r="FI9" t="e">
        <f t="shared" si="66"/>
        <v>#N/A</v>
      </c>
      <c r="FJ9" s="141">
        <f>IF('Final Calculation Sheet'!$AF$9="","",'Final Calculation Sheet'!$AF$9)</f>
        <v>1800003194</v>
      </c>
      <c r="FK9" s="137">
        <f>IF(FJ9="","",COUNTIFS(FJ$4:FJ$40,"&lt;"&amp;FJ9,FJ$4:FJ$40,"&lt;&gt;"&amp;"")+COUNTIF(FJ$4:FJ9,FJ9))</f>
        <v>7</v>
      </c>
      <c r="FL9" s="141">
        <f t="shared" si="67"/>
        <v>1800003161</v>
      </c>
      <c r="FM9" s="137">
        <f>FM8+IF(AND(FL9&lt;&gt;"",COUNTIF(FL$4:FL9,FL9)=1),1,0)</f>
        <v>6</v>
      </c>
      <c r="FN9" t="e">
        <f t="shared" si="68"/>
        <v>#N/A</v>
      </c>
      <c r="FO9" t="str">
        <f>IF('Final Calculation Sheet'!$AG$9="","",'Final Calculation Sheet'!$AG$9)</f>
        <v>17.08.2026</v>
      </c>
      <c r="FP9" s="137">
        <f>IF(FO9="","",COUNTIFS(FO$4:FO$40,"&lt;"&amp;FO9,FO$4:FO$40,"&lt;&gt;"&amp;"")+COUNTIF(FO$4:FO9,FO9))</f>
        <v>12</v>
      </c>
      <c r="FQ9" t="str">
        <f t="shared" si="69"/>
        <v>12.08.2026</v>
      </c>
      <c r="FR9" s="137" t="e">
        <f>FR8+IF(AND(FQ9&lt;&gt;"",COUNTIF(FQ$4:FQ9,FQ9)=1),1,0)</f>
        <v>#N/A</v>
      </c>
      <c r="FS9" t="e">
        <f t="shared" si="70"/>
        <v>#N/A</v>
      </c>
      <c r="FU9" t="str">
        <f>IF(FT9="","",COUNTIFS(FT$4:FT$40,"&lt;"&amp;FT9,FT$4:FT$40,"&lt;&gt;"&amp;"")+COUNTIF(FT$4:FT9,FT9))</f>
        <v/>
      </c>
      <c r="FV9" t="str">
        <f t="shared" si="71"/>
        <v/>
      </c>
      <c r="FW9" s="137">
        <f>FW8+IF(AND(FV9&lt;&gt;"",COUNTIF(FV$4:FV9,FV9)=1),1,0)</f>
        <v>2</v>
      </c>
      <c r="FX9" t="str">
        <f t="shared" si="72"/>
        <v/>
      </c>
    </row>
    <row r="10" spans="1:180" x14ac:dyDescent="0.25">
      <c r="A10">
        <f>IF('Final Calculation Sheet'!$F$10="","",'Final Calculation Sheet'!$F$10)</f>
        <v>2002</v>
      </c>
      <c r="B10" s="137">
        <f>IF(A10="","",COUNTIFS(A$4:A$114,"&lt;"&amp;A10,A$4:A$114,"&lt;&gt;"&amp;"")+COUNTIF(A$4:A10,A10))</f>
        <v>7</v>
      </c>
      <c r="C10" s="137">
        <f t="shared" si="0"/>
        <v>2002</v>
      </c>
      <c r="D10" s="137">
        <f>D9+IF(AND(C10&lt;&gt;"",COUNTIF(C$4:C10,C10)=1),1,0)</f>
        <v>7</v>
      </c>
      <c r="E10" t="e">
        <f t="shared" si="1"/>
        <v>#N/A</v>
      </c>
      <c r="F10">
        <f t="shared" si="2"/>
        <v>7</v>
      </c>
      <c r="G10" s="137">
        <f>IF(F10="","",COUNTIFS(F$4:F$40,"&lt;"&amp;F10,F$4:F$40,"&lt;&gt;"&amp;"")+COUNTIF(F$4:F10,F10))</f>
        <v>7</v>
      </c>
      <c r="H10" s="137">
        <f t="shared" si="3"/>
        <v>7</v>
      </c>
      <c r="I10" s="137">
        <f>I9+IF(AND(H10&lt;&gt;"",COUNTIF(H$4:H10,H10)=1),1,0)</f>
        <v>7</v>
      </c>
      <c r="J10">
        <f t="shared" si="4"/>
        <v>7</v>
      </c>
      <c r="K10">
        <f>IF('Final Calculation Sheet'!$F$10="","",'Final Calculation Sheet'!$F$10)</f>
        <v>2002</v>
      </c>
      <c r="L10" s="137">
        <f>IF(K10="","",COUNTIFS(K$4:K$40,"&lt;"&amp;K10,K$4:K$40,"&lt;&gt;"&amp;"")+COUNTIF(K$4:K10,K10))</f>
        <v>7</v>
      </c>
      <c r="M10" s="137">
        <f t="shared" si="5"/>
        <v>2002</v>
      </c>
      <c r="N10" s="137">
        <f>N9+IF(AND(M10&lt;&gt;"",COUNTIF(M$4:M10,M10)=1),1,0)</f>
        <v>7</v>
      </c>
      <c r="O10">
        <f t="shared" si="6"/>
        <v>2002</v>
      </c>
      <c r="P10" t="str">
        <f>IF('Final Calculation Sheet'!$G$10="","",'Final Calculation Sheet'!$G$10)</f>
        <v>NATIONAL ENTERPRISES</v>
      </c>
      <c r="Q10" s="137">
        <f>IF(P10="","",COUNTIFS(P$4:P$40,"&lt;"&amp;P10,P$4:P$40,"&lt;&gt;"&amp;"")+COUNTIF(P$4:P10,P10))</f>
        <v>8</v>
      </c>
      <c r="R10" t="str">
        <f t="shared" si="7"/>
        <v>NATIONAL ENTERPRISES</v>
      </c>
      <c r="S10" s="137">
        <f>S9+IF(AND(R10&lt;&gt;"",COUNTIF(R$4:R10,R10)=1),1,0)</f>
        <v>6</v>
      </c>
      <c r="T10" t="str">
        <f t="shared" si="8"/>
        <v>NATIONAL SCRAP AND BUILDING MATERIAL SUPPLIER</v>
      </c>
      <c r="U10" t="str">
        <f>IF('Final Calculation Sheet'!$B$10="","",'Final Calculation Sheet'!$B$10)</f>
        <v>Scrap of 132 KV CT</v>
      </c>
      <c r="V10" s="137">
        <f>IF(U10="","",COUNTIFS(U$4:U$40,"&lt;"&amp;U10,U$4:U$40,"&lt;&gt;"&amp;"")+COUNTIF(U$4:U10,U10))</f>
        <v>6</v>
      </c>
      <c r="W10" t="str">
        <f t="shared" si="9"/>
        <v>Scrap of 132 KV CT</v>
      </c>
      <c r="X10" s="137">
        <f>X9+IF(AND(W10&lt;&gt;"",COUNTIF(W$4:W10,W10)=1),1,0)</f>
        <v>6</v>
      </c>
      <c r="Y10" t="str">
        <f t="shared" si="10"/>
        <v>Scrap of 132 KV Wave Trap</v>
      </c>
      <c r="Z10">
        <f>IF('Final Calculation Sheet'!$D$10="","",'Final Calculation Sheet'!$D$10)</f>
        <v>21977</v>
      </c>
      <c r="AA10" s="137">
        <f>IF(Z10="","",COUNTIFS(Z$4:Z$40,"&lt;"&amp;Z10,Z$4:Z$40,"&lt;&gt;"&amp;"")+COUNTIF(Z$4:Z10,Z10))</f>
        <v>5</v>
      </c>
      <c r="AB10" s="137">
        <f t="shared" si="11"/>
        <v>21977</v>
      </c>
      <c r="AC10" s="137">
        <f>AC9+IF(AND(AB10&lt;&gt;"",COUNTIF(AB$4:AB10,AB10)=1),1,0)</f>
        <v>1</v>
      </c>
      <c r="AD10" t="str">
        <f t="shared" si="12"/>
        <v/>
      </c>
      <c r="AE10">
        <f>IF('Final Calculation Sheet'!$A$10="","",'Final Calculation Sheet'!$A$10)</f>
        <v>4</v>
      </c>
      <c r="AF10" s="137">
        <f>IF(AE10="","",COUNTIFS(AE$4:AE$40,"&lt;"&amp;AE10,AE$4:AE$40,"&lt;&gt;"&amp;"")+COUNTIF(AE$4:AE10,AE10))</f>
        <v>19</v>
      </c>
      <c r="AG10" s="137">
        <f t="shared" si="13"/>
        <v>1</v>
      </c>
      <c r="AH10" s="137">
        <f>AH9+IF(AND(AG10&lt;&gt;"",COUNTIF(AG$4:AG10,AG10)=1),1,0)</f>
        <v>1</v>
      </c>
      <c r="AI10">
        <f t="shared" si="14"/>
        <v>22</v>
      </c>
      <c r="AJ10" t="str">
        <f>IF('Final Calculation Sheet'!$E$10="","",'Final Calculation Sheet'!$E$10)</f>
        <v>NO</v>
      </c>
      <c r="AK10" s="137">
        <f>IF(AJ10="","",COUNTIFS(AJ$4:AJ$40,"&lt;"&amp;AJ10,AJ$4:AJ$40,"&lt;&gt;"&amp;"")+COUNTIF(AJ$4:AJ10,AJ10))</f>
        <v>10</v>
      </c>
      <c r="AL10" t="str">
        <f t="shared" si="15"/>
        <v>MT</v>
      </c>
      <c r="AM10" s="137">
        <f>AM9+IF(AND(AL10&lt;&gt;"",COUNTIF(AL$4:AL10,AL10)=1),1,0)</f>
        <v>2</v>
      </c>
      <c r="AN10" t="str">
        <f t="shared" si="16"/>
        <v/>
      </c>
      <c r="AO10" s="55">
        <f>IF('Final Calculation Sheet'!$C$10="","",'Final Calculation Sheet'!$C$10)</f>
        <v>51511</v>
      </c>
      <c r="AP10" s="137">
        <f>IF(AO10="","",COUNTIFS(AO$4:AO$40,"&lt;"&amp;AO10,AO$4:AO$40,"&lt;&gt;"&amp;"")+COUNTIF(AO$4:AO10,AO10))</f>
        <v>23</v>
      </c>
      <c r="AQ10" s="55">
        <f t="shared" si="17"/>
        <v>543</v>
      </c>
      <c r="AR10" s="137">
        <f>AR9+IF(AND(AQ10&lt;&gt;"",COUNTIF(AQ$4:AQ10,AQ10)=1),1,0)</f>
        <v>7</v>
      </c>
      <c r="AS10" s="55">
        <f t="shared" si="18"/>
        <v>543</v>
      </c>
      <c r="AT10" s="55">
        <f>IF('Final Calculation Sheet'!$H$10="","",'Final Calculation Sheet'!$H$10)</f>
        <v>206044</v>
      </c>
      <c r="AU10" s="137">
        <f>IF(AT10="","",COUNTIFS(AT$4:AT$40,"&lt;"&amp;AT10,AT$4:AT$40,"&lt;&gt;"&amp;"")+COUNTIF(AT$4:AT10,AT10))</f>
        <v>22</v>
      </c>
      <c r="AV10" s="55">
        <f t="shared" si="19"/>
        <v>30012</v>
      </c>
      <c r="AW10" s="137">
        <f>AW9+IF(AND(AV10&lt;&gt;"",COUNTIF(AV$4:AV10,AV10)=1),1,0)</f>
        <v>7</v>
      </c>
      <c r="AX10" s="55">
        <f t="shared" si="20"/>
        <v>30012</v>
      </c>
      <c r="AY10" s="55">
        <f>IF('Final Calculation Sheet'!$I$10="","",'Final Calculation Sheet'!$I$10)</f>
        <v>37088</v>
      </c>
      <c r="AZ10" s="137">
        <f>IF(AY10="","",COUNTIFS(AY$4:AY$40,"&lt;"&amp;AY10,AY$4:AY$40,"&lt;&gt;"&amp;"")+COUNTIF(AY$4:AY10,AY10))</f>
        <v>22</v>
      </c>
      <c r="BA10" s="55">
        <f t="shared" si="21"/>
        <v>5402</v>
      </c>
      <c r="BB10" s="137">
        <f>BB9+IF(AND(BA10&lt;&gt;"",COUNTIF(BA$4:BA10,BA10)=1),1,0)</f>
        <v>7</v>
      </c>
      <c r="BC10" s="55">
        <f t="shared" si="22"/>
        <v>5402</v>
      </c>
      <c r="BD10" s="55">
        <f>IF('Final Calculation Sheet'!$J$10="","",'Final Calculation Sheet'!$J$10)</f>
        <v>243132</v>
      </c>
      <c r="BE10" s="137">
        <f>IF(BD10="","",COUNTIFS(BD$4:BD$40,"&lt;"&amp;BD10,BD$4:BD$40,"&lt;&gt;"&amp;"")+COUNTIF(BD$4:BD10,BD10))</f>
        <v>22</v>
      </c>
      <c r="BF10" s="55">
        <f t="shared" si="23"/>
        <v>35414</v>
      </c>
      <c r="BG10" s="137">
        <f>BG9+IF(AND(BF10&lt;&gt;"",COUNTIF(BF$4:BF10,BF10)=1),1,0)</f>
        <v>7</v>
      </c>
      <c r="BH10" s="55">
        <f t="shared" si="24"/>
        <v>35414</v>
      </c>
      <c r="BI10" s="55">
        <f>IF('Final Calculation Sheet'!$K$10="","",'Final Calculation Sheet'!$K$10)</f>
        <v>4863</v>
      </c>
      <c r="BJ10" s="137">
        <f>IF(BI10="","",COUNTIFS(BI$4:BI$40,"&lt;"&amp;BI10,BI$4:BI$40,"&lt;&gt;"&amp;"")+COUNTIF(BI$4:BI10,BI10))</f>
        <v>22</v>
      </c>
      <c r="BK10" s="55">
        <f t="shared" si="25"/>
        <v>708</v>
      </c>
      <c r="BL10" s="137">
        <f>BL9+IF(AND(BK10&lt;&gt;"",COUNTIF(BK$4:BK10,BK10)=1),1,0)</f>
        <v>7</v>
      </c>
      <c r="BM10" s="55">
        <f t="shared" si="26"/>
        <v>708</v>
      </c>
      <c r="BN10" s="55">
        <f>IF('Final Calculation Sheet'!$L$10="","",'Final Calculation Sheet'!$L$10)</f>
        <v>206.04400000000001</v>
      </c>
      <c r="BO10" s="137">
        <f>IF(BN10="","",COUNTIFS(BN$4:BN$40,"&lt;"&amp;BN10,BN$4:BN$40,"&lt;&gt;"&amp;"")+COUNTIF(BN$4:BN10,BN10))</f>
        <v>22</v>
      </c>
      <c r="BP10" s="55">
        <f t="shared" si="27"/>
        <v>30.012</v>
      </c>
      <c r="BQ10" s="137">
        <f>BQ9+IF(AND(BP10&lt;&gt;"",COUNTIF(BP$4:BP10,BP10)=1),1,0)</f>
        <v>7</v>
      </c>
      <c r="BR10" s="55">
        <f t="shared" si="28"/>
        <v>30.012</v>
      </c>
      <c r="BS10" s="55">
        <f>IF('Final Calculation Sheet'!$M$10="","",'Final Calculation Sheet'!$M$10)</f>
        <v>5470.4681999999993</v>
      </c>
      <c r="BT10" s="137">
        <f>IF(BS10="","",COUNTIFS(BS$4:BS$40,"&lt;"&amp;BS10,BS$4:BS$40,"&lt;&gt;"&amp;"")+COUNTIF(BS$4:BS10,BS10))</f>
        <v>22</v>
      </c>
      <c r="BU10" s="55">
        <f t="shared" si="29"/>
        <v>796.81859999999995</v>
      </c>
      <c r="BV10" s="137">
        <f>BV9+IF(AND(BU10&lt;&gt;"",COUNTIF(BU$4:BU10,BU10)=1),1,0)</f>
        <v>7</v>
      </c>
      <c r="BW10" s="55">
        <f t="shared" si="30"/>
        <v>796.81859999999995</v>
      </c>
      <c r="BX10" s="138">
        <f>IF('Final Calculation Sheet'!$N$10="","",'Final Calculation Sheet'!$N$10)</f>
        <v>92.719799999999992</v>
      </c>
      <c r="BY10" s="137">
        <f>IF(BX10="","",COUNTIFS(BX$4:BX$40,"&lt;"&amp;BX10,BX$4:BX$40,"&lt;&gt;"&amp;"")+COUNTIF(BX$4:BX10,BX10))</f>
        <v>22</v>
      </c>
      <c r="BZ10" s="138">
        <f t="shared" si="31"/>
        <v>13.5054</v>
      </c>
      <c r="CA10" s="137">
        <f>CA9+IF(AND(BZ10&lt;&gt;"",COUNTIF(BZ$4:BZ10,BZ10)=1),1,0)</f>
        <v>7</v>
      </c>
      <c r="CB10" s="138">
        <f t="shared" si="32"/>
        <v>13.5054</v>
      </c>
      <c r="CC10" s="55">
        <f>IF('Final Calculation Sheet'!$O$10="","",'Final Calculation Sheet'!$O$10)</f>
        <v>5377.7483999999995</v>
      </c>
      <c r="CD10" s="137">
        <f>IF(CC10="","",COUNTIFS(CC$4:CC$40,"&lt;"&amp;CC10,CC$4:CC$40,"&lt;&gt;"&amp;"")+COUNTIF(CC$4:CC10,CC10))</f>
        <v>22</v>
      </c>
      <c r="CE10" s="55">
        <f t="shared" si="33"/>
        <v>783.31319999999994</v>
      </c>
      <c r="CF10" s="137">
        <f>CF9+IF(AND(CE10&lt;&gt;"",COUNTIF(CE$4:CE10,CE10)=1),1,0)</f>
        <v>7</v>
      </c>
      <c r="CG10" s="55">
        <f t="shared" si="34"/>
        <v>783.31319999999994</v>
      </c>
      <c r="CH10" s="55">
        <f>IF('Final Calculation Sheet'!$P$10="","",'Final Calculation Sheet'!$P$10)</f>
        <v>5584</v>
      </c>
      <c r="CI10" s="137">
        <f>IF(CH10="","",COUNTIFS(CH$4:CH$40,"&lt;"&amp;CH10,CH$4:CH$40,"&lt;&gt;"&amp;"")+COUNTIF(CH$4:CH10,CH10))</f>
        <v>22</v>
      </c>
      <c r="CJ10" s="55">
        <f t="shared" si="35"/>
        <v>813</v>
      </c>
      <c r="CK10" s="137">
        <f>CK9+IF(AND(CJ10&lt;&gt;"",COUNTIF(CJ$4:CJ10,CJ10)=1),1,0)</f>
        <v>7</v>
      </c>
      <c r="CL10" s="55">
        <f t="shared" si="36"/>
        <v>813</v>
      </c>
      <c r="CM10" s="139">
        <f>IF('Final Calculation Sheet'!$Q$10="","",'Final Calculation Sheet'!$Q$10)</f>
        <v>0</v>
      </c>
      <c r="CN10" s="137">
        <f>IF(CM10="","",COUNTIFS(CM$4:CM$40,"&lt;"&amp;CM10,CM$4:CM$40,"&lt;&gt;"&amp;"")+COUNTIF(CM$4:CM10,CM10))</f>
        <v>5</v>
      </c>
      <c r="CO10" s="139">
        <f t="shared" si="37"/>
        <v>0</v>
      </c>
      <c r="CP10" s="137">
        <f>CP9+IF(AND(CO10&lt;&gt;"",COUNTIF(CO$4:CO10,CO10)=1),1,0)</f>
        <v>1</v>
      </c>
      <c r="CQ10" t="str">
        <f t="shared" si="38"/>
        <v/>
      </c>
      <c r="CR10" s="55">
        <f>IF('Final Calculation Sheet'!$R$10="","",'Final Calculation Sheet'!$R$10)</f>
        <v>0</v>
      </c>
      <c r="CS10" s="137">
        <f>IF(CR10="","",COUNTIFS(CR$4:CR$40,"&lt;"&amp;CR10,CR$4:CR$40,"&lt;&gt;"&amp;"")+COUNTIF(CR$4:CR10,CR10))</f>
        <v>5</v>
      </c>
      <c r="CT10" s="55">
        <f t="shared" si="39"/>
        <v>0</v>
      </c>
      <c r="CU10" s="137">
        <f>CU9+IF(AND(CT10&lt;&gt;"",COUNTIF(CT$4:CT10,CT10)=1),1,0)</f>
        <v>1</v>
      </c>
      <c r="CV10" t="str">
        <f t="shared" si="40"/>
        <v/>
      </c>
      <c r="CW10" s="55">
        <f>IF('Final Calculation Sheet'!$S$10="","",'Final Calculation Sheet'!$S$10)</f>
        <v>242411</v>
      </c>
      <c r="CX10" s="137">
        <f>IF(CW10="","",COUNTIFS(CW$4:CW$40,"&lt;"&amp;CW10,CW$4:CW$40,"&lt;&gt;"&amp;"")+COUNTIF(CW$4:CW10,CW10))</f>
        <v>22</v>
      </c>
      <c r="CY10" s="55">
        <f t="shared" si="41"/>
        <v>35309</v>
      </c>
      <c r="CZ10" s="137">
        <f>CZ9+IF(AND(CY10&lt;&gt;"",COUNTIF(CY$4:CY10,CY10)=1),1,0)</f>
        <v>7</v>
      </c>
      <c r="DA10" s="55">
        <f t="shared" si="42"/>
        <v>35309</v>
      </c>
      <c r="DB10" s="55">
        <f>IF('Final Calculation Sheet'!$T$10="","",'Final Calculation Sheet'!$T$10)</f>
        <v>51511</v>
      </c>
      <c r="DC10" s="137">
        <f>IF(DB10="","",COUNTIFS(DB$4:DB$40,"&lt;"&amp;DB10,DB$4:DB$40,"&lt;&gt;"&amp;"")+COUNTIF(DB$4:DB10,DB10))</f>
        <v>22</v>
      </c>
      <c r="DD10" s="55">
        <f t="shared" si="43"/>
        <v>7503</v>
      </c>
      <c r="DE10" s="137">
        <f>DE9+IF(AND(DD10&lt;&gt;"",COUNTIF(DD$4:DD10,DD10)=1),1,0)</f>
        <v>7</v>
      </c>
      <c r="DF10" s="55">
        <f t="shared" si="44"/>
        <v>7503</v>
      </c>
      <c r="DG10" s="140">
        <f>IF('Final Calculation Sheet'!$U$10="","",'Final Calculation Sheet'!$U$10)</f>
        <v>51511</v>
      </c>
      <c r="DH10" s="137">
        <f>IF(DG10="","",COUNTIFS(DG$4:DG$40,"&lt;"&amp;DG10,DG$4:DG$40,"&lt;&gt;"&amp;"")+COUNTIF(DG$4:DG10,DG10))</f>
        <v>22</v>
      </c>
      <c r="DI10" s="140">
        <f t="shared" si="45"/>
        <v>7503</v>
      </c>
      <c r="DJ10" s="137">
        <f>DJ9+IF(AND(DI10&lt;&gt;"",COUNTIF(DI$4:DI10,DI10)=1),1,0)</f>
        <v>7</v>
      </c>
      <c r="DK10" s="140">
        <f t="shared" si="46"/>
        <v>7503</v>
      </c>
      <c r="DL10" t="str">
        <f>IF('Final Calculation Sheet'!$V$10="","",'Final Calculation Sheet'!$V$10)</f>
        <v>13.08.2026</v>
      </c>
      <c r="DM10" s="137">
        <f>IF(DL10="","",COUNTIFS(DL$4:DL$40,"&lt;"&amp;DL10,DL$4:DL$40,"&lt;&gt;"&amp;"")+COUNTIF(DL$4:DL10,DL10))</f>
        <v>14</v>
      </c>
      <c r="DN10" t="str">
        <f t="shared" si="47"/>
        <v>11.08.2026</v>
      </c>
      <c r="DO10" s="137">
        <f>DO9+IF(AND(DN10&lt;&gt;"",COUNTIF(DN$4:DN10,DN10)=1),1,0)</f>
        <v>2</v>
      </c>
      <c r="DP10" t="str">
        <f t="shared" si="48"/>
        <v/>
      </c>
      <c r="DQ10" s="55">
        <f>IF('Final Calculation Sheet'!$W$10="","",'Final Calculation Sheet'!$W$10)</f>
        <v>190900</v>
      </c>
      <c r="DR10" s="137">
        <f>IF(DQ10="","",COUNTIFS(DQ$4:DQ$40,"&lt;"&amp;DQ10,DQ$4:DQ$40,"&lt;&gt;"&amp;"")+COUNTIF(DQ$4:DQ10,DQ10))</f>
        <v>22</v>
      </c>
      <c r="DS10" s="55">
        <f t="shared" si="49"/>
        <v>27806</v>
      </c>
      <c r="DT10" s="137">
        <f>DT9+IF(AND(DS10&lt;&gt;"",COUNTIF(DS$4:DS10,DS10)=1),1,0)</f>
        <v>7</v>
      </c>
      <c r="DU10" s="55">
        <f t="shared" si="50"/>
        <v>27806</v>
      </c>
      <c r="DV10" s="55">
        <f>IF('Final Calculation Sheet'!$X$10="","",'Final Calculation Sheet'!$X$10)</f>
        <v>190900</v>
      </c>
      <c r="DW10" s="137">
        <f>IF(DV10="","",COUNTIFS(DV$4:DV$40,"&lt;"&amp;DV10,DV$4:DV$40,"&lt;&gt;"&amp;"")+COUNTIF(DV$4:DV10,DV10))</f>
        <v>21</v>
      </c>
      <c r="DX10" s="55">
        <f t="shared" si="51"/>
        <v>27806</v>
      </c>
      <c r="DY10" s="137">
        <f>DY9+IF(AND(DX10&lt;&gt;"",COUNTIF(DX$4:DX10,DX10)=1),1,0)</f>
        <v>7</v>
      </c>
      <c r="DZ10" t="e">
        <f t="shared" si="52"/>
        <v>#N/A</v>
      </c>
      <c r="EA10" t="str">
        <f>IF('Final Calculation Sheet'!$Y$10="","",'Final Calculation Sheet'!$Y$10)</f>
        <v>24.08.2026</v>
      </c>
      <c r="EB10" s="137">
        <f>IF(EA10="","",COUNTIFS(EA$4:EA$40,"&lt;"&amp;EA10,EA$4:EA$40,"&lt;&gt;"&amp;"")+COUNTIF(EA$4:EA10,EA10))</f>
        <v>23</v>
      </c>
      <c r="EC10" t="str">
        <f t="shared" si="53"/>
        <v>11.08.2026</v>
      </c>
      <c r="ED10" s="137">
        <f>ED9+IF(AND(EC10&lt;&gt;"",COUNTIF(EC$4:EC10,EC10)=1),1,0)</f>
        <v>3</v>
      </c>
      <c r="EE10" t="e">
        <f t="shared" si="54"/>
        <v>#N/A</v>
      </c>
      <c r="EF10" s="55">
        <f ca="1">IF('Final Calculation Sheet'!$Z$10="","",'Final Calculation Sheet'!$Z$10)</f>
        <v>0</v>
      </c>
      <c r="EG10" s="137">
        <f ca="1">IF(EF10="","",COUNTIFS(EF$4:EF$40,"&lt;"&amp;EF10,EF$4:EF$40,"&lt;&gt;"&amp;"")+COUNTIF(EF$4:EF10,EF10))</f>
        <v>7</v>
      </c>
      <c r="EH10" s="55">
        <f t="shared" ca="1" si="55"/>
        <v>0</v>
      </c>
      <c r="EI10" s="137">
        <f ca="1">EI9+IF(AND(EH10&lt;&gt;"",COUNTIF(EH$4:EH10,EH10)=1),1,0)</f>
        <v>1</v>
      </c>
      <c r="EJ10" t="str">
        <f t="shared" ca="1" si="56"/>
        <v/>
      </c>
      <c r="EK10" t="str">
        <f>IF('Final Calculation Sheet'!$AA$10="","",'Final Calculation Sheet'!$AA$10)</f>
        <v/>
      </c>
      <c r="EL10" t="str">
        <f>IF(EK10="","",COUNTIFS(EK$4:EK$40,"&lt;"&amp;EK10,EK$4:EK$40,"&lt;&gt;"&amp;"")+COUNTIF(EK$4:EK10,EK10))</f>
        <v/>
      </c>
      <c r="EM10" s="137" t="e">
        <f t="shared" si="57"/>
        <v>#N/A</v>
      </c>
      <c r="EN10" s="137" t="e">
        <f>EN9+IF(AND(EM10&lt;&gt;"",COUNTIF(EM$4:EM10,EM10)=1),1,0)</f>
        <v>#N/A</v>
      </c>
      <c r="EO10" t="e">
        <f t="shared" si="58"/>
        <v>#N/A</v>
      </c>
      <c r="EP10" t="str">
        <f>IF('Final Calculation Sheet'!$AB$10="","",'Final Calculation Sheet'!$AB$10)</f>
        <v/>
      </c>
      <c r="EQ10" t="str">
        <f>IF(EP10="","",COUNTIFS(EP$4:EP$40,"&lt;"&amp;EP10,EP$4:EP$40,"&lt;&gt;"&amp;"")+COUNTIF(EP$4:EP10,EP10))</f>
        <v/>
      </c>
      <c r="ER10" s="137" t="e">
        <f t="shared" si="59"/>
        <v>#N/A</v>
      </c>
      <c r="ES10" s="137" t="e">
        <f>ES9+IF(AND(ER10&lt;&gt;"",COUNTIF(ER$4:ER10,ER10)=1),1,0)</f>
        <v>#N/A</v>
      </c>
      <c r="ET10" t="e">
        <f t="shared" si="60"/>
        <v>#N/A</v>
      </c>
      <c r="EU10" s="55">
        <f>IF('Final Calculation Sheet'!$AC$10="","",'Final Calculation Sheet'!$AC$10)</f>
        <v>242411</v>
      </c>
      <c r="EV10" s="137">
        <f>IF(EU10="","",COUNTIFS(EU$4:EU$40,"&lt;"&amp;EU10,EU$4:EU$40,"&lt;&gt;"&amp;"")+COUNTIF(EU$4:EU10,EU10))</f>
        <v>24</v>
      </c>
      <c r="EW10" s="55">
        <f t="shared" si="61"/>
        <v>34708</v>
      </c>
      <c r="EX10" s="137">
        <f>EX9+IF(AND(EW10&lt;&gt;"",COUNTIF(EW$4:EW10,EW10)=1),1,0)</f>
        <v>7</v>
      </c>
      <c r="EY10" s="55">
        <f t="shared" si="62"/>
        <v>34708</v>
      </c>
      <c r="EZ10" s="55">
        <f>IF('Final Calculation Sheet'!$AD$10="","",'Final Calculation Sheet'!$AD$10)</f>
        <v>0</v>
      </c>
      <c r="FA10" s="137">
        <f>IF(EZ10="","",COUNTIFS(EZ$4:EZ$40,"&lt;"&amp;EZ10,EZ$4:EZ$40,"&lt;&gt;"&amp;"")+COUNTIF(EZ$4:EZ10,EZ10))</f>
        <v>11</v>
      </c>
      <c r="FB10" s="55">
        <f t="shared" si="63"/>
        <v>-0.90570838935673237</v>
      </c>
      <c r="FC10" s="137" t="e">
        <f>FC9+IF(AND(FB10&lt;&gt;"",COUNTIF(FB$4:FB10,FB10)=1),1,0)</f>
        <v>#N/A</v>
      </c>
      <c r="FD10" s="55" t="e">
        <f t="shared" si="64"/>
        <v>#N/A</v>
      </c>
      <c r="FE10" t="str">
        <f>IF('Final Calculation Sheet'!$AE$10="","",'Final Calculation Sheet'!$AE$10)</f>
        <v>DR2640100031</v>
      </c>
      <c r="FF10" s="137">
        <f>IF(FE10="","",COUNTIFS(FE$4:FE$40,"&lt;"&amp;FE10,FE$4:FE$40,"&lt;&gt;"&amp;"")+COUNTIF(FE$4:FE10,FE10))</f>
        <v>20</v>
      </c>
      <c r="FG10" t="str">
        <f t="shared" si="65"/>
        <v>DR2640100018</v>
      </c>
      <c r="FH10" s="137" t="e">
        <f>FH9+IF(AND(FG10&lt;&gt;"",COUNTIF(FG$4:FG10,FG10)=1),1,0)</f>
        <v>#N/A</v>
      </c>
      <c r="FI10" t="e">
        <f t="shared" si="66"/>
        <v>#N/A</v>
      </c>
      <c r="FJ10" s="141">
        <f>IF('Final Calculation Sheet'!$AF$10="","",'Final Calculation Sheet'!$AF$10)</f>
        <v>1800003303</v>
      </c>
      <c r="FK10" s="137">
        <f>IF(FJ10="","",COUNTIFS(FJ$4:FJ$40,"&lt;"&amp;FJ10,FJ$4:FJ$40,"&lt;&gt;"&amp;"")+COUNTIF(FJ$4:FJ10,FJ10))</f>
        <v>15</v>
      </c>
      <c r="FL10" s="141">
        <f t="shared" si="67"/>
        <v>1800003194</v>
      </c>
      <c r="FM10" s="137">
        <f>FM9+IF(AND(FL10&lt;&gt;"",COUNTIF(FL$4:FL10,FL10)=1),1,0)</f>
        <v>7</v>
      </c>
      <c r="FN10" t="e">
        <f t="shared" si="68"/>
        <v>#N/A</v>
      </c>
      <c r="FO10" t="str">
        <f>IF('Final Calculation Sheet'!$AG$10="","",'Final Calculation Sheet'!$AG$10)</f>
        <v>27.08.2026</v>
      </c>
      <c r="FP10" s="137">
        <f>IF(FO10="","",COUNTIFS(FO$4:FO$40,"&lt;"&amp;FO10,FO$4:FO$40,"&lt;&gt;"&amp;"")+COUNTIF(FO$4:FO10,FO10))</f>
        <v>23</v>
      </c>
      <c r="FQ10" t="str">
        <f t="shared" si="69"/>
        <v>14.08.2026</v>
      </c>
      <c r="FR10" s="137" t="e">
        <f>FR9+IF(AND(FQ10&lt;&gt;"",COUNTIF(FQ$4:FQ10,FQ10)=1),1,0)</f>
        <v>#N/A</v>
      </c>
      <c r="FS10" t="e">
        <f t="shared" si="70"/>
        <v>#N/A</v>
      </c>
      <c r="FU10" t="str">
        <f>IF(FT10="","",COUNTIFS(FT$4:FT$40,"&lt;"&amp;FT10,FT$4:FT$40,"&lt;&gt;"&amp;"")+COUNTIF(FT$4:FT10,FT10))</f>
        <v/>
      </c>
      <c r="FV10" t="str">
        <f t="shared" si="71"/>
        <v/>
      </c>
      <c r="FW10" s="137">
        <f>FW9+IF(AND(FV10&lt;&gt;"",COUNTIF(FV$4:FV10,FV10)=1),1,0)</f>
        <v>2</v>
      </c>
      <c r="FX10" t="str">
        <f t="shared" si="72"/>
        <v/>
      </c>
    </row>
    <row r="11" spans="1:180" x14ac:dyDescent="0.25">
      <c r="A11">
        <f>IF('Final Calculation Sheet'!$F$11="","",'Final Calculation Sheet'!$F$11)</f>
        <v>2003</v>
      </c>
      <c r="B11" s="137">
        <f>IF(A11="","",COUNTIFS(A$4:A$114,"&lt;"&amp;A11,A$4:A$114,"&lt;&gt;"&amp;"")+COUNTIF(A$4:A11,A11))</f>
        <v>8</v>
      </c>
      <c r="C11" s="137">
        <f t="shared" si="0"/>
        <v>2003</v>
      </c>
      <c r="D11" s="137">
        <f>D10+IF(AND(C11&lt;&gt;"",COUNTIF(C$4:C11,C11)=1),1,0)</f>
        <v>8</v>
      </c>
      <c r="E11" t="e">
        <f t="shared" si="1"/>
        <v>#N/A</v>
      </c>
      <c r="F11">
        <f t="shared" si="2"/>
        <v>8</v>
      </c>
      <c r="G11" s="137">
        <f>IF(F11="","",COUNTIFS(F$4:F$40,"&lt;"&amp;F11,F$4:F$40,"&lt;&gt;"&amp;"")+COUNTIF(F$4:F11,F11))</f>
        <v>8</v>
      </c>
      <c r="H11" s="137">
        <f t="shared" si="3"/>
        <v>8</v>
      </c>
      <c r="I11" s="137">
        <f>I10+IF(AND(H11&lt;&gt;"",COUNTIF(H$4:H11,H11)=1),1,0)</f>
        <v>8</v>
      </c>
      <c r="J11">
        <f t="shared" si="4"/>
        <v>8</v>
      </c>
      <c r="K11">
        <f>IF('Final Calculation Sheet'!$F$11="","",'Final Calculation Sheet'!$F$11)</f>
        <v>2003</v>
      </c>
      <c r="L11" s="137">
        <f>IF(K11="","",COUNTIFS(K$4:K$40,"&lt;"&amp;K11,K$4:K$40,"&lt;&gt;"&amp;"")+COUNTIF(K$4:K11,K11))</f>
        <v>8</v>
      </c>
      <c r="M11" s="137">
        <f t="shared" si="5"/>
        <v>2003</v>
      </c>
      <c r="N11" s="137">
        <f>N10+IF(AND(M11&lt;&gt;"",COUNTIF(M$4:M11,M11)=1),1,0)</f>
        <v>8</v>
      </c>
      <c r="O11">
        <f t="shared" si="6"/>
        <v>2003</v>
      </c>
      <c r="P11" t="str">
        <f>IF('Final Calculation Sheet'!$G$11="","",'Final Calculation Sheet'!$G$11)</f>
        <v>NATIONAL ENTERPRISES</v>
      </c>
      <c r="Q11" s="137">
        <f>IF(P11="","",COUNTIFS(P$4:P$40,"&lt;"&amp;P11,P$4:P$40,"&lt;&gt;"&amp;"")+COUNTIF(P$4:P11,P11))</f>
        <v>9</v>
      </c>
      <c r="R11" t="str">
        <f t="shared" si="7"/>
        <v>NATIONAL ENTERPRISES</v>
      </c>
      <c r="S11" s="137">
        <f>S10+IF(AND(R11&lt;&gt;"",COUNTIF(R$4:R11,R11)=1),1,0)</f>
        <v>6</v>
      </c>
      <c r="T11" t="str">
        <f t="shared" si="8"/>
        <v>OMKAR STEELS</v>
      </c>
      <c r="U11" t="str">
        <f>IF('Final Calculation Sheet'!$B$11="","",'Final Calculation Sheet'!$B$11)</f>
        <v>Scrap of 145 KV CB</v>
      </c>
      <c r="V11" s="137">
        <f>IF(U11="","",COUNTIFS(U$4:U$40,"&lt;"&amp;U11,U$4:U$40,"&lt;&gt;"&amp;"")+COUNTIF(U$4:U11,U11))</f>
        <v>14</v>
      </c>
      <c r="W11" t="str">
        <f t="shared" si="9"/>
        <v>Scrap of 132 KV CT</v>
      </c>
      <c r="X11" s="137">
        <f>X10+IF(AND(W11&lt;&gt;"",COUNTIF(W$4:W11,W11)=1),1,0)</f>
        <v>6</v>
      </c>
      <c r="Y11" t="str">
        <f t="shared" si="10"/>
        <v>Scrap of 145 KV CB</v>
      </c>
      <c r="Z11">
        <f>IF('Final Calculation Sheet'!$D$11="","",'Final Calculation Sheet'!$D$11)</f>
        <v>21977</v>
      </c>
      <c r="AA11" s="137">
        <f>IF(Z11="","",COUNTIFS(Z$4:Z$40,"&lt;"&amp;Z11,Z$4:Z$40,"&lt;&gt;"&amp;"")+COUNTIF(Z$4:Z11,Z11))</f>
        <v>6</v>
      </c>
      <c r="AB11" s="137">
        <f t="shared" si="11"/>
        <v>21977</v>
      </c>
      <c r="AC11" s="137">
        <f>AC10+IF(AND(AB11&lt;&gt;"",COUNTIF(AB$4:AB11,AB11)=1),1,0)</f>
        <v>1</v>
      </c>
      <c r="AD11" t="str">
        <f t="shared" si="12"/>
        <v/>
      </c>
      <c r="AE11">
        <f>IF('Final Calculation Sheet'!$A$11="","",'Final Calculation Sheet'!$A$11)</f>
        <v>1</v>
      </c>
      <c r="AF11" s="137">
        <f>IF(AE11="","",COUNTIFS(AE$4:AE$40,"&lt;"&amp;AE11,AE$4:AE$40,"&lt;&gt;"&amp;"")+COUNTIF(AE$4:AE11,AE11))</f>
        <v>2</v>
      </c>
      <c r="AG11" s="137">
        <f t="shared" si="13"/>
        <v>1</v>
      </c>
      <c r="AH11" s="137">
        <f>AH10+IF(AND(AG11&lt;&gt;"",COUNTIF(AG$4:AG11,AG11)=1),1,0)</f>
        <v>1</v>
      </c>
      <c r="AI11">
        <f t="shared" si="14"/>
        <v>25</v>
      </c>
      <c r="AJ11" t="str">
        <f>IF('Final Calculation Sheet'!$E$11="","",'Final Calculation Sheet'!$E$11)</f>
        <v>NO</v>
      </c>
      <c r="AK11" s="137">
        <f>IF(AJ11="","",COUNTIFS(AJ$4:AJ$40,"&lt;"&amp;AJ11,AJ$4:AJ$40,"&lt;&gt;"&amp;"")+COUNTIF(AJ$4:AJ11,AJ11))</f>
        <v>11</v>
      </c>
      <c r="AL11" t="str">
        <f t="shared" si="15"/>
        <v>NO</v>
      </c>
      <c r="AM11" s="137">
        <f>AM10+IF(AND(AL11&lt;&gt;"",COUNTIF(AL$4:AL11,AL11)=1),1,0)</f>
        <v>3</v>
      </c>
      <c r="AN11" t="str">
        <f t="shared" si="16"/>
        <v/>
      </c>
      <c r="AO11" s="55">
        <f>IF('Final Calculation Sheet'!$C$11="","",'Final Calculation Sheet'!$C$11)</f>
        <v>65007</v>
      </c>
      <c r="AP11" s="137">
        <f>IF(AO11="","",COUNTIFS(AO$4:AO$40,"&lt;"&amp;AO11,AO$4:AO$40,"&lt;&gt;"&amp;"")+COUNTIF(AO$4:AO11,AO11))</f>
        <v>25</v>
      </c>
      <c r="AQ11" s="55">
        <f t="shared" si="17"/>
        <v>571</v>
      </c>
      <c r="AR11" s="137">
        <f>AR10+IF(AND(AQ11&lt;&gt;"",COUNTIF(AQ$4:AQ11,AQ11)=1),1,0)</f>
        <v>8</v>
      </c>
      <c r="AS11" s="55">
        <f t="shared" si="18"/>
        <v>571</v>
      </c>
      <c r="AT11" s="55">
        <f>IF('Final Calculation Sheet'!$H$11="","",'Final Calculation Sheet'!$H$11)</f>
        <v>65007</v>
      </c>
      <c r="AU11" s="137">
        <f>IF(AT11="","",COUNTIFS(AT$4:AT$40,"&lt;"&amp;AT11,AT$4:AT$40,"&lt;&gt;"&amp;"")+COUNTIF(AT$4:AT11,AT11))</f>
        <v>12</v>
      </c>
      <c r="AV11" s="55">
        <f t="shared" si="19"/>
        <v>40768</v>
      </c>
      <c r="AW11" s="137">
        <f>AW10+IF(AND(AV11&lt;&gt;"",COUNTIF(AV$4:AV11,AV11)=1),1,0)</f>
        <v>8</v>
      </c>
      <c r="AX11" s="55">
        <f t="shared" si="20"/>
        <v>40768</v>
      </c>
      <c r="AY11" s="55">
        <f>IF('Final Calculation Sheet'!$I$11="","",'Final Calculation Sheet'!$I$11)</f>
        <v>11701</v>
      </c>
      <c r="AZ11" s="137">
        <f>IF(AY11="","",COUNTIFS(AY$4:AY$40,"&lt;"&amp;AY11,AY$4:AY$40,"&lt;&gt;"&amp;"")+COUNTIF(AY$4:AY11,AY11))</f>
        <v>12</v>
      </c>
      <c r="BA11" s="55">
        <f t="shared" si="21"/>
        <v>7338</v>
      </c>
      <c r="BB11" s="137">
        <f>BB10+IF(AND(BA11&lt;&gt;"",COUNTIF(BA$4:BA11,BA11)=1),1,0)</f>
        <v>8</v>
      </c>
      <c r="BC11" s="55">
        <f t="shared" si="22"/>
        <v>7338</v>
      </c>
      <c r="BD11" s="55">
        <f>IF('Final Calculation Sheet'!$J$11="","",'Final Calculation Sheet'!$J$11)</f>
        <v>76708</v>
      </c>
      <c r="BE11" s="137">
        <f>IF(BD11="","",COUNTIFS(BD$4:BD$40,"&lt;"&amp;BD11,BD$4:BD$40,"&lt;&gt;"&amp;"")+COUNTIF(BD$4:BD11,BD11))</f>
        <v>12</v>
      </c>
      <c r="BF11" s="55">
        <f t="shared" si="23"/>
        <v>48106</v>
      </c>
      <c r="BG11" s="137">
        <f>BG10+IF(AND(BF11&lt;&gt;"",COUNTIF(BF$4:BF11,BF11)=1),1,0)</f>
        <v>8</v>
      </c>
      <c r="BH11" s="55">
        <f t="shared" si="24"/>
        <v>48106</v>
      </c>
      <c r="BI11" s="55">
        <f>IF('Final Calculation Sheet'!$K$11="","",'Final Calculation Sheet'!$K$11)</f>
        <v>1534</v>
      </c>
      <c r="BJ11" s="137">
        <f>IF(BI11="","",COUNTIFS(BI$4:BI$40,"&lt;"&amp;BI11,BI$4:BI$40,"&lt;&gt;"&amp;"")+COUNTIF(BI$4:BI11,BI11))</f>
        <v>12</v>
      </c>
      <c r="BK11" s="55">
        <f t="shared" si="25"/>
        <v>962</v>
      </c>
      <c r="BL11" s="137">
        <f>BL10+IF(AND(BK11&lt;&gt;"",COUNTIF(BK$4:BK11,BK11)=1),1,0)</f>
        <v>8</v>
      </c>
      <c r="BM11" s="55">
        <f t="shared" si="26"/>
        <v>962</v>
      </c>
      <c r="BN11" s="55">
        <f>IF('Final Calculation Sheet'!$L$11="","",'Final Calculation Sheet'!$L$11)</f>
        <v>65.007000000000005</v>
      </c>
      <c r="BO11" s="137">
        <f>IF(BN11="","",COUNTIFS(BN$4:BN$40,"&lt;"&amp;BN11,BN$4:BN$40,"&lt;&gt;"&amp;"")+COUNTIF(BN$4:BN11,BN11))</f>
        <v>12</v>
      </c>
      <c r="BP11" s="55">
        <f t="shared" si="27"/>
        <v>40.768000000000001</v>
      </c>
      <c r="BQ11" s="137">
        <f>BQ10+IF(AND(BP11&lt;&gt;"",COUNTIF(BP$4:BP11,BP11)=1),1,0)</f>
        <v>8</v>
      </c>
      <c r="BR11" s="55">
        <f t="shared" si="28"/>
        <v>40.768000000000001</v>
      </c>
      <c r="BS11" s="55">
        <f>IF('Final Calculation Sheet'!$M$11="","",'Final Calculation Sheet'!$M$11)</f>
        <v>1725.9358499999998</v>
      </c>
      <c r="BT11" s="137">
        <f>IF(BS11="","",COUNTIFS(BS$4:BS$40,"&lt;"&amp;BS11,BS$4:BS$40,"&lt;&gt;"&amp;"")+COUNTIF(BS$4:BS11,BS11))</f>
        <v>12</v>
      </c>
      <c r="BU11" s="55">
        <f t="shared" si="29"/>
        <v>1082.3904</v>
      </c>
      <c r="BV11" s="137">
        <f>BV10+IF(AND(BU11&lt;&gt;"",COUNTIF(BU$4:BU11,BU11)=1),1,0)</f>
        <v>8</v>
      </c>
      <c r="BW11" s="55">
        <f t="shared" si="30"/>
        <v>1082.3904</v>
      </c>
      <c r="BX11" s="138">
        <f>IF('Final Calculation Sheet'!$N$11="","",'Final Calculation Sheet'!$N$11)</f>
        <v>29.253150000000002</v>
      </c>
      <c r="BY11" s="137">
        <f>IF(BX11="","",COUNTIFS(BX$4:BX$40,"&lt;"&amp;BX11,BX$4:BX$40,"&lt;&gt;"&amp;"")+COUNTIF(BX$4:BX11,BX11))</f>
        <v>12</v>
      </c>
      <c r="BZ11" s="138">
        <f t="shared" si="31"/>
        <v>18.345600000000001</v>
      </c>
      <c r="CA11" s="137">
        <f>CA10+IF(AND(BZ11&lt;&gt;"",COUNTIF(BZ$4:BZ11,BZ11)=1),1,0)</f>
        <v>8</v>
      </c>
      <c r="CB11" s="138">
        <f t="shared" si="32"/>
        <v>18.345600000000001</v>
      </c>
      <c r="CC11" s="55">
        <f>IF('Final Calculation Sheet'!$O$11="","",'Final Calculation Sheet'!$O$11)</f>
        <v>1696.6826999999998</v>
      </c>
      <c r="CD11" s="137">
        <f>IF(CC11="","",COUNTIFS(CC$4:CC$40,"&lt;"&amp;CC11,CC$4:CC$40,"&lt;&gt;"&amp;"")+COUNTIF(CC$4:CC11,CC11))</f>
        <v>12</v>
      </c>
      <c r="CE11" s="55">
        <f t="shared" si="33"/>
        <v>1064.0447999999999</v>
      </c>
      <c r="CF11" s="137">
        <f>CF10+IF(AND(CE11&lt;&gt;"",COUNTIF(CE$4:CE11,CE11)=1),1,0)</f>
        <v>8</v>
      </c>
      <c r="CG11" s="55">
        <f t="shared" si="34"/>
        <v>1064.0447999999999</v>
      </c>
      <c r="CH11" s="55">
        <f>IF('Final Calculation Sheet'!$P$11="","",'Final Calculation Sheet'!$P$11)</f>
        <v>1762</v>
      </c>
      <c r="CI11" s="137">
        <f>IF(CH11="","",COUNTIFS(CH$4:CH$40,"&lt;"&amp;CH11,CH$4:CH$40,"&lt;&gt;"&amp;"")+COUNTIF(CH$4:CH11,CH11))</f>
        <v>12</v>
      </c>
      <c r="CJ11" s="55">
        <f t="shared" si="35"/>
        <v>1105</v>
      </c>
      <c r="CK11" s="137">
        <f>CK10+IF(AND(CJ11&lt;&gt;"",COUNTIF(CJ$4:CJ11,CJ11)=1),1,0)</f>
        <v>8</v>
      </c>
      <c r="CL11" s="55">
        <f t="shared" si="36"/>
        <v>1105</v>
      </c>
      <c r="CM11" s="139">
        <f>IF('Final Calculation Sheet'!$Q$11="","",'Final Calculation Sheet'!$Q$11)</f>
        <v>0</v>
      </c>
      <c r="CN11" s="137">
        <f>IF(CM11="","",COUNTIFS(CM$4:CM$40,"&lt;"&amp;CM11,CM$4:CM$40,"&lt;&gt;"&amp;"")+COUNTIF(CM$4:CM11,CM11))</f>
        <v>6</v>
      </c>
      <c r="CO11" s="139">
        <f t="shared" si="37"/>
        <v>0</v>
      </c>
      <c r="CP11" s="137">
        <f>CP10+IF(AND(CO11&lt;&gt;"",COUNTIF(CO$4:CO11,CO11)=1),1,0)</f>
        <v>1</v>
      </c>
      <c r="CQ11" t="str">
        <f t="shared" si="38"/>
        <v/>
      </c>
      <c r="CR11" s="55">
        <f>IF('Final Calculation Sheet'!$R$11="","",'Final Calculation Sheet'!$R$11)</f>
        <v>0</v>
      </c>
      <c r="CS11" s="137">
        <f>IF(CR11="","",COUNTIFS(CR$4:CR$40,"&lt;"&amp;CR11,CR$4:CR$40,"&lt;&gt;"&amp;"")+COUNTIF(CR$4:CR11,CR11))</f>
        <v>6</v>
      </c>
      <c r="CT11" s="55">
        <f t="shared" si="39"/>
        <v>0</v>
      </c>
      <c r="CU11" s="137">
        <f>CU10+IF(AND(CT11&lt;&gt;"",COUNTIF(CT$4:CT11,CT11)=1),1,0)</f>
        <v>1</v>
      </c>
      <c r="CV11" t="str">
        <f t="shared" si="40"/>
        <v/>
      </c>
      <c r="CW11" s="55">
        <f>IF('Final Calculation Sheet'!$S$11="","",'Final Calculation Sheet'!$S$11)</f>
        <v>76481</v>
      </c>
      <c r="CX11" s="137">
        <f>IF(CW11="","",COUNTIFS(CW$4:CW$40,"&lt;"&amp;CW11,CW$4:CW$40,"&lt;&gt;"&amp;"")+COUNTIF(CW$4:CW11,CW11))</f>
        <v>12</v>
      </c>
      <c r="CY11" s="55">
        <f t="shared" si="41"/>
        <v>47964</v>
      </c>
      <c r="CZ11" s="137">
        <f>CZ10+IF(AND(CY11&lt;&gt;"",COUNTIF(CY$4:CY11,CY11)=1),1,0)</f>
        <v>8</v>
      </c>
      <c r="DA11" s="55">
        <f t="shared" si="42"/>
        <v>47964</v>
      </c>
      <c r="DB11" s="55">
        <f>IF('Final Calculation Sheet'!$T$11="","",'Final Calculation Sheet'!$T$11)</f>
        <v>16252</v>
      </c>
      <c r="DC11" s="137">
        <f>IF(DB11="","",COUNTIFS(DB$4:DB$40,"&lt;"&amp;DB11,DB$4:DB$40,"&lt;&gt;"&amp;"")+COUNTIF(DB$4:DB11,DB11))</f>
        <v>12</v>
      </c>
      <c r="DD11" s="55">
        <f t="shared" si="43"/>
        <v>10192</v>
      </c>
      <c r="DE11" s="137">
        <f>DE10+IF(AND(DD11&lt;&gt;"",COUNTIF(DD$4:DD11,DD11)=1),1,0)</f>
        <v>8</v>
      </c>
      <c r="DF11" s="55">
        <f t="shared" si="44"/>
        <v>10192</v>
      </c>
      <c r="DG11" s="140">
        <f>IF('Final Calculation Sheet'!$U$11="","",'Final Calculation Sheet'!$U$11)</f>
        <v>16252</v>
      </c>
      <c r="DH11" s="137">
        <f>IF(DG11="","",COUNTIFS(DG$4:DG$40,"&lt;"&amp;DG11,DG$4:DG$40,"&lt;&gt;"&amp;"")+COUNTIF(DG$4:DG11,DG11))</f>
        <v>12</v>
      </c>
      <c r="DI11" s="140">
        <f t="shared" si="45"/>
        <v>10192</v>
      </c>
      <c r="DJ11" s="137">
        <f>DJ10+IF(AND(DI11&lt;&gt;"",COUNTIF(DI$4:DI11,DI11)=1),1,0)</f>
        <v>8</v>
      </c>
      <c r="DK11" s="140">
        <f t="shared" si="46"/>
        <v>10192</v>
      </c>
      <c r="DL11" t="str">
        <f>IF('Final Calculation Sheet'!$V$11="","",'Final Calculation Sheet'!$V$11)</f>
        <v>13.08.2026</v>
      </c>
      <c r="DM11" s="137">
        <f>IF(DL11="","",COUNTIFS(DL$4:DL$40,"&lt;"&amp;DL11,DL$4:DL$40,"&lt;&gt;"&amp;"")+COUNTIF(DL$4:DL11,DL11))</f>
        <v>15</v>
      </c>
      <c r="DN11" t="str">
        <f t="shared" si="47"/>
        <v>11.08.2026</v>
      </c>
      <c r="DO11" s="137">
        <f>DO10+IF(AND(DN11&lt;&gt;"",COUNTIF(DN$4:DN11,DN11)=1),1,0)</f>
        <v>2</v>
      </c>
      <c r="DP11" t="str">
        <f t="shared" si="48"/>
        <v/>
      </c>
      <c r="DQ11" s="55">
        <f>IF('Final Calculation Sheet'!$W$11="","",'Final Calculation Sheet'!$W$11)</f>
        <v>60229</v>
      </c>
      <c r="DR11" s="137">
        <f>IF(DQ11="","",COUNTIFS(DQ$4:DQ$40,"&lt;"&amp;DQ11,DQ$4:DQ$40,"&lt;&gt;"&amp;"")+COUNTIF(DQ$4:DQ11,DQ11))</f>
        <v>12</v>
      </c>
      <c r="DS11" s="55">
        <f t="shared" si="49"/>
        <v>37772</v>
      </c>
      <c r="DT11" s="137">
        <f>DT10+IF(AND(DS11&lt;&gt;"",COUNTIF(DS$4:DS11,DS11)=1),1,0)</f>
        <v>8</v>
      </c>
      <c r="DU11" s="55">
        <f t="shared" si="50"/>
        <v>37772</v>
      </c>
      <c r="DV11" s="55">
        <f>IF('Final Calculation Sheet'!$X$11="","",'Final Calculation Sheet'!$X$11)</f>
        <v>60229</v>
      </c>
      <c r="DW11" s="137">
        <f>IF(DV11="","",COUNTIFS(DV$4:DV$40,"&lt;"&amp;DV11,DV$4:DV$40,"&lt;&gt;"&amp;"")+COUNTIF(DV$4:DV11,DV11))</f>
        <v>11</v>
      </c>
      <c r="DX11" s="55">
        <f t="shared" si="51"/>
        <v>37772</v>
      </c>
      <c r="DY11" s="137">
        <f>DY10+IF(AND(DX11&lt;&gt;"",COUNTIF(DX$4:DX11,DX11)=1),1,0)</f>
        <v>8</v>
      </c>
      <c r="DZ11" t="e">
        <f t="shared" si="52"/>
        <v>#N/A</v>
      </c>
      <c r="EA11" t="str">
        <f>IF('Final Calculation Sheet'!$Y$11="","",'Final Calculation Sheet'!$Y$11)</f>
        <v>24.08.2026</v>
      </c>
      <c r="EB11" s="137">
        <f>IF(EA11="","",COUNTIFS(EA$4:EA$40,"&lt;"&amp;EA11,EA$4:EA$40,"&lt;&gt;"&amp;"")+COUNTIF(EA$4:EA11,EA11))</f>
        <v>24</v>
      </c>
      <c r="EC11" t="str">
        <f t="shared" si="53"/>
        <v>11.08.2026</v>
      </c>
      <c r="ED11" s="137">
        <f>ED10+IF(AND(EC11&lt;&gt;"",COUNTIF(EC$4:EC11,EC11)=1),1,0)</f>
        <v>3</v>
      </c>
      <c r="EE11" t="e">
        <f t="shared" si="54"/>
        <v>#N/A</v>
      </c>
      <c r="EF11" s="55">
        <f ca="1">IF('Final Calculation Sheet'!$Z$11="","",'Final Calculation Sheet'!$Z$11)</f>
        <v>0</v>
      </c>
      <c r="EG11" s="137">
        <f ca="1">IF(EF11="","",COUNTIFS(EF$4:EF$40,"&lt;"&amp;EF11,EF$4:EF$40,"&lt;&gt;"&amp;"")+COUNTIF(EF$4:EF11,EF11))</f>
        <v>8</v>
      </c>
      <c r="EH11" s="55">
        <f t="shared" ca="1" si="55"/>
        <v>0</v>
      </c>
      <c r="EI11" s="137">
        <f ca="1">EI10+IF(AND(EH11&lt;&gt;"",COUNTIF(EH$4:EH11,EH11)=1),1,0)</f>
        <v>1</v>
      </c>
      <c r="EJ11" t="str">
        <f t="shared" ca="1" si="56"/>
        <v/>
      </c>
      <c r="EK11" t="str">
        <f>IF('Final Calculation Sheet'!$AA$11="","",'Final Calculation Sheet'!$AA$11)</f>
        <v/>
      </c>
      <c r="EL11" t="str">
        <f>IF(EK11="","",COUNTIFS(EK$4:EK$40,"&lt;"&amp;EK11,EK$4:EK$40,"&lt;&gt;"&amp;"")+COUNTIF(EK$4:EK11,EK11))</f>
        <v/>
      </c>
      <c r="EM11" s="137" t="e">
        <f t="shared" si="57"/>
        <v>#N/A</v>
      </c>
      <c r="EN11" s="137" t="e">
        <f>EN10+IF(AND(EM11&lt;&gt;"",COUNTIF(EM$4:EM11,EM11)=1),1,0)</f>
        <v>#N/A</v>
      </c>
      <c r="EO11" t="e">
        <f t="shared" si="58"/>
        <v>#N/A</v>
      </c>
      <c r="EP11" t="str">
        <f>IF('Final Calculation Sheet'!$AB$11="","",'Final Calculation Sheet'!$AB$11)</f>
        <v/>
      </c>
      <c r="EQ11" t="str">
        <f>IF(EP11="","",COUNTIFS(EP$4:EP$40,"&lt;"&amp;EP11,EP$4:EP$40,"&lt;&gt;"&amp;"")+COUNTIF(EP$4:EP11,EP11))</f>
        <v/>
      </c>
      <c r="ER11" s="137" t="e">
        <f t="shared" si="59"/>
        <v>#N/A</v>
      </c>
      <c r="ES11" s="137" t="e">
        <f>ES10+IF(AND(ER11&lt;&gt;"",COUNTIF(ER$4:ER11,ER11)=1),1,0)</f>
        <v>#N/A</v>
      </c>
      <c r="ET11" t="e">
        <f t="shared" si="60"/>
        <v>#N/A</v>
      </c>
      <c r="EU11" s="55">
        <f>IF('Final Calculation Sheet'!$AC$11="","",'Final Calculation Sheet'!$AC$11)</f>
        <v>76481</v>
      </c>
      <c r="EV11" s="137">
        <f>IF(EU11="","",COUNTIFS(EU$4:EU$40,"&lt;"&amp;EU11,EU$4:EU$40,"&lt;&gt;"&amp;"")+COUNTIF(EU$4:EU11,EU11))</f>
        <v>13</v>
      </c>
      <c r="EW11" s="55">
        <f t="shared" si="61"/>
        <v>36017</v>
      </c>
      <c r="EX11" s="137">
        <f>EX10+IF(AND(EW11&lt;&gt;"",COUNTIF(EW$4:EW11,EW11)=1),1,0)</f>
        <v>8</v>
      </c>
      <c r="EY11" s="55">
        <f t="shared" si="62"/>
        <v>36017</v>
      </c>
      <c r="EZ11" s="55">
        <f>IF('Final Calculation Sheet'!$AD$11="","",'Final Calculation Sheet'!$AD$11)</f>
        <v>0</v>
      </c>
      <c r="FA11" s="137">
        <f>IF(EZ11="","",COUNTIFS(EZ$4:EZ$40,"&lt;"&amp;EZ11,EZ$4:EZ$40,"&lt;&gt;"&amp;"")+COUNTIF(EZ$4:EZ11,EZ11))</f>
        <v>12</v>
      </c>
      <c r="FB11" s="55">
        <f t="shared" si="63"/>
        <v>0</v>
      </c>
      <c r="FC11" s="137" t="e">
        <f>FC10+IF(AND(FB11&lt;&gt;"",COUNTIF(FB$4:FB11,FB11)=1),1,0)</f>
        <v>#N/A</v>
      </c>
      <c r="FD11" s="55" t="e">
        <f t="shared" si="64"/>
        <v>#N/A</v>
      </c>
      <c r="FE11" t="str">
        <f>IF('Final Calculation Sheet'!$AE$11="","",'Final Calculation Sheet'!$AE$11)</f>
        <v>DR2640100032</v>
      </c>
      <c r="FF11" s="137">
        <f>IF(FE11="","",COUNTIFS(FE$4:FE$40,"&lt;"&amp;FE11,FE$4:FE$40,"&lt;&gt;"&amp;"")+COUNTIF(FE$4:FE11,FE11))</f>
        <v>21</v>
      </c>
      <c r="FG11" t="str">
        <f t="shared" si="65"/>
        <v>DR2640100019</v>
      </c>
      <c r="FH11" s="137" t="e">
        <f>FH10+IF(AND(FG11&lt;&gt;"",COUNTIF(FG$4:FG11,FG11)=1),1,0)</f>
        <v>#N/A</v>
      </c>
      <c r="FI11" t="e">
        <f t="shared" si="66"/>
        <v>#N/A</v>
      </c>
      <c r="FJ11" s="141">
        <f>IF('Final Calculation Sheet'!$AF$11="","",'Final Calculation Sheet'!$AF$11)</f>
        <v>1800003304</v>
      </c>
      <c r="FK11" s="137">
        <f>IF(FJ11="","",COUNTIFS(FJ$4:FJ$40,"&lt;"&amp;FJ11,FJ$4:FJ$40,"&lt;&gt;"&amp;"")+COUNTIF(FJ$4:FJ11,FJ11))</f>
        <v>16</v>
      </c>
      <c r="FL11" s="141">
        <f t="shared" si="67"/>
        <v>1800003196</v>
      </c>
      <c r="FM11" s="137">
        <f>FM10+IF(AND(FL11&lt;&gt;"",COUNTIF(FL$4:FL11,FL11)=1),1,0)</f>
        <v>8</v>
      </c>
      <c r="FN11" t="e">
        <f t="shared" si="68"/>
        <v>#N/A</v>
      </c>
      <c r="FO11" t="str">
        <f>IF('Final Calculation Sheet'!$AG$11="","",'Final Calculation Sheet'!$AG$11)</f>
        <v>27.08.2026</v>
      </c>
      <c r="FP11" s="137">
        <f>IF(FO11="","",COUNTIFS(FO$4:FO$40,"&lt;"&amp;FO11,FO$4:FO$40,"&lt;&gt;"&amp;"")+COUNTIF(FO$4:FO11,FO11))</f>
        <v>24</v>
      </c>
      <c r="FQ11" t="str">
        <f t="shared" si="69"/>
        <v>14.08.2026</v>
      </c>
      <c r="FR11" s="137" t="e">
        <f>FR10+IF(AND(FQ11&lt;&gt;"",COUNTIF(FQ$4:FQ11,FQ11)=1),1,0)</f>
        <v>#N/A</v>
      </c>
      <c r="FS11" t="e">
        <f t="shared" si="70"/>
        <v>#N/A</v>
      </c>
      <c r="FU11" t="str">
        <f>IF(FT11="","",COUNTIFS(FT$4:FT$40,"&lt;"&amp;FT11,FT$4:FT$40,"&lt;&gt;"&amp;"")+COUNTIF(FT$4:FT11,FT11))</f>
        <v/>
      </c>
      <c r="FV11" t="str">
        <f t="shared" si="71"/>
        <v/>
      </c>
      <c r="FW11" s="137">
        <f>FW10+IF(AND(FV11&lt;&gt;"",COUNTIF(FV$4:FV11,FV11)=1),1,0)</f>
        <v>2</v>
      </c>
      <c r="FX11" t="str">
        <f t="shared" si="72"/>
        <v/>
      </c>
    </row>
    <row r="12" spans="1:180" x14ac:dyDescent="0.25">
      <c r="A12">
        <f>IF('Final Calculation Sheet'!$F$12="","",'Final Calculation Sheet'!$F$12)</f>
        <v>2005</v>
      </c>
      <c r="B12" s="137">
        <f>IF(A12="","",COUNTIFS(A$4:A$114,"&lt;"&amp;A12,A$4:A$114,"&lt;&gt;"&amp;"")+COUNTIF(A$4:A12,A12))</f>
        <v>9</v>
      </c>
      <c r="C12" s="137">
        <f t="shared" si="0"/>
        <v>2005</v>
      </c>
      <c r="D12" s="137">
        <f>D11+IF(AND(C12&lt;&gt;"",COUNTIF(C$4:C12,C12)=1),1,0)</f>
        <v>9</v>
      </c>
      <c r="E12" t="e">
        <f t="shared" si="1"/>
        <v>#N/A</v>
      </c>
      <c r="F12">
        <f t="shared" si="2"/>
        <v>9</v>
      </c>
      <c r="G12" s="137">
        <f>IF(F12="","",COUNTIFS(F$4:F$40,"&lt;"&amp;F12,F$4:F$40,"&lt;&gt;"&amp;"")+COUNTIF(F$4:F12,F12))</f>
        <v>9</v>
      </c>
      <c r="H12" s="137">
        <f t="shared" si="3"/>
        <v>9</v>
      </c>
      <c r="I12" s="137">
        <f>I11+IF(AND(H12&lt;&gt;"",COUNTIF(H$4:H12,H12)=1),1,0)</f>
        <v>9</v>
      </c>
      <c r="J12">
        <f t="shared" si="4"/>
        <v>9</v>
      </c>
      <c r="K12">
        <f>IF('Final Calculation Sheet'!$F$12="","",'Final Calculation Sheet'!$F$12)</f>
        <v>2005</v>
      </c>
      <c r="L12" s="137">
        <f>IF(K12="","",COUNTIFS(K$4:K$40,"&lt;"&amp;K12,K$4:K$40,"&lt;&gt;"&amp;"")+COUNTIF(K$4:K12,K12))</f>
        <v>9</v>
      </c>
      <c r="M12" s="137">
        <f t="shared" si="5"/>
        <v>2005</v>
      </c>
      <c r="N12" s="137">
        <f>N11+IF(AND(M12&lt;&gt;"",COUNTIF(M$4:M12,M12)=1),1,0)</f>
        <v>9</v>
      </c>
      <c r="O12">
        <f t="shared" si="6"/>
        <v>2005</v>
      </c>
      <c r="P12" t="str">
        <f>IF('Final Calculation Sheet'!$G$12="","",'Final Calculation Sheet'!$G$12)</f>
        <v>NATIONAL ENTERPRISES</v>
      </c>
      <c r="Q12" s="137">
        <f>IF(P12="","",COUNTIFS(P$4:P$40,"&lt;"&amp;P12,P$4:P$40,"&lt;&gt;"&amp;"")+COUNTIF(P$4:P12,P12))</f>
        <v>10</v>
      </c>
      <c r="R12" t="str">
        <f t="shared" si="7"/>
        <v>NATIONAL ENTERPRISES</v>
      </c>
      <c r="S12" s="137">
        <f>S11+IF(AND(R12&lt;&gt;"",COUNTIF(R$4:R12,R12)=1),1,0)</f>
        <v>6</v>
      </c>
      <c r="T12" t="str">
        <f t="shared" si="8"/>
        <v>S M ENTERPRISES</v>
      </c>
      <c r="U12" t="str">
        <f>IF('Final Calculation Sheet'!$B$12="","",'Final Calculation Sheet'!$B$12)</f>
        <v>Scrap of 220KV CT</v>
      </c>
      <c r="V12" s="137">
        <f>IF(U12="","",COUNTIFS(U$4:U$40,"&lt;"&amp;U12,U$4:U$40,"&lt;&gt;"&amp;"")+COUNTIF(U$4:U12,U12))</f>
        <v>18</v>
      </c>
      <c r="W12" t="str">
        <f t="shared" si="9"/>
        <v>Scrap of 132 KV CT</v>
      </c>
      <c r="X12" s="137">
        <f>X11+IF(AND(W12&lt;&gt;"",COUNTIF(W$4:W12,W12)=1),1,0)</f>
        <v>6</v>
      </c>
      <c r="Y12" t="str">
        <f t="shared" si="10"/>
        <v>Scrap of 220 KV Circuit Breaker</v>
      </c>
      <c r="Z12">
        <f>IF('Final Calculation Sheet'!$D$12="","",'Final Calculation Sheet'!$D$12)</f>
        <v>21977</v>
      </c>
      <c r="AA12" s="137">
        <f>IF(Z12="","",COUNTIFS(Z$4:Z$40,"&lt;"&amp;Z12,Z$4:Z$40,"&lt;&gt;"&amp;"")+COUNTIF(Z$4:Z12,Z12))</f>
        <v>7</v>
      </c>
      <c r="AB12" s="137">
        <f t="shared" si="11"/>
        <v>21977</v>
      </c>
      <c r="AC12" s="137">
        <f>AC11+IF(AND(AB12&lt;&gt;"",COUNTIF(AB$4:AB12,AB12)=1),1,0)</f>
        <v>1</v>
      </c>
      <c r="AD12" t="str">
        <f t="shared" si="12"/>
        <v/>
      </c>
      <c r="AE12">
        <f>IF('Final Calculation Sheet'!$A$12="","",'Final Calculation Sheet'!$A$12)</f>
        <v>1</v>
      </c>
      <c r="AF12" s="137">
        <f>IF(AE12="","",COUNTIFS(AE$4:AE$40,"&lt;"&amp;AE12,AE$4:AE$40,"&lt;&gt;"&amp;"")+COUNTIF(AE$4:AE12,AE12))</f>
        <v>3</v>
      </c>
      <c r="AG12" s="137">
        <f t="shared" si="13"/>
        <v>1</v>
      </c>
      <c r="AH12" s="137">
        <f>AH11+IF(AND(AG12&lt;&gt;"",COUNTIF(AG$4:AG12,AG12)=1),1,0)</f>
        <v>1</v>
      </c>
      <c r="AI12">
        <f t="shared" si="14"/>
        <v>28</v>
      </c>
      <c r="AJ12" t="str">
        <f>IF('Final Calculation Sheet'!$E$12="","",'Final Calculation Sheet'!$E$12)</f>
        <v>NO</v>
      </c>
      <c r="AK12" s="137">
        <f>IF(AJ12="","",COUNTIFS(AJ$4:AJ$40,"&lt;"&amp;AJ12,AJ$4:AJ$40,"&lt;&gt;"&amp;"")+COUNTIF(AJ$4:AJ12,AJ12))</f>
        <v>12</v>
      </c>
      <c r="AL12" t="str">
        <f t="shared" si="15"/>
        <v>NO</v>
      </c>
      <c r="AM12" s="137">
        <f>AM11+IF(AND(AL12&lt;&gt;"",COUNTIF(AL$4:AL12,AL12)=1),1,0)</f>
        <v>3</v>
      </c>
      <c r="AN12" t="str">
        <f t="shared" si="16"/>
        <v/>
      </c>
      <c r="AO12" s="55">
        <f>IF('Final Calculation Sheet'!$C$12="","",'Final Calculation Sheet'!$C$12)</f>
        <v>70006</v>
      </c>
      <c r="AP12" s="137">
        <f>IF(AO12="","",COUNTIFS(AO$4:AO$40,"&lt;"&amp;AO12,AO$4:AO$40,"&lt;&gt;"&amp;"")+COUNTIF(AO$4:AO12,AO12))</f>
        <v>28</v>
      </c>
      <c r="AQ12" s="55">
        <f t="shared" si="17"/>
        <v>580</v>
      </c>
      <c r="AR12" s="137">
        <f>AR11+IF(AND(AQ12&lt;&gt;"",COUNTIF(AQ$4:AQ12,AQ12)=1),1,0)</f>
        <v>9</v>
      </c>
      <c r="AS12" s="55">
        <f t="shared" si="18"/>
        <v>580</v>
      </c>
      <c r="AT12" s="55">
        <f>IF('Final Calculation Sheet'!$H$12="","",'Final Calculation Sheet'!$H$12)</f>
        <v>70006</v>
      </c>
      <c r="AU12" s="137">
        <f>IF(AT12="","",COUNTIFS(AT$4:AT$40,"&lt;"&amp;AT12,AT$4:AT$40,"&lt;&gt;"&amp;"")+COUNTIF(AT$4:AT12,AT12))</f>
        <v>13</v>
      </c>
      <c r="AV12" s="55">
        <f t="shared" si="19"/>
        <v>50003</v>
      </c>
      <c r="AW12" s="137">
        <f>AW11+IF(AND(AV12&lt;&gt;"",COUNTIF(AV$4:AV12,AV12)=1),1,0)</f>
        <v>9</v>
      </c>
      <c r="AX12" s="55">
        <f t="shared" si="20"/>
        <v>50003</v>
      </c>
      <c r="AY12" s="55">
        <f>IF('Final Calculation Sheet'!$I$12="","",'Final Calculation Sheet'!$I$12)</f>
        <v>12601</v>
      </c>
      <c r="AZ12" s="137">
        <f>IF(AY12="","",COUNTIFS(AY$4:AY$40,"&lt;"&amp;AY12,AY$4:AY$40,"&lt;&gt;"&amp;"")+COUNTIF(AY$4:AY12,AY12))</f>
        <v>13</v>
      </c>
      <c r="BA12" s="55">
        <f t="shared" si="21"/>
        <v>9001</v>
      </c>
      <c r="BB12" s="137">
        <f>BB11+IF(AND(BA12&lt;&gt;"",COUNTIF(BA$4:BA12,BA12)=1),1,0)</f>
        <v>9</v>
      </c>
      <c r="BC12" s="55">
        <f t="shared" si="22"/>
        <v>9001</v>
      </c>
      <c r="BD12" s="55">
        <f>IF('Final Calculation Sheet'!$J$12="","",'Final Calculation Sheet'!$J$12)</f>
        <v>82607</v>
      </c>
      <c r="BE12" s="137">
        <f>IF(BD12="","",COUNTIFS(BD$4:BD$40,"&lt;"&amp;BD12,BD$4:BD$40,"&lt;&gt;"&amp;"")+COUNTIF(BD$4:BD12,BD12))</f>
        <v>13</v>
      </c>
      <c r="BF12" s="55">
        <f t="shared" si="23"/>
        <v>59004</v>
      </c>
      <c r="BG12" s="137">
        <f>BG11+IF(AND(BF12&lt;&gt;"",COUNTIF(BF$4:BF12,BF12)=1),1,0)</f>
        <v>9</v>
      </c>
      <c r="BH12" s="55">
        <f t="shared" si="24"/>
        <v>59004</v>
      </c>
      <c r="BI12" s="55">
        <f>IF('Final Calculation Sheet'!$K$12="","",'Final Calculation Sheet'!$K$12)</f>
        <v>1652</v>
      </c>
      <c r="BJ12" s="137">
        <f>IF(BI12="","",COUNTIFS(BI$4:BI$40,"&lt;"&amp;BI12,BI$4:BI$40,"&lt;&gt;"&amp;"")+COUNTIF(BI$4:BI12,BI12))</f>
        <v>13</v>
      </c>
      <c r="BK12" s="55">
        <f t="shared" si="25"/>
        <v>1180</v>
      </c>
      <c r="BL12" s="137">
        <f>BL11+IF(AND(BK12&lt;&gt;"",COUNTIF(BK$4:BK12,BK12)=1),1,0)</f>
        <v>9</v>
      </c>
      <c r="BM12" s="55">
        <f t="shared" si="26"/>
        <v>1180</v>
      </c>
      <c r="BN12" s="55">
        <f>IF('Final Calculation Sheet'!$L$12="","",'Final Calculation Sheet'!$L$12)</f>
        <v>70.006</v>
      </c>
      <c r="BO12" s="137">
        <f>IF(BN12="","",COUNTIFS(BN$4:BN$40,"&lt;"&amp;BN12,BN$4:BN$40,"&lt;&gt;"&amp;"")+COUNTIF(BN$4:BN12,BN12))</f>
        <v>13</v>
      </c>
      <c r="BP12" s="55">
        <f t="shared" si="27"/>
        <v>50.003</v>
      </c>
      <c r="BQ12" s="137">
        <f>BQ11+IF(AND(BP12&lt;&gt;"",COUNTIF(BP$4:BP12,BP12)=1),1,0)</f>
        <v>9</v>
      </c>
      <c r="BR12" s="55">
        <f t="shared" si="28"/>
        <v>50.003</v>
      </c>
      <c r="BS12" s="55">
        <f>IF('Final Calculation Sheet'!$M$12="","",'Final Calculation Sheet'!$M$12)</f>
        <v>1858.6592999999998</v>
      </c>
      <c r="BT12" s="137">
        <f>IF(BS12="","",COUNTIFS(BS$4:BS$40,"&lt;"&amp;BS12,BS$4:BS$40,"&lt;&gt;"&amp;"")+COUNTIF(BS$4:BS12,BS12))</f>
        <v>13</v>
      </c>
      <c r="BU12" s="55">
        <f t="shared" si="29"/>
        <v>1327.5796499999999</v>
      </c>
      <c r="BV12" s="137">
        <f>BV11+IF(AND(BU12&lt;&gt;"",COUNTIF(BU$4:BU12,BU12)=1),1,0)</f>
        <v>9</v>
      </c>
      <c r="BW12" s="55">
        <f t="shared" si="30"/>
        <v>1327.5796499999999</v>
      </c>
      <c r="BX12" s="138">
        <f>IF('Final Calculation Sheet'!$N$12="","",'Final Calculation Sheet'!$N$12)</f>
        <v>31.502700000000001</v>
      </c>
      <c r="BY12" s="137">
        <f>IF(BX12="","",COUNTIFS(BX$4:BX$40,"&lt;"&amp;BX12,BX$4:BX$40,"&lt;&gt;"&amp;"")+COUNTIF(BX$4:BX12,BX12))</f>
        <v>13</v>
      </c>
      <c r="BZ12" s="138">
        <f t="shared" si="31"/>
        <v>22.501349999999999</v>
      </c>
      <c r="CA12" s="137">
        <f>CA11+IF(AND(BZ12&lt;&gt;"",COUNTIF(BZ$4:BZ12,BZ12)=1),1,0)</f>
        <v>9</v>
      </c>
      <c r="CB12" s="138">
        <f t="shared" si="32"/>
        <v>22.501349999999999</v>
      </c>
      <c r="CC12" s="55">
        <f>IF('Final Calculation Sheet'!$O$12="","",'Final Calculation Sheet'!$O$12)</f>
        <v>1827.1565999999998</v>
      </c>
      <c r="CD12" s="137">
        <f>IF(CC12="","",COUNTIFS(CC$4:CC$40,"&lt;"&amp;CC12,CC$4:CC$40,"&lt;&gt;"&amp;"")+COUNTIF(CC$4:CC12,CC12))</f>
        <v>13</v>
      </c>
      <c r="CE12" s="55">
        <f t="shared" si="33"/>
        <v>1305.0782999999999</v>
      </c>
      <c r="CF12" s="137">
        <f>CF11+IF(AND(CE12&lt;&gt;"",COUNTIF(CE$4:CE12,CE12)=1),1,0)</f>
        <v>9</v>
      </c>
      <c r="CG12" s="55">
        <f t="shared" si="34"/>
        <v>1305.0782999999999</v>
      </c>
      <c r="CH12" s="55">
        <f>IF('Final Calculation Sheet'!$P$12="","",'Final Calculation Sheet'!$P$12)</f>
        <v>1897</v>
      </c>
      <c r="CI12" s="137">
        <f>IF(CH12="","",COUNTIFS(CH$4:CH$40,"&lt;"&amp;CH12,CH$4:CH$40,"&lt;&gt;"&amp;"")+COUNTIF(CH$4:CH12,CH12))</f>
        <v>13</v>
      </c>
      <c r="CJ12" s="55">
        <f t="shared" si="35"/>
        <v>1355</v>
      </c>
      <c r="CK12" s="137">
        <f>CK11+IF(AND(CJ12&lt;&gt;"",COUNTIF(CJ$4:CJ12,CJ12)=1),1,0)</f>
        <v>9</v>
      </c>
      <c r="CL12" s="55">
        <f t="shared" si="36"/>
        <v>1355</v>
      </c>
      <c r="CM12" s="139">
        <f>IF('Final Calculation Sheet'!$Q$12="","",'Final Calculation Sheet'!$Q$12)</f>
        <v>0</v>
      </c>
      <c r="CN12" s="137">
        <f>IF(CM12="","",COUNTIFS(CM$4:CM$40,"&lt;"&amp;CM12,CM$4:CM$40,"&lt;&gt;"&amp;"")+COUNTIF(CM$4:CM12,CM12))</f>
        <v>7</v>
      </c>
      <c r="CO12" s="139">
        <f t="shared" si="37"/>
        <v>0</v>
      </c>
      <c r="CP12" s="137">
        <f>CP11+IF(AND(CO12&lt;&gt;"",COUNTIF(CO$4:CO12,CO12)=1),1,0)</f>
        <v>1</v>
      </c>
      <c r="CQ12" t="str">
        <f t="shared" si="38"/>
        <v/>
      </c>
      <c r="CR12" s="55">
        <f>IF('Final Calculation Sheet'!$R$12="","",'Final Calculation Sheet'!$R$12)</f>
        <v>0</v>
      </c>
      <c r="CS12" s="137">
        <f>IF(CR12="","",COUNTIFS(CR$4:CR$40,"&lt;"&amp;CR12,CR$4:CR$40,"&lt;&gt;"&amp;"")+COUNTIF(CR$4:CR12,CR12))</f>
        <v>7</v>
      </c>
      <c r="CT12" s="55">
        <f t="shared" si="39"/>
        <v>0</v>
      </c>
      <c r="CU12" s="137">
        <f>CU11+IF(AND(CT12&lt;&gt;"",COUNTIF(CT$4:CT12,CT12)=1),1,0)</f>
        <v>1</v>
      </c>
      <c r="CV12" t="str">
        <f t="shared" si="40"/>
        <v/>
      </c>
      <c r="CW12" s="55">
        <f>IF('Final Calculation Sheet'!$S$12="","",'Final Calculation Sheet'!$S$12)</f>
        <v>82362</v>
      </c>
      <c r="CX12" s="137">
        <f>IF(CW12="","",COUNTIFS(CW$4:CW$40,"&lt;"&amp;CW12,CW$4:CW$40,"&lt;&gt;"&amp;"")+COUNTIF(CW$4:CW12,CW12))</f>
        <v>13</v>
      </c>
      <c r="CY12" s="55">
        <f t="shared" si="41"/>
        <v>58829</v>
      </c>
      <c r="CZ12" s="137">
        <f>CZ11+IF(AND(CY12&lt;&gt;"",COUNTIF(CY$4:CY12,CY12)=1),1,0)</f>
        <v>9</v>
      </c>
      <c r="DA12" s="55">
        <f t="shared" si="42"/>
        <v>58829</v>
      </c>
      <c r="DB12" s="55">
        <f>IF('Final Calculation Sheet'!$T$12="","",'Final Calculation Sheet'!$T$12)</f>
        <v>17502</v>
      </c>
      <c r="DC12" s="137">
        <f>IF(DB12="","",COUNTIFS(DB$4:DB$40,"&lt;"&amp;DB12,DB$4:DB$40,"&lt;&gt;"&amp;"")+COUNTIF(DB$4:DB12,DB12))</f>
        <v>13</v>
      </c>
      <c r="DD12" s="55">
        <f t="shared" si="43"/>
        <v>12501</v>
      </c>
      <c r="DE12" s="137">
        <f>DE11+IF(AND(DD12&lt;&gt;"",COUNTIF(DD$4:DD12,DD12)=1),1,0)</f>
        <v>9</v>
      </c>
      <c r="DF12" s="55">
        <f t="shared" si="44"/>
        <v>12501</v>
      </c>
      <c r="DG12" s="140">
        <f>IF('Final Calculation Sheet'!$U$12="","",'Final Calculation Sheet'!$U$12)</f>
        <v>17502</v>
      </c>
      <c r="DH12" s="137">
        <f>IF(DG12="","",COUNTIFS(DG$4:DG$40,"&lt;"&amp;DG12,DG$4:DG$40,"&lt;&gt;"&amp;"")+COUNTIF(DG$4:DG12,DG12))</f>
        <v>13</v>
      </c>
      <c r="DI12" s="140">
        <f t="shared" si="45"/>
        <v>12501</v>
      </c>
      <c r="DJ12" s="137">
        <f>DJ11+IF(AND(DI12&lt;&gt;"",COUNTIF(DI$4:DI12,DI12)=1),1,0)</f>
        <v>9</v>
      </c>
      <c r="DK12" s="140">
        <f t="shared" si="46"/>
        <v>12501</v>
      </c>
      <c r="DL12" t="str">
        <f>IF('Final Calculation Sheet'!$V$12="","",'Final Calculation Sheet'!$V$12)</f>
        <v>13.08.2026</v>
      </c>
      <c r="DM12" s="137">
        <f>IF(DL12="","",COUNTIFS(DL$4:DL$40,"&lt;"&amp;DL12,DL$4:DL$40,"&lt;&gt;"&amp;"")+COUNTIF(DL$4:DL12,DL12))</f>
        <v>16</v>
      </c>
      <c r="DN12" t="str">
        <f t="shared" si="47"/>
        <v>11.08.2026</v>
      </c>
      <c r="DO12" s="137">
        <f>DO11+IF(AND(DN12&lt;&gt;"",COUNTIF(DN$4:DN12,DN12)=1),1,0)</f>
        <v>2</v>
      </c>
      <c r="DP12" t="str">
        <f t="shared" si="48"/>
        <v/>
      </c>
      <c r="DQ12" s="55">
        <f>IF('Final Calculation Sheet'!$W$12="","",'Final Calculation Sheet'!$W$12)</f>
        <v>64861</v>
      </c>
      <c r="DR12" s="137">
        <f>IF(DQ12="","",COUNTIFS(DQ$4:DQ$40,"&lt;"&amp;DQ12,DQ$4:DQ$40,"&lt;&gt;"&amp;"")+COUNTIF(DQ$4:DQ12,DQ12))</f>
        <v>13</v>
      </c>
      <c r="DS12" s="55">
        <f t="shared" si="49"/>
        <v>46328</v>
      </c>
      <c r="DT12" s="137">
        <f>DT11+IF(AND(DS12&lt;&gt;"",COUNTIF(DS$4:DS12,DS12)=1),1,0)</f>
        <v>9</v>
      </c>
      <c r="DU12" s="55">
        <f t="shared" si="50"/>
        <v>46328</v>
      </c>
      <c r="DV12" s="55">
        <f>IF('Final Calculation Sheet'!$X$12="","",'Final Calculation Sheet'!$X$12)</f>
        <v>64859</v>
      </c>
      <c r="DW12" s="137">
        <f>IF(DV12="","",COUNTIFS(DV$4:DV$40,"&lt;"&amp;DV12,DV$4:DV$40,"&lt;&gt;"&amp;"")+COUNTIF(DV$4:DV12,DV12))</f>
        <v>12</v>
      </c>
      <c r="DX12" s="55">
        <f t="shared" si="51"/>
        <v>46328</v>
      </c>
      <c r="DY12" s="137">
        <f>DY11+IF(AND(DX12&lt;&gt;"",COUNTIF(DX$4:DX12,DX12)=1),1,0)</f>
        <v>9</v>
      </c>
      <c r="DZ12" t="e">
        <f t="shared" si="52"/>
        <v>#N/A</v>
      </c>
      <c r="EA12" t="str">
        <f>IF('Final Calculation Sheet'!$Y$12="","",'Final Calculation Sheet'!$Y$12)</f>
        <v>24.08.2026</v>
      </c>
      <c r="EB12" s="137">
        <f>IF(EA12="","",COUNTIFS(EA$4:EA$40,"&lt;"&amp;EA12,EA$4:EA$40,"&lt;&gt;"&amp;"")+COUNTIF(EA$4:EA12,EA12))</f>
        <v>25</v>
      </c>
      <c r="EC12" t="str">
        <f t="shared" si="53"/>
        <v>13.08.2026</v>
      </c>
      <c r="ED12" s="137">
        <f>ED11+IF(AND(EC12&lt;&gt;"",COUNTIF(EC$4:EC12,EC12)=1),1,0)</f>
        <v>4</v>
      </c>
      <c r="EE12" t="e">
        <f t="shared" si="54"/>
        <v>#N/A</v>
      </c>
      <c r="EF12" s="55">
        <f ca="1">IF('Final Calculation Sheet'!$Z$12="","",'Final Calculation Sheet'!$Z$12)</f>
        <v>0</v>
      </c>
      <c r="EG12" s="137">
        <f ca="1">IF(EF12="","",COUNTIFS(EF$4:EF$40,"&lt;"&amp;EF12,EF$4:EF$40,"&lt;&gt;"&amp;"")+COUNTIF(EF$4:EF12,EF12))</f>
        <v>9</v>
      </c>
      <c r="EH12" s="55">
        <f t="shared" ca="1" si="55"/>
        <v>0</v>
      </c>
      <c r="EI12" s="137">
        <f ca="1">EI11+IF(AND(EH12&lt;&gt;"",COUNTIF(EH$4:EH12,EH12)=1),1,0)</f>
        <v>1</v>
      </c>
      <c r="EJ12" t="str">
        <f t="shared" ca="1" si="56"/>
        <v/>
      </c>
      <c r="EK12" t="str">
        <f>IF('Final Calculation Sheet'!$AA$12="","",'Final Calculation Sheet'!$AA$12)</f>
        <v/>
      </c>
      <c r="EL12" t="str">
        <f>IF(EK12="","",COUNTIFS(EK$4:EK$40,"&lt;"&amp;EK12,EK$4:EK$40,"&lt;&gt;"&amp;"")+COUNTIF(EK$4:EK12,EK12))</f>
        <v/>
      </c>
      <c r="EM12" s="137" t="e">
        <f t="shared" si="57"/>
        <v>#N/A</v>
      </c>
      <c r="EN12" s="137" t="e">
        <f>EN11+IF(AND(EM12&lt;&gt;"",COUNTIF(EM$4:EM12,EM12)=1),1,0)</f>
        <v>#N/A</v>
      </c>
      <c r="EO12" t="e">
        <f t="shared" si="58"/>
        <v>#N/A</v>
      </c>
      <c r="EP12" t="str">
        <f>IF('Final Calculation Sheet'!$AB$12="","",'Final Calculation Sheet'!$AB$12)</f>
        <v/>
      </c>
      <c r="EQ12" t="str">
        <f>IF(EP12="","",COUNTIFS(EP$4:EP$40,"&lt;"&amp;EP12,EP$4:EP$40,"&lt;&gt;"&amp;"")+COUNTIF(EP$4:EP12,EP12))</f>
        <v/>
      </c>
      <c r="ER12" s="137" t="e">
        <f t="shared" si="59"/>
        <v>#N/A</v>
      </c>
      <c r="ES12" s="137" t="e">
        <f>ES11+IF(AND(ER12&lt;&gt;"",COUNTIF(ER$4:ER12,ER12)=1),1,0)</f>
        <v>#N/A</v>
      </c>
      <c r="ET12" t="e">
        <f t="shared" si="60"/>
        <v>#N/A</v>
      </c>
      <c r="EU12" s="55">
        <f>IF('Final Calculation Sheet'!$AC$12="","",'Final Calculation Sheet'!$AC$12)</f>
        <v>82361</v>
      </c>
      <c r="EV12" s="137">
        <f>IF(EU12="","",COUNTIFS(EU$4:EU$40,"&lt;"&amp;EU12,EU$4:EU$40,"&lt;&gt;"&amp;"")+COUNTIF(EU$4:EU12,EU12))</f>
        <v>14</v>
      </c>
      <c r="EW12" s="55">
        <f t="shared" si="61"/>
        <v>47964</v>
      </c>
      <c r="EX12" s="137">
        <f>EX11+IF(AND(EW12&lt;&gt;"",COUNTIF(EW$4:EW12,EW12)=1),1,0)</f>
        <v>9</v>
      </c>
      <c r="EY12" s="55">
        <f t="shared" si="62"/>
        <v>47964</v>
      </c>
      <c r="EZ12" s="55">
        <f>IF('Final Calculation Sheet'!$AD$12="","",'Final Calculation Sheet'!$AD$12)</f>
        <v>1</v>
      </c>
      <c r="FA12" s="137">
        <f>IF(EZ12="","",COUNTIFS(EZ$4:EZ$40,"&lt;"&amp;EZ12,EZ$4:EZ$40,"&lt;&gt;"&amp;"")+COUNTIF(EZ$4:EZ12,EZ12))</f>
        <v>30</v>
      </c>
      <c r="FB12" s="55">
        <f t="shared" si="63"/>
        <v>0</v>
      </c>
      <c r="FC12" s="137" t="e">
        <f>FC11+IF(AND(FB12&lt;&gt;"",COUNTIF(FB$4:FB12,FB12)=1),1,0)</f>
        <v>#N/A</v>
      </c>
      <c r="FD12" s="55" t="e">
        <f t="shared" si="64"/>
        <v>#N/A</v>
      </c>
      <c r="FE12" t="str">
        <f>IF('Final Calculation Sheet'!$AE$12="","",'Final Calculation Sheet'!$AE$12)</f>
        <v>DR2640100033</v>
      </c>
      <c r="FF12" s="137">
        <f>IF(FE12="","",COUNTIFS(FE$4:FE$40,"&lt;"&amp;FE12,FE$4:FE$40,"&lt;&gt;"&amp;"")+COUNTIF(FE$4:FE12,FE12))</f>
        <v>22</v>
      </c>
      <c r="FG12" t="str">
        <f t="shared" si="65"/>
        <v>DR2640100020</v>
      </c>
      <c r="FH12" s="137" t="e">
        <f>FH11+IF(AND(FG12&lt;&gt;"",COUNTIF(FG$4:FG12,FG12)=1),1,0)</f>
        <v>#N/A</v>
      </c>
      <c r="FI12" t="e">
        <f t="shared" si="66"/>
        <v>#N/A</v>
      </c>
      <c r="FJ12" s="141">
        <f>IF('Final Calculation Sheet'!$AF$12="","",'Final Calculation Sheet'!$AF$12)</f>
        <v>1800003305</v>
      </c>
      <c r="FK12" s="137">
        <f>IF(FJ12="","",COUNTIFS(FJ$4:FJ$40,"&lt;"&amp;FJ12,FJ$4:FJ$40,"&lt;&gt;"&amp;"")+COUNTIF(FJ$4:FJ12,FJ12))</f>
        <v>17</v>
      </c>
      <c r="FL12" s="141">
        <f t="shared" si="67"/>
        <v>1800003226</v>
      </c>
      <c r="FM12" s="137">
        <f>FM11+IF(AND(FL12&lt;&gt;"",COUNTIF(FL$4:FL12,FL12)=1),1,0)</f>
        <v>9</v>
      </c>
      <c r="FN12" t="e">
        <f t="shared" si="68"/>
        <v>#N/A</v>
      </c>
      <c r="FO12" t="str">
        <f>IF('Final Calculation Sheet'!$AG$12="","",'Final Calculation Sheet'!$AG$12)</f>
        <v>27.08.2026</v>
      </c>
      <c r="FP12" s="137">
        <f>IF(FO12="","",COUNTIFS(FO$4:FO$40,"&lt;"&amp;FO12,FO$4:FO$40,"&lt;&gt;"&amp;"")+COUNTIF(FO$4:FO12,FO12))</f>
        <v>25</v>
      </c>
      <c r="FQ12" t="str">
        <f t="shared" si="69"/>
        <v>14.08.2026</v>
      </c>
      <c r="FR12" s="137" t="e">
        <f>FR11+IF(AND(FQ12&lt;&gt;"",COUNTIF(FQ$4:FQ12,FQ12)=1),1,0)</f>
        <v>#N/A</v>
      </c>
      <c r="FS12" t="e">
        <f t="shared" si="70"/>
        <v>#N/A</v>
      </c>
      <c r="FU12" t="str">
        <f>IF(FT12="","",COUNTIFS(FT$4:FT$40,"&lt;"&amp;FT12,FT$4:FT$40,"&lt;&gt;"&amp;"")+COUNTIF(FT$4:FT12,FT12))</f>
        <v/>
      </c>
      <c r="FV12" t="str">
        <f t="shared" si="71"/>
        <v/>
      </c>
      <c r="FW12" s="137">
        <f>FW11+IF(AND(FV12&lt;&gt;"",COUNTIF(FV$4:FV12,FV12)=1),1,0)</f>
        <v>2</v>
      </c>
      <c r="FX12" t="str">
        <f t="shared" si="72"/>
        <v/>
      </c>
    </row>
    <row r="13" spans="1:180" x14ac:dyDescent="0.25">
      <c r="A13">
        <f>IF('Final Calculation Sheet'!$F$13="","",'Final Calculation Sheet'!$F$13)</f>
        <v>2006</v>
      </c>
      <c r="B13" s="137">
        <f>IF(A13="","",COUNTIFS(A$4:A$114,"&lt;"&amp;A13,A$4:A$114,"&lt;&gt;"&amp;"")+COUNTIF(A$4:A13,A13))</f>
        <v>10</v>
      </c>
      <c r="C13" s="137">
        <f t="shared" si="0"/>
        <v>2006</v>
      </c>
      <c r="D13" s="137">
        <f>D12+IF(AND(C13&lt;&gt;"",COUNTIF(C$4:C13,C13)=1),1,0)</f>
        <v>10</v>
      </c>
      <c r="E13" t="e">
        <f t="shared" si="1"/>
        <v>#N/A</v>
      </c>
      <c r="F13">
        <f t="shared" si="2"/>
        <v>10</v>
      </c>
      <c r="G13" s="137">
        <f>IF(F13="","",COUNTIFS(F$4:F$40,"&lt;"&amp;F13,F$4:F$40,"&lt;&gt;"&amp;"")+COUNTIF(F$4:F13,F13))</f>
        <v>10</v>
      </c>
      <c r="H13" s="137">
        <f t="shared" si="3"/>
        <v>10</v>
      </c>
      <c r="I13" s="137">
        <f>I12+IF(AND(H13&lt;&gt;"",COUNTIF(H$4:H13,H13)=1),1,0)</f>
        <v>10</v>
      </c>
      <c r="J13">
        <f t="shared" si="4"/>
        <v>10</v>
      </c>
      <c r="K13">
        <f>IF('Final Calculation Sheet'!$F$13="","",'Final Calculation Sheet'!$F$13)</f>
        <v>2006</v>
      </c>
      <c r="L13" s="137">
        <f>IF(K13="","",COUNTIFS(K$4:K$40,"&lt;"&amp;K13,K$4:K$40,"&lt;&gt;"&amp;"")+COUNTIF(K$4:K13,K13))</f>
        <v>10</v>
      </c>
      <c r="M13" s="137">
        <f t="shared" si="5"/>
        <v>2006</v>
      </c>
      <c r="N13" s="137">
        <f>N12+IF(AND(M13&lt;&gt;"",COUNTIF(M$4:M13,M13)=1),1,0)</f>
        <v>10</v>
      </c>
      <c r="O13">
        <f t="shared" si="6"/>
        <v>2006</v>
      </c>
      <c r="P13" t="str">
        <f>IF('Final Calculation Sheet'!$G$13="","",'Final Calculation Sheet'!$G$13)</f>
        <v>STERLING ENTERPRISES</v>
      </c>
      <c r="Q13" s="137">
        <f>IF(P13="","",COUNTIFS(P$4:P$40,"&lt;"&amp;P13,P$4:P$40,"&lt;&gt;"&amp;"")+COUNTIF(P$4:P13,P13))</f>
        <v>28</v>
      </c>
      <c r="R13" t="str">
        <f t="shared" si="7"/>
        <v>NATIONAL ENTERPRISES</v>
      </c>
      <c r="S13" s="137">
        <f>S12+IF(AND(R13&lt;&gt;"",COUNTIF(R$4:R13,R13)=1),1,0)</f>
        <v>6</v>
      </c>
      <c r="T13" t="str">
        <f t="shared" si="8"/>
        <v>SAHARA ENTERPRISES</v>
      </c>
      <c r="U13" t="str">
        <f>IF('Final Calculation Sheet'!$B$13="","",'Final Calculation Sheet'!$B$13)</f>
        <v>Scrap of empty oil drums</v>
      </c>
      <c r="V13" s="137">
        <f>IF(U13="","",COUNTIFS(U$4:U$40,"&lt;"&amp;U13,U$4:U$40,"&lt;&gt;"&amp;"")+COUNTIF(U$4:U13,U13))</f>
        <v>33</v>
      </c>
      <c r="W13" t="str">
        <f t="shared" si="9"/>
        <v>Scrap of 132 KV CT</v>
      </c>
      <c r="X13" s="137">
        <f>X12+IF(AND(W13&lt;&gt;"",COUNTIF(W$4:W13,W13)=1),1,0)</f>
        <v>6</v>
      </c>
      <c r="Y13" t="str">
        <f t="shared" si="10"/>
        <v>Scrap of 220 KV CT</v>
      </c>
      <c r="Z13">
        <f>IF('Final Calculation Sheet'!$D$13="","",'Final Calculation Sheet'!$D$13)</f>
        <v>21977</v>
      </c>
      <c r="AA13" s="137">
        <f>IF(Z13="","",COUNTIFS(Z$4:Z$40,"&lt;"&amp;Z13,Z$4:Z$40,"&lt;&gt;"&amp;"")+COUNTIF(Z$4:Z13,Z13))</f>
        <v>8</v>
      </c>
      <c r="AB13" s="137">
        <f t="shared" si="11"/>
        <v>21977</v>
      </c>
      <c r="AC13" s="137">
        <f>AC12+IF(AND(AB13&lt;&gt;"",COUNTIF(AB$4:AB13,AB13)=1),1,0)</f>
        <v>1</v>
      </c>
      <c r="AD13" t="str">
        <f t="shared" si="12"/>
        <v/>
      </c>
      <c r="AE13">
        <f>IF('Final Calculation Sheet'!$A$13="","",'Final Calculation Sheet'!$A$13)</f>
        <v>25</v>
      </c>
      <c r="AF13" s="137">
        <f>IF(AE13="","",COUNTIFS(AE$4:AE$40,"&lt;"&amp;AE13,AE$4:AE$40,"&lt;&gt;"&amp;"")+COUNTIF(AE$4:AE13,AE13))</f>
        <v>23</v>
      </c>
      <c r="AG13" s="137">
        <f t="shared" si="13"/>
        <v>2</v>
      </c>
      <c r="AH13" s="137">
        <f>AH12+IF(AND(AG13&lt;&gt;"",COUNTIF(AG$4:AG13,AG13)=1),1,0)</f>
        <v>2</v>
      </c>
      <c r="AI13">
        <f t="shared" si="14"/>
        <v>30</v>
      </c>
      <c r="AJ13" t="str">
        <f>IF('Final Calculation Sheet'!$E$13="","",'Final Calculation Sheet'!$E$13)</f>
        <v>NO</v>
      </c>
      <c r="AK13" s="137">
        <f>IF(AJ13="","",COUNTIFS(AJ$4:AJ$40,"&lt;"&amp;AJ13,AJ$4:AJ$40,"&lt;&gt;"&amp;"")+COUNTIF(AJ$4:AJ13,AJ13))</f>
        <v>13</v>
      </c>
      <c r="AL13" t="str">
        <f t="shared" si="15"/>
        <v>NO</v>
      </c>
      <c r="AM13" s="137">
        <f>AM12+IF(AND(AL13&lt;&gt;"",COUNTIF(AL$4:AL13,AL13)=1),1,0)</f>
        <v>3</v>
      </c>
      <c r="AN13" t="str">
        <f t="shared" si="16"/>
        <v/>
      </c>
      <c r="AO13" s="55">
        <f>IF('Final Calculation Sheet'!$C$13="","",'Final Calculation Sheet'!$C$13)</f>
        <v>700</v>
      </c>
      <c r="AP13" s="137">
        <f>IF(AO13="","",COUNTIFS(AO$4:AO$40,"&lt;"&amp;AO13,AO$4:AO$40,"&lt;&gt;"&amp;"")+COUNTIF(AO$4:AO13,AO13))</f>
        <v>10</v>
      </c>
      <c r="AQ13" s="55">
        <f t="shared" si="17"/>
        <v>700</v>
      </c>
      <c r="AR13" s="137">
        <f>AR12+IF(AND(AQ13&lt;&gt;"",COUNTIF(AQ$4:AQ13,AQ13)=1),1,0)</f>
        <v>10</v>
      </c>
      <c r="AS13" s="55">
        <f t="shared" si="18"/>
        <v>700</v>
      </c>
      <c r="AT13" s="55">
        <f>IF('Final Calculation Sheet'!$H$13="","",'Final Calculation Sheet'!$H$13)</f>
        <v>17500</v>
      </c>
      <c r="AU13" s="137">
        <f>IF(AT13="","",COUNTIFS(AT$4:AT$40,"&lt;"&amp;AT13,AT$4:AT$40,"&lt;&gt;"&amp;"")+COUNTIF(AT$4:AT13,AT13))</f>
        <v>2</v>
      </c>
      <c r="AV13" s="55">
        <f t="shared" si="19"/>
        <v>54000</v>
      </c>
      <c r="AW13" s="137">
        <f>AW12+IF(AND(AV13&lt;&gt;"",COUNTIF(AV$4:AV13,AV13)=1),1,0)</f>
        <v>10</v>
      </c>
      <c r="AX13" s="55">
        <f t="shared" si="20"/>
        <v>54000</v>
      </c>
      <c r="AY13" s="55">
        <f>IF('Final Calculation Sheet'!$I$13="","",'Final Calculation Sheet'!$I$13)</f>
        <v>3150</v>
      </c>
      <c r="AZ13" s="137">
        <f>IF(AY13="","",COUNTIFS(AY$4:AY$40,"&lt;"&amp;AY13,AY$4:AY$40,"&lt;&gt;"&amp;"")+COUNTIF(AY$4:AY13,AY13))</f>
        <v>2</v>
      </c>
      <c r="BA13" s="55">
        <f t="shared" si="21"/>
        <v>9720</v>
      </c>
      <c r="BB13" s="137">
        <f>BB12+IF(AND(BA13&lt;&gt;"",COUNTIF(BA$4:BA13,BA13)=1),1,0)</f>
        <v>10</v>
      </c>
      <c r="BC13" s="55">
        <f t="shared" si="22"/>
        <v>9720</v>
      </c>
      <c r="BD13" s="55">
        <f>IF('Final Calculation Sheet'!$J$13="","",'Final Calculation Sheet'!$J$13)</f>
        <v>20650</v>
      </c>
      <c r="BE13" s="137">
        <f>IF(BD13="","",COUNTIFS(BD$4:BD$40,"&lt;"&amp;BD13,BD$4:BD$40,"&lt;&gt;"&amp;"")+COUNTIF(BD$4:BD13,BD13))</f>
        <v>2</v>
      </c>
      <c r="BF13" s="55">
        <f t="shared" si="23"/>
        <v>63720</v>
      </c>
      <c r="BG13" s="137">
        <f>BG12+IF(AND(BF13&lt;&gt;"",COUNTIF(BF$4:BF13,BF13)=1),1,0)</f>
        <v>10</v>
      </c>
      <c r="BH13" s="55">
        <f t="shared" si="24"/>
        <v>63720</v>
      </c>
      <c r="BI13" s="55">
        <f>IF('Final Calculation Sheet'!$K$13="","",'Final Calculation Sheet'!$K$13)</f>
        <v>413</v>
      </c>
      <c r="BJ13" s="137">
        <f>IF(BI13="","",COUNTIFS(BI$4:BI$40,"&lt;"&amp;BI13,BI$4:BI$40,"&lt;&gt;"&amp;"")+COUNTIF(BI$4:BI13,BI13))</f>
        <v>2</v>
      </c>
      <c r="BK13" s="55">
        <f t="shared" si="25"/>
        <v>1274</v>
      </c>
      <c r="BL13" s="137">
        <f>BL12+IF(AND(BK13&lt;&gt;"",COUNTIF(BK$4:BK13,BK13)=1),1,0)</f>
        <v>10</v>
      </c>
      <c r="BM13" s="55">
        <f t="shared" si="26"/>
        <v>1274</v>
      </c>
      <c r="BN13" s="55">
        <f>IF('Final Calculation Sheet'!$L$13="","",'Final Calculation Sheet'!$L$13)</f>
        <v>17.5</v>
      </c>
      <c r="BO13" s="137">
        <f>IF(BN13="","",COUNTIFS(BN$4:BN$40,"&lt;"&amp;BN13,BN$4:BN$40,"&lt;&gt;"&amp;"")+COUNTIF(BN$4:BN13,BN13))</f>
        <v>2</v>
      </c>
      <c r="BP13" s="55">
        <f t="shared" si="27"/>
        <v>54</v>
      </c>
      <c r="BQ13" s="137">
        <f>BQ12+IF(AND(BP13&lt;&gt;"",COUNTIF(BP$4:BP13,BP13)=1),1,0)</f>
        <v>10</v>
      </c>
      <c r="BR13" s="55">
        <f t="shared" si="28"/>
        <v>54</v>
      </c>
      <c r="BS13" s="55">
        <f>IF('Final Calculation Sheet'!$M$13="","",'Final Calculation Sheet'!$M$13)</f>
        <v>464.625</v>
      </c>
      <c r="BT13" s="137">
        <f>IF(BS13="","",COUNTIFS(BS$4:BS$40,"&lt;"&amp;BS13,BS$4:BS$40,"&lt;&gt;"&amp;"")+COUNTIF(BS$4:BS13,BS13))</f>
        <v>2</v>
      </c>
      <c r="BU13" s="55">
        <f t="shared" si="29"/>
        <v>1433.6999999999998</v>
      </c>
      <c r="BV13" s="137">
        <f>BV12+IF(AND(BU13&lt;&gt;"",COUNTIF(BU$4:BU13,BU13)=1),1,0)</f>
        <v>10</v>
      </c>
      <c r="BW13" s="55">
        <f t="shared" si="30"/>
        <v>1433.6999999999998</v>
      </c>
      <c r="BX13" s="138">
        <f>IF('Final Calculation Sheet'!$N$13="","",'Final Calculation Sheet'!$N$13)</f>
        <v>7.875</v>
      </c>
      <c r="BY13" s="137">
        <f>IF(BX13="","",COUNTIFS(BX$4:BX$40,"&lt;"&amp;BX13,BX$4:BX$40,"&lt;&gt;"&amp;"")+COUNTIF(BX$4:BX13,BX13))</f>
        <v>2</v>
      </c>
      <c r="BZ13" s="138">
        <f t="shared" si="31"/>
        <v>24.3</v>
      </c>
      <c r="CA13" s="137">
        <f>CA12+IF(AND(BZ13&lt;&gt;"",COUNTIF(BZ$4:BZ13,BZ13)=1),1,0)</f>
        <v>10</v>
      </c>
      <c r="CB13" s="138">
        <f t="shared" si="32"/>
        <v>24.3</v>
      </c>
      <c r="CC13" s="55">
        <f>IF('Final Calculation Sheet'!$O$13="","",'Final Calculation Sheet'!$O$13)</f>
        <v>456.75</v>
      </c>
      <c r="CD13" s="137">
        <f>IF(CC13="","",COUNTIFS(CC$4:CC$40,"&lt;"&amp;CC13,CC$4:CC$40,"&lt;&gt;"&amp;"")+COUNTIF(CC$4:CC13,CC13))</f>
        <v>2</v>
      </c>
      <c r="CE13" s="55">
        <f t="shared" si="33"/>
        <v>1409.3999999999999</v>
      </c>
      <c r="CF13" s="137">
        <f>CF12+IF(AND(CE13&lt;&gt;"",COUNTIF(CE$4:CE13,CE13)=1),1,0)</f>
        <v>10</v>
      </c>
      <c r="CG13" s="55">
        <f t="shared" si="34"/>
        <v>1409.3999999999999</v>
      </c>
      <c r="CH13" s="55">
        <f>IF('Final Calculation Sheet'!$P$13="","",'Final Calculation Sheet'!$P$13)</f>
        <v>474</v>
      </c>
      <c r="CI13" s="137">
        <f>IF(CH13="","",COUNTIFS(CH$4:CH$40,"&lt;"&amp;CH13,CH$4:CH$40,"&lt;&gt;"&amp;"")+COUNTIF(CH$4:CH13,CH13))</f>
        <v>2</v>
      </c>
      <c r="CJ13" s="55">
        <f t="shared" si="35"/>
        <v>1463</v>
      </c>
      <c r="CK13" s="137">
        <f>CK12+IF(AND(CJ13&lt;&gt;"",COUNTIF(CJ$4:CJ13,CJ13)=1),1,0)</f>
        <v>10</v>
      </c>
      <c r="CL13" s="55">
        <f t="shared" si="36"/>
        <v>1463</v>
      </c>
      <c r="CM13" s="139">
        <f>IF('Final Calculation Sheet'!$Q$13="","",'Final Calculation Sheet'!$Q$13)</f>
        <v>0</v>
      </c>
      <c r="CN13" s="137">
        <f>IF(CM13="","",COUNTIFS(CM$4:CM$40,"&lt;"&amp;CM13,CM$4:CM$40,"&lt;&gt;"&amp;"")+COUNTIF(CM$4:CM13,CM13))</f>
        <v>8</v>
      </c>
      <c r="CO13" s="139">
        <f t="shared" si="37"/>
        <v>0</v>
      </c>
      <c r="CP13" s="137">
        <f>CP12+IF(AND(CO13&lt;&gt;"",COUNTIF(CO$4:CO13,CO13)=1),1,0)</f>
        <v>1</v>
      </c>
      <c r="CQ13" t="str">
        <f t="shared" si="38"/>
        <v/>
      </c>
      <c r="CR13" s="55">
        <f>IF('Final Calculation Sheet'!$R$13="","",'Final Calculation Sheet'!$R$13)</f>
        <v>0</v>
      </c>
      <c r="CS13" s="137">
        <f>IF(CR13="","",COUNTIFS(CR$4:CR$40,"&lt;"&amp;CR13,CR$4:CR$40,"&lt;&gt;"&amp;"")+COUNTIF(CR$4:CR13,CR13))</f>
        <v>8</v>
      </c>
      <c r="CT13" s="55">
        <f t="shared" si="39"/>
        <v>0</v>
      </c>
      <c r="CU13" s="137">
        <f>CU12+IF(AND(CT13&lt;&gt;"",COUNTIF(CT$4:CT13,CT13)=1),1,0)</f>
        <v>1</v>
      </c>
      <c r="CV13" t="str">
        <f t="shared" si="40"/>
        <v/>
      </c>
      <c r="CW13" s="55">
        <f>IF('Final Calculation Sheet'!$S$13="","",'Final Calculation Sheet'!$S$13)</f>
        <v>20589</v>
      </c>
      <c r="CX13" s="137">
        <f>IF(CW13="","",COUNTIFS(CW$4:CW$40,"&lt;"&amp;CW13,CW$4:CW$40,"&lt;&gt;"&amp;"")+COUNTIF(CW$4:CW13,CW13))</f>
        <v>2</v>
      </c>
      <c r="CY13" s="55">
        <f t="shared" si="41"/>
        <v>63531</v>
      </c>
      <c r="CZ13" s="137">
        <f>CZ12+IF(AND(CY13&lt;&gt;"",COUNTIF(CY$4:CY13,CY13)=1),1,0)</f>
        <v>10</v>
      </c>
      <c r="DA13" s="55">
        <f t="shared" si="42"/>
        <v>63531</v>
      </c>
      <c r="DB13" s="55">
        <f>IF('Final Calculation Sheet'!$T$13="","",'Final Calculation Sheet'!$T$13)</f>
        <v>4375</v>
      </c>
      <c r="DC13" s="137">
        <f>IF(DB13="","",COUNTIFS(DB$4:DB$40,"&lt;"&amp;DB13,DB$4:DB$40,"&lt;&gt;"&amp;"")+COUNTIF(DB$4:DB13,DB13))</f>
        <v>2</v>
      </c>
      <c r="DD13" s="55">
        <f t="shared" si="43"/>
        <v>13500</v>
      </c>
      <c r="DE13" s="137">
        <f>DE12+IF(AND(DD13&lt;&gt;"",COUNTIF(DD$4:DD13,DD13)=1),1,0)</f>
        <v>10</v>
      </c>
      <c r="DF13" s="55">
        <f t="shared" si="44"/>
        <v>13500</v>
      </c>
      <c r="DG13" s="140">
        <f>IF('Final Calculation Sheet'!$U$13="","",'Final Calculation Sheet'!$U$13)</f>
        <v>4375</v>
      </c>
      <c r="DH13" s="137">
        <f>IF(DG13="","",COUNTIFS(DG$4:DG$40,"&lt;"&amp;DG13,DG$4:DG$40,"&lt;&gt;"&amp;"")+COUNTIF(DG$4:DG13,DG13))</f>
        <v>2</v>
      </c>
      <c r="DI13" s="140">
        <f t="shared" si="45"/>
        <v>13500</v>
      </c>
      <c r="DJ13" s="137">
        <f>DJ12+IF(AND(DI13&lt;&gt;"",COUNTIF(DI$4:DI13,DI13)=1),1,0)</f>
        <v>10</v>
      </c>
      <c r="DK13" s="140">
        <f t="shared" si="46"/>
        <v>13500</v>
      </c>
      <c r="DL13" t="str">
        <f>IF('Final Calculation Sheet'!$V$13="","",'Final Calculation Sheet'!$V$13)</f>
        <v>11.08.2026</v>
      </c>
      <c r="DM13" s="137">
        <f>IF(DL13="","",COUNTIFS(DL$4:DL$40,"&lt;"&amp;DL13,DL$4:DL$40,"&lt;&gt;"&amp;"")+COUNTIF(DL$4:DL13,DL13))</f>
        <v>4</v>
      </c>
      <c r="DN13" t="str">
        <f t="shared" si="47"/>
        <v>11.08.2026</v>
      </c>
      <c r="DO13" s="137">
        <f>DO12+IF(AND(DN13&lt;&gt;"",COUNTIF(DN$4:DN13,DN13)=1),1,0)</f>
        <v>2</v>
      </c>
      <c r="DP13" t="str">
        <f t="shared" si="48"/>
        <v/>
      </c>
      <c r="DQ13" s="55">
        <f>IF('Final Calculation Sheet'!$W$13="","",'Final Calculation Sheet'!$W$13)</f>
        <v>16214</v>
      </c>
      <c r="DR13" s="137">
        <f>IF(DQ13="","",COUNTIFS(DQ$4:DQ$40,"&lt;"&amp;DQ13,DQ$4:DQ$40,"&lt;&gt;"&amp;"")+COUNTIF(DQ$4:DQ13,DQ13))</f>
        <v>2</v>
      </c>
      <c r="DS13" s="55">
        <f t="shared" si="49"/>
        <v>50031</v>
      </c>
      <c r="DT13" s="137">
        <f>DT12+IF(AND(DS13&lt;&gt;"",COUNTIF(DS$4:DS13,DS13)=1),1,0)</f>
        <v>10</v>
      </c>
      <c r="DU13" s="55">
        <f t="shared" si="50"/>
        <v>50031</v>
      </c>
      <c r="DV13" s="55">
        <f>IF('Final Calculation Sheet'!$X$13="","",'Final Calculation Sheet'!$X$13)</f>
        <v>16214</v>
      </c>
      <c r="DW13" s="137">
        <f>IF(DV13="","",COUNTIFS(DV$4:DV$40,"&lt;"&amp;DV13,DV$4:DV$40,"&lt;&gt;"&amp;"")+COUNTIF(DV$4:DV13,DV13))</f>
        <v>2</v>
      </c>
      <c r="DX13" s="55">
        <f t="shared" si="51"/>
        <v>58418</v>
      </c>
      <c r="DY13" s="137">
        <f>DY12+IF(AND(DX13&lt;&gt;"",COUNTIF(DX$4:DX13,DX13)=1),1,0)</f>
        <v>10</v>
      </c>
      <c r="DZ13" t="e">
        <f t="shared" si="52"/>
        <v>#N/A</v>
      </c>
      <c r="EA13" t="str">
        <f>IF('Final Calculation Sheet'!$Y$13="","",'Final Calculation Sheet'!$Y$13)</f>
        <v>11.08.2026</v>
      </c>
      <c r="EB13" s="137">
        <f>IF(EA13="","",COUNTIFS(EA$4:EA$40,"&lt;"&amp;EA13,EA$4:EA$40,"&lt;&gt;"&amp;"")+COUNTIF(EA$4:EA13,EA13))</f>
        <v>4</v>
      </c>
      <c r="EC13" t="str">
        <f t="shared" si="53"/>
        <v>13.08.2026</v>
      </c>
      <c r="ED13" s="137">
        <f>ED12+IF(AND(EC13&lt;&gt;"",COUNTIF(EC$4:EC13,EC13)=1),1,0)</f>
        <v>4</v>
      </c>
      <c r="EE13" t="e">
        <f t="shared" si="54"/>
        <v>#N/A</v>
      </c>
      <c r="EF13" s="55">
        <f ca="1">IF('Final Calculation Sheet'!$Z$13="","",'Final Calculation Sheet'!$Z$13)</f>
        <v>0</v>
      </c>
      <c r="EG13" s="137">
        <f ca="1">IF(EF13="","",COUNTIFS(EF$4:EF$40,"&lt;"&amp;EF13,EF$4:EF$40,"&lt;&gt;"&amp;"")+COUNTIF(EF$4:EF13,EF13))</f>
        <v>10</v>
      </c>
      <c r="EH13" s="55">
        <f t="shared" ca="1" si="55"/>
        <v>0</v>
      </c>
      <c r="EI13" s="137">
        <f ca="1">EI12+IF(AND(EH13&lt;&gt;"",COUNTIF(EH$4:EH13,EH13)=1),1,0)</f>
        <v>1</v>
      </c>
      <c r="EJ13" t="str">
        <f t="shared" ca="1" si="56"/>
        <v/>
      </c>
      <c r="EK13" t="str">
        <f>IF('Final Calculation Sheet'!$AA$13="","",'Final Calculation Sheet'!$AA$13)</f>
        <v/>
      </c>
      <c r="EL13" t="str">
        <f>IF(EK13="","",COUNTIFS(EK$4:EK$40,"&lt;"&amp;EK13,EK$4:EK$40,"&lt;&gt;"&amp;"")+COUNTIF(EK$4:EK13,EK13))</f>
        <v/>
      </c>
      <c r="EM13" s="137" t="e">
        <f t="shared" si="57"/>
        <v>#N/A</v>
      </c>
      <c r="EN13" s="137" t="e">
        <f>EN12+IF(AND(EM13&lt;&gt;"",COUNTIF(EM$4:EM13,EM13)=1),1,0)</f>
        <v>#N/A</v>
      </c>
      <c r="EO13" t="e">
        <f t="shared" si="58"/>
        <v>#N/A</v>
      </c>
      <c r="EP13" t="str">
        <f>IF('Final Calculation Sheet'!$AB$13="","",'Final Calculation Sheet'!$AB$13)</f>
        <v/>
      </c>
      <c r="EQ13" t="str">
        <f>IF(EP13="","",COUNTIFS(EP$4:EP$40,"&lt;"&amp;EP13,EP$4:EP$40,"&lt;&gt;"&amp;"")+COUNTIF(EP$4:EP13,EP13))</f>
        <v/>
      </c>
      <c r="ER13" s="137" t="e">
        <f t="shared" si="59"/>
        <v>#N/A</v>
      </c>
      <c r="ES13" s="137" t="e">
        <f>ES12+IF(AND(ER13&lt;&gt;"",COUNTIF(ER$4:ER13,ER13)=1),1,0)</f>
        <v>#N/A</v>
      </c>
      <c r="ET13" t="e">
        <f t="shared" si="60"/>
        <v>#N/A</v>
      </c>
      <c r="EU13" s="55">
        <f>IF('Final Calculation Sheet'!$AC$13="","",'Final Calculation Sheet'!$AC$13)</f>
        <v>20589</v>
      </c>
      <c r="EV13" s="137">
        <f>IF(EU13="","",COUNTIFS(EU$4:EU$40,"&lt;"&amp;EU13,EU$4:EU$40,"&lt;&gt;"&amp;"")+COUNTIF(EU$4:EU13,EU13))</f>
        <v>3</v>
      </c>
      <c r="EW13" s="55">
        <f t="shared" si="61"/>
        <v>58829</v>
      </c>
      <c r="EX13" s="137">
        <f>EX12+IF(AND(EW13&lt;&gt;"",COUNTIF(EW$4:EW13,EW13)=1),1,0)</f>
        <v>10</v>
      </c>
      <c r="EY13" s="55">
        <f t="shared" si="62"/>
        <v>58829</v>
      </c>
      <c r="EZ13" s="55">
        <f>IF('Final Calculation Sheet'!$AD$13="","",'Final Calculation Sheet'!$AD$13)</f>
        <v>0</v>
      </c>
      <c r="FA13" s="137">
        <f>IF(EZ13="","",COUNTIFS(EZ$4:EZ$40,"&lt;"&amp;EZ13,EZ$4:EZ$40,"&lt;&gt;"&amp;"")+COUNTIF(EZ$4:EZ13,EZ13))</f>
        <v>13</v>
      </c>
      <c r="FB13" s="55">
        <f t="shared" si="63"/>
        <v>0</v>
      </c>
      <c r="FC13" s="137" t="e">
        <f>FC12+IF(AND(FB13&lt;&gt;"",COUNTIF(FB$4:FB13,FB13)=1),1,0)</f>
        <v>#N/A</v>
      </c>
      <c r="FD13" s="55" t="e">
        <f t="shared" si="64"/>
        <v>#N/A</v>
      </c>
      <c r="FE13" t="str">
        <f>IF('Final Calculation Sheet'!$AE$13="","",'Final Calculation Sheet'!$AE$13)</f>
        <v>DR2640100018</v>
      </c>
      <c r="FF13" s="137">
        <f>IF(FE13="","",COUNTIFS(FE$4:FE$40,"&lt;"&amp;FE13,FE$4:FE$40,"&lt;&gt;"&amp;"")+COUNTIF(FE$4:FE13,FE13))</f>
        <v>7</v>
      </c>
      <c r="FG13" t="str">
        <f t="shared" si="65"/>
        <v>DR2640100021</v>
      </c>
      <c r="FH13" s="137" t="e">
        <f>FH12+IF(AND(FG13&lt;&gt;"",COUNTIF(FG$4:FG13,FG13)=1),1,0)</f>
        <v>#N/A</v>
      </c>
      <c r="FI13" t="e">
        <f t="shared" si="66"/>
        <v>#N/A</v>
      </c>
      <c r="FJ13" s="141">
        <f>IF('Final Calculation Sheet'!$AF$13="","",'Final Calculation Sheet'!$AF$13)</f>
        <v>1800003156</v>
      </c>
      <c r="FK13" s="137">
        <f>IF(FJ13="","",COUNTIFS(FJ$4:FJ$40,"&lt;"&amp;FJ13,FJ$4:FJ$40,"&lt;&gt;"&amp;"")+COUNTIF(FJ$4:FJ13,FJ13))</f>
        <v>2</v>
      </c>
      <c r="FL13" s="141">
        <f t="shared" si="67"/>
        <v>1800003247</v>
      </c>
      <c r="FM13" s="137">
        <f>FM12+IF(AND(FL13&lt;&gt;"",COUNTIF(FL$4:FL13,FL13)=1),1,0)</f>
        <v>10</v>
      </c>
      <c r="FN13" t="e">
        <f t="shared" si="68"/>
        <v>#N/A</v>
      </c>
      <c r="FO13" t="str">
        <f>IF('Final Calculation Sheet'!$AG$13="","",'Final Calculation Sheet'!$AG$13)</f>
        <v>14.08.2026</v>
      </c>
      <c r="FP13" s="137">
        <f>IF(FO13="","",COUNTIFS(FO$4:FO$40,"&lt;"&amp;FO13,FO$4:FO$40,"&lt;&gt;"&amp;"")+COUNTIF(FO$4:FO13,FO13))</f>
        <v>7</v>
      </c>
      <c r="FQ13" t="str">
        <f t="shared" si="69"/>
        <v>14.08.2026</v>
      </c>
      <c r="FR13" s="137" t="e">
        <f>FR12+IF(AND(FQ13&lt;&gt;"",COUNTIF(FQ$4:FQ13,FQ13)=1),1,0)</f>
        <v>#N/A</v>
      </c>
      <c r="FS13" t="e">
        <f t="shared" si="70"/>
        <v>#N/A</v>
      </c>
      <c r="FU13" t="str">
        <f>IF(FT13="","",COUNTIFS(FT$4:FT$40,"&lt;"&amp;FT13,FT$4:FT$40,"&lt;&gt;"&amp;"")+COUNTIF(FT$4:FT13,FT13))</f>
        <v/>
      </c>
      <c r="FV13" t="str">
        <f t="shared" si="71"/>
        <v/>
      </c>
      <c r="FW13" s="137">
        <f>FW12+IF(AND(FV13&lt;&gt;"",COUNTIF(FV$4:FV13,FV13)=1),1,0)</f>
        <v>2</v>
      </c>
      <c r="FX13" t="str">
        <f t="shared" si="72"/>
        <v/>
      </c>
    </row>
    <row r="14" spans="1:180" x14ac:dyDescent="0.25">
      <c r="A14">
        <f>IF('Final Calculation Sheet'!$F$14="","",'Final Calculation Sheet'!$F$14)</f>
        <v>2007</v>
      </c>
      <c r="B14" s="137">
        <f>IF(A14="","",COUNTIFS(A$4:A$114,"&lt;"&amp;A14,A$4:A$114,"&lt;&gt;"&amp;"")+COUNTIF(A$4:A14,A14))</f>
        <v>11</v>
      </c>
      <c r="C14" s="137">
        <f t="shared" si="0"/>
        <v>2007</v>
      </c>
      <c r="D14" s="137">
        <f>D13+IF(AND(C14&lt;&gt;"",COUNTIF(C$4:C14,C14)=1),1,0)</f>
        <v>11</v>
      </c>
      <c r="E14" t="e">
        <f t="shared" si="1"/>
        <v>#N/A</v>
      </c>
      <c r="F14">
        <f t="shared" si="2"/>
        <v>11</v>
      </c>
      <c r="G14" s="137">
        <f>IF(F14="","",COUNTIFS(F$4:F$40,"&lt;"&amp;F14,F$4:F$40,"&lt;&gt;"&amp;"")+COUNTIF(F$4:F14,F14))</f>
        <v>11</v>
      </c>
      <c r="H14" s="137">
        <f t="shared" si="3"/>
        <v>11</v>
      </c>
      <c r="I14" s="137">
        <f>I13+IF(AND(H14&lt;&gt;"",COUNTIF(H$4:H14,H14)=1),1,0)</f>
        <v>11</v>
      </c>
      <c r="J14">
        <f t="shared" si="4"/>
        <v>11</v>
      </c>
      <c r="K14">
        <f>IF('Final Calculation Sheet'!$F$14="","",'Final Calculation Sheet'!$F$14)</f>
        <v>2007</v>
      </c>
      <c r="L14" s="137">
        <f>IF(K14="","",COUNTIFS(K$4:K$40,"&lt;"&amp;K14,K$4:K$40,"&lt;&gt;"&amp;"")+COUNTIF(K$4:K14,K14))</f>
        <v>11</v>
      </c>
      <c r="M14" s="137">
        <f t="shared" si="5"/>
        <v>2007</v>
      </c>
      <c r="N14" s="137">
        <f>N13+IF(AND(M14&lt;&gt;"",COUNTIF(M$4:M14,M14)=1),1,0)</f>
        <v>11</v>
      </c>
      <c r="O14">
        <f t="shared" si="6"/>
        <v>2007</v>
      </c>
      <c r="P14" t="str">
        <f>IF('Final Calculation Sheet'!$G$14="","",'Final Calculation Sheet'!$G$14)</f>
        <v>SHAR JAHAN TRADERS</v>
      </c>
      <c r="Q14" s="137">
        <f>IF(P14="","",COUNTIFS(P$4:P$40,"&lt;"&amp;P14,P$4:P$40,"&lt;&gt;"&amp;"")+COUNTIF(P$4:P14,P14))</f>
        <v>27</v>
      </c>
      <c r="R14" t="str">
        <f t="shared" si="7"/>
        <v>NATIONAL ENTERPRISES</v>
      </c>
      <c r="S14" s="137">
        <f>S13+IF(AND(R14&lt;&gt;"",COUNTIF(R$4:R14,R14)=1),1,0)</f>
        <v>6</v>
      </c>
      <c r="T14" t="str">
        <f t="shared" si="8"/>
        <v>SHAR JAHAN TRADERS</v>
      </c>
      <c r="U14" t="str">
        <f>IF('Final Calculation Sheet'!$B$14="","",'Final Calculation Sheet'!$B$14)</f>
        <v>SCRAP POWER TRANSFORMER</v>
      </c>
      <c r="V14" s="137">
        <f>IF(U14="","",COUNTIFS(U$4:U$40,"&lt;"&amp;U14,U$4:U$40,"&lt;&gt;"&amp;"")+COUNTIF(U$4:U14,U14))</f>
        <v>37</v>
      </c>
      <c r="W14" t="str">
        <f t="shared" si="9"/>
        <v>Scrap of 132 KV CT</v>
      </c>
      <c r="X14" s="137">
        <f>X13+IF(AND(W14&lt;&gt;"",COUNTIF(W$4:W14,W14)=1),1,0)</f>
        <v>6</v>
      </c>
      <c r="Y14" t="str">
        <f t="shared" si="10"/>
        <v>Scrap of 220KV CT</v>
      </c>
      <c r="Z14">
        <f>IF('Final Calculation Sheet'!$D$14="","",'Final Calculation Sheet'!$D$14)</f>
        <v>21977</v>
      </c>
      <c r="AA14" s="137">
        <f>IF(Z14="","",COUNTIFS(Z$4:Z$40,"&lt;"&amp;Z14,Z$4:Z$40,"&lt;&gt;"&amp;"")+COUNTIF(Z$4:Z14,Z14))</f>
        <v>9</v>
      </c>
      <c r="AB14" s="137">
        <f t="shared" si="11"/>
        <v>21977</v>
      </c>
      <c r="AC14" s="137">
        <f>AC13+IF(AND(AB14&lt;&gt;"",COUNTIF(AB$4:AB14,AB14)=1),1,0)</f>
        <v>1</v>
      </c>
      <c r="AD14" t="str">
        <f t="shared" si="12"/>
        <v/>
      </c>
      <c r="AE14">
        <f>IF('Final Calculation Sheet'!$A$14="","",'Final Calculation Sheet'!$A$14)</f>
        <v>1</v>
      </c>
      <c r="AF14" s="137">
        <f>IF(AE14="","",COUNTIFS(AE$4:AE$40,"&lt;"&amp;AE14,AE$4:AE$40,"&lt;&gt;"&amp;"")+COUNTIF(AE$4:AE14,AE14))</f>
        <v>4</v>
      </c>
      <c r="AG14" s="137">
        <f t="shared" si="13"/>
        <v>2</v>
      </c>
      <c r="AH14" s="137">
        <f>AH13+IF(AND(AG14&lt;&gt;"",COUNTIF(AG$4:AG14,AG14)=1),1,0)</f>
        <v>2</v>
      </c>
      <c r="AI14">
        <f t="shared" si="14"/>
        <v>50</v>
      </c>
      <c r="AJ14" t="str">
        <f>IF('Final Calculation Sheet'!$E$14="","",'Final Calculation Sheet'!$E$14)</f>
        <v>NO</v>
      </c>
      <c r="AK14" s="137">
        <f>IF(AJ14="","",COUNTIFS(AJ$4:AJ$40,"&lt;"&amp;AJ14,AJ$4:AJ$40,"&lt;&gt;"&amp;"")+COUNTIF(AJ$4:AJ14,AJ14))</f>
        <v>14</v>
      </c>
      <c r="AL14" t="str">
        <f t="shared" si="15"/>
        <v>NO</v>
      </c>
      <c r="AM14" s="137">
        <f>AM13+IF(AND(AL14&lt;&gt;"",COUNTIF(AL$4:AL14,AL14)=1),1,0)</f>
        <v>3</v>
      </c>
      <c r="AN14" t="str">
        <f t="shared" si="16"/>
        <v/>
      </c>
      <c r="AO14" s="55">
        <f>IF('Final Calculation Sheet'!$C$14="","",'Final Calculation Sheet'!$C$14)</f>
        <v>3857116</v>
      </c>
      <c r="AP14" s="137">
        <f>IF(AO14="","",COUNTIFS(AO$4:AO$40,"&lt;"&amp;AO14,AO$4:AO$40,"&lt;&gt;"&amp;"")+COUNTIF(AO$4:AO14,AO14))</f>
        <v>37</v>
      </c>
      <c r="AQ14" s="55">
        <f t="shared" si="17"/>
        <v>700</v>
      </c>
      <c r="AR14" s="137">
        <f>AR13+IF(AND(AQ14&lt;&gt;"",COUNTIF(AQ$4:AQ14,AQ14)=1),1,0)</f>
        <v>10</v>
      </c>
      <c r="AS14" s="55">
        <f t="shared" si="18"/>
        <v>702</v>
      </c>
      <c r="AT14" s="55">
        <f>IF('Final Calculation Sheet'!$H$14="","",'Final Calculation Sheet'!$H$14)</f>
        <v>3857116</v>
      </c>
      <c r="AU14" s="137">
        <f>IF(AT14="","",COUNTIFS(AT$4:AT$40,"&lt;"&amp;AT14,AT$4:AT$40,"&lt;&gt;"&amp;"")+COUNTIF(AT$4:AT14,AT14))</f>
        <v>37</v>
      </c>
      <c r="AV14" s="55">
        <f t="shared" si="19"/>
        <v>63000</v>
      </c>
      <c r="AW14" s="137">
        <f>AW13+IF(AND(AV14&lt;&gt;"",COUNTIF(AV$4:AV14,AV14)=1),1,0)</f>
        <v>11</v>
      </c>
      <c r="AX14" s="55">
        <f t="shared" si="20"/>
        <v>63000</v>
      </c>
      <c r="AY14" s="55">
        <f>IF('Final Calculation Sheet'!$I$14="","",'Final Calculation Sheet'!$I$14)</f>
        <v>694281</v>
      </c>
      <c r="AZ14" s="137">
        <f>IF(AY14="","",COUNTIFS(AY$4:AY$40,"&lt;"&amp;AY14,AY$4:AY$40,"&lt;&gt;"&amp;"")+COUNTIF(AY$4:AY14,AY14))</f>
        <v>37</v>
      </c>
      <c r="BA14" s="55">
        <f t="shared" si="21"/>
        <v>11340</v>
      </c>
      <c r="BB14" s="137">
        <f>BB13+IF(AND(BA14&lt;&gt;"",COUNTIF(BA$4:BA14,BA14)=1),1,0)</f>
        <v>11</v>
      </c>
      <c r="BC14" s="55">
        <f t="shared" si="22"/>
        <v>11340</v>
      </c>
      <c r="BD14" s="55">
        <f>IF('Final Calculation Sheet'!$J$14="","",'Final Calculation Sheet'!$J$14)</f>
        <v>4551397</v>
      </c>
      <c r="BE14" s="137">
        <f>IF(BD14="","",COUNTIFS(BD$4:BD$40,"&lt;"&amp;BD14,BD$4:BD$40,"&lt;&gt;"&amp;"")+COUNTIF(BD$4:BD14,BD14))</f>
        <v>37</v>
      </c>
      <c r="BF14" s="55">
        <f t="shared" si="23"/>
        <v>74340</v>
      </c>
      <c r="BG14" s="137">
        <f>BG13+IF(AND(BF14&lt;&gt;"",COUNTIF(BF$4:BF14,BF14)=1),1,0)</f>
        <v>11</v>
      </c>
      <c r="BH14" s="55">
        <f t="shared" si="24"/>
        <v>74340</v>
      </c>
      <c r="BI14" s="55">
        <f>IF('Final Calculation Sheet'!$K$14="","",'Final Calculation Sheet'!$K$14)</f>
        <v>91028</v>
      </c>
      <c r="BJ14" s="137">
        <f>IF(BI14="","",COUNTIFS(BI$4:BI$40,"&lt;"&amp;BI14,BI$4:BI$40,"&lt;&gt;"&amp;"")+COUNTIF(BI$4:BI14,BI14))</f>
        <v>37</v>
      </c>
      <c r="BK14" s="55">
        <f t="shared" si="25"/>
        <v>1487</v>
      </c>
      <c r="BL14" s="137">
        <f>BL13+IF(AND(BK14&lt;&gt;"",COUNTIF(BK$4:BK14,BK14)=1),1,0)</f>
        <v>11</v>
      </c>
      <c r="BM14" s="55">
        <f t="shared" si="26"/>
        <v>1487</v>
      </c>
      <c r="BN14" s="55">
        <f>IF('Final Calculation Sheet'!$L$14="","",'Final Calculation Sheet'!$L$14)</f>
        <v>3857.116</v>
      </c>
      <c r="BO14" s="137">
        <f>IF(BN14="","",COUNTIFS(BN$4:BN$40,"&lt;"&amp;BN14,BN$4:BN$40,"&lt;&gt;"&amp;"")+COUNTIF(BN$4:BN14,BN14))</f>
        <v>37</v>
      </c>
      <c r="BP14" s="55">
        <f t="shared" si="27"/>
        <v>63</v>
      </c>
      <c r="BQ14" s="137">
        <f>BQ13+IF(AND(BP14&lt;&gt;"",COUNTIF(BP$4:BP14,BP14)=1),1,0)</f>
        <v>11</v>
      </c>
      <c r="BR14" s="55">
        <f t="shared" si="28"/>
        <v>63</v>
      </c>
      <c r="BS14" s="55">
        <f>IF('Final Calculation Sheet'!$M$14="","",'Final Calculation Sheet'!$M$14)</f>
        <v>102406.4298</v>
      </c>
      <c r="BT14" s="137">
        <f>IF(BS14="","",COUNTIFS(BS$4:BS$40,"&lt;"&amp;BS14,BS$4:BS$40,"&lt;&gt;"&amp;"")+COUNTIF(BS$4:BS14,BS14))</f>
        <v>37</v>
      </c>
      <c r="BU14" s="55">
        <f t="shared" si="29"/>
        <v>1672.6499999999999</v>
      </c>
      <c r="BV14" s="137">
        <f>BV13+IF(AND(BU14&lt;&gt;"",COUNTIF(BU$4:BU14,BU14)=1),1,0)</f>
        <v>11</v>
      </c>
      <c r="BW14" s="55">
        <f t="shared" si="30"/>
        <v>1672.6499999999999</v>
      </c>
      <c r="BX14" s="138">
        <f>IF('Final Calculation Sheet'!$N$14="","",'Final Calculation Sheet'!$N$14)</f>
        <v>1735.7021999999999</v>
      </c>
      <c r="BY14" s="137">
        <f>IF(BX14="","",COUNTIFS(BX$4:BX$40,"&lt;"&amp;BX14,BX$4:BX$40,"&lt;&gt;"&amp;"")+COUNTIF(BX$4:BX14,BX14))</f>
        <v>37</v>
      </c>
      <c r="BZ14" s="138">
        <f t="shared" si="31"/>
        <v>28.35</v>
      </c>
      <c r="CA14" s="137">
        <f>CA13+IF(AND(BZ14&lt;&gt;"",COUNTIF(BZ$4:BZ14,BZ14)=1),1,0)</f>
        <v>11</v>
      </c>
      <c r="CB14" s="138">
        <f t="shared" si="32"/>
        <v>28.35</v>
      </c>
      <c r="CC14" s="55">
        <f>IF('Final Calculation Sheet'!$O$14="","",'Final Calculation Sheet'!$O$14)</f>
        <v>100670.7276</v>
      </c>
      <c r="CD14" s="137">
        <f>IF(CC14="","",COUNTIFS(CC$4:CC$40,"&lt;"&amp;CC14,CC$4:CC$40,"&lt;&gt;"&amp;"")+COUNTIF(CC$4:CC14,CC14))</f>
        <v>37</v>
      </c>
      <c r="CE14" s="55">
        <f t="shared" si="33"/>
        <v>1644.3</v>
      </c>
      <c r="CF14" s="137">
        <f>CF13+IF(AND(CE14&lt;&gt;"",COUNTIF(CE$4:CE14,CE14)=1),1,0)</f>
        <v>11</v>
      </c>
      <c r="CG14" s="55">
        <f t="shared" si="34"/>
        <v>1644.3</v>
      </c>
      <c r="CH14" s="55">
        <f>IF('Final Calculation Sheet'!$P$14="","",'Final Calculation Sheet'!$P$14)</f>
        <v>104528</v>
      </c>
      <c r="CI14" s="137">
        <f>IF(CH14="","",COUNTIFS(CH$4:CH$40,"&lt;"&amp;CH14,CH$4:CH$40,"&lt;&gt;"&amp;"")+COUNTIF(CH$4:CH14,CH14))</f>
        <v>37</v>
      </c>
      <c r="CJ14" s="55">
        <f t="shared" si="35"/>
        <v>1707</v>
      </c>
      <c r="CK14" s="137">
        <f>CK13+IF(AND(CJ14&lt;&gt;"",COUNTIF(CJ$4:CJ14,CJ14)=1),1,0)</f>
        <v>11</v>
      </c>
      <c r="CL14" s="55">
        <f t="shared" si="36"/>
        <v>1707</v>
      </c>
      <c r="CM14" s="139">
        <f>IF('Final Calculation Sheet'!$Q$14="","",'Final Calculation Sheet'!$Q$14)</f>
        <v>0</v>
      </c>
      <c r="CN14" s="137">
        <f>IF(CM14="","",COUNTIFS(CM$4:CM$40,"&lt;"&amp;CM14,CM$4:CM$40,"&lt;&gt;"&amp;"")+COUNTIF(CM$4:CM14,CM14))</f>
        <v>9</v>
      </c>
      <c r="CO14" s="139">
        <f t="shared" si="37"/>
        <v>0</v>
      </c>
      <c r="CP14" s="137">
        <f>CP13+IF(AND(CO14&lt;&gt;"",COUNTIF(CO$4:CO14,CO14)=1),1,0)</f>
        <v>1</v>
      </c>
      <c r="CQ14" t="str">
        <f t="shared" si="38"/>
        <v/>
      </c>
      <c r="CR14" s="55">
        <f>IF('Final Calculation Sheet'!$R$14="","",'Final Calculation Sheet'!$R$14)</f>
        <v>0</v>
      </c>
      <c r="CS14" s="137">
        <f>IF(CR14="","",COUNTIFS(CR$4:CR$40,"&lt;"&amp;CR14,CR$4:CR$40,"&lt;&gt;"&amp;"")+COUNTIF(CR$4:CR14,CR14))</f>
        <v>9</v>
      </c>
      <c r="CT14" s="55">
        <f t="shared" si="39"/>
        <v>0</v>
      </c>
      <c r="CU14" s="137">
        <f>CU13+IF(AND(CT14&lt;&gt;"",COUNTIF(CT$4:CT14,CT14)=1),1,0)</f>
        <v>1</v>
      </c>
      <c r="CV14" t="str">
        <f t="shared" si="40"/>
        <v/>
      </c>
      <c r="CW14" s="55">
        <f>IF('Final Calculation Sheet'!$S$14="","",'Final Calculation Sheet'!$S$14)</f>
        <v>4537897</v>
      </c>
      <c r="CX14" s="137">
        <f>IF(CW14="","",COUNTIFS(CW$4:CW$40,"&lt;"&amp;CW14,CW$4:CW$40,"&lt;&gt;"&amp;"")+COUNTIF(CW$4:CW14,CW14))</f>
        <v>37</v>
      </c>
      <c r="CY14" s="55">
        <f t="shared" si="41"/>
        <v>74120</v>
      </c>
      <c r="CZ14" s="137">
        <f>CZ13+IF(AND(CY14&lt;&gt;"",COUNTIF(CY$4:CY14,CY14)=1),1,0)</f>
        <v>11</v>
      </c>
      <c r="DA14" s="55">
        <f t="shared" si="42"/>
        <v>74120</v>
      </c>
      <c r="DB14" s="55">
        <f>IF('Final Calculation Sheet'!$T$14="","",'Final Calculation Sheet'!$T$14)</f>
        <v>964279</v>
      </c>
      <c r="DC14" s="137">
        <f>IF(DB14="","",COUNTIFS(DB$4:DB$40,"&lt;"&amp;DB14,DB$4:DB$40,"&lt;&gt;"&amp;"")+COUNTIF(DB$4:DB14,DB14))</f>
        <v>37</v>
      </c>
      <c r="DD14" s="55">
        <f t="shared" si="43"/>
        <v>15750</v>
      </c>
      <c r="DE14" s="137">
        <f>DE13+IF(AND(DD14&lt;&gt;"",COUNTIF(DD$4:DD14,DD14)=1),1,0)</f>
        <v>11</v>
      </c>
      <c r="DF14" s="55">
        <f t="shared" si="44"/>
        <v>15750</v>
      </c>
      <c r="DG14" s="140">
        <f>IF('Final Calculation Sheet'!$U$14="","",'Final Calculation Sheet'!$U$14)</f>
        <v>964279</v>
      </c>
      <c r="DH14" s="137">
        <f>IF(DG14="","",COUNTIFS(DG$4:DG$40,"&lt;"&amp;DG14,DG$4:DG$40,"&lt;&gt;"&amp;"")+COUNTIF(DG$4:DG14,DG14))</f>
        <v>37</v>
      </c>
      <c r="DI14" s="140">
        <f t="shared" si="45"/>
        <v>15750</v>
      </c>
      <c r="DJ14" s="137">
        <f>DJ13+IF(AND(DI14&lt;&gt;"",COUNTIF(DI$4:DI14,DI14)=1),1,0)</f>
        <v>11</v>
      </c>
      <c r="DK14" s="140">
        <f t="shared" si="46"/>
        <v>15750</v>
      </c>
      <c r="DL14" t="str">
        <f>IF('Final Calculation Sheet'!$V$14="","",'Final Calculation Sheet'!$V$14)</f>
        <v>13.08.2026</v>
      </c>
      <c r="DM14" s="137">
        <f>IF(DL14="","",COUNTIFS(DL$4:DL$40,"&lt;"&amp;DL14,DL$4:DL$40,"&lt;&gt;"&amp;"")+COUNTIF(DL$4:DL14,DL14))</f>
        <v>17</v>
      </c>
      <c r="DN14" t="str">
        <f t="shared" si="47"/>
        <v>11.08.2026</v>
      </c>
      <c r="DO14" s="137">
        <f>DO13+IF(AND(DN14&lt;&gt;"",COUNTIF(DN$4:DN14,DN14)=1),1,0)</f>
        <v>2</v>
      </c>
      <c r="DP14" t="str">
        <f t="shared" si="48"/>
        <v/>
      </c>
      <c r="DQ14" s="55">
        <f>IF('Final Calculation Sheet'!$W$14="","",'Final Calculation Sheet'!$W$14)</f>
        <v>3573618</v>
      </c>
      <c r="DR14" s="137">
        <f>IF(DQ14="","",COUNTIFS(DQ$4:DQ$40,"&lt;"&amp;DQ14,DQ$4:DQ$40,"&lt;&gt;"&amp;"")+COUNTIF(DQ$4:DQ14,DQ14))</f>
        <v>37</v>
      </c>
      <c r="DS14" s="55">
        <f t="shared" si="49"/>
        <v>58370</v>
      </c>
      <c r="DT14" s="137">
        <f>DT13+IF(AND(DS14&lt;&gt;"",COUNTIF(DS$4:DS14,DS14)=1),1,0)</f>
        <v>11</v>
      </c>
      <c r="DU14" s="55">
        <f t="shared" si="50"/>
        <v>58370</v>
      </c>
      <c r="DV14" s="55">
        <f>IF('Final Calculation Sheet'!$X$14="","",'Final Calculation Sheet'!$X$14)</f>
        <v>3573618.9057083898</v>
      </c>
      <c r="DW14" s="137">
        <f>IF(DV14="","",COUNTIFS(DV$4:DV$40,"&lt;"&amp;DV14,DV$4:DV$40,"&lt;&gt;"&amp;"")+COUNTIF(DV$4:DV14,DV14))</f>
        <v>34</v>
      </c>
      <c r="DX14" s="55">
        <f t="shared" si="51"/>
        <v>60229</v>
      </c>
      <c r="DY14" s="137">
        <f>DY13+IF(AND(DX14&lt;&gt;"",COUNTIF(DX$4:DX14,DX14)=1),1,0)</f>
        <v>11</v>
      </c>
      <c r="DZ14" t="e">
        <f t="shared" si="52"/>
        <v>#N/A</v>
      </c>
      <c r="EA14" t="str">
        <f>IF('Final Calculation Sheet'!$Y$14="","",'Final Calculation Sheet'!$Y$14)</f>
        <v>13.08.2026</v>
      </c>
      <c r="EB14" s="137">
        <f>IF(EA14="","",COUNTIFS(EA$4:EA$40,"&lt;"&amp;EA14,EA$4:EA$40,"&lt;&gt;"&amp;"")+COUNTIF(EA$4:EA14,EA14))</f>
        <v>10</v>
      </c>
      <c r="EC14" t="str">
        <f t="shared" si="53"/>
        <v>17.08.2026</v>
      </c>
      <c r="ED14" s="137">
        <f>ED13+IF(AND(EC14&lt;&gt;"",COUNTIF(EC$4:EC14,EC14)=1),1,0)</f>
        <v>5</v>
      </c>
      <c r="EE14" t="e">
        <f t="shared" si="54"/>
        <v>#N/A</v>
      </c>
      <c r="EF14" s="55">
        <f ca="1">IF('Final Calculation Sheet'!$Z$14="","",'Final Calculation Sheet'!$Z$14)</f>
        <v>0</v>
      </c>
      <c r="EG14" s="137">
        <f ca="1">IF(EF14="","",COUNTIFS(EF$4:EF$40,"&lt;"&amp;EF14,EF$4:EF$40,"&lt;&gt;"&amp;"")+COUNTIF(EF$4:EF14,EF14))</f>
        <v>11</v>
      </c>
      <c r="EH14" s="55">
        <f t="shared" ca="1" si="55"/>
        <v>0</v>
      </c>
      <c r="EI14" s="137">
        <f ca="1">EI13+IF(AND(EH14&lt;&gt;"",COUNTIF(EH$4:EH14,EH14)=1),1,0)</f>
        <v>1</v>
      </c>
      <c r="EJ14" t="str">
        <f t="shared" ca="1" si="56"/>
        <v/>
      </c>
      <c r="EK14" t="str">
        <f>IF('Final Calculation Sheet'!$AA$14="","",'Final Calculation Sheet'!$AA$14)</f>
        <v/>
      </c>
      <c r="EL14" t="str">
        <f>IF(EK14="","",COUNTIFS(EK$4:EK$40,"&lt;"&amp;EK14,EK$4:EK$40,"&lt;&gt;"&amp;"")+COUNTIF(EK$4:EK14,EK14))</f>
        <v/>
      </c>
      <c r="EM14" s="137" t="e">
        <f t="shared" si="57"/>
        <v>#N/A</v>
      </c>
      <c r="EN14" s="137" t="e">
        <f>EN13+IF(AND(EM14&lt;&gt;"",COUNTIF(EM$4:EM14,EM14)=1),1,0)</f>
        <v>#N/A</v>
      </c>
      <c r="EO14" t="e">
        <f t="shared" si="58"/>
        <v>#N/A</v>
      </c>
      <c r="EP14" t="str">
        <f>IF('Final Calculation Sheet'!$AB$14="","",'Final Calculation Sheet'!$AB$14)</f>
        <v/>
      </c>
      <c r="EQ14" t="str">
        <f>IF(EP14="","",COUNTIFS(EP$4:EP$40,"&lt;"&amp;EP14,EP$4:EP$40,"&lt;&gt;"&amp;"")+COUNTIF(EP$4:EP14,EP14))</f>
        <v/>
      </c>
      <c r="ER14" s="137" t="e">
        <f t="shared" si="59"/>
        <v>#N/A</v>
      </c>
      <c r="ES14" s="137" t="e">
        <f>ES13+IF(AND(ER14&lt;&gt;"",COUNTIF(ER$4:ER14,ER14)=1),1,0)</f>
        <v>#N/A</v>
      </c>
      <c r="ET14" t="e">
        <f t="shared" si="60"/>
        <v>#N/A</v>
      </c>
      <c r="EU14" s="55">
        <f>IF('Final Calculation Sheet'!$AC$14="","",'Final Calculation Sheet'!$AC$14)</f>
        <v>4537897.9057083894</v>
      </c>
      <c r="EV14" s="137">
        <f>IF(EU14="","",COUNTIFS(EU$4:EU$40,"&lt;"&amp;EU14,EU$4:EU$40,"&lt;&gt;"&amp;"")+COUNTIF(EU$4:EU14,EU14))</f>
        <v>37</v>
      </c>
      <c r="EW14" s="55">
        <f t="shared" si="61"/>
        <v>67502</v>
      </c>
      <c r="EX14" s="137">
        <f>EX13+IF(AND(EW14&lt;&gt;"",COUNTIF(EW$4:EW14,EW14)=1),1,0)</f>
        <v>11</v>
      </c>
      <c r="EY14" s="55">
        <f t="shared" si="62"/>
        <v>67502</v>
      </c>
      <c r="EZ14" s="55">
        <f>IF('Final Calculation Sheet'!$AD$14="","",'Final Calculation Sheet'!$AD$14)</f>
        <v>-0.90570838935673237</v>
      </c>
      <c r="FA14" s="137">
        <f>IF(EZ14="","",COUNTIFS(EZ$4:EZ$40,"&lt;"&amp;EZ14,EZ$4:EZ$40,"&lt;&gt;"&amp;"")+COUNTIF(EZ$4:EZ14,EZ14))</f>
        <v>7</v>
      </c>
      <c r="FB14" s="55">
        <f t="shared" si="63"/>
        <v>0</v>
      </c>
      <c r="FC14" s="137" t="e">
        <f>FC13+IF(AND(FB14&lt;&gt;"",COUNTIF(FB$4:FB14,FB14)=1),1,0)</f>
        <v>#N/A</v>
      </c>
      <c r="FD14" s="55" t="e">
        <f t="shared" si="64"/>
        <v>#N/A</v>
      </c>
      <c r="FE14" t="str">
        <f>IF('Final Calculation Sheet'!$AE$14="","",'Final Calculation Sheet'!$AE$14)</f>
        <v>DR2640100024</v>
      </c>
      <c r="FF14" s="137">
        <f>IF(FE14="","",COUNTIFS(FE$4:FE$40,"&lt;"&amp;FE14,FE$4:FE$40,"&lt;&gt;"&amp;"")+COUNTIF(FE$4:FE14,FE14))</f>
        <v>13</v>
      </c>
      <c r="FG14" t="str">
        <f t="shared" si="65"/>
        <v>DR2640100022</v>
      </c>
      <c r="FH14" s="137" t="e">
        <f>FH13+IF(AND(FG14&lt;&gt;"",COUNTIF(FG$4:FG14,FG14)=1),1,0)</f>
        <v>#N/A</v>
      </c>
      <c r="FI14" t="e">
        <f t="shared" si="66"/>
        <v>#N/A</v>
      </c>
      <c r="FJ14" s="141">
        <f>IF('Final Calculation Sheet'!$AF$14="","",'Final Calculation Sheet'!$AF$14)</f>
        <v>1800003196</v>
      </c>
      <c r="FK14" s="137">
        <f>IF(FJ14="","",COUNTIFS(FJ$4:FJ$40,"&lt;"&amp;FJ14,FJ$4:FJ$40,"&lt;&gt;"&amp;"")+COUNTIF(FJ$4:FJ14,FJ14))</f>
        <v>8</v>
      </c>
      <c r="FL14" s="141">
        <f t="shared" si="67"/>
        <v>1800003248</v>
      </c>
      <c r="FM14" s="137">
        <f>FM13+IF(AND(FL14&lt;&gt;"",COUNTIF(FL$4:FL14,FL14)=1),1,0)</f>
        <v>11</v>
      </c>
      <c r="FN14" t="e">
        <f t="shared" si="68"/>
        <v>#N/A</v>
      </c>
      <c r="FO14" t="str">
        <f>IF('Final Calculation Sheet'!$AG$14="","",'Final Calculation Sheet'!$AG$14)</f>
        <v>17.08.2026</v>
      </c>
      <c r="FP14" s="137">
        <f>IF(FO14="","",COUNTIFS(FO$4:FO$40,"&lt;"&amp;FO14,FO$4:FO$40,"&lt;&gt;"&amp;"")+COUNTIF(FO$4:FO14,FO14))</f>
        <v>13</v>
      </c>
      <c r="FQ14" t="str">
        <f t="shared" si="69"/>
        <v>14.08.2026</v>
      </c>
      <c r="FR14" s="137" t="e">
        <f>FR13+IF(AND(FQ14&lt;&gt;"",COUNTIF(FQ$4:FQ14,FQ14)=1),1,0)</f>
        <v>#N/A</v>
      </c>
      <c r="FS14" t="e">
        <f t="shared" si="70"/>
        <v>#N/A</v>
      </c>
      <c r="FU14" t="str">
        <f>IF(FT14="","",COUNTIFS(FT$4:FT$40,"&lt;"&amp;FT14,FT$4:FT$40,"&lt;&gt;"&amp;"")+COUNTIF(FT$4:FT14,FT14))</f>
        <v/>
      </c>
      <c r="FV14" t="str">
        <f t="shared" si="71"/>
        <v/>
      </c>
      <c r="FW14" s="137">
        <f>FW13+IF(AND(FV14&lt;&gt;"",COUNTIF(FV$4:FV14,FV14)=1),1,0)</f>
        <v>2</v>
      </c>
      <c r="FX14" t="str">
        <f t="shared" si="72"/>
        <v/>
      </c>
    </row>
    <row r="15" spans="1:180" x14ac:dyDescent="0.25">
      <c r="A15">
        <f>IF('Final Calculation Sheet'!$F$15="","",'Final Calculation Sheet'!$F$15)</f>
        <v>2008</v>
      </c>
      <c r="B15" s="137">
        <f>IF(A15="","",COUNTIFS(A$4:A$114,"&lt;"&amp;A15,A$4:A$114,"&lt;&gt;"&amp;"")+COUNTIF(A$4:A15,A15))</f>
        <v>12</v>
      </c>
      <c r="C15" s="137">
        <f t="shared" si="0"/>
        <v>2008</v>
      </c>
      <c r="D15" s="137">
        <f>D14+IF(AND(C15&lt;&gt;"",COUNTIF(C$4:C15,C15)=1),1,0)</f>
        <v>12</v>
      </c>
      <c r="E15" t="e">
        <f t="shared" si="1"/>
        <v>#N/A</v>
      </c>
      <c r="F15">
        <f t="shared" si="2"/>
        <v>12</v>
      </c>
      <c r="G15" s="137">
        <f>IF(F15="","",COUNTIFS(F$4:F$40,"&lt;"&amp;F15,F$4:F$40,"&lt;&gt;"&amp;"")+COUNTIF(F$4:F15,F15))</f>
        <v>12</v>
      </c>
      <c r="H15" s="137">
        <f t="shared" si="3"/>
        <v>12</v>
      </c>
      <c r="I15" s="137">
        <f>I14+IF(AND(H15&lt;&gt;"",COUNTIF(H$4:H15,H15)=1),1,0)</f>
        <v>12</v>
      </c>
      <c r="J15">
        <f t="shared" si="4"/>
        <v>12</v>
      </c>
      <c r="K15">
        <f>IF('Final Calculation Sheet'!$F$15="","",'Final Calculation Sheet'!$F$15)</f>
        <v>2008</v>
      </c>
      <c r="L15" s="137">
        <f>IF(K15="","",COUNTIFS(K$4:K$40,"&lt;"&amp;K15,K$4:K$40,"&lt;&gt;"&amp;"")+COUNTIF(K$4:K15,K15))</f>
        <v>12</v>
      </c>
      <c r="M15" s="137">
        <f t="shared" si="5"/>
        <v>2008</v>
      </c>
      <c r="N15" s="137">
        <f>N14+IF(AND(M15&lt;&gt;"",COUNTIF(M$4:M15,M15)=1),1,0)</f>
        <v>12</v>
      </c>
      <c r="O15">
        <f t="shared" si="6"/>
        <v>2008</v>
      </c>
      <c r="P15" t="str">
        <f>IF('Final Calculation Sheet'!$G$15="","",'Final Calculation Sheet'!$G$15)</f>
        <v>HIND TRADERS</v>
      </c>
      <c r="Q15" s="137">
        <f>IF(P15="","",COUNTIFS(P$4:P$40,"&lt;"&amp;P15,P$4:P$40,"&lt;&gt;"&amp;"")+COUNTIF(P$4:P15,P15))</f>
        <v>4</v>
      </c>
      <c r="R15" t="str">
        <f t="shared" si="7"/>
        <v>NATIONAL ENTERPRISES</v>
      </c>
      <c r="S15" s="137">
        <f>S14+IF(AND(R15&lt;&gt;"",COUNTIF(R$4:R15,R15)=1),1,0)</f>
        <v>6</v>
      </c>
      <c r="T15" t="str">
        <f t="shared" si="8"/>
        <v>STERLING ENTERPRISES</v>
      </c>
      <c r="U15" t="str">
        <f>IF('Final Calculation Sheet'!$B$15="","",'Final Calculation Sheet'!$B$15)</f>
        <v>Scrap of empty oil Druam</v>
      </c>
      <c r="V15" s="137">
        <f>IF(U15="","",COUNTIFS(U$4:U$40,"&lt;"&amp;U15,U$4:U$40,"&lt;&gt;"&amp;"")+COUNTIF(U$4:U15,U15))</f>
        <v>31</v>
      </c>
      <c r="W15" t="str">
        <f t="shared" si="9"/>
        <v>Scrap of 132 KV CT</v>
      </c>
      <c r="X15" s="137">
        <f>X14+IF(AND(W15&lt;&gt;"",COUNTIF(W$4:W15,W15)=1),1,0)</f>
        <v>6</v>
      </c>
      <c r="Y15" t="str">
        <f t="shared" si="10"/>
        <v>Scrap of 33 KV CB</v>
      </c>
      <c r="Z15">
        <f>IF('Final Calculation Sheet'!$D$15="","",'Final Calculation Sheet'!$D$15)</f>
        <v>21977</v>
      </c>
      <c r="AA15" s="137">
        <f>IF(Z15="","",COUNTIFS(Z$4:Z$40,"&lt;"&amp;Z15,Z$4:Z$40,"&lt;&gt;"&amp;"")+COUNTIF(Z$4:Z15,Z15))</f>
        <v>10</v>
      </c>
      <c r="AB15" s="137">
        <f t="shared" si="11"/>
        <v>21978</v>
      </c>
      <c r="AC15" s="137">
        <f>AC14+IF(AND(AB15&lt;&gt;"",COUNTIF(AB$4:AB15,AB15)=1),1,0)</f>
        <v>2</v>
      </c>
      <c r="AD15" t="str">
        <f t="shared" si="12"/>
        <v/>
      </c>
      <c r="AE15">
        <f>IF('Final Calculation Sheet'!$A$15="","",'Final Calculation Sheet'!$A$15)</f>
        <v>250</v>
      </c>
      <c r="AF15" s="137">
        <f>IF(AE15="","",COUNTIFS(AE$4:AE$40,"&lt;"&amp;AE15,AE$4:AE$40,"&lt;&gt;"&amp;"")+COUNTIF(AE$4:AE15,AE15))</f>
        <v>30</v>
      </c>
      <c r="AG15" s="137">
        <f t="shared" si="13"/>
        <v>2</v>
      </c>
      <c r="AH15" s="137">
        <f>AH14+IF(AND(AG15&lt;&gt;"",COUNTIF(AG$4:AG15,AG15)=1),1,0)</f>
        <v>2</v>
      </c>
      <c r="AI15">
        <f t="shared" si="14"/>
        <v>90</v>
      </c>
      <c r="AJ15" t="str">
        <f>IF('Final Calculation Sheet'!$E$15="","",'Final Calculation Sheet'!$E$15)</f>
        <v>NO</v>
      </c>
      <c r="AK15" s="137">
        <f>IF(AJ15="","",COUNTIFS(AJ$4:AJ$40,"&lt;"&amp;AJ15,AJ$4:AJ$40,"&lt;&gt;"&amp;"")+COUNTIF(AJ$4:AJ15,AJ15))</f>
        <v>15</v>
      </c>
      <c r="AL15" t="str">
        <f t="shared" si="15"/>
        <v>NO</v>
      </c>
      <c r="AM15" s="137">
        <f>AM14+IF(AND(AL15&lt;&gt;"",COUNTIF(AL$4:AL15,AL15)=1),1,0)</f>
        <v>3</v>
      </c>
      <c r="AN15" t="str">
        <f t="shared" si="16"/>
        <v/>
      </c>
      <c r="AO15" s="55">
        <f>IF('Final Calculation Sheet'!$C$15="","",'Final Calculation Sheet'!$C$15)</f>
        <v>543</v>
      </c>
      <c r="AP15" s="137">
        <f>IF(AO15="","",COUNTIFS(AO$4:AO$40,"&lt;"&amp;AO15,AO$4:AO$40,"&lt;&gt;"&amp;"")+COUNTIF(AO$4:AO15,AO15))</f>
        <v>7</v>
      </c>
      <c r="AQ15" s="55">
        <f t="shared" si="17"/>
        <v>700</v>
      </c>
      <c r="AR15" s="137">
        <f>AR14+IF(AND(AQ15&lt;&gt;"",COUNTIF(AQ$4:AQ15,AQ15)=1),1,0)</f>
        <v>10</v>
      </c>
      <c r="AS15" s="55">
        <f t="shared" si="18"/>
        <v>710</v>
      </c>
      <c r="AT15" s="55">
        <f>IF('Final Calculation Sheet'!$H$15="","",'Final Calculation Sheet'!$H$15)</f>
        <v>135750</v>
      </c>
      <c r="AU15" s="137">
        <f>IF(AT15="","",COUNTIFS(AT$4:AT$40,"&lt;"&amp;AT15,AT$4:AT$40,"&lt;&gt;"&amp;"")+COUNTIF(AT$4:AT15,AT15))</f>
        <v>18</v>
      </c>
      <c r="AV15" s="55">
        <f t="shared" si="19"/>
        <v>65007</v>
      </c>
      <c r="AW15" s="137">
        <f>AW14+IF(AND(AV15&lt;&gt;"",COUNTIF(AV$4:AV15,AV15)=1),1,0)</f>
        <v>12</v>
      </c>
      <c r="AX15" s="55">
        <f t="shared" si="20"/>
        <v>65007</v>
      </c>
      <c r="AY15" s="55">
        <f>IF('Final Calculation Sheet'!$I$15="","",'Final Calculation Sheet'!$I$15)</f>
        <v>24435</v>
      </c>
      <c r="AZ15" s="137">
        <f>IF(AY15="","",COUNTIFS(AY$4:AY$40,"&lt;"&amp;AY15,AY$4:AY$40,"&lt;&gt;"&amp;"")+COUNTIF(AY$4:AY15,AY15))</f>
        <v>18</v>
      </c>
      <c r="BA15" s="55">
        <f t="shared" si="21"/>
        <v>11701</v>
      </c>
      <c r="BB15" s="137">
        <f>BB14+IF(AND(BA15&lt;&gt;"",COUNTIF(BA$4:BA15,BA15)=1),1,0)</f>
        <v>12</v>
      </c>
      <c r="BC15" s="55">
        <f t="shared" si="22"/>
        <v>11701</v>
      </c>
      <c r="BD15" s="55">
        <f>IF('Final Calculation Sheet'!$J$15="","",'Final Calculation Sheet'!$J$15)</f>
        <v>160185</v>
      </c>
      <c r="BE15" s="137">
        <f>IF(BD15="","",COUNTIFS(BD$4:BD$40,"&lt;"&amp;BD15,BD$4:BD$40,"&lt;&gt;"&amp;"")+COUNTIF(BD$4:BD15,BD15))</f>
        <v>18</v>
      </c>
      <c r="BF15" s="55">
        <f t="shared" si="23"/>
        <v>76708</v>
      </c>
      <c r="BG15" s="137">
        <f>BG14+IF(AND(BF15&lt;&gt;"",COUNTIF(BF$4:BF15,BF15)=1),1,0)</f>
        <v>12</v>
      </c>
      <c r="BH15" s="55">
        <f t="shared" si="24"/>
        <v>76708</v>
      </c>
      <c r="BI15" s="55">
        <f>IF('Final Calculation Sheet'!$K$15="","",'Final Calculation Sheet'!$K$15)</f>
        <v>3204</v>
      </c>
      <c r="BJ15" s="137">
        <f>IF(BI15="","",COUNTIFS(BI$4:BI$40,"&lt;"&amp;BI15,BI$4:BI$40,"&lt;&gt;"&amp;"")+COUNTIF(BI$4:BI15,BI15))</f>
        <v>18</v>
      </c>
      <c r="BK15" s="55">
        <f t="shared" si="25"/>
        <v>1534</v>
      </c>
      <c r="BL15" s="137">
        <f>BL14+IF(AND(BK15&lt;&gt;"",COUNTIF(BK$4:BK15,BK15)=1),1,0)</f>
        <v>12</v>
      </c>
      <c r="BM15" s="55">
        <f t="shared" si="26"/>
        <v>1534</v>
      </c>
      <c r="BN15" s="55">
        <f>IF('Final Calculation Sheet'!$L$15="","",'Final Calculation Sheet'!$L$15)</f>
        <v>135.75</v>
      </c>
      <c r="BO15" s="137">
        <f>IF(BN15="","",COUNTIFS(BN$4:BN$40,"&lt;"&amp;BN15,BN$4:BN$40,"&lt;&gt;"&amp;"")+COUNTIF(BN$4:BN15,BN15))</f>
        <v>18</v>
      </c>
      <c r="BP15" s="55">
        <f t="shared" si="27"/>
        <v>65.007000000000005</v>
      </c>
      <c r="BQ15" s="137">
        <f>BQ14+IF(AND(BP15&lt;&gt;"",COUNTIF(BP$4:BP15,BP15)=1),1,0)</f>
        <v>12</v>
      </c>
      <c r="BR15" s="55">
        <f t="shared" si="28"/>
        <v>65.007000000000005</v>
      </c>
      <c r="BS15" s="55">
        <f>IF('Final Calculation Sheet'!$M$15="","",'Final Calculation Sheet'!$M$15)</f>
        <v>3604.1624999999999</v>
      </c>
      <c r="BT15" s="137">
        <f>IF(BS15="","",COUNTIFS(BS$4:BS$40,"&lt;"&amp;BS15,BS$4:BS$40,"&lt;&gt;"&amp;"")+COUNTIF(BS$4:BS15,BS15))</f>
        <v>18</v>
      </c>
      <c r="BU15" s="55">
        <f t="shared" si="29"/>
        <v>1725.9358499999998</v>
      </c>
      <c r="BV15" s="137">
        <f>BV14+IF(AND(BU15&lt;&gt;"",COUNTIF(BU$4:BU15,BU15)=1),1,0)</f>
        <v>12</v>
      </c>
      <c r="BW15" s="55">
        <f t="shared" si="30"/>
        <v>1725.9358499999998</v>
      </c>
      <c r="BX15" s="138">
        <f>IF('Final Calculation Sheet'!$N$15="","",'Final Calculation Sheet'!$N$15)</f>
        <v>61.087499999999999</v>
      </c>
      <c r="BY15" s="137">
        <f>IF(BX15="","",COUNTIFS(BX$4:BX$40,"&lt;"&amp;BX15,BX$4:BX$40,"&lt;&gt;"&amp;"")+COUNTIF(BX$4:BX15,BX15))</f>
        <v>18</v>
      </c>
      <c r="BZ15" s="138">
        <f t="shared" si="31"/>
        <v>29.253150000000002</v>
      </c>
      <c r="CA15" s="137">
        <f>CA14+IF(AND(BZ15&lt;&gt;"",COUNTIF(BZ$4:BZ15,BZ15)=1),1,0)</f>
        <v>12</v>
      </c>
      <c r="CB15" s="138">
        <f t="shared" si="32"/>
        <v>29.253150000000002</v>
      </c>
      <c r="CC15" s="55">
        <f>IF('Final Calculation Sheet'!$O$15="","",'Final Calculation Sheet'!$O$15)</f>
        <v>3543.0749999999998</v>
      </c>
      <c r="CD15" s="137">
        <f>IF(CC15="","",COUNTIFS(CC$4:CC$40,"&lt;"&amp;CC15,CC$4:CC$40,"&lt;&gt;"&amp;"")+COUNTIF(CC$4:CC15,CC15))</f>
        <v>18</v>
      </c>
      <c r="CE15" s="55">
        <f t="shared" si="33"/>
        <v>1696.6826999999998</v>
      </c>
      <c r="CF15" s="137">
        <f>CF14+IF(AND(CE15&lt;&gt;"",COUNTIF(CE$4:CE15,CE15)=1),1,0)</f>
        <v>12</v>
      </c>
      <c r="CG15" s="55">
        <f t="shared" si="34"/>
        <v>1696.6826999999998</v>
      </c>
      <c r="CH15" s="55">
        <f>IF('Final Calculation Sheet'!$P$15="","",'Final Calculation Sheet'!$P$15)</f>
        <v>3679</v>
      </c>
      <c r="CI15" s="137">
        <f>IF(CH15="","",COUNTIFS(CH$4:CH$40,"&lt;"&amp;CH15,CH$4:CH$40,"&lt;&gt;"&amp;"")+COUNTIF(CH$4:CH15,CH15))</f>
        <v>18</v>
      </c>
      <c r="CJ15" s="55">
        <f t="shared" si="35"/>
        <v>1762</v>
      </c>
      <c r="CK15" s="137">
        <f>CK14+IF(AND(CJ15&lt;&gt;"",COUNTIF(CJ$4:CJ15,CJ15)=1),1,0)</f>
        <v>12</v>
      </c>
      <c r="CL15" s="55">
        <f t="shared" si="36"/>
        <v>1762</v>
      </c>
      <c r="CM15" s="139">
        <f>IF('Final Calculation Sheet'!$Q$15="","",'Final Calculation Sheet'!$Q$15)</f>
        <v>0</v>
      </c>
      <c r="CN15" s="137">
        <f>IF(CM15="","",COUNTIFS(CM$4:CM$40,"&lt;"&amp;CM15,CM$4:CM$40,"&lt;&gt;"&amp;"")+COUNTIF(CM$4:CM15,CM15))</f>
        <v>10</v>
      </c>
      <c r="CO15" s="139">
        <f t="shared" si="37"/>
        <v>0</v>
      </c>
      <c r="CP15" s="137">
        <f>CP14+IF(AND(CO15&lt;&gt;"",COUNTIF(CO$4:CO15,CO15)=1),1,0)</f>
        <v>1</v>
      </c>
      <c r="CQ15" t="str">
        <f t="shared" si="38"/>
        <v/>
      </c>
      <c r="CR15" s="55">
        <f>IF('Final Calculation Sheet'!$R$15="","",'Final Calculation Sheet'!$R$15)</f>
        <v>0</v>
      </c>
      <c r="CS15" s="137">
        <f>IF(CR15="","",COUNTIFS(CR$4:CR$40,"&lt;"&amp;CR15,CR$4:CR$40,"&lt;&gt;"&amp;"")+COUNTIF(CR$4:CR15,CR15))</f>
        <v>10</v>
      </c>
      <c r="CT15" s="55">
        <f t="shared" si="39"/>
        <v>0</v>
      </c>
      <c r="CU15" s="137">
        <f>CU14+IF(AND(CT15&lt;&gt;"",COUNTIF(CT$4:CT15,CT15)=1),1,0)</f>
        <v>1</v>
      </c>
      <c r="CV15" t="str">
        <f t="shared" si="40"/>
        <v/>
      </c>
      <c r="CW15" s="55">
        <f>IF('Final Calculation Sheet'!$S$15="","",'Final Calculation Sheet'!$S$15)</f>
        <v>159710</v>
      </c>
      <c r="CX15" s="137">
        <f>IF(CW15="","",COUNTIFS(CW$4:CW$40,"&lt;"&amp;CW15,CW$4:CW$40,"&lt;&gt;"&amp;"")+COUNTIF(CW$4:CW15,CW15))</f>
        <v>18</v>
      </c>
      <c r="CY15" s="55">
        <f t="shared" si="41"/>
        <v>76481</v>
      </c>
      <c r="CZ15" s="137">
        <f>CZ14+IF(AND(CY15&lt;&gt;"",COUNTIF(CY$4:CY15,CY15)=1),1,0)</f>
        <v>12</v>
      </c>
      <c r="DA15" s="55">
        <f t="shared" si="42"/>
        <v>76481</v>
      </c>
      <c r="DB15" s="55">
        <f>IF('Final Calculation Sheet'!$T$15="","",'Final Calculation Sheet'!$T$15)</f>
        <v>33938</v>
      </c>
      <c r="DC15" s="137">
        <f>IF(DB15="","",COUNTIFS(DB$4:DB$40,"&lt;"&amp;DB15,DB$4:DB$40,"&lt;&gt;"&amp;"")+COUNTIF(DB$4:DB15,DB15))</f>
        <v>18</v>
      </c>
      <c r="DD15" s="55">
        <f t="shared" si="43"/>
        <v>16252</v>
      </c>
      <c r="DE15" s="137">
        <f>DE14+IF(AND(DD15&lt;&gt;"",COUNTIF(DD$4:DD15,DD15)=1),1,0)</f>
        <v>12</v>
      </c>
      <c r="DF15" s="55">
        <f t="shared" si="44"/>
        <v>16252</v>
      </c>
      <c r="DG15" s="140">
        <f>IF('Final Calculation Sheet'!$U$15="","",'Final Calculation Sheet'!$U$15)</f>
        <v>33938</v>
      </c>
      <c r="DH15" s="137">
        <f>IF(DG15="","",COUNTIFS(DG$4:DG$40,"&lt;"&amp;DG15,DG$4:DG$40,"&lt;&gt;"&amp;"")+COUNTIF(DG$4:DG15,DG15))</f>
        <v>18</v>
      </c>
      <c r="DI15" s="140">
        <f t="shared" si="45"/>
        <v>16252</v>
      </c>
      <c r="DJ15" s="137">
        <f>DJ14+IF(AND(DI15&lt;&gt;"",COUNTIF(DI$4:DI15,DI15)=1),1,0)</f>
        <v>12</v>
      </c>
      <c r="DK15" s="140">
        <f t="shared" si="46"/>
        <v>16252</v>
      </c>
      <c r="DL15" t="str">
        <f>IF('Final Calculation Sheet'!$V$15="","",'Final Calculation Sheet'!$V$15)</f>
        <v>14.08.2026</v>
      </c>
      <c r="DM15" s="137">
        <f>IF(DL15="","",COUNTIFS(DL$4:DL$40,"&lt;"&amp;DL15,DL$4:DL$40,"&lt;&gt;"&amp;"")+COUNTIF(DL$4:DL15,DL15))</f>
        <v>28</v>
      </c>
      <c r="DN15" t="str">
        <f t="shared" si="47"/>
        <v>13.08.2026</v>
      </c>
      <c r="DO15" s="137">
        <f>DO14+IF(AND(DN15&lt;&gt;"",COUNTIF(DN$4:DN15,DN15)=1),1,0)</f>
        <v>3</v>
      </c>
      <c r="DP15" t="str">
        <f t="shared" si="48"/>
        <v/>
      </c>
      <c r="DQ15" s="55">
        <f>IF('Final Calculation Sheet'!$W$15="","",'Final Calculation Sheet'!$W$15)</f>
        <v>125772</v>
      </c>
      <c r="DR15" s="137">
        <f>IF(DQ15="","",COUNTIFS(DQ$4:DQ$40,"&lt;"&amp;DQ15,DQ$4:DQ$40,"&lt;&gt;"&amp;"")+COUNTIF(DQ$4:DQ15,DQ15))</f>
        <v>18</v>
      </c>
      <c r="DS15" s="55">
        <f t="shared" si="49"/>
        <v>60229</v>
      </c>
      <c r="DT15" s="137">
        <f>DT14+IF(AND(DS15&lt;&gt;"",COUNTIF(DS$4:DS15,DS15)=1),1,0)</f>
        <v>12</v>
      </c>
      <c r="DU15" s="55">
        <f t="shared" si="50"/>
        <v>60229</v>
      </c>
      <c r="DV15" s="55">
        <f>IF('Final Calculation Sheet'!$X$15="","",'Final Calculation Sheet'!$X$15)</f>
        <v>125772</v>
      </c>
      <c r="DW15" s="137">
        <f>IF(DV15="","",COUNTIFS(DV$4:DV$40,"&lt;"&amp;DV15,DV$4:DV$40,"&lt;&gt;"&amp;"")+COUNTIF(DV$4:DV15,DV15))</f>
        <v>17</v>
      </c>
      <c r="DX15" s="55">
        <f t="shared" si="51"/>
        <v>64859</v>
      </c>
      <c r="DY15" s="137">
        <f>DY14+IF(AND(DX15&lt;&gt;"",COUNTIF(DX$4:DX15,DX15)=1),1,0)</f>
        <v>12</v>
      </c>
      <c r="DZ15" t="e">
        <f t="shared" si="52"/>
        <v>#N/A</v>
      </c>
      <c r="EA15" t="str">
        <f>IF('Final Calculation Sheet'!$Y$15="","",'Final Calculation Sheet'!$Y$15)</f>
        <v>18.08.2026</v>
      </c>
      <c r="EB15" s="137">
        <f>IF(EA15="","",COUNTIFS(EA$4:EA$40,"&lt;"&amp;EA15,EA$4:EA$40,"&lt;&gt;"&amp;"")+COUNTIF(EA$4:EA15,EA15))</f>
        <v>13</v>
      </c>
      <c r="EC15" t="str">
        <f t="shared" si="53"/>
        <v>18.08.2026</v>
      </c>
      <c r="ED15" s="137">
        <f>ED14+IF(AND(EC15&lt;&gt;"",COUNTIF(EC$4:EC15,EC15)=1),1,0)</f>
        <v>6</v>
      </c>
      <c r="EE15" t="e">
        <f t="shared" si="54"/>
        <v>#N/A</v>
      </c>
      <c r="EF15" s="55">
        <f ca="1">IF('Final Calculation Sheet'!$Z$15="","",'Final Calculation Sheet'!$Z$15)</f>
        <v>0</v>
      </c>
      <c r="EG15" s="137">
        <f ca="1">IF(EF15="","",COUNTIFS(EF$4:EF$40,"&lt;"&amp;EF15,EF$4:EF$40,"&lt;&gt;"&amp;"")+COUNTIF(EF$4:EF15,EF15))</f>
        <v>12</v>
      </c>
      <c r="EH15" s="55">
        <f t="shared" ca="1" si="55"/>
        <v>0</v>
      </c>
      <c r="EI15" s="137">
        <f ca="1">EI14+IF(AND(EH15&lt;&gt;"",COUNTIF(EH$4:EH15,EH15)=1),1,0)</f>
        <v>1</v>
      </c>
      <c r="EJ15" t="str">
        <f t="shared" ca="1" si="56"/>
        <v/>
      </c>
      <c r="EK15" t="str">
        <f>IF('Final Calculation Sheet'!$AA$15="","",'Final Calculation Sheet'!$AA$15)</f>
        <v/>
      </c>
      <c r="EL15" t="str">
        <f>IF(EK15="","",COUNTIFS(EK$4:EK$40,"&lt;"&amp;EK15,EK$4:EK$40,"&lt;&gt;"&amp;"")+COUNTIF(EK$4:EK15,EK15))</f>
        <v/>
      </c>
      <c r="EM15" s="137" t="e">
        <f t="shared" si="57"/>
        <v>#N/A</v>
      </c>
      <c r="EN15" s="137" t="e">
        <f>EN14+IF(AND(EM15&lt;&gt;"",COUNTIF(EM$4:EM15,EM15)=1),1,0)</f>
        <v>#N/A</v>
      </c>
      <c r="EO15" t="e">
        <f t="shared" si="58"/>
        <v>#N/A</v>
      </c>
      <c r="EP15" t="str">
        <f>IF('Final Calculation Sheet'!$AB$15="","",'Final Calculation Sheet'!$AB$15)</f>
        <v/>
      </c>
      <c r="EQ15" t="str">
        <f>IF(EP15="","",COUNTIFS(EP$4:EP$40,"&lt;"&amp;EP15,EP$4:EP$40,"&lt;&gt;"&amp;"")+COUNTIF(EP$4:EP15,EP15))</f>
        <v/>
      </c>
      <c r="ER15" s="137" t="e">
        <f t="shared" si="59"/>
        <v>#N/A</v>
      </c>
      <c r="ES15" s="137" t="e">
        <f>ES14+IF(AND(ER15&lt;&gt;"",COUNTIF(ER$4:ER15,ER15)=1),1,0)</f>
        <v>#N/A</v>
      </c>
      <c r="ET15" t="e">
        <f t="shared" si="60"/>
        <v>#N/A</v>
      </c>
      <c r="EU15" s="55">
        <f>IF('Final Calculation Sheet'!$AC$15="","",'Final Calculation Sheet'!$AC$15)</f>
        <v>159710</v>
      </c>
      <c r="EV15" s="137">
        <f>IF(EU15="","",COUNTIFS(EU$4:EU$40,"&lt;"&amp;EU15,EU$4:EU$40,"&lt;&gt;"&amp;"")+COUNTIF(EU$4:EU15,EU15))</f>
        <v>20</v>
      </c>
      <c r="EW15" s="55">
        <f t="shared" si="61"/>
        <v>74168</v>
      </c>
      <c r="EX15" s="137">
        <f>EX14+IF(AND(EW15&lt;&gt;"",COUNTIF(EW$4:EW15,EW15)=1),1,0)</f>
        <v>12</v>
      </c>
      <c r="EY15" s="55">
        <f t="shared" si="62"/>
        <v>74168</v>
      </c>
      <c r="EZ15" s="55">
        <f>IF('Final Calculation Sheet'!$AD$15="","",'Final Calculation Sheet'!$AD$15)</f>
        <v>0</v>
      </c>
      <c r="FA15" s="137">
        <f>IF(EZ15="","",COUNTIFS(EZ$4:EZ$40,"&lt;"&amp;EZ15,EZ$4:EZ$40,"&lt;&gt;"&amp;"")+COUNTIF(EZ$4:EZ15,EZ15))</f>
        <v>14</v>
      </c>
      <c r="FB15" s="55">
        <f t="shared" si="63"/>
        <v>0</v>
      </c>
      <c r="FC15" s="137" t="e">
        <f>FC14+IF(AND(FB15&lt;&gt;"",COUNTIF(FB$4:FB15,FB15)=1),1,0)</f>
        <v>#N/A</v>
      </c>
      <c r="FD15" t="e">
        <f t="shared" si="64"/>
        <v>#N/A</v>
      </c>
      <c r="FE15" t="str">
        <f>IF('Final Calculation Sheet'!$AE$15="","",'Final Calculation Sheet'!$AE$15)</f>
        <v>DR2640100026</v>
      </c>
      <c r="FF15" s="137">
        <f>IF(FE15="","",COUNTIFS(FE$4:FE$40,"&lt;"&amp;FE15,FE$4:FE$40,"&lt;&gt;"&amp;"")+COUNTIF(FE$4:FE15,FE15))</f>
        <v>15</v>
      </c>
      <c r="FG15" t="str">
        <f t="shared" si="65"/>
        <v>DR2640100023</v>
      </c>
      <c r="FH15" s="137" t="e">
        <f>FH14+IF(AND(FG15&lt;&gt;"",COUNTIF(FG$4:FG15,FG15)=1),1,0)</f>
        <v>#N/A</v>
      </c>
      <c r="FI15" t="e">
        <f t="shared" si="66"/>
        <v>#N/A</v>
      </c>
      <c r="FJ15" s="141">
        <f>IF('Final Calculation Sheet'!$AF$15="","",'Final Calculation Sheet'!$AF$15)</f>
        <v>1800003247</v>
      </c>
      <c r="FK15" s="137">
        <f>IF(FJ15="","",COUNTIFS(FJ$4:FJ$40,"&lt;"&amp;FJ15,FJ$4:FJ$40,"&lt;&gt;"&amp;"")+COUNTIF(FJ$4:FJ15,FJ15))</f>
        <v>10</v>
      </c>
      <c r="FL15" s="141">
        <f t="shared" si="67"/>
        <v>1800003269</v>
      </c>
      <c r="FM15" s="137">
        <f>FM14+IF(AND(FL15&lt;&gt;"",COUNTIF(FL$4:FL15,FL15)=1),1,0)</f>
        <v>12</v>
      </c>
      <c r="FN15" t="e">
        <f t="shared" si="68"/>
        <v>#N/A</v>
      </c>
      <c r="FO15" t="str">
        <f>IF('Final Calculation Sheet'!$AG$15="","",'Final Calculation Sheet'!$AG$15)</f>
        <v>20.08.2026</v>
      </c>
      <c r="FP15" s="137">
        <f>IF(FO15="","",COUNTIFS(FO$4:FO$40,"&lt;"&amp;FO15,FO$4:FO$40,"&lt;&gt;"&amp;"")+COUNTIF(FO$4:FO15,FO15))</f>
        <v>15</v>
      </c>
      <c r="FQ15" t="str">
        <f t="shared" si="69"/>
        <v>17.08.2026</v>
      </c>
      <c r="FR15" s="137" t="e">
        <f>FR14+IF(AND(FQ15&lt;&gt;"",COUNTIF(FQ$4:FQ15,FQ15)=1),1,0)</f>
        <v>#N/A</v>
      </c>
      <c r="FS15" t="e">
        <f t="shared" si="70"/>
        <v>#N/A</v>
      </c>
      <c r="FU15" t="str">
        <f>IF(FT15="","",COUNTIFS(FT$4:FT$40,"&lt;"&amp;FT15,FT$4:FT$40,"&lt;&gt;"&amp;"")+COUNTIF(FT$4:FT15,FT15))</f>
        <v/>
      </c>
      <c r="FV15" t="str">
        <f t="shared" si="71"/>
        <v/>
      </c>
      <c r="FW15" s="137">
        <f>FW14+IF(AND(FV15&lt;&gt;"",COUNTIF(FV$4:FV15,FV15)=1),1,0)</f>
        <v>2</v>
      </c>
      <c r="FX15" t="str">
        <f t="shared" si="72"/>
        <v/>
      </c>
    </row>
    <row r="16" spans="1:180" x14ac:dyDescent="0.25">
      <c r="A16">
        <f>IF('Final Calculation Sheet'!$F$16="","",'Final Calculation Sheet'!$F$16)</f>
        <v>2011</v>
      </c>
      <c r="B16" s="137">
        <f>IF(A16="","",COUNTIFS(A$4:A$114,"&lt;"&amp;A16,A$4:A$114,"&lt;&gt;"&amp;"")+COUNTIF(A$4:A16,A16))</f>
        <v>13</v>
      </c>
      <c r="C16" s="137">
        <f t="shared" si="0"/>
        <v>2011</v>
      </c>
      <c r="D16" s="137">
        <f>D15+IF(AND(C16&lt;&gt;"",COUNTIF(C$4:C16,C16)=1),1,0)</f>
        <v>13</v>
      </c>
      <c r="E16" t="e">
        <f t="shared" si="1"/>
        <v>#N/A</v>
      </c>
      <c r="F16">
        <f t="shared" si="2"/>
        <v>13</v>
      </c>
      <c r="G16" s="137">
        <f>IF(F16="","",COUNTIFS(F$4:F$40,"&lt;"&amp;F16,F$4:F$40,"&lt;&gt;"&amp;"")+COUNTIF(F$4:F16,F16))</f>
        <v>13</v>
      </c>
      <c r="H16" s="137">
        <f t="shared" si="3"/>
        <v>13</v>
      </c>
      <c r="I16" s="137">
        <f>I15+IF(AND(H16&lt;&gt;"",COUNTIF(H$4:H16,H16)=1),1,0)</f>
        <v>13</v>
      </c>
      <c r="J16">
        <f t="shared" si="4"/>
        <v>13</v>
      </c>
      <c r="K16">
        <f>IF('Final Calculation Sheet'!$F$16="","",'Final Calculation Sheet'!$F$16)</f>
        <v>2011</v>
      </c>
      <c r="L16" s="137">
        <f>IF(K16="","",COUNTIFS(K$4:K$40,"&lt;"&amp;K16,K$4:K$40,"&lt;&gt;"&amp;"")+COUNTIF(K$4:K16,K16))</f>
        <v>13</v>
      </c>
      <c r="M16" s="137">
        <f t="shared" si="5"/>
        <v>2011</v>
      </c>
      <c r="N16" s="137">
        <f>N15+IF(AND(M16&lt;&gt;"",COUNTIF(M$4:M16,M16)=1),1,0)</f>
        <v>13</v>
      </c>
      <c r="O16">
        <f t="shared" si="6"/>
        <v>2011</v>
      </c>
      <c r="P16" t="str">
        <f>IF('Final Calculation Sheet'!$G$16="","",'Final Calculation Sheet'!$G$16)</f>
        <v>STERLING ENTERPRISES</v>
      </c>
      <c r="Q16" s="137">
        <f>IF(P16="","",COUNTIFS(P$4:P$40,"&lt;"&amp;P16,P$4:P$40,"&lt;&gt;"&amp;"")+COUNTIF(P$4:P16,P16))</f>
        <v>29</v>
      </c>
      <c r="R16" t="str">
        <f t="shared" si="7"/>
        <v>NATIONAL ENTERPRISES</v>
      </c>
      <c r="S16" s="137">
        <f>S15+IF(AND(R16&lt;&gt;"",COUNTIF(R$4:R16,R16)=1),1,0)</f>
        <v>6</v>
      </c>
      <c r="T16" t="str">
        <f t="shared" si="8"/>
        <v>WATAN SCRAP TRADERS</v>
      </c>
      <c r="U16" t="str">
        <f>IF('Final Calculation Sheet'!$B$16="","",'Final Calculation Sheet'!$B$16)</f>
        <v>Scrap of empty oil Barrel</v>
      </c>
      <c r="V16" s="137">
        <f>IF(U16="","",COUNTIFS(U$4:U$40,"&lt;"&amp;U16,U$4:U$40,"&lt;&gt;"&amp;"")+COUNTIF(U$4:U16,U16))</f>
        <v>26</v>
      </c>
      <c r="W16" t="str">
        <f t="shared" si="9"/>
        <v>Scrap of 132 KV Wave Trap</v>
      </c>
      <c r="X16" s="137">
        <f>X15+IF(AND(W16&lt;&gt;"",COUNTIF(W$4:W16,W16)=1),1,0)</f>
        <v>7</v>
      </c>
      <c r="Y16" t="str">
        <f t="shared" si="10"/>
        <v>Scrap of 33 KV CT</v>
      </c>
      <c r="Z16">
        <f>IF('Final Calculation Sheet'!$D$16="","",'Final Calculation Sheet'!$D$16)</f>
        <v>21977</v>
      </c>
      <c r="AA16" s="137">
        <f>IF(Z16="","",COUNTIFS(Z$4:Z$40,"&lt;"&amp;Z16,Z$4:Z$40,"&lt;&gt;"&amp;"")+COUNTIF(Z$4:Z16,Z16))</f>
        <v>11</v>
      </c>
      <c r="AB16" s="137">
        <f t="shared" si="11"/>
        <v>21978</v>
      </c>
      <c r="AC16" s="137">
        <f>AC15+IF(AND(AB16&lt;&gt;"",COUNTIF(AB$4:AB16,AB16)=1),1,0)</f>
        <v>2</v>
      </c>
      <c r="AD16" t="str">
        <f t="shared" si="12"/>
        <v/>
      </c>
      <c r="AE16">
        <f>IF('Final Calculation Sheet'!$A$16="","",'Final Calculation Sheet'!$A$16)</f>
        <v>22</v>
      </c>
      <c r="AF16" s="137">
        <f>IF(AE16="","",COUNTIFS(AE$4:AE$40,"&lt;"&amp;AE16,AE$4:AE$40,"&lt;&gt;"&amp;"")+COUNTIF(AE$4:AE16,AE16))</f>
        <v>22</v>
      </c>
      <c r="AG16" s="137">
        <f t="shared" si="13"/>
        <v>3</v>
      </c>
      <c r="AH16" s="137">
        <f>AH15+IF(AND(AG16&lt;&gt;"",COUNTIF(AG$4:AG16,AG16)=1),1,0)</f>
        <v>3</v>
      </c>
      <c r="AI16">
        <f t="shared" si="14"/>
        <v>100</v>
      </c>
      <c r="AJ16" t="str">
        <f>IF('Final Calculation Sheet'!$E$16="","",'Final Calculation Sheet'!$E$16)</f>
        <v>NO</v>
      </c>
      <c r="AK16" s="137">
        <f>IF(AJ16="","",COUNTIFS(AJ$4:AJ$40,"&lt;"&amp;AJ16,AJ$4:AJ$40,"&lt;&gt;"&amp;"")+COUNTIF(AJ$4:AJ16,AJ16))</f>
        <v>16</v>
      </c>
      <c r="AL16" t="str">
        <f t="shared" si="15"/>
        <v>NO</v>
      </c>
      <c r="AM16" s="137">
        <f>AM15+IF(AND(AL16&lt;&gt;"",COUNTIF(AL$4:AL16,AL16)=1),1,0)</f>
        <v>3</v>
      </c>
      <c r="AN16" t="str">
        <f t="shared" si="16"/>
        <v/>
      </c>
      <c r="AO16" s="55">
        <f>IF('Final Calculation Sheet'!$C$16="","",'Final Calculation Sheet'!$C$16)</f>
        <v>700</v>
      </c>
      <c r="AP16" s="137">
        <f>IF(AO16="","",COUNTIFS(AO$4:AO$40,"&lt;"&amp;AO16,AO$4:AO$40,"&lt;&gt;"&amp;"")+COUNTIF(AO$4:AO16,AO16))</f>
        <v>11</v>
      </c>
      <c r="AQ16" s="55">
        <f t="shared" si="17"/>
        <v>702</v>
      </c>
      <c r="AR16" s="137">
        <f>AR15+IF(AND(AQ16&lt;&gt;"",COUNTIF(AQ$4:AQ16,AQ16)=1),1,0)</f>
        <v>11</v>
      </c>
      <c r="AS16" s="55">
        <f t="shared" si="18"/>
        <v>1181</v>
      </c>
      <c r="AT16" s="55">
        <f>IF('Final Calculation Sheet'!$H$16="","",'Final Calculation Sheet'!$H$16)</f>
        <v>15400</v>
      </c>
      <c r="AU16" s="137">
        <f>IF(AT16="","",COUNTIFS(AT$4:AT$40,"&lt;"&amp;AT16,AT$4:AT$40,"&lt;&gt;"&amp;"")+COUNTIF(AT$4:AT16,AT16))</f>
        <v>1</v>
      </c>
      <c r="AV16" s="55">
        <f t="shared" si="19"/>
        <v>70006</v>
      </c>
      <c r="AW16" s="137">
        <f>AW15+IF(AND(AV16&lt;&gt;"",COUNTIF(AV$4:AV16,AV16)=1),1,0)</f>
        <v>13</v>
      </c>
      <c r="AX16" s="55">
        <f t="shared" si="20"/>
        <v>70006</v>
      </c>
      <c r="AY16" s="55">
        <f>IF('Final Calculation Sheet'!$I$16="","",'Final Calculation Sheet'!$I$16)</f>
        <v>2772</v>
      </c>
      <c r="AZ16" s="137">
        <f>IF(AY16="","",COUNTIFS(AY$4:AY$40,"&lt;"&amp;AY16,AY$4:AY$40,"&lt;&gt;"&amp;"")+COUNTIF(AY$4:AY16,AY16))</f>
        <v>1</v>
      </c>
      <c r="BA16" s="55">
        <f t="shared" si="21"/>
        <v>12601</v>
      </c>
      <c r="BB16" s="137">
        <f>BB15+IF(AND(BA16&lt;&gt;"",COUNTIF(BA$4:BA16,BA16)=1),1,0)</f>
        <v>13</v>
      </c>
      <c r="BC16" s="55">
        <f t="shared" si="22"/>
        <v>12601</v>
      </c>
      <c r="BD16" s="55">
        <f>IF('Final Calculation Sheet'!$J$16="","",'Final Calculation Sheet'!$J$16)</f>
        <v>18172</v>
      </c>
      <c r="BE16" s="137">
        <f>IF(BD16="","",COUNTIFS(BD$4:BD$40,"&lt;"&amp;BD16,BD$4:BD$40,"&lt;&gt;"&amp;"")+COUNTIF(BD$4:BD16,BD16))</f>
        <v>1</v>
      </c>
      <c r="BF16" s="55">
        <f t="shared" si="23"/>
        <v>82607</v>
      </c>
      <c r="BG16" s="137">
        <f>BG15+IF(AND(BF16&lt;&gt;"",COUNTIF(BF$4:BF16,BF16)=1),1,0)</f>
        <v>13</v>
      </c>
      <c r="BH16" s="55">
        <f t="shared" si="24"/>
        <v>82607</v>
      </c>
      <c r="BI16" s="55">
        <f>IF('Final Calculation Sheet'!$K$16="","",'Final Calculation Sheet'!$K$16)</f>
        <v>363</v>
      </c>
      <c r="BJ16" s="137">
        <f>IF(BI16="","",COUNTIFS(BI$4:BI$40,"&lt;"&amp;BI16,BI$4:BI$40,"&lt;&gt;"&amp;"")+COUNTIF(BI$4:BI16,BI16))</f>
        <v>1</v>
      </c>
      <c r="BK16" s="55">
        <f t="shared" si="25"/>
        <v>1652</v>
      </c>
      <c r="BL16" s="137">
        <f>BL15+IF(AND(BK16&lt;&gt;"",COUNTIF(BK$4:BK16,BK16)=1),1,0)</f>
        <v>13</v>
      </c>
      <c r="BM16" s="55">
        <f t="shared" si="26"/>
        <v>1652</v>
      </c>
      <c r="BN16" s="55">
        <f>IF('Final Calculation Sheet'!$L$16="","",'Final Calculation Sheet'!$L$16)</f>
        <v>15.4</v>
      </c>
      <c r="BO16" s="137">
        <f>IF(BN16="","",COUNTIFS(BN$4:BN$40,"&lt;"&amp;BN16,BN$4:BN$40,"&lt;&gt;"&amp;"")+COUNTIF(BN$4:BN16,BN16))</f>
        <v>1</v>
      </c>
      <c r="BP16" s="55">
        <f t="shared" si="27"/>
        <v>70.006</v>
      </c>
      <c r="BQ16" s="137">
        <f>BQ15+IF(AND(BP16&lt;&gt;"",COUNTIF(BP$4:BP16,BP16)=1),1,0)</f>
        <v>13</v>
      </c>
      <c r="BR16" s="55">
        <f t="shared" si="28"/>
        <v>70.006</v>
      </c>
      <c r="BS16" s="55">
        <f>IF('Final Calculation Sheet'!$M$16="","",'Final Calculation Sheet'!$M$16)</f>
        <v>408.87</v>
      </c>
      <c r="BT16" s="137">
        <f>IF(BS16="","",COUNTIFS(BS$4:BS$40,"&lt;"&amp;BS16,BS$4:BS$40,"&lt;&gt;"&amp;"")+COUNTIF(BS$4:BS16,BS16))</f>
        <v>1</v>
      </c>
      <c r="BU16" s="55">
        <f t="shared" si="29"/>
        <v>1858.6592999999998</v>
      </c>
      <c r="BV16" s="137">
        <f>BV15+IF(AND(BU16&lt;&gt;"",COUNTIF(BU$4:BU16,BU16)=1),1,0)</f>
        <v>13</v>
      </c>
      <c r="BW16" s="55">
        <f t="shared" si="30"/>
        <v>1858.6592999999998</v>
      </c>
      <c r="BX16" s="138">
        <f>IF('Final Calculation Sheet'!$N$16="","",'Final Calculation Sheet'!$N$16)</f>
        <v>6.93</v>
      </c>
      <c r="BY16" s="137">
        <f>IF(BX16="","",COUNTIFS(BX$4:BX$40,"&lt;"&amp;BX16,BX$4:BX$40,"&lt;&gt;"&amp;"")+COUNTIF(BX$4:BX16,BX16))</f>
        <v>1</v>
      </c>
      <c r="BZ16" s="138">
        <f t="shared" si="31"/>
        <v>31.502700000000001</v>
      </c>
      <c r="CA16" s="137">
        <f>CA15+IF(AND(BZ16&lt;&gt;"",COUNTIF(BZ$4:BZ16,BZ16)=1),1,0)</f>
        <v>13</v>
      </c>
      <c r="CB16" s="138">
        <f t="shared" si="32"/>
        <v>31.502700000000001</v>
      </c>
      <c r="CC16" s="55">
        <f>IF('Final Calculation Sheet'!$O$16="","",'Final Calculation Sheet'!$O$16)</f>
        <v>401.94</v>
      </c>
      <c r="CD16" s="137">
        <f>IF(CC16="","",COUNTIFS(CC$4:CC$40,"&lt;"&amp;CC16,CC$4:CC$40,"&lt;&gt;"&amp;"")+COUNTIF(CC$4:CC16,CC16))</f>
        <v>1</v>
      </c>
      <c r="CE16" s="55">
        <f t="shared" si="33"/>
        <v>1827.1565999999998</v>
      </c>
      <c r="CF16" s="137">
        <f>CF15+IF(AND(CE16&lt;&gt;"",COUNTIF(CE$4:CE16,CE16)=1),1,0)</f>
        <v>13</v>
      </c>
      <c r="CG16" s="55">
        <f t="shared" si="34"/>
        <v>1827.1565999999998</v>
      </c>
      <c r="CH16" s="55">
        <f>IF('Final Calculation Sheet'!$P$16="","",'Final Calculation Sheet'!$P$16)</f>
        <v>417</v>
      </c>
      <c r="CI16" s="137">
        <f>IF(CH16="","",COUNTIFS(CH$4:CH$40,"&lt;"&amp;CH16,CH$4:CH$40,"&lt;&gt;"&amp;"")+COUNTIF(CH$4:CH16,CH16))</f>
        <v>1</v>
      </c>
      <c r="CJ16" s="55">
        <f t="shared" si="35"/>
        <v>1897</v>
      </c>
      <c r="CK16" s="137">
        <f>CK15+IF(AND(CJ16&lt;&gt;"",COUNTIF(CJ$4:CJ16,CJ16)=1),1,0)</f>
        <v>13</v>
      </c>
      <c r="CL16" s="55">
        <f t="shared" si="36"/>
        <v>1897</v>
      </c>
      <c r="CM16" s="139">
        <f>IF('Final Calculation Sheet'!$Q$16="","",'Final Calculation Sheet'!$Q$16)</f>
        <v>0</v>
      </c>
      <c r="CN16" s="137">
        <f>IF(CM16="","",COUNTIFS(CM$4:CM$40,"&lt;"&amp;CM16,CM$4:CM$40,"&lt;&gt;"&amp;"")+COUNTIF(CM$4:CM16,CM16))</f>
        <v>11</v>
      </c>
      <c r="CO16" s="139">
        <f t="shared" si="37"/>
        <v>0</v>
      </c>
      <c r="CP16" s="137">
        <f>CP15+IF(AND(CO16&lt;&gt;"",COUNTIF(CO$4:CO16,CO16)=1),1,0)</f>
        <v>1</v>
      </c>
      <c r="CQ16" t="str">
        <f t="shared" si="38"/>
        <v/>
      </c>
      <c r="CR16" s="55">
        <f>IF('Final Calculation Sheet'!$R$16="","",'Final Calculation Sheet'!$R$16)</f>
        <v>0</v>
      </c>
      <c r="CS16" s="137">
        <f>IF(CR16="","",COUNTIFS(CR$4:CR$40,"&lt;"&amp;CR16,CR$4:CR$40,"&lt;&gt;"&amp;"")+COUNTIF(CR$4:CR16,CR16))</f>
        <v>11</v>
      </c>
      <c r="CT16" s="55">
        <f t="shared" si="39"/>
        <v>0</v>
      </c>
      <c r="CU16" s="137">
        <f>CU15+IF(AND(CT16&lt;&gt;"",COUNTIF(CT$4:CT16,CT16)=1),1,0)</f>
        <v>1</v>
      </c>
      <c r="CV16" t="str">
        <f t="shared" si="40"/>
        <v/>
      </c>
      <c r="CW16" s="55">
        <f>IF('Final Calculation Sheet'!$S$16="","",'Final Calculation Sheet'!$S$16)</f>
        <v>18118</v>
      </c>
      <c r="CX16" s="137">
        <f>IF(CW16="","",COUNTIFS(CW$4:CW$40,"&lt;"&amp;CW16,CW$4:CW$40,"&lt;&gt;"&amp;"")+COUNTIF(CW$4:CW16,CW16))</f>
        <v>1</v>
      </c>
      <c r="CY16" s="55">
        <f t="shared" si="41"/>
        <v>82362</v>
      </c>
      <c r="CZ16" s="137">
        <f>CZ15+IF(AND(CY16&lt;&gt;"",COUNTIF(CY$4:CY16,CY16)=1),1,0)</f>
        <v>13</v>
      </c>
      <c r="DA16" s="55">
        <f t="shared" si="42"/>
        <v>82362</v>
      </c>
      <c r="DB16" s="55">
        <f>IF('Final Calculation Sheet'!$T$16="","",'Final Calculation Sheet'!$T$16)</f>
        <v>3850</v>
      </c>
      <c r="DC16" s="137">
        <f>IF(DB16="","",COUNTIFS(DB$4:DB$40,"&lt;"&amp;DB16,DB$4:DB$40,"&lt;&gt;"&amp;"")+COUNTIF(DB$4:DB16,DB16))</f>
        <v>1</v>
      </c>
      <c r="DD16" s="55">
        <f t="shared" si="43"/>
        <v>17502</v>
      </c>
      <c r="DE16" s="137">
        <f>DE15+IF(AND(DD16&lt;&gt;"",COUNTIF(DD$4:DD16,DD16)=1),1,0)</f>
        <v>13</v>
      </c>
      <c r="DF16" s="55">
        <f t="shared" si="44"/>
        <v>17502</v>
      </c>
      <c r="DG16" s="140">
        <f>IF('Final Calculation Sheet'!$U$16="","",'Final Calculation Sheet'!$U$16)</f>
        <v>3850</v>
      </c>
      <c r="DH16" s="137">
        <f>IF(DG16="","",COUNTIFS(DG$4:DG$40,"&lt;"&amp;DG16,DG$4:DG$40,"&lt;&gt;"&amp;"")+COUNTIF(DG$4:DG16,DG16))</f>
        <v>1</v>
      </c>
      <c r="DI16" s="140">
        <f t="shared" si="45"/>
        <v>17502</v>
      </c>
      <c r="DJ16" s="137">
        <f>DJ15+IF(AND(DI16&lt;&gt;"",COUNTIF(DI$4:DI16,DI16)=1),1,0)</f>
        <v>13</v>
      </c>
      <c r="DK16" s="140">
        <f t="shared" si="46"/>
        <v>17502</v>
      </c>
      <c r="DL16" t="str">
        <f>IF('Final Calculation Sheet'!$V$16="","",'Final Calculation Sheet'!$V$16)</f>
        <v>11.08.2026</v>
      </c>
      <c r="DM16" s="137">
        <f>IF(DL16="","",COUNTIFS(DL$4:DL$40,"&lt;"&amp;DL16,DL$4:DL$40,"&lt;&gt;"&amp;"")+COUNTIF(DL$4:DL16,DL16))</f>
        <v>5</v>
      </c>
      <c r="DN16" t="str">
        <f t="shared" si="47"/>
        <v>13.08.2026</v>
      </c>
      <c r="DO16" s="137">
        <f>DO15+IF(AND(DN16&lt;&gt;"",COUNTIF(DN$4:DN16,DN16)=1),1,0)</f>
        <v>3</v>
      </c>
      <c r="DP16" t="str">
        <f t="shared" si="48"/>
        <v/>
      </c>
      <c r="DQ16" s="55">
        <f>IF('Final Calculation Sheet'!$W$16="","",'Final Calculation Sheet'!$W$16)</f>
        <v>14268</v>
      </c>
      <c r="DR16" s="137">
        <f>IF(DQ16="","",COUNTIFS(DQ$4:DQ$40,"&lt;"&amp;DQ16,DQ$4:DQ$40,"&lt;&gt;"&amp;"")+COUNTIF(DQ$4:DQ16,DQ16))</f>
        <v>1</v>
      </c>
      <c r="DS16" s="55">
        <f t="shared" si="49"/>
        <v>64861</v>
      </c>
      <c r="DT16" s="137">
        <f>DT15+IF(AND(DS16&lt;&gt;"",COUNTIF(DS$4:DS16,DS16)=1),1,0)</f>
        <v>13</v>
      </c>
      <c r="DU16" s="55">
        <f t="shared" si="50"/>
        <v>64861</v>
      </c>
      <c r="DV16" s="55">
        <f>IF('Final Calculation Sheet'!$X$16="","",'Final Calculation Sheet'!$X$16)</f>
        <v>14267</v>
      </c>
      <c r="DW16" s="137">
        <f>IF(DV16="","",COUNTIFS(DV$4:DV$40,"&lt;"&amp;DV16,DV$4:DV$40,"&lt;&gt;"&amp;"")+COUNTIF(DV$4:DV16,DV16))</f>
        <v>1</v>
      </c>
      <c r="DX16" s="55">
        <f t="shared" si="51"/>
        <v>65782</v>
      </c>
      <c r="DY16" s="137">
        <f>DY15+IF(AND(DX16&lt;&gt;"",COUNTIF(DX$4:DX16,DX16)=1),1,0)</f>
        <v>13</v>
      </c>
      <c r="DZ16" t="e">
        <f t="shared" si="52"/>
        <v>#N/A</v>
      </c>
      <c r="EA16" t="str">
        <f>IF('Final Calculation Sheet'!$Y$16="","",'Final Calculation Sheet'!$Y$16)</f>
        <v>11.08.2026</v>
      </c>
      <c r="EB16" s="137">
        <f>IF(EA16="","",COUNTIFS(EA$4:EA$40,"&lt;"&amp;EA16,EA$4:EA$40,"&lt;&gt;"&amp;"")+COUNTIF(EA$4:EA16,EA16))</f>
        <v>5</v>
      </c>
      <c r="EC16" t="str">
        <f t="shared" si="53"/>
        <v>18.08.2026</v>
      </c>
      <c r="ED16" s="137">
        <f>ED15+IF(AND(EC16&lt;&gt;"",COUNTIF(EC$4:EC16,EC16)=1),1,0)</f>
        <v>6</v>
      </c>
      <c r="EE16" t="e">
        <f t="shared" si="54"/>
        <v>#N/A</v>
      </c>
      <c r="EF16" s="55">
        <f ca="1">IF('Final Calculation Sheet'!$Z$16="","",'Final Calculation Sheet'!$Z$16)</f>
        <v>0</v>
      </c>
      <c r="EG16" s="137">
        <f ca="1">IF(EF16="","",COUNTIFS(EF$4:EF$40,"&lt;"&amp;EF16,EF$4:EF$40,"&lt;&gt;"&amp;"")+COUNTIF(EF$4:EF16,EF16))</f>
        <v>13</v>
      </c>
      <c r="EH16" s="55">
        <f t="shared" ca="1" si="55"/>
        <v>0</v>
      </c>
      <c r="EI16" s="137">
        <f ca="1">EI15+IF(AND(EH16&lt;&gt;"",COUNTIF(EH$4:EH16,EH16)=1),1,0)</f>
        <v>1</v>
      </c>
      <c r="EJ16" t="str">
        <f t="shared" ca="1" si="56"/>
        <v/>
      </c>
      <c r="EK16" t="str">
        <f>IF('Final Calculation Sheet'!$AA$16="","",'Final Calculation Sheet'!$AA$16)</f>
        <v/>
      </c>
      <c r="EL16" t="str">
        <f>IF(EK16="","",COUNTIFS(EK$4:EK$40,"&lt;"&amp;EK16,EK$4:EK$40,"&lt;&gt;"&amp;"")+COUNTIF(EK$4:EK16,EK16))</f>
        <v/>
      </c>
      <c r="EM16" s="137" t="e">
        <f t="shared" si="57"/>
        <v>#N/A</v>
      </c>
      <c r="EN16" s="137" t="e">
        <f>EN15+IF(AND(EM16&lt;&gt;"",COUNTIF(EM$4:EM16,EM16)=1),1,0)</f>
        <v>#N/A</v>
      </c>
      <c r="EO16" t="e">
        <f t="shared" si="58"/>
        <v>#N/A</v>
      </c>
      <c r="EP16" t="str">
        <f>IF('Final Calculation Sheet'!$AB$16="","",'Final Calculation Sheet'!$AB$16)</f>
        <v/>
      </c>
      <c r="EQ16" t="str">
        <f>IF(EP16="","",COUNTIFS(EP$4:EP$40,"&lt;"&amp;EP16,EP$4:EP$40,"&lt;&gt;"&amp;"")+COUNTIF(EP$4:EP16,EP16))</f>
        <v/>
      </c>
      <c r="ER16" s="137" t="e">
        <f t="shared" si="59"/>
        <v>#N/A</v>
      </c>
      <c r="ES16" s="137" t="e">
        <f>ES15+IF(AND(ER16&lt;&gt;"",COUNTIF(ER$4:ER16,ER16)=1),1,0)</f>
        <v>#N/A</v>
      </c>
      <c r="ET16" t="e">
        <f t="shared" si="60"/>
        <v>#N/A</v>
      </c>
      <c r="EU16" s="55">
        <f>IF('Final Calculation Sheet'!$AC$16="","",'Final Calculation Sheet'!$AC$16)</f>
        <v>18117</v>
      </c>
      <c r="EV16" s="137">
        <f>IF(EU16="","",COUNTIFS(EU$4:EU$40,"&lt;"&amp;EU16,EU$4:EU$40,"&lt;&gt;"&amp;"")+COUNTIF(EU$4:EU16,EU16))</f>
        <v>2</v>
      </c>
      <c r="EW16" s="55">
        <f t="shared" si="61"/>
        <v>76481</v>
      </c>
      <c r="EX16" s="137">
        <f>EX15+IF(AND(EW16&lt;&gt;"",COUNTIF(EW$4:EW16,EW16)=1),1,0)</f>
        <v>13</v>
      </c>
      <c r="EY16" s="55">
        <f t="shared" si="62"/>
        <v>76481</v>
      </c>
      <c r="EZ16" s="55">
        <f>IF('Final Calculation Sheet'!$AD$16="","",'Final Calculation Sheet'!$AD$16)</f>
        <v>1</v>
      </c>
      <c r="FA16" s="137">
        <f>IF(EZ16="","",COUNTIFS(EZ$4:EZ$40,"&lt;"&amp;EZ16,EZ$4:EZ$40,"&lt;&gt;"&amp;"")+COUNTIF(EZ$4:EZ16,EZ16))</f>
        <v>31</v>
      </c>
      <c r="FB16" s="55">
        <f t="shared" si="63"/>
        <v>0</v>
      </c>
      <c r="FC16" s="137" t="e">
        <f>FC15+IF(AND(FB16&lt;&gt;"",COUNTIF(FB$4:FB16,FB16)=1),1,0)</f>
        <v>#N/A</v>
      </c>
      <c r="FD16" t="e">
        <f t="shared" si="64"/>
        <v>#N/A</v>
      </c>
      <c r="FE16" t="str">
        <f>IF('Final Calculation Sheet'!$AE$16="","",'Final Calculation Sheet'!$AE$16)</f>
        <v>DR2640100019</v>
      </c>
      <c r="FF16" s="137">
        <f>IF(FE16="","",COUNTIFS(FE$4:FE$40,"&lt;"&amp;FE16,FE$4:FE$40,"&lt;&gt;"&amp;"")+COUNTIF(FE$4:FE16,FE16))</f>
        <v>8</v>
      </c>
      <c r="FG16" t="str">
        <f t="shared" si="65"/>
        <v>DR2640100024</v>
      </c>
      <c r="FH16" s="137" t="e">
        <f>FH15+IF(AND(FG16&lt;&gt;"",COUNTIF(FG$4:FG16,FG16)=1),1,0)</f>
        <v>#N/A</v>
      </c>
      <c r="FI16" t="e">
        <f t="shared" si="66"/>
        <v>#N/A</v>
      </c>
      <c r="FJ16" s="141">
        <f>IF('Final Calculation Sheet'!$AF$16="","",'Final Calculation Sheet'!$AF$16)</f>
        <v>1800003157</v>
      </c>
      <c r="FK16" s="137">
        <f>IF(FJ16="","",COUNTIFS(FJ$4:FJ$40,"&lt;"&amp;FJ16,FJ$4:FJ$40,"&lt;&gt;"&amp;"")+COUNTIF(FJ$4:FJ16,FJ16))</f>
        <v>3</v>
      </c>
      <c r="FL16" s="141">
        <f t="shared" si="67"/>
        <v>1800003271</v>
      </c>
      <c r="FM16" s="137">
        <f>FM15+IF(AND(FL16&lt;&gt;"",COUNTIF(FL$4:FL16,FL16)=1),1,0)</f>
        <v>13</v>
      </c>
      <c r="FN16" t="e">
        <f t="shared" si="68"/>
        <v>#N/A</v>
      </c>
      <c r="FO16" t="str">
        <f>IF('Final Calculation Sheet'!$AG$16="","",'Final Calculation Sheet'!$AG$16)</f>
        <v>14.08.2026</v>
      </c>
      <c r="FP16" s="137">
        <f>IF(FO16="","",COUNTIFS(FO$4:FO$40,"&lt;"&amp;FO16,FO$4:FO$40,"&lt;&gt;"&amp;"")+COUNTIF(FO$4:FO16,FO16))</f>
        <v>8</v>
      </c>
      <c r="FQ16" t="str">
        <f t="shared" si="69"/>
        <v>17.08.2026</v>
      </c>
      <c r="FR16" s="137" t="e">
        <f>FR15+IF(AND(FQ16&lt;&gt;"",COUNTIF(FQ$4:FQ16,FQ16)=1),1,0)</f>
        <v>#N/A</v>
      </c>
      <c r="FS16" t="e">
        <f t="shared" si="70"/>
        <v>#N/A</v>
      </c>
      <c r="FU16" t="str">
        <f>IF(FT16="","",COUNTIFS(FT$4:FT$40,"&lt;"&amp;FT16,FT$4:FT$40,"&lt;&gt;"&amp;"")+COUNTIF(FT$4:FT16,FT16))</f>
        <v/>
      </c>
      <c r="FV16" t="str">
        <f t="shared" si="71"/>
        <v/>
      </c>
      <c r="FW16" s="137">
        <f>FW15+IF(AND(FV16&lt;&gt;"",COUNTIF(FV$4:FV16,FV16)=1),1,0)</f>
        <v>2</v>
      </c>
      <c r="FX16" t="str">
        <f t="shared" si="72"/>
        <v/>
      </c>
    </row>
    <row r="17" spans="1:180" x14ac:dyDescent="0.25">
      <c r="A17">
        <f>IF('Final Calculation Sheet'!$F$17="","",'Final Calculation Sheet'!$F$17)</f>
        <v>2015</v>
      </c>
      <c r="B17" s="137">
        <f>IF(A17="","",COUNTIFS(A$4:A$114,"&lt;"&amp;A17,A$4:A$114,"&lt;&gt;"&amp;"")+COUNTIF(A$4:A17,A17))</f>
        <v>14</v>
      </c>
      <c r="C17" s="137">
        <f t="shared" si="0"/>
        <v>2015</v>
      </c>
      <c r="D17" s="137">
        <f>D16+IF(AND(C17&lt;&gt;"",COUNTIF(C$4:C17,C17)=1),1,0)</f>
        <v>14</v>
      </c>
      <c r="E17" t="e">
        <f t="shared" si="1"/>
        <v>#N/A</v>
      </c>
      <c r="F17">
        <f t="shared" si="2"/>
        <v>14</v>
      </c>
      <c r="G17" s="137">
        <f>IF(F17="","",COUNTIFS(F$4:F$40,"&lt;"&amp;F17,F$4:F$40,"&lt;&gt;"&amp;"")+COUNTIF(F$4:F17,F17))</f>
        <v>14</v>
      </c>
      <c r="H17" s="137">
        <f t="shared" si="3"/>
        <v>14</v>
      </c>
      <c r="I17" s="137">
        <f>I16+IF(AND(H17&lt;&gt;"",COUNTIF(H$4:H17,H17)=1),1,0)</f>
        <v>14</v>
      </c>
      <c r="J17">
        <f t="shared" si="4"/>
        <v>14</v>
      </c>
      <c r="K17">
        <f>IF('Final Calculation Sheet'!$F$17="","",'Final Calculation Sheet'!$F$17)</f>
        <v>2015</v>
      </c>
      <c r="L17" s="137">
        <f>IF(K17="","",COUNTIFS(K$4:K$40,"&lt;"&amp;K17,K$4:K$40,"&lt;&gt;"&amp;"")+COUNTIF(K$4:K17,K17))</f>
        <v>14</v>
      </c>
      <c r="M17" s="137">
        <f t="shared" si="5"/>
        <v>2015</v>
      </c>
      <c r="N17" s="137">
        <f>N16+IF(AND(M17&lt;&gt;"",COUNTIF(M$4:M17,M17)=1),1,0)</f>
        <v>14</v>
      </c>
      <c r="O17">
        <f t="shared" si="6"/>
        <v>2015</v>
      </c>
      <c r="P17" t="str">
        <f>IF('Final Calculation Sheet'!$G$17="","",'Final Calculation Sheet'!$G$17)</f>
        <v>STERLING ENTERPRISES</v>
      </c>
      <c r="Q17" s="137">
        <f>IF(P17="","",COUNTIFS(P$4:P$40,"&lt;"&amp;P17,P$4:P$40,"&lt;&gt;"&amp;"")+COUNTIF(P$4:P17,P17))</f>
        <v>30</v>
      </c>
      <c r="R17" t="str">
        <f t="shared" si="7"/>
        <v>NATIONAL ENTERPRISES</v>
      </c>
      <c r="S17" s="137">
        <f>S16+IF(AND(R17&lt;&gt;"",COUNTIF(R$4:R17,R17)=1),1,0)</f>
        <v>6</v>
      </c>
      <c r="T17" t="str">
        <f t="shared" si="8"/>
        <v/>
      </c>
      <c r="U17" t="str">
        <f>IF('Final Calculation Sheet'!$B$17="","",'Final Calculation Sheet'!$B$17)</f>
        <v>Scrap of empty oil Barrels</v>
      </c>
      <c r="V17" s="137">
        <f>IF(U17="","",COUNTIFS(U$4:U$40,"&lt;"&amp;U17,U$4:U$40,"&lt;&gt;"&amp;"")+COUNTIF(U$4:U17,U17))</f>
        <v>27</v>
      </c>
      <c r="W17" t="str">
        <f t="shared" si="9"/>
        <v>Scrap of 145 KV CB</v>
      </c>
      <c r="X17" s="137">
        <f>X16+IF(AND(W17&lt;&gt;"",COUNTIF(W$4:W17,W17)=1),1,0)</f>
        <v>8</v>
      </c>
      <c r="Y17" t="str">
        <f t="shared" si="10"/>
        <v>Scrap of 33 KV GCB</v>
      </c>
      <c r="Z17">
        <f>IF('Final Calculation Sheet'!$D$17="","",'Final Calculation Sheet'!$D$17)</f>
        <v>21978</v>
      </c>
      <c r="AA17" s="137">
        <f>IF(Z17="","",COUNTIFS(Z$4:Z$40,"&lt;"&amp;Z17,Z$4:Z$40,"&lt;&gt;"&amp;"")+COUNTIF(Z$4:Z17,Z17))</f>
        <v>12</v>
      </c>
      <c r="AB17" s="137">
        <f t="shared" si="11"/>
        <v>21978</v>
      </c>
      <c r="AC17" s="137">
        <f>AC16+IF(AND(AB17&lt;&gt;"",COUNTIF(AB$4:AB17,AB17)=1),1,0)</f>
        <v>2</v>
      </c>
      <c r="AD17" t="str">
        <f t="shared" si="12"/>
        <v/>
      </c>
      <c r="AE17">
        <f>IF('Final Calculation Sheet'!$A$17="","",'Final Calculation Sheet'!$A$17)</f>
        <v>100</v>
      </c>
      <c r="AF17" s="137">
        <f>IF(AE17="","",COUNTIFS(AE$4:AE$40,"&lt;"&amp;AE17,AE$4:AE$40,"&lt;&gt;"&amp;"")+COUNTIF(AE$4:AE17,AE17))</f>
        <v>28</v>
      </c>
      <c r="AG17" s="137">
        <f t="shared" si="13"/>
        <v>3</v>
      </c>
      <c r="AH17" s="137">
        <f>AH16+IF(AND(AG17&lt;&gt;"",COUNTIF(AG$4:AG17,AG17)=1),1,0)</f>
        <v>3</v>
      </c>
      <c r="AI17">
        <f t="shared" si="14"/>
        <v>150</v>
      </c>
      <c r="AJ17" t="str">
        <f>IF('Final Calculation Sheet'!$E$17="","",'Final Calculation Sheet'!$E$17)</f>
        <v>NO</v>
      </c>
      <c r="AK17" s="137">
        <f>IF(AJ17="","",COUNTIFS(AJ$4:AJ$40,"&lt;"&amp;AJ17,AJ$4:AJ$40,"&lt;&gt;"&amp;"")+COUNTIF(AJ$4:AJ17,AJ17))</f>
        <v>17</v>
      </c>
      <c r="AL17" t="str">
        <f t="shared" si="15"/>
        <v>NO</v>
      </c>
      <c r="AM17" s="137">
        <f>AM16+IF(AND(AL17&lt;&gt;"",COUNTIF(AL$4:AL17,AL17)=1),1,0)</f>
        <v>3</v>
      </c>
      <c r="AN17" t="str">
        <f t="shared" si="16"/>
        <v/>
      </c>
      <c r="AO17" s="55">
        <f>IF('Final Calculation Sheet'!$C$17="","",'Final Calculation Sheet'!$C$17)</f>
        <v>710</v>
      </c>
      <c r="AP17" s="137">
        <f>IF(AO17="","",COUNTIFS(AO$4:AO$40,"&lt;"&amp;AO17,AO$4:AO$40,"&lt;&gt;"&amp;"")+COUNTIF(AO$4:AO17,AO17))</f>
        <v>14</v>
      </c>
      <c r="AQ17" s="55">
        <f t="shared" si="17"/>
        <v>710</v>
      </c>
      <c r="AR17" s="137">
        <f>AR16+IF(AND(AQ17&lt;&gt;"",COUNTIF(AQ$4:AQ17,AQ17)=1),1,0)</f>
        <v>12</v>
      </c>
      <c r="AS17" s="55">
        <f t="shared" si="18"/>
        <v>1456</v>
      </c>
      <c r="AT17" s="55">
        <f>IF('Final Calculation Sheet'!$H$17="","",'Final Calculation Sheet'!$H$17)</f>
        <v>71000</v>
      </c>
      <c r="AU17" s="137">
        <f>IF(AT17="","",COUNTIFS(AT$4:AT$40,"&lt;"&amp;AT17,AT$4:AT$40,"&lt;&gt;"&amp;"")+COUNTIF(AT$4:AT17,AT17))</f>
        <v>14</v>
      </c>
      <c r="AV17" s="55">
        <f t="shared" si="19"/>
        <v>71000</v>
      </c>
      <c r="AW17" s="137">
        <f>AW16+IF(AND(AV17&lt;&gt;"",COUNTIF(AV$4:AV17,AV17)=1),1,0)</f>
        <v>14</v>
      </c>
      <c r="AX17" s="55">
        <f t="shared" si="20"/>
        <v>71000</v>
      </c>
      <c r="AY17" s="55">
        <f>IF('Final Calculation Sheet'!$I$17="","",'Final Calculation Sheet'!$I$17)</f>
        <v>12780</v>
      </c>
      <c r="AZ17" s="137">
        <f>IF(AY17="","",COUNTIFS(AY$4:AY$40,"&lt;"&amp;AY17,AY$4:AY$40,"&lt;&gt;"&amp;"")+COUNTIF(AY$4:AY17,AY17))</f>
        <v>14</v>
      </c>
      <c r="BA17" s="55">
        <f t="shared" si="21"/>
        <v>12780</v>
      </c>
      <c r="BB17" s="137">
        <f>BB16+IF(AND(BA17&lt;&gt;"",COUNTIF(BA$4:BA17,BA17)=1),1,0)</f>
        <v>14</v>
      </c>
      <c r="BC17" s="55">
        <f t="shared" si="22"/>
        <v>12780</v>
      </c>
      <c r="BD17" s="55">
        <f>IF('Final Calculation Sheet'!$J$17="","",'Final Calculation Sheet'!$J$17)</f>
        <v>83780</v>
      </c>
      <c r="BE17" s="137">
        <f>IF(BD17="","",COUNTIFS(BD$4:BD$40,"&lt;"&amp;BD17,BD$4:BD$40,"&lt;&gt;"&amp;"")+COUNTIF(BD$4:BD17,BD17))</f>
        <v>14</v>
      </c>
      <c r="BF17" s="55">
        <f t="shared" si="23"/>
        <v>83780</v>
      </c>
      <c r="BG17" s="137">
        <f>BG16+IF(AND(BF17&lt;&gt;"",COUNTIF(BF$4:BF17,BF17)=1),1,0)</f>
        <v>14</v>
      </c>
      <c r="BH17" s="55">
        <f t="shared" si="24"/>
        <v>83780</v>
      </c>
      <c r="BI17" s="55">
        <f>IF('Final Calculation Sheet'!$K$17="","",'Final Calculation Sheet'!$K$17)</f>
        <v>1676</v>
      </c>
      <c r="BJ17" s="137">
        <f>IF(BI17="","",COUNTIFS(BI$4:BI$40,"&lt;"&amp;BI17,BI$4:BI$40,"&lt;&gt;"&amp;"")+COUNTIF(BI$4:BI17,BI17))</f>
        <v>14</v>
      </c>
      <c r="BK17" s="55">
        <f t="shared" si="25"/>
        <v>1676</v>
      </c>
      <c r="BL17" s="137">
        <f>BL16+IF(AND(BK17&lt;&gt;"",COUNTIF(BK$4:BK17,BK17)=1),1,0)</f>
        <v>14</v>
      </c>
      <c r="BM17" s="55">
        <f t="shared" si="26"/>
        <v>1676</v>
      </c>
      <c r="BN17" s="55">
        <f>IF('Final Calculation Sheet'!$L$17="","",'Final Calculation Sheet'!$L$17)</f>
        <v>71</v>
      </c>
      <c r="BO17" s="137">
        <f>IF(BN17="","",COUNTIFS(BN$4:BN$40,"&lt;"&amp;BN17,BN$4:BN$40,"&lt;&gt;"&amp;"")+COUNTIF(BN$4:BN17,BN17))</f>
        <v>14</v>
      </c>
      <c r="BP17" s="55">
        <f t="shared" si="27"/>
        <v>71</v>
      </c>
      <c r="BQ17" s="137">
        <f>BQ16+IF(AND(BP17&lt;&gt;"",COUNTIF(BP$4:BP17,BP17)=1),1,0)</f>
        <v>14</v>
      </c>
      <c r="BR17" s="55">
        <f t="shared" si="28"/>
        <v>71</v>
      </c>
      <c r="BS17" s="55">
        <f>IF('Final Calculation Sheet'!$M$17="","",'Final Calculation Sheet'!$M$17)</f>
        <v>1885.05</v>
      </c>
      <c r="BT17" s="137">
        <f>IF(BS17="","",COUNTIFS(BS$4:BS$40,"&lt;"&amp;BS17,BS$4:BS$40,"&lt;&gt;"&amp;"")+COUNTIF(BS$4:BS17,BS17))</f>
        <v>14</v>
      </c>
      <c r="BU17" s="55">
        <f t="shared" si="29"/>
        <v>1885.05</v>
      </c>
      <c r="BV17" s="137">
        <f>BV16+IF(AND(BU17&lt;&gt;"",COUNTIF(BU$4:BU17,BU17)=1),1,0)</f>
        <v>14</v>
      </c>
      <c r="BW17" s="55">
        <f t="shared" si="30"/>
        <v>1885.05</v>
      </c>
      <c r="BX17" s="138">
        <f>IF('Final Calculation Sheet'!$N$17="","",'Final Calculation Sheet'!$N$17)</f>
        <v>31.95</v>
      </c>
      <c r="BY17" s="137">
        <f>IF(BX17="","",COUNTIFS(BX$4:BX$40,"&lt;"&amp;BX17,BX$4:BX$40,"&lt;&gt;"&amp;"")+COUNTIF(BX$4:BX17,BX17))</f>
        <v>14</v>
      </c>
      <c r="BZ17" s="138">
        <f t="shared" si="31"/>
        <v>31.95</v>
      </c>
      <c r="CA17" s="137">
        <f>CA16+IF(AND(BZ17&lt;&gt;"",COUNTIF(BZ$4:BZ17,BZ17)=1),1,0)</f>
        <v>14</v>
      </c>
      <c r="CB17" s="138">
        <f t="shared" si="32"/>
        <v>31.95</v>
      </c>
      <c r="CC17" s="55">
        <f>IF('Final Calculation Sheet'!$O$17="","",'Final Calculation Sheet'!$O$17)</f>
        <v>1853.1</v>
      </c>
      <c r="CD17" s="137">
        <f>IF(CC17="","",COUNTIFS(CC$4:CC$40,"&lt;"&amp;CC17,CC$4:CC$40,"&lt;&gt;"&amp;"")+COUNTIF(CC$4:CC17,CC17))</f>
        <v>14</v>
      </c>
      <c r="CE17" s="55">
        <f t="shared" si="33"/>
        <v>1853.1</v>
      </c>
      <c r="CF17" s="137">
        <f>CF16+IF(AND(CE17&lt;&gt;"",COUNTIF(CE$4:CE17,CE17)=1),1,0)</f>
        <v>14</v>
      </c>
      <c r="CG17" s="55">
        <f t="shared" si="34"/>
        <v>1853.1</v>
      </c>
      <c r="CH17" s="55">
        <f>IF('Final Calculation Sheet'!$P$17="","",'Final Calculation Sheet'!$P$17)</f>
        <v>1924</v>
      </c>
      <c r="CI17" s="137">
        <f>IF(CH17="","",COUNTIFS(CH$4:CH$40,"&lt;"&amp;CH17,CH$4:CH$40,"&lt;&gt;"&amp;"")+COUNTIF(CH$4:CH17,CH17))</f>
        <v>14</v>
      </c>
      <c r="CJ17" s="55">
        <f t="shared" si="35"/>
        <v>1924</v>
      </c>
      <c r="CK17" s="137">
        <f>CK16+IF(AND(CJ17&lt;&gt;"",COUNTIF(CJ$4:CJ17,CJ17)=1),1,0)</f>
        <v>14</v>
      </c>
      <c r="CL17" s="55">
        <f t="shared" si="36"/>
        <v>1924</v>
      </c>
      <c r="CM17" s="139">
        <f>IF('Final Calculation Sheet'!$Q$17="","",'Final Calculation Sheet'!$Q$17)</f>
        <v>0</v>
      </c>
      <c r="CN17" s="137">
        <f>IF(CM17="","",COUNTIFS(CM$4:CM$40,"&lt;"&amp;CM17,CM$4:CM$40,"&lt;&gt;"&amp;"")+COUNTIF(CM$4:CM17,CM17))</f>
        <v>12</v>
      </c>
      <c r="CO17" s="139">
        <f t="shared" si="37"/>
        <v>0</v>
      </c>
      <c r="CP17" s="137">
        <f>CP16+IF(AND(CO17&lt;&gt;"",COUNTIF(CO$4:CO17,CO17)=1),1,0)</f>
        <v>1</v>
      </c>
      <c r="CQ17" t="str">
        <f t="shared" si="38"/>
        <v/>
      </c>
      <c r="CR17" s="55">
        <f>IF('Final Calculation Sheet'!$R$17="","",'Final Calculation Sheet'!$R$17)</f>
        <v>0</v>
      </c>
      <c r="CS17" s="137">
        <f>IF(CR17="","",COUNTIFS(CR$4:CR$40,"&lt;"&amp;CR17,CR$4:CR$40,"&lt;&gt;"&amp;"")+COUNTIF(CR$4:CR17,CR17))</f>
        <v>12</v>
      </c>
      <c r="CT17" s="55">
        <f t="shared" si="39"/>
        <v>0</v>
      </c>
      <c r="CU17" s="137">
        <f>CU16+IF(AND(CT17&lt;&gt;"",COUNTIF(CT$4:CT17,CT17)=1),1,0)</f>
        <v>1</v>
      </c>
      <c r="CV17" t="str">
        <f t="shared" si="40"/>
        <v/>
      </c>
      <c r="CW17" s="55">
        <f>IF('Final Calculation Sheet'!$S$17="","",'Final Calculation Sheet'!$S$17)</f>
        <v>83532</v>
      </c>
      <c r="CX17" s="137">
        <f>IF(CW17="","",COUNTIFS(CW$4:CW$40,"&lt;"&amp;CW17,CW$4:CW$40,"&lt;&gt;"&amp;"")+COUNTIF(CW$4:CW17,CW17))</f>
        <v>14</v>
      </c>
      <c r="CY17" s="55">
        <f t="shared" si="41"/>
        <v>83532</v>
      </c>
      <c r="CZ17" s="137">
        <f>CZ16+IF(AND(CY17&lt;&gt;"",COUNTIF(CY$4:CY17,CY17)=1),1,0)</f>
        <v>14</v>
      </c>
      <c r="DA17" s="55">
        <f t="shared" si="42"/>
        <v>83532</v>
      </c>
      <c r="DB17" s="55">
        <f>IF('Final Calculation Sheet'!$T$17="","",'Final Calculation Sheet'!$T$17)</f>
        <v>17750</v>
      </c>
      <c r="DC17" s="137">
        <f>IF(DB17="","",COUNTIFS(DB$4:DB$40,"&lt;"&amp;DB17,DB$4:DB$40,"&lt;&gt;"&amp;"")+COUNTIF(DB$4:DB17,DB17))</f>
        <v>14</v>
      </c>
      <c r="DD17" s="55">
        <f t="shared" si="43"/>
        <v>17750</v>
      </c>
      <c r="DE17" s="137">
        <f>DE16+IF(AND(DD17&lt;&gt;"",COUNTIF(DD$4:DD17,DD17)=1),1,0)</f>
        <v>14</v>
      </c>
      <c r="DF17" s="55">
        <f t="shared" si="44"/>
        <v>17750</v>
      </c>
      <c r="DG17" s="140">
        <f>IF('Final Calculation Sheet'!$U$17="","",'Final Calculation Sheet'!$U$17)</f>
        <v>17750</v>
      </c>
      <c r="DH17" s="137">
        <f>IF(DG17="","",COUNTIFS(DG$4:DG$40,"&lt;"&amp;DG17,DG$4:DG$40,"&lt;&gt;"&amp;"")+COUNTIF(DG$4:DG17,DG17))</f>
        <v>14</v>
      </c>
      <c r="DI17" s="140">
        <f t="shared" si="45"/>
        <v>17750</v>
      </c>
      <c r="DJ17" s="137">
        <f>DJ16+IF(AND(DI17&lt;&gt;"",COUNTIF(DI$4:DI17,DI17)=1),1,0)</f>
        <v>14</v>
      </c>
      <c r="DK17" s="140">
        <f t="shared" si="46"/>
        <v>17750</v>
      </c>
      <c r="DL17" t="str">
        <f>IF('Final Calculation Sheet'!$V$17="","",'Final Calculation Sheet'!$V$17)</f>
        <v>11.08.2026</v>
      </c>
      <c r="DM17" s="137">
        <f>IF(DL17="","",COUNTIFS(DL$4:DL$40,"&lt;"&amp;DL17,DL$4:DL$40,"&lt;&gt;"&amp;"")+COUNTIF(DL$4:DL17,DL17))</f>
        <v>6</v>
      </c>
      <c r="DN17" t="str">
        <f t="shared" si="47"/>
        <v>13.08.2026</v>
      </c>
      <c r="DO17" s="137">
        <f>DO16+IF(AND(DN17&lt;&gt;"",COUNTIF(DN$4:DN17,DN17)=1),1,0)</f>
        <v>3</v>
      </c>
      <c r="DP17" t="str">
        <f t="shared" si="48"/>
        <v/>
      </c>
      <c r="DQ17" s="55">
        <f>IF('Final Calculation Sheet'!$W$17="","",'Final Calculation Sheet'!$W$17)</f>
        <v>65782</v>
      </c>
      <c r="DR17" s="137">
        <f>IF(DQ17="","",COUNTIFS(DQ$4:DQ$40,"&lt;"&amp;DQ17,DQ$4:DQ$40,"&lt;&gt;"&amp;"")+COUNTIF(DQ$4:DQ17,DQ17))</f>
        <v>14</v>
      </c>
      <c r="DS17" s="55">
        <f t="shared" si="49"/>
        <v>65782</v>
      </c>
      <c r="DT17" s="137">
        <f>DT16+IF(AND(DS17&lt;&gt;"",COUNTIF(DS$4:DS17,DS17)=1),1,0)</f>
        <v>14</v>
      </c>
      <c r="DU17" s="55">
        <f t="shared" si="50"/>
        <v>65782</v>
      </c>
      <c r="DV17" s="55">
        <f>IF('Final Calculation Sheet'!$X$17="","",'Final Calculation Sheet'!$X$17)</f>
        <v>65782</v>
      </c>
      <c r="DW17" s="137">
        <f>IF(DV17="","",COUNTIFS(DV$4:DV$40,"&lt;"&amp;DV17,DV$4:DV$40,"&lt;&gt;"&amp;"")+COUNTIF(DV$4:DV17,DV17))</f>
        <v>13</v>
      </c>
      <c r="DX17" s="55">
        <f t="shared" si="51"/>
        <v>69491</v>
      </c>
      <c r="DY17" s="137">
        <f>DY16+IF(AND(DX17&lt;&gt;"",COUNTIF(DX$4:DX17,DX17)=1),1,0)</f>
        <v>14</v>
      </c>
      <c r="DZ17" t="e">
        <f t="shared" si="52"/>
        <v>#N/A</v>
      </c>
      <c r="EA17" t="str">
        <f>IF('Final Calculation Sheet'!$Y$17="","",'Final Calculation Sheet'!$Y$17)</f>
        <v>11.08.2026</v>
      </c>
      <c r="EB17" s="137">
        <f>IF(EA17="","",COUNTIFS(EA$4:EA$40,"&lt;"&amp;EA17,EA$4:EA$40,"&lt;&gt;"&amp;"")+COUNTIF(EA$4:EA17,EA17))</f>
        <v>6</v>
      </c>
      <c r="EC17" t="str">
        <f t="shared" si="53"/>
        <v>20.08.2026</v>
      </c>
      <c r="ED17" s="137">
        <f>ED16+IF(AND(EC17&lt;&gt;"",COUNTIF(EC$4:EC17,EC17)=1),1,0)</f>
        <v>7</v>
      </c>
      <c r="EE17" t="e">
        <f t="shared" si="54"/>
        <v>#N/A</v>
      </c>
      <c r="EF17" s="55">
        <f ca="1">IF('Final Calculation Sheet'!$Z$17="","",'Final Calculation Sheet'!$Z$17)</f>
        <v>0</v>
      </c>
      <c r="EG17" s="137">
        <f ca="1">IF(EF17="","",COUNTIFS(EF$4:EF$40,"&lt;"&amp;EF17,EF$4:EF$40,"&lt;&gt;"&amp;"")+COUNTIF(EF$4:EF17,EF17))</f>
        <v>14</v>
      </c>
      <c r="EH17" s="55">
        <f t="shared" ca="1" si="55"/>
        <v>0</v>
      </c>
      <c r="EI17" s="137">
        <f ca="1">EI16+IF(AND(EH17&lt;&gt;"",COUNTIF(EH$4:EH17,EH17)=1),1,0)</f>
        <v>1</v>
      </c>
      <c r="EJ17" t="str">
        <f t="shared" ca="1" si="56"/>
        <v/>
      </c>
      <c r="EK17" t="str">
        <f>IF('Final Calculation Sheet'!$AA$17="","",'Final Calculation Sheet'!$AA$17)</f>
        <v/>
      </c>
      <c r="EL17" t="str">
        <f>IF(EK17="","",COUNTIFS(EK$4:EK$40,"&lt;"&amp;EK17,EK$4:EK$40,"&lt;&gt;"&amp;"")+COUNTIF(EK$4:EK17,EK17))</f>
        <v/>
      </c>
      <c r="EM17" s="137" t="e">
        <f t="shared" si="57"/>
        <v>#N/A</v>
      </c>
      <c r="EN17" s="137" t="e">
        <f>EN16+IF(AND(EM17&lt;&gt;"",COUNTIF(EM$4:EM17,EM17)=1),1,0)</f>
        <v>#N/A</v>
      </c>
      <c r="EO17" t="e">
        <f t="shared" si="58"/>
        <v>#N/A</v>
      </c>
      <c r="EP17" t="str">
        <f>IF('Final Calculation Sheet'!$AB$17="","",'Final Calculation Sheet'!$AB$17)</f>
        <v/>
      </c>
      <c r="EQ17" t="str">
        <f>IF(EP17="","",COUNTIFS(EP$4:EP$40,"&lt;"&amp;EP17,EP$4:EP$40,"&lt;&gt;"&amp;"")+COUNTIF(EP$4:EP17,EP17))</f>
        <v/>
      </c>
      <c r="ER17" s="137" t="e">
        <f t="shared" si="59"/>
        <v>#N/A</v>
      </c>
      <c r="ES17" s="137" t="e">
        <f>ES16+IF(AND(ER17&lt;&gt;"",COUNTIF(ER$4:ER17,ER17)=1),1,0)</f>
        <v>#N/A</v>
      </c>
      <c r="ET17" t="e">
        <f t="shared" si="60"/>
        <v>#N/A</v>
      </c>
      <c r="EU17" s="55">
        <f>IF('Final Calculation Sheet'!$AC$17="","",'Final Calculation Sheet'!$AC$17)</f>
        <v>83532</v>
      </c>
      <c r="EV17" s="137">
        <f>IF(EU17="","",COUNTIFS(EU$4:EU$40,"&lt;"&amp;EU17,EU$4:EU$40,"&lt;&gt;"&amp;"")+COUNTIF(EU$4:EU17,EU17))</f>
        <v>15</v>
      </c>
      <c r="EW17" s="55">
        <f t="shared" si="61"/>
        <v>82361</v>
      </c>
      <c r="EX17" s="137">
        <f>EX16+IF(AND(EW17&lt;&gt;"",COUNTIF(EW$4:EW17,EW17)=1),1,0)</f>
        <v>14</v>
      </c>
      <c r="EY17" s="55">
        <f t="shared" si="62"/>
        <v>82361</v>
      </c>
      <c r="EZ17" s="55">
        <f>IF('Final Calculation Sheet'!$AD$17="","",'Final Calculation Sheet'!$AD$17)</f>
        <v>0</v>
      </c>
      <c r="FA17" s="137">
        <f>IF(EZ17="","",COUNTIFS(EZ$4:EZ$40,"&lt;"&amp;EZ17,EZ$4:EZ$40,"&lt;&gt;"&amp;"")+COUNTIF(EZ$4:EZ17,EZ17))</f>
        <v>15</v>
      </c>
      <c r="FB17" s="55">
        <f t="shared" si="63"/>
        <v>0</v>
      </c>
      <c r="FC17" s="137" t="e">
        <f>FC16+IF(AND(FB17&lt;&gt;"",COUNTIF(FB$4:FB17,FB17)=1),1,0)</f>
        <v>#N/A</v>
      </c>
      <c r="FD17" t="e">
        <f t="shared" si="64"/>
        <v>#N/A</v>
      </c>
      <c r="FE17" t="str">
        <f>IF('Final Calculation Sheet'!$AE$17="","",'Final Calculation Sheet'!$AE$17)</f>
        <v>DR2640100020</v>
      </c>
      <c r="FF17" s="137">
        <f>IF(FE17="","",COUNTIFS(FE$4:FE$40,"&lt;"&amp;FE17,FE$4:FE$40,"&lt;&gt;"&amp;"")+COUNTIF(FE$4:FE17,FE17))</f>
        <v>9</v>
      </c>
      <c r="FG17" t="str">
        <f t="shared" si="65"/>
        <v>DR2640100025</v>
      </c>
      <c r="FH17" s="137" t="e">
        <f>FH16+IF(AND(FG17&lt;&gt;"",COUNTIF(FG$4:FG17,FG17)=1),1,0)</f>
        <v>#N/A</v>
      </c>
      <c r="FI17" t="e">
        <f t="shared" si="66"/>
        <v>#N/A</v>
      </c>
      <c r="FJ17" s="141">
        <f>IF('Final Calculation Sheet'!$AF$17="","",'Final Calculation Sheet'!$AF$17)</f>
        <v>1800003158</v>
      </c>
      <c r="FK17" s="137">
        <f>IF(FJ17="","",COUNTIFS(FJ$4:FJ$40,"&lt;"&amp;FJ17,FJ$4:FJ$40,"&lt;&gt;"&amp;"")+COUNTIF(FJ$4:FJ17,FJ17))</f>
        <v>4</v>
      </c>
      <c r="FL17" s="141">
        <f t="shared" si="67"/>
        <v>1800003302</v>
      </c>
      <c r="FM17" s="137">
        <f>FM16+IF(AND(FL17&lt;&gt;"",COUNTIF(FL$4:FL17,FL17)=1),1,0)</f>
        <v>14</v>
      </c>
      <c r="FN17" t="e">
        <f t="shared" si="68"/>
        <v>#N/A</v>
      </c>
      <c r="FO17" t="str">
        <f>IF('Final Calculation Sheet'!$AG$17="","",'Final Calculation Sheet'!$AG$17)</f>
        <v>14.08.2026</v>
      </c>
      <c r="FP17" s="137">
        <f>IF(FO17="","",COUNTIFS(FO$4:FO$40,"&lt;"&amp;FO17,FO$4:FO$40,"&lt;&gt;"&amp;"")+COUNTIF(FO$4:FO17,FO17))</f>
        <v>9</v>
      </c>
      <c r="FQ17" t="str">
        <f t="shared" si="69"/>
        <v>19.08.2026</v>
      </c>
      <c r="FR17" s="137" t="e">
        <f>FR16+IF(AND(FQ17&lt;&gt;"",COUNTIF(FQ$4:FQ17,FQ17)=1),1,0)</f>
        <v>#N/A</v>
      </c>
      <c r="FS17" t="e">
        <f t="shared" si="70"/>
        <v>#N/A</v>
      </c>
      <c r="FU17" t="str">
        <f>IF(FT17="","",COUNTIFS(FT$4:FT$40,"&lt;"&amp;FT17,FT$4:FT$40,"&lt;&gt;"&amp;"")+COUNTIF(FT$4:FT17,FT17))</f>
        <v/>
      </c>
      <c r="FV17" t="str">
        <f t="shared" si="71"/>
        <v/>
      </c>
      <c r="FW17" s="137">
        <f>FW16+IF(AND(FV17&lt;&gt;"",COUNTIF(FV$4:FV17,FV17)=1),1,0)</f>
        <v>2</v>
      </c>
      <c r="FX17" t="str">
        <f t="shared" si="72"/>
        <v/>
      </c>
    </row>
    <row r="18" spans="1:180" x14ac:dyDescent="0.25">
      <c r="A18">
        <f>IF('Final Calculation Sheet'!$F$18="","",'Final Calculation Sheet'!$F$18)</f>
        <v>2018</v>
      </c>
      <c r="B18" s="137">
        <f>IF(A18="","",COUNTIFS(A$4:A$114,"&lt;"&amp;A18,A$4:A$114,"&lt;&gt;"&amp;"")+COUNTIF(A$4:A18,A18))</f>
        <v>15</v>
      </c>
      <c r="C18" s="137">
        <f t="shared" si="0"/>
        <v>2018</v>
      </c>
      <c r="D18" s="137">
        <f>D17+IF(AND(C18&lt;&gt;"",COUNTIF(C$4:C18,C18)=1),1,0)</f>
        <v>15</v>
      </c>
      <c r="E18" t="e">
        <f t="shared" si="1"/>
        <v>#N/A</v>
      </c>
      <c r="F18">
        <f t="shared" si="2"/>
        <v>15</v>
      </c>
      <c r="G18" s="137">
        <f>IF(F18="","",COUNTIFS(F$4:F$40,"&lt;"&amp;F18,F$4:F$40,"&lt;&gt;"&amp;"")+COUNTIF(F$4:F18,F18))</f>
        <v>15</v>
      </c>
      <c r="H18" s="137">
        <f t="shared" si="3"/>
        <v>15</v>
      </c>
      <c r="I18" s="137">
        <f>I17+IF(AND(H18&lt;&gt;"",COUNTIF(H$4:H18,H18)=1),1,0)</f>
        <v>15</v>
      </c>
      <c r="J18">
        <f t="shared" si="4"/>
        <v>15</v>
      </c>
      <c r="K18">
        <f>IF('Final Calculation Sheet'!$F$18="","",'Final Calculation Sheet'!$F$18)</f>
        <v>2018</v>
      </c>
      <c r="L18" s="137">
        <f>IF(K18="","",COUNTIFS(K$4:K$40,"&lt;"&amp;K18,K$4:K$40,"&lt;&gt;"&amp;"")+COUNTIF(K$4:K18,K18))</f>
        <v>15</v>
      </c>
      <c r="M18" s="137">
        <f t="shared" si="5"/>
        <v>2018</v>
      </c>
      <c r="N18" s="137">
        <f>N17+IF(AND(M18&lt;&gt;"",COUNTIF(M$4:M18,M18)=1),1,0)</f>
        <v>15</v>
      </c>
      <c r="O18">
        <f t="shared" si="6"/>
        <v>2018</v>
      </c>
      <c r="P18" t="str">
        <f>IF('Final Calculation Sheet'!$G$18="","",'Final Calculation Sheet'!$G$18)</f>
        <v>NATIONAL ENTERPRISES</v>
      </c>
      <c r="Q18" s="137">
        <f>IF(P18="","",COUNTIFS(P$4:P$40,"&lt;"&amp;P18,P$4:P$40,"&lt;&gt;"&amp;"")+COUNTIF(P$4:P18,P18))</f>
        <v>11</v>
      </c>
      <c r="R18" t="str">
        <f t="shared" si="7"/>
        <v>NATIONAL ENTERPRISES</v>
      </c>
      <c r="S18" s="137">
        <f>S17+IF(AND(R18&lt;&gt;"",COUNTIF(R$4:R18,R18)=1),1,0)</f>
        <v>6</v>
      </c>
      <c r="T18" t="str">
        <f t="shared" si="8"/>
        <v/>
      </c>
      <c r="U18" t="str">
        <f>IF('Final Calculation Sheet'!$B$18="","",'Final Calculation Sheet'!$B$18)</f>
        <v>Scrap of 220 KV Circuit Breaker</v>
      </c>
      <c r="V18" s="137">
        <f>IF(U18="","",COUNTIFS(U$4:U$40,"&lt;"&amp;U18,U$4:U$40,"&lt;&gt;"&amp;"")+COUNTIF(U$4:U18,U18))</f>
        <v>15</v>
      </c>
      <c r="W18" t="str">
        <f t="shared" si="9"/>
        <v>Scrap of 220 KV Circuit Breaker</v>
      </c>
      <c r="X18" s="137">
        <f>X17+IF(AND(W18&lt;&gt;"",COUNTIF(W$4:W18,W18)=1),1,0)</f>
        <v>9</v>
      </c>
      <c r="Y18" t="str">
        <f t="shared" si="10"/>
        <v>Scrap of 66 KV Isolater</v>
      </c>
      <c r="Z18">
        <f>IF('Final Calculation Sheet'!$D$18="","",'Final Calculation Sheet'!$D$18)</f>
        <v>21978</v>
      </c>
      <c r="AA18" s="137">
        <f>IF(Z18="","",COUNTIFS(Z$4:Z$40,"&lt;"&amp;Z18,Z$4:Z$40,"&lt;&gt;"&amp;"")+COUNTIF(Z$4:Z18,Z18))</f>
        <v>13</v>
      </c>
      <c r="AB18" s="137">
        <f t="shared" si="11"/>
        <v>21978</v>
      </c>
      <c r="AC18" s="137">
        <f>AC17+IF(AND(AB18&lt;&gt;"",COUNTIF(AB$4:AB18,AB18)=1),1,0)</f>
        <v>2</v>
      </c>
      <c r="AD18" t="str">
        <f t="shared" si="12"/>
        <v/>
      </c>
      <c r="AE18">
        <f>IF('Final Calculation Sheet'!$A$18="","",'Final Calculation Sheet'!$A$18)</f>
        <v>1</v>
      </c>
      <c r="AF18" s="137">
        <f>IF(AE18="","",COUNTIFS(AE$4:AE$40,"&lt;"&amp;AE18,AE$4:AE$40,"&lt;&gt;"&amp;"")+COUNTIF(AE$4:AE18,AE18))</f>
        <v>5</v>
      </c>
      <c r="AG18" s="137">
        <f t="shared" si="13"/>
        <v>3</v>
      </c>
      <c r="AH18" s="137">
        <f>AH17+IF(AND(AG18&lt;&gt;"",COUNTIF(AG$4:AG18,AG18)=1),1,0)</f>
        <v>3</v>
      </c>
      <c r="AI18">
        <f t="shared" si="14"/>
        <v>250</v>
      </c>
      <c r="AJ18" t="str">
        <f>IF('Final Calculation Sheet'!$E$18="","",'Final Calculation Sheet'!$E$18)</f>
        <v>NO</v>
      </c>
      <c r="AK18" s="137">
        <f>IF(AJ18="","",COUNTIFS(AJ$4:AJ$40,"&lt;"&amp;AJ18,AJ$4:AJ$40,"&lt;&gt;"&amp;"")+COUNTIF(AJ$4:AJ18,AJ18))</f>
        <v>18</v>
      </c>
      <c r="AL18" t="str">
        <f t="shared" si="15"/>
        <v>NO</v>
      </c>
      <c r="AM18" s="137">
        <f>AM17+IF(AND(AL18&lt;&gt;"",COUNTIF(AL$4:AL18,AL18)=1),1,0)</f>
        <v>3</v>
      </c>
      <c r="AN18" t="str">
        <f t="shared" si="16"/>
        <v/>
      </c>
      <c r="AO18" s="55">
        <f>IF('Final Calculation Sheet'!$C$18="","",'Final Calculation Sheet'!$C$18)</f>
        <v>220001</v>
      </c>
      <c r="AP18" s="137">
        <f>IF(AO18="","",COUNTIFS(AO$4:AO$40,"&lt;"&amp;AO18,AO$4:AO$40,"&lt;&gt;"&amp;"")+COUNTIF(AO$4:AO18,AO18))</f>
        <v>35</v>
      </c>
      <c r="AQ18" s="55">
        <f t="shared" si="17"/>
        <v>1181</v>
      </c>
      <c r="AR18" s="137">
        <f>AR17+IF(AND(AQ18&lt;&gt;"",COUNTIF(AQ$4:AQ18,AQ18)=1),1,0)</f>
        <v>13</v>
      </c>
      <c r="AS18" s="55">
        <f t="shared" si="18"/>
        <v>14001</v>
      </c>
      <c r="AT18" s="55">
        <f>IF('Final Calculation Sheet'!$H$18="","",'Final Calculation Sheet'!$H$18)</f>
        <v>220001</v>
      </c>
      <c r="AU18" s="137">
        <f>IF(AT18="","",COUNTIFS(AT$4:AT$40,"&lt;"&amp;AT18,AT$4:AT$40,"&lt;&gt;"&amp;"")+COUNTIF(AT$4:AT18,AT18))</f>
        <v>26</v>
      </c>
      <c r="AV18" s="55">
        <f t="shared" si="19"/>
        <v>75003</v>
      </c>
      <c r="AW18" s="137">
        <f>AW17+IF(AND(AV18&lt;&gt;"",COUNTIF(AV$4:AV18,AV18)=1),1,0)</f>
        <v>15</v>
      </c>
      <c r="AX18" s="55">
        <f t="shared" si="20"/>
        <v>75003</v>
      </c>
      <c r="AY18" s="55">
        <f>IF('Final Calculation Sheet'!$I$18="","",'Final Calculation Sheet'!$I$18)</f>
        <v>39600</v>
      </c>
      <c r="AZ18" s="137">
        <f>IF(AY18="","",COUNTIFS(AY$4:AY$40,"&lt;"&amp;AY18,AY$4:AY$40,"&lt;&gt;"&amp;"")+COUNTIF(AY$4:AY18,AY18))</f>
        <v>26</v>
      </c>
      <c r="BA18" s="55">
        <f t="shared" si="21"/>
        <v>13501</v>
      </c>
      <c r="BB18" s="137">
        <f>BB17+IF(AND(BA18&lt;&gt;"",COUNTIF(BA$4:BA18,BA18)=1),1,0)</f>
        <v>15</v>
      </c>
      <c r="BC18" s="55">
        <f t="shared" si="22"/>
        <v>13501</v>
      </c>
      <c r="BD18" s="55">
        <f>IF('Final Calculation Sheet'!$J$18="","",'Final Calculation Sheet'!$J$18)</f>
        <v>259601</v>
      </c>
      <c r="BE18" s="137">
        <f>IF(BD18="","",COUNTIFS(BD$4:BD$40,"&lt;"&amp;BD18,BD$4:BD$40,"&lt;&gt;"&amp;"")+COUNTIF(BD$4:BD18,BD18))</f>
        <v>26</v>
      </c>
      <c r="BF18" s="55">
        <f t="shared" si="23"/>
        <v>88504</v>
      </c>
      <c r="BG18" s="137">
        <f>BG17+IF(AND(BF18&lt;&gt;"",COUNTIF(BF$4:BF18,BF18)=1),1,0)</f>
        <v>15</v>
      </c>
      <c r="BH18" s="55">
        <f t="shared" si="24"/>
        <v>88504</v>
      </c>
      <c r="BI18" s="55">
        <f>IF('Final Calculation Sheet'!$K$18="","",'Final Calculation Sheet'!$K$18)</f>
        <v>5192</v>
      </c>
      <c r="BJ18" s="137">
        <f>IF(BI18="","",COUNTIFS(BI$4:BI$40,"&lt;"&amp;BI18,BI$4:BI$40,"&lt;&gt;"&amp;"")+COUNTIF(BI$4:BI18,BI18))</f>
        <v>26</v>
      </c>
      <c r="BK18" s="55">
        <f t="shared" si="25"/>
        <v>1770</v>
      </c>
      <c r="BL18" s="137">
        <f>BL17+IF(AND(BK18&lt;&gt;"",COUNTIF(BK$4:BK18,BK18)=1),1,0)</f>
        <v>15</v>
      </c>
      <c r="BM18" s="55">
        <f t="shared" si="26"/>
        <v>1770</v>
      </c>
      <c r="BN18" s="55">
        <f>IF('Final Calculation Sheet'!$L$18="","",'Final Calculation Sheet'!$L$18)</f>
        <v>220.001</v>
      </c>
      <c r="BO18" s="137">
        <f>IF(BN18="","",COUNTIFS(BN$4:BN$40,"&lt;"&amp;BN18,BN$4:BN$40,"&lt;&gt;"&amp;"")+COUNTIF(BN$4:BN18,BN18))</f>
        <v>26</v>
      </c>
      <c r="BP18" s="55">
        <f t="shared" si="27"/>
        <v>75.003</v>
      </c>
      <c r="BQ18" s="137">
        <f>BQ17+IF(AND(BP18&lt;&gt;"",COUNTIF(BP$4:BP18,BP18)=1),1,0)</f>
        <v>15</v>
      </c>
      <c r="BR18" s="55">
        <f t="shared" si="28"/>
        <v>75.003</v>
      </c>
      <c r="BS18" s="55">
        <f>IF('Final Calculation Sheet'!$M$18="","",'Final Calculation Sheet'!$M$18)</f>
        <v>5841.0265499999996</v>
      </c>
      <c r="BT18" s="137">
        <f>IF(BS18="","",COUNTIFS(BS$4:BS$40,"&lt;"&amp;BS18,BS$4:BS$40,"&lt;&gt;"&amp;"")+COUNTIF(BS$4:BS18,BS18))</f>
        <v>26</v>
      </c>
      <c r="BU18" s="55">
        <f t="shared" si="29"/>
        <v>1991.3296499999997</v>
      </c>
      <c r="BV18" s="137">
        <f>BV17+IF(AND(BU18&lt;&gt;"",COUNTIF(BU$4:BU18,BU18)=1),1,0)</f>
        <v>15</v>
      </c>
      <c r="BW18" s="55">
        <f t="shared" si="30"/>
        <v>1991.3296499999997</v>
      </c>
      <c r="BX18" s="138">
        <f>IF('Final Calculation Sheet'!$N$18="","",'Final Calculation Sheet'!$N$18)</f>
        <v>99.000450000000001</v>
      </c>
      <c r="BY18" s="137">
        <f>IF(BX18="","",COUNTIFS(BX$4:BX$40,"&lt;"&amp;BX18,BX$4:BX$40,"&lt;&gt;"&amp;"")+COUNTIF(BX$4:BX18,BX18))</f>
        <v>26</v>
      </c>
      <c r="BZ18" s="138">
        <f t="shared" si="31"/>
        <v>33.751349999999995</v>
      </c>
      <c r="CA18" s="137">
        <f>CA17+IF(AND(BZ18&lt;&gt;"",COUNTIF(BZ$4:BZ18,BZ18)=1),1,0)</f>
        <v>15</v>
      </c>
      <c r="CB18" s="138">
        <f t="shared" si="32"/>
        <v>33.751349999999995</v>
      </c>
      <c r="CC18" s="55">
        <f>IF('Final Calculation Sheet'!$O$18="","",'Final Calculation Sheet'!$O$18)</f>
        <v>5742.0260999999991</v>
      </c>
      <c r="CD18" s="137">
        <f>IF(CC18="","",COUNTIFS(CC$4:CC$40,"&lt;"&amp;CC18,CC$4:CC$40,"&lt;&gt;"&amp;"")+COUNTIF(CC$4:CC18,CC18))</f>
        <v>26</v>
      </c>
      <c r="CE18" s="55">
        <f t="shared" si="33"/>
        <v>1957.5782999999997</v>
      </c>
      <c r="CF18" s="137">
        <f>CF17+IF(AND(CE18&lt;&gt;"",COUNTIF(CE$4:CE18,CE18)=1),1,0)</f>
        <v>15</v>
      </c>
      <c r="CG18" s="55">
        <f t="shared" si="34"/>
        <v>1957.5782999999997</v>
      </c>
      <c r="CH18" s="55">
        <f>IF('Final Calculation Sheet'!$P$18="","",'Final Calculation Sheet'!$P$18)</f>
        <v>5962</v>
      </c>
      <c r="CI18" s="137">
        <f>IF(CH18="","",COUNTIFS(CH$4:CH$40,"&lt;"&amp;CH18,CH$4:CH$40,"&lt;&gt;"&amp;"")+COUNTIF(CH$4:CH18,CH18))</f>
        <v>26</v>
      </c>
      <c r="CJ18" s="55">
        <f t="shared" si="35"/>
        <v>2033</v>
      </c>
      <c r="CK18" s="137">
        <f>CK17+IF(AND(CJ18&lt;&gt;"",COUNTIF(CJ$4:CJ18,CJ18)=1),1,0)</f>
        <v>15</v>
      </c>
      <c r="CL18" s="55">
        <f t="shared" si="36"/>
        <v>2033</v>
      </c>
      <c r="CM18" s="139">
        <f>IF('Final Calculation Sheet'!$Q$18="","",'Final Calculation Sheet'!$Q$18)</f>
        <v>0</v>
      </c>
      <c r="CN18" s="137">
        <f>IF(CM18="","",COUNTIFS(CM$4:CM$40,"&lt;"&amp;CM18,CM$4:CM$40,"&lt;&gt;"&amp;"")+COUNTIF(CM$4:CM18,CM18))</f>
        <v>13</v>
      </c>
      <c r="CO18" s="139">
        <f t="shared" si="37"/>
        <v>0</v>
      </c>
      <c r="CP18" s="137">
        <f>CP17+IF(AND(CO18&lt;&gt;"",COUNTIF(CO$4:CO18,CO18)=1),1,0)</f>
        <v>1</v>
      </c>
      <c r="CQ18" t="str">
        <f t="shared" si="38"/>
        <v/>
      </c>
      <c r="CR18" s="55">
        <f>IF('Final Calculation Sheet'!$R$18="","",'Final Calculation Sheet'!$R$18)</f>
        <v>0</v>
      </c>
      <c r="CS18" s="137">
        <f>IF(CR18="","",COUNTIFS(CR$4:CR$40,"&lt;"&amp;CR18,CR$4:CR$40,"&lt;&gt;"&amp;"")+COUNTIF(CR$4:CR18,CR18))</f>
        <v>13</v>
      </c>
      <c r="CT18" s="55">
        <f t="shared" si="39"/>
        <v>0</v>
      </c>
      <c r="CU18" s="137">
        <f>CU17+IF(AND(CT18&lt;&gt;"",COUNTIF(CT$4:CT18,CT18)=1),1,0)</f>
        <v>1</v>
      </c>
      <c r="CV18" t="str">
        <f t="shared" si="40"/>
        <v/>
      </c>
      <c r="CW18" s="55">
        <f>IF('Final Calculation Sheet'!$S$18="","",'Final Calculation Sheet'!$S$18)</f>
        <v>258831</v>
      </c>
      <c r="CX18" s="137">
        <f>IF(CW18="","",COUNTIFS(CW$4:CW$40,"&lt;"&amp;CW18,CW$4:CW$40,"&lt;&gt;"&amp;"")+COUNTIF(CW$4:CW18,CW18))</f>
        <v>26</v>
      </c>
      <c r="CY18" s="55">
        <f t="shared" si="41"/>
        <v>88241</v>
      </c>
      <c r="CZ18" s="137">
        <f>CZ17+IF(AND(CY18&lt;&gt;"",COUNTIF(CY$4:CY18,CY18)=1),1,0)</f>
        <v>15</v>
      </c>
      <c r="DA18" s="55">
        <f t="shared" si="42"/>
        <v>88241</v>
      </c>
      <c r="DB18" s="55">
        <f>IF('Final Calculation Sheet'!$T$18="","",'Final Calculation Sheet'!$T$18)</f>
        <v>55000</v>
      </c>
      <c r="DC18" s="137">
        <f>IF(DB18="","",COUNTIFS(DB$4:DB$40,"&lt;"&amp;DB18,DB$4:DB$40,"&lt;&gt;"&amp;"")+COUNTIF(DB$4:DB18,DB18))</f>
        <v>26</v>
      </c>
      <c r="DD18" s="55">
        <f t="shared" si="43"/>
        <v>18751</v>
      </c>
      <c r="DE18" s="137">
        <f>DE17+IF(AND(DD18&lt;&gt;"",COUNTIF(DD$4:DD18,DD18)=1),1,0)</f>
        <v>15</v>
      </c>
      <c r="DF18" s="55">
        <f t="shared" si="44"/>
        <v>18751</v>
      </c>
      <c r="DG18" s="140">
        <f>IF('Final Calculation Sheet'!$U$18="","",'Final Calculation Sheet'!$U$18)</f>
        <v>55000</v>
      </c>
      <c r="DH18" s="137">
        <f>IF(DG18="","",COUNTIFS(DG$4:DG$40,"&lt;"&amp;DG18,DG$4:DG$40,"&lt;&gt;"&amp;"")+COUNTIF(DG$4:DG18,DG18))</f>
        <v>26</v>
      </c>
      <c r="DI18" s="140">
        <f t="shared" si="45"/>
        <v>18751</v>
      </c>
      <c r="DJ18" s="137">
        <f>DJ17+IF(AND(DI18&lt;&gt;"",COUNTIF(DI$4:DI18,DI18)=1),1,0)</f>
        <v>15</v>
      </c>
      <c r="DK18" s="140">
        <f t="shared" si="46"/>
        <v>18751</v>
      </c>
      <c r="DL18" t="str">
        <f>IF('Final Calculation Sheet'!$V$18="","",'Final Calculation Sheet'!$V$18)</f>
        <v>13.08.2026</v>
      </c>
      <c r="DM18" s="137">
        <f>IF(DL18="","",COUNTIFS(DL$4:DL$40,"&lt;"&amp;DL18,DL$4:DL$40,"&lt;&gt;"&amp;"")+COUNTIF(DL$4:DL18,DL18))</f>
        <v>18</v>
      </c>
      <c r="DN18" t="str">
        <f t="shared" si="47"/>
        <v>13.08.2026</v>
      </c>
      <c r="DO18" s="137">
        <f>DO17+IF(AND(DN18&lt;&gt;"",COUNTIF(DN$4:DN18,DN18)=1),1,0)</f>
        <v>3</v>
      </c>
      <c r="DP18" t="str">
        <f t="shared" si="48"/>
        <v/>
      </c>
      <c r="DQ18" s="55">
        <f>IF('Final Calculation Sheet'!$W$18="","",'Final Calculation Sheet'!$W$18)</f>
        <v>203831</v>
      </c>
      <c r="DR18" s="137">
        <f>IF(DQ18="","",COUNTIFS(DQ$4:DQ$40,"&lt;"&amp;DQ18,DQ$4:DQ$40,"&lt;&gt;"&amp;"")+COUNTIF(DQ$4:DQ18,DQ18))</f>
        <v>26</v>
      </c>
      <c r="DS18" s="55">
        <f t="shared" si="49"/>
        <v>69490</v>
      </c>
      <c r="DT18" s="137">
        <f>DT17+IF(AND(DS18&lt;&gt;"",COUNTIF(DS$4:DS18,DS18)=1),1,0)</f>
        <v>15</v>
      </c>
      <c r="DU18" s="55">
        <f t="shared" si="50"/>
        <v>69490</v>
      </c>
      <c r="DV18" s="55">
        <f>IF('Final Calculation Sheet'!$X$18="","",'Final Calculation Sheet'!$X$18)</f>
        <v>203831</v>
      </c>
      <c r="DW18" s="137">
        <f>IF(DV18="","",COUNTIFS(DV$4:DV$40,"&lt;"&amp;DV18,DV$4:DV$40,"&lt;&gt;"&amp;"")+COUNTIF(DV$4:DV18,DV18))</f>
        <v>25</v>
      </c>
      <c r="DX18" s="55">
        <f t="shared" si="51"/>
        <v>79354</v>
      </c>
      <c r="DY18" s="137">
        <f>DY17+IF(AND(DX18&lt;&gt;"",COUNTIF(DX$4:DX18,DX18)=1),1,0)</f>
        <v>15</v>
      </c>
      <c r="DZ18" t="e">
        <f t="shared" si="52"/>
        <v>#N/A</v>
      </c>
      <c r="EA18" t="str">
        <f>IF('Final Calculation Sheet'!$Y$18="","",'Final Calculation Sheet'!$Y$18)</f>
        <v>24.08.2026</v>
      </c>
      <c r="EB18" s="137">
        <f>IF(EA18="","",COUNTIFS(EA$4:EA$40,"&lt;"&amp;EA18,EA$4:EA$40,"&lt;&gt;"&amp;"")+COUNTIF(EA$4:EA18,EA18))</f>
        <v>26</v>
      </c>
      <c r="EC18" t="str">
        <f t="shared" si="53"/>
        <v>20.08.2026</v>
      </c>
      <c r="ED18" s="137">
        <f>ED17+IF(AND(EC18&lt;&gt;"",COUNTIF(EC$4:EC18,EC18)=1),1,0)</f>
        <v>7</v>
      </c>
      <c r="EE18" t="e">
        <f t="shared" si="54"/>
        <v>#N/A</v>
      </c>
      <c r="EF18" s="55">
        <f ca="1">IF('Final Calculation Sheet'!$Z$18="","",'Final Calculation Sheet'!$Z$18)</f>
        <v>0</v>
      </c>
      <c r="EG18" s="137">
        <f ca="1">IF(EF18="","",COUNTIFS(EF$4:EF$40,"&lt;"&amp;EF18,EF$4:EF$40,"&lt;&gt;"&amp;"")+COUNTIF(EF$4:EF18,EF18))</f>
        <v>15</v>
      </c>
      <c r="EH18" s="55">
        <f t="shared" ca="1" si="55"/>
        <v>0</v>
      </c>
      <c r="EI18" s="137">
        <f ca="1">EI17+IF(AND(EH18&lt;&gt;"",COUNTIF(EH$4:EH18,EH18)=1),1,0)</f>
        <v>1</v>
      </c>
      <c r="EJ18" t="str">
        <f t="shared" ca="1" si="56"/>
        <v/>
      </c>
      <c r="EK18" t="str">
        <f>IF('Final Calculation Sheet'!$AA$18="","",'Final Calculation Sheet'!$AA$18)</f>
        <v/>
      </c>
      <c r="EL18" t="str">
        <f>IF(EK18="","",COUNTIFS(EK$4:EK$40,"&lt;"&amp;EK18,EK$4:EK$40,"&lt;&gt;"&amp;"")+COUNTIF(EK$4:EK18,EK18))</f>
        <v/>
      </c>
      <c r="EM18" s="137" t="e">
        <f t="shared" si="57"/>
        <v>#N/A</v>
      </c>
      <c r="EN18" s="137" t="e">
        <f>EN17+IF(AND(EM18&lt;&gt;"",COUNTIF(EM$4:EM18,EM18)=1),1,0)</f>
        <v>#N/A</v>
      </c>
      <c r="EO18" t="e">
        <f t="shared" si="58"/>
        <v>#N/A</v>
      </c>
      <c r="EP18" t="str">
        <f>IF('Final Calculation Sheet'!$AB$18="","",'Final Calculation Sheet'!$AB$18)</f>
        <v/>
      </c>
      <c r="EQ18" t="str">
        <f>IF(EP18="","",COUNTIFS(EP$4:EP$40,"&lt;"&amp;EP18,EP$4:EP$40,"&lt;&gt;"&amp;"")+COUNTIF(EP$4:EP18,EP18))</f>
        <v/>
      </c>
      <c r="ER18" s="137" t="e">
        <f t="shared" si="59"/>
        <v>#N/A</v>
      </c>
      <c r="ES18" s="137" t="e">
        <f>ES17+IF(AND(ER18&lt;&gt;"",COUNTIF(ER$4:ER18,ER18)=1),1,0)</f>
        <v>#N/A</v>
      </c>
      <c r="ET18" t="e">
        <f t="shared" si="60"/>
        <v>#N/A</v>
      </c>
      <c r="EU18" s="55">
        <f>IF('Final Calculation Sheet'!$AC$18="","",'Final Calculation Sheet'!$AC$18)</f>
        <v>258831</v>
      </c>
      <c r="EV18" s="137">
        <f>IF(EU18="","",COUNTIFS(EU$4:EU$40,"&lt;"&amp;EU18,EU$4:EU$40,"&lt;&gt;"&amp;"")+COUNTIF(EU$4:EU18,EU18))</f>
        <v>28</v>
      </c>
      <c r="EW18" s="55">
        <f t="shared" si="61"/>
        <v>83532</v>
      </c>
      <c r="EX18" s="137">
        <f>EX17+IF(AND(EW18&lt;&gt;"",COUNTIF(EW$4:EW18,EW18)=1),1,0)</f>
        <v>15</v>
      </c>
      <c r="EY18" s="55">
        <f t="shared" si="62"/>
        <v>83532</v>
      </c>
      <c r="EZ18" s="55">
        <f>IF('Final Calculation Sheet'!$AD$18="","",'Final Calculation Sheet'!$AD$18)</f>
        <v>0</v>
      </c>
      <c r="FA18" s="137">
        <f>IF(EZ18="","",COUNTIFS(EZ$4:EZ$40,"&lt;"&amp;EZ18,EZ$4:EZ$40,"&lt;&gt;"&amp;"")+COUNTIF(EZ$4:EZ18,EZ18))</f>
        <v>16</v>
      </c>
      <c r="FB18" s="55">
        <f t="shared" si="63"/>
        <v>0</v>
      </c>
      <c r="FC18" s="137" t="e">
        <f>FC17+IF(AND(FB18&lt;&gt;"",COUNTIF(FB$4:FB18,FB18)=1),1,0)</f>
        <v>#N/A</v>
      </c>
      <c r="FD18" t="e">
        <f t="shared" si="64"/>
        <v>#N/A</v>
      </c>
      <c r="FE18" t="str">
        <f>IF('Final Calculation Sheet'!$AE$18="","",'Final Calculation Sheet'!$AE$18)</f>
        <v>DR2640100034</v>
      </c>
      <c r="FF18" s="137">
        <f>IF(FE18="","",COUNTIFS(FE$4:FE$40,"&lt;"&amp;FE18,FE$4:FE$40,"&lt;&gt;"&amp;"")+COUNTIF(FE$4:FE18,FE18))</f>
        <v>23</v>
      </c>
      <c r="FG18" t="str">
        <f t="shared" si="65"/>
        <v>DR2640100026</v>
      </c>
      <c r="FH18" s="137" t="e">
        <f>FH17+IF(AND(FG18&lt;&gt;"",COUNTIF(FG$4:FG18,FG18)=1),1,0)</f>
        <v>#N/A</v>
      </c>
      <c r="FI18" t="e">
        <f t="shared" si="66"/>
        <v>#N/A</v>
      </c>
      <c r="FJ18" s="141">
        <f>IF('Final Calculation Sheet'!$AF$18="","",'Final Calculation Sheet'!$AF$18)</f>
        <v>1800003306</v>
      </c>
      <c r="FK18" s="137">
        <f>IF(FJ18="","",COUNTIFS(FJ$4:FJ$40,"&lt;"&amp;FJ18,FJ$4:FJ$40,"&lt;&gt;"&amp;"")+COUNTIF(FJ$4:FJ18,FJ18))</f>
        <v>18</v>
      </c>
      <c r="FL18" s="141">
        <f t="shared" si="67"/>
        <v>1800003303</v>
      </c>
      <c r="FM18" s="137">
        <f>FM17+IF(AND(FL18&lt;&gt;"",COUNTIF(FL$4:FL18,FL18)=1),1,0)</f>
        <v>15</v>
      </c>
      <c r="FN18" t="e">
        <f t="shared" si="68"/>
        <v>#N/A</v>
      </c>
      <c r="FO18" t="str">
        <f>IF('Final Calculation Sheet'!$AG$18="","",'Final Calculation Sheet'!$AG$18)</f>
        <v>27.08.2026</v>
      </c>
      <c r="FP18" s="137">
        <f>IF(FO18="","",COUNTIFS(FO$4:FO$40,"&lt;"&amp;FO18,FO$4:FO$40,"&lt;&gt;"&amp;"")+COUNTIF(FO$4:FO18,FO18))</f>
        <v>26</v>
      </c>
      <c r="FQ18" t="str">
        <f t="shared" si="69"/>
        <v>20.08.2026</v>
      </c>
      <c r="FR18" s="137" t="e">
        <f>FR17+IF(AND(FQ18&lt;&gt;"",COUNTIF(FQ$4:FQ18,FQ18)=1),1,0)</f>
        <v>#N/A</v>
      </c>
      <c r="FS18" t="e">
        <f t="shared" si="70"/>
        <v>#N/A</v>
      </c>
      <c r="FU18" t="str">
        <f>IF(FT18="","",COUNTIFS(FT$4:FT$40,"&lt;"&amp;FT18,FT$4:FT$40,"&lt;&gt;"&amp;"")+COUNTIF(FT$4:FT18,FT18))</f>
        <v/>
      </c>
      <c r="FV18" t="str">
        <f t="shared" si="71"/>
        <v/>
      </c>
      <c r="FW18" s="137">
        <f>FW17+IF(AND(FV18&lt;&gt;"",COUNTIF(FV$4:FV18,FV18)=1),1,0)</f>
        <v>2</v>
      </c>
      <c r="FX18" t="str">
        <f t="shared" si="72"/>
        <v/>
      </c>
    </row>
    <row r="19" spans="1:180" x14ac:dyDescent="0.25">
      <c r="A19">
        <f>IF('Final Calculation Sheet'!$F$19="","",'Final Calculation Sheet'!$F$19)</f>
        <v>2019</v>
      </c>
      <c r="B19" s="137">
        <f>IF(A19="","",COUNTIFS(A$4:A$114,"&lt;"&amp;A19,A$4:A$114,"&lt;&gt;"&amp;"")+COUNTIF(A$4:A19,A19))</f>
        <v>16</v>
      </c>
      <c r="C19" s="137">
        <f t="shared" si="0"/>
        <v>2019</v>
      </c>
      <c r="D19" s="137">
        <f>D18+IF(AND(C19&lt;&gt;"",COUNTIF(C$4:C19,C19)=1),1,0)</f>
        <v>16</v>
      </c>
      <c r="E19" t="e">
        <f t="shared" si="1"/>
        <v>#N/A</v>
      </c>
      <c r="F19">
        <f t="shared" si="2"/>
        <v>16</v>
      </c>
      <c r="G19" s="137">
        <f>IF(F19="","",COUNTIFS(F$4:F$40,"&lt;"&amp;F19,F$4:F$40,"&lt;&gt;"&amp;"")+COUNTIF(F$4:F19,F19))</f>
        <v>16</v>
      </c>
      <c r="H19" s="137">
        <f t="shared" si="3"/>
        <v>16</v>
      </c>
      <c r="I19" s="137">
        <f>I18+IF(AND(H19&lt;&gt;"",COUNTIF(H$4:H19,H19)=1),1,0)</f>
        <v>16</v>
      </c>
      <c r="J19">
        <f t="shared" si="4"/>
        <v>16</v>
      </c>
      <c r="K19">
        <f>IF('Final Calculation Sheet'!$F$19="","",'Final Calculation Sheet'!$F$19)</f>
        <v>2019</v>
      </c>
      <c r="L19" s="137">
        <f>IF(K19="","",COUNTIFS(K$4:K$40,"&lt;"&amp;K19,K$4:K$40,"&lt;&gt;"&amp;"")+COUNTIF(K$4:K19,K19))</f>
        <v>16</v>
      </c>
      <c r="M19" s="137">
        <f t="shared" si="5"/>
        <v>2019</v>
      </c>
      <c r="N19" s="137">
        <f>N18+IF(AND(M19&lt;&gt;"",COUNTIF(M$4:M19,M19)=1),1,0)</f>
        <v>16</v>
      </c>
      <c r="O19">
        <f t="shared" si="6"/>
        <v>2019</v>
      </c>
      <c r="P19" t="str">
        <f>IF('Final Calculation Sheet'!$G$19="","",'Final Calculation Sheet'!$G$19)</f>
        <v>NATIONAL ENTERPRISES</v>
      </c>
      <c r="Q19" s="137">
        <f>IF(P19="","",COUNTIFS(P$4:P$40,"&lt;"&amp;P19,P$4:P$40,"&lt;&gt;"&amp;"")+COUNTIF(P$4:P19,P19))</f>
        <v>12</v>
      </c>
      <c r="R19" t="str">
        <f t="shared" si="7"/>
        <v>NATIONAL ENTERPRISES</v>
      </c>
      <c r="S19" s="137">
        <f>S18+IF(AND(R19&lt;&gt;"",COUNTIF(R$4:R19,R19)=1),1,0)</f>
        <v>6</v>
      </c>
      <c r="T19" t="str">
        <f t="shared" si="8"/>
        <v/>
      </c>
      <c r="U19" t="str">
        <f>IF('Final Calculation Sheet'!$B$19="","",'Final Calculation Sheet'!$B$19)</f>
        <v>Scrap of 220 KV Circuit Breaker</v>
      </c>
      <c r="V19" s="137">
        <f>IF(U19="","",COUNTIFS(U$4:U$40,"&lt;"&amp;U19,U$4:U$40,"&lt;&gt;"&amp;"")+COUNTIF(U$4:U19,U19))</f>
        <v>16</v>
      </c>
      <c r="W19" t="str">
        <f t="shared" si="9"/>
        <v>Scrap of 220 KV Circuit Breaker</v>
      </c>
      <c r="X19" s="137">
        <f>X18+IF(AND(W19&lt;&gt;"",COUNTIF(W$4:W19,W19)=1),1,0)</f>
        <v>9</v>
      </c>
      <c r="Y19" t="str">
        <f t="shared" si="10"/>
        <v>Scrap of 66 kv TBC C &amp; R Panel</v>
      </c>
      <c r="Z19">
        <f>IF('Final Calculation Sheet'!$D$19="","",'Final Calculation Sheet'!$D$19)</f>
        <v>21978</v>
      </c>
      <c r="AA19" s="137">
        <f>IF(Z19="","",COUNTIFS(Z$4:Z$40,"&lt;"&amp;Z19,Z$4:Z$40,"&lt;&gt;"&amp;"")+COUNTIF(Z$4:Z19,Z19))</f>
        <v>14</v>
      </c>
      <c r="AB19" s="137">
        <f t="shared" si="11"/>
        <v>21978</v>
      </c>
      <c r="AC19" s="137">
        <f>AC18+IF(AND(AB19&lt;&gt;"",COUNTIF(AB$4:AB19,AB19)=1),1,0)</f>
        <v>2</v>
      </c>
      <c r="AD19" t="str">
        <f t="shared" si="12"/>
        <v/>
      </c>
      <c r="AE19">
        <f>IF('Final Calculation Sheet'!$A$19="","",'Final Calculation Sheet'!$A$19)</f>
        <v>1</v>
      </c>
      <c r="AF19" s="137">
        <f>IF(AE19="","",COUNTIFS(AE$4:AE$40,"&lt;"&amp;AE19,AE$4:AE$40,"&lt;&gt;"&amp;"")+COUNTIF(AE$4:AE19,AE19))</f>
        <v>6</v>
      </c>
      <c r="AG19" s="137">
        <f t="shared" si="13"/>
        <v>3</v>
      </c>
      <c r="AH19" s="137">
        <f>AH18+IF(AND(AG19&lt;&gt;"",COUNTIF(AG$4:AG19,AG19)=1),1,0)</f>
        <v>3</v>
      </c>
      <c r="AI19">
        <f t="shared" si="14"/>
        <v>270</v>
      </c>
      <c r="AJ19" t="str">
        <f>IF('Final Calculation Sheet'!$E$19="","",'Final Calculation Sheet'!$E$19)</f>
        <v>NO</v>
      </c>
      <c r="AK19" s="137">
        <f>IF(AJ19="","",COUNTIFS(AJ$4:AJ$40,"&lt;"&amp;AJ19,AJ$4:AJ$40,"&lt;&gt;"&amp;"")+COUNTIF(AJ$4:AJ19,AJ19))</f>
        <v>19</v>
      </c>
      <c r="AL19" t="str">
        <f t="shared" si="15"/>
        <v>NO</v>
      </c>
      <c r="AM19" s="137">
        <f>AM18+IF(AND(AL19&lt;&gt;"",COUNTIF(AL$4:AL19,AL19)=1),1,0)</f>
        <v>3</v>
      </c>
      <c r="AN19" t="str">
        <f t="shared" si="16"/>
        <v/>
      </c>
      <c r="AO19" s="55">
        <f>IF('Final Calculation Sheet'!$C$19="","",'Final Calculation Sheet'!$C$19)</f>
        <v>210001</v>
      </c>
      <c r="AP19" s="137">
        <f>IF(AO19="","",COUNTIFS(AO$4:AO$40,"&lt;"&amp;AO19,AO$4:AO$40,"&lt;&gt;"&amp;"")+COUNTIF(AO$4:AO19,AO19))</f>
        <v>34</v>
      </c>
      <c r="AQ19" s="55">
        <f t="shared" si="17"/>
        <v>1456</v>
      </c>
      <c r="AR19" s="137">
        <f>AR18+IF(AND(AQ19&lt;&gt;"",COUNTIF(AQ$4:AQ19,AQ19)=1),1,0)</f>
        <v>14</v>
      </c>
      <c r="AS19" s="55">
        <f t="shared" si="18"/>
        <v>15006</v>
      </c>
      <c r="AT19" s="55">
        <f>IF('Final Calculation Sheet'!$H$19="","",'Final Calculation Sheet'!$H$19)</f>
        <v>210001</v>
      </c>
      <c r="AU19" s="137">
        <f>IF(AT19="","",COUNTIFS(AT$4:AT$40,"&lt;"&amp;AT19,AT$4:AT$40,"&lt;&gt;"&amp;"")+COUNTIF(AT$4:AT19,AT19))</f>
        <v>24</v>
      </c>
      <c r="AV19" s="55">
        <f t="shared" si="19"/>
        <v>85650</v>
      </c>
      <c r="AW19" s="137">
        <f>AW18+IF(AND(AV19&lt;&gt;"",COUNTIF(AV$4:AV19,AV19)=1),1,0)</f>
        <v>16</v>
      </c>
      <c r="AX19" s="55">
        <f t="shared" si="20"/>
        <v>85650</v>
      </c>
      <c r="AY19" s="55">
        <f>IF('Final Calculation Sheet'!$I$19="","",'Final Calculation Sheet'!$I$19)</f>
        <v>37800</v>
      </c>
      <c r="AZ19" s="137">
        <f>IF(AY19="","",COUNTIFS(AY$4:AY$40,"&lt;"&amp;AY19,AY$4:AY$40,"&lt;&gt;"&amp;"")+COUNTIF(AY$4:AY19,AY19))</f>
        <v>24</v>
      </c>
      <c r="BA19" s="55">
        <f t="shared" si="21"/>
        <v>15417</v>
      </c>
      <c r="BB19" s="137">
        <f>BB18+IF(AND(BA19&lt;&gt;"",COUNTIF(BA$4:BA19,BA19)=1),1,0)</f>
        <v>16</v>
      </c>
      <c r="BC19" s="55">
        <f t="shared" si="22"/>
        <v>15417</v>
      </c>
      <c r="BD19" s="55">
        <f>IF('Final Calculation Sheet'!$J$19="","",'Final Calculation Sheet'!$J$19)</f>
        <v>247801</v>
      </c>
      <c r="BE19" s="137">
        <f>IF(BD19="","",COUNTIFS(BD$4:BD$40,"&lt;"&amp;BD19,BD$4:BD$40,"&lt;&gt;"&amp;"")+COUNTIF(BD$4:BD19,BD19))</f>
        <v>24</v>
      </c>
      <c r="BF19" s="55">
        <f t="shared" si="23"/>
        <v>101067</v>
      </c>
      <c r="BG19" s="137">
        <f>BG18+IF(AND(BF19&lt;&gt;"",COUNTIF(BF$4:BF19,BF19)=1),1,0)</f>
        <v>16</v>
      </c>
      <c r="BH19" s="55">
        <f t="shared" si="24"/>
        <v>101067</v>
      </c>
      <c r="BI19" s="55">
        <f>IF('Final Calculation Sheet'!$K$19="","",'Final Calculation Sheet'!$K$19)</f>
        <v>4956</v>
      </c>
      <c r="BJ19" s="137">
        <f>IF(BI19="","",COUNTIFS(BI$4:BI$40,"&lt;"&amp;BI19,BI$4:BI$40,"&lt;&gt;"&amp;"")+COUNTIF(BI$4:BI19,BI19))</f>
        <v>24</v>
      </c>
      <c r="BK19" s="55">
        <f t="shared" si="25"/>
        <v>2021</v>
      </c>
      <c r="BL19" s="137">
        <f>BL18+IF(AND(BK19&lt;&gt;"",COUNTIF(BK$4:BK19,BK19)=1),1,0)</f>
        <v>16</v>
      </c>
      <c r="BM19" s="55">
        <f t="shared" si="26"/>
        <v>2021</v>
      </c>
      <c r="BN19" s="55">
        <f>IF('Final Calculation Sheet'!$L$19="","",'Final Calculation Sheet'!$L$19)</f>
        <v>210.001</v>
      </c>
      <c r="BO19" s="137">
        <f>IF(BN19="","",COUNTIFS(BN$4:BN$40,"&lt;"&amp;BN19,BN$4:BN$40,"&lt;&gt;"&amp;"")+COUNTIF(BN$4:BN19,BN19))</f>
        <v>24</v>
      </c>
      <c r="BP19" s="55">
        <f t="shared" si="27"/>
        <v>85.65</v>
      </c>
      <c r="BQ19" s="137">
        <f>BQ18+IF(AND(BP19&lt;&gt;"",COUNTIF(BP$4:BP19,BP19)=1),1,0)</f>
        <v>16</v>
      </c>
      <c r="BR19" s="55">
        <f t="shared" si="28"/>
        <v>85.65</v>
      </c>
      <c r="BS19" s="55">
        <f>IF('Final Calculation Sheet'!$M$19="","",'Final Calculation Sheet'!$M$19)</f>
        <v>5575.5265499999996</v>
      </c>
      <c r="BT19" s="137">
        <f>IF(BS19="","",COUNTIFS(BS$4:BS$40,"&lt;"&amp;BS19,BS$4:BS$40,"&lt;&gt;"&amp;"")+COUNTIF(BS$4:BS19,BS19))</f>
        <v>24</v>
      </c>
      <c r="BU19" s="55">
        <f t="shared" si="29"/>
        <v>2274.0074999999997</v>
      </c>
      <c r="BV19" s="137">
        <f>BV18+IF(AND(BU19&lt;&gt;"",COUNTIF(BU$4:BU19,BU19)=1),1,0)</f>
        <v>16</v>
      </c>
      <c r="BW19" s="55">
        <f t="shared" si="30"/>
        <v>2274.0074999999997</v>
      </c>
      <c r="BX19" s="138">
        <f>IF('Final Calculation Sheet'!$N$19="","",'Final Calculation Sheet'!$N$19)</f>
        <v>94.500450000000001</v>
      </c>
      <c r="BY19" s="137">
        <f>IF(BX19="","",COUNTIFS(BX$4:BX$40,"&lt;"&amp;BX19,BX$4:BX$40,"&lt;&gt;"&amp;"")+COUNTIF(BX$4:BX19,BX19))</f>
        <v>24</v>
      </c>
      <c r="BZ19" s="138">
        <f t="shared" si="31"/>
        <v>38.542500000000004</v>
      </c>
      <c r="CA19" s="137">
        <f>CA18+IF(AND(BZ19&lt;&gt;"",COUNTIF(BZ$4:BZ19,BZ19)=1),1,0)</f>
        <v>16</v>
      </c>
      <c r="CB19" s="138">
        <f t="shared" si="32"/>
        <v>38.542500000000004</v>
      </c>
      <c r="CC19" s="55">
        <f>IF('Final Calculation Sheet'!$O$19="","",'Final Calculation Sheet'!$O$19)</f>
        <v>5481.0260999999991</v>
      </c>
      <c r="CD19" s="137">
        <f>IF(CC19="","",COUNTIFS(CC$4:CC$40,"&lt;"&amp;CC19,CC$4:CC$40,"&lt;&gt;"&amp;"")+COUNTIF(CC$4:CC19,CC19))</f>
        <v>24</v>
      </c>
      <c r="CE19" s="55">
        <f t="shared" si="33"/>
        <v>2235.4649999999997</v>
      </c>
      <c r="CF19" s="137">
        <f>CF18+IF(AND(CE19&lt;&gt;"",COUNTIF(CE$4:CE19,CE19)=1),1,0)</f>
        <v>16</v>
      </c>
      <c r="CG19" s="55">
        <f t="shared" si="34"/>
        <v>2235.4649999999997</v>
      </c>
      <c r="CH19" s="55">
        <f>IF('Final Calculation Sheet'!$P$19="","",'Final Calculation Sheet'!$P$19)</f>
        <v>5691</v>
      </c>
      <c r="CI19" s="137">
        <f>IF(CH19="","",COUNTIFS(CH$4:CH$40,"&lt;"&amp;CH19,CH$4:CH$40,"&lt;&gt;"&amp;"")+COUNTIF(CH$4:CH19,CH19))</f>
        <v>24</v>
      </c>
      <c r="CJ19" s="55">
        <f t="shared" si="35"/>
        <v>2321</v>
      </c>
      <c r="CK19" s="137">
        <f>CK18+IF(AND(CJ19&lt;&gt;"",COUNTIF(CJ$4:CJ19,CJ19)=1),1,0)</f>
        <v>16</v>
      </c>
      <c r="CL19" s="55">
        <f t="shared" si="36"/>
        <v>2321</v>
      </c>
      <c r="CM19" s="139">
        <f>IF('Final Calculation Sheet'!$Q$19="","",'Final Calculation Sheet'!$Q$19)</f>
        <v>0</v>
      </c>
      <c r="CN19" s="137">
        <f>IF(CM19="","",COUNTIFS(CM$4:CM$40,"&lt;"&amp;CM19,CM$4:CM$40,"&lt;&gt;"&amp;"")+COUNTIF(CM$4:CM19,CM19))</f>
        <v>14</v>
      </c>
      <c r="CO19" s="139">
        <f t="shared" si="37"/>
        <v>0</v>
      </c>
      <c r="CP19" s="137">
        <f>CP18+IF(AND(CO19&lt;&gt;"",COUNTIF(CO$4:CO19,CO19)=1),1,0)</f>
        <v>1</v>
      </c>
      <c r="CQ19" t="str">
        <f t="shared" si="38"/>
        <v/>
      </c>
      <c r="CR19" s="55">
        <f>IF('Final Calculation Sheet'!$R$19="","",'Final Calculation Sheet'!$R$19)</f>
        <v>0</v>
      </c>
      <c r="CS19" s="137">
        <f>IF(CR19="","",COUNTIFS(CR$4:CR$40,"&lt;"&amp;CR19,CR$4:CR$40,"&lt;&gt;"&amp;"")+COUNTIF(CR$4:CR19,CR19))</f>
        <v>14</v>
      </c>
      <c r="CT19" s="55">
        <f t="shared" si="39"/>
        <v>0</v>
      </c>
      <c r="CU19" s="137">
        <f>CU18+IF(AND(CT19&lt;&gt;"",COUNTIF(CT$4:CT19,CT19)=1),1,0)</f>
        <v>1</v>
      </c>
      <c r="CV19" t="str">
        <f t="shared" si="40"/>
        <v/>
      </c>
      <c r="CW19" s="55">
        <f>IF('Final Calculation Sheet'!$S$19="","",'Final Calculation Sheet'!$S$19)</f>
        <v>247066</v>
      </c>
      <c r="CX19" s="137">
        <f>IF(CW19="","",COUNTIFS(CW$4:CW$40,"&lt;"&amp;CW19,CW$4:CW$40,"&lt;&gt;"&amp;"")+COUNTIF(CW$4:CW19,CW19))</f>
        <v>24</v>
      </c>
      <c r="CY19" s="55">
        <f t="shared" si="41"/>
        <v>100767</v>
      </c>
      <c r="CZ19" s="137">
        <f>CZ18+IF(AND(CY19&lt;&gt;"",COUNTIF(CY$4:CY19,CY19)=1),1,0)</f>
        <v>16</v>
      </c>
      <c r="DA19" s="55">
        <f t="shared" si="42"/>
        <v>100767</v>
      </c>
      <c r="DB19" s="55">
        <f>IF('Final Calculation Sheet'!$T$19="","",'Final Calculation Sheet'!$T$19)</f>
        <v>52500</v>
      </c>
      <c r="DC19" s="137">
        <f>IF(DB19="","",COUNTIFS(DB$4:DB$40,"&lt;"&amp;DB19,DB$4:DB$40,"&lt;&gt;"&amp;"")+COUNTIF(DB$4:DB19,DB19))</f>
        <v>24</v>
      </c>
      <c r="DD19" s="55">
        <f t="shared" si="43"/>
        <v>21413</v>
      </c>
      <c r="DE19" s="137">
        <f>DE18+IF(AND(DD19&lt;&gt;"",COUNTIF(DD$4:DD19,DD19)=1),1,0)</f>
        <v>16</v>
      </c>
      <c r="DF19" s="55">
        <f t="shared" si="44"/>
        <v>21413</v>
      </c>
      <c r="DG19" s="140">
        <f>IF('Final Calculation Sheet'!$U$19="","",'Final Calculation Sheet'!$U$19)</f>
        <v>52500</v>
      </c>
      <c r="DH19" s="137">
        <f>IF(DG19="","",COUNTIFS(DG$4:DG$40,"&lt;"&amp;DG19,DG$4:DG$40,"&lt;&gt;"&amp;"")+COUNTIF(DG$4:DG19,DG19))</f>
        <v>24</v>
      </c>
      <c r="DI19" s="140">
        <f t="shared" si="45"/>
        <v>21413</v>
      </c>
      <c r="DJ19" s="137">
        <f>DJ18+IF(AND(DI19&lt;&gt;"",COUNTIF(DI$4:DI19,DI19)=1),1,0)</f>
        <v>16</v>
      </c>
      <c r="DK19" s="140">
        <f t="shared" si="46"/>
        <v>21413</v>
      </c>
      <c r="DL19" t="str">
        <f>IF('Final Calculation Sheet'!$V$19="","",'Final Calculation Sheet'!$V$19)</f>
        <v>13.08.2026</v>
      </c>
      <c r="DM19" s="137">
        <f>IF(DL19="","",COUNTIFS(DL$4:DL$40,"&lt;"&amp;DL19,DL$4:DL$40,"&lt;&gt;"&amp;"")+COUNTIF(DL$4:DL19,DL19))</f>
        <v>19</v>
      </c>
      <c r="DN19" t="str">
        <f t="shared" si="47"/>
        <v>13.08.2026</v>
      </c>
      <c r="DO19" s="137">
        <f>DO18+IF(AND(DN19&lt;&gt;"",COUNTIF(DN$4:DN19,DN19)=1),1,0)</f>
        <v>3</v>
      </c>
      <c r="DP19" t="str">
        <f t="shared" si="48"/>
        <v/>
      </c>
      <c r="DQ19" s="55">
        <f>IF('Final Calculation Sheet'!$W$19="","",'Final Calculation Sheet'!$W$19)</f>
        <v>194566</v>
      </c>
      <c r="DR19" s="137">
        <f>IF(DQ19="","",COUNTIFS(DQ$4:DQ$40,"&lt;"&amp;DQ19,DQ$4:DQ$40,"&lt;&gt;"&amp;"")+COUNTIF(DQ$4:DQ19,DQ19))</f>
        <v>24</v>
      </c>
      <c r="DS19" s="55">
        <f t="shared" si="49"/>
        <v>79355</v>
      </c>
      <c r="DT19" s="137">
        <f>DT18+IF(AND(DS19&lt;&gt;"",COUNTIF(DS$4:DS19,DS19)=1),1,0)</f>
        <v>16</v>
      </c>
      <c r="DU19" s="55">
        <f t="shared" si="50"/>
        <v>79355</v>
      </c>
      <c r="DV19" s="55">
        <f>IF('Final Calculation Sheet'!$X$19="","",'Final Calculation Sheet'!$X$19)</f>
        <v>194566</v>
      </c>
      <c r="DW19" s="137">
        <f>IF(DV19="","",COUNTIFS(DV$4:DV$40,"&lt;"&amp;DV19,DV$4:DV$40,"&lt;&gt;"&amp;"")+COUNTIF(DV$4:DV19,DV19))</f>
        <v>23</v>
      </c>
      <c r="DX19" s="55">
        <f t="shared" si="51"/>
        <v>111189</v>
      </c>
      <c r="DY19" s="137">
        <f>DY18+IF(AND(DX19&lt;&gt;"",COUNTIF(DX$4:DX19,DX19)=1),1,0)</f>
        <v>16</v>
      </c>
      <c r="DZ19" t="e">
        <f t="shared" si="52"/>
        <v>#N/A</v>
      </c>
      <c r="EA19" t="str">
        <f>IF('Final Calculation Sheet'!$Y$19="","",'Final Calculation Sheet'!$Y$19)</f>
        <v>24.08.2026</v>
      </c>
      <c r="EB19" s="137">
        <f>IF(EA19="","",COUNTIFS(EA$4:EA$40,"&lt;"&amp;EA19,EA$4:EA$40,"&lt;&gt;"&amp;"")+COUNTIF(EA$4:EA19,EA19))</f>
        <v>27</v>
      </c>
      <c r="EC19" t="str">
        <f t="shared" si="53"/>
        <v>20.08.2026</v>
      </c>
      <c r="ED19" s="137">
        <f>ED18+IF(AND(EC19&lt;&gt;"",COUNTIF(EC$4:EC19,EC19)=1),1,0)</f>
        <v>7</v>
      </c>
      <c r="EE19" t="e">
        <f t="shared" si="54"/>
        <v>#N/A</v>
      </c>
      <c r="EF19" s="55">
        <f ca="1">IF('Final Calculation Sheet'!$Z$19="","",'Final Calculation Sheet'!$Z$19)</f>
        <v>0</v>
      </c>
      <c r="EG19" s="137">
        <f ca="1">IF(EF19="","",COUNTIFS(EF$4:EF$40,"&lt;"&amp;EF19,EF$4:EF$40,"&lt;&gt;"&amp;"")+COUNTIF(EF$4:EF19,EF19))</f>
        <v>16</v>
      </c>
      <c r="EH19" s="55">
        <f t="shared" ca="1" si="55"/>
        <v>0</v>
      </c>
      <c r="EI19" s="137">
        <f ca="1">EI18+IF(AND(EH19&lt;&gt;"",COUNTIF(EH$4:EH19,EH19)=1),1,0)</f>
        <v>1</v>
      </c>
      <c r="EJ19" t="str">
        <f t="shared" ca="1" si="56"/>
        <v/>
      </c>
      <c r="EK19" t="str">
        <f>IF('Final Calculation Sheet'!$AA$19="","",'Final Calculation Sheet'!$AA$19)</f>
        <v/>
      </c>
      <c r="EL19" t="str">
        <f>IF(EK19="","",COUNTIFS(EK$4:EK$40,"&lt;"&amp;EK19,EK$4:EK$40,"&lt;&gt;"&amp;"")+COUNTIF(EK$4:EK19,EK19))</f>
        <v/>
      </c>
      <c r="EM19" s="137" t="e">
        <f t="shared" si="57"/>
        <v>#N/A</v>
      </c>
      <c r="EN19" s="137" t="e">
        <f>EN18+IF(AND(EM19&lt;&gt;"",COUNTIF(EM$4:EM19,EM19)=1),1,0)</f>
        <v>#N/A</v>
      </c>
      <c r="EO19" t="e">
        <f t="shared" si="58"/>
        <v>#N/A</v>
      </c>
      <c r="EP19" t="str">
        <f>IF('Final Calculation Sheet'!$AB$19="","",'Final Calculation Sheet'!$AB$19)</f>
        <v/>
      </c>
      <c r="EQ19" t="str">
        <f>IF(EP19="","",COUNTIFS(EP$4:EP$40,"&lt;"&amp;EP19,EP$4:EP$40,"&lt;&gt;"&amp;"")+COUNTIF(EP$4:EP19,EP19))</f>
        <v/>
      </c>
      <c r="ER19" s="137" t="e">
        <f t="shared" si="59"/>
        <v>#N/A</v>
      </c>
      <c r="ES19" s="137" t="e">
        <f>ES18+IF(AND(ER19&lt;&gt;"",COUNTIF(ER$4:ER19,ER19)=1),1,0)</f>
        <v>#N/A</v>
      </c>
      <c r="ET19" t="e">
        <f t="shared" si="60"/>
        <v>#N/A</v>
      </c>
      <c r="EU19" s="55">
        <f>IF('Final Calculation Sheet'!$AC$19="","",'Final Calculation Sheet'!$AC$19)</f>
        <v>247066</v>
      </c>
      <c r="EV19" s="137">
        <f>IF(EU19="","",COUNTIFS(EU$4:EU$40,"&lt;"&amp;EU19,EU$4:EU$40,"&lt;&gt;"&amp;"")+COUNTIF(EU$4:EU19,EU19))</f>
        <v>26</v>
      </c>
      <c r="EW19" s="55">
        <f t="shared" si="61"/>
        <v>88242</v>
      </c>
      <c r="EX19" s="137">
        <f>EX18+IF(AND(EW19&lt;&gt;"",COUNTIF(EW$4:EW19,EW19)=1),1,0)</f>
        <v>16</v>
      </c>
      <c r="EY19" s="55">
        <f t="shared" si="62"/>
        <v>88242</v>
      </c>
      <c r="EZ19" s="55">
        <f>IF('Final Calculation Sheet'!$AD$19="","",'Final Calculation Sheet'!$AD$19)</f>
        <v>0</v>
      </c>
      <c r="FA19" s="137">
        <f>IF(EZ19="","",COUNTIFS(EZ$4:EZ$40,"&lt;"&amp;EZ19,EZ$4:EZ$40,"&lt;&gt;"&amp;"")+COUNTIF(EZ$4:EZ19,EZ19))</f>
        <v>17</v>
      </c>
      <c r="FB19" s="55">
        <f t="shared" si="63"/>
        <v>0</v>
      </c>
      <c r="FC19" s="137" t="e">
        <f>FC18+IF(AND(FB19&lt;&gt;"",COUNTIF(FB$4:FB19,FB19)=1),1,0)</f>
        <v>#N/A</v>
      </c>
      <c r="FD19" t="e">
        <f t="shared" si="64"/>
        <v>#N/A</v>
      </c>
      <c r="FE19" t="str">
        <f>IF('Final Calculation Sheet'!$AE$19="","",'Final Calculation Sheet'!$AE$19)</f>
        <v>DR2640100035</v>
      </c>
      <c r="FF19" s="137">
        <f>IF(FE19="","",COUNTIFS(FE$4:FE$40,"&lt;"&amp;FE19,FE$4:FE$40,"&lt;&gt;"&amp;"")+COUNTIF(FE$4:FE19,FE19))</f>
        <v>24</v>
      </c>
      <c r="FG19" t="str">
        <f t="shared" si="65"/>
        <v>DR2640100027</v>
      </c>
      <c r="FH19" s="137" t="e">
        <f>FH18+IF(AND(FG19&lt;&gt;"",COUNTIF(FG$4:FG19,FG19)=1),1,0)</f>
        <v>#N/A</v>
      </c>
      <c r="FI19" t="e">
        <f t="shared" si="66"/>
        <v>#N/A</v>
      </c>
      <c r="FJ19" s="141">
        <f>IF('Final Calculation Sheet'!$AF$19="","",'Final Calculation Sheet'!$AF$19)</f>
        <v>1800003307</v>
      </c>
      <c r="FK19" s="137">
        <f>IF(FJ19="","",COUNTIFS(FJ$4:FJ$40,"&lt;"&amp;FJ19,FJ$4:FJ$40,"&lt;&gt;"&amp;"")+COUNTIF(FJ$4:FJ19,FJ19))</f>
        <v>19</v>
      </c>
      <c r="FL19" s="141">
        <f t="shared" si="67"/>
        <v>1800003304</v>
      </c>
      <c r="FM19" s="137">
        <f>FM18+IF(AND(FL19&lt;&gt;"",COUNTIF(FL$4:FL19,FL19)=1),1,0)</f>
        <v>16</v>
      </c>
      <c r="FN19" t="e">
        <f t="shared" si="68"/>
        <v>#N/A</v>
      </c>
      <c r="FO19" t="str">
        <f>IF('Final Calculation Sheet'!$AG$19="","",'Final Calculation Sheet'!$AG$19)</f>
        <v>27.08.2026</v>
      </c>
      <c r="FP19" s="137">
        <f>IF(FO19="","",COUNTIFS(FO$4:FO$40,"&lt;"&amp;FO19,FO$4:FO$40,"&lt;&gt;"&amp;"")+COUNTIF(FO$4:FO19,FO19))</f>
        <v>27</v>
      </c>
      <c r="FQ19" t="str">
        <f t="shared" si="69"/>
        <v>20.08.2026</v>
      </c>
      <c r="FR19" s="137" t="e">
        <f>FR18+IF(AND(FQ19&lt;&gt;"",COUNTIF(FQ$4:FQ19,FQ19)=1),1,0)</f>
        <v>#N/A</v>
      </c>
      <c r="FS19" t="e">
        <f t="shared" si="70"/>
        <v>#N/A</v>
      </c>
      <c r="FU19" t="str">
        <f>IF(FT19="","",COUNTIFS(FT$4:FT$40,"&lt;"&amp;FT19,FT$4:FT$40,"&lt;&gt;"&amp;"")+COUNTIF(FT$4:FT19,FT19))</f>
        <v/>
      </c>
      <c r="FV19" t="str">
        <f t="shared" si="71"/>
        <v/>
      </c>
      <c r="FW19" s="137">
        <f>FW18+IF(AND(FV19&lt;&gt;"",COUNTIF(FV$4:FV19,FV19)=1),1,0)</f>
        <v>2</v>
      </c>
      <c r="FX19" t="str">
        <f t="shared" si="72"/>
        <v/>
      </c>
    </row>
    <row r="20" spans="1:180" x14ac:dyDescent="0.25">
      <c r="A20">
        <f>IF('Final Calculation Sheet'!$F$20="","",'Final Calculation Sheet'!$F$20)</f>
        <v>2020</v>
      </c>
      <c r="B20" s="137">
        <f>IF(A20="","",COUNTIFS(A$4:A$114,"&lt;"&amp;A20,A$4:A$114,"&lt;&gt;"&amp;"")+COUNTIF(A$4:A20,A20))</f>
        <v>17</v>
      </c>
      <c r="C20" s="137">
        <f t="shared" si="0"/>
        <v>2020</v>
      </c>
      <c r="D20" s="137">
        <f>D19+IF(AND(C20&lt;&gt;"",COUNTIF(C$4:C20,C20)=1),1,0)</f>
        <v>17</v>
      </c>
      <c r="E20" t="e">
        <f t="shared" si="1"/>
        <v>#N/A</v>
      </c>
      <c r="F20">
        <f t="shared" si="2"/>
        <v>17</v>
      </c>
      <c r="G20" s="137">
        <f>IF(F20="","",COUNTIFS(F$4:F$40,"&lt;"&amp;F20,F$4:F$40,"&lt;&gt;"&amp;"")+COUNTIF(F$4:F20,F20))</f>
        <v>17</v>
      </c>
      <c r="H20" s="137">
        <f t="shared" si="3"/>
        <v>17</v>
      </c>
      <c r="I20" s="137">
        <f>I19+IF(AND(H20&lt;&gt;"",COUNTIF(H$4:H20,H20)=1),1,0)</f>
        <v>17</v>
      </c>
      <c r="J20">
        <f t="shared" si="4"/>
        <v>17</v>
      </c>
      <c r="K20">
        <f>IF('Final Calculation Sheet'!$F$20="","",'Final Calculation Sheet'!$F$20)</f>
        <v>2020</v>
      </c>
      <c r="L20" s="137">
        <f>IF(K20="","",COUNTIFS(K$4:K$40,"&lt;"&amp;K20,K$4:K$40,"&lt;&gt;"&amp;"")+COUNTIF(K$4:K20,K20))</f>
        <v>17</v>
      </c>
      <c r="M20" s="137">
        <f t="shared" si="5"/>
        <v>2020</v>
      </c>
      <c r="N20" s="137">
        <f>N19+IF(AND(M20&lt;&gt;"",COUNTIF(M$4:M20,M20)=1),1,0)</f>
        <v>17</v>
      </c>
      <c r="O20">
        <f t="shared" si="6"/>
        <v>2020</v>
      </c>
      <c r="P20" t="str">
        <f>IF('Final Calculation Sheet'!$G$20="","",'Final Calculation Sheet'!$G$20)</f>
        <v>OMKAR STEELS</v>
      </c>
      <c r="Q20" s="137">
        <f>IF(P20="","",COUNTIFS(P$4:P$40,"&lt;"&amp;P20,P$4:P$40,"&lt;&gt;"&amp;"")+COUNTIF(P$4:P20,P20))</f>
        <v>22</v>
      </c>
      <c r="R20" t="str">
        <f t="shared" si="7"/>
        <v>NATIONAL ENTERPRISES</v>
      </c>
      <c r="S20" s="137">
        <f>S19+IF(AND(R20&lt;&gt;"",COUNTIF(R$4:R20,R20)=1),1,0)</f>
        <v>6</v>
      </c>
      <c r="T20" t="str">
        <f t="shared" si="8"/>
        <v/>
      </c>
      <c r="U20" t="str">
        <f>IF('Final Calculation Sheet'!$B$20="","",'Final Calculation Sheet'!$B$20)</f>
        <v>SCRAP 80MM² AAAC EARTHWIRE</v>
      </c>
      <c r="V20" s="137">
        <f>IF(U20="","",COUNTIFS(U$4:U$40,"&lt;"&amp;U20,U$4:U$40,"&lt;&gt;"&amp;"")+COUNTIF(U$4:U20,U20))</f>
        <v>2</v>
      </c>
      <c r="W20" t="str">
        <f t="shared" si="9"/>
        <v>Scrap of 220 KV CT</v>
      </c>
      <c r="X20" s="137">
        <f>X19+IF(AND(W20&lt;&gt;"",COUNTIF(W$4:W20,W20)=1),1,0)</f>
        <v>10</v>
      </c>
      <c r="Y20" t="str">
        <f t="shared" si="10"/>
        <v>Scrap of AAAC Earth wire</v>
      </c>
      <c r="Z20">
        <f>IF('Final Calculation Sheet'!$D$20="","",'Final Calculation Sheet'!$D$20)</f>
        <v>21978</v>
      </c>
      <c r="AA20" s="137">
        <f>IF(Z20="","",COUNTIFS(Z$4:Z$40,"&lt;"&amp;Z20,Z$4:Z$40,"&lt;&gt;"&amp;"")+COUNTIF(Z$4:Z20,Z20))</f>
        <v>15</v>
      </c>
      <c r="AB20" s="137">
        <f t="shared" si="11"/>
        <v>21978</v>
      </c>
      <c r="AC20" s="137">
        <f>AC19+IF(AND(AB20&lt;&gt;"",COUNTIF(AB$4:AB20,AB20)=1),1,0)</f>
        <v>2</v>
      </c>
      <c r="AD20" t="str">
        <f t="shared" si="12"/>
        <v/>
      </c>
      <c r="AE20">
        <f>IF('Final Calculation Sheet'!$A$20="","",'Final Calculation Sheet'!$A$20)</f>
        <v>3500</v>
      </c>
      <c r="AF20" s="137">
        <f>IF(AE20="","",COUNTIFS(AE$4:AE$40,"&lt;"&amp;AE20,AE$4:AE$40,"&lt;&gt;"&amp;"")+COUNTIF(AE$4:AE20,AE20))</f>
        <v>36</v>
      </c>
      <c r="AG20" s="137">
        <f t="shared" si="13"/>
        <v>3</v>
      </c>
      <c r="AH20" s="137">
        <f>AH19+IF(AND(AG20&lt;&gt;"",COUNTIF(AG$4:AG20,AG20)=1),1,0)</f>
        <v>3</v>
      </c>
      <c r="AI20">
        <f t="shared" si="14"/>
        <v>669</v>
      </c>
      <c r="AJ20" t="str">
        <f>IF('Final Calculation Sheet'!$E$20="","",'Final Calculation Sheet'!$E$20)</f>
        <v>KG</v>
      </c>
      <c r="AK20" s="137">
        <f>IF(AJ20="","",COUNTIFS(AJ$4:AJ$40,"&lt;"&amp;AJ20,AJ$4:AJ$40,"&lt;&gt;"&amp;"")+COUNTIF(AJ$4:AJ20,AJ20))</f>
        <v>5</v>
      </c>
      <c r="AL20" t="str">
        <f t="shared" si="15"/>
        <v>NO</v>
      </c>
      <c r="AM20" s="137">
        <f>AM19+IF(AND(AL20&lt;&gt;"",COUNTIF(AL$4:AL20,AL20)=1),1,0)</f>
        <v>3</v>
      </c>
      <c r="AN20" t="str">
        <f t="shared" si="16"/>
        <v/>
      </c>
      <c r="AO20" s="55">
        <f>IF('Final Calculation Sheet'!$C$20="","",'Final Calculation Sheet'!$C$20)</f>
        <v>333</v>
      </c>
      <c r="AP20" s="137">
        <f>IF(AO20="","",COUNTIFS(AO$4:AO$40,"&lt;"&amp;AO20,AO$4:AO$40,"&lt;&gt;"&amp;"")+COUNTIF(AO$4:AO20,AO20))</f>
        <v>4</v>
      </c>
      <c r="AQ20" s="55">
        <f t="shared" si="17"/>
        <v>14001</v>
      </c>
      <c r="AR20" s="137">
        <f>AR19+IF(AND(AQ20&lt;&gt;"",COUNTIF(AQ$4:AQ20,AQ20)=1),1,0)</f>
        <v>15</v>
      </c>
      <c r="AS20" s="55">
        <f t="shared" si="18"/>
        <v>25001</v>
      </c>
      <c r="AT20" s="55">
        <f>IF('Final Calculation Sheet'!$H$20="","",'Final Calculation Sheet'!$H$20)</f>
        <v>1165500</v>
      </c>
      <c r="AU20" s="137">
        <f>IF(AT20="","",COUNTIFS(AT$4:AT$40,"&lt;"&amp;AT20,AT$4:AT$40,"&lt;&gt;"&amp;"")+COUNTIF(AT$4:AT20,AT20))</f>
        <v>34</v>
      </c>
      <c r="AV20" s="55">
        <f t="shared" si="19"/>
        <v>120009</v>
      </c>
      <c r="AW20" s="137">
        <f>AW19+IF(AND(AV20&lt;&gt;"",COUNTIF(AV$4:AV20,AV20)=1),1,0)</f>
        <v>17</v>
      </c>
      <c r="AX20" s="55">
        <f t="shared" si="20"/>
        <v>120009</v>
      </c>
      <c r="AY20" s="55">
        <f>IF('Final Calculation Sheet'!$I$20="","",'Final Calculation Sheet'!$I$20)</f>
        <v>209790</v>
      </c>
      <c r="AZ20" s="137">
        <f>IF(AY20="","",COUNTIFS(AY$4:AY$40,"&lt;"&amp;AY20,AY$4:AY$40,"&lt;&gt;"&amp;"")+COUNTIF(AY$4:AY20,AY20))</f>
        <v>34</v>
      </c>
      <c r="BA20" s="55">
        <f t="shared" si="21"/>
        <v>21602</v>
      </c>
      <c r="BB20" s="137">
        <f>BB19+IF(AND(BA20&lt;&gt;"",COUNTIF(BA$4:BA20,BA20)=1),1,0)</f>
        <v>17</v>
      </c>
      <c r="BC20" s="55">
        <f t="shared" si="22"/>
        <v>21602</v>
      </c>
      <c r="BD20" s="55">
        <f>IF('Final Calculation Sheet'!$J$20="","",'Final Calculation Sheet'!$J$20)</f>
        <v>1375290</v>
      </c>
      <c r="BE20" s="137">
        <f>IF(BD20="","",COUNTIFS(BD$4:BD$40,"&lt;"&amp;BD20,BD$4:BD$40,"&lt;&gt;"&amp;"")+COUNTIF(BD$4:BD20,BD20))</f>
        <v>34</v>
      </c>
      <c r="BF20" s="55">
        <f t="shared" si="23"/>
        <v>141611</v>
      </c>
      <c r="BG20" s="137">
        <f>BG19+IF(AND(BF20&lt;&gt;"",COUNTIF(BF$4:BF20,BF20)=1),1,0)</f>
        <v>17</v>
      </c>
      <c r="BH20" s="55">
        <f t="shared" si="24"/>
        <v>141611</v>
      </c>
      <c r="BI20" s="55">
        <f>IF('Final Calculation Sheet'!$K$20="","",'Final Calculation Sheet'!$K$20)</f>
        <v>27506</v>
      </c>
      <c r="BJ20" s="137">
        <f>IF(BI20="","",COUNTIFS(BI$4:BI$40,"&lt;"&amp;BI20,BI$4:BI$40,"&lt;&gt;"&amp;"")+COUNTIF(BI$4:BI20,BI20))</f>
        <v>34</v>
      </c>
      <c r="BK20" s="55">
        <f t="shared" si="25"/>
        <v>2832</v>
      </c>
      <c r="BL20" s="137">
        <f>BL19+IF(AND(BK20&lt;&gt;"",COUNTIF(BK$4:BK20,BK20)=1),1,0)</f>
        <v>17</v>
      </c>
      <c r="BM20" s="55">
        <f t="shared" si="26"/>
        <v>2832</v>
      </c>
      <c r="BN20" s="55">
        <f>IF('Final Calculation Sheet'!$L$20="","",'Final Calculation Sheet'!$L$20)</f>
        <v>1165.5</v>
      </c>
      <c r="BO20" s="137">
        <f>IF(BN20="","",COUNTIFS(BN$4:BN$40,"&lt;"&amp;BN20,BN$4:BN$40,"&lt;&gt;"&amp;"")+COUNTIF(BN$4:BN20,BN20))</f>
        <v>34</v>
      </c>
      <c r="BP20" s="55">
        <f t="shared" si="27"/>
        <v>120.009</v>
      </c>
      <c r="BQ20" s="137">
        <f>BQ19+IF(AND(BP20&lt;&gt;"",COUNTIF(BP$4:BP20,BP20)=1),1,0)</f>
        <v>17</v>
      </c>
      <c r="BR20" s="55">
        <f t="shared" si="28"/>
        <v>120.009</v>
      </c>
      <c r="BS20" s="55">
        <f>IF('Final Calculation Sheet'!$M$20="","",'Final Calculation Sheet'!$M$20)</f>
        <v>30944.024999999998</v>
      </c>
      <c r="BT20" s="137">
        <f>IF(BS20="","",COUNTIFS(BS$4:BS$40,"&lt;"&amp;BS20,BS$4:BS$40,"&lt;&gt;"&amp;"")+COUNTIF(BS$4:BS20,BS20))</f>
        <v>34</v>
      </c>
      <c r="BU20" s="55">
        <f t="shared" si="29"/>
        <v>3186.2389499999995</v>
      </c>
      <c r="BV20" s="137">
        <f>BV19+IF(AND(BU20&lt;&gt;"",COUNTIF(BU$4:BU20,BU20)=1),1,0)</f>
        <v>17</v>
      </c>
      <c r="BW20" s="55">
        <f t="shared" si="30"/>
        <v>3186.2389499999995</v>
      </c>
      <c r="BX20" s="138">
        <f>IF('Final Calculation Sheet'!$N$20="","",'Final Calculation Sheet'!$N$20)</f>
        <v>524.47500000000002</v>
      </c>
      <c r="BY20" s="137">
        <f>IF(BX20="","",COUNTIFS(BX$4:BX$40,"&lt;"&amp;BX20,BX$4:BX$40,"&lt;&gt;"&amp;"")+COUNTIF(BX$4:BX20,BX20))</f>
        <v>34</v>
      </c>
      <c r="BZ20" s="138">
        <f t="shared" si="31"/>
        <v>54.004049999999999</v>
      </c>
      <c r="CA20" s="137">
        <f>CA19+IF(AND(BZ20&lt;&gt;"",COUNTIF(BZ$4:BZ20,BZ20)=1),1,0)</f>
        <v>17</v>
      </c>
      <c r="CB20" s="138">
        <f t="shared" si="32"/>
        <v>54.004049999999999</v>
      </c>
      <c r="CC20" s="55">
        <f>IF('Final Calculation Sheet'!$O$20="","",'Final Calculation Sheet'!$O$20)</f>
        <v>30419.55</v>
      </c>
      <c r="CD20" s="137">
        <f>IF(CC20="","",COUNTIFS(CC$4:CC$40,"&lt;"&amp;CC20,CC$4:CC$40,"&lt;&gt;"&amp;"")+COUNTIF(CC$4:CC20,CC20))</f>
        <v>34</v>
      </c>
      <c r="CE20" s="55">
        <f t="shared" si="33"/>
        <v>3132.2348999999995</v>
      </c>
      <c r="CF20" s="137">
        <f>CF19+IF(AND(CE20&lt;&gt;"",COUNTIF(CE$4:CE20,CE20)=1),1,0)</f>
        <v>17</v>
      </c>
      <c r="CG20" s="55">
        <f t="shared" si="34"/>
        <v>3132.2348999999995</v>
      </c>
      <c r="CH20" s="55">
        <f>IF('Final Calculation Sheet'!$P$20="","",'Final Calculation Sheet'!$P$20)</f>
        <v>31585</v>
      </c>
      <c r="CI20" s="137">
        <f>IF(CH20="","",COUNTIFS(CH$4:CH$40,"&lt;"&amp;CH20,CH$4:CH$40,"&lt;&gt;"&amp;"")+COUNTIF(CH$4:CH20,CH20))</f>
        <v>34</v>
      </c>
      <c r="CJ20" s="55">
        <f t="shared" si="35"/>
        <v>3252</v>
      </c>
      <c r="CK20" s="137">
        <f>CK19+IF(AND(CJ20&lt;&gt;"",COUNTIF(CJ$4:CJ20,CJ20)=1),1,0)</f>
        <v>17</v>
      </c>
      <c r="CL20" s="55">
        <f t="shared" si="36"/>
        <v>3252</v>
      </c>
      <c r="CM20" s="139">
        <f>IF('Final Calculation Sheet'!$Q$20="","",'Final Calculation Sheet'!$Q$20)</f>
        <v>0.02</v>
      </c>
      <c r="CN20" s="137">
        <f>IF(CM20="","",COUNTIFS(CM$4:CM$40,"&lt;"&amp;CM20,CM$4:CM$40,"&lt;&gt;"&amp;"")+COUNTIF(CM$4:CM20,CM20))</f>
        <v>36</v>
      </c>
      <c r="CO20" s="139">
        <f t="shared" si="37"/>
        <v>0</v>
      </c>
      <c r="CP20" s="137">
        <f>CP19+IF(AND(CO20&lt;&gt;"",COUNTIF(CO$4:CO20,CO20)=1),1,0)</f>
        <v>1</v>
      </c>
      <c r="CQ20" t="str">
        <f t="shared" si="38"/>
        <v/>
      </c>
      <c r="CR20" s="55">
        <f>IF('Final Calculation Sheet'!$R$20="","",'Final Calculation Sheet'!$R$20)</f>
        <v>23310</v>
      </c>
      <c r="CS20" s="137">
        <f>IF(CR20="","",COUNTIFS(CR$4:CR$40,"&lt;"&amp;CR20,CR$4:CR$40,"&lt;&gt;"&amp;"")+COUNTIF(CR$4:CR20,CR20))</f>
        <v>36</v>
      </c>
      <c r="CT20" s="55">
        <f t="shared" si="39"/>
        <v>0</v>
      </c>
      <c r="CU20" s="137">
        <f>CU19+IF(AND(CT20&lt;&gt;"",COUNTIF(CT$4:CT20,CT20)=1),1,0)</f>
        <v>1</v>
      </c>
      <c r="CV20" t="str">
        <f t="shared" si="40"/>
        <v/>
      </c>
      <c r="CW20" s="55">
        <f>IF('Final Calculation Sheet'!$S$20="","",'Final Calculation Sheet'!$S$20)</f>
        <v>1347901</v>
      </c>
      <c r="CX20" s="137">
        <f>IF(CW20="","",COUNTIFS(CW$4:CW$40,"&lt;"&amp;CW20,CW$4:CW$40,"&lt;&gt;"&amp;"")+COUNTIF(CW$4:CW20,CW20))</f>
        <v>34</v>
      </c>
      <c r="CY20" s="55">
        <f t="shared" si="41"/>
        <v>141191</v>
      </c>
      <c r="CZ20" s="137">
        <f>CZ19+IF(AND(CY20&lt;&gt;"",COUNTIF(CY$4:CY20,CY20)=1),1,0)</f>
        <v>17</v>
      </c>
      <c r="DA20" s="55">
        <f t="shared" si="42"/>
        <v>141191</v>
      </c>
      <c r="DB20" s="55">
        <f>IF('Final Calculation Sheet'!$T$20="","",'Final Calculation Sheet'!$T$20)</f>
        <v>291375</v>
      </c>
      <c r="DC20" s="137">
        <f>IF(DB20="","",COUNTIFS(DB$4:DB$40,"&lt;"&amp;DB20,DB$4:DB$40,"&lt;&gt;"&amp;"")+COUNTIF(DB$4:DB20,DB20))</f>
        <v>34</v>
      </c>
      <c r="DD20" s="55">
        <f t="shared" si="43"/>
        <v>30002</v>
      </c>
      <c r="DE20" s="137">
        <f>DE19+IF(AND(DD20&lt;&gt;"",COUNTIF(DD$4:DD20,DD20)=1),1,0)</f>
        <v>17</v>
      </c>
      <c r="DF20" s="55">
        <f t="shared" si="44"/>
        <v>30002</v>
      </c>
      <c r="DG20" s="140">
        <f>IF('Final Calculation Sheet'!$U$20="","",'Final Calculation Sheet'!$U$20)</f>
        <v>291375</v>
      </c>
      <c r="DH20" s="137">
        <f>IF(DG20="","",COUNTIFS(DG$4:DG$40,"&lt;"&amp;DG20,DG$4:DG$40,"&lt;&gt;"&amp;"")+COUNTIF(DG$4:DG20,DG20))</f>
        <v>34</v>
      </c>
      <c r="DI20" s="140">
        <f t="shared" si="45"/>
        <v>30002</v>
      </c>
      <c r="DJ20" s="137">
        <f>DJ19+IF(AND(DI20&lt;&gt;"",COUNTIF(DI$4:DI20,DI20)=1),1,0)</f>
        <v>17</v>
      </c>
      <c r="DK20" s="140">
        <f t="shared" si="46"/>
        <v>30002</v>
      </c>
      <c r="DL20" t="str">
        <f>IF('Final Calculation Sheet'!$V$20="","",'Final Calculation Sheet'!$V$20)</f>
        <v>10.08.2026</v>
      </c>
      <c r="DM20" s="137">
        <f>IF(DL20="","",COUNTIFS(DL$4:DL$40,"&lt;"&amp;DL20,DL$4:DL$40,"&lt;&gt;"&amp;"")+COUNTIF(DL$4:DL20,DL20))</f>
        <v>1</v>
      </c>
      <c r="DN20" t="str">
        <f t="shared" si="47"/>
        <v>13.08.2026</v>
      </c>
      <c r="DO20" s="137">
        <f>DO19+IF(AND(DN20&lt;&gt;"",COUNTIF(DN$4:DN20,DN20)=1),1,0)</f>
        <v>3</v>
      </c>
      <c r="DP20" t="str">
        <f t="shared" si="48"/>
        <v/>
      </c>
      <c r="DQ20" s="55">
        <f>IF('Final Calculation Sheet'!$W$20="","",'Final Calculation Sheet'!$W$20)</f>
        <v>1056526</v>
      </c>
      <c r="DR20" s="137">
        <f>IF(DQ20="","",COUNTIFS(DQ$4:DQ$40,"&lt;"&amp;DQ20,DQ$4:DQ$40,"&lt;&gt;"&amp;"")+COUNTIF(DQ$4:DQ20,DQ20))</f>
        <v>34</v>
      </c>
      <c r="DS20" s="55">
        <f t="shared" si="49"/>
        <v>111188</v>
      </c>
      <c r="DT20" s="137">
        <f>DT19+IF(AND(DS20&lt;&gt;"",COUNTIF(DS$4:DS20,DS20)=1),1,0)</f>
        <v>17</v>
      </c>
      <c r="DU20" s="55">
        <f t="shared" si="50"/>
        <v>111188</v>
      </c>
      <c r="DV20" s="55">
        <f>IF('Final Calculation Sheet'!$X$20="","",'Final Calculation Sheet'!$X$20)</f>
        <v>1056525</v>
      </c>
      <c r="DW20" s="137">
        <f>IF(DV20="","",COUNTIFS(DV$4:DV$40,"&lt;"&amp;DV20,DV$4:DV$40,"&lt;&gt;"&amp;"")+COUNTIF(DV$4:DV20,DV20))</f>
        <v>31</v>
      </c>
      <c r="DX20" s="55">
        <f t="shared" si="51"/>
        <v>125772</v>
      </c>
      <c r="DY20" s="137">
        <f>DY19+IF(AND(DX20&lt;&gt;"",COUNTIF(DX$4:DX20,DX20)=1),1,0)</f>
        <v>17</v>
      </c>
      <c r="DZ20" t="e">
        <f t="shared" si="52"/>
        <v>#N/A</v>
      </c>
      <c r="EA20" t="str">
        <f>IF('Final Calculation Sheet'!$Y$20="","",'Final Calculation Sheet'!$Y$20)</f>
        <v>10.08.2026</v>
      </c>
      <c r="EB20" s="137">
        <f>IF(EA20="","",COUNTIFS(EA$4:EA$40,"&lt;"&amp;EA20,EA$4:EA$40,"&lt;&gt;"&amp;"")+COUNTIF(EA$4:EA20,EA20))</f>
        <v>3</v>
      </c>
      <c r="EC20" t="str">
        <f t="shared" si="53"/>
        <v>21.08.2026</v>
      </c>
      <c r="ED20" s="137">
        <f>ED19+IF(AND(EC20&lt;&gt;"",COUNTIF(EC$4:EC20,EC20)=1),1,0)</f>
        <v>8</v>
      </c>
      <c r="EE20" t="e">
        <f t="shared" si="54"/>
        <v>#N/A</v>
      </c>
      <c r="EF20" s="55">
        <f ca="1">IF('Final Calculation Sheet'!$Z$20="","",'Final Calculation Sheet'!$Z$20)</f>
        <v>0</v>
      </c>
      <c r="EG20" s="137">
        <f ca="1">IF(EF20="","",COUNTIFS(EF$4:EF$40,"&lt;"&amp;EF20,EF$4:EF$40,"&lt;&gt;"&amp;"")+COUNTIF(EF$4:EF20,EF20))</f>
        <v>17</v>
      </c>
      <c r="EH20" s="55">
        <f t="shared" ca="1" si="55"/>
        <v>0</v>
      </c>
      <c r="EI20" s="137">
        <f ca="1">EI19+IF(AND(EH20&lt;&gt;"",COUNTIF(EH$4:EH20,EH20)=1),1,0)</f>
        <v>1</v>
      </c>
      <c r="EJ20" t="str">
        <f t="shared" ca="1" si="56"/>
        <v/>
      </c>
      <c r="EK20" t="str">
        <f>IF('Final Calculation Sheet'!$AA$20="","",'Final Calculation Sheet'!$AA$20)</f>
        <v/>
      </c>
      <c r="EL20" t="str">
        <f>IF(EK20="","",COUNTIFS(EK$4:EK$40,"&lt;"&amp;EK20,EK$4:EK$40,"&lt;&gt;"&amp;"")+COUNTIF(EK$4:EK20,EK20))</f>
        <v/>
      </c>
      <c r="EM20" s="137" t="e">
        <f t="shared" si="57"/>
        <v>#N/A</v>
      </c>
      <c r="EN20" s="137" t="e">
        <f>EN19+IF(AND(EM20&lt;&gt;"",COUNTIF(EM$4:EM20,EM20)=1),1,0)</f>
        <v>#N/A</v>
      </c>
      <c r="EO20" t="e">
        <f t="shared" si="58"/>
        <v>#N/A</v>
      </c>
      <c r="EP20" t="str">
        <f>IF('Final Calculation Sheet'!$AB$20="","",'Final Calculation Sheet'!$AB$20)</f>
        <v/>
      </c>
      <c r="EQ20" t="str">
        <f>IF(EP20="","",COUNTIFS(EP$4:EP$40,"&lt;"&amp;EP20,EP$4:EP$40,"&lt;&gt;"&amp;"")+COUNTIF(EP$4:EP20,EP20))</f>
        <v/>
      </c>
      <c r="ER20" s="137" t="e">
        <f t="shared" si="59"/>
        <v>#N/A</v>
      </c>
      <c r="ES20" s="137" t="e">
        <f>ES19+IF(AND(ER20&lt;&gt;"",COUNTIF(ER$4:ER20,ER20)=1),1,0)</f>
        <v>#N/A</v>
      </c>
      <c r="ET20" t="e">
        <f t="shared" si="60"/>
        <v>#N/A</v>
      </c>
      <c r="EU20" s="55">
        <f>IF('Final Calculation Sheet'!$AC$20="","",'Final Calculation Sheet'!$AC$20)</f>
        <v>1347900</v>
      </c>
      <c r="EV20" s="137">
        <f>IF(EU20="","",COUNTIFS(EU$4:EU$40,"&lt;"&amp;EU20,EU$4:EU$40,"&lt;&gt;"&amp;"")+COUNTIF(EU$4:EU20,EU20))</f>
        <v>34</v>
      </c>
      <c r="EW20" s="55">
        <f t="shared" si="61"/>
        <v>100767</v>
      </c>
      <c r="EX20" s="137">
        <f>EX19+IF(AND(EW20&lt;&gt;"",COUNTIF(EW$4:EW20,EW20)=1),1,0)</f>
        <v>17</v>
      </c>
      <c r="EY20" s="55">
        <f t="shared" si="62"/>
        <v>100767</v>
      </c>
      <c r="EZ20" s="55">
        <f>IF('Final Calculation Sheet'!$AD$20="","",'Final Calculation Sheet'!$AD$20)</f>
        <v>1</v>
      </c>
      <c r="FA20" s="137">
        <f>IF(EZ20="","",COUNTIFS(EZ$4:EZ$40,"&lt;"&amp;EZ20,EZ$4:EZ$40,"&lt;&gt;"&amp;"")+COUNTIF(EZ$4:EZ20,EZ20))</f>
        <v>32</v>
      </c>
      <c r="FB20" s="55">
        <f t="shared" si="63"/>
        <v>0</v>
      </c>
      <c r="FC20" s="137" t="e">
        <f>FC19+IF(AND(FB20&lt;&gt;"",COUNTIF(FB$4:FB20,FB20)=1),1,0)</f>
        <v>#N/A</v>
      </c>
      <c r="FD20" t="e">
        <f t="shared" si="64"/>
        <v>#N/A</v>
      </c>
      <c r="FE20" t="str">
        <f>IF('Final Calculation Sheet'!$AE$20="","",'Final Calculation Sheet'!$AE$20)</f>
        <v>DR2640100017</v>
      </c>
      <c r="FF20" s="137">
        <f>IF(FE20="","",COUNTIFS(FE$4:FE$40,"&lt;"&amp;FE20,FE$4:FE$40,"&lt;&gt;"&amp;"")+COUNTIF(FE$4:FE20,FE20))</f>
        <v>6</v>
      </c>
      <c r="FG20" t="str">
        <f t="shared" si="65"/>
        <v>DR2640100028</v>
      </c>
      <c r="FH20" s="137" t="e">
        <f>FH19+IF(AND(FG20&lt;&gt;"",COUNTIF(FG$4:FG20,FG20)=1),1,0)</f>
        <v>#N/A</v>
      </c>
      <c r="FI20" t="e">
        <f t="shared" si="66"/>
        <v>#N/A</v>
      </c>
      <c r="FJ20" s="141">
        <f>IF('Final Calculation Sheet'!$AF$20="","",'Final Calculation Sheet'!$AF$20)</f>
        <v>1800003065</v>
      </c>
      <c r="FK20" s="137">
        <f>IF(FJ20="","",COUNTIFS(FJ$4:FJ$40,"&lt;"&amp;FJ20,FJ$4:FJ$40,"&lt;&gt;"&amp;"")+COUNTIF(FJ$4:FJ20,FJ20))</f>
        <v>1</v>
      </c>
      <c r="FL20" s="141">
        <f t="shared" si="67"/>
        <v>1800003305</v>
      </c>
      <c r="FM20" s="137">
        <f>FM19+IF(AND(FL20&lt;&gt;"",COUNTIF(FL$4:FL20,FL20)=1),1,0)</f>
        <v>17</v>
      </c>
      <c r="FN20" t="e">
        <f t="shared" si="68"/>
        <v>#N/A</v>
      </c>
      <c r="FO20" t="str">
        <f>IF('Final Calculation Sheet'!$AG$20="","",'Final Calculation Sheet'!$AG$20)</f>
        <v>12.08.2026</v>
      </c>
      <c r="FP20" s="137">
        <f>IF(FO20="","",COUNTIFS(FO$4:FO$40,"&lt;"&amp;FO20,FO$4:FO$40,"&lt;&gt;"&amp;"")+COUNTIF(FO$4:FO20,FO20))</f>
        <v>6</v>
      </c>
      <c r="FQ20" t="str">
        <f t="shared" si="69"/>
        <v>24.08.2026</v>
      </c>
      <c r="FR20" s="137" t="e">
        <f>FR19+IF(AND(FQ20&lt;&gt;"",COUNTIF(FQ$4:FQ20,FQ20)=1),1,0)</f>
        <v>#N/A</v>
      </c>
      <c r="FS20" t="e">
        <f t="shared" si="70"/>
        <v>#N/A</v>
      </c>
      <c r="FU20" t="str">
        <f>IF(FT20="","",COUNTIFS(FT$4:FT$40,"&lt;"&amp;FT20,FT$4:FT$40,"&lt;&gt;"&amp;"")+COUNTIF(FT$4:FT20,FT20))</f>
        <v/>
      </c>
      <c r="FV20" t="str">
        <f t="shared" si="71"/>
        <v/>
      </c>
      <c r="FW20" s="137">
        <f>FW19+IF(AND(FV20&lt;&gt;"",COUNTIF(FV$4:FV20,FV20)=1),1,0)</f>
        <v>2</v>
      </c>
      <c r="FX20" t="str">
        <f t="shared" si="72"/>
        <v/>
      </c>
    </row>
    <row r="21" spans="1:180" x14ac:dyDescent="0.25">
      <c r="A21">
        <f>IF('Final Calculation Sheet'!$F$21="","",'Final Calculation Sheet'!$F$21)</f>
        <v>2022</v>
      </c>
      <c r="B21" s="137">
        <f>IF(A21="","",COUNTIFS(A$4:A$114,"&lt;"&amp;A21,A$4:A$114,"&lt;&gt;"&amp;"")+COUNTIF(A$4:A21,A21))</f>
        <v>18</v>
      </c>
      <c r="C21" s="137">
        <f t="shared" si="0"/>
        <v>2022</v>
      </c>
      <c r="D21" s="137">
        <f>D20+IF(AND(C21&lt;&gt;"",COUNTIF(C$4:C21,C21)=1),1,0)</f>
        <v>18</v>
      </c>
      <c r="E21" t="e">
        <f t="shared" si="1"/>
        <v>#N/A</v>
      </c>
      <c r="F21">
        <f t="shared" si="2"/>
        <v>18</v>
      </c>
      <c r="G21" s="137">
        <f>IF(F21="","",COUNTIFS(F$4:F$40,"&lt;"&amp;F21,F$4:F$40,"&lt;&gt;"&amp;"")+COUNTIF(F$4:F21,F21))</f>
        <v>18</v>
      </c>
      <c r="H21" s="137">
        <f t="shared" si="3"/>
        <v>18</v>
      </c>
      <c r="I21" s="137">
        <f>I20+IF(AND(H21&lt;&gt;"",COUNTIF(H$4:H21,H21)=1),1,0)</f>
        <v>18</v>
      </c>
      <c r="J21">
        <f t="shared" si="4"/>
        <v>18</v>
      </c>
      <c r="K21">
        <f>IF('Final Calculation Sheet'!$F$21="","",'Final Calculation Sheet'!$F$21)</f>
        <v>2022</v>
      </c>
      <c r="L21" s="137">
        <f>IF(K21="","",COUNTIFS(K$4:K$40,"&lt;"&amp;K21,K$4:K$40,"&lt;&gt;"&amp;"")+COUNTIF(K$4:K21,K21))</f>
        <v>18</v>
      </c>
      <c r="M21" s="137">
        <f t="shared" si="5"/>
        <v>2022</v>
      </c>
      <c r="N21" s="137">
        <f>N20+IF(AND(M21&lt;&gt;"",COUNTIF(M$4:M21,M21)=1),1,0)</f>
        <v>18</v>
      </c>
      <c r="O21">
        <f t="shared" si="6"/>
        <v>2022</v>
      </c>
      <c r="P21" t="str">
        <f>IF('Final Calculation Sheet'!$G$21="","",'Final Calculation Sheet'!$G$21)</f>
        <v>NATIONAL SCRAP AND BUILDING MATERIAL SUPPLIER</v>
      </c>
      <c r="Q21" s="137">
        <f>IF(P21="","",COUNTIFS(P$4:P$40,"&lt;"&amp;P21,P$4:P$40,"&lt;&gt;"&amp;"")+COUNTIF(P$4:P21,P21))</f>
        <v>20</v>
      </c>
      <c r="R21" t="str">
        <f t="shared" si="7"/>
        <v>NATIONAL ENTERPRISES</v>
      </c>
      <c r="S21" s="137">
        <f>S20+IF(AND(R21&lt;&gt;"",COUNTIF(R$4:R21,R21)=1),1,0)</f>
        <v>6</v>
      </c>
      <c r="T21" t="str">
        <f t="shared" si="8"/>
        <v/>
      </c>
      <c r="U21" t="str">
        <f>IF('Final Calculation Sheet'!$B$21="","",'Final Calculation Sheet'!$B$21)</f>
        <v>Scrap of 132 KV CT</v>
      </c>
      <c r="V21" s="137">
        <f>IF(U21="","",COUNTIFS(U$4:U$40,"&lt;"&amp;U21,U$4:U$40,"&lt;&gt;"&amp;"")+COUNTIF(U$4:U21,U21))</f>
        <v>7</v>
      </c>
      <c r="W21" t="str">
        <f t="shared" si="9"/>
        <v>Scrap of 220KV CT</v>
      </c>
      <c r="X21" s="137">
        <f>X20+IF(AND(W21&lt;&gt;"",COUNTIF(W$4:W21,W21)=1),1,0)</f>
        <v>11</v>
      </c>
      <c r="Y21" t="str">
        <f t="shared" si="10"/>
        <v>Scrap of Copper of faulty AC compressor</v>
      </c>
      <c r="Z21">
        <f>IF('Final Calculation Sheet'!$D$21="","",'Final Calculation Sheet'!$D$21)</f>
        <v>21978</v>
      </c>
      <c r="AA21" s="137">
        <f>IF(Z21="","",COUNTIFS(Z$4:Z$40,"&lt;"&amp;Z21,Z$4:Z$40,"&lt;&gt;"&amp;"")+COUNTIF(Z$4:Z21,Z21))</f>
        <v>16</v>
      </c>
      <c r="AB21" s="137">
        <f t="shared" si="11"/>
        <v>21978</v>
      </c>
      <c r="AC21" s="137">
        <f>AC20+IF(AND(AB21&lt;&gt;"",COUNTIF(AB$4:AB21,AB21)=1),1,0)</f>
        <v>2</v>
      </c>
      <c r="AD21" t="str">
        <f t="shared" si="12"/>
        <v/>
      </c>
      <c r="AE21">
        <f>IF('Final Calculation Sheet'!$A$21="","",'Final Calculation Sheet'!$A$21)</f>
        <v>3</v>
      </c>
      <c r="AF21" s="137">
        <f>IF(AE21="","",COUNTIFS(AE$4:AE$40,"&lt;"&amp;AE21,AE$4:AE$40,"&lt;&gt;"&amp;"")+COUNTIF(AE$4:AE21,AE21))</f>
        <v>13</v>
      </c>
      <c r="AG21" s="137">
        <f t="shared" si="13"/>
        <v>3</v>
      </c>
      <c r="AH21" s="137">
        <f>AH20+IF(AND(AG21&lt;&gt;"",COUNTIF(AG$4:AG21,AG21)=1),1,0)</f>
        <v>3</v>
      </c>
      <c r="AI21">
        <f t="shared" si="14"/>
        <v>670</v>
      </c>
      <c r="AJ21" t="str">
        <f>IF('Final Calculation Sheet'!$E$21="","",'Final Calculation Sheet'!$E$21)</f>
        <v>NO</v>
      </c>
      <c r="AK21" s="137">
        <f>IF(AJ21="","",COUNTIFS(AJ$4:AJ$40,"&lt;"&amp;AJ21,AJ$4:AJ$40,"&lt;&gt;"&amp;"")+COUNTIF(AJ$4:AJ21,AJ21))</f>
        <v>20</v>
      </c>
      <c r="AL21" t="str">
        <f t="shared" si="15"/>
        <v>NO</v>
      </c>
      <c r="AM21" s="137">
        <f>AM20+IF(AND(AL21&lt;&gt;"",COUNTIF(AL$4:AL21,AL21)=1),1,0)</f>
        <v>3</v>
      </c>
      <c r="AN21" t="str">
        <f t="shared" si="16"/>
        <v/>
      </c>
      <c r="AO21" s="55">
        <f>IF('Final Calculation Sheet'!$C$21="","",'Final Calculation Sheet'!$C$21)</f>
        <v>110200</v>
      </c>
      <c r="AP21" s="137">
        <f>IF(AO21="","",COUNTIFS(AO$4:AO$40,"&lt;"&amp;AO21,AO$4:AO$40,"&lt;&gt;"&amp;"")+COUNTIF(AO$4:AO21,AO21))</f>
        <v>33</v>
      </c>
      <c r="AQ21" s="55">
        <f t="shared" si="17"/>
        <v>15006</v>
      </c>
      <c r="AR21" s="137">
        <f>AR20+IF(AND(AQ21&lt;&gt;"",COUNTIF(AQ$4:AQ21,AQ21)=1),1,0)</f>
        <v>16</v>
      </c>
      <c r="AS21" s="55">
        <f t="shared" si="18"/>
        <v>29502</v>
      </c>
      <c r="AT21" s="55">
        <f>IF('Final Calculation Sheet'!$H$21="","",'Final Calculation Sheet'!$H$21)</f>
        <v>330600</v>
      </c>
      <c r="AU21" s="137">
        <f>IF(AT21="","",COUNTIFS(AT$4:AT$40,"&lt;"&amp;AT21,AT$4:AT$40,"&lt;&gt;"&amp;"")+COUNTIF(AT$4:AT21,AT21))</f>
        <v>29</v>
      </c>
      <c r="AV21" s="55">
        <f t="shared" si="19"/>
        <v>135750</v>
      </c>
      <c r="AW21" s="137">
        <f>AW20+IF(AND(AV21&lt;&gt;"",COUNTIF(AV$4:AV21,AV21)=1),1,0)</f>
        <v>18</v>
      </c>
      <c r="AX21" s="55">
        <f t="shared" si="20"/>
        <v>135750</v>
      </c>
      <c r="AY21" s="55">
        <f>IF('Final Calculation Sheet'!$I$21="","",'Final Calculation Sheet'!$I$21)</f>
        <v>59508</v>
      </c>
      <c r="AZ21" s="137">
        <f>IF(AY21="","",COUNTIFS(AY$4:AY$40,"&lt;"&amp;AY21,AY$4:AY$40,"&lt;&gt;"&amp;"")+COUNTIF(AY$4:AY21,AY21))</f>
        <v>29</v>
      </c>
      <c r="BA21" s="55">
        <f t="shared" si="21"/>
        <v>24435</v>
      </c>
      <c r="BB21" s="137">
        <f>BB20+IF(AND(BA21&lt;&gt;"",COUNTIF(BA$4:BA21,BA21)=1),1,0)</f>
        <v>18</v>
      </c>
      <c r="BC21" s="55">
        <f t="shared" si="22"/>
        <v>24435</v>
      </c>
      <c r="BD21" s="55">
        <f>IF('Final Calculation Sheet'!$J$21="","",'Final Calculation Sheet'!$J$21)</f>
        <v>390108</v>
      </c>
      <c r="BE21" s="137">
        <f>IF(BD21="","",COUNTIFS(BD$4:BD$40,"&lt;"&amp;BD21,BD$4:BD$40,"&lt;&gt;"&amp;"")+COUNTIF(BD$4:BD21,BD21))</f>
        <v>29</v>
      </c>
      <c r="BF21" s="55">
        <f t="shared" si="23"/>
        <v>160185</v>
      </c>
      <c r="BG21" s="137">
        <f>BG20+IF(AND(BF21&lt;&gt;"",COUNTIF(BF$4:BF21,BF21)=1),1,0)</f>
        <v>18</v>
      </c>
      <c r="BH21" s="55">
        <f t="shared" si="24"/>
        <v>160185</v>
      </c>
      <c r="BI21" s="55">
        <f>IF('Final Calculation Sheet'!$K$21="","",'Final Calculation Sheet'!$K$21)</f>
        <v>7802</v>
      </c>
      <c r="BJ21" s="137">
        <f>IF(BI21="","",COUNTIFS(BI$4:BI$40,"&lt;"&amp;BI21,BI$4:BI$40,"&lt;&gt;"&amp;"")+COUNTIF(BI$4:BI21,BI21))</f>
        <v>29</v>
      </c>
      <c r="BK21" s="55">
        <f t="shared" si="25"/>
        <v>3204</v>
      </c>
      <c r="BL21" s="137">
        <f>BL20+IF(AND(BK21&lt;&gt;"",COUNTIF(BK$4:BK21,BK21)=1),1,0)</f>
        <v>18</v>
      </c>
      <c r="BM21" s="55">
        <f t="shared" si="26"/>
        <v>3204</v>
      </c>
      <c r="BN21" s="55">
        <f>IF('Final Calculation Sheet'!$L$21="","",'Final Calculation Sheet'!$L$21)</f>
        <v>330.6</v>
      </c>
      <c r="BO21" s="137">
        <f>IF(BN21="","",COUNTIFS(BN$4:BN$40,"&lt;"&amp;BN21,BN$4:BN$40,"&lt;&gt;"&amp;"")+COUNTIF(BN$4:BN21,BN21))</f>
        <v>29</v>
      </c>
      <c r="BP21" s="55">
        <f t="shared" si="27"/>
        <v>135.75</v>
      </c>
      <c r="BQ21" s="137">
        <f>BQ20+IF(AND(BP21&lt;&gt;"",COUNTIF(BP$4:BP21,BP21)=1),1,0)</f>
        <v>18</v>
      </c>
      <c r="BR21" s="55">
        <f t="shared" si="28"/>
        <v>135.75</v>
      </c>
      <c r="BS21" s="55">
        <f>IF('Final Calculation Sheet'!$M$21="","",'Final Calculation Sheet'!$M$21)</f>
        <v>8777.43</v>
      </c>
      <c r="BT21" s="137">
        <f>IF(BS21="","",COUNTIFS(BS$4:BS$40,"&lt;"&amp;BS21,BS$4:BS$40,"&lt;&gt;"&amp;"")+COUNTIF(BS$4:BS21,BS21))</f>
        <v>29</v>
      </c>
      <c r="BU21" s="55">
        <f t="shared" si="29"/>
        <v>3604.1624999999999</v>
      </c>
      <c r="BV21" s="137">
        <f>BV20+IF(AND(BU21&lt;&gt;"",COUNTIF(BU$4:BU21,BU21)=1),1,0)</f>
        <v>18</v>
      </c>
      <c r="BW21" s="55">
        <f t="shared" si="30"/>
        <v>3604.1624999999999</v>
      </c>
      <c r="BX21" s="138">
        <f>IF('Final Calculation Sheet'!$N$21="","",'Final Calculation Sheet'!$N$21)</f>
        <v>148.77000000000001</v>
      </c>
      <c r="BY21" s="137">
        <f>IF(BX21="","",COUNTIFS(BX$4:BX$40,"&lt;"&amp;BX21,BX$4:BX$40,"&lt;&gt;"&amp;"")+COUNTIF(BX$4:BX21,BX21))</f>
        <v>29</v>
      </c>
      <c r="BZ21" s="138">
        <f t="shared" si="31"/>
        <v>61.087499999999999</v>
      </c>
      <c r="CA21" s="137">
        <f>CA20+IF(AND(BZ21&lt;&gt;"",COUNTIF(BZ$4:BZ21,BZ21)=1),1,0)</f>
        <v>18</v>
      </c>
      <c r="CB21" s="138">
        <f t="shared" si="32"/>
        <v>61.087499999999999</v>
      </c>
      <c r="CC21" s="55">
        <f>IF('Final Calculation Sheet'!$O$21="","",'Final Calculation Sheet'!$O$21)</f>
        <v>8628.66</v>
      </c>
      <c r="CD21" s="137">
        <f>IF(CC21="","",COUNTIFS(CC$4:CC$40,"&lt;"&amp;CC21,CC$4:CC$40,"&lt;&gt;"&amp;"")+COUNTIF(CC$4:CC21,CC21))</f>
        <v>29</v>
      </c>
      <c r="CE21" s="55">
        <f t="shared" si="33"/>
        <v>3543.0749999999998</v>
      </c>
      <c r="CF21" s="137">
        <f>CF20+IF(AND(CE21&lt;&gt;"",COUNTIF(CE$4:CE21,CE21)=1),1,0)</f>
        <v>18</v>
      </c>
      <c r="CG21" s="55">
        <f t="shared" si="34"/>
        <v>3543.0749999999998</v>
      </c>
      <c r="CH21" s="55">
        <f>IF('Final Calculation Sheet'!$P$21="","",'Final Calculation Sheet'!$P$21)</f>
        <v>8959</v>
      </c>
      <c r="CI21" s="137">
        <f>IF(CH21="","",COUNTIFS(CH$4:CH$40,"&lt;"&amp;CH21,CH$4:CH$40,"&lt;&gt;"&amp;"")+COUNTIF(CH$4:CH21,CH21))</f>
        <v>29</v>
      </c>
      <c r="CJ21" s="55">
        <f t="shared" si="35"/>
        <v>3679</v>
      </c>
      <c r="CK21" s="137">
        <f>CK20+IF(AND(CJ21&lt;&gt;"",COUNTIF(CJ$4:CJ21,CJ21)=1),1,0)</f>
        <v>18</v>
      </c>
      <c r="CL21" s="55">
        <f t="shared" si="36"/>
        <v>3679</v>
      </c>
      <c r="CM21" s="139">
        <f>IF('Final Calculation Sheet'!$Q$21="","",'Final Calculation Sheet'!$Q$21)</f>
        <v>0</v>
      </c>
      <c r="CN21" s="137">
        <f>IF(CM21="","",COUNTIFS(CM$4:CM$40,"&lt;"&amp;CM21,CM$4:CM$40,"&lt;&gt;"&amp;"")+COUNTIF(CM$4:CM21,CM21))</f>
        <v>15</v>
      </c>
      <c r="CO21" s="139">
        <f t="shared" si="37"/>
        <v>0</v>
      </c>
      <c r="CP21" s="137">
        <f>CP20+IF(AND(CO21&lt;&gt;"",COUNTIF(CO$4:CO21,CO21)=1),1,0)</f>
        <v>1</v>
      </c>
      <c r="CQ21" t="str">
        <f t="shared" si="38"/>
        <v/>
      </c>
      <c r="CR21" s="55">
        <f>IF('Final Calculation Sheet'!$R$21="","",'Final Calculation Sheet'!$R$21)</f>
        <v>0</v>
      </c>
      <c r="CS21" s="137">
        <f>IF(CR21="","",COUNTIFS(CR$4:CR$40,"&lt;"&amp;CR21,CR$4:CR$40,"&lt;&gt;"&amp;"")+COUNTIF(CR$4:CR21,CR21))</f>
        <v>15</v>
      </c>
      <c r="CT21" s="55">
        <f t="shared" si="39"/>
        <v>0</v>
      </c>
      <c r="CU21" s="137">
        <f>CU20+IF(AND(CT21&lt;&gt;"",COUNTIF(CT$4:CT21,CT21)=1),1,0)</f>
        <v>1</v>
      </c>
      <c r="CV21" t="str">
        <f t="shared" si="40"/>
        <v/>
      </c>
      <c r="CW21" s="55">
        <f>IF('Final Calculation Sheet'!$S$21="","",'Final Calculation Sheet'!$S$21)</f>
        <v>388951</v>
      </c>
      <c r="CX21" s="137">
        <f>IF(CW21="","",COUNTIFS(CW$4:CW$40,"&lt;"&amp;CW21,CW$4:CW$40,"&lt;&gt;"&amp;"")+COUNTIF(CW$4:CW21,CW21))</f>
        <v>29</v>
      </c>
      <c r="CY21" s="55">
        <f t="shared" si="41"/>
        <v>159710</v>
      </c>
      <c r="CZ21" s="137">
        <f>CZ20+IF(AND(CY21&lt;&gt;"",COUNTIF(CY$4:CY21,CY21)=1),1,0)</f>
        <v>18</v>
      </c>
      <c r="DA21" s="55">
        <f t="shared" si="42"/>
        <v>159710</v>
      </c>
      <c r="DB21" s="55">
        <f>IF('Final Calculation Sheet'!$T$21="","",'Final Calculation Sheet'!$T$21)</f>
        <v>82650</v>
      </c>
      <c r="DC21" s="137">
        <f>IF(DB21="","",COUNTIFS(DB$4:DB$40,"&lt;"&amp;DB21,DB$4:DB$40,"&lt;&gt;"&amp;"")+COUNTIF(DB$4:DB21,DB21))</f>
        <v>29</v>
      </c>
      <c r="DD21" s="55">
        <f t="shared" si="43"/>
        <v>33938</v>
      </c>
      <c r="DE21" s="137">
        <f>DE20+IF(AND(DD21&lt;&gt;"",COUNTIF(DD$4:DD21,DD21)=1),1,0)</f>
        <v>18</v>
      </c>
      <c r="DF21" s="55">
        <f t="shared" si="44"/>
        <v>33938</v>
      </c>
      <c r="DG21" s="140">
        <f>IF('Final Calculation Sheet'!$U$21="","",'Final Calculation Sheet'!$U$21)</f>
        <v>82650</v>
      </c>
      <c r="DH21" s="137">
        <f>IF(DG21="","",COUNTIFS(DG$4:DG$40,"&lt;"&amp;DG21,DG$4:DG$40,"&lt;&gt;"&amp;"")+COUNTIF(DG$4:DG21,DG21))</f>
        <v>29</v>
      </c>
      <c r="DI21" s="140">
        <f t="shared" si="45"/>
        <v>33938</v>
      </c>
      <c r="DJ21" s="137">
        <f>DJ20+IF(AND(DI21&lt;&gt;"",COUNTIF(DI$4:DI21,DI21)=1),1,0)</f>
        <v>18</v>
      </c>
      <c r="DK21" s="140">
        <f t="shared" si="46"/>
        <v>33938</v>
      </c>
      <c r="DL21" t="str">
        <f>IF('Final Calculation Sheet'!$V$21="","",'Final Calculation Sheet'!$V$21)</f>
        <v>14.08.2026</v>
      </c>
      <c r="DM21" s="137">
        <f>IF(DL21="","",COUNTIFS(DL$4:DL$40,"&lt;"&amp;DL21,DL$4:DL$40,"&lt;&gt;"&amp;"")+COUNTIF(DL$4:DL21,DL21))</f>
        <v>29</v>
      </c>
      <c r="DN21" t="str">
        <f t="shared" si="47"/>
        <v>13.08.2026</v>
      </c>
      <c r="DO21" s="137">
        <f>DO20+IF(AND(DN21&lt;&gt;"",COUNTIF(DN$4:DN21,DN21)=1),1,0)</f>
        <v>3</v>
      </c>
      <c r="DP21" t="str">
        <f t="shared" si="48"/>
        <v/>
      </c>
      <c r="DQ21" s="55">
        <f>IF('Final Calculation Sheet'!$W$21="","",'Final Calculation Sheet'!$W$21)</f>
        <v>306301</v>
      </c>
      <c r="DR21" s="137">
        <f>IF(DQ21="","",COUNTIFS(DQ$4:DQ$40,"&lt;"&amp;DQ21,DQ$4:DQ$40,"&lt;&gt;"&amp;"")+COUNTIF(DQ$4:DQ21,DQ21))</f>
        <v>29</v>
      </c>
      <c r="DS21" s="55">
        <f t="shared" si="49"/>
        <v>125772</v>
      </c>
      <c r="DT21" s="137">
        <f>DT20+IF(AND(DS21&lt;&gt;"",COUNTIF(DS$4:DS21,DS21)=1),1,0)</f>
        <v>18</v>
      </c>
      <c r="DU21" s="55">
        <f t="shared" si="50"/>
        <v>125772</v>
      </c>
      <c r="DV21" s="55">
        <f>IF('Final Calculation Sheet'!$X$21="","",'Final Calculation Sheet'!$X$21)</f>
        <v>306301</v>
      </c>
      <c r="DW21" s="137">
        <f>IF(DV21="","",COUNTIFS(DV$4:DV$40,"&lt;"&amp;DV21,DV$4:DV$40,"&lt;&gt;"&amp;"")+COUNTIF(DV$4:DV21,DV21))</f>
        <v>27</v>
      </c>
      <c r="DX21" s="55">
        <f t="shared" si="51"/>
        <v>145090</v>
      </c>
      <c r="DY21" s="137">
        <f>DY20+IF(AND(DX21&lt;&gt;"",COUNTIF(DX$4:DX21,DX21)=1),1,0)</f>
        <v>18</v>
      </c>
      <c r="DZ21" t="e">
        <f t="shared" si="52"/>
        <v>#N/A</v>
      </c>
      <c r="EA21" t="str">
        <f>IF('Final Calculation Sheet'!$Y$21="","",'Final Calculation Sheet'!$Y$21)</f>
        <v>21.08.2026</v>
      </c>
      <c r="EB21" s="137">
        <f>IF(EA21="","",COUNTIFS(EA$4:EA$40,"&lt;"&amp;EA21,EA$4:EA$40,"&lt;&gt;"&amp;"")+COUNTIF(EA$4:EA21,EA21))</f>
        <v>17</v>
      </c>
      <c r="EC21" t="str">
        <f t="shared" si="53"/>
        <v>21.08.2026</v>
      </c>
      <c r="ED21" s="137">
        <f>ED20+IF(AND(EC21&lt;&gt;"",COUNTIF(EC$4:EC21,EC21)=1),1,0)</f>
        <v>8</v>
      </c>
      <c r="EE21" t="e">
        <f t="shared" si="54"/>
        <v>#N/A</v>
      </c>
      <c r="EF21" s="55">
        <f ca="1">IF('Final Calculation Sheet'!$Z$21="","",'Final Calculation Sheet'!$Z$21)</f>
        <v>0</v>
      </c>
      <c r="EG21" s="137">
        <f ca="1">IF(EF21="","",COUNTIFS(EF$4:EF$40,"&lt;"&amp;EF21,EF$4:EF$40,"&lt;&gt;"&amp;"")+COUNTIF(EF$4:EF21,EF21))</f>
        <v>18</v>
      </c>
      <c r="EH21" s="55">
        <f t="shared" ca="1" si="55"/>
        <v>0</v>
      </c>
      <c r="EI21" s="137">
        <f ca="1">EI20+IF(AND(EH21&lt;&gt;"",COUNTIF(EH$4:EH21,EH21)=1),1,0)</f>
        <v>1</v>
      </c>
      <c r="EJ21" t="str">
        <f t="shared" ca="1" si="56"/>
        <v/>
      </c>
      <c r="EK21" t="str">
        <f>IF('Final Calculation Sheet'!$AA$21="","",'Final Calculation Sheet'!$AA$21)</f>
        <v/>
      </c>
      <c r="EL21" t="str">
        <f>IF(EK21="","",COUNTIFS(EK$4:EK$40,"&lt;"&amp;EK21,EK$4:EK$40,"&lt;&gt;"&amp;"")+COUNTIF(EK$4:EK21,EK21))</f>
        <v/>
      </c>
      <c r="EM21" s="137" t="e">
        <f t="shared" si="57"/>
        <v>#N/A</v>
      </c>
      <c r="EN21" s="137" t="e">
        <f>EN20+IF(AND(EM21&lt;&gt;"",COUNTIF(EM$4:EM21,EM21)=1),1,0)</f>
        <v>#N/A</v>
      </c>
      <c r="EO21" t="e">
        <f t="shared" si="58"/>
        <v>#N/A</v>
      </c>
      <c r="EP21" t="str">
        <f>IF('Final Calculation Sheet'!$AB$21="","",'Final Calculation Sheet'!$AB$21)</f>
        <v/>
      </c>
      <c r="EQ21" t="str">
        <f>IF(EP21="","",COUNTIFS(EP$4:EP$40,"&lt;"&amp;EP21,EP$4:EP$40,"&lt;&gt;"&amp;"")+COUNTIF(EP$4:EP21,EP21))</f>
        <v/>
      </c>
      <c r="ER21" s="137" t="e">
        <f t="shared" si="59"/>
        <v>#N/A</v>
      </c>
      <c r="ES21" s="137" t="e">
        <f>ES20+IF(AND(ER21&lt;&gt;"",COUNTIF(ER$4:ER21,ER21)=1),1,0)</f>
        <v>#N/A</v>
      </c>
      <c r="ET21" t="e">
        <f t="shared" si="60"/>
        <v>#N/A</v>
      </c>
      <c r="EU21" s="55">
        <f>IF('Final Calculation Sheet'!$AC$21="","",'Final Calculation Sheet'!$AC$21)</f>
        <v>388951</v>
      </c>
      <c r="EV21" s="137">
        <f>IF(EU21="","",COUNTIFS(EU$4:EU$40,"&lt;"&amp;EU21,EU$4:EU$40,"&lt;&gt;"&amp;"")+COUNTIF(EU$4:EU21,EU21))</f>
        <v>30</v>
      </c>
      <c r="EW21" s="55">
        <f t="shared" si="61"/>
        <v>137350</v>
      </c>
      <c r="EX21" s="137">
        <f>EX20+IF(AND(EW21&lt;&gt;"",COUNTIF(EW$4:EW21,EW21)=1),1,0)</f>
        <v>18</v>
      </c>
      <c r="EY21" s="55">
        <f t="shared" si="62"/>
        <v>137350</v>
      </c>
      <c r="EZ21" s="55">
        <f>IF('Final Calculation Sheet'!$AD$21="","",'Final Calculation Sheet'!$AD$21)</f>
        <v>0</v>
      </c>
      <c r="FA21" s="137">
        <f>IF(EZ21="","",COUNTIFS(EZ$4:EZ$40,"&lt;"&amp;EZ21,EZ$4:EZ$40,"&lt;&gt;"&amp;"")+COUNTIF(EZ$4:EZ21,EZ21))</f>
        <v>18</v>
      </c>
      <c r="FB21" s="55">
        <f t="shared" si="63"/>
        <v>0</v>
      </c>
      <c r="FC21" s="137" t="e">
        <f>FC20+IF(AND(FB21&lt;&gt;"",COUNTIF(FB$4:FB21,FB21)=1),1,0)</f>
        <v>#N/A</v>
      </c>
      <c r="FD21" t="e">
        <f t="shared" si="64"/>
        <v>#N/A</v>
      </c>
      <c r="FE21" t="str">
        <f>IF('Final Calculation Sheet'!$AE$21="","",'Final Calculation Sheet'!$AE$21)</f>
        <v>DR2640100028</v>
      </c>
      <c r="FF21" s="137">
        <f>IF(FE21="","",COUNTIFS(FE$4:FE$40,"&lt;"&amp;FE21,FE$4:FE$40,"&lt;&gt;"&amp;"")+COUNTIF(FE$4:FE21,FE21))</f>
        <v>17</v>
      </c>
      <c r="FG21" t="str">
        <f t="shared" si="65"/>
        <v>DR2640100029</v>
      </c>
      <c r="FH21" s="137" t="e">
        <f>FH20+IF(AND(FG21&lt;&gt;"",COUNTIF(FG$4:FG21,FG21)=1),1,0)</f>
        <v>#N/A</v>
      </c>
      <c r="FI21" t="e">
        <f t="shared" si="66"/>
        <v>#N/A</v>
      </c>
      <c r="FJ21" s="141">
        <f>IF('Final Calculation Sheet'!$AF$21="","",'Final Calculation Sheet'!$AF$21)</f>
        <v>1800003269</v>
      </c>
      <c r="FK21" s="137">
        <f>IF(FJ21="","",COUNTIFS(FJ$4:FJ$40,"&lt;"&amp;FJ21,FJ$4:FJ$40,"&lt;&gt;"&amp;"")+COUNTIF(FJ$4:FJ21,FJ21))</f>
        <v>12</v>
      </c>
      <c r="FL21" s="141">
        <f t="shared" si="67"/>
        <v>1800003306</v>
      </c>
      <c r="FM21" s="137">
        <f>FM20+IF(AND(FL21&lt;&gt;"",COUNTIF(FL$4:FL21,FL21)=1),1,0)</f>
        <v>18</v>
      </c>
      <c r="FN21" t="e">
        <f t="shared" si="68"/>
        <v>#N/A</v>
      </c>
      <c r="FO21" t="str">
        <f>IF('Final Calculation Sheet'!$AG$21="","",'Final Calculation Sheet'!$AG$21)</f>
        <v>24.08.2026</v>
      </c>
      <c r="FP21" s="137">
        <f>IF(FO21="","",COUNTIFS(FO$4:FO$40,"&lt;"&amp;FO21,FO$4:FO$40,"&lt;&gt;"&amp;"")+COUNTIF(FO$4:FO21,FO21))</f>
        <v>18</v>
      </c>
      <c r="FQ21" t="str">
        <f t="shared" si="69"/>
        <v>24.08.2026</v>
      </c>
      <c r="FR21" s="137" t="e">
        <f>FR20+IF(AND(FQ21&lt;&gt;"",COUNTIF(FQ$4:FQ21,FQ21)=1),1,0)</f>
        <v>#N/A</v>
      </c>
      <c r="FS21" t="e">
        <f t="shared" si="70"/>
        <v>#N/A</v>
      </c>
      <c r="FU21" t="str">
        <f>IF(FT21="","",COUNTIFS(FT$4:FT$40,"&lt;"&amp;FT21,FT$4:FT$40,"&lt;&gt;"&amp;"")+COUNTIF(FT$4:FT21,FT21))</f>
        <v/>
      </c>
      <c r="FV21" t="str">
        <f t="shared" si="71"/>
        <v/>
      </c>
      <c r="FW21" s="137">
        <f>FW20+IF(AND(FV21&lt;&gt;"",COUNTIF(FV$4:FV21,FV21)=1),1,0)</f>
        <v>2</v>
      </c>
      <c r="FX21" t="str">
        <f t="shared" si="72"/>
        <v/>
      </c>
    </row>
    <row r="22" spans="1:180" x14ac:dyDescent="0.25">
      <c r="A22">
        <f>IF('Final Calculation Sheet'!$F$22="","",'Final Calculation Sheet'!$F$22)</f>
        <v>2023</v>
      </c>
      <c r="B22" s="137">
        <f>IF(A22="","",COUNTIFS(A$4:A$114,"&lt;"&amp;A22,A$4:A$114,"&lt;&gt;"&amp;"")+COUNTIF(A$4:A22,A22))</f>
        <v>19</v>
      </c>
      <c r="C22" s="137">
        <f t="shared" si="0"/>
        <v>2023</v>
      </c>
      <c r="D22" s="137">
        <f>D21+IF(AND(C22&lt;&gt;"",COUNTIF(C$4:C22,C22)=1),1,0)</f>
        <v>19</v>
      </c>
      <c r="E22" t="e">
        <f t="shared" si="1"/>
        <v>#N/A</v>
      </c>
      <c r="F22">
        <f t="shared" si="2"/>
        <v>19</v>
      </c>
      <c r="G22" s="137">
        <f>IF(F22="","",COUNTIFS(F$4:F$40,"&lt;"&amp;F22,F$4:F$40,"&lt;&gt;"&amp;"")+COUNTIF(F$4:F22,F22))</f>
        <v>19</v>
      </c>
      <c r="H22" s="137">
        <f t="shared" si="3"/>
        <v>19</v>
      </c>
      <c r="I22" s="137">
        <f>I21+IF(AND(H22&lt;&gt;"",COUNTIF(H$4:H22,H22)=1),1,0)</f>
        <v>19</v>
      </c>
      <c r="J22">
        <f t="shared" si="4"/>
        <v>19</v>
      </c>
      <c r="K22">
        <f>IF('Final Calculation Sheet'!$F$22="","",'Final Calculation Sheet'!$F$22)</f>
        <v>2023</v>
      </c>
      <c r="L22" s="137">
        <f>IF(K22="","",COUNTIFS(K$4:K$40,"&lt;"&amp;K22,K$4:K$40,"&lt;&gt;"&amp;"")+COUNTIF(K$4:K22,K22))</f>
        <v>19</v>
      </c>
      <c r="M22" s="137">
        <f t="shared" si="5"/>
        <v>2023</v>
      </c>
      <c r="N22" s="137">
        <f>N21+IF(AND(M22&lt;&gt;"",COUNTIF(M$4:M22,M22)=1),1,0)</f>
        <v>19</v>
      </c>
      <c r="O22">
        <f t="shared" si="6"/>
        <v>2023</v>
      </c>
      <c r="P22" t="str">
        <f>IF('Final Calculation Sheet'!$G$22="","",'Final Calculation Sheet'!$G$22)</f>
        <v>NATIONAL ENTERPRISES</v>
      </c>
      <c r="Q22" s="137">
        <f>IF(P22="","",COUNTIFS(P$4:P$40,"&lt;"&amp;P22,P$4:P$40,"&lt;&gt;"&amp;"")+COUNTIF(P$4:P22,P22))</f>
        <v>13</v>
      </c>
      <c r="R22" t="str">
        <f t="shared" si="7"/>
        <v>NATIONAL ENTERPRISES</v>
      </c>
      <c r="S22" s="137">
        <f>S21+IF(AND(R22&lt;&gt;"",COUNTIF(R$4:R22,R22)=1),1,0)</f>
        <v>6</v>
      </c>
      <c r="T22" t="str">
        <f t="shared" si="8"/>
        <v/>
      </c>
      <c r="U22" t="str">
        <f>IF('Final Calculation Sheet'!$B$22="","",'Final Calculation Sheet'!$B$22)</f>
        <v>Scrap of 132 KV CT</v>
      </c>
      <c r="V22" s="137">
        <f>IF(U22="","",COUNTIFS(U$4:U$40,"&lt;"&amp;U22,U$4:U$40,"&lt;&gt;"&amp;"")+COUNTIF(U$4:U22,U22))</f>
        <v>8</v>
      </c>
      <c r="W22" t="str">
        <f t="shared" si="9"/>
        <v>Scrap of 33 KV CB</v>
      </c>
      <c r="X22" s="137">
        <f>X21+IF(AND(W22&lt;&gt;"",COUNTIF(W$4:W22,W22)=1),1,0)</f>
        <v>12</v>
      </c>
      <c r="Y22" t="str">
        <f t="shared" si="10"/>
        <v>Scrap of empty oil Barrel</v>
      </c>
      <c r="Z22">
        <f>IF('Final Calculation Sheet'!$D$22="","",'Final Calculation Sheet'!$D$22)</f>
        <v>21978</v>
      </c>
      <c r="AA22" s="137">
        <f>IF(Z22="","",COUNTIFS(Z$4:Z$40,"&lt;"&amp;Z22,Z$4:Z$40,"&lt;&gt;"&amp;"")+COUNTIF(Z$4:Z22,Z22))</f>
        <v>17</v>
      </c>
      <c r="AB22" s="137">
        <f t="shared" si="11"/>
        <v>21978</v>
      </c>
      <c r="AC22" s="137">
        <f>AC21+IF(AND(AB22&lt;&gt;"",COUNTIF(AB$4:AB22,AB22)=1),1,0)</f>
        <v>2</v>
      </c>
      <c r="AD22" t="str">
        <f t="shared" si="12"/>
        <v/>
      </c>
      <c r="AE22">
        <f>IF('Final Calculation Sheet'!$A$22="","",'Final Calculation Sheet'!$A$22)</f>
        <v>3</v>
      </c>
      <c r="AF22" s="137">
        <f>IF(AE22="","",COUNTIFS(AE$4:AE$40,"&lt;"&amp;AE22,AE$4:AE$40,"&lt;&gt;"&amp;"")+COUNTIF(AE$4:AE22,AE22))</f>
        <v>14</v>
      </c>
      <c r="AG22" s="137">
        <f t="shared" si="13"/>
        <v>4</v>
      </c>
      <c r="AH22" s="137">
        <f>AH21+IF(AND(AG22&lt;&gt;"",COUNTIF(AG$4:AG22,AG22)=1),1,0)</f>
        <v>4</v>
      </c>
      <c r="AI22">
        <f t="shared" si="14"/>
        <v>1000</v>
      </c>
      <c r="AJ22" t="str">
        <f>IF('Final Calculation Sheet'!$E$22="","",'Final Calculation Sheet'!$E$22)</f>
        <v>NO</v>
      </c>
      <c r="AK22" s="137">
        <f>IF(AJ22="","",COUNTIFS(AJ$4:AJ$40,"&lt;"&amp;AJ22,AJ$4:AJ$40,"&lt;&gt;"&amp;"")+COUNTIF(AJ$4:AJ22,AJ22))</f>
        <v>21</v>
      </c>
      <c r="AL22" t="str">
        <f t="shared" si="15"/>
        <v>NO</v>
      </c>
      <c r="AM22" s="137">
        <f>AM21+IF(AND(AL22&lt;&gt;"",COUNTIF(AL$4:AL22,AL22)=1),1,0)</f>
        <v>3</v>
      </c>
      <c r="AN22" t="str">
        <f t="shared" si="16"/>
        <v/>
      </c>
      <c r="AO22" s="55">
        <f>IF('Final Calculation Sheet'!$C$22="","",'Final Calculation Sheet'!$C$22)</f>
        <v>83743</v>
      </c>
      <c r="AP22" s="137">
        <f>IF(AO22="","",COUNTIFS(AO$4:AO$40,"&lt;"&amp;AO22,AO$4:AO$40,"&lt;&gt;"&amp;"")+COUNTIF(AO$4:AO22,AO22))</f>
        <v>31</v>
      </c>
      <c r="AQ22" s="55">
        <f t="shared" si="17"/>
        <v>25001</v>
      </c>
      <c r="AR22" s="137">
        <f>AR21+IF(AND(AQ22&lt;&gt;"",COUNTIF(AQ$4:AQ22,AQ22)=1),1,0)</f>
        <v>17</v>
      </c>
      <c r="AS22" s="55">
        <f t="shared" si="18"/>
        <v>40003</v>
      </c>
      <c r="AT22" s="55">
        <f>IF('Final Calculation Sheet'!$H$22="","",'Final Calculation Sheet'!$H$22)</f>
        <v>251229</v>
      </c>
      <c r="AU22" s="137">
        <f>IF(AT22="","",COUNTIFS(AT$4:AT$40,"&lt;"&amp;AT22,AT$4:AT$40,"&lt;&gt;"&amp;"")+COUNTIF(AT$4:AT22,AT22))</f>
        <v>27</v>
      </c>
      <c r="AV22" s="55">
        <f t="shared" si="19"/>
        <v>156600</v>
      </c>
      <c r="AW22" s="137">
        <f>AW21+IF(AND(AV22&lt;&gt;"",COUNTIF(AV$4:AV22,AV22)=1),1,0)</f>
        <v>19</v>
      </c>
      <c r="AX22" s="55">
        <f t="shared" si="20"/>
        <v>156600</v>
      </c>
      <c r="AY22" s="55">
        <f>IF('Final Calculation Sheet'!$I$22="","",'Final Calculation Sheet'!$I$22)</f>
        <v>45221</v>
      </c>
      <c r="AZ22" s="137">
        <f>IF(AY22="","",COUNTIFS(AY$4:AY$40,"&lt;"&amp;AY22,AY$4:AY$40,"&lt;&gt;"&amp;"")+COUNTIF(AY$4:AY22,AY22))</f>
        <v>27</v>
      </c>
      <c r="BA22" s="55">
        <f t="shared" si="21"/>
        <v>28188</v>
      </c>
      <c r="BB22" s="137">
        <f>BB21+IF(AND(BA22&lt;&gt;"",COUNTIF(BA$4:BA22,BA22)=1),1,0)</f>
        <v>19</v>
      </c>
      <c r="BC22" s="55">
        <f t="shared" si="22"/>
        <v>28188</v>
      </c>
      <c r="BD22" s="55">
        <f>IF('Final Calculation Sheet'!$J$22="","",'Final Calculation Sheet'!$J$22)</f>
        <v>296450</v>
      </c>
      <c r="BE22" s="137">
        <f>IF(BD22="","",COUNTIFS(BD$4:BD$40,"&lt;"&amp;BD22,BD$4:BD$40,"&lt;&gt;"&amp;"")+COUNTIF(BD$4:BD22,BD22))</f>
        <v>27</v>
      </c>
      <c r="BF22" s="55">
        <f t="shared" si="23"/>
        <v>184788</v>
      </c>
      <c r="BG22" s="137">
        <f>BG21+IF(AND(BF22&lt;&gt;"",COUNTIF(BF$4:BF22,BF22)=1),1,0)</f>
        <v>19</v>
      </c>
      <c r="BH22" s="55">
        <f t="shared" si="24"/>
        <v>184788</v>
      </c>
      <c r="BI22" s="55">
        <f>IF('Final Calculation Sheet'!$K$22="","",'Final Calculation Sheet'!$K$22)</f>
        <v>5929</v>
      </c>
      <c r="BJ22" s="137">
        <f>IF(BI22="","",COUNTIFS(BI$4:BI$40,"&lt;"&amp;BI22,BI$4:BI$40,"&lt;&gt;"&amp;"")+COUNTIF(BI$4:BI22,BI22))</f>
        <v>27</v>
      </c>
      <c r="BK22" s="55">
        <f t="shared" si="25"/>
        <v>3696</v>
      </c>
      <c r="BL22" s="137">
        <f>BL21+IF(AND(BK22&lt;&gt;"",COUNTIF(BK$4:BK22,BK22)=1),1,0)</f>
        <v>19</v>
      </c>
      <c r="BM22" s="55">
        <f t="shared" si="26"/>
        <v>3696</v>
      </c>
      <c r="BN22" s="55">
        <f>IF('Final Calculation Sheet'!$L$22="","",'Final Calculation Sheet'!$L$22)</f>
        <v>251.22900000000001</v>
      </c>
      <c r="BO22" s="137">
        <f>IF(BN22="","",COUNTIFS(BN$4:BN$40,"&lt;"&amp;BN22,BN$4:BN$40,"&lt;&gt;"&amp;"")+COUNTIF(BN$4:BN22,BN22))</f>
        <v>27</v>
      </c>
      <c r="BP22" s="55">
        <f t="shared" si="27"/>
        <v>156.6</v>
      </c>
      <c r="BQ22" s="137">
        <f>BQ21+IF(AND(BP22&lt;&gt;"",COUNTIF(BP$4:BP22,BP22)=1),1,0)</f>
        <v>19</v>
      </c>
      <c r="BR22" s="55">
        <f t="shared" si="28"/>
        <v>156.6</v>
      </c>
      <c r="BS22" s="55">
        <f>IF('Final Calculation Sheet'!$M$22="","",'Final Calculation Sheet'!$M$22)</f>
        <v>6670.1299499999996</v>
      </c>
      <c r="BT22" s="137">
        <f>IF(BS22="","",COUNTIFS(BS$4:BS$40,"&lt;"&amp;BS22,BS$4:BS$40,"&lt;&gt;"&amp;"")+COUNTIF(BS$4:BS22,BS22))</f>
        <v>27</v>
      </c>
      <c r="BU22" s="55">
        <f t="shared" si="29"/>
        <v>4157.7299999999996</v>
      </c>
      <c r="BV22" s="137">
        <f>BV21+IF(AND(BU22&lt;&gt;"",COUNTIF(BU$4:BU22,BU22)=1),1,0)</f>
        <v>19</v>
      </c>
      <c r="BW22" s="55">
        <f t="shared" si="30"/>
        <v>4157.7299999999996</v>
      </c>
      <c r="BX22" s="138">
        <f>IF('Final Calculation Sheet'!$N$22="","",'Final Calculation Sheet'!$N$22)</f>
        <v>113.05305</v>
      </c>
      <c r="BY22" s="137">
        <f>IF(BX22="","",COUNTIFS(BX$4:BX$40,"&lt;"&amp;BX22,BX$4:BX$40,"&lt;&gt;"&amp;"")+COUNTIF(BX$4:BX22,BX22))</f>
        <v>27</v>
      </c>
      <c r="BZ22" s="138">
        <f t="shared" si="31"/>
        <v>70.47</v>
      </c>
      <c r="CA22" s="137">
        <f>CA21+IF(AND(BZ22&lt;&gt;"",COUNTIF(BZ$4:BZ22,BZ22)=1),1,0)</f>
        <v>19</v>
      </c>
      <c r="CB22" s="138">
        <f t="shared" si="32"/>
        <v>70.47</v>
      </c>
      <c r="CC22" s="55">
        <f>IF('Final Calculation Sheet'!$O$22="","",'Final Calculation Sheet'!$O$22)</f>
        <v>6557.0768999999991</v>
      </c>
      <c r="CD22" s="137">
        <f>IF(CC22="","",COUNTIFS(CC$4:CC$40,"&lt;"&amp;CC22,CC$4:CC$40,"&lt;&gt;"&amp;"")+COUNTIF(CC$4:CC22,CC22))</f>
        <v>27</v>
      </c>
      <c r="CE22" s="55">
        <f t="shared" si="33"/>
        <v>4087.2599999999998</v>
      </c>
      <c r="CF22" s="137">
        <f>CF21+IF(AND(CE22&lt;&gt;"",COUNTIF(CE$4:CE22,CE22)=1),1,0)</f>
        <v>19</v>
      </c>
      <c r="CG22" s="55">
        <f t="shared" si="34"/>
        <v>4087.2599999999998</v>
      </c>
      <c r="CH22" s="55">
        <f>IF('Final Calculation Sheet'!$P$22="","",'Final Calculation Sheet'!$P$22)</f>
        <v>6808</v>
      </c>
      <c r="CI22" s="137">
        <f>IF(CH22="","",COUNTIFS(CH$4:CH$40,"&lt;"&amp;CH22,CH$4:CH$40,"&lt;&gt;"&amp;"")+COUNTIF(CH$4:CH22,CH22))</f>
        <v>27</v>
      </c>
      <c r="CJ22" s="55">
        <f t="shared" si="35"/>
        <v>4244</v>
      </c>
      <c r="CK22" s="137">
        <f>CK21+IF(AND(CJ22&lt;&gt;"",COUNTIF(CJ$4:CJ22,CJ22)=1),1,0)</f>
        <v>19</v>
      </c>
      <c r="CL22" s="55">
        <f t="shared" si="36"/>
        <v>4244</v>
      </c>
      <c r="CM22" s="139">
        <f>IF('Final Calculation Sheet'!$Q$22="","",'Final Calculation Sheet'!$Q$22)</f>
        <v>0</v>
      </c>
      <c r="CN22" s="137">
        <f>IF(CM22="","",COUNTIFS(CM$4:CM$40,"&lt;"&amp;CM22,CM$4:CM$40,"&lt;&gt;"&amp;"")+COUNTIF(CM$4:CM22,CM22))</f>
        <v>16</v>
      </c>
      <c r="CO22" s="139">
        <f t="shared" si="37"/>
        <v>0</v>
      </c>
      <c r="CP22" s="137">
        <f>CP21+IF(AND(CO22&lt;&gt;"",COUNTIF(CO$4:CO22,CO22)=1),1,0)</f>
        <v>1</v>
      </c>
      <c r="CQ22" t="str">
        <f t="shared" si="38"/>
        <v/>
      </c>
      <c r="CR22" s="55">
        <f>IF('Final Calculation Sheet'!$R$22="","",'Final Calculation Sheet'!$R$22)</f>
        <v>0</v>
      </c>
      <c r="CS22" s="137">
        <f>IF(CR22="","",COUNTIFS(CR$4:CR$40,"&lt;"&amp;CR22,CR$4:CR$40,"&lt;&gt;"&amp;"")+COUNTIF(CR$4:CR22,CR22))</f>
        <v>16</v>
      </c>
      <c r="CT22" s="55">
        <f t="shared" si="39"/>
        <v>0</v>
      </c>
      <c r="CU22" s="137">
        <f>CU21+IF(AND(CT22&lt;&gt;"",COUNTIF(CT$4:CT22,CT22)=1),1,0)</f>
        <v>1</v>
      </c>
      <c r="CV22" t="str">
        <f t="shared" si="40"/>
        <v/>
      </c>
      <c r="CW22" s="55">
        <f>IF('Final Calculation Sheet'!$S$22="","",'Final Calculation Sheet'!$S$22)</f>
        <v>295571</v>
      </c>
      <c r="CX22" s="137">
        <f>IF(CW22="","",COUNTIFS(CW$4:CW$40,"&lt;"&amp;CW22,CW$4:CW$40,"&lt;&gt;"&amp;"")+COUNTIF(CW$4:CW22,CW22))</f>
        <v>27</v>
      </c>
      <c r="CY22" s="55">
        <f t="shared" si="41"/>
        <v>184240</v>
      </c>
      <c r="CZ22" s="137">
        <f>CZ21+IF(AND(CY22&lt;&gt;"",COUNTIF(CY$4:CY22,CY22)=1),1,0)</f>
        <v>19</v>
      </c>
      <c r="DA22" s="55">
        <f t="shared" si="42"/>
        <v>184240</v>
      </c>
      <c r="DB22" s="55">
        <f>IF('Final Calculation Sheet'!$T$22="","",'Final Calculation Sheet'!$T$22)</f>
        <v>62807</v>
      </c>
      <c r="DC22" s="137">
        <f>IF(DB22="","",COUNTIFS(DB$4:DB$40,"&lt;"&amp;DB22,DB$4:DB$40,"&lt;&gt;"&amp;"")+COUNTIF(DB$4:DB22,DB22))</f>
        <v>27</v>
      </c>
      <c r="DD22" s="55">
        <f t="shared" si="43"/>
        <v>39150</v>
      </c>
      <c r="DE22" s="137">
        <f>DE21+IF(AND(DD22&lt;&gt;"",COUNTIF(DD$4:DD22,DD22)=1),1,0)</f>
        <v>19</v>
      </c>
      <c r="DF22" s="55">
        <f t="shared" si="44"/>
        <v>39150</v>
      </c>
      <c r="DG22" s="140">
        <f>IF('Final Calculation Sheet'!$U$22="","",'Final Calculation Sheet'!$U$22)</f>
        <v>62807</v>
      </c>
      <c r="DH22" s="137">
        <f>IF(DG22="","",COUNTIFS(DG$4:DG$40,"&lt;"&amp;DG22,DG$4:DG$40,"&lt;&gt;"&amp;"")+COUNTIF(DG$4:DG22,DG22))</f>
        <v>27</v>
      </c>
      <c r="DI22" s="140">
        <f t="shared" si="45"/>
        <v>39150</v>
      </c>
      <c r="DJ22" s="137">
        <f>DJ21+IF(AND(DI22&lt;&gt;"",COUNTIF(DI$4:DI22,DI22)=1),1,0)</f>
        <v>19</v>
      </c>
      <c r="DK22" s="140">
        <f t="shared" si="46"/>
        <v>39150</v>
      </c>
      <c r="DL22" t="str">
        <f>IF('Final Calculation Sheet'!$V$22="","",'Final Calculation Sheet'!$V$22)</f>
        <v>13.08.2026</v>
      </c>
      <c r="DM22" s="137">
        <f>IF(DL22="","",COUNTIFS(DL$4:DL$40,"&lt;"&amp;DL22,DL$4:DL$40,"&lt;&gt;"&amp;"")+COUNTIF(DL$4:DL22,DL22))</f>
        <v>20</v>
      </c>
      <c r="DN22" t="str">
        <f t="shared" si="47"/>
        <v>13.08.2026</v>
      </c>
      <c r="DO22" s="137">
        <f>DO21+IF(AND(DN22&lt;&gt;"",COUNTIF(DN$4:DN22,DN22)=1),1,0)</f>
        <v>3</v>
      </c>
      <c r="DP22" t="str">
        <f t="shared" si="48"/>
        <v/>
      </c>
      <c r="DQ22" s="55">
        <f>IF('Final Calculation Sheet'!$W$22="","",'Final Calculation Sheet'!$W$22)</f>
        <v>232764</v>
      </c>
      <c r="DR22" s="137">
        <f>IF(DQ22="","",COUNTIFS(DQ$4:DQ$40,"&lt;"&amp;DQ22,DQ$4:DQ$40,"&lt;&gt;"&amp;"")+COUNTIF(DQ$4:DQ22,DQ22))</f>
        <v>27</v>
      </c>
      <c r="DS22" s="55">
        <f t="shared" si="49"/>
        <v>145090</v>
      </c>
      <c r="DT22" s="137">
        <f>DT21+IF(AND(DS22&lt;&gt;"",COUNTIF(DS$4:DS22,DS22)=1),1,0)</f>
        <v>19</v>
      </c>
      <c r="DU22" s="55">
        <f t="shared" si="50"/>
        <v>145090</v>
      </c>
      <c r="DV22" s="55">
        <f>IF('Final Calculation Sheet'!$X$22="","",'Final Calculation Sheet'!$X$22)</f>
        <v>232764</v>
      </c>
      <c r="DW22" s="137">
        <f>IF(DV22="","",COUNTIFS(DV$4:DV$40,"&lt;"&amp;DV22,DV$4:DV$40,"&lt;&gt;"&amp;"")+COUNTIF(DV$4:DV22,DV22))</f>
        <v>26</v>
      </c>
      <c r="DX22" s="55">
        <f t="shared" si="51"/>
        <v>148251</v>
      </c>
      <c r="DY22" s="137">
        <f>DY21+IF(AND(DX22&lt;&gt;"",COUNTIF(DX$4:DX22,DX22)=1),1,0)</f>
        <v>19</v>
      </c>
      <c r="DZ22" t="e">
        <f t="shared" si="52"/>
        <v>#N/A</v>
      </c>
      <c r="EA22" t="str">
        <f>IF('Final Calculation Sheet'!$Y$22="","",'Final Calculation Sheet'!$Y$22)</f>
        <v>24.08.2026</v>
      </c>
      <c r="EB22" s="137">
        <f>IF(EA22="","",COUNTIFS(EA$4:EA$40,"&lt;"&amp;EA22,EA$4:EA$40,"&lt;&gt;"&amp;"")+COUNTIF(EA$4:EA22,EA22))</f>
        <v>28</v>
      </c>
      <c r="EC22" t="str">
        <f t="shared" si="53"/>
        <v>21.08.2026</v>
      </c>
      <c r="ED22" s="137">
        <f>ED21+IF(AND(EC22&lt;&gt;"",COUNTIF(EC$4:EC22,EC22)=1),1,0)</f>
        <v>8</v>
      </c>
      <c r="EE22" t="e">
        <f t="shared" si="54"/>
        <v>#N/A</v>
      </c>
      <c r="EF22" s="55">
        <f ca="1">IF('Final Calculation Sheet'!$Z$22="","",'Final Calculation Sheet'!$Z$22)</f>
        <v>0</v>
      </c>
      <c r="EG22" s="137">
        <f ca="1">IF(EF22="","",COUNTIFS(EF$4:EF$40,"&lt;"&amp;EF22,EF$4:EF$40,"&lt;&gt;"&amp;"")+COUNTIF(EF$4:EF22,EF22))</f>
        <v>19</v>
      </c>
      <c r="EH22" s="55">
        <f t="shared" ca="1" si="55"/>
        <v>0</v>
      </c>
      <c r="EI22" s="137">
        <f ca="1">EI21+IF(AND(EH22&lt;&gt;"",COUNTIF(EH$4:EH22,EH22)=1),1,0)</f>
        <v>1</v>
      </c>
      <c r="EJ22" t="str">
        <f t="shared" ca="1" si="56"/>
        <v/>
      </c>
      <c r="EK22" t="str">
        <f>IF('Final Calculation Sheet'!$AA$22="","",'Final Calculation Sheet'!$AA$22)</f>
        <v/>
      </c>
      <c r="EL22" t="str">
        <f>IF(EK22="","",COUNTIFS(EK$4:EK$40,"&lt;"&amp;EK22,EK$4:EK$40,"&lt;&gt;"&amp;"")+COUNTIF(EK$4:EK22,EK22))</f>
        <v/>
      </c>
      <c r="EM22" s="137" t="e">
        <f t="shared" si="57"/>
        <v>#N/A</v>
      </c>
      <c r="EN22" s="137" t="e">
        <f>EN21+IF(AND(EM22&lt;&gt;"",COUNTIF(EM$4:EM22,EM22)=1),1,0)</f>
        <v>#N/A</v>
      </c>
      <c r="EO22" t="e">
        <f t="shared" si="58"/>
        <v>#N/A</v>
      </c>
      <c r="EP22" t="str">
        <f>IF('Final Calculation Sheet'!$AB$22="","",'Final Calculation Sheet'!$AB$22)</f>
        <v/>
      </c>
      <c r="EQ22" t="str">
        <f>IF(EP22="","",COUNTIFS(EP$4:EP$40,"&lt;"&amp;EP22,EP$4:EP$40,"&lt;&gt;"&amp;"")+COUNTIF(EP$4:EP22,EP22))</f>
        <v/>
      </c>
      <c r="ER22" s="137" t="e">
        <f t="shared" si="59"/>
        <v>#N/A</v>
      </c>
      <c r="ES22" s="137" t="e">
        <f>ES21+IF(AND(ER22&lt;&gt;"",COUNTIF(ER$4:ER22,ER22)=1),1,0)</f>
        <v>#N/A</v>
      </c>
      <c r="ET22" t="e">
        <f t="shared" si="60"/>
        <v>#N/A</v>
      </c>
      <c r="EU22" s="55">
        <f>IF('Final Calculation Sheet'!$AC$22="","",'Final Calculation Sheet'!$AC$22)</f>
        <v>295571</v>
      </c>
      <c r="EV22" s="137">
        <f>IF(EU22="","",COUNTIFS(EU$4:EU$40,"&lt;"&amp;EU22,EU$4:EU$40,"&lt;&gt;"&amp;"")+COUNTIF(EU$4:EU22,EU22))</f>
        <v>29</v>
      </c>
      <c r="EW22" s="55">
        <f t="shared" si="61"/>
        <v>144023</v>
      </c>
      <c r="EX22" s="137">
        <f>EX21+IF(AND(EW22&lt;&gt;"",COUNTIF(EW$4:EW22,EW22)=1),1,0)</f>
        <v>19</v>
      </c>
      <c r="EY22" s="55">
        <f t="shared" si="62"/>
        <v>144023</v>
      </c>
      <c r="EZ22" s="55">
        <f>IF('Final Calculation Sheet'!$AD$22="","",'Final Calculation Sheet'!$AD$22)</f>
        <v>0</v>
      </c>
      <c r="FA22" s="137">
        <f>IF(EZ22="","",COUNTIFS(EZ$4:EZ$40,"&lt;"&amp;EZ22,EZ$4:EZ$40,"&lt;&gt;"&amp;"")+COUNTIF(EZ$4:EZ22,EZ22))</f>
        <v>19</v>
      </c>
      <c r="FB22" s="55">
        <f t="shared" si="63"/>
        <v>0</v>
      </c>
      <c r="FC22" s="137" t="e">
        <f>FC21+IF(AND(FB22&lt;&gt;"",COUNTIF(FB$4:FB22,FB22)=1),1,0)</f>
        <v>#N/A</v>
      </c>
      <c r="FD22" t="e">
        <f t="shared" si="64"/>
        <v>#N/A</v>
      </c>
      <c r="FE22" t="str">
        <f>IF('Final Calculation Sheet'!$AE$22="","",'Final Calculation Sheet'!$AE$22)</f>
        <v>DR2640100044</v>
      </c>
      <c r="FF22" s="137">
        <f>IF(FE22="","",COUNTIFS(FE$4:FE$40,"&lt;"&amp;FE22,FE$4:FE$40,"&lt;&gt;"&amp;"")+COUNTIF(FE$4:FE22,FE22))</f>
        <v>33</v>
      </c>
      <c r="FG22" t="str">
        <f t="shared" si="65"/>
        <v>DR2640100030</v>
      </c>
      <c r="FH22" s="137" t="e">
        <f>FH21+IF(AND(FG22&lt;&gt;"",COUNTIF(FG$4:FG22,FG22)=1),1,0)</f>
        <v>#N/A</v>
      </c>
      <c r="FI22" t="e">
        <f t="shared" si="66"/>
        <v>#N/A</v>
      </c>
      <c r="FJ22" s="141">
        <f>IF('Final Calculation Sheet'!$AF$22="","",'Final Calculation Sheet'!$AF$22)</f>
        <v>1800003308</v>
      </c>
      <c r="FK22" s="137">
        <f>IF(FJ22="","",COUNTIFS(FJ$4:FJ$40,"&lt;"&amp;FJ22,FJ$4:FJ$40,"&lt;&gt;"&amp;"")+COUNTIF(FJ$4:FJ22,FJ22))</f>
        <v>20</v>
      </c>
      <c r="FL22" s="141">
        <f t="shared" si="67"/>
        <v>1800003307</v>
      </c>
      <c r="FM22" s="137">
        <f>FM21+IF(AND(FL22&lt;&gt;"",COUNTIF(FL$4:FL22,FL22)=1),1,0)</f>
        <v>19</v>
      </c>
      <c r="FN22" t="e">
        <f t="shared" si="68"/>
        <v>#N/A</v>
      </c>
      <c r="FO22" t="str">
        <f>IF('Final Calculation Sheet'!$AG$22="","",'Final Calculation Sheet'!$AG$22)</f>
        <v>27.08.2026</v>
      </c>
      <c r="FP22" s="137">
        <f>IF(FO22="","",COUNTIFS(FO$4:FO$40,"&lt;"&amp;FO22,FO$4:FO$40,"&lt;&gt;"&amp;"")+COUNTIF(FO$4:FO22,FO22))</f>
        <v>28</v>
      </c>
      <c r="FQ22" t="str">
        <f t="shared" si="69"/>
        <v>27.08.2026</v>
      </c>
      <c r="FR22" s="137" t="e">
        <f>FR21+IF(AND(FQ22&lt;&gt;"",COUNTIF(FQ$4:FQ22,FQ22)=1),1,0)</f>
        <v>#N/A</v>
      </c>
      <c r="FS22" t="e">
        <f t="shared" si="70"/>
        <v>#N/A</v>
      </c>
      <c r="FU22" t="str">
        <f>IF(FT22="","",COUNTIFS(FT$4:FT$40,"&lt;"&amp;FT22,FT$4:FT$40,"&lt;&gt;"&amp;"")+COUNTIF(FT$4:FT22,FT22))</f>
        <v/>
      </c>
      <c r="FV22" t="str">
        <f t="shared" si="71"/>
        <v/>
      </c>
      <c r="FW22" s="137">
        <f>FW21+IF(AND(FV22&lt;&gt;"",COUNTIF(FV$4:FV22,FV22)=1),1,0)</f>
        <v>2</v>
      </c>
      <c r="FX22" t="str">
        <f t="shared" si="72"/>
        <v/>
      </c>
    </row>
    <row r="23" spans="1:180" x14ac:dyDescent="0.25">
      <c r="A23">
        <f>IF('Final Calculation Sheet'!$F$23="","",'Final Calculation Sheet'!$F$23)</f>
        <v>2025</v>
      </c>
      <c r="B23" s="137">
        <f>IF(A23="","",COUNTIFS(A$4:A$114,"&lt;"&amp;A23,A$4:A$114,"&lt;&gt;"&amp;"")+COUNTIF(A$4:A23,A23))</f>
        <v>20</v>
      </c>
      <c r="C23" s="137">
        <f t="shared" si="0"/>
        <v>2025</v>
      </c>
      <c r="D23" s="137">
        <f>D22+IF(AND(C23&lt;&gt;"",COUNTIF(C$4:C23,C23)=1),1,0)</f>
        <v>20</v>
      </c>
      <c r="E23" t="e">
        <f t="shared" si="1"/>
        <v>#N/A</v>
      </c>
      <c r="F23">
        <f t="shared" si="2"/>
        <v>20</v>
      </c>
      <c r="G23" s="137">
        <f>IF(F23="","",COUNTIFS(F$4:F$40,"&lt;"&amp;F23,F$4:F$40,"&lt;&gt;"&amp;"")+COUNTIF(F$4:F23,F23))</f>
        <v>20</v>
      </c>
      <c r="H23" s="137">
        <f t="shared" si="3"/>
        <v>20</v>
      </c>
      <c r="I23" s="137">
        <f>I22+IF(AND(H23&lt;&gt;"",COUNTIF(H$4:H23,H23)=1),1,0)</f>
        <v>20</v>
      </c>
      <c r="J23">
        <f t="shared" si="4"/>
        <v>20</v>
      </c>
      <c r="K23">
        <f>IF('Final Calculation Sheet'!$F$23="","",'Final Calculation Sheet'!$F$23)</f>
        <v>2025</v>
      </c>
      <c r="L23" s="137">
        <f>IF(K23="","",COUNTIFS(K$4:K$40,"&lt;"&amp;K23,K$4:K$40,"&lt;&gt;"&amp;"")+COUNTIF(K$4:K23,K23))</f>
        <v>20</v>
      </c>
      <c r="M23" s="137">
        <f t="shared" si="5"/>
        <v>2025</v>
      </c>
      <c r="N23" s="137">
        <f>N22+IF(AND(M23&lt;&gt;"",COUNTIF(M$4:M23,M23)=1),1,0)</f>
        <v>20</v>
      </c>
      <c r="O23">
        <f t="shared" si="6"/>
        <v>2025</v>
      </c>
      <c r="P23" t="str">
        <f>IF('Final Calculation Sheet'!$G$23="","",'Final Calculation Sheet'!$G$23)</f>
        <v>STERLING ENTERPRISES</v>
      </c>
      <c r="Q23" s="137">
        <f>IF(P23="","",COUNTIFS(P$4:P$40,"&lt;"&amp;P23,P$4:P$40,"&lt;&gt;"&amp;"")+COUNTIF(P$4:P23,P23))</f>
        <v>31</v>
      </c>
      <c r="R23" t="str">
        <f t="shared" si="7"/>
        <v>NATIONAL SCRAP AND BUILDING MATERIAL SUPPLIER</v>
      </c>
      <c r="S23" s="137">
        <f>S22+IF(AND(R23&lt;&gt;"",COUNTIF(R$4:R23,R23)=1),1,0)</f>
        <v>7</v>
      </c>
      <c r="T23" t="str">
        <f t="shared" si="8"/>
        <v/>
      </c>
      <c r="U23" t="str">
        <f>IF('Final Calculation Sheet'!$B$23="","",'Final Calculation Sheet'!$B$23)</f>
        <v>Scrap of empty oil Barrels</v>
      </c>
      <c r="V23" s="137">
        <f>IF(U23="","",COUNTIFS(U$4:U$40,"&lt;"&amp;U23,U$4:U$40,"&lt;&gt;"&amp;"")+COUNTIF(U$4:U23,U23))</f>
        <v>28</v>
      </c>
      <c r="W23" t="str">
        <f t="shared" si="9"/>
        <v>Scrap of 33 KV CT</v>
      </c>
      <c r="X23" s="137">
        <f>X22+IF(AND(W23&lt;&gt;"",COUNTIF(W$4:W23,W23)=1),1,0)</f>
        <v>13</v>
      </c>
      <c r="Y23" t="str">
        <f t="shared" si="10"/>
        <v>Scrap of empty oil Barrels</v>
      </c>
      <c r="Z23">
        <f>IF('Final Calculation Sheet'!$D$23="","",'Final Calculation Sheet'!$D$23)</f>
        <v>21978</v>
      </c>
      <c r="AA23" s="137">
        <f>IF(Z23="","",COUNTIFS(Z$4:Z$40,"&lt;"&amp;Z23,Z$4:Z$40,"&lt;&gt;"&amp;"")+COUNTIF(Z$4:Z23,Z23))</f>
        <v>18</v>
      </c>
      <c r="AB23" s="137">
        <f t="shared" si="11"/>
        <v>21978</v>
      </c>
      <c r="AC23" s="137">
        <f>AC22+IF(AND(AB23&lt;&gt;"",COUNTIF(AB$4:AB23,AB23)=1),1,0)</f>
        <v>2</v>
      </c>
      <c r="AD23" t="str">
        <f t="shared" si="12"/>
        <v/>
      </c>
      <c r="AE23">
        <f>IF('Final Calculation Sheet'!$A$23="","",'Final Calculation Sheet'!$A$23)</f>
        <v>90</v>
      </c>
      <c r="AF23" s="137">
        <f>IF(AE23="","",COUNTIFS(AE$4:AE$40,"&lt;"&amp;AE23,AE$4:AE$40,"&lt;&gt;"&amp;"")+COUNTIF(AE$4:AE23,AE23))</f>
        <v>27</v>
      </c>
      <c r="AG23" s="137">
        <f t="shared" si="13"/>
        <v>5</v>
      </c>
      <c r="AH23" s="137">
        <f>AH22+IF(AND(AG23&lt;&gt;"",COUNTIF(AG$4:AG23,AG23)=1),1,0)</f>
        <v>5</v>
      </c>
      <c r="AI23">
        <f t="shared" si="14"/>
        <v>3000</v>
      </c>
      <c r="AJ23" t="str">
        <f>IF('Final Calculation Sheet'!$E$23="","",'Final Calculation Sheet'!$E$23)</f>
        <v>NO</v>
      </c>
      <c r="AK23" s="137">
        <f>IF(AJ23="","",COUNTIFS(AJ$4:AJ$40,"&lt;"&amp;AJ23,AJ$4:AJ$40,"&lt;&gt;"&amp;"")+COUNTIF(AJ$4:AJ23,AJ23))</f>
        <v>22</v>
      </c>
      <c r="AL23" t="str">
        <f t="shared" si="15"/>
        <v>NO</v>
      </c>
      <c r="AM23" s="137">
        <f>AM22+IF(AND(AL23&lt;&gt;"",COUNTIF(AL$4:AL23,AL23)=1),1,0)</f>
        <v>3</v>
      </c>
      <c r="AN23" t="str">
        <f t="shared" si="16"/>
        <v/>
      </c>
      <c r="AO23" s="55">
        <f>IF('Final Calculation Sheet'!$C$23="","",'Final Calculation Sheet'!$C$23)</f>
        <v>700</v>
      </c>
      <c r="AP23" s="137">
        <f>IF(AO23="","",COUNTIFS(AO$4:AO$40,"&lt;"&amp;AO23,AO$4:AO$40,"&lt;&gt;"&amp;"")+COUNTIF(AO$4:AO23,AO23))</f>
        <v>12</v>
      </c>
      <c r="AQ23" s="55">
        <f t="shared" si="17"/>
        <v>29502</v>
      </c>
      <c r="AR23" s="137">
        <f>AR22+IF(AND(AQ23&lt;&gt;"",COUNTIF(AQ$4:AQ23,AQ23)=1),1,0)</f>
        <v>18</v>
      </c>
      <c r="AS23" s="55">
        <f t="shared" si="18"/>
        <v>50003</v>
      </c>
      <c r="AT23" s="55">
        <f>IF('Final Calculation Sheet'!$H$23="","",'Final Calculation Sheet'!$H$23)</f>
        <v>63000</v>
      </c>
      <c r="AU23" s="137">
        <f>IF(AT23="","",COUNTIFS(AT$4:AT$40,"&lt;"&amp;AT23,AT$4:AT$40,"&lt;&gt;"&amp;"")+COUNTIF(AT$4:AT23,AT23))</f>
        <v>11</v>
      </c>
      <c r="AV23" s="55">
        <f t="shared" si="19"/>
        <v>160012</v>
      </c>
      <c r="AW23" s="137">
        <f>AW22+IF(AND(AV23&lt;&gt;"",COUNTIF(AV$4:AV23,AV23)=1),1,0)</f>
        <v>20</v>
      </c>
      <c r="AX23" s="55">
        <f t="shared" si="20"/>
        <v>160012</v>
      </c>
      <c r="AY23" s="55">
        <f>IF('Final Calculation Sheet'!$I$23="","",'Final Calculation Sheet'!$I$23)</f>
        <v>11340</v>
      </c>
      <c r="AZ23" s="137">
        <f>IF(AY23="","",COUNTIFS(AY$4:AY$40,"&lt;"&amp;AY23,AY$4:AY$40,"&lt;&gt;"&amp;"")+COUNTIF(AY$4:AY23,AY23))</f>
        <v>11</v>
      </c>
      <c r="BA23" s="55">
        <f t="shared" si="21"/>
        <v>28802</v>
      </c>
      <c r="BB23" s="137">
        <f>BB22+IF(AND(BA23&lt;&gt;"",COUNTIF(BA$4:BA23,BA23)=1),1,0)</f>
        <v>20</v>
      </c>
      <c r="BC23" s="55">
        <f t="shared" si="22"/>
        <v>28802</v>
      </c>
      <c r="BD23" s="55">
        <f>IF('Final Calculation Sheet'!$J$23="","",'Final Calculation Sheet'!$J$23)</f>
        <v>74340</v>
      </c>
      <c r="BE23" s="137">
        <f>IF(BD23="","",COUNTIFS(BD$4:BD$40,"&lt;"&amp;BD23,BD$4:BD$40,"&lt;&gt;"&amp;"")+COUNTIF(BD$4:BD23,BD23))</f>
        <v>11</v>
      </c>
      <c r="BF23" s="55">
        <f t="shared" si="23"/>
        <v>188814</v>
      </c>
      <c r="BG23" s="137">
        <f>BG22+IF(AND(BF23&lt;&gt;"",COUNTIF(BF$4:BF23,BF23)=1),1,0)</f>
        <v>20</v>
      </c>
      <c r="BH23" s="55">
        <f t="shared" si="24"/>
        <v>188814</v>
      </c>
      <c r="BI23" s="55">
        <f>IF('Final Calculation Sheet'!$K$23="","",'Final Calculation Sheet'!$K$23)</f>
        <v>1487</v>
      </c>
      <c r="BJ23" s="137">
        <f>IF(BI23="","",COUNTIFS(BI$4:BI$40,"&lt;"&amp;BI23,BI$4:BI$40,"&lt;&gt;"&amp;"")+COUNTIF(BI$4:BI23,BI23))</f>
        <v>11</v>
      </c>
      <c r="BK23" s="55">
        <f t="shared" si="25"/>
        <v>3776</v>
      </c>
      <c r="BL23" s="137">
        <f>BL22+IF(AND(BK23&lt;&gt;"",COUNTIF(BK$4:BK23,BK23)=1),1,0)</f>
        <v>20</v>
      </c>
      <c r="BM23" s="55">
        <f t="shared" si="26"/>
        <v>3776</v>
      </c>
      <c r="BN23" s="55">
        <f>IF('Final Calculation Sheet'!$L$23="","",'Final Calculation Sheet'!$L$23)</f>
        <v>63</v>
      </c>
      <c r="BO23" s="137">
        <f>IF(BN23="","",COUNTIFS(BN$4:BN$40,"&lt;"&amp;BN23,BN$4:BN$40,"&lt;&gt;"&amp;"")+COUNTIF(BN$4:BN23,BN23))</f>
        <v>11</v>
      </c>
      <c r="BP23" s="55">
        <f t="shared" si="27"/>
        <v>160.012</v>
      </c>
      <c r="BQ23" s="137">
        <f>BQ22+IF(AND(BP23&lt;&gt;"",COUNTIF(BP$4:BP23,BP23)=1),1,0)</f>
        <v>20</v>
      </c>
      <c r="BR23" s="55">
        <f t="shared" si="28"/>
        <v>160.012</v>
      </c>
      <c r="BS23" s="55">
        <f>IF('Final Calculation Sheet'!$M$23="","",'Final Calculation Sheet'!$M$23)</f>
        <v>1672.6499999999999</v>
      </c>
      <c r="BT23" s="137">
        <f>IF(BS23="","",COUNTIFS(BS$4:BS$40,"&lt;"&amp;BS23,BS$4:BS$40,"&lt;&gt;"&amp;"")+COUNTIF(BS$4:BS23,BS23))</f>
        <v>11</v>
      </c>
      <c r="BU23" s="55">
        <f t="shared" si="29"/>
        <v>4248.3185999999996</v>
      </c>
      <c r="BV23" s="137">
        <f>BV22+IF(AND(BU23&lt;&gt;"",COUNTIF(BU$4:BU23,BU23)=1),1,0)</f>
        <v>20</v>
      </c>
      <c r="BW23" s="55">
        <f t="shared" si="30"/>
        <v>4248.3185999999996</v>
      </c>
      <c r="BX23" s="138">
        <f>IF('Final Calculation Sheet'!$N$23="","",'Final Calculation Sheet'!$N$23)</f>
        <v>28.35</v>
      </c>
      <c r="BY23" s="137">
        <f>IF(BX23="","",COUNTIFS(BX$4:BX$40,"&lt;"&amp;BX23,BX$4:BX$40,"&lt;&gt;"&amp;"")+COUNTIF(BX$4:BX23,BX23))</f>
        <v>11</v>
      </c>
      <c r="BZ23" s="138">
        <f t="shared" si="31"/>
        <v>72.005399999999995</v>
      </c>
      <c r="CA23" s="137">
        <f>CA22+IF(AND(BZ23&lt;&gt;"",COUNTIF(BZ$4:BZ23,BZ23)=1),1,0)</f>
        <v>20</v>
      </c>
      <c r="CB23" s="138">
        <f t="shared" si="32"/>
        <v>72.005399999999995</v>
      </c>
      <c r="CC23" s="55">
        <f>IF('Final Calculation Sheet'!$O$23="","",'Final Calculation Sheet'!$O$23)</f>
        <v>1644.3</v>
      </c>
      <c r="CD23" s="137">
        <f>IF(CC23="","",COUNTIFS(CC$4:CC$40,"&lt;"&amp;CC23,CC$4:CC$40,"&lt;&gt;"&amp;"")+COUNTIF(CC$4:CC23,CC23))</f>
        <v>11</v>
      </c>
      <c r="CE23" s="55">
        <f t="shared" si="33"/>
        <v>4176.3131999999996</v>
      </c>
      <c r="CF23" s="137">
        <f>CF22+IF(AND(CE23&lt;&gt;"",COUNTIF(CE$4:CE23,CE23)=1),1,0)</f>
        <v>20</v>
      </c>
      <c r="CG23" s="55">
        <f t="shared" si="34"/>
        <v>4176.3131999999996</v>
      </c>
      <c r="CH23" s="55">
        <f>IF('Final Calculation Sheet'!$P$23="","",'Final Calculation Sheet'!$P$23)</f>
        <v>1707</v>
      </c>
      <c r="CI23" s="137">
        <f>IF(CH23="","",COUNTIFS(CH$4:CH$40,"&lt;"&amp;CH23,CH$4:CH$40,"&lt;&gt;"&amp;"")+COUNTIF(CH$4:CH23,CH23))</f>
        <v>11</v>
      </c>
      <c r="CJ23" s="55">
        <f t="shared" si="35"/>
        <v>4336</v>
      </c>
      <c r="CK23" s="137">
        <f>CK22+IF(AND(CJ23&lt;&gt;"",COUNTIF(CJ$4:CJ23,CJ23)=1),1,0)</f>
        <v>20</v>
      </c>
      <c r="CL23" s="55">
        <f t="shared" si="36"/>
        <v>4336</v>
      </c>
      <c r="CM23" s="139">
        <f>IF('Final Calculation Sheet'!$Q$23="","",'Final Calculation Sheet'!$Q$23)</f>
        <v>0</v>
      </c>
      <c r="CN23" s="137">
        <f>IF(CM23="","",COUNTIFS(CM$4:CM$40,"&lt;"&amp;CM23,CM$4:CM$40,"&lt;&gt;"&amp;"")+COUNTIF(CM$4:CM23,CM23))</f>
        <v>17</v>
      </c>
      <c r="CO23" s="139">
        <f t="shared" si="37"/>
        <v>0</v>
      </c>
      <c r="CP23" s="137">
        <f>CP22+IF(AND(CO23&lt;&gt;"",COUNTIF(CO$4:CO23,CO23)=1),1,0)</f>
        <v>1</v>
      </c>
      <c r="CQ23" t="str">
        <f t="shared" si="38"/>
        <v/>
      </c>
      <c r="CR23" s="55">
        <f>IF('Final Calculation Sheet'!$R$23="","",'Final Calculation Sheet'!$R$23)</f>
        <v>0</v>
      </c>
      <c r="CS23" s="137">
        <f>IF(CR23="","",COUNTIFS(CR$4:CR$40,"&lt;"&amp;CR23,CR$4:CR$40,"&lt;&gt;"&amp;"")+COUNTIF(CR$4:CR23,CR23))</f>
        <v>17</v>
      </c>
      <c r="CT23" s="55">
        <f t="shared" si="39"/>
        <v>0</v>
      </c>
      <c r="CU23" s="137">
        <f>CU22+IF(AND(CT23&lt;&gt;"",COUNTIF(CT$4:CT23,CT23)=1),1,0)</f>
        <v>1</v>
      </c>
      <c r="CV23" t="str">
        <f t="shared" si="40"/>
        <v/>
      </c>
      <c r="CW23" s="55">
        <f>IF('Final Calculation Sheet'!$S$23="","",'Final Calculation Sheet'!$S$23)</f>
        <v>74120</v>
      </c>
      <c r="CX23" s="137">
        <f>IF(CW23="","",COUNTIFS(CW$4:CW$40,"&lt;"&amp;CW23,CW$4:CW$40,"&lt;&gt;"&amp;"")+COUNTIF(CW$4:CW23,CW23))</f>
        <v>11</v>
      </c>
      <c r="CY23" s="55">
        <f t="shared" si="41"/>
        <v>188254</v>
      </c>
      <c r="CZ23" s="137">
        <f>CZ22+IF(AND(CY23&lt;&gt;"",COUNTIF(CY$4:CY23,CY23)=1),1,0)</f>
        <v>20</v>
      </c>
      <c r="DA23" s="55">
        <f t="shared" si="42"/>
        <v>188254</v>
      </c>
      <c r="DB23" s="55">
        <f>IF('Final Calculation Sheet'!$T$23="","",'Final Calculation Sheet'!$T$23)</f>
        <v>15750</v>
      </c>
      <c r="DC23" s="137">
        <f>IF(DB23="","",COUNTIFS(DB$4:DB$40,"&lt;"&amp;DB23,DB$4:DB$40,"&lt;&gt;"&amp;"")+COUNTIF(DB$4:DB23,DB23))</f>
        <v>11</v>
      </c>
      <c r="DD23" s="55">
        <f t="shared" si="43"/>
        <v>40003</v>
      </c>
      <c r="DE23" s="137">
        <f>DE22+IF(AND(DD23&lt;&gt;"",COUNTIF(DD$4:DD23,DD23)=1),1,0)</f>
        <v>20</v>
      </c>
      <c r="DF23" s="55">
        <f t="shared" si="44"/>
        <v>40003</v>
      </c>
      <c r="DG23" s="140">
        <f>IF('Final Calculation Sheet'!$U$23="","",'Final Calculation Sheet'!$U$23)</f>
        <v>15750</v>
      </c>
      <c r="DH23" s="137">
        <f>IF(DG23="","",COUNTIFS(DG$4:DG$40,"&lt;"&amp;DG23,DG$4:DG$40,"&lt;&gt;"&amp;"")+COUNTIF(DG$4:DG23,DG23))</f>
        <v>11</v>
      </c>
      <c r="DI23" s="140">
        <f t="shared" si="45"/>
        <v>40003</v>
      </c>
      <c r="DJ23" s="137">
        <f>DJ22+IF(AND(DI23&lt;&gt;"",COUNTIF(DI$4:DI23,DI23)=1),1,0)</f>
        <v>20</v>
      </c>
      <c r="DK23" s="140">
        <f t="shared" si="46"/>
        <v>40003</v>
      </c>
      <c r="DL23" t="str">
        <f>IF('Final Calculation Sheet'!$V$23="","",'Final Calculation Sheet'!$V$23)</f>
        <v>11.08.2026</v>
      </c>
      <c r="DM23" s="137">
        <f>IF(DL23="","",COUNTIFS(DL$4:DL$40,"&lt;"&amp;DL23,DL$4:DL$40,"&lt;&gt;"&amp;"")+COUNTIF(DL$4:DL23,DL23))</f>
        <v>7</v>
      </c>
      <c r="DN23" t="str">
        <f t="shared" si="47"/>
        <v>13.08.2026</v>
      </c>
      <c r="DO23" s="137">
        <f>DO22+IF(AND(DN23&lt;&gt;"",COUNTIF(DN$4:DN23,DN23)=1),1,0)</f>
        <v>3</v>
      </c>
      <c r="DP23" t="str">
        <f t="shared" si="48"/>
        <v/>
      </c>
      <c r="DQ23" s="55">
        <f>IF('Final Calculation Sheet'!$W$23="","",'Final Calculation Sheet'!$W$23)</f>
        <v>58370</v>
      </c>
      <c r="DR23" s="137">
        <f>IF(DQ23="","",COUNTIFS(DQ$4:DQ$40,"&lt;"&amp;DQ23,DQ$4:DQ$40,"&lt;&gt;"&amp;"")+COUNTIF(DQ$4:DQ23,DQ23))</f>
        <v>11</v>
      </c>
      <c r="DS23" s="55">
        <f t="shared" si="49"/>
        <v>148251</v>
      </c>
      <c r="DT23" s="137">
        <f>DT22+IF(AND(DS23&lt;&gt;"",COUNTIF(DS$4:DS23,DS23)=1),1,0)</f>
        <v>20</v>
      </c>
      <c r="DU23" s="55">
        <f t="shared" si="50"/>
        <v>148251</v>
      </c>
      <c r="DV23" s="55">
        <f>IF('Final Calculation Sheet'!$X$23="","",'Final Calculation Sheet'!$X$23)</f>
        <v>58418</v>
      </c>
      <c r="DW23" s="137">
        <f>IF(DV23="","",COUNTIFS(DV$4:DV$40,"&lt;"&amp;DV23,DV$4:DV$40,"&lt;&gt;"&amp;"")+COUNTIF(DV$4:DV23,DV23))</f>
        <v>10</v>
      </c>
      <c r="DX23" s="55">
        <f t="shared" si="51"/>
        <v>183446</v>
      </c>
      <c r="DY23" s="137">
        <f>DY22+IF(AND(DX23&lt;&gt;"",COUNTIF(DX$4:DX23,DX23)=1),1,0)</f>
        <v>20</v>
      </c>
      <c r="DZ23" t="e">
        <f t="shared" si="52"/>
        <v>#N/A</v>
      </c>
      <c r="EA23" t="str">
        <f>IF('Final Calculation Sheet'!$Y$23="","",'Final Calculation Sheet'!$Y$23)</f>
        <v>11.08.2026</v>
      </c>
      <c r="EB23" s="137">
        <f>IF(EA23="","",COUNTIFS(EA$4:EA$40,"&lt;"&amp;EA23,EA$4:EA$40,"&lt;&gt;"&amp;"")+COUNTIF(EA$4:EA23,EA23))</f>
        <v>7</v>
      </c>
      <c r="EC23" t="str">
        <f t="shared" si="53"/>
        <v>21.08.2026</v>
      </c>
      <c r="ED23" s="137">
        <f>ED22+IF(AND(EC23&lt;&gt;"",COUNTIF(EC$4:EC23,EC23)=1),1,0)</f>
        <v>8</v>
      </c>
      <c r="EE23" t="e">
        <f t="shared" si="54"/>
        <v>#N/A</v>
      </c>
      <c r="EF23" s="55">
        <f ca="1">IF('Final Calculation Sheet'!$Z$23="","",'Final Calculation Sheet'!$Z$23)</f>
        <v>0</v>
      </c>
      <c r="EG23" s="137">
        <f ca="1">IF(EF23="","",COUNTIFS(EF$4:EF$40,"&lt;"&amp;EF23,EF$4:EF$40,"&lt;&gt;"&amp;"")+COUNTIF(EF$4:EF23,EF23))</f>
        <v>20</v>
      </c>
      <c r="EH23" s="55">
        <f t="shared" ca="1" si="55"/>
        <v>0</v>
      </c>
      <c r="EI23" s="137">
        <f ca="1">EI22+IF(AND(EH23&lt;&gt;"",COUNTIF(EH$4:EH23,EH23)=1),1,0)</f>
        <v>1</v>
      </c>
      <c r="EJ23" t="str">
        <f t="shared" ca="1" si="56"/>
        <v/>
      </c>
      <c r="EK23" t="str">
        <f>IF('Final Calculation Sheet'!$AA$23="","",'Final Calculation Sheet'!$AA$23)</f>
        <v/>
      </c>
      <c r="EL23" t="str">
        <f>IF(EK23="","",COUNTIFS(EK$4:EK$40,"&lt;"&amp;EK23,EK$4:EK$40,"&lt;&gt;"&amp;"")+COUNTIF(EK$4:EK23,EK23))</f>
        <v/>
      </c>
      <c r="EM23" s="137" t="e">
        <f t="shared" si="57"/>
        <v>#N/A</v>
      </c>
      <c r="EN23" s="137" t="e">
        <f>EN22+IF(AND(EM23&lt;&gt;"",COUNTIF(EM$4:EM23,EM23)=1),1,0)</f>
        <v>#N/A</v>
      </c>
      <c r="EO23" t="e">
        <f t="shared" si="58"/>
        <v>#N/A</v>
      </c>
      <c r="EP23" t="str">
        <f>IF('Final Calculation Sheet'!$AB$23="","",'Final Calculation Sheet'!$AB$23)</f>
        <v/>
      </c>
      <c r="EQ23" t="str">
        <f>IF(EP23="","",COUNTIFS(EP$4:EP$40,"&lt;"&amp;EP23,EP$4:EP$40,"&lt;&gt;"&amp;"")+COUNTIF(EP$4:EP23,EP23))</f>
        <v/>
      </c>
      <c r="ER23" s="137" t="e">
        <f t="shared" si="59"/>
        <v>#N/A</v>
      </c>
      <c r="ES23" s="137" t="e">
        <f>ES22+IF(AND(ER23&lt;&gt;"",COUNTIF(ER$4:ER23,ER23)=1),1,0)</f>
        <v>#N/A</v>
      </c>
      <c r="ET23" t="e">
        <f t="shared" si="60"/>
        <v>#N/A</v>
      </c>
      <c r="EU23" s="55">
        <f>IF('Final Calculation Sheet'!$AC$23="","",'Final Calculation Sheet'!$AC$23)</f>
        <v>74168</v>
      </c>
      <c r="EV23" s="137">
        <f>IF(EU23="","",COUNTIFS(EU$4:EU$40,"&lt;"&amp;EU23,EU$4:EU$40,"&lt;&gt;"&amp;"")+COUNTIF(EU$4:EU23,EU23))</f>
        <v>12</v>
      </c>
      <c r="EW23" s="55">
        <f t="shared" si="61"/>
        <v>159710</v>
      </c>
      <c r="EX23" s="137">
        <f>EX22+IF(AND(EW23&lt;&gt;"",COUNTIF(EW$4:EW23,EW23)=1),1,0)</f>
        <v>20</v>
      </c>
      <c r="EY23" s="55">
        <f t="shared" si="62"/>
        <v>159710</v>
      </c>
      <c r="EZ23" s="55">
        <f>IF('Final Calculation Sheet'!$AD$23="","",'Final Calculation Sheet'!$AD$23)</f>
        <v>-48</v>
      </c>
      <c r="FA23" s="137">
        <f>IF(EZ23="","",COUNTIFS(EZ$4:EZ$40,"&lt;"&amp;EZ23,EZ$4:EZ$40,"&lt;&gt;"&amp;"")+COUNTIF(EZ$4:EZ23,EZ23))</f>
        <v>3</v>
      </c>
      <c r="FB23" s="55">
        <f t="shared" si="63"/>
        <v>0</v>
      </c>
      <c r="FC23" s="137" t="e">
        <f>FC22+IF(AND(FB23&lt;&gt;"",COUNTIF(FB$4:FB23,FB23)=1),1,0)</f>
        <v>#N/A</v>
      </c>
      <c r="FD23" t="e">
        <f t="shared" si="64"/>
        <v>#N/A</v>
      </c>
      <c r="FE23" t="str">
        <f>IF('Final Calculation Sheet'!$AE$23="","",'Final Calculation Sheet'!$AE$23)</f>
        <v>DR2640100021</v>
      </c>
      <c r="FF23" s="137">
        <f>IF(FE23="","",COUNTIFS(FE$4:FE$40,"&lt;"&amp;FE23,FE$4:FE$40,"&lt;&gt;"&amp;"")+COUNTIF(FE$4:FE23,FE23))</f>
        <v>10</v>
      </c>
      <c r="FG23" t="str">
        <f t="shared" si="65"/>
        <v>DR2640100031</v>
      </c>
      <c r="FH23" s="137" t="e">
        <f>FH22+IF(AND(FG23&lt;&gt;"",COUNTIF(FG$4:FG23,FG23)=1),1,0)</f>
        <v>#N/A</v>
      </c>
      <c r="FI23" t="e">
        <f t="shared" si="66"/>
        <v>#N/A</v>
      </c>
      <c r="FJ23" s="141">
        <f>IF('Final Calculation Sheet'!$AF$23="","",'Final Calculation Sheet'!$AF$23)</f>
        <v>1800003160</v>
      </c>
      <c r="FK23" s="137">
        <f>IF(FJ23="","",COUNTIFS(FJ$4:FJ$40,"&lt;"&amp;FJ23,FJ$4:FJ$40,"&lt;&gt;"&amp;"")+COUNTIF(FJ$4:FJ23,FJ23))</f>
        <v>5</v>
      </c>
      <c r="FL23" s="141">
        <f t="shared" si="67"/>
        <v>1800003308</v>
      </c>
      <c r="FM23" s="137">
        <f>FM22+IF(AND(FL23&lt;&gt;"",COUNTIF(FL$4:FL23,FL23)=1),1,0)</f>
        <v>20</v>
      </c>
      <c r="FN23" t="e">
        <f t="shared" si="68"/>
        <v>#N/A</v>
      </c>
      <c r="FO23" t="str">
        <f>IF('Final Calculation Sheet'!$AG$23="","",'Final Calculation Sheet'!$AG$23)</f>
        <v>14.08.2026</v>
      </c>
      <c r="FP23" s="137">
        <f>IF(FO23="","",COUNTIFS(FO$4:FO$40,"&lt;"&amp;FO23,FO$4:FO$40,"&lt;&gt;"&amp;"")+COUNTIF(FO$4:FO23,FO23))</f>
        <v>10</v>
      </c>
      <c r="FQ23" t="str">
        <f t="shared" si="69"/>
        <v>27.08.2026</v>
      </c>
      <c r="FR23" s="137" t="e">
        <f>FR22+IF(AND(FQ23&lt;&gt;"",COUNTIF(FQ$4:FQ23,FQ23)=1),1,0)</f>
        <v>#N/A</v>
      </c>
      <c r="FS23" t="e">
        <f t="shared" si="70"/>
        <v>#N/A</v>
      </c>
      <c r="FU23" t="str">
        <f>IF(FT23="","",COUNTIFS(FT$4:FT$40,"&lt;"&amp;FT23,FT$4:FT$40,"&lt;&gt;"&amp;"")+COUNTIF(FT$4:FT23,FT23))</f>
        <v/>
      </c>
      <c r="FV23" t="str">
        <f t="shared" si="71"/>
        <v/>
      </c>
      <c r="FW23" s="137">
        <f>FW22+IF(AND(FV23&lt;&gt;"",COUNTIF(FV$4:FV23,FV23)=1),1,0)</f>
        <v>2</v>
      </c>
      <c r="FX23" t="str">
        <f t="shared" si="72"/>
        <v/>
      </c>
    </row>
    <row r="24" spans="1:180" x14ac:dyDescent="0.25">
      <c r="A24">
        <f>IF('Final Calculation Sheet'!$F$24="","",'Final Calculation Sheet'!$F$24)</f>
        <v>2027</v>
      </c>
      <c r="B24" s="137">
        <f>IF(A24="","",COUNTIFS(A$4:A$114,"&lt;"&amp;A24,A$4:A$114,"&lt;&gt;"&amp;"")+COUNTIF(A$4:A24,A24))</f>
        <v>21</v>
      </c>
      <c r="C24" s="137">
        <f t="shared" si="0"/>
        <v>2027</v>
      </c>
      <c r="D24" s="137">
        <f>D23+IF(AND(C24&lt;&gt;"",COUNTIF(C$4:C24,C24)=1),1,0)</f>
        <v>21</v>
      </c>
      <c r="E24" t="e">
        <f t="shared" si="1"/>
        <v>#N/A</v>
      </c>
      <c r="F24">
        <f t="shared" si="2"/>
        <v>21</v>
      </c>
      <c r="G24" s="137">
        <f>IF(F24="","",COUNTIFS(F$4:F$40,"&lt;"&amp;F24,F$4:F$40,"&lt;&gt;"&amp;"")+COUNTIF(F$4:F24,F24))</f>
        <v>21</v>
      </c>
      <c r="H24" s="137">
        <f t="shared" si="3"/>
        <v>21</v>
      </c>
      <c r="I24" s="137">
        <f>I23+IF(AND(H24&lt;&gt;"",COUNTIF(H$4:H24,H24)=1),1,0)</f>
        <v>21</v>
      </c>
      <c r="J24">
        <f t="shared" si="4"/>
        <v>21</v>
      </c>
      <c r="K24">
        <f>IF('Final Calculation Sheet'!$F$24="","",'Final Calculation Sheet'!$F$24)</f>
        <v>2027</v>
      </c>
      <c r="L24" s="137">
        <f>IF(K24="","",COUNTIFS(K$4:K$40,"&lt;"&amp;K24,K$4:K$40,"&lt;&gt;"&amp;"")+COUNTIF(K$4:K24,K24))</f>
        <v>21</v>
      </c>
      <c r="M24" s="137">
        <f t="shared" si="5"/>
        <v>2027</v>
      </c>
      <c r="N24" s="137">
        <f>N23+IF(AND(M24&lt;&gt;"",COUNTIF(M$4:M24,M24)=1),1,0)</f>
        <v>21</v>
      </c>
      <c r="O24">
        <f t="shared" si="6"/>
        <v>2027</v>
      </c>
      <c r="P24" t="str">
        <f>IF('Final Calculation Sheet'!$G$24="","",'Final Calculation Sheet'!$G$24)</f>
        <v>NATIONAL ENTERPRISES</v>
      </c>
      <c r="Q24" s="137">
        <f>IF(P24="","",COUNTIFS(P$4:P$40,"&lt;"&amp;P24,P$4:P$40,"&lt;&gt;"&amp;"")+COUNTIF(P$4:P24,P24))</f>
        <v>14</v>
      </c>
      <c r="R24" t="str">
        <f t="shared" si="7"/>
        <v>OMKAR STEELS</v>
      </c>
      <c r="S24" s="137">
        <f>S23+IF(AND(R24&lt;&gt;"",COUNTIF(R$4:R24,R24)=1),1,0)</f>
        <v>8</v>
      </c>
      <c r="T24" t="str">
        <f t="shared" si="8"/>
        <v/>
      </c>
      <c r="U24" t="str">
        <f>IF('Final Calculation Sheet'!$B$24="","",'Final Calculation Sheet'!$B$24)</f>
        <v>Scrap of 132 KV CT</v>
      </c>
      <c r="V24" s="137">
        <f>IF(U24="","",COUNTIFS(U$4:U$40,"&lt;"&amp;U24,U$4:U$40,"&lt;&gt;"&amp;"")+COUNTIF(U$4:U24,U24))</f>
        <v>9</v>
      </c>
      <c r="W24" t="str">
        <f t="shared" si="9"/>
        <v>Scrap of 33 KV GCB</v>
      </c>
      <c r="X24" s="137">
        <f>X23+IF(AND(W24&lt;&gt;"",COUNTIF(W$4:W24,W24)=1),1,0)</f>
        <v>14</v>
      </c>
      <c r="Y24" t="str">
        <f t="shared" si="10"/>
        <v>Scrap of empty oil Druam</v>
      </c>
      <c r="Z24">
        <f>IF('Final Calculation Sheet'!$D$24="","",'Final Calculation Sheet'!$D$24)</f>
        <v>21978</v>
      </c>
      <c r="AA24" s="137">
        <f>IF(Z24="","",COUNTIFS(Z$4:Z$40,"&lt;"&amp;Z24,Z$4:Z$40,"&lt;&gt;"&amp;"")+COUNTIF(Z$4:Z24,Z24))</f>
        <v>19</v>
      </c>
      <c r="AB24" s="137">
        <f t="shared" si="11"/>
        <v>21978</v>
      </c>
      <c r="AC24" s="137">
        <f>AC23+IF(AND(AB24&lt;&gt;"",COUNTIF(AB$4:AB24,AB24)=1),1,0)</f>
        <v>2</v>
      </c>
      <c r="AD24" t="str">
        <f t="shared" si="12"/>
        <v/>
      </c>
      <c r="AE24">
        <f>IF('Final Calculation Sheet'!$A$24="","",'Final Calculation Sheet'!$A$24)</f>
        <v>1</v>
      </c>
      <c r="AF24" s="137">
        <f>IF(AE24="","",COUNTIFS(AE$4:AE$40,"&lt;"&amp;AE24,AE$4:AE$40,"&lt;&gt;"&amp;"")+COUNTIF(AE$4:AE24,AE24))</f>
        <v>7</v>
      </c>
      <c r="AG24" s="137">
        <f t="shared" si="13"/>
        <v>8.1999999999999993</v>
      </c>
      <c r="AH24" s="137">
        <f>AH23+IF(AND(AG24&lt;&gt;"",COUNTIF(AG$4:AG24,AG24)=1),1,0)</f>
        <v>6</v>
      </c>
      <c r="AI24">
        <f t="shared" si="14"/>
        <v>3500</v>
      </c>
      <c r="AJ24" t="str">
        <f>IF('Final Calculation Sheet'!$E$24="","",'Final Calculation Sheet'!$E$24)</f>
        <v>NO</v>
      </c>
      <c r="AK24" s="137">
        <f>IF(AJ24="","",COUNTIFS(AJ$4:AJ$40,"&lt;"&amp;AJ24,AJ$4:AJ$40,"&lt;&gt;"&amp;"")+COUNTIF(AJ$4:AJ24,AJ24))</f>
        <v>23</v>
      </c>
      <c r="AL24" t="str">
        <f t="shared" si="15"/>
        <v>NO</v>
      </c>
      <c r="AM24" s="137">
        <f>AM23+IF(AND(AL24&lt;&gt;"",COUNTIF(AL$4:AL24,AL24)=1),1,0)</f>
        <v>3</v>
      </c>
      <c r="AN24" t="str">
        <f t="shared" si="16"/>
        <v/>
      </c>
      <c r="AO24" s="55">
        <f>IF('Final Calculation Sheet'!$C$24="","",'Final Calculation Sheet'!$C$24)</f>
        <v>50003</v>
      </c>
      <c r="AP24" s="137">
        <f>IF(AO24="","",COUNTIFS(AO$4:AO$40,"&lt;"&amp;AO24,AO$4:AO$40,"&lt;&gt;"&amp;"")+COUNTIF(AO$4:AO24,AO24))</f>
        <v>22</v>
      </c>
      <c r="AQ24" s="55">
        <f t="shared" si="17"/>
        <v>40003</v>
      </c>
      <c r="AR24" s="137">
        <f>AR23+IF(AND(AQ24&lt;&gt;"",COUNTIF(AQ$4:AQ24,AQ24)=1),1,0)</f>
        <v>19</v>
      </c>
      <c r="AS24" s="55">
        <f t="shared" si="18"/>
        <v>51511</v>
      </c>
      <c r="AT24" s="55">
        <f>IF('Final Calculation Sheet'!$H$24="","",'Final Calculation Sheet'!$H$24)</f>
        <v>50003</v>
      </c>
      <c r="AU24" s="137">
        <f>IF(AT24="","",COUNTIFS(AT$4:AT$40,"&lt;"&amp;AT24,AT$4:AT$40,"&lt;&gt;"&amp;"")+COUNTIF(AT$4:AT24,AT24))</f>
        <v>9</v>
      </c>
      <c r="AV24" s="55">
        <f t="shared" si="19"/>
        <v>198000</v>
      </c>
      <c r="AW24" s="137">
        <f>AW23+IF(AND(AV24&lt;&gt;"",COUNTIF(AV$4:AV24,AV24)=1),1,0)</f>
        <v>21</v>
      </c>
      <c r="AX24" s="55">
        <f t="shared" si="20"/>
        <v>198000</v>
      </c>
      <c r="AY24" s="55">
        <f>IF('Final Calculation Sheet'!$I$24="","",'Final Calculation Sheet'!$I$24)</f>
        <v>9001</v>
      </c>
      <c r="AZ24" s="137">
        <f>IF(AY24="","",COUNTIFS(AY$4:AY$40,"&lt;"&amp;AY24,AY$4:AY$40,"&lt;&gt;"&amp;"")+COUNTIF(AY$4:AY24,AY24))</f>
        <v>9</v>
      </c>
      <c r="BA24" s="55">
        <f t="shared" si="21"/>
        <v>35640</v>
      </c>
      <c r="BB24" s="137">
        <f>BB23+IF(AND(BA24&lt;&gt;"",COUNTIF(BA$4:BA24,BA24)=1),1,0)</f>
        <v>21</v>
      </c>
      <c r="BC24" s="55">
        <f t="shared" si="22"/>
        <v>35640</v>
      </c>
      <c r="BD24" s="55">
        <f>IF('Final Calculation Sheet'!$J$24="","",'Final Calculation Sheet'!$J$24)</f>
        <v>59004</v>
      </c>
      <c r="BE24" s="137">
        <f>IF(BD24="","",COUNTIFS(BD$4:BD$40,"&lt;"&amp;BD24,BD$4:BD$40,"&lt;&gt;"&amp;"")+COUNTIF(BD$4:BD24,BD24))</f>
        <v>9</v>
      </c>
      <c r="BF24" s="55">
        <f t="shared" si="23"/>
        <v>233640</v>
      </c>
      <c r="BG24" s="137">
        <f>BG23+IF(AND(BF24&lt;&gt;"",COUNTIF(BF$4:BF24,BF24)=1),1,0)</f>
        <v>21</v>
      </c>
      <c r="BH24" s="55">
        <f t="shared" si="24"/>
        <v>233640</v>
      </c>
      <c r="BI24" s="55">
        <f>IF('Final Calculation Sheet'!$K$24="","",'Final Calculation Sheet'!$K$24)</f>
        <v>1180</v>
      </c>
      <c r="BJ24" s="137">
        <f>IF(BI24="","",COUNTIFS(BI$4:BI$40,"&lt;"&amp;BI24,BI$4:BI$40,"&lt;&gt;"&amp;"")+COUNTIF(BI$4:BI24,BI24))</f>
        <v>9</v>
      </c>
      <c r="BK24" s="55">
        <f t="shared" si="25"/>
        <v>4673</v>
      </c>
      <c r="BL24" s="137">
        <f>BL23+IF(AND(BK24&lt;&gt;"",COUNTIF(BK$4:BK24,BK24)=1),1,0)</f>
        <v>21</v>
      </c>
      <c r="BM24" s="55">
        <f t="shared" si="26"/>
        <v>4673</v>
      </c>
      <c r="BN24" s="55">
        <f>IF('Final Calculation Sheet'!$L$24="","",'Final Calculation Sheet'!$L$24)</f>
        <v>50.003</v>
      </c>
      <c r="BO24" s="137">
        <f>IF(BN24="","",COUNTIFS(BN$4:BN$40,"&lt;"&amp;BN24,BN$4:BN$40,"&lt;&gt;"&amp;"")+COUNTIF(BN$4:BN24,BN24))</f>
        <v>9</v>
      </c>
      <c r="BP24" s="55">
        <f t="shared" si="27"/>
        <v>198</v>
      </c>
      <c r="BQ24" s="137">
        <f>BQ23+IF(AND(BP24&lt;&gt;"",COUNTIF(BP$4:BP24,BP24)=1),1,0)</f>
        <v>21</v>
      </c>
      <c r="BR24" s="55">
        <f t="shared" si="28"/>
        <v>198</v>
      </c>
      <c r="BS24" s="55">
        <f>IF('Final Calculation Sheet'!$M$24="","",'Final Calculation Sheet'!$M$24)</f>
        <v>1327.5796499999999</v>
      </c>
      <c r="BT24" s="137">
        <f>IF(BS24="","",COUNTIFS(BS$4:BS$40,"&lt;"&amp;BS24,BS$4:BS$40,"&lt;&gt;"&amp;"")+COUNTIF(BS$4:BS24,BS24))</f>
        <v>9</v>
      </c>
      <c r="BU24" s="55">
        <f t="shared" si="29"/>
        <v>5256.9</v>
      </c>
      <c r="BV24" s="137">
        <f>BV23+IF(AND(BU24&lt;&gt;"",COUNTIF(BU$4:BU24,BU24)=1),1,0)</f>
        <v>21</v>
      </c>
      <c r="BW24" s="55">
        <f t="shared" si="30"/>
        <v>5256.9</v>
      </c>
      <c r="BX24" s="138">
        <f>IF('Final Calculation Sheet'!$N$24="","",'Final Calculation Sheet'!$N$24)</f>
        <v>22.501349999999999</v>
      </c>
      <c r="BY24" s="137">
        <f>IF(BX24="","",COUNTIFS(BX$4:BX$40,"&lt;"&amp;BX24,BX$4:BX$40,"&lt;&gt;"&amp;"")+COUNTIF(BX$4:BX24,BX24))</f>
        <v>9</v>
      </c>
      <c r="BZ24" s="138">
        <f t="shared" si="31"/>
        <v>89.100000000000009</v>
      </c>
      <c r="CA24" s="137">
        <f>CA23+IF(AND(BZ24&lt;&gt;"",COUNTIF(BZ$4:BZ24,BZ24)=1),1,0)</f>
        <v>21</v>
      </c>
      <c r="CB24" s="138">
        <f t="shared" si="32"/>
        <v>89.100000000000009</v>
      </c>
      <c r="CC24" s="55">
        <f>IF('Final Calculation Sheet'!$O$24="","",'Final Calculation Sheet'!$O$24)</f>
        <v>1305.0782999999999</v>
      </c>
      <c r="CD24" s="137">
        <f>IF(CC24="","",COUNTIFS(CC$4:CC$40,"&lt;"&amp;CC24,CC$4:CC$40,"&lt;&gt;"&amp;"")+COUNTIF(CC$4:CC24,CC24))</f>
        <v>9</v>
      </c>
      <c r="CE24" s="55">
        <f t="shared" si="33"/>
        <v>5167.7999999999993</v>
      </c>
      <c r="CF24" s="137">
        <f>CF23+IF(AND(CE24&lt;&gt;"",COUNTIF(CE$4:CE24,CE24)=1),1,0)</f>
        <v>21</v>
      </c>
      <c r="CG24" s="55">
        <f t="shared" si="34"/>
        <v>5167.7999999999993</v>
      </c>
      <c r="CH24" s="55">
        <f>IF('Final Calculation Sheet'!$P$24="","",'Final Calculation Sheet'!$P$24)</f>
        <v>1355</v>
      </c>
      <c r="CI24" s="137">
        <f>IF(CH24="","",COUNTIFS(CH$4:CH$40,"&lt;"&amp;CH24,CH$4:CH$40,"&lt;&gt;"&amp;"")+COUNTIF(CH$4:CH24,CH24))</f>
        <v>9</v>
      </c>
      <c r="CJ24" s="55">
        <f t="shared" si="35"/>
        <v>5366</v>
      </c>
      <c r="CK24" s="137">
        <f>CK23+IF(AND(CJ24&lt;&gt;"",COUNTIF(CJ$4:CJ24,CJ24)=1),1,0)</f>
        <v>21</v>
      </c>
      <c r="CL24" s="55">
        <f t="shared" si="36"/>
        <v>5366</v>
      </c>
      <c r="CM24" s="139">
        <f>IF('Final Calculation Sheet'!$Q$24="","",'Final Calculation Sheet'!$Q$24)</f>
        <v>0</v>
      </c>
      <c r="CN24" s="137">
        <f>IF(CM24="","",COUNTIFS(CM$4:CM$40,"&lt;"&amp;CM24,CM$4:CM$40,"&lt;&gt;"&amp;"")+COUNTIF(CM$4:CM24,CM24))</f>
        <v>18</v>
      </c>
      <c r="CO24" s="139">
        <f t="shared" si="37"/>
        <v>0</v>
      </c>
      <c r="CP24" s="137">
        <f>CP23+IF(AND(CO24&lt;&gt;"",COUNTIF(CO$4:CO24,CO24)=1),1,0)</f>
        <v>1</v>
      </c>
      <c r="CQ24" t="str">
        <f t="shared" si="38"/>
        <v/>
      </c>
      <c r="CR24" s="55">
        <f>IF('Final Calculation Sheet'!$R$24="","",'Final Calculation Sheet'!$R$24)</f>
        <v>0</v>
      </c>
      <c r="CS24" s="137">
        <f>IF(CR24="","",COUNTIFS(CR$4:CR$40,"&lt;"&amp;CR24,CR$4:CR$40,"&lt;&gt;"&amp;"")+COUNTIF(CR$4:CR24,CR24))</f>
        <v>18</v>
      </c>
      <c r="CT24" s="55">
        <f t="shared" si="39"/>
        <v>0</v>
      </c>
      <c r="CU24" s="137">
        <f>CU23+IF(AND(CT24&lt;&gt;"",COUNTIF(CT$4:CT24,CT24)=1),1,0)</f>
        <v>1</v>
      </c>
      <c r="CV24" t="str">
        <f t="shared" si="40"/>
        <v/>
      </c>
      <c r="CW24" s="55">
        <f>IF('Final Calculation Sheet'!$S$24="","",'Final Calculation Sheet'!$S$24)</f>
        <v>58829</v>
      </c>
      <c r="CX24" s="137">
        <f>IF(CW24="","",COUNTIFS(CW$4:CW$40,"&lt;"&amp;CW24,CW$4:CW$40,"&lt;&gt;"&amp;"")+COUNTIF(CW$4:CW24,CW24))</f>
        <v>9</v>
      </c>
      <c r="CY24" s="55">
        <f t="shared" si="41"/>
        <v>232947</v>
      </c>
      <c r="CZ24" s="137">
        <f>CZ23+IF(AND(CY24&lt;&gt;"",COUNTIF(CY$4:CY24,CY24)=1),1,0)</f>
        <v>21</v>
      </c>
      <c r="DA24" s="55">
        <f t="shared" si="42"/>
        <v>232947</v>
      </c>
      <c r="DB24" s="55">
        <f>IF('Final Calculation Sheet'!$T$24="","",'Final Calculation Sheet'!$T$24)</f>
        <v>12501</v>
      </c>
      <c r="DC24" s="137">
        <f>IF(DB24="","",COUNTIFS(DB$4:DB$40,"&lt;"&amp;DB24,DB$4:DB$40,"&lt;&gt;"&amp;"")+COUNTIF(DB$4:DB24,DB24))</f>
        <v>9</v>
      </c>
      <c r="DD24" s="55">
        <f t="shared" si="43"/>
        <v>49500</v>
      </c>
      <c r="DE24" s="137">
        <f>DE23+IF(AND(DD24&lt;&gt;"",COUNTIF(DD$4:DD24,DD24)=1),1,0)</f>
        <v>21</v>
      </c>
      <c r="DF24" s="55">
        <f t="shared" si="44"/>
        <v>49500</v>
      </c>
      <c r="DG24" s="140">
        <f>IF('Final Calculation Sheet'!$U$24="","",'Final Calculation Sheet'!$U$24)</f>
        <v>12501</v>
      </c>
      <c r="DH24" s="137">
        <f>IF(DG24="","",COUNTIFS(DG$4:DG$40,"&lt;"&amp;DG24,DG$4:DG$40,"&lt;&gt;"&amp;"")+COUNTIF(DG$4:DG24,DG24))</f>
        <v>9</v>
      </c>
      <c r="DI24" s="140">
        <f t="shared" si="45"/>
        <v>49500</v>
      </c>
      <c r="DJ24" s="137">
        <f>DJ23+IF(AND(DI24&lt;&gt;"",COUNTIF(DI$4:DI24,DI24)=1),1,0)</f>
        <v>21</v>
      </c>
      <c r="DK24" s="140">
        <f t="shared" si="46"/>
        <v>49500</v>
      </c>
      <c r="DL24" t="str">
        <f>IF('Final Calculation Sheet'!$V$24="","",'Final Calculation Sheet'!$V$24)</f>
        <v>13.08.2026</v>
      </c>
      <c r="DM24" s="137">
        <f>IF(DL24="","",COUNTIFS(DL$4:DL$40,"&lt;"&amp;DL24,DL$4:DL$40,"&lt;&gt;"&amp;"")+COUNTIF(DL$4:DL24,DL24))</f>
        <v>21</v>
      </c>
      <c r="DN24" t="str">
        <f t="shared" si="47"/>
        <v>13.08.2026</v>
      </c>
      <c r="DO24" s="137">
        <f>DO23+IF(AND(DN24&lt;&gt;"",COUNTIF(DN$4:DN24,DN24)=1),1,0)</f>
        <v>3</v>
      </c>
      <c r="DP24" t="str">
        <f t="shared" si="48"/>
        <v/>
      </c>
      <c r="DQ24" s="55">
        <f>IF('Final Calculation Sheet'!$W$24="","",'Final Calculation Sheet'!$W$24)</f>
        <v>46328</v>
      </c>
      <c r="DR24" s="137">
        <f>IF(DQ24="","",COUNTIFS(DQ$4:DQ$40,"&lt;"&amp;DQ24,DQ$4:DQ$40,"&lt;&gt;"&amp;"")+COUNTIF(DQ$4:DQ24,DQ24))</f>
        <v>9</v>
      </c>
      <c r="DS24" s="55">
        <f t="shared" si="49"/>
        <v>183447</v>
      </c>
      <c r="DT24" s="137">
        <f>DT23+IF(AND(DS24&lt;&gt;"",COUNTIF(DS$4:DS24,DS24)=1),1,0)</f>
        <v>21</v>
      </c>
      <c r="DU24" s="55">
        <f t="shared" si="50"/>
        <v>183447</v>
      </c>
      <c r="DV24" s="55">
        <f>IF('Final Calculation Sheet'!$X$24="","",'Final Calculation Sheet'!$X$24)</f>
        <v>46328</v>
      </c>
      <c r="DW24" s="137">
        <f>IF(DV24="","",COUNTIFS(DV$4:DV$40,"&lt;"&amp;DV24,DV$4:DV$40,"&lt;&gt;"&amp;"")+COUNTIF(DV$4:DV24,DV24))</f>
        <v>9</v>
      </c>
      <c r="DX24" s="55">
        <f t="shared" si="51"/>
        <v>190900</v>
      </c>
      <c r="DY24" s="137">
        <f>DY23+IF(AND(DX24&lt;&gt;"",COUNTIF(DX$4:DX24,DX24)=1),1,0)</f>
        <v>21</v>
      </c>
      <c r="DZ24" t="e">
        <f t="shared" si="52"/>
        <v>#N/A</v>
      </c>
      <c r="EA24" t="str">
        <f>IF('Final Calculation Sheet'!$Y$24="","",'Final Calculation Sheet'!$Y$24)</f>
        <v>24.08.2026</v>
      </c>
      <c r="EB24" s="137">
        <f>IF(EA24="","",COUNTIFS(EA$4:EA$40,"&lt;"&amp;EA24,EA$4:EA$40,"&lt;&gt;"&amp;"")+COUNTIF(EA$4:EA24,EA24))</f>
        <v>29</v>
      </c>
      <c r="EC24" t="str">
        <f t="shared" si="53"/>
        <v>24.08.2026</v>
      </c>
      <c r="ED24" s="137">
        <f>ED23+IF(AND(EC24&lt;&gt;"",COUNTIF(EC$4:EC24,EC24)=1),1,0)</f>
        <v>9</v>
      </c>
      <c r="EE24" t="e">
        <f t="shared" si="54"/>
        <v>#N/A</v>
      </c>
      <c r="EF24" s="55">
        <f ca="1">IF('Final Calculation Sheet'!$Z$24="","",'Final Calculation Sheet'!$Z$24)</f>
        <v>0</v>
      </c>
      <c r="EG24" s="137">
        <f ca="1">IF(EF24="","",COUNTIFS(EF$4:EF$40,"&lt;"&amp;EF24,EF$4:EF$40,"&lt;&gt;"&amp;"")+COUNTIF(EF$4:EF24,EF24))</f>
        <v>21</v>
      </c>
      <c r="EH24" s="55">
        <f t="shared" ca="1" si="55"/>
        <v>0</v>
      </c>
      <c r="EI24" s="137">
        <f ca="1">EI23+IF(AND(EH24&lt;&gt;"",COUNTIF(EH$4:EH24,EH24)=1),1,0)</f>
        <v>1</v>
      </c>
      <c r="EJ24" t="str">
        <f t="shared" ca="1" si="56"/>
        <v/>
      </c>
      <c r="EK24" t="str">
        <f>IF('Final Calculation Sheet'!$AA$24="","",'Final Calculation Sheet'!$AA$24)</f>
        <v/>
      </c>
      <c r="EL24" t="str">
        <f>IF(EK24="","",COUNTIFS(EK$4:EK$40,"&lt;"&amp;EK24,EK$4:EK$40,"&lt;&gt;"&amp;"")+COUNTIF(EK$4:EK24,EK24))</f>
        <v/>
      </c>
      <c r="EM24" s="137" t="e">
        <f t="shared" si="57"/>
        <v>#N/A</v>
      </c>
      <c r="EN24" s="137" t="e">
        <f>EN23+IF(AND(EM24&lt;&gt;"",COUNTIF(EM$4:EM24,EM24)=1),1,0)</f>
        <v>#N/A</v>
      </c>
      <c r="EO24" t="e">
        <f t="shared" si="58"/>
        <v>#N/A</v>
      </c>
      <c r="EP24" t="str">
        <f>IF('Final Calculation Sheet'!$AB$24="","",'Final Calculation Sheet'!$AB$24)</f>
        <v/>
      </c>
      <c r="EQ24" t="str">
        <f>IF(EP24="","",COUNTIFS(EP$4:EP$40,"&lt;"&amp;EP24,EP$4:EP$40,"&lt;&gt;"&amp;"")+COUNTIF(EP$4:EP24,EP24))</f>
        <v/>
      </c>
      <c r="ER24" s="137" t="e">
        <f t="shared" si="59"/>
        <v>#N/A</v>
      </c>
      <c r="ES24" s="137" t="e">
        <f>ES23+IF(AND(ER24&lt;&gt;"",COUNTIF(ER$4:ER24,ER24)=1),1,0)</f>
        <v>#N/A</v>
      </c>
      <c r="ET24" t="e">
        <f t="shared" si="60"/>
        <v>#N/A</v>
      </c>
      <c r="EU24" s="55">
        <f>IF('Final Calculation Sheet'!$AC$24="","",'Final Calculation Sheet'!$AC$24)</f>
        <v>58829</v>
      </c>
      <c r="EV24" s="137">
        <f>IF(EU24="","",COUNTIFS(EU$4:EU$40,"&lt;"&amp;EU24,EU$4:EU$40,"&lt;&gt;"&amp;"")+COUNTIF(EU$4:EU24,EU24))</f>
        <v>10</v>
      </c>
      <c r="EW24" s="55">
        <f t="shared" si="61"/>
        <v>184240</v>
      </c>
      <c r="EX24" s="137">
        <f>EX23+IF(AND(EW24&lt;&gt;"",COUNTIF(EW$4:EW24,EW24)=1),1,0)</f>
        <v>21</v>
      </c>
      <c r="EY24" s="55">
        <f t="shared" si="62"/>
        <v>184240</v>
      </c>
      <c r="EZ24" s="55">
        <f>IF('Final Calculation Sheet'!$AD$24="","",'Final Calculation Sheet'!$AD$24)</f>
        <v>0</v>
      </c>
      <c r="FA24" s="137">
        <f>IF(EZ24="","",COUNTIFS(EZ$4:EZ$40,"&lt;"&amp;EZ24,EZ$4:EZ$40,"&lt;&gt;"&amp;"")+COUNTIF(EZ$4:EZ24,EZ24))</f>
        <v>20</v>
      </c>
      <c r="FB24" s="55">
        <f t="shared" si="63"/>
        <v>0</v>
      </c>
      <c r="FC24" s="137" t="e">
        <f>FC23+IF(AND(FB24&lt;&gt;"",COUNTIF(FB$4:FB24,FB24)=1),1,0)</f>
        <v>#N/A</v>
      </c>
      <c r="FD24" t="e">
        <f t="shared" si="64"/>
        <v>#N/A</v>
      </c>
      <c r="FE24" t="str">
        <f>IF('Final Calculation Sheet'!$AE$24="","",'Final Calculation Sheet'!$AE$24)</f>
        <v>DR2640100036</v>
      </c>
      <c r="FF24" s="137">
        <f>IF(FE24="","",COUNTIFS(FE$4:FE$40,"&lt;"&amp;FE24,FE$4:FE$40,"&lt;&gt;"&amp;"")+COUNTIF(FE$4:FE24,FE24))</f>
        <v>25</v>
      </c>
      <c r="FG24" t="str">
        <f t="shared" si="65"/>
        <v>DR2640100032</v>
      </c>
      <c r="FH24" s="137" t="e">
        <f>FH23+IF(AND(FG24&lt;&gt;"",COUNTIF(FG$4:FG24,FG24)=1),1,0)</f>
        <v>#N/A</v>
      </c>
      <c r="FI24" t="e">
        <f t="shared" si="66"/>
        <v>#N/A</v>
      </c>
      <c r="FJ24" s="141">
        <f>IF('Final Calculation Sheet'!$AF$24="","",'Final Calculation Sheet'!$AF$24)</f>
        <v>1800003309</v>
      </c>
      <c r="FK24" s="137">
        <f>IF(FJ24="","",COUNTIFS(FJ$4:FJ$40,"&lt;"&amp;FJ24,FJ$4:FJ$40,"&lt;&gt;"&amp;"")+COUNTIF(FJ$4:FJ24,FJ24))</f>
        <v>21</v>
      </c>
      <c r="FL24" s="141">
        <f t="shared" si="67"/>
        <v>1800003309</v>
      </c>
      <c r="FM24" s="137">
        <f>FM23+IF(AND(FL24&lt;&gt;"",COUNTIF(FL$4:FL24,FL24)=1),1,0)</f>
        <v>21</v>
      </c>
      <c r="FN24" t="e">
        <f t="shared" si="68"/>
        <v>#N/A</v>
      </c>
      <c r="FO24" t="str">
        <f>IF('Final Calculation Sheet'!$AG$24="","",'Final Calculation Sheet'!$AG$24)</f>
        <v>27.08.2026</v>
      </c>
      <c r="FP24" s="137">
        <f>IF(FO24="","",COUNTIFS(FO$4:FO$40,"&lt;"&amp;FO24,FO$4:FO$40,"&lt;&gt;"&amp;"")+COUNTIF(FO$4:FO24,FO24))</f>
        <v>29</v>
      </c>
      <c r="FQ24" t="str">
        <f t="shared" si="69"/>
        <v>27.08.2026</v>
      </c>
      <c r="FR24" s="137" t="e">
        <f>FR23+IF(AND(FQ24&lt;&gt;"",COUNTIF(FQ$4:FQ24,FQ24)=1),1,0)</f>
        <v>#N/A</v>
      </c>
      <c r="FS24" t="e">
        <f t="shared" si="70"/>
        <v>#N/A</v>
      </c>
      <c r="FU24" t="str">
        <f>IF(FT24="","",COUNTIFS(FT$4:FT$40,"&lt;"&amp;FT24,FT$4:FT$40,"&lt;&gt;"&amp;"")+COUNTIF(FT$4:FT24,FT24))</f>
        <v/>
      </c>
      <c r="FV24" t="str">
        <f t="shared" si="71"/>
        <v/>
      </c>
      <c r="FW24" s="137">
        <f>FW23+IF(AND(FV24&lt;&gt;"",COUNTIF(FV$4:FV24,FV24)=1),1,0)</f>
        <v>2</v>
      </c>
      <c r="FX24" t="str">
        <f t="shared" si="72"/>
        <v/>
      </c>
    </row>
    <row r="25" spans="1:180" x14ac:dyDescent="0.25">
      <c r="A25">
        <f>IF('Final Calculation Sheet'!$F$25="","",'Final Calculation Sheet'!$F$25)</f>
        <v>2033</v>
      </c>
      <c r="B25" s="137">
        <f>IF(A25="","",COUNTIFS(A$4:A$114,"&lt;"&amp;A25,A$4:A$114,"&lt;&gt;"&amp;"")+COUNTIF(A$4:A25,A25))</f>
        <v>22</v>
      </c>
      <c r="C25" s="137">
        <f t="shared" si="0"/>
        <v>2033</v>
      </c>
      <c r="D25" s="137">
        <f>D24+IF(AND(C25&lt;&gt;"",COUNTIF(C$4:C25,C25)=1),1,0)</f>
        <v>22</v>
      </c>
      <c r="E25" t="e">
        <f t="shared" si="1"/>
        <v>#N/A</v>
      </c>
      <c r="F25">
        <f t="shared" si="2"/>
        <v>22</v>
      </c>
      <c r="G25" s="137">
        <f>IF(F25="","",COUNTIFS(F$4:F$40,"&lt;"&amp;F25,F$4:F$40,"&lt;&gt;"&amp;"")+COUNTIF(F$4:F25,F25))</f>
        <v>22</v>
      </c>
      <c r="H25" s="137">
        <f t="shared" si="3"/>
        <v>22</v>
      </c>
      <c r="I25" s="137">
        <f>I24+IF(AND(H25&lt;&gt;"",COUNTIF(H$4:H25,H25)=1),1,0)</f>
        <v>22</v>
      </c>
      <c r="J25">
        <f t="shared" si="4"/>
        <v>22</v>
      </c>
      <c r="K25">
        <f>IF('Final Calculation Sheet'!$F$25="","",'Final Calculation Sheet'!$F$25)</f>
        <v>2033</v>
      </c>
      <c r="L25" s="137">
        <f>IF(K25="","",COUNTIFS(K$4:K$40,"&lt;"&amp;K25,K$4:K$40,"&lt;&gt;"&amp;"")+COUNTIF(K$4:K25,K25))</f>
        <v>22</v>
      </c>
      <c r="M25" s="137">
        <f t="shared" si="5"/>
        <v>2033</v>
      </c>
      <c r="N25" s="137">
        <f>N24+IF(AND(M25&lt;&gt;"",COUNTIF(M$4:M25,M25)=1),1,0)</f>
        <v>22</v>
      </c>
      <c r="O25">
        <f t="shared" si="6"/>
        <v>2033</v>
      </c>
      <c r="P25" t="str">
        <f>IF('Final Calculation Sheet'!$G$25="","",'Final Calculation Sheet'!$G$25)</f>
        <v>WATAN SCRAP TRADERS</v>
      </c>
      <c r="Q25" s="137">
        <f>IF(P25="","",COUNTIFS(P$4:P$40,"&lt;"&amp;P25,P$4:P$40,"&lt;&gt;"&amp;"")+COUNTIF(P$4:P25,P25))</f>
        <v>35</v>
      </c>
      <c r="R25" t="str">
        <f t="shared" si="7"/>
        <v>OMKAR STEELS</v>
      </c>
      <c r="S25" s="137">
        <f>S24+IF(AND(R25&lt;&gt;"",COUNTIF(R$4:R25,R25)=1),1,0)</f>
        <v>8</v>
      </c>
      <c r="T25" t="str">
        <f t="shared" si="8"/>
        <v/>
      </c>
      <c r="U25" t="str">
        <f>IF('Final Calculation Sheet'!$B$25="","",'Final Calculation Sheet'!$B$25)</f>
        <v>Scrap Empty Oil Drum/ Barrel</v>
      </c>
      <c r="V25" s="137">
        <f>IF(U25="","",COUNTIFS(U$4:U$40,"&lt;"&amp;U25,U$4:U$40,"&lt;&gt;"&amp;"")+COUNTIF(U$4:U25,U25))</f>
        <v>5</v>
      </c>
      <c r="W25" t="str">
        <f t="shared" si="9"/>
        <v>Scrap of 66 KV Isolater</v>
      </c>
      <c r="X25" s="137">
        <f>X24+IF(AND(W25&lt;&gt;"",COUNTIF(W$4:W25,W25)=1),1,0)</f>
        <v>15</v>
      </c>
      <c r="Y25" t="str">
        <f t="shared" si="10"/>
        <v>Scrap of Empty oil drum</v>
      </c>
      <c r="Z25">
        <f>IF('Final Calculation Sheet'!$D$25="","",'Final Calculation Sheet'!$D$25)</f>
        <v>21978</v>
      </c>
      <c r="AA25" s="137">
        <f>IF(Z25="","",COUNTIFS(Z$4:Z$40,"&lt;"&amp;Z25,Z$4:Z$40,"&lt;&gt;"&amp;"")+COUNTIF(Z$4:Z25,Z25))</f>
        <v>20</v>
      </c>
      <c r="AB25" s="137">
        <f t="shared" si="11"/>
        <v>21978</v>
      </c>
      <c r="AC25" s="137">
        <f>AC24+IF(AND(AB25&lt;&gt;"",COUNTIF(AB$4:AB25,AB25)=1),1,0)</f>
        <v>2</v>
      </c>
      <c r="AD25" t="str">
        <f t="shared" si="12"/>
        <v/>
      </c>
      <c r="AE25">
        <f>IF('Final Calculation Sheet'!$A$25="","",'Final Calculation Sheet'!$A$25)</f>
        <v>1000</v>
      </c>
      <c r="AF25" s="137">
        <f>IF(AE25="","",COUNTIFS(AE$4:AE$40,"&lt;"&amp;AE25,AE$4:AE$40,"&lt;&gt;"&amp;"")+COUNTIF(AE$4:AE25,AE25))</f>
        <v>34</v>
      </c>
      <c r="AG25" s="137">
        <f t="shared" si="13"/>
        <v>22</v>
      </c>
      <c r="AH25" s="137">
        <f>AH24+IF(AND(AG25&lt;&gt;"",COUNTIF(AG$4:AG25,AG25)=1),1,0)</f>
        <v>7</v>
      </c>
      <c r="AI25">
        <f t="shared" si="14"/>
        <v>7253</v>
      </c>
      <c r="AJ25" t="str">
        <f>IF('Final Calculation Sheet'!$E$25="","",'Final Calculation Sheet'!$E$25)</f>
        <v>NO</v>
      </c>
      <c r="AK25" s="137">
        <f>IF(AJ25="","",COUNTIFS(AJ$4:AJ$40,"&lt;"&amp;AJ25,AJ$4:AJ$40,"&lt;&gt;"&amp;"")+COUNTIF(AJ$4:AJ25,AJ25))</f>
        <v>24</v>
      </c>
      <c r="AL25" t="str">
        <f t="shared" si="15"/>
        <v>NO</v>
      </c>
      <c r="AM25" s="137">
        <f>AM24+IF(AND(AL25&lt;&gt;"",COUNTIF(AL$4:AL25,AL25)=1),1,0)</f>
        <v>3</v>
      </c>
      <c r="AN25" t="str">
        <f t="shared" si="16"/>
        <v/>
      </c>
      <c r="AO25" s="55">
        <f>IF('Final Calculation Sheet'!$C$25="","",'Final Calculation Sheet'!$C$25)</f>
        <v>517</v>
      </c>
      <c r="AP25" s="137">
        <f>IF(AO25="","",COUNTIFS(AO$4:AO$40,"&lt;"&amp;AO25,AO$4:AO$40,"&lt;&gt;"&amp;"")+COUNTIF(AO$4:AO25,AO25))</f>
        <v>5</v>
      </c>
      <c r="AQ25" s="55">
        <f t="shared" si="17"/>
        <v>50003</v>
      </c>
      <c r="AR25" s="137">
        <f>AR24+IF(AND(AQ25&lt;&gt;"",COUNTIF(AQ$4:AQ25,AQ25)=1),1,0)</f>
        <v>20</v>
      </c>
      <c r="AS25" s="55">
        <f t="shared" si="18"/>
        <v>54000</v>
      </c>
      <c r="AT25" s="55">
        <f>IF('Final Calculation Sheet'!$H$25="","",'Final Calculation Sheet'!$H$25)</f>
        <v>517000</v>
      </c>
      <c r="AU25" s="137">
        <f>IF(AT25="","",COUNTIFS(AT$4:AT$40,"&lt;"&amp;AT25,AT$4:AT$40,"&lt;&gt;"&amp;"")+COUNTIF(AT$4:AT25,AT25))</f>
        <v>31</v>
      </c>
      <c r="AV25" s="55">
        <f t="shared" si="19"/>
        <v>206044</v>
      </c>
      <c r="AW25" s="137">
        <f>AW24+IF(AND(AV25&lt;&gt;"",COUNTIF(AV$4:AV25,AV25)=1),1,0)</f>
        <v>22</v>
      </c>
      <c r="AX25" s="55">
        <f t="shared" si="20"/>
        <v>206044</v>
      </c>
      <c r="AY25" s="55">
        <f>IF('Final Calculation Sheet'!$I$25="","",'Final Calculation Sheet'!$I$25)</f>
        <v>93060</v>
      </c>
      <c r="AZ25" s="137">
        <f>IF(AY25="","",COUNTIFS(AY$4:AY$40,"&lt;"&amp;AY25,AY$4:AY$40,"&lt;&gt;"&amp;"")+COUNTIF(AY$4:AY25,AY25))</f>
        <v>31</v>
      </c>
      <c r="BA25" s="55">
        <f t="shared" si="21"/>
        <v>37088</v>
      </c>
      <c r="BB25" s="137">
        <f>BB24+IF(AND(BA25&lt;&gt;"",COUNTIF(BA$4:BA25,BA25)=1),1,0)</f>
        <v>22</v>
      </c>
      <c r="BC25" s="55">
        <f t="shared" si="22"/>
        <v>37088</v>
      </c>
      <c r="BD25" s="55">
        <f>IF('Final Calculation Sheet'!$J$25="","",'Final Calculation Sheet'!$J$25)</f>
        <v>610060</v>
      </c>
      <c r="BE25" s="137">
        <f>IF(BD25="","",COUNTIFS(BD$4:BD$40,"&lt;"&amp;BD25,BD$4:BD$40,"&lt;&gt;"&amp;"")+COUNTIF(BD$4:BD25,BD25))</f>
        <v>31</v>
      </c>
      <c r="BF25" s="55">
        <f t="shared" si="23"/>
        <v>243132</v>
      </c>
      <c r="BG25" s="137">
        <f>BG24+IF(AND(BF25&lt;&gt;"",COUNTIF(BF$4:BF25,BF25)=1),1,0)</f>
        <v>22</v>
      </c>
      <c r="BH25" s="55">
        <f t="shared" si="24"/>
        <v>243132</v>
      </c>
      <c r="BI25" s="55">
        <f>IF('Final Calculation Sheet'!$K$25="","",'Final Calculation Sheet'!$K$25)</f>
        <v>12201</v>
      </c>
      <c r="BJ25" s="137">
        <f>IF(BI25="","",COUNTIFS(BI$4:BI$40,"&lt;"&amp;BI25,BI$4:BI$40,"&lt;&gt;"&amp;"")+COUNTIF(BI$4:BI25,BI25))</f>
        <v>31</v>
      </c>
      <c r="BK25" s="55">
        <f t="shared" si="25"/>
        <v>4863</v>
      </c>
      <c r="BL25" s="137">
        <f>BL24+IF(AND(BK25&lt;&gt;"",COUNTIF(BK$4:BK25,BK25)=1),1,0)</f>
        <v>22</v>
      </c>
      <c r="BM25" s="55">
        <f t="shared" si="26"/>
        <v>4863</v>
      </c>
      <c r="BN25" s="55">
        <f>IF('Final Calculation Sheet'!$L$25="","",'Final Calculation Sheet'!$L$25)</f>
        <v>517</v>
      </c>
      <c r="BO25" s="137">
        <f>IF(BN25="","",COUNTIFS(BN$4:BN$40,"&lt;"&amp;BN25,BN$4:BN$40,"&lt;&gt;"&amp;"")+COUNTIF(BN$4:BN25,BN25))</f>
        <v>31</v>
      </c>
      <c r="BP25" s="55">
        <f t="shared" si="27"/>
        <v>206.04400000000001</v>
      </c>
      <c r="BQ25" s="137">
        <f>BQ24+IF(AND(BP25&lt;&gt;"",COUNTIF(BP$4:BP25,BP25)=1),1,0)</f>
        <v>22</v>
      </c>
      <c r="BR25" s="55">
        <f t="shared" si="28"/>
        <v>206.04400000000001</v>
      </c>
      <c r="BS25" s="55">
        <f>IF('Final Calculation Sheet'!$M$25="","",'Final Calculation Sheet'!$M$25)</f>
        <v>13726.349999999999</v>
      </c>
      <c r="BT25" s="137">
        <f>IF(BS25="","",COUNTIFS(BS$4:BS$40,"&lt;"&amp;BS25,BS$4:BS$40,"&lt;&gt;"&amp;"")+COUNTIF(BS$4:BS25,BS25))</f>
        <v>31</v>
      </c>
      <c r="BU25" s="55">
        <f t="shared" si="29"/>
        <v>5470.4681999999993</v>
      </c>
      <c r="BV25" s="137">
        <f>BV24+IF(AND(BU25&lt;&gt;"",COUNTIF(BU$4:BU25,BU25)=1),1,0)</f>
        <v>22</v>
      </c>
      <c r="BW25" s="55">
        <f t="shared" si="30"/>
        <v>5470.4681999999993</v>
      </c>
      <c r="BX25" s="138">
        <f>IF('Final Calculation Sheet'!$N$25="","",'Final Calculation Sheet'!$N$25)</f>
        <v>232.65</v>
      </c>
      <c r="BY25" s="137">
        <f>IF(BX25="","",COUNTIFS(BX$4:BX$40,"&lt;"&amp;BX25,BX$4:BX$40,"&lt;&gt;"&amp;"")+COUNTIF(BX$4:BX25,BX25))</f>
        <v>31</v>
      </c>
      <c r="BZ25" s="138">
        <f t="shared" si="31"/>
        <v>92.719799999999992</v>
      </c>
      <c r="CA25" s="137">
        <f>CA24+IF(AND(BZ25&lt;&gt;"",COUNTIF(BZ$4:BZ25,BZ25)=1),1,0)</f>
        <v>22</v>
      </c>
      <c r="CB25" s="138">
        <f t="shared" si="32"/>
        <v>92.719799999999992</v>
      </c>
      <c r="CC25" s="55">
        <f>IF('Final Calculation Sheet'!$O$25="","",'Final Calculation Sheet'!$O$25)</f>
        <v>13493.699999999999</v>
      </c>
      <c r="CD25" s="137">
        <f>IF(CC25="","",COUNTIFS(CC$4:CC$40,"&lt;"&amp;CC25,CC$4:CC$40,"&lt;&gt;"&amp;"")+COUNTIF(CC$4:CC25,CC25))</f>
        <v>31</v>
      </c>
      <c r="CE25" s="55">
        <f t="shared" si="33"/>
        <v>5377.7483999999995</v>
      </c>
      <c r="CF25" s="137">
        <f>CF24+IF(AND(CE25&lt;&gt;"",COUNTIF(CE$4:CE25,CE25)=1),1,0)</f>
        <v>22</v>
      </c>
      <c r="CG25" s="55">
        <f t="shared" si="34"/>
        <v>5377.7483999999995</v>
      </c>
      <c r="CH25" s="55">
        <f>IF('Final Calculation Sheet'!$P$25="","",'Final Calculation Sheet'!$P$25)</f>
        <v>14011</v>
      </c>
      <c r="CI25" s="137">
        <f>IF(CH25="","",COUNTIFS(CH$4:CH$40,"&lt;"&amp;CH25,CH$4:CH$40,"&lt;&gt;"&amp;"")+COUNTIF(CH$4:CH25,CH25))</f>
        <v>31</v>
      </c>
      <c r="CJ25" s="55">
        <f t="shared" si="35"/>
        <v>5584</v>
      </c>
      <c r="CK25" s="137">
        <f>CK24+IF(AND(CJ25&lt;&gt;"",COUNTIF(CJ$4:CJ25,CJ25)=1),1,0)</f>
        <v>22</v>
      </c>
      <c r="CL25" s="55">
        <f t="shared" si="36"/>
        <v>5584</v>
      </c>
      <c r="CM25" s="139">
        <f>IF('Final Calculation Sheet'!$Q$25="","",'Final Calculation Sheet'!$Q$25)</f>
        <v>0</v>
      </c>
      <c r="CN25" s="137">
        <f>IF(CM25="","",COUNTIFS(CM$4:CM$40,"&lt;"&amp;CM25,CM$4:CM$40,"&lt;&gt;"&amp;"")+COUNTIF(CM$4:CM25,CM25))</f>
        <v>19</v>
      </c>
      <c r="CO25" s="139">
        <f t="shared" si="37"/>
        <v>0</v>
      </c>
      <c r="CP25" s="137">
        <f>CP24+IF(AND(CO25&lt;&gt;"",COUNTIF(CO$4:CO25,CO25)=1),1,0)</f>
        <v>1</v>
      </c>
      <c r="CQ25" t="str">
        <f t="shared" si="38"/>
        <v/>
      </c>
      <c r="CR25" s="55">
        <f>IF('Final Calculation Sheet'!$R$25="","",'Final Calculation Sheet'!$R$25)</f>
        <v>0</v>
      </c>
      <c r="CS25" s="137">
        <f>IF(CR25="","",COUNTIFS(CR$4:CR$40,"&lt;"&amp;CR25,CR$4:CR$40,"&lt;&gt;"&amp;"")+COUNTIF(CR$4:CR25,CR25))</f>
        <v>19</v>
      </c>
      <c r="CT25" s="55">
        <f t="shared" si="39"/>
        <v>0</v>
      </c>
      <c r="CU25" s="137">
        <f>CU24+IF(AND(CT25&lt;&gt;"",COUNTIF(CT$4:CT25,CT25)=1),1,0)</f>
        <v>1</v>
      </c>
      <c r="CV25" t="str">
        <f t="shared" si="40"/>
        <v/>
      </c>
      <c r="CW25" s="55">
        <f>IF('Final Calculation Sheet'!$S$25="","",'Final Calculation Sheet'!$S$25)</f>
        <v>608251</v>
      </c>
      <c r="CX25" s="137">
        <f>IF(CW25="","",COUNTIFS(CW$4:CW$40,"&lt;"&amp;CW25,CW$4:CW$40,"&lt;&gt;"&amp;"")+COUNTIF(CW$4:CW25,CW25))</f>
        <v>31</v>
      </c>
      <c r="CY25" s="55">
        <f t="shared" si="41"/>
        <v>242411</v>
      </c>
      <c r="CZ25" s="137">
        <f>CZ24+IF(AND(CY25&lt;&gt;"",COUNTIF(CY$4:CY25,CY25)=1),1,0)</f>
        <v>22</v>
      </c>
      <c r="DA25" s="55">
        <f t="shared" si="42"/>
        <v>242411</v>
      </c>
      <c r="DB25" s="55">
        <f>IF('Final Calculation Sheet'!$T$25="","",'Final Calculation Sheet'!$T$25)</f>
        <v>129250</v>
      </c>
      <c r="DC25" s="137">
        <f>IF(DB25="","",COUNTIFS(DB$4:DB$40,"&lt;"&amp;DB25,DB$4:DB$40,"&lt;&gt;"&amp;"")+COUNTIF(DB$4:DB25,DB25))</f>
        <v>31</v>
      </c>
      <c r="DD25" s="55">
        <f t="shared" si="43"/>
        <v>51511</v>
      </c>
      <c r="DE25" s="137">
        <f>DE24+IF(AND(DD25&lt;&gt;"",COUNTIF(DD$4:DD25,DD25)=1),1,0)</f>
        <v>22</v>
      </c>
      <c r="DF25" s="55">
        <f t="shared" si="44"/>
        <v>51511</v>
      </c>
      <c r="DG25" s="140">
        <f>IF('Final Calculation Sheet'!$U$25="","",'Final Calculation Sheet'!$U$25)</f>
        <v>129250</v>
      </c>
      <c r="DH25" s="137">
        <f>IF(DG25="","",COUNTIFS(DG$4:DG$40,"&lt;"&amp;DG25,DG$4:DG$40,"&lt;&gt;"&amp;"")+COUNTIF(DG$4:DG25,DG25))</f>
        <v>31</v>
      </c>
      <c r="DI25" s="140">
        <f t="shared" si="45"/>
        <v>51511</v>
      </c>
      <c r="DJ25" s="137">
        <f>DJ24+IF(AND(DI25&lt;&gt;"",COUNTIF(DI$4:DI25,DI25)=1),1,0)</f>
        <v>22</v>
      </c>
      <c r="DK25" s="140">
        <f t="shared" si="46"/>
        <v>51511</v>
      </c>
      <c r="DL25" t="str">
        <f>IF('Final Calculation Sheet'!$V$25="","",'Final Calculation Sheet'!$V$25)</f>
        <v>14.08.2026</v>
      </c>
      <c r="DM25" s="137">
        <f>IF(DL25="","",COUNTIFS(DL$4:DL$40,"&lt;"&amp;DL25,DL$4:DL$40,"&lt;&gt;"&amp;"")+COUNTIF(DL$4:DL25,DL25))</f>
        <v>30</v>
      </c>
      <c r="DN25" t="str">
        <f t="shared" si="47"/>
        <v>13.08.2026</v>
      </c>
      <c r="DO25" s="137">
        <f>DO24+IF(AND(DN25&lt;&gt;"",COUNTIF(DN$4:DN25,DN25)=1),1,0)</f>
        <v>3</v>
      </c>
      <c r="DP25" t="str">
        <f t="shared" si="48"/>
        <v/>
      </c>
      <c r="DQ25" s="55">
        <f>IF('Final Calculation Sheet'!$W$25="","",'Final Calculation Sheet'!$W$25)</f>
        <v>479001</v>
      </c>
      <c r="DR25" s="137">
        <f>IF(DQ25="","",COUNTIFS(DQ$4:DQ$40,"&lt;"&amp;DQ25,DQ$4:DQ$40,"&lt;&gt;"&amp;"")+COUNTIF(DQ$4:DQ25,DQ25))</f>
        <v>31</v>
      </c>
      <c r="DS25" s="55">
        <f t="shared" si="49"/>
        <v>190900</v>
      </c>
      <c r="DT25" s="137">
        <f>DT24+IF(AND(DS25&lt;&gt;"",COUNTIF(DS$4:DS25,DS25)=1),1,0)</f>
        <v>22</v>
      </c>
      <c r="DU25" s="55">
        <f t="shared" si="50"/>
        <v>190900</v>
      </c>
      <c r="DV25" s="55">
        <f>IF('Final Calculation Sheet'!$X$25="","",'Final Calculation Sheet'!$X$25)</f>
        <v>479001</v>
      </c>
      <c r="DW25" s="137">
        <f>IF(DV25="","",COUNTIFS(DV$4:DV$40,"&lt;"&amp;DV25,DV$4:DV$40,"&lt;&gt;"&amp;"")+COUNTIF(DV$4:DV25,DV25))</f>
        <v>29</v>
      </c>
      <c r="DX25" s="55">
        <f t="shared" si="51"/>
        <v>191812</v>
      </c>
      <c r="DY25" s="137">
        <f>DY24+IF(AND(DX25&lt;&gt;"",COUNTIF(DX$4:DX25,DX25)=1),1,0)</f>
        <v>22</v>
      </c>
      <c r="DZ25" t="e">
        <f t="shared" si="52"/>
        <v>#N/A</v>
      </c>
      <c r="EA25" t="str">
        <f>IF('Final Calculation Sheet'!$Y$25="","",'Final Calculation Sheet'!$Y$25)</f>
        <v>21.08.2026</v>
      </c>
      <c r="EB25" s="137">
        <f>IF(EA25="","",COUNTIFS(EA$4:EA$40,"&lt;"&amp;EA25,EA$4:EA$40,"&lt;&gt;"&amp;"")+COUNTIF(EA$4:EA25,EA25))</f>
        <v>18</v>
      </c>
      <c r="EC25" t="str">
        <f t="shared" si="53"/>
        <v>24.08.2026</v>
      </c>
      <c r="ED25" s="137">
        <f>ED24+IF(AND(EC25&lt;&gt;"",COUNTIF(EC$4:EC25,EC25)=1),1,0)</f>
        <v>9</v>
      </c>
      <c r="EE25" t="e">
        <f t="shared" si="54"/>
        <v>#N/A</v>
      </c>
      <c r="EF25" s="55">
        <f ca="1">IF('Final Calculation Sheet'!$Z$25="","",'Final Calculation Sheet'!$Z$25)</f>
        <v>0</v>
      </c>
      <c r="EG25" s="137">
        <f ca="1">IF(EF25="","",COUNTIFS(EF$4:EF$40,"&lt;"&amp;EF25,EF$4:EF$40,"&lt;&gt;"&amp;"")+COUNTIF(EF$4:EF25,EF25))</f>
        <v>22</v>
      </c>
      <c r="EH25" s="55">
        <f t="shared" ca="1" si="55"/>
        <v>0</v>
      </c>
      <c r="EI25" s="137">
        <f ca="1">EI24+IF(AND(EH25&lt;&gt;"",COUNTIF(EH$4:EH25,EH25)=1),1,0)</f>
        <v>1</v>
      </c>
      <c r="EJ25" t="str">
        <f t="shared" ca="1" si="56"/>
        <v/>
      </c>
      <c r="EK25" t="str">
        <f>IF('Final Calculation Sheet'!$AA$25="","",'Final Calculation Sheet'!$AA$25)</f>
        <v/>
      </c>
      <c r="EL25" t="str">
        <f>IF(EK25="","",COUNTIFS(EK$4:EK$40,"&lt;"&amp;EK25,EK$4:EK$40,"&lt;&gt;"&amp;"")+COUNTIF(EK$4:EK25,EK25))</f>
        <v/>
      </c>
      <c r="EM25" s="137" t="e">
        <f t="shared" si="57"/>
        <v>#N/A</v>
      </c>
      <c r="EN25" s="137" t="e">
        <f>EN24+IF(AND(EM25&lt;&gt;"",COUNTIF(EM$4:EM25,EM25)=1),1,0)</f>
        <v>#N/A</v>
      </c>
      <c r="EO25" t="e">
        <f t="shared" si="58"/>
        <v>#N/A</v>
      </c>
      <c r="EP25" t="str">
        <f>IF('Final Calculation Sheet'!$AB$25="","",'Final Calculation Sheet'!$AB$25)</f>
        <v/>
      </c>
      <c r="EQ25" t="str">
        <f>IF(EP25="","",COUNTIFS(EP$4:EP$40,"&lt;"&amp;EP25,EP$4:EP$40,"&lt;&gt;"&amp;"")+COUNTIF(EP$4:EP25,EP25))</f>
        <v/>
      </c>
      <c r="ER25" s="137" t="e">
        <f t="shared" si="59"/>
        <v>#N/A</v>
      </c>
      <c r="ES25" s="137" t="e">
        <f>ES24+IF(AND(ER25&lt;&gt;"",COUNTIF(ER$4:ER25,ER25)=1),1,0)</f>
        <v>#N/A</v>
      </c>
      <c r="ET25" t="e">
        <f t="shared" si="60"/>
        <v>#N/A</v>
      </c>
      <c r="EU25" s="55">
        <f>IF('Final Calculation Sheet'!$AC$25="","",'Final Calculation Sheet'!$AC$25)</f>
        <v>608251</v>
      </c>
      <c r="EV25" s="137">
        <f>IF(EU25="","",COUNTIFS(EU$4:EU$40,"&lt;"&amp;EU25,EU$4:EU$40,"&lt;&gt;"&amp;"")+COUNTIF(EU$4:EU25,EU25))</f>
        <v>32</v>
      </c>
      <c r="EW25" s="55">
        <f t="shared" si="61"/>
        <v>188254</v>
      </c>
      <c r="EX25" s="137">
        <f>EX24+IF(AND(EW25&lt;&gt;"",COUNTIF(EW$4:EW25,EW25)=1),1,0)</f>
        <v>22</v>
      </c>
      <c r="EY25" s="55">
        <f t="shared" si="62"/>
        <v>188254</v>
      </c>
      <c r="EZ25" s="55">
        <f>IF('Final Calculation Sheet'!$AD$25="","",'Final Calculation Sheet'!$AD$25)</f>
        <v>0</v>
      </c>
      <c r="FA25" s="137">
        <f>IF(EZ25="","",COUNTIFS(EZ$4:EZ$40,"&lt;"&amp;EZ25,EZ$4:EZ$40,"&lt;&gt;"&amp;"")+COUNTIF(EZ$4:EZ25,EZ25))</f>
        <v>21</v>
      </c>
      <c r="FB25" s="55">
        <f t="shared" si="63"/>
        <v>0</v>
      </c>
      <c r="FC25" s="137" t="e">
        <f>FC24+IF(AND(FB25&lt;&gt;"",COUNTIF(FB$4:FB25,FB25)=1),1,0)</f>
        <v>#N/A</v>
      </c>
      <c r="FD25" t="e">
        <f t="shared" si="64"/>
        <v>#N/A</v>
      </c>
      <c r="FE25" t="str">
        <f>IF('Final Calculation Sheet'!$AE$25="","",'Final Calculation Sheet'!$AE$25)</f>
        <v>DR2640100042</v>
      </c>
      <c r="FF25" s="137">
        <f>IF(FE25="","",COUNTIFS(FE$4:FE$40,"&lt;"&amp;FE25,FE$4:FE$40,"&lt;&gt;"&amp;"")+COUNTIF(FE$4:FE25,FE25))</f>
        <v>31</v>
      </c>
      <c r="FG25" t="str">
        <f t="shared" si="65"/>
        <v>DR2640100033</v>
      </c>
      <c r="FH25" s="137" t="e">
        <f>FH24+IF(AND(FG25&lt;&gt;"",COUNTIF(FG$4:FG25,FG25)=1),1,0)</f>
        <v>#N/A</v>
      </c>
      <c r="FI25" t="e">
        <f t="shared" si="66"/>
        <v>#N/A</v>
      </c>
      <c r="FJ25" s="141">
        <f>IF('Final Calculation Sheet'!$AF$25="","",'Final Calculation Sheet'!$AF$25)</f>
        <v>1800003317</v>
      </c>
      <c r="FK25" s="137">
        <f>IF(FJ25="","",COUNTIFS(FJ$4:FJ$40,"&lt;"&amp;FJ25,FJ$4:FJ$40,"&lt;&gt;"&amp;"")+COUNTIF(FJ$4:FJ25,FJ25))</f>
        <v>29</v>
      </c>
      <c r="FL25" s="141">
        <f t="shared" si="67"/>
        <v>1800003310</v>
      </c>
      <c r="FM25" s="137">
        <f>FM24+IF(AND(FL25&lt;&gt;"",COUNTIF(FL$4:FL25,FL25)=1),1,0)</f>
        <v>22</v>
      </c>
      <c r="FN25" t="e">
        <f t="shared" si="68"/>
        <v>#N/A</v>
      </c>
      <c r="FO25" t="str">
        <f>IF('Final Calculation Sheet'!$AG$25="","",'Final Calculation Sheet'!$AG$25)</f>
        <v>27.08.2026</v>
      </c>
      <c r="FP25" s="137">
        <f>IF(FO25="","",COUNTIFS(FO$4:FO$40,"&lt;"&amp;FO25,FO$4:FO$40,"&lt;&gt;"&amp;"")+COUNTIF(FO$4:FO25,FO25))</f>
        <v>30</v>
      </c>
      <c r="FQ25" t="str">
        <f t="shared" si="69"/>
        <v>27.08.2026</v>
      </c>
      <c r="FR25" s="137" t="e">
        <f>FR24+IF(AND(FQ25&lt;&gt;"",COUNTIF(FQ$4:FQ25,FQ25)=1),1,0)</f>
        <v>#N/A</v>
      </c>
      <c r="FS25" t="e">
        <f t="shared" si="70"/>
        <v>#N/A</v>
      </c>
      <c r="FU25" t="str">
        <f>IF(FT25="","",COUNTIFS(FT$4:FT$40,"&lt;"&amp;FT25,FT$4:FT$40,"&lt;&gt;"&amp;"")+COUNTIF(FT$4:FT25,FT25))</f>
        <v/>
      </c>
      <c r="FV25" t="str">
        <f t="shared" si="71"/>
        <v/>
      </c>
      <c r="FW25" s="137">
        <f>FW24+IF(AND(FV25&lt;&gt;"",COUNTIF(FV$4:FV25,FV25)=1),1,0)</f>
        <v>2</v>
      </c>
      <c r="FX25" t="str">
        <f t="shared" si="72"/>
        <v/>
      </c>
    </row>
    <row r="26" spans="1:180" x14ac:dyDescent="0.25">
      <c r="A26">
        <f>IF('Final Calculation Sheet'!$F$26="","",'Final Calculation Sheet'!$F$26)</f>
        <v>2035</v>
      </c>
      <c r="B26" s="137">
        <f>IF(A26="","",COUNTIFS(A$4:A$114,"&lt;"&amp;A26,A$4:A$114,"&lt;&gt;"&amp;"")+COUNTIF(A$4:A26,A26))</f>
        <v>23</v>
      </c>
      <c r="C26" s="137">
        <f t="shared" si="0"/>
        <v>2035</v>
      </c>
      <c r="D26" s="137">
        <f>D25+IF(AND(C26&lt;&gt;"",COUNTIF(C$4:C26,C26)=1),1,0)</f>
        <v>23</v>
      </c>
      <c r="E26" t="e">
        <f t="shared" si="1"/>
        <v>#N/A</v>
      </c>
      <c r="F26">
        <f t="shared" si="2"/>
        <v>23</v>
      </c>
      <c r="G26" s="137">
        <f>IF(F26="","",COUNTIFS(F$4:F$40,"&lt;"&amp;F26,F$4:F$40,"&lt;&gt;"&amp;"")+COUNTIF(F$4:F26,F26))</f>
        <v>23</v>
      </c>
      <c r="H26" s="137">
        <f t="shared" si="3"/>
        <v>23</v>
      </c>
      <c r="I26" s="137">
        <f>I25+IF(AND(H26&lt;&gt;"",COUNTIF(H$4:H26,H26)=1),1,0)</f>
        <v>23</v>
      </c>
      <c r="J26">
        <f t="shared" si="4"/>
        <v>23</v>
      </c>
      <c r="K26">
        <f>IF('Final Calculation Sheet'!$F$26="","",'Final Calculation Sheet'!$F$26)</f>
        <v>2035</v>
      </c>
      <c r="L26" s="137">
        <f>IF(K26="","",COUNTIFS(K$4:K$40,"&lt;"&amp;K26,K$4:K$40,"&lt;&gt;"&amp;"")+COUNTIF(K$4:K26,K26))</f>
        <v>23</v>
      </c>
      <c r="M26" s="137">
        <f t="shared" si="5"/>
        <v>2035</v>
      </c>
      <c r="N26" s="137">
        <f>N25+IF(AND(M26&lt;&gt;"",COUNTIF(M$4:M26,M26)=1),1,0)</f>
        <v>23</v>
      </c>
      <c r="O26">
        <f t="shared" si="6"/>
        <v>2035</v>
      </c>
      <c r="P26" t="str">
        <f>IF('Final Calculation Sheet'!$G$26="","",'Final Calculation Sheet'!$G$26)</f>
        <v>NATIONAL ENTERPRISES</v>
      </c>
      <c r="Q26" s="137">
        <f>IF(P26="","",COUNTIFS(P$4:P$40,"&lt;"&amp;P26,P$4:P$40,"&lt;&gt;"&amp;"")+COUNTIF(P$4:P26,P26))</f>
        <v>15</v>
      </c>
      <c r="R26" t="str">
        <f t="shared" si="7"/>
        <v>S M ENTERPRISES</v>
      </c>
      <c r="S26" s="137">
        <f>S25+IF(AND(R26&lt;&gt;"",COUNTIF(R$4:R26,R26)=1),1,0)</f>
        <v>9</v>
      </c>
      <c r="T26" t="str">
        <f t="shared" si="8"/>
        <v/>
      </c>
      <c r="U26" t="str">
        <f>IF('Final Calculation Sheet'!$B$26="","",'Final Calculation Sheet'!$B$26)</f>
        <v>Scrap of 132 KV Wave Trap</v>
      </c>
      <c r="V26" s="137">
        <f>IF(U26="","",COUNTIFS(U$4:U$40,"&lt;"&amp;U26,U$4:U$40,"&lt;&gt;"&amp;"")+COUNTIF(U$4:U26,U26))</f>
        <v>13</v>
      </c>
      <c r="W26" t="str">
        <f t="shared" si="9"/>
        <v>Scrap of 66 kv TBC C &amp; R Panel</v>
      </c>
      <c r="X26" s="137">
        <f>X25+IF(AND(W26&lt;&gt;"",COUNTIF(W$4:W26,W26)=1),1,0)</f>
        <v>16</v>
      </c>
      <c r="Y26" t="str">
        <f t="shared" si="10"/>
        <v>Scrap of empty oil drums</v>
      </c>
      <c r="Z26">
        <f>IF('Final Calculation Sheet'!$D$26="","",'Final Calculation Sheet'!$D$26)</f>
        <v>21978</v>
      </c>
      <c r="AA26" s="137">
        <f>IF(Z26="","",COUNTIFS(Z$4:Z$40,"&lt;"&amp;Z26,Z$4:Z$40,"&lt;&gt;"&amp;"")+COUNTIF(Z$4:Z26,Z26))</f>
        <v>21</v>
      </c>
      <c r="AB26" s="137">
        <f t="shared" si="11"/>
        <v>21978</v>
      </c>
      <c r="AC26" s="137">
        <f>AC25+IF(AND(AB26&lt;&gt;"",COUNTIF(AB$4:AB26,AB26)=1),1,0)</f>
        <v>2</v>
      </c>
      <c r="AD26" t="str">
        <f t="shared" si="12"/>
        <v/>
      </c>
      <c r="AE26">
        <f>IF('Final Calculation Sheet'!$A$26="","",'Final Calculation Sheet'!$A$26)</f>
        <v>2</v>
      </c>
      <c r="AF26" s="137">
        <f>IF(AE26="","",COUNTIFS(AE$4:AE$40,"&lt;"&amp;AE26,AE$4:AE$40,"&lt;&gt;"&amp;"")+COUNTIF(AE$4:AE26,AE26))</f>
        <v>10</v>
      </c>
      <c r="AG26" s="137">
        <f t="shared" si="13"/>
        <v>25</v>
      </c>
      <c r="AH26" s="137">
        <f>AH25+IF(AND(AG26&lt;&gt;"",COUNTIF(AG$4:AG26,AG26)=1),1,0)</f>
        <v>8</v>
      </c>
      <c r="AI26" t="str">
        <f t="shared" si="14"/>
        <v/>
      </c>
      <c r="AJ26" t="str">
        <f>IF('Final Calculation Sheet'!$E$26="","",'Final Calculation Sheet'!$E$26)</f>
        <v>NO</v>
      </c>
      <c r="AK26" s="137">
        <f>IF(AJ26="","",COUNTIFS(AJ$4:AJ$40,"&lt;"&amp;AJ26,AJ$4:AJ$40,"&lt;&gt;"&amp;"")+COUNTIF(AJ$4:AJ26,AJ26))</f>
        <v>25</v>
      </c>
      <c r="AL26" t="str">
        <f t="shared" si="15"/>
        <v>NO</v>
      </c>
      <c r="AM26" s="137">
        <f>AM25+IF(AND(AL26&lt;&gt;"",COUNTIF(AL$4:AL26,AL26)=1),1,0)</f>
        <v>3</v>
      </c>
      <c r="AN26" t="str">
        <f t="shared" si="16"/>
        <v/>
      </c>
      <c r="AO26" s="55">
        <f>IF('Final Calculation Sheet'!$C$26="","",'Final Calculation Sheet'!$C$26)</f>
        <v>14001</v>
      </c>
      <c r="AP26" s="137">
        <f>IF(AO26="","",COUNTIFS(AO$4:AO$40,"&lt;"&amp;AO26,AO$4:AO$40,"&lt;&gt;"&amp;"")+COUNTIF(AO$4:AO26,AO26))</f>
        <v>17</v>
      </c>
      <c r="AQ26" s="55">
        <f t="shared" si="17"/>
        <v>51511</v>
      </c>
      <c r="AR26" s="137">
        <f>AR25+IF(AND(AQ26&lt;&gt;"",COUNTIF(AQ$4:AQ26,AQ26)=1),1,0)</f>
        <v>21</v>
      </c>
      <c r="AS26" s="55">
        <f t="shared" si="18"/>
        <v>65007</v>
      </c>
      <c r="AT26" s="55">
        <f>IF('Final Calculation Sheet'!$H$26="","",'Final Calculation Sheet'!$H$26)</f>
        <v>28002</v>
      </c>
      <c r="AU26" s="137">
        <f>IF(AT26="","",COUNTIFS(AT$4:AT$40,"&lt;"&amp;AT26,AT$4:AT$40,"&lt;&gt;"&amp;"")+COUNTIF(AT$4:AT26,AT26))</f>
        <v>5</v>
      </c>
      <c r="AV26" s="55">
        <f t="shared" si="19"/>
        <v>207030</v>
      </c>
      <c r="AW26" s="137">
        <f>AW25+IF(AND(AV26&lt;&gt;"",COUNTIF(AV$4:AV26,AV26)=1),1,0)</f>
        <v>23</v>
      </c>
      <c r="AX26" s="55">
        <f t="shared" si="20"/>
        <v>207030</v>
      </c>
      <c r="AY26" s="55">
        <f>IF('Final Calculation Sheet'!$I$26="","",'Final Calculation Sheet'!$I$26)</f>
        <v>5040</v>
      </c>
      <c r="AZ26" s="137">
        <f>IF(AY26="","",COUNTIFS(AY$4:AY$40,"&lt;"&amp;AY26,AY$4:AY$40,"&lt;&gt;"&amp;"")+COUNTIF(AY$4:AY26,AY26))</f>
        <v>5</v>
      </c>
      <c r="BA26" s="55">
        <f t="shared" si="21"/>
        <v>37265</v>
      </c>
      <c r="BB26" s="137">
        <f>BB25+IF(AND(BA26&lt;&gt;"",COUNTIF(BA$4:BA26,BA26)=1),1,0)</f>
        <v>23</v>
      </c>
      <c r="BC26" s="55">
        <f t="shared" si="22"/>
        <v>37265</v>
      </c>
      <c r="BD26" s="55">
        <f>IF('Final Calculation Sheet'!$J$26="","",'Final Calculation Sheet'!$J$26)</f>
        <v>33042</v>
      </c>
      <c r="BE26" s="137">
        <f>IF(BD26="","",COUNTIFS(BD$4:BD$40,"&lt;"&amp;BD26,BD$4:BD$40,"&lt;&gt;"&amp;"")+COUNTIF(BD$4:BD26,BD26))</f>
        <v>5</v>
      </c>
      <c r="BF26" s="55">
        <f t="shared" si="23"/>
        <v>244295</v>
      </c>
      <c r="BG26" s="137">
        <f>BG25+IF(AND(BF26&lt;&gt;"",COUNTIF(BF$4:BF26,BF26)=1),1,0)</f>
        <v>23</v>
      </c>
      <c r="BH26" s="55">
        <f t="shared" si="24"/>
        <v>244295</v>
      </c>
      <c r="BI26" s="55">
        <f>IF('Final Calculation Sheet'!$K$26="","",'Final Calculation Sheet'!$K$26)</f>
        <v>661</v>
      </c>
      <c r="BJ26" s="137">
        <f>IF(BI26="","",COUNTIFS(BI$4:BI$40,"&lt;"&amp;BI26,BI$4:BI$40,"&lt;&gt;"&amp;"")+COUNTIF(BI$4:BI26,BI26))</f>
        <v>5</v>
      </c>
      <c r="BK26" s="55">
        <f t="shared" si="25"/>
        <v>4886</v>
      </c>
      <c r="BL26" s="137">
        <f>BL25+IF(AND(BK26&lt;&gt;"",COUNTIF(BK$4:BK26,BK26)=1),1,0)</f>
        <v>23</v>
      </c>
      <c r="BM26" s="55">
        <f t="shared" si="26"/>
        <v>4886</v>
      </c>
      <c r="BN26" s="55">
        <f>IF('Final Calculation Sheet'!$L$26="","",'Final Calculation Sheet'!$L$26)</f>
        <v>28.001999999999999</v>
      </c>
      <c r="BO26" s="137">
        <f>IF(BN26="","",COUNTIFS(BN$4:BN$40,"&lt;"&amp;BN26,BN$4:BN$40,"&lt;&gt;"&amp;"")+COUNTIF(BN$4:BN26,BN26))</f>
        <v>5</v>
      </c>
      <c r="BP26" s="55">
        <f t="shared" si="27"/>
        <v>207.03</v>
      </c>
      <c r="BQ26" s="137">
        <f>BQ25+IF(AND(BP26&lt;&gt;"",COUNTIF(BP$4:BP26,BP26)=1),1,0)</f>
        <v>23</v>
      </c>
      <c r="BR26" s="55">
        <f t="shared" si="28"/>
        <v>207.03</v>
      </c>
      <c r="BS26" s="55">
        <f>IF('Final Calculation Sheet'!$M$26="","",'Final Calculation Sheet'!$M$26)</f>
        <v>743.45309999999995</v>
      </c>
      <c r="BT26" s="137">
        <f>IF(BS26="","",COUNTIFS(BS$4:BS$40,"&lt;"&amp;BS26,BS$4:BS$40,"&lt;&gt;"&amp;"")+COUNTIF(BS$4:BS26,BS26))</f>
        <v>5</v>
      </c>
      <c r="BU26" s="55">
        <f t="shared" si="29"/>
        <v>5496.6464999999998</v>
      </c>
      <c r="BV26" s="137">
        <f>BV25+IF(AND(BU26&lt;&gt;"",COUNTIF(BU$4:BU26,BU26)=1),1,0)</f>
        <v>23</v>
      </c>
      <c r="BW26" s="55">
        <f t="shared" si="30"/>
        <v>5496.6464999999998</v>
      </c>
      <c r="BX26" s="138">
        <f>IF('Final Calculation Sheet'!$N$26="","",'Final Calculation Sheet'!$N$26)</f>
        <v>12.600899999999999</v>
      </c>
      <c r="BY26" s="137">
        <f>IF(BX26="","",COUNTIFS(BX$4:BX$40,"&lt;"&amp;BX26,BX$4:BX$40,"&lt;&gt;"&amp;"")+COUNTIF(BX$4:BX26,BX26))</f>
        <v>5</v>
      </c>
      <c r="BZ26" s="138">
        <f t="shared" si="31"/>
        <v>93.163499999999999</v>
      </c>
      <c r="CA26" s="137">
        <f>CA25+IF(AND(BZ26&lt;&gt;"",COUNTIF(BZ$4:BZ26,BZ26)=1),1,0)</f>
        <v>23</v>
      </c>
      <c r="CB26" s="138">
        <f t="shared" si="32"/>
        <v>93.163499999999999</v>
      </c>
      <c r="CC26" s="55">
        <f>IF('Final Calculation Sheet'!$O$26="","",'Final Calculation Sheet'!$O$26)</f>
        <v>730.85219999999993</v>
      </c>
      <c r="CD26" s="137">
        <f>IF(CC26="","",COUNTIFS(CC$4:CC$40,"&lt;"&amp;CC26,CC$4:CC$40,"&lt;&gt;"&amp;"")+COUNTIF(CC$4:CC26,CC26))</f>
        <v>5</v>
      </c>
      <c r="CE26" s="55">
        <f t="shared" si="33"/>
        <v>5403.4830000000002</v>
      </c>
      <c r="CF26" s="137">
        <f>CF25+IF(AND(CE26&lt;&gt;"",COUNTIF(CE$4:CE26,CE26)=1),1,0)</f>
        <v>23</v>
      </c>
      <c r="CG26" s="55">
        <f t="shared" si="34"/>
        <v>5403.4830000000002</v>
      </c>
      <c r="CH26" s="55">
        <f>IF('Final Calculation Sheet'!$P$26="","",'Final Calculation Sheet'!$P$26)</f>
        <v>759</v>
      </c>
      <c r="CI26" s="137">
        <f>IF(CH26="","",COUNTIFS(CH$4:CH$40,"&lt;"&amp;CH26,CH$4:CH$40,"&lt;&gt;"&amp;"")+COUNTIF(CH$4:CH26,CH26))</f>
        <v>5</v>
      </c>
      <c r="CJ26" s="55">
        <f t="shared" si="35"/>
        <v>5611</v>
      </c>
      <c r="CK26" s="137">
        <f>CK25+IF(AND(CJ26&lt;&gt;"",COUNTIF(CJ$4:CJ26,CJ26)=1),1,0)</f>
        <v>23</v>
      </c>
      <c r="CL26" s="55">
        <f t="shared" si="36"/>
        <v>5611</v>
      </c>
      <c r="CM26" s="139">
        <f>IF('Final Calculation Sheet'!$Q$26="","",'Final Calculation Sheet'!$Q$26)</f>
        <v>0</v>
      </c>
      <c r="CN26" s="137">
        <f>IF(CM26="","",COUNTIFS(CM$4:CM$40,"&lt;"&amp;CM26,CM$4:CM$40,"&lt;&gt;"&amp;"")+COUNTIF(CM$4:CM26,CM26))</f>
        <v>20</v>
      </c>
      <c r="CO26" s="139">
        <f t="shared" si="37"/>
        <v>0</v>
      </c>
      <c r="CP26" s="137">
        <f>CP25+IF(AND(CO26&lt;&gt;"",COUNTIF(CO$4:CO26,CO26)=1),1,0)</f>
        <v>1</v>
      </c>
      <c r="CQ26" t="str">
        <f t="shared" si="38"/>
        <v/>
      </c>
      <c r="CR26" s="55">
        <f>IF('Final Calculation Sheet'!$R$26="","",'Final Calculation Sheet'!$R$26)</f>
        <v>0</v>
      </c>
      <c r="CS26" s="137">
        <f>IF(CR26="","",COUNTIFS(CR$4:CR$40,"&lt;"&amp;CR26,CR$4:CR$40,"&lt;&gt;"&amp;"")+COUNTIF(CR$4:CR26,CR26))</f>
        <v>20</v>
      </c>
      <c r="CT26" s="55">
        <f t="shared" si="39"/>
        <v>0</v>
      </c>
      <c r="CU26" s="137">
        <f>CU25+IF(AND(CT26&lt;&gt;"",COUNTIF(CT$4:CT26,CT26)=1),1,0)</f>
        <v>1</v>
      </c>
      <c r="CV26" t="str">
        <f t="shared" si="40"/>
        <v/>
      </c>
      <c r="CW26" s="55">
        <f>IF('Final Calculation Sheet'!$S$26="","",'Final Calculation Sheet'!$S$26)</f>
        <v>32944</v>
      </c>
      <c r="CX26" s="137">
        <f>IF(CW26="","",COUNTIFS(CW$4:CW$40,"&lt;"&amp;CW26,CW$4:CW$40,"&lt;&gt;"&amp;"")+COUNTIF(CW$4:CW26,CW26))</f>
        <v>5</v>
      </c>
      <c r="CY26" s="55">
        <f t="shared" si="41"/>
        <v>243571</v>
      </c>
      <c r="CZ26" s="137">
        <f>CZ25+IF(AND(CY26&lt;&gt;"",COUNTIF(CY$4:CY26,CY26)=1),1,0)</f>
        <v>23</v>
      </c>
      <c r="DA26" s="55">
        <f t="shared" si="42"/>
        <v>243571</v>
      </c>
      <c r="DB26" s="55">
        <f>IF('Final Calculation Sheet'!$T$26="","",'Final Calculation Sheet'!$T$26)</f>
        <v>7001</v>
      </c>
      <c r="DC26" s="137">
        <f>IF(DB26="","",COUNTIFS(DB$4:DB$40,"&lt;"&amp;DB26,DB$4:DB$40,"&lt;&gt;"&amp;"")+COUNTIF(DB$4:DB26,DB26))</f>
        <v>5</v>
      </c>
      <c r="DD26" s="55">
        <f t="shared" si="43"/>
        <v>51758</v>
      </c>
      <c r="DE26" s="137">
        <f>DE25+IF(AND(DD26&lt;&gt;"",COUNTIF(DD$4:DD26,DD26)=1),1,0)</f>
        <v>23</v>
      </c>
      <c r="DF26" s="55">
        <f t="shared" si="44"/>
        <v>51758</v>
      </c>
      <c r="DG26" s="140">
        <f>IF('Final Calculation Sheet'!$U$26="","",'Final Calculation Sheet'!$U$26)</f>
        <v>7001</v>
      </c>
      <c r="DH26" s="137">
        <f>IF(DG26="","",COUNTIFS(DG$4:DG$40,"&lt;"&amp;DG26,DG$4:DG$40,"&lt;&gt;"&amp;"")+COUNTIF(DG$4:DG26,DG26))</f>
        <v>5</v>
      </c>
      <c r="DI26" s="140">
        <f t="shared" si="45"/>
        <v>51758</v>
      </c>
      <c r="DJ26" s="137">
        <f>DJ25+IF(AND(DI26&lt;&gt;"",COUNTIF(DI$4:DI26,DI26)=1),1,0)</f>
        <v>23</v>
      </c>
      <c r="DK26" s="140">
        <f t="shared" si="46"/>
        <v>51758</v>
      </c>
      <c r="DL26" t="str">
        <f>IF('Final Calculation Sheet'!$V$26="","",'Final Calculation Sheet'!$V$26)</f>
        <v>13.08.2026</v>
      </c>
      <c r="DM26" s="137">
        <f>IF(DL26="","",COUNTIFS(DL$4:DL$40,"&lt;"&amp;DL26,DL$4:DL$40,"&lt;&gt;"&amp;"")+COUNTIF(DL$4:DL26,DL26))</f>
        <v>22</v>
      </c>
      <c r="DN26" t="str">
        <f t="shared" si="47"/>
        <v>13.08.2026</v>
      </c>
      <c r="DO26" s="137">
        <f>DO25+IF(AND(DN26&lt;&gt;"",COUNTIF(DN$4:DN26,DN26)=1),1,0)</f>
        <v>3</v>
      </c>
      <c r="DP26" t="str">
        <f t="shared" si="48"/>
        <v/>
      </c>
      <c r="DQ26" s="55">
        <f>IF('Final Calculation Sheet'!$W$26="","",'Final Calculation Sheet'!$W$26)</f>
        <v>25944</v>
      </c>
      <c r="DR26" s="137">
        <f>IF(DQ26="","",COUNTIFS(DQ$4:DQ$40,"&lt;"&amp;DQ26,DQ$4:DQ$40,"&lt;&gt;"&amp;"")+COUNTIF(DQ$4:DQ26,DQ26))</f>
        <v>5</v>
      </c>
      <c r="DS26" s="55">
        <f t="shared" si="49"/>
        <v>191813</v>
      </c>
      <c r="DT26" s="137">
        <f>DT25+IF(AND(DS26&lt;&gt;"",COUNTIF(DS$4:DS26,DS26)=1),1,0)</f>
        <v>23</v>
      </c>
      <c r="DU26" s="55">
        <f t="shared" si="50"/>
        <v>191813</v>
      </c>
      <c r="DV26" s="55">
        <f>IF('Final Calculation Sheet'!$X$26="","",'Final Calculation Sheet'!$X$26)</f>
        <v>25943</v>
      </c>
      <c r="DW26" s="137">
        <f>IF(DV26="","",COUNTIFS(DV$4:DV$40,"&lt;"&amp;DV26,DV$4:DV$40,"&lt;&gt;"&amp;"")+COUNTIF(DV$4:DV26,DV26))</f>
        <v>5</v>
      </c>
      <c r="DX26" s="55">
        <f t="shared" si="51"/>
        <v>194566</v>
      </c>
      <c r="DY26" s="137">
        <f>DY25+IF(AND(DX26&lt;&gt;"",COUNTIF(DX$4:DX26,DX26)=1),1,0)</f>
        <v>23</v>
      </c>
      <c r="DZ26" t="e">
        <f t="shared" si="52"/>
        <v>#N/A</v>
      </c>
      <c r="EA26" t="str">
        <f>IF('Final Calculation Sheet'!$Y$26="","",'Final Calculation Sheet'!$Y$26)</f>
        <v>24.08.2026</v>
      </c>
      <c r="EB26" s="137">
        <f>IF(EA26="","",COUNTIFS(EA$4:EA$40,"&lt;"&amp;EA26,EA$4:EA$40,"&lt;&gt;"&amp;"")+COUNTIF(EA$4:EA26,EA26))</f>
        <v>30</v>
      </c>
      <c r="EC26" t="str">
        <f t="shared" si="53"/>
        <v>24.08.2026</v>
      </c>
      <c r="ED26" s="137">
        <f>ED25+IF(AND(EC26&lt;&gt;"",COUNTIF(EC$4:EC26,EC26)=1),1,0)</f>
        <v>9</v>
      </c>
      <c r="EE26" t="e">
        <f t="shared" si="54"/>
        <v>#N/A</v>
      </c>
      <c r="EF26" s="55">
        <f ca="1">IF('Final Calculation Sheet'!$Z$26="","",'Final Calculation Sheet'!$Z$26)</f>
        <v>0</v>
      </c>
      <c r="EG26" s="137">
        <f ca="1">IF(EF26="","",COUNTIFS(EF$4:EF$40,"&lt;"&amp;EF26,EF$4:EF$40,"&lt;&gt;"&amp;"")+COUNTIF(EF$4:EF26,EF26))</f>
        <v>23</v>
      </c>
      <c r="EH26" s="55">
        <f t="shared" ca="1" si="55"/>
        <v>0</v>
      </c>
      <c r="EI26" s="137">
        <f ca="1">EI25+IF(AND(EH26&lt;&gt;"",COUNTIF(EH$4:EH26,EH26)=1),1,0)</f>
        <v>1</v>
      </c>
      <c r="EJ26" t="str">
        <f t="shared" ca="1" si="56"/>
        <v/>
      </c>
      <c r="EK26" t="str">
        <f>IF('Final Calculation Sheet'!$AA$26="","",'Final Calculation Sheet'!$AA$26)</f>
        <v/>
      </c>
      <c r="EL26" t="str">
        <f>IF(EK26="","",COUNTIFS(EK$4:EK$40,"&lt;"&amp;EK26,EK$4:EK$40,"&lt;&gt;"&amp;"")+COUNTIF(EK$4:EK26,EK26))</f>
        <v/>
      </c>
      <c r="EM26" s="137" t="e">
        <f t="shared" si="57"/>
        <v>#N/A</v>
      </c>
      <c r="EN26" s="137" t="e">
        <f>EN25+IF(AND(EM26&lt;&gt;"",COUNTIF(EM$4:EM26,EM26)=1),1,0)</f>
        <v>#N/A</v>
      </c>
      <c r="EO26" t="e">
        <f t="shared" si="58"/>
        <v>#N/A</v>
      </c>
      <c r="EP26" t="str">
        <f>IF('Final Calculation Sheet'!$AB$26="","",'Final Calculation Sheet'!$AB$26)</f>
        <v/>
      </c>
      <c r="EQ26" t="str">
        <f>IF(EP26="","",COUNTIFS(EP$4:EP$40,"&lt;"&amp;EP26,EP$4:EP$40,"&lt;&gt;"&amp;"")+COUNTIF(EP$4:EP26,EP26))</f>
        <v/>
      </c>
      <c r="ER26" s="137" t="e">
        <f t="shared" si="59"/>
        <v>#N/A</v>
      </c>
      <c r="ES26" s="137" t="e">
        <f>ES25+IF(AND(ER26&lt;&gt;"",COUNTIF(ER$4:ER26,ER26)=1),1,0)</f>
        <v>#N/A</v>
      </c>
      <c r="ET26" t="e">
        <f t="shared" si="60"/>
        <v>#N/A</v>
      </c>
      <c r="EU26" s="55">
        <f>IF('Final Calculation Sheet'!$AC$26="","",'Final Calculation Sheet'!$AC$26)</f>
        <v>32944</v>
      </c>
      <c r="EV26" s="137">
        <f>IF(EU26="","",COUNTIFS(EU$4:EU$40,"&lt;"&amp;EU26,EU$4:EU$40,"&lt;&gt;"&amp;"")+COUNTIF(EU$4:EU26,EU26))</f>
        <v>6</v>
      </c>
      <c r="EW26" s="55">
        <f t="shared" si="61"/>
        <v>232946</v>
      </c>
      <c r="EX26" s="137">
        <f>EX25+IF(AND(EW26&lt;&gt;"",COUNTIF(EW$4:EW26,EW26)=1),1,0)</f>
        <v>23</v>
      </c>
      <c r="EY26" s="55">
        <f t="shared" si="62"/>
        <v>232946</v>
      </c>
      <c r="EZ26" s="55">
        <f>IF('Final Calculation Sheet'!$AD$26="","",'Final Calculation Sheet'!$AD$26)</f>
        <v>0</v>
      </c>
      <c r="FA26" s="137">
        <f>IF(EZ26="","",COUNTIFS(EZ$4:EZ$40,"&lt;"&amp;EZ26,EZ$4:EZ$40,"&lt;&gt;"&amp;"")+COUNTIF(EZ$4:EZ26,EZ26))</f>
        <v>22</v>
      </c>
      <c r="FB26" s="55">
        <f t="shared" si="63"/>
        <v>0</v>
      </c>
      <c r="FC26" s="137" t="e">
        <f>FC25+IF(AND(FB26&lt;&gt;"",COUNTIF(FB$4:FB26,FB26)=1),1,0)</f>
        <v>#N/A</v>
      </c>
      <c r="FD26" t="e">
        <f t="shared" si="64"/>
        <v>#N/A</v>
      </c>
      <c r="FE26" t="str">
        <f>IF('Final Calculation Sheet'!$AE$26="","",'Final Calculation Sheet'!$AE$26)</f>
        <v>DR2640100037</v>
      </c>
      <c r="FF26" s="137">
        <f>IF(FE26="","",COUNTIFS(FE$4:FE$40,"&lt;"&amp;FE26,FE$4:FE$40,"&lt;&gt;"&amp;"")+COUNTIF(FE$4:FE26,FE26))</f>
        <v>26</v>
      </c>
      <c r="FG26" t="str">
        <f t="shared" si="65"/>
        <v>DR2640100034</v>
      </c>
      <c r="FH26" s="137" t="e">
        <f>FH25+IF(AND(FG26&lt;&gt;"",COUNTIF(FG$4:FG26,FG26)=1),1,0)</f>
        <v>#N/A</v>
      </c>
      <c r="FI26" t="e">
        <f t="shared" si="66"/>
        <v>#N/A</v>
      </c>
      <c r="FJ26" s="141">
        <f>IF('Final Calculation Sheet'!$AF$26="","",'Final Calculation Sheet'!$AF$26)</f>
        <v>1800003310</v>
      </c>
      <c r="FK26" s="137">
        <f>IF(FJ26="","",COUNTIFS(FJ$4:FJ$40,"&lt;"&amp;FJ26,FJ$4:FJ$40,"&lt;&gt;"&amp;"")+COUNTIF(FJ$4:FJ26,FJ26))</f>
        <v>22</v>
      </c>
      <c r="FL26" s="141">
        <f t="shared" si="67"/>
        <v>1800003311</v>
      </c>
      <c r="FM26" s="137">
        <f>FM25+IF(AND(FL26&lt;&gt;"",COUNTIF(FL$4:FL26,FL26)=1),1,0)</f>
        <v>23</v>
      </c>
      <c r="FN26" t="e">
        <f t="shared" si="68"/>
        <v>#N/A</v>
      </c>
      <c r="FO26" t="str">
        <f>IF('Final Calculation Sheet'!$AG$26="","",'Final Calculation Sheet'!$AG$26)</f>
        <v>27.08.2026</v>
      </c>
      <c r="FP26" s="137">
        <f>IF(FO26="","",COUNTIFS(FO$4:FO$40,"&lt;"&amp;FO26,FO$4:FO$40,"&lt;&gt;"&amp;"")+COUNTIF(FO$4:FO26,FO26))</f>
        <v>31</v>
      </c>
      <c r="FQ26" t="str">
        <f t="shared" si="69"/>
        <v>27.08.2026</v>
      </c>
      <c r="FR26" s="137" t="e">
        <f>FR25+IF(AND(FQ26&lt;&gt;"",COUNTIF(FQ$4:FQ26,FQ26)=1),1,0)</f>
        <v>#N/A</v>
      </c>
      <c r="FS26" t="e">
        <f t="shared" si="70"/>
        <v>#N/A</v>
      </c>
      <c r="FU26" t="str">
        <f>IF(FT26="","",COUNTIFS(FT$4:FT$40,"&lt;"&amp;FT26,FT$4:FT$40,"&lt;&gt;"&amp;"")+COUNTIF(FT$4:FT26,FT26))</f>
        <v/>
      </c>
      <c r="FV26" t="str">
        <f t="shared" si="71"/>
        <v/>
      </c>
      <c r="FW26" s="137">
        <f>FW25+IF(AND(FV26&lt;&gt;"",COUNTIF(FV$4:FV26,FV26)=1),1,0)</f>
        <v>2</v>
      </c>
      <c r="FX26" t="str">
        <f t="shared" si="72"/>
        <v/>
      </c>
    </row>
    <row r="27" spans="1:180" x14ac:dyDescent="0.25">
      <c r="A27">
        <f>IF('Final Calculation Sheet'!$F$27="","",'Final Calculation Sheet'!$F$27)</f>
        <v>2036</v>
      </c>
      <c r="B27" s="137">
        <f>IF(A27="","",COUNTIFS(A$4:A$114,"&lt;"&amp;A27,A$4:A$114,"&lt;&gt;"&amp;"")+COUNTIF(A$4:A27,A27))</f>
        <v>24</v>
      </c>
      <c r="C27" s="137">
        <f t="shared" si="0"/>
        <v>2036</v>
      </c>
      <c r="D27" s="137">
        <f>D26+IF(AND(C27&lt;&gt;"",COUNTIF(C$4:C27,C27)=1),1,0)</f>
        <v>24</v>
      </c>
      <c r="E27" t="e">
        <f t="shared" si="1"/>
        <v>#N/A</v>
      </c>
      <c r="F27">
        <f t="shared" si="2"/>
        <v>24</v>
      </c>
      <c r="G27" s="137">
        <f>IF(F27="","",COUNTIFS(F$4:F$40,"&lt;"&amp;F27,F$4:F$40,"&lt;&gt;"&amp;"")+COUNTIF(F$4:F27,F27))</f>
        <v>24</v>
      </c>
      <c r="H27" s="137">
        <f t="shared" si="3"/>
        <v>24</v>
      </c>
      <c r="I27" s="137">
        <f>I26+IF(AND(H27&lt;&gt;"",COUNTIF(H$4:H27,H27)=1),1,0)</f>
        <v>24</v>
      </c>
      <c r="J27">
        <f t="shared" si="4"/>
        <v>24</v>
      </c>
      <c r="K27">
        <f>IF('Final Calculation Sheet'!$F$27="","",'Final Calculation Sheet'!$F$27)</f>
        <v>2036</v>
      </c>
      <c r="L27" s="137">
        <f>IF(K27="","",COUNTIFS(K$4:K$40,"&lt;"&amp;K27,K$4:K$40,"&lt;&gt;"&amp;"")+COUNTIF(K$4:K27,K27))</f>
        <v>24</v>
      </c>
      <c r="M27" s="137">
        <f t="shared" si="5"/>
        <v>2036</v>
      </c>
      <c r="N27" s="137">
        <f>N26+IF(AND(M27&lt;&gt;"",COUNTIF(M$4:M27,M27)=1),1,0)</f>
        <v>24</v>
      </c>
      <c r="O27">
        <f t="shared" si="6"/>
        <v>2036</v>
      </c>
      <c r="P27" t="str">
        <f>IF('Final Calculation Sheet'!$G$27="","",'Final Calculation Sheet'!$G$27)</f>
        <v>M I SCRAP TRADERS</v>
      </c>
      <c r="Q27" s="137">
        <f>IF(P27="","",COUNTIFS(P$4:P$40,"&lt;"&amp;P27,P$4:P$40,"&lt;&gt;"&amp;"")+COUNTIF(P$4:P27,P27))</f>
        <v>6</v>
      </c>
      <c r="R27" t="str">
        <f t="shared" si="7"/>
        <v>S M ENTERPRISES</v>
      </c>
      <c r="S27" s="137">
        <f>S26+IF(AND(R27&lt;&gt;"",COUNTIF(R$4:R27,R27)=1),1,0)</f>
        <v>9</v>
      </c>
      <c r="T27" t="str">
        <f t="shared" si="8"/>
        <v/>
      </c>
      <c r="U27" t="str">
        <f>IF('Final Calculation Sheet'!$B$27="","",'Final Calculation Sheet'!$B$27)</f>
        <v>Mix Scrap (Tower angles &amp; 0.2 ACSR Condutor pieces)</v>
      </c>
      <c r="V27" s="137">
        <f>IF(U27="","",COUNTIFS(U$4:U$40,"&lt;"&amp;U27,U$4:U$40,"&lt;&gt;"&amp;"")+COUNTIF(U$4:U27,U27))</f>
        <v>1</v>
      </c>
      <c r="W27" t="str">
        <f t="shared" si="9"/>
        <v>Scrap of AAAC Earth wire</v>
      </c>
      <c r="X27" s="137">
        <f>X26+IF(AND(W27&lt;&gt;"",COUNTIF(W$4:W27,W27)=1),1,0)</f>
        <v>17</v>
      </c>
      <c r="Y27" t="str">
        <f t="shared" si="10"/>
        <v>Scrap of MS (extracted from equip cage and empty Sf6 gas cylinder)</v>
      </c>
      <c r="Z27">
        <f>IF('Final Calculation Sheet'!$D$27="","",'Final Calculation Sheet'!$D$27)</f>
        <v>21978</v>
      </c>
      <c r="AA27" s="137">
        <f>IF(Z27="","",COUNTIFS(Z$4:Z$40,"&lt;"&amp;Z27,Z$4:Z$40,"&lt;&gt;"&amp;"")+COUNTIF(Z$4:Z27,Z27))</f>
        <v>22</v>
      </c>
      <c r="AB27" s="137">
        <f t="shared" si="11"/>
        <v>21978</v>
      </c>
      <c r="AC27" s="137">
        <f>AC26+IF(AND(AB27&lt;&gt;"",COUNTIF(AB$4:AB27,AB27)=1),1,0)</f>
        <v>2</v>
      </c>
      <c r="AD27" t="str">
        <f t="shared" si="12"/>
        <v/>
      </c>
      <c r="AE27">
        <f>IF('Final Calculation Sheet'!$A$27="","",'Final Calculation Sheet'!$A$27)</f>
        <v>8.1999999999999993</v>
      </c>
      <c r="AF27" s="137">
        <f>IF(AE27="","",COUNTIFS(AE$4:AE$40,"&lt;"&amp;AE27,AE$4:AE$40,"&lt;&gt;"&amp;"")+COUNTIF(AE$4:AE27,AE27))</f>
        <v>21</v>
      </c>
      <c r="AG27" s="137">
        <f t="shared" si="13"/>
        <v>28</v>
      </c>
      <c r="AH27" s="137">
        <f>AH26+IF(AND(AG27&lt;&gt;"",COUNTIF(AG$4:AG27,AG27)=1),1,0)</f>
        <v>9</v>
      </c>
      <c r="AI27" t="str">
        <f t="shared" si="14"/>
        <v/>
      </c>
      <c r="AJ27" t="str">
        <f>IF('Final Calculation Sheet'!$E$27="","",'Final Calculation Sheet'!$E$27)</f>
        <v>MT</v>
      </c>
      <c r="AK27" s="137">
        <f>IF(AJ27="","",COUNTIFS(AJ$4:AJ$40,"&lt;"&amp;AJ27,AJ$4:AJ$40,"&lt;&gt;"&amp;"")+COUNTIF(AJ$4:AJ27,AJ27))</f>
        <v>7</v>
      </c>
      <c r="AL27" t="str">
        <f t="shared" si="15"/>
        <v>NO</v>
      </c>
      <c r="AM27" s="137">
        <f>AM26+IF(AND(AL27&lt;&gt;"",COUNTIF(AL$4:AL27,AL27)=1),1,0)</f>
        <v>3</v>
      </c>
      <c r="AN27" t="str">
        <f t="shared" si="16"/>
        <v/>
      </c>
      <c r="AO27" s="55">
        <f>IF('Final Calculation Sheet'!$C$27="","",'Final Calculation Sheet'!$C$27)</f>
        <v>67000</v>
      </c>
      <c r="AP27" s="137">
        <f>IF(AO27="","",COUNTIFS(AO$4:AO$40,"&lt;"&amp;AO27,AO$4:AO$40,"&lt;&gt;"&amp;"")+COUNTIF(AO$4:AO27,AO27))</f>
        <v>26</v>
      </c>
      <c r="AQ27" s="55">
        <f t="shared" si="17"/>
        <v>54000</v>
      </c>
      <c r="AR27" s="137">
        <f>AR26+IF(AND(AQ27&lt;&gt;"",COUNTIF(AQ$4:AQ27,AQ27)=1),1,0)</f>
        <v>22</v>
      </c>
      <c r="AS27" s="55">
        <f t="shared" si="18"/>
        <v>67000</v>
      </c>
      <c r="AT27" s="55">
        <f>IF('Final Calculation Sheet'!$H$27="","",'Final Calculation Sheet'!$H$27)</f>
        <v>549400</v>
      </c>
      <c r="AU27" s="137">
        <f>IF(AT27="","",COUNTIFS(AT$4:AT$40,"&lt;"&amp;AT27,AT$4:AT$40,"&lt;&gt;"&amp;"")+COUNTIF(AT$4:AT27,AT27))</f>
        <v>32</v>
      </c>
      <c r="AV27" s="55">
        <f t="shared" si="19"/>
        <v>210001</v>
      </c>
      <c r="AW27" s="137">
        <f>AW26+IF(AND(AV27&lt;&gt;"",COUNTIF(AV$4:AV27,AV27)=1),1,0)</f>
        <v>24</v>
      </c>
      <c r="AX27" s="55">
        <f t="shared" si="20"/>
        <v>210001</v>
      </c>
      <c r="AY27" s="55">
        <f>IF('Final Calculation Sheet'!$I$27="","",'Final Calculation Sheet'!$I$27)</f>
        <v>98892</v>
      </c>
      <c r="AZ27" s="137">
        <f>IF(AY27="","",COUNTIFS(AY$4:AY$40,"&lt;"&amp;AY27,AY$4:AY$40,"&lt;&gt;"&amp;"")+COUNTIF(AY$4:AY27,AY27))</f>
        <v>32</v>
      </c>
      <c r="BA27" s="55">
        <f t="shared" si="21"/>
        <v>37800</v>
      </c>
      <c r="BB27" s="137">
        <f>BB26+IF(AND(BA27&lt;&gt;"",COUNTIF(BA$4:BA27,BA27)=1),1,0)</f>
        <v>24</v>
      </c>
      <c r="BC27" s="55">
        <f t="shared" si="22"/>
        <v>37800</v>
      </c>
      <c r="BD27" s="55">
        <f>IF('Final Calculation Sheet'!$J$27="","",'Final Calculation Sheet'!$J$27)</f>
        <v>648292</v>
      </c>
      <c r="BE27" s="137">
        <f>IF(BD27="","",COUNTIFS(BD$4:BD$40,"&lt;"&amp;BD27,BD$4:BD$40,"&lt;&gt;"&amp;"")+COUNTIF(BD$4:BD27,BD27))</f>
        <v>32</v>
      </c>
      <c r="BF27" s="55">
        <f t="shared" si="23"/>
        <v>247801</v>
      </c>
      <c r="BG27" s="137">
        <f>BG26+IF(AND(BF27&lt;&gt;"",COUNTIF(BF$4:BF27,BF27)=1),1,0)</f>
        <v>24</v>
      </c>
      <c r="BH27" s="55">
        <f t="shared" si="24"/>
        <v>247801</v>
      </c>
      <c r="BI27" s="55">
        <f>IF('Final Calculation Sheet'!$K$27="","",'Final Calculation Sheet'!$K$27)</f>
        <v>12966</v>
      </c>
      <c r="BJ27" s="137">
        <f>IF(BI27="","",COUNTIFS(BI$4:BI$40,"&lt;"&amp;BI27,BI$4:BI$40,"&lt;&gt;"&amp;"")+COUNTIF(BI$4:BI27,BI27))</f>
        <v>32</v>
      </c>
      <c r="BK27" s="55">
        <f t="shared" si="25"/>
        <v>4956</v>
      </c>
      <c r="BL27" s="137">
        <f>BL26+IF(AND(BK27&lt;&gt;"",COUNTIF(BK$4:BK27,BK27)=1),1,0)</f>
        <v>24</v>
      </c>
      <c r="BM27" s="55">
        <f t="shared" si="26"/>
        <v>4956</v>
      </c>
      <c r="BN27" s="55">
        <f>IF('Final Calculation Sheet'!$L$27="","",'Final Calculation Sheet'!$L$27)</f>
        <v>549.4</v>
      </c>
      <c r="BO27" s="137">
        <f>IF(BN27="","",COUNTIFS(BN$4:BN$40,"&lt;"&amp;BN27,BN$4:BN$40,"&lt;&gt;"&amp;"")+COUNTIF(BN$4:BN27,BN27))</f>
        <v>32</v>
      </c>
      <c r="BP27" s="55">
        <f t="shared" si="27"/>
        <v>210.001</v>
      </c>
      <c r="BQ27" s="137">
        <f>BQ26+IF(AND(BP27&lt;&gt;"",COUNTIF(BP$4:BP27,BP27)=1),1,0)</f>
        <v>24</v>
      </c>
      <c r="BR27" s="55">
        <f t="shared" si="28"/>
        <v>210.001</v>
      </c>
      <c r="BS27" s="55">
        <f>IF('Final Calculation Sheet'!$M$27="","",'Final Calculation Sheet'!$M$27)</f>
        <v>14586.57</v>
      </c>
      <c r="BT27" s="137">
        <f>IF(BS27="","",COUNTIFS(BS$4:BS$40,"&lt;"&amp;BS27,BS$4:BS$40,"&lt;&gt;"&amp;"")+COUNTIF(BS$4:BS27,BS27))</f>
        <v>32</v>
      </c>
      <c r="BU27" s="55">
        <f t="shared" si="29"/>
        <v>5575.5265499999996</v>
      </c>
      <c r="BV27" s="137">
        <f>BV26+IF(AND(BU27&lt;&gt;"",COUNTIF(BU$4:BU27,BU27)=1),1,0)</f>
        <v>24</v>
      </c>
      <c r="BW27" s="55">
        <f t="shared" si="30"/>
        <v>5575.5265499999996</v>
      </c>
      <c r="BX27" s="138">
        <f>IF('Final Calculation Sheet'!$N$27="","",'Final Calculation Sheet'!$N$27)</f>
        <v>247.23000000000002</v>
      </c>
      <c r="BY27" s="137">
        <f>IF(BX27="","",COUNTIFS(BX$4:BX$40,"&lt;"&amp;BX27,BX$4:BX$40,"&lt;&gt;"&amp;"")+COUNTIF(BX$4:BX27,BX27))</f>
        <v>32</v>
      </c>
      <c r="BZ27" s="138">
        <f t="shared" si="31"/>
        <v>94.500450000000001</v>
      </c>
      <c r="CA27" s="137">
        <f>CA26+IF(AND(BZ27&lt;&gt;"",COUNTIF(BZ$4:BZ27,BZ27)=1),1,0)</f>
        <v>24</v>
      </c>
      <c r="CB27" s="138">
        <f t="shared" si="32"/>
        <v>94.500450000000001</v>
      </c>
      <c r="CC27" s="55">
        <f>IF('Final Calculation Sheet'!$O$27="","",'Final Calculation Sheet'!$O$27)</f>
        <v>14339.34</v>
      </c>
      <c r="CD27" s="137">
        <f>IF(CC27="","",COUNTIFS(CC$4:CC$40,"&lt;"&amp;CC27,CC$4:CC$40,"&lt;&gt;"&amp;"")+COUNTIF(CC$4:CC27,CC27))</f>
        <v>32</v>
      </c>
      <c r="CE27" s="55">
        <f t="shared" si="33"/>
        <v>5481.0260999999991</v>
      </c>
      <c r="CF27" s="137">
        <f>CF26+IF(AND(CE27&lt;&gt;"",COUNTIF(CE$4:CE27,CE27)=1),1,0)</f>
        <v>24</v>
      </c>
      <c r="CG27" s="55">
        <f t="shared" si="34"/>
        <v>5481.0260999999991</v>
      </c>
      <c r="CH27" s="55">
        <f>IF('Final Calculation Sheet'!$P$27="","",'Final Calculation Sheet'!$P$27)</f>
        <v>14889</v>
      </c>
      <c r="CI27" s="137">
        <f>IF(CH27="","",COUNTIFS(CH$4:CH$40,"&lt;"&amp;CH27,CH$4:CH$40,"&lt;&gt;"&amp;"")+COUNTIF(CH$4:CH27,CH27))</f>
        <v>32</v>
      </c>
      <c r="CJ27" s="55">
        <f t="shared" si="35"/>
        <v>5691</v>
      </c>
      <c r="CK27" s="137">
        <f>CK26+IF(AND(CJ27&lt;&gt;"",COUNTIF(CJ$4:CJ27,CJ27)=1),1,0)</f>
        <v>24</v>
      </c>
      <c r="CL27" s="55">
        <f t="shared" si="36"/>
        <v>5691</v>
      </c>
      <c r="CM27" s="139">
        <f>IF('Final Calculation Sheet'!$Q$27="","",'Final Calculation Sheet'!$Q$27)</f>
        <v>0.02</v>
      </c>
      <c r="CN27" s="137">
        <f>IF(CM27="","",COUNTIFS(CM$4:CM$40,"&lt;"&amp;CM27,CM$4:CM$40,"&lt;&gt;"&amp;"")+COUNTIF(CM$4:CM27,CM27))</f>
        <v>37</v>
      </c>
      <c r="CO27" s="139">
        <f t="shared" si="37"/>
        <v>0</v>
      </c>
      <c r="CP27" s="137">
        <f>CP26+IF(AND(CO27&lt;&gt;"",COUNTIF(CO$4:CO27,CO27)=1),1,0)</f>
        <v>1</v>
      </c>
      <c r="CQ27" t="str">
        <f t="shared" si="38"/>
        <v/>
      </c>
      <c r="CR27" s="55">
        <f>IF('Final Calculation Sheet'!$R$27="","",'Final Calculation Sheet'!$R$27)</f>
        <v>10988</v>
      </c>
      <c r="CS27" s="137">
        <f>IF(CR27="","",COUNTIFS(CR$4:CR$40,"&lt;"&amp;CR27,CR$4:CR$40,"&lt;&gt;"&amp;"")+COUNTIF(CR$4:CR27,CR27))</f>
        <v>34</v>
      </c>
      <c r="CT27" s="55">
        <f t="shared" si="39"/>
        <v>0</v>
      </c>
      <c r="CU27" s="137">
        <f>CU26+IF(AND(CT27&lt;&gt;"",COUNTIF(CT$4:CT27,CT27)=1),1,0)</f>
        <v>1</v>
      </c>
      <c r="CV27" t="str">
        <f t="shared" si="40"/>
        <v/>
      </c>
      <c r="CW27" s="55">
        <f>IF('Final Calculation Sheet'!$S$27="","",'Final Calculation Sheet'!$S$27)</f>
        <v>635381</v>
      </c>
      <c r="CX27" s="137">
        <f>IF(CW27="","",COUNTIFS(CW$4:CW$40,"&lt;"&amp;CW27,CW$4:CW$40,"&lt;&gt;"&amp;"")+COUNTIF(CW$4:CW27,CW27))</f>
        <v>32</v>
      </c>
      <c r="CY27" s="55">
        <f t="shared" si="41"/>
        <v>247066</v>
      </c>
      <c r="CZ27" s="137">
        <f>CZ26+IF(AND(CY27&lt;&gt;"",COUNTIF(CY$4:CY27,CY27)=1),1,0)</f>
        <v>24</v>
      </c>
      <c r="DA27" s="55">
        <f t="shared" si="42"/>
        <v>247066</v>
      </c>
      <c r="DB27" s="55">
        <f>IF('Final Calculation Sheet'!$T$27="","",'Final Calculation Sheet'!$T$27)</f>
        <v>137350</v>
      </c>
      <c r="DC27" s="137">
        <f>IF(DB27="","",COUNTIFS(DB$4:DB$40,"&lt;"&amp;DB27,DB$4:DB$40,"&lt;&gt;"&amp;"")+COUNTIF(DB$4:DB27,DB27))</f>
        <v>32</v>
      </c>
      <c r="DD27" s="55">
        <f t="shared" si="43"/>
        <v>52500</v>
      </c>
      <c r="DE27" s="137">
        <f>DE26+IF(AND(DD27&lt;&gt;"",COUNTIF(DD$4:DD27,DD27)=1),1,0)</f>
        <v>24</v>
      </c>
      <c r="DF27" s="55">
        <f t="shared" si="44"/>
        <v>52500</v>
      </c>
      <c r="DG27" s="140">
        <f>IF('Final Calculation Sheet'!$U$27="","",'Final Calculation Sheet'!$U$27)</f>
        <v>137350</v>
      </c>
      <c r="DH27" s="137">
        <f>IF(DG27="","",COUNTIFS(DG$4:DG$40,"&lt;"&amp;DG27,DG$4:DG$40,"&lt;&gt;"&amp;"")+COUNTIF(DG$4:DG27,DG27))</f>
        <v>32</v>
      </c>
      <c r="DI27" s="140">
        <f t="shared" si="45"/>
        <v>52500</v>
      </c>
      <c r="DJ27" s="137">
        <f>DJ26+IF(AND(DI27&lt;&gt;"",COUNTIF(DI$4:DI27,DI27)=1),1,0)</f>
        <v>24</v>
      </c>
      <c r="DK27" s="140">
        <f t="shared" si="46"/>
        <v>52500</v>
      </c>
      <c r="DL27" t="str">
        <f>IF('Final Calculation Sheet'!$V$27="","",'Final Calculation Sheet'!$V$27)</f>
        <v>14.08.2026</v>
      </c>
      <c r="DM27" s="137">
        <f>IF(DL27="","",COUNTIFS(DL$4:DL$40,"&lt;"&amp;DL27,DL$4:DL$40,"&lt;&gt;"&amp;"")+COUNTIF(DL$4:DL27,DL27))</f>
        <v>31</v>
      </c>
      <c r="DN27" t="str">
        <f t="shared" si="47"/>
        <v>13.08.2026</v>
      </c>
      <c r="DO27" s="137">
        <f>DO26+IF(AND(DN27&lt;&gt;"",COUNTIF(DN$4:DN27,DN27)=1),1,0)</f>
        <v>3</v>
      </c>
      <c r="DP27" t="str">
        <f t="shared" si="48"/>
        <v/>
      </c>
      <c r="DQ27" s="55">
        <f>IF('Final Calculation Sheet'!$W$27="","",'Final Calculation Sheet'!$W$27)</f>
        <v>498031</v>
      </c>
      <c r="DR27" s="137">
        <f>IF(DQ27="","",COUNTIFS(DQ$4:DQ$40,"&lt;"&amp;DQ27,DQ$4:DQ$40,"&lt;&gt;"&amp;"")+COUNTIF(DQ$4:DQ27,DQ27))</f>
        <v>32</v>
      </c>
      <c r="DS27" s="55">
        <f t="shared" si="49"/>
        <v>194566</v>
      </c>
      <c r="DT27" s="137">
        <f>DT26+IF(AND(DS27&lt;&gt;"",COUNTIF(DS$4:DS27,DS27)=1),1,0)</f>
        <v>24</v>
      </c>
      <c r="DU27" s="55">
        <f t="shared" si="50"/>
        <v>194566</v>
      </c>
      <c r="DV27" t="str">
        <f>IF('Final Calculation Sheet'!$X$27="","",'Final Calculation Sheet'!$X$27)</f>
        <v/>
      </c>
      <c r="DW27" t="str">
        <f>IF(DV27="","",COUNTIFS(DV$4:DV$40,"&lt;"&amp;DV27,DV$4:DV$40,"&lt;&gt;"&amp;"")+COUNTIF(DV$4:DV27,DV27))</f>
        <v/>
      </c>
      <c r="DX27" s="55">
        <f t="shared" si="51"/>
        <v>194568</v>
      </c>
      <c r="DY27" s="137">
        <f>DY26+IF(AND(DX27&lt;&gt;"",COUNTIF(DX$4:DX27,DX27)=1),1,0)</f>
        <v>24</v>
      </c>
      <c r="DZ27" t="e">
        <f t="shared" si="52"/>
        <v>#N/A</v>
      </c>
      <c r="EA27" s="55">
        <f>IF('Final Calculation Sheet'!$Y$27="","",'Final Calculation Sheet'!$Y$27)</f>
        <v>0</v>
      </c>
      <c r="EB27" s="137">
        <f>IF(EA27="","",COUNTIFS(EA$4:EA$40,"&lt;"&amp;EA27,EA$4:EA$40,"&lt;&gt;"&amp;"")+COUNTIF(EA$4:EA27,EA27))</f>
        <v>1</v>
      </c>
      <c r="EC27" t="str">
        <f t="shared" si="53"/>
        <v>24.08.2026</v>
      </c>
      <c r="ED27" s="137">
        <f>ED26+IF(AND(EC27&lt;&gt;"",COUNTIF(EC$4:EC27,EC27)=1),1,0)</f>
        <v>9</v>
      </c>
      <c r="EE27" t="e">
        <f t="shared" si="54"/>
        <v>#N/A</v>
      </c>
      <c r="EF27" s="55">
        <f ca="1">IF('Final Calculation Sheet'!$Z$27="","",'Final Calculation Sheet'!$Z$27)</f>
        <v>19448.760000000002</v>
      </c>
      <c r="EG27" s="137">
        <f ca="1">IF(EF27="","",COUNTIFS(EF$4:EF$40,"&lt;"&amp;EF27,EF$4:EF$40,"&lt;&gt;"&amp;"")+COUNTIF(EF$4:EF27,EF27))</f>
        <v>37</v>
      </c>
      <c r="EH27" s="55">
        <f t="shared" ca="1" si="55"/>
        <v>0</v>
      </c>
      <c r="EI27" s="137">
        <f ca="1">EI26+IF(AND(EH27&lt;&gt;"",COUNTIF(EH$4:EH27,EH27)=1),1,0)</f>
        <v>1</v>
      </c>
      <c r="EJ27" t="str">
        <f t="shared" ca="1" si="56"/>
        <v/>
      </c>
      <c r="EK27" t="str">
        <f>IF('Final Calculation Sheet'!$AA$27="","",'Final Calculation Sheet'!$AA$27)</f>
        <v/>
      </c>
      <c r="EL27" t="str">
        <f>IF(EK27="","",COUNTIFS(EK$4:EK$40,"&lt;"&amp;EK27,EK$4:EK$40,"&lt;&gt;"&amp;"")+COUNTIF(EK$4:EK27,EK27))</f>
        <v/>
      </c>
      <c r="EM27" s="137" t="e">
        <f t="shared" si="57"/>
        <v>#N/A</v>
      </c>
      <c r="EN27" s="137" t="e">
        <f>EN26+IF(AND(EM27&lt;&gt;"",COUNTIF(EM$4:EM27,EM27)=1),1,0)</f>
        <v>#N/A</v>
      </c>
      <c r="EO27" t="e">
        <f t="shared" si="58"/>
        <v>#N/A</v>
      </c>
      <c r="EP27" t="str">
        <f>IF('Final Calculation Sheet'!$AB$27="","",'Final Calculation Sheet'!$AB$27)</f>
        <v/>
      </c>
      <c r="EQ27" t="str">
        <f>IF(EP27="","",COUNTIFS(EP$4:EP$40,"&lt;"&amp;EP27,EP$4:EP$40,"&lt;&gt;"&amp;"")+COUNTIF(EP$4:EP27,EP27))</f>
        <v/>
      </c>
      <c r="ER27" s="137" t="e">
        <f t="shared" si="59"/>
        <v>#N/A</v>
      </c>
      <c r="ES27" s="137" t="e">
        <f>ES26+IF(AND(ER27&lt;&gt;"",COUNTIF(ER$4:ER27,ER27)=1),1,0)</f>
        <v>#N/A</v>
      </c>
      <c r="ET27" t="e">
        <f t="shared" si="60"/>
        <v>#N/A</v>
      </c>
      <c r="EU27" s="55">
        <f>IF('Final Calculation Sheet'!$AC$27="","",'Final Calculation Sheet'!$AC$27)</f>
        <v>137350</v>
      </c>
      <c r="EV27" s="137">
        <f>IF(EU27="","",COUNTIFS(EU$4:EU$40,"&lt;"&amp;EU27,EU$4:EU$40,"&lt;&gt;"&amp;"")+COUNTIF(EU$4:EU27,EU27))</f>
        <v>18</v>
      </c>
      <c r="EW27" s="55">
        <f t="shared" si="61"/>
        <v>242411</v>
      </c>
      <c r="EX27" s="137">
        <f>EX26+IF(AND(EW27&lt;&gt;"",COUNTIF(EW$4:EW27,EW27)=1),1,0)</f>
        <v>24</v>
      </c>
      <c r="EY27" s="55">
        <f t="shared" si="62"/>
        <v>242411</v>
      </c>
      <c r="EZ27" s="55">
        <f>IF('Final Calculation Sheet'!$AD$27="","",'Final Calculation Sheet'!$AD$27)</f>
        <v>498031</v>
      </c>
      <c r="FA27" s="137">
        <f>IF(EZ27="","",COUNTIFS(EZ$4:EZ$40,"&lt;"&amp;EZ27,EZ$4:EZ$40,"&lt;&gt;"&amp;"")+COUNTIF(EZ$4:EZ27,EZ27))</f>
        <v>37</v>
      </c>
      <c r="FB27" s="55">
        <f t="shared" si="63"/>
        <v>0</v>
      </c>
      <c r="FC27" s="137" t="e">
        <f>FC26+IF(AND(FB27&lt;&gt;"",COUNTIF(FB$4:FB27,FB27)=1),1,0)</f>
        <v>#N/A</v>
      </c>
      <c r="FD27" t="e">
        <f t="shared" si="64"/>
        <v>#N/A</v>
      </c>
      <c r="FE27" t="str">
        <f>IF('Final Calculation Sheet'!$AE$27="","",'Final Calculation Sheet'!$AE$27)</f>
        <v/>
      </c>
      <c r="FF27" t="str">
        <f>IF(FE27="","",COUNTIFS(FE$4:FE$40,"&lt;"&amp;FE27,FE$4:FE$40,"&lt;&gt;"&amp;"")+COUNTIF(FE$4:FE27,FE27))</f>
        <v/>
      </c>
      <c r="FG27" t="str">
        <f t="shared" si="65"/>
        <v>DR2640100035</v>
      </c>
      <c r="FH27" s="137" t="e">
        <f>FH26+IF(AND(FG27&lt;&gt;"",COUNTIF(FG$4:FG27,FG27)=1),1,0)</f>
        <v>#N/A</v>
      </c>
      <c r="FI27" t="e">
        <f t="shared" si="66"/>
        <v>#N/A</v>
      </c>
      <c r="FJ27" t="str">
        <f>IF('Final Calculation Sheet'!$AF$27="","",'Final Calculation Sheet'!$AF$27)</f>
        <v/>
      </c>
      <c r="FK27" t="str">
        <f>IF(FJ27="","",COUNTIFS(FJ$4:FJ$40,"&lt;"&amp;FJ27,FJ$4:FJ$40,"&lt;&gt;"&amp;"")+COUNTIF(FJ$4:FJ27,FJ27))</f>
        <v/>
      </c>
      <c r="FL27" s="141">
        <f t="shared" si="67"/>
        <v>1800003312</v>
      </c>
      <c r="FM27" s="137">
        <f>FM26+IF(AND(FL27&lt;&gt;"",COUNTIF(FL$4:FL27,FL27)=1),1,0)</f>
        <v>24</v>
      </c>
      <c r="FN27" t="e">
        <f t="shared" si="68"/>
        <v>#N/A</v>
      </c>
      <c r="FO27" t="str">
        <f>IF('Final Calculation Sheet'!$AG$27="","",'Final Calculation Sheet'!$AG$27)</f>
        <v/>
      </c>
      <c r="FP27" t="str">
        <f>IF(FO27="","",COUNTIFS(FO$4:FO$40,"&lt;"&amp;FO27,FO$4:FO$40,"&lt;&gt;"&amp;"")+COUNTIF(FO$4:FO27,FO27))</f>
        <v/>
      </c>
      <c r="FQ27" t="str">
        <f t="shared" si="69"/>
        <v>27.08.2026</v>
      </c>
      <c r="FR27" s="137" t="e">
        <f>FR26+IF(AND(FQ27&lt;&gt;"",COUNTIF(FQ$4:FQ27,FQ27)=1),1,0)</f>
        <v>#N/A</v>
      </c>
      <c r="FS27" t="e">
        <f t="shared" si="70"/>
        <v>#N/A</v>
      </c>
      <c r="FU27" t="str">
        <f>IF(FT27="","",COUNTIFS(FT$4:FT$40,"&lt;"&amp;FT27,FT$4:FT$40,"&lt;&gt;"&amp;"")+COUNTIF(FT$4:FT27,FT27))</f>
        <v/>
      </c>
      <c r="FV27" t="str">
        <f t="shared" si="71"/>
        <v/>
      </c>
      <c r="FW27" s="137">
        <f>FW26+IF(AND(FV27&lt;&gt;"",COUNTIF(FV$4:FV27,FV27)=1),1,0)</f>
        <v>2</v>
      </c>
      <c r="FX27" t="str">
        <f t="shared" si="72"/>
        <v/>
      </c>
    </row>
    <row r="28" spans="1:180" x14ac:dyDescent="0.25">
      <c r="A28">
        <f>IF('Final Calculation Sheet'!$F$28="","",'Final Calculation Sheet'!$F$28)</f>
        <v>2037</v>
      </c>
      <c r="B28" s="137">
        <f>IF(A28="","",COUNTIFS(A$4:A$114,"&lt;"&amp;A28,A$4:A$114,"&lt;&gt;"&amp;"")+COUNTIF(A$4:A28,A28))</f>
        <v>25</v>
      </c>
      <c r="C28" s="137">
        <f t="shared" si="0"/>
        <v>2037</v>
      </c>
      <c r="D28" s="137">
        <f>D27+IF(AND(C28&lt;&gt;"",COUNTIF(C$4:C28,C28)=1),1,0)</f>
        <v>25</v>
      </c>
      <c r="E28" t="e">
        <f t="shared" si="1"/>
        <v>#N/A</v>
      </c>
      <c r="F28">
        <f t="shared" si="2"/>
        <v>25</v>
      </c>
      <c r="G28" s="137">
        <f>IF(F28="","",COUNTIFS(F$4:F$40,"&lt;"&amp;F28,F$4:F$40,"&lt;&gt;"&amp;"")+COUNTIF(F$4:F28,F28))</f>
        <v>25</v>
      </c>
      <c r="H28" s="137">
        <f t="shared" si="3"/>
        <v>25</v>
      </c>
      <c r="I28" s="137">
        <f>I27+IF(AND(H28&lt;&gt;"",COUNTIF(H$4:H28,H28)=1),1,0)</f>
        <v>25</v>
      </c>
      <c r="J28">
        <f t="shared" si="4"/>
        <v>25</v>
      </c>
      <c r="K28">
        <f>IF('Final Calculation Sheet'!$F$28="","",'Final Calculation Sheet'!$F$28)</f>
        <v>2037</v>
      </c>
      <c r="L28" s="137">
        <f>IF(K28="","",COUNTIFS(K$4:K$40,"&lt;"&amp;K28,K$4:K$40,"&lt;&gt;"&amp;"")+COUNTIF(K$4:K28,K28))</f>
        <v>25</v>
      </c>
      <c r="M28" s="137">
        <f t="shared" si="5"/>
        <v>2037</v>
      </c>
      <c r="N28" s="137">
        <f>N27+IF(AND(M28&lt;&gt;"",COUNTIF(M$4:M28,M28)=1),1,0)</f>
        <v>25</v>
      </c>
      <c r="O28">
        <f t="shared" si="6"/>
        <v>2037</v>
      </c>
      <c r="P28" t="str">
        <f>IF('Final Calculation Sheet'!$G$28="","",'Final Calculation Sheet'!$G$28)</f>
        <v>WATAN SCRAP TRADERS</v>
      </c>
      <c r="Q28" s="137">
        <f>IF(P28="","",COUNTIFS(P$4:P$40,"&lt;"&amp;P28,P$4:P$40,"&lt;&gt;"&amp;"")+COUNTIF(P$4:P28,P28))</f>
        <v>36</v>
      </c>
      <c r="R28" t="str">
        <f t="shared" si="7"/>
        <v>SAHARA ENTERPRISES</v>
      </c>
      <c r="S28" s="137">
        <f>S27+IF(AND(R28&lt;&gt;"",COUNTIF(R$4:R28,R28)=1),1,0)</f>
        <v>10</v>
      </c>
      <c r="T28" t="str">
        <f t="shared" si="8"/>
        <v/>
      </c>
      <c r="U28" t="str">
        <f>IF('Final Calculation Sheet'!$B$28="","",'Final Calculation Sheet'!$B$28)</f>
        <v>Scrap of empty oil Barrels</v>
      </c>
      <c r="V28" s="137">
        <f>IF(U28="","",COUNTIFS(U$4:U$40,"&lt;"&amp;U28,U$4:U$40,"&lt;&gt;"&amp;"")+COUNTIF(U$4:U28,U28))</f>
        <v>29</v>
      </c>
      <c r="W28" t="str">
        <f t="shared" si="9"/>
        <v>Scrap of Copper of faulty AC compressor</v>
      </c>
      <c r="X28" s="137">
        <f>X27+IF(AND(W28&lt;&gt;"",COUNTIF(W$4:W28,W28)=1),1,0)</f>
        <v>18</v>
      </c>
      <c r="Y28" t="str">
        <f t="shared" si="10"/>
        <v>Scrap Power Transformer</v>
      </c>
      <c r="Z28">
        <f>IF('Final Calculation Sheet'!$D$28="","",'Final Calculation Sheet'!$D$28)</f>
        <v>21978</v>
      </c>
      <c r="AA28" s="137">
        <f>IF(Z28="","",COUNTIFS(Z$4:Z$40,"&lt;"&amp;Z28,Z$4:Z$40,"&lt;&gt;"&amp;"")+COUNTIF(Z$4:Z28,Z28))</f>
        <v>23</v>
      </c>
      <c r="AB28" s="137">
        <f t="shared" si="11"/>
        <v>21979</v>
      </c>
      <c r="AC28" s="137">
        <f>AC27+IF(AND(AB28&lt;&gt;"",COUNTIF(AB$4:AB28,AB28)=1),1,0)</f>
        <v>3</v>
      </c>
      <c r="AD28" t="str">
        <f t="shared" si="12"/>
        <v/>
      </c>
      <c r="AE28">
        <f>IF('Final Calculation Sheet'!$A$28="","",'Final Calculation Sheet'!$A$28)</f>
        <v>50</v>
      </c>
      <c r="AF28" s="137">
        <f>IF(AE28="","",COUNTIFS(AE$4:AE$40,"&lt;"&amp;AE28,AE$4:AE$40,"&lt;&gt;"&amp;"")+COUNTIF(AE$4:AE28,AE28))</f>
        <v>26</v>
      </c>
      <c r="AG28" s="137">
        <f t="shared" si="13"/>
        <v>30</v>
      </c>
      <c r="AH28" s="137">
        <f>AH27+IF(AND(AG28&lt;&gt;"",COUNTIF(AG$4:AG28,AG28)=1),1,0)</f>
        <v>10</v>
      </c>
      <c r="AI28" t="str">
        <f t="shared" si="14"/>
        <v/>
      </c>
      <c r="AJ28" t="str">
        <f>IF('Final Calculation Sheet'!$E$28="","",'Final Calculation Sheet'!$E$28)</f>
        <v>NO</v>
      </c>
      <c r="AK28" s="137">
        <f>IF(AJ28="","",COUNTIFS(AJ$4:AJ$40,"&lt;"&amp;AJ28,AJ$4:AJ$40,"&lt;&gt;"&amp;"")+COUNTIF(AJ$4:AJ28,AJ28))</f>
        <v>26</v>
      </c>
      <c r="AL28" t="str">
        <f t="shared" si="15"/>
        <v>NO</v>
      </c>
      <c r="AM28" s="137">
        <f>AM27+IF(AND(AL28&lt;&gt;"",COUNTIF(AL$4:AL28,AL28)=1),1,0)</f>
        <v>3</v>
      </c>
      <c r="AN28" t="str">
        <f t="shared" si="16"/>
        <v/>
      </c>
      <c r="AO28" s="55">
        <f>IF('Final Calculation Sheet'!$C$28="","",'Final Calculation Sheet'!$C$28)</f>
        <v>531</v>
      </c>
      <c r="AP28" s="137">
        <f>IF(AO28="","",COUNTIFS(AO$4:AO$40,"&lt;"&amp;AO28,AO$4:AO$40,"&lt;&gt;"&amp;"")+COUNTIF(AO$4:AO28,AO28))</f>
        <v>6</v>
      </c>
      <c r="AQ28" s="55">
        <f t="shared" si="17"/>
        <v>65007</v>
      </c>
      <c r="AR28" s="137">
        <f>AR27+IF(AND(AQ28&lt;&gt;"",COUNTIF(AQ$4:AQ28,AQ28)=1),1,0)</f>
        <v>23</v>
      </c>
      <c r="AS28" s="55">
        <f t="shared" si="18"/>
        <v>70001</v>
      </c>
      <c r="AT28" s="55">
        <f>IF('Final Calculation Sheet'!$H$28="","",'Final Calculation Sheet'!$H$28)</f>
        <v>26550</v>
      </c>
      <c r="AU28" s="137">
        <f>IF(AT28="","",COUNTIFS(AT$4:AT$40,"&lt;"&amp;AT28,AT$4:AT$40,"&lt;&gt;"&amp;"")+COUNTIF(AT$4:AT28,AT28))</f>
        <v>4</v>
      </c>
      <c r="AV28" s="55">
        <f t="shared" si="19"/>
        <v>210003</v>
      </c>
      <c r="AW28" s="137">
        <f>AW27+IF(AND(AV28&lt;&gt;"",COUNTIF(AV$4:AV28,AV28)=1),1,0)</f>
        <v>25</v>
      </c>
      <c r="AX28" s="55">
        <f t="shared" si="20"/>
        <v>210003</v>
      </c>
      <c r="AY28" s="55">
        <f>IF('Final Calculation Sheet'!$I$28="","",'Final Calculation Sheet'!$I$28)</f>
        <v>4779</v>
      </c>
      <c r="AZ28" s="137">
        <f>IF(AY28="","",COUNTIFS(AY$4:AY$40,"&lt;"&amp;AY28,AY$4:AY$40,"&lt;&gt;"&amp;"")+COUNTIF(AY$4:AY28,AY28))</f>
        <v>4</v>
      </c>
      <c r="BA28" s="55">
        <f t="shared" si="21"/>
        <v>37801</v>
      </c>
      <c r="BB28" s="137">
        <f>BB27+IF(AND(BA28&lt;&gt;"",COUNTIF(BA$4:BA28,BA28)=1),1,0)</f>
        <v>25</v>
      </c>
      <c r="BC28" s="55">
        <f t="shared" si="22"/>
        <v>37801</v>
      </c>
      <c r="BD28" s="55">
        <f>IF('Final Calculation Sheet'!$J$28="","",'Final Calculation Sheet'!$J$28)</f>
        <v>31329</v>
      </c>
      <c r="BE28" s="137">
        <f>IF(BD28="","",COUNTIFS(BD$4:BD$40,"&lt;"&amp;BD28,BD$4:BD$40,"&lt;&gt;"&amp;"")+COUNTIF(BD$4:BD28,BD28))</f>
        <v>4</v>
      </c>
      <c r="BF28" s="55">
        <f t="shared" si="23"/>
        <v>247804</v>
      </c>
      <c r="BG28" s="137">
        <f>BG27+IF(AND(BF28&lt;&gt;"",COUNTIF(BF$4:BF28,BF28)=1),1,0)</f>
        <v>25</v>
      </c>
      <c r="BH28" s="55">
        <f t="shared" si="24"/>
        <v>247804</v>
      </c>
      <c r="BI28" s="55">
        <f>IF('Final Calculation Sheet'!$K$28="","",'Final Calculation Sheet'!$K$28)</f>
        <v>627</v>
      </c>
      <c r="BJ28" s="137">
        <f>IF(BI28="","",COUNTIFS(BI$4:BI$40,"&lt;"&amp;BI28,BI$4:BI$40,"&lt;&gt;"&amp;"")+COUNTIF(BI$4:BI28,BI28))</f>
        <v>4</v>
      </c>
      <c r="BK28" s="55">
        <f t="shared" si="25"/>
        <v>4956</v>
      </c>
      <c r="BL28" s="137">
        <f>BL27+IF(AND(BK28&lt;&gt;"",COUNTIF(BK$4:BK28,BK28)=1),1,0)</f>
        <v>24</v>
      </c>
      <c r="BM28" s="55">
        <f t="shared" si="26"/>
        <v>5192</v>
      </c>
      <c r="BN28" s="55">
        <f>IF('Final Calculation Sheet'!$L$28="","",'Final Calculation Sheet'!$L$28)</f>
        <v>26.55</v>
      </c>
      <c r="BO28" s="137">
        <f>IF(BN28="","",COUNTIFS(BN$4:BN$40,"&lt;"&amp;BN28,BN$4:BN$40,"&lt;&gt;"&amp;"")+COUNTIF(BN$4:BN28,BN28))</f>
        <v>4</v>
      </c>
      <c r="BP28" s="55">
        <f t="shared" si="27"/>
        <v>210.00300000000001</v>
      </c>
      <c r="BQ28" s="137">
        <f>BQ27+IF(AND(BP28&lt;&gt;"",COUNTIF(BP$4:BP28,BP28)=1),1,0)</f>
        <v>25</v>
      </c>
      <c r="BR28" s="55">
        <f t="shared" si="28"/>
        <v>210.00300000000001</v>
      </c>
      <c r="BS28" s="55">
        <f>IF('Final Calculation Sheet'!$M$28="","",'Final Calculation Sheet'!$M$28)</f>
        <v>704.90249999999992</v>
      </c>
      <c r="BT28" s="137">
        <f>IF(BS28="","",COUNTIFS(BS$4:BS$40,"&lt;"&amp;BS28,BS$4:BS$40,"&lt;&gt;"&amp;"")+COUNTIF(BS$4:BS28,BS28))</f>
        <v>4</v>
      </c>
      <c r="BU28" s="55">
        <f t="shared" si="29"/>
        <v>5575.5796499999997</v>
      </c>
      <c r="BV28" s="137">
        <f>BV27+IF(AND(BU28&lt;&gt;"",COUNTIF(BU$4:BU28,BU28)=1),1,0)</f>
        <v>25</v>
      </c>
      <c r="BW28" s="55">
        <f t="shared" si="30"/>
        <v>5575.5796499999997</v>
      </c>
      <c r="BX28" s="138">
        <f>IF('Final Calculation Sheet'!$N$28="","",'Final Calculation Sheet'!$N$28)</f>
        <v>11.9475</v>
      </c>
      <c r="BY28" s="137">
        <f>IF(BX28="","",COUNTIFS(BX$4:BX$40,"&lt;"&amp;BX28,BX$4:BX$40,"&lt;&gt;"&amp;"")+COUNTIF(BX$4:BX28,BX28))</f>
        <v>4</v>
      </c>
      <c r="BZ28" s="138">
        <f t="shared" si="31"/>
        <v>94.501350000000002</v>
      </c>
      <c r="CA28" s="137">
        <f>CA27+IF(AND(BZ28&lt;&gt;"",COUNTIF(BZ$4:BZ28,BZ28)=1),1,0)</f>
        <v>25</v>
      </c>
      <c r="CB28" s="138">
        <f t="shared" si="32"/>
        <v>94.501350000000002</v>
      </c>
      <c r="CC28" s="55">
        <f>IF('Final Calculation Sheet'!$O$28="","",'Final Calculation Sheet'!$O$28)</f>
        <v>692.95499999999993</v>
      </c>
      <c r="CD28" s="137">
        <f>IF(CC28="","",COUNTIFS(CC$4:CC$40,"&lt;"&amp;CC28,CC$4:CC$40,"&lt;&gt;"&amp;"")+COUNTIF(CC$4:CC28,CC28))</f>
        <v>4</v>
      </c>
      <c r="CE28" s="55">
        <f t="shared" si="33"/>
        <v>5481.0782999999992</v>
      </c>
      <c r="CF28" s="137">
        <f>CF27+IF(AND(CE28&lt;&gt;"",COUNTIF(CE$4:CE28,CE28)=1),1,0)</f>
        <v>25</v>
      </c>
      <c r="CG28" s="55">
        <f t="shared" si="34"/>
        <v>5481.0782999999992</v>
      </c>
      <c r="CH28" s="55">
        <f>IF('Final Calculation Sheet'!$P$28="","",'Final Calculation Sheet'!$P$28)</f>
        <v>720</v>
      </c>
      <c r="CI28" s="137">
        <f>IF(CH28="","",COUNTIFS(CH$4:CH$40,"&lt;"&amp;CH28,CH$4:CH$40,"&lt;&gt;"&amp;"")+COUNTIF(CH$4:CH28,CH28))</f>
        <v>4</v>
      </c>
      <c r="CJ28" s="55">
        <f t="shared" si="35"/>
        <v>5691</v>
      </c>
      <c r="CK28" s="137">
        <f>CK27+IF(AND(CJ28&lt;&gt;"",COUNTIF(CJ$4:CJ28,CJ28)=1),1,0)</f>
        <v>24</v>
      </c>
      <c r="CL28" s="55">
        <f t="shared" si="36"/>
        <v>5962</v>
      </c>
      <c r="CM28" s="139">
        <f>IF('Final Calculation Sheet'!$Q$28="","",'Final Calculation Sheet'!$Q$28)</f>
        <v>0</v>
      </c>
      <c r="CN28" s="137">
        <f>IF(CM28="","",COUNTIFS(CM$4:CM$40,"&lt;"&amp;CM28,CM$4:CM$40,"&lt;&gt;"&amp;"")+COUNTIF(CM$4:CM28,CM28))</f>
        <v>21</v>
      </c>
      <c r="CO28" s="139">
        <f t="shared" si="37"/>
        <v>0</v>
      </c>
      <c r="CP28" s="137">
        <f>CP27+IF(AND(CO28&lt;&gt;"",COUNTIF(CO$4:CO28,CO28)=1),1,0)</f>
        <v>1</v>
      </c>
      <c r="CQ28" t="str">
        <f t="shared" si="38"/>
        <v/>
      </c>
      <c r="CR28" s="55">
        <f>IF('Final Calculation Sheet'!$R$28="","",'Final Calculation Sheet'!$R$28)</f>
        <v>0</v>
      </c>
      <c r="CS28" s="137">
        <f>IF(CR28="","",COUNTIFS(CR$4:CR$40,"&lt;"&amp;CR28,CR$4:CR$40,"&lt;&gt;"&amp;"")+COUNTIF(CR$4:CR28,CR28))</f>
        <v>21</v>
      </c>
      <c r="CT28" s="55">
        <f t="shared" si="39"/>
        <v>0</v>
      </c>
      <c r="CU28" s="137">
        <f>CU27+IF(AND(CT28&lt;&gt;"",COUNTIF(CT$4:CT28,CT28)=1),1,0)</f>
        <v>1</v>
      </c>
      <c r="CV28" t="str">
        <f t="shared" si="40"/>
        <v/>
      </c>
      <c r="CW28" s="55">
        <f>IF('Final Calculation Sheet'!$S$28="","",'Final Calculation Sheet'!$S$28)</f>
        <v>31236</v>
      </c>
      <c r="CX28" s="137">
        <f>IF(CW28="","",COUNTIFS(CW$4:CW$40,"&lt;"&amp;CW28,CW$4:CW$40,"&lt;&gt;"&amp;"")+COUNTIF(CW$4:CW28,CW28))</f>
        <v>4</v>
      </c>
      <c r="CY28" s="55">
        <f t="shared" si="41"/>
        <v>247069</v>
      </c>
      <c r="CZ28" s="137">
        <f>CZ27+IF(AND(CY28&lt;&gt;"",COUNTIF(CY$4:CY28,CY28)=1),1,0)</f>
        <v>25</v>
      </c>
      <c r="DA28" s="55">
        <f t="shared" si="42"/>
        <v>247069</v>
      </c>
      <c r="DB28" s="55">
        <f>IF('Final Calculation Sheet'!$T$28="","",'Final Calculation Sheet'!$T$28)</f>
        <v>6638</v>
      </c>
      <c r="DC28" s="137">
        <f>IF(DB28="","",COUNTIFS(DB$4:DB$40,"&lt;"&amp;DB28,DB$4:DB$40,"&lt;&gt;"&amp;"")+COUNTIF(DB$4:DB28,DB28))</f>
        <v>4</v>
      </c>
      <c r="DD28" s="55">
        <f t="shared" si="43"/>
        <v>52501</v>
      </c>
      <c r="DE28" s="137">
        <f>DE27+IF(AND(DD28&lt;&gt;"",COUNTIF(DD$4:DD28,DD28)=1),1,0)</f>
        <v>25</v>
      </c>
      <c r="DF28" s="55">
        <f t="shared" si="44"/>
        <v>52501</v>
      </c>
      <c r="DG28" s="140">
        <f>IF('Final Calculation Sheet'!$U$28="","",'Final Calculation Sheet'!$U$28)</f>
        <v>6638</v>
      </c>
      <c r="DH28" s="137">
        <f>IF(DG28="","",COUNTIFS(DG$4:DG$40,"&lt;"&amp;DG28,DG$4:DG$40,"&lt;&gt;"&amp;"")+COUNTIF(DG$4:DG28,DG28))</f>
        <v>4</v>
      </c>
      <c r="DI28" s="140">
        <f t="shared" si="45"/>
        <v>52501</v>
      </c>
      <c r="DJ28" s="137">
        <f>DJ27+IF(AND(DI28&lt;&gt;"",COUNTIF(DI$4:DI28,DI28)=1),1,0)</f>
        <v>25</v>
      </c>
      <c r="DK28" s="140">
        <f t="shared" si="46"/>
        <v>52501</v>
      </c>
      <c r="DL28" t="str">
        <f>IF('Final Calculation Sheet'!$V$28="","",'Final Calculation Sheet'!$V$28)</f>
        <v>14.08.2026</v>
      </c>
      <c r="DM28" s="137">
        <f>IF(DL28="","",COUNTIFS(DL$4:DL$40,"&lt;"&amp;DL28,DL$4:DL$40,"&lt;&gt;"&amp;"")+COUNTIF(DL$4:DL28,DL28))</f>
        <v>32</v>
      </c>
      <c r="DN28" t="str">
        <f t="shared" si="47"/>
        <v>13.08.2026</v>
      </c>
      <c r="DO28" s="137">
        <f>DO27+IF(AND(DN28&lt;&gt;"",COUNTIF(DN$4:DN28,DN28)=1),1,0)</f>
        <v>3</v>
      </c>
      <c r="DP28" t="str">
        <f t="shared" si="48"/>
        <v/>
      </c>
      <c r="DQ28" s="55">
        <f>IF('Final Calculation Sheet'!$W$28="","",'Final Calculation Sheet'!$W$28)</f>
        <v>24599</v>
      </c>
      <c r="DR28" s="137">
        <f>IF(DQ28="","",COUNTIFS(DQ$4:DQ$40,"&lt;"&amp;DQ28,DQ$4:DQ$40,"&lt;&gt;"&amp;"")+COUNTIF(DQ$4:DQ28,DQ28))</f>
        <v>4</v>
      </c>
      <c r="DS28" s="55">
        <f t="shared" si="49"/>
        <v>194568</v>
      </c>
      <c r="DT28" s="137">
        <f>DT27+IF(AND(DS28&lt;&gt;"",COUNTIF(DS$4:DS28,DS28)=1),1,0)</f>
        <v>25</v>
      </c>
      <c r="DU28" s="55">
        <f t="shared" si="50"/>
        <v>194568</v>
      </c>
      <c r="DV28" s="55">
        <f>IF('Final Calculation Sheet'!$X$28="","",'Final Calculation Sheet'!$X$28)</f>
        <v>24598</v>
      </c>
      <c r="DW28" s="137">
        <f>IF(DV28="","",COUNTIFS(DV$4:DV$40,"&lt;"&amp;DV28,DV$4:DV$40,"&lt;&gt;"&amp;"")+COUNTIF(DV$4:DV28,DV28))</f>
        <v>4</v>
      </c>
      <c r="DX28" s="55">
        <f t="shared" si="51"/>
        <v>203831</v>
      </c>
      <c r="DY28" s="137">
        <f>DY27+IF(AND(DX28&lt;&gt;"",COUNTIF(DX$4:DX28,DX28)=1),1,0)</f>
        <v>25</v>
      </c>
      <c r="DZ28" t="e">
        <f t="shared" si="52"/>
        <v>#N/A</v>
      </c>
      <c r="EA28" t="str">
        <f>IF('Final Calculation Sheet'!$Y$28="","",'Final Calculation Sheet'!$Y$28)</f>
        <v>21.08.2026</v>
      </c>
      <c r="EB28" s="137">
        <f>IF(EA28="","",COUNTIFS(EA$4:EA$40,"&lt;"&amp;EA28,EA$4:EA$40,"&lt;&gt;"&amp;"")+COUNTIF(EA$4:EA28,EA28))</f>
        <v>19</v>
      </c>
      <c r="EC28" t="str">
        <f t="shared" si="53"/>
        <v>24.08.2026</v>
      </c>
      <c r="ED28" s="137">
        <f>ED27+IF(AND(EC28&lt;&gt;"",COUNTIF(EC$4:EC28,EC28)=1),1,0)</f>
        <v>9</v>
      </c>
      <c r="EE28" t="e">
        <f t="shared" si="54"/>
        <v>#N/A</v>
      </c>
      <c r="EF28" s="55">
        <f ca="1">IF('Final Calculation Sheet'!$Z$28="","",'Final Calculation Sheet'!$Z$28)</f>
        <v>0</v>
      </c>
      <c r="EG28" s="137">
        <f ca="1">IF(EF28="","",COUNTIFS(EF$4:EF$40,"&lt;"&amp;EF28,EF$4:EF$40,"&lt;&gt;"&amp;"")+COUNTIF(EF$4:EF28,EF28))</f>
        <v>24</v>
      </c>
      <c r="EH28" s="55">
        <f t="shared" ca="1" si="55"/>
        <v>0</v>
      </c>
      <c r="EI28" s="137">
        <f ca="1">EI27+IF(AND(EH28&lt;&gt;"",COUNTIF(EH$4:EH28,EH28)=1),1,0)</f>
        <v>1</v>
      </c>
      <c r="EJ28" t="str">
        <f t="shared" ca="1" si="56"/>
        <v/>
      </c>
      <c r="EK28" t="str">
        <f>IF('Final Calculation Sheet'!$AA$28="","",'Final Calculation Sheet'!$AA$28)</f>
        <v/>
      </c>
      <c r="EL28" t="str">
        <f>IF(EK28="","",COUNTIFS(EK$4:EK$40,"&lt;"&amp;EK28,EK$4:EK$40,"&lt;&gt;"&amp;"")+COUNTIF(EK$4:EK28,EK28))</f>
        <v/>
      </c>
      <c r="EM28" s="137" t="e">
        <f t="shared" si="57"/>
        <v>#N/A</v>
      </c>
      <c r="EN28" s="137" t="e">
        <f>EN27+IF(AND(EM28&lt;&gt;"",COUNTIF(EM$4:EM28,EM28)=1),1,0)</f>
        <v>#N/A</v>
      </c>
      <c r="EO28" t="e">
        <f t="shared" si="58"/>
        <v>#N/A</v>
      </c>
      <c r="EP28" t="str">
        <f>IF('Final Calculation Sheet'!$AB$28="","",'Final Calculation Sheet'!$AB$28)</f>
        <v/>
      </c>
      <c r="EQ28" t="str">
        <f>IF(EP28="","",COUNTIFS(EP$4:EP$40,"&lt;"&amp;EP28,EP$4:EP$40,"&lt;&gt;"&amp;"")+COUNTIF(EP$4:EP28,EP28))</f>
        <v/>
      </c>
      <c r="ER28" s="137" t="e">
        <f t="shared" si="59"/>
        <v>#N/A</v>
      </c>
      <c r="ES28" s="137" t="e">
        <f>ES27+IF(AND(ER28&lt;&gt;"",COUNTIF(ER$4:ER28,ER28)=1),1,0)</f>
        <v>#N/A</v>
      </c>
      <c r="ET28" t="e">
        <f t="shared" si="60"/>
        <v>#N/A</v>
      </c>
      <c r="EU28" s="55">
        <f>IF('Final Calculation Sheet'!$AC$28="","",'Final Calculation Sheet'!$AC$28)</f>
        <v>31236</v>
      </c>
      <c r="EV28" s="137">
        <f>IF(EU28="","",COUNTIFS(EU$4:EU$40,"&lt;"&amp;EU28,EU$4:EU$40,"&lt;&gt;"&amp;"")+COUNTIF(EU$4:EU28,EU28))</f>
        <v>5</v>
      </c>
      <c r="EW28" s="55">
        <f t="shared" si="61"/>
        <v>243570</v>
      </c>
      <c r="EX28" s="137">
        <f>EX27+IF(AND(EW28&lt;&gt;"",COUNTIF(EW$4:EW28,EW28)=1),1,0)</f>
        <v>25</v>
      </c>
      <c r="EY28" s="55">
        <f t="shared" si="62"/>
        <v>243570</v>
      </c>
      <c r="EZ28" s="55">
        <f>IF('Final Calculation Sheet'!$AD$28="","",'Final Calculation Sheet'!$AD$28)</f>
        <v>0</v>
      </c>
      <c r="FA28" s="137">
        <f>IF(EZ28="","",COUNTIFS(EZ$4:EZ$40,"&lt;"&amp;EZ28,EZ$4:EZ$40,"&lt;&gt;"&amp;"")+COUNTIF(EZ$4:EZ28,EZ28))</f>
        <v>23</v>
      </c>
      <c r="FB28" s="55">
        <f t="shared" si="63"/>
        <v>0</v>
      </c>
      <c r="FC28" s="137" t="e">
        <f>FC27+IF(AND(FB28&lt;&gt;"",COUNTIF(FB$4:FB28,FB28)=1),1,0)</f>
        <v>#N/A</v>
      </c>
      <c r="FD28" t="e">
        <f t="shared" si="64"/>
        <v>#N/A</v>
      </c>
      <c r="FE28" t="str">
        <f>IF('Final Calculation Sheet'!$AE$28="","",'Final Calculation Sheet'!$AE$28)</f>
        <v>DR2640100043</v>
      </c>
      <c r="FF28" s="137">
        <f>IF(FE28="","",COUNTIFS(FE$4:FE$40,"&lt;"&amp;FE28,FE$4:FE$40,"&lt;&gt;"&amp;"")+COUNTIF(FE$4:FE28,FE28))</f>
        <v>32</v>
      </c>
      <c r="FG28" t="str">
        <f t="shared" si="65"/>
        <v>DR2640100036</v>
      </c>
      <c r="FH28" s="137" t="e">
        <f>FH27+IF(AND(FG28&lt;&gt;"",COUNTIF(FG$4:FG28,FG28)=1),1,0)</f>
        <v>#N/A</v>
      </c>
      <c r="FI28" t="e">
        <f t="shared" si="66"/>
        <v>#N/A</v>
      </c>
      <c r="FJ28" s="141">
        <f>IF('Final Calculation Sheet'!$AF$28="","",'Final Calculation Sheet'!$AF$28)</f>
        <v>1800003318</v>
      </c>
      <c r="FK28" s="137">
        <f>IF(FJ28="","",COUNTIFS(FJ$4:FJ$40,"&lt;"&amp;FJ28,FJ$4:FJ$40,"&lt;&gt;"&amp;"")+COUNTIF(FJ$4:FJ28,FJ28))</f>
        <v>30</v>
      </c>
      <c r="FL28" s="141">
        <f t="shared" si="67"/>
        <v>1800003313</v>
      </c>
      <c r="FM28" s="137">
        <f>FM27+IF(AND(FL28&lt;&gt;"",COUNTIF(FL$4:FL28,FL28)=1),1,0)</f>
        <v>25</v>
      </c>
      <c r="FN28" t="e">
        <f t="shared" si="68"/>
        <v>#N/A</v>
      </c>
      <c r="FO28" t="str">
        <f>IF('Final Calculation Sheet'!$AG$28="","",'Final Calculation Sheet'!$AG$28)</f>
        <v>27.08.2026</v>
      </c>
      <c r="FP28" s="137">
        <f>IF(FO28="","",COUNTIFS(FO$4:FO$40,"&lt;"&amp;FO28,FO$4:FO$40,"&lt;&gt;"&amp;"")+COUNTIF(FO$4:FO28,FO28))</f>
        <v>32</v>
      </c>
      <c r="FQ28" t="str">
        <f t="shared" si="69"/>
        <v>27.08.2026</v>
      </c>
      <c r="FR28" s="137" t="e">
        <f>FR27+IF(AND(FQ28&lt;&gt;"",COUNTIF(FQ$4:FQ28,FQ28)=1),1,0)</f>
        <v>#N/A</v>
      </c>
      <c r="FS28" t="e">
        <f t="shared" si="70"/>
        <v>#N/A</v>
      </c>
      <c r="FU28" t="str">
        <f>IF(FT28="","",COUNTIFS(FT$4:FT$40,"&lt;"&amp;FT28,FT$4:FT$40,"&lt;&gt;"&amp;"")+COUNTIF(FT$4:FT28,FT28))</f>
        <v/>
      </c>
      <c r="FV28" t="str">
        <f t="shared" si="71"/>
        <v/>
      </c>
      <c r="FW28" s="137">
        <f>FW27+IF(AND(FV28&lt;&gt;"",COUNTIF(FV$4:FV28,FV28)=1),1,0)</f>
        <v>2</v>
      </c>
      <c r="FX28" t="str">
        <f t="shared" si="72"/>
        <v/>
      </c>
    </row>
    <row r="29" spans="1:180" x14ac:dyDescent="0.25">
      <c r="A29">
        <f>IF('Final Calculation Sheet'!$F$29="","",'Final Calculation Sheet'!$F$29)</f>
        <v>2040</v>
      </c>
      <c r="B29" s="137">
        <f>IF(A29="","",COUNTIFS(A$4:A$114,"&lt;"&amp;A29,A$4:A$114,"&lt;&gt;"&amp;"")+COUNTIF(A$4:A29,A29))</f>
        <v>26</v>
      </c>
      <c r="C29" s="137">
        <f t="shared" si="0"/>
        <v>2040</v>
      </c>
      <c r="D29" s="137">
        <f>D28+IF(AND(C29&lt;&gt;"",COUNTIF(C$4:C29,C29)=1),1,0)</f>
        <v>26</v>
      </c>
      <c r="E29" t="e">
        <f t="shared" si="1"/>
        <v>#N/A</v>
      </c>
      <c r="F29">
        <f t="shared" si="2"/>
        <v>26</v>
      </c>
      <c r="G29" s="137">
        <f>IF(F29="","",COUNTIFS(F$4:F$40,"&lt;"&amp;F29,F$4:F$40,"&lt;&gt;"&amp;"")+COUNTIF(F$4:F29,F29))</f>
        <v>26</v>
      </c>
      <c r="H29" s="137">
        <f t="shared" si="3"/>
        <v>26</v>
      </c>
      <c r="I29" s="137">
        <f>I28+IF(AND(H29&lt;&gt;"",COUNTIF(H$4:H29,H29)=1),1,0)</f>
        <v>26</v>
      </c>
      <c r="J29">
        <f t="shared" si="4"/>
        <v>26</v>
      </c>
      <c r="K29">
        <f>IF('Final Calculation Sheet'!$F$29="","",'Final Calculation Sheet'!$F$29)</f>
        <v>2040</v>
      </c>
      <c r="L29" s="137">
        <f>IF(K29="","",COUNTIFS(K$4:K$40,"&lt;"&amp;K29,K$4:K$40,"&lt;&gt;"&amp;"")+COUNTIF(K$4:K29,K29))</f>
        <v>26</v>
      </c>
      <c r="M29" s="137">
        <f t="shared" si="5"/>
        <v>2040</v>
      </c>
      <c r="N29" s="137">
        <f>N28+IF(AND(M29&lt;&gt;"",COUNTIF(M$4:M29,M29)=1),1,0)</f>
        <v>26</v>
      </c>
      <c r="O29">
        <f t="shared" si="6"/>
        <v>2040</v>
      </c>
      <c r="P29" t="str">
        <f>IF('Final Calculation Sheet'!$G$29="","",'Final Calculation Sheet'!$G$29)</f>
        <v>STERLING ENTERPRISES</v>
      </c>
      <c r="Q29" s="137">
        <f>IF(P29="","",COUNTIFS(P$4:P$40,"&lt;"&amp;P29,P$4:P$40,"&lt;&gt;"&amp;"")+COUNTIF(P$4:P29,P29))</f>
        <v>32</v>
      </c>
      <c r="R29" t="str">
        <f t="shared" si="7"/>
        <v>SHAR JAHAN TRADERS</v>
      </c>
      <c r="S29" s="137">
        <f>S28+IF(AND(R29&lt;&gt;"",COUNTIF(R$4:R29,R29)=1),1,0)</f>
        <v>11</v>
      </c>
      <c r="T29" t="str">
        <f t="shared" si="8"/>
        <v/>
      </c>
      <c r="U29" t="str">
        <f>IF('Final Calculation Sheet'!$B$29="","",'Final Calculation Sheet'!$B$29)</f>
        <v>Scrap of 33 KV CT</v>
      </c>
      <c r="V29" s="137">
        <f>IF(U29="","",COUNTIFS(U$4:U$40,"&lt;"&amp;U29,U$4:U$40,"&lt;&gt;"&amp;"")+COUNTIF(U$4:U29,U29))</f>
        <v>20</v>
      </c>
      <c r="W29" t="str">
        <f t="shared" si="9"/>
        <v>Scrap of empty oil Barrel</v>
      </c>
      <c r="X29" s="137">
        <f>X28+IF(AND(W29&lt;&gt;"",COUNTIF(W$4:W29,W29)=1),1,0)</f>
        <v>19</v>
      </c>
      <c r="Y29" t="str">
        <f t="shared" si="10"/>
        <v/>
      </c>
      <c r="Z29">
        <f>IF('Final Calculation Sheet'!$D$29="","",'Final Calculation Sheet'!$D$29)</f>
        <v>21978</v>
      </c>
      <c r="AA29" s="137">
        <f>IF(Z29="","",COUNTIFS(Z$4:Z$40,"&lt;"&amp;Z29,Z$4:Z$40,"&lt;&gt;"&amp;"")+COUNTIF(Z$4:Z29,Z29))</f>
        <v>24</v>
      </c>
      <c r="AB29" s="137">
        <f t="shared" si="11"/>
        <v>21979</v>
      </c>
      <c r="AC29" s="137">
        <f>AC28+IF(AND(AB29&lt;&gt;"",COUNTIF(AB$4:AB29,AB29)=1),1,0)</f>
        <v>3</v>
      </c>
      <c r="AD29" t="str">
        <f t="shared" si="12"/>
        <v/>
      </c>
      <c r="AE29">
        <f>IF('Final Calculation Sheet'!$A$29="","",'Final Calculation Sheet'!$A$29)</f>
        <v>3</v>
      </c>
      <c r="AF29" s="137">
        <f>IF(AE29="","",COUNTIFS(AE$4:AE$40,"&lt;"&amp;AE29,AE$4:AE$40,"&lt;&gt;"&amp;"")+COUNTIF(AE$4:AE29,AE29))</f>
        <v>15</v>
      </c>
      <c r="AG29" s="137">
        <f t="shared" si="13"/>
        <v>50</v>
      </c>
      <c r="AH29" s="137">
        <f>AH28+IF(AND(AG29&lt;&gt;"",COUNTIF(AG$4:AG29,AG29)=1),1,0)</f>
        <v>11</v>
      </c>
      <c r="AI29" t="str">
        <f t="shared" si="14"/>
        <v/>
      </c>
      <c r="AJ29" t="str">
        <f>IF('Final Calculation Sheet'!$E$29="","",'Final Calculation Sheet'!$E$29)</f>
        <v>NO</v>
      </c>
      <c r="AK29" s="137">
        <f>IF(AJ29="","",COUNTIFS(AJ$4:AJ$40,"&lt;"&amp;AJ29,AJ$4:AJ$40,"&lt;&gt;"&amp;"")+COUNTIF(AJ$4:AJ29,AJ29))</f>
        <v>27</v>
      </c>
      <c r="AL29" t="str">
        <f t="shared" si="15"/>
        <v>NO</v>
      </c>
      <c r="AM29" s="137">
        <f>AM28+IF(AND(AL29&lt;&gt;"",COUNTIF(AL$4:AL29,AL29)=1),1,0)</f>
        <v>3</v>
      </c>
      <c r="AN29" t="str">
        <f t="shared" si="16"/>
        <v/>
      </c>
      <c r="AO29" s="55">
        <f>IF('Final Calculation Sheet'!$C$29="","",'Final Calculation Sheet'!$C$29)</f>
        <v>90002</v>
      </c>
      <c r="AP29" s="137">
        <f>IF(AO29="","",COUNTIFS(AO$4:AO$40,"&lt;"&amp;AO29,AO$4:AO$40,"&lt;&gt;"&amp;"")+COUNTIF(AO$4:AO29,AO29))</f>
        <v>32</v>
      </c>
      <c r="AQ29" s="55">
        <f t="shared" si="17"/>
        <v>67000</v>
      </c>
      <c r="AR29" s="137">
        <f>AR28+IF(AND(AQ29&lt;&gt;"",COUNTIF(AQ$4:AQ29,AQ29)=1),1,0)</f>
        <v>24</v>
      </c>
      <c r="AS29" s="55">
        <f t="shared" si="18"/>
        <v>70006</v>
      </c>
      <c r="AT29" s="55">
        <f>IF('Final Calculation Sheet'!$H$29="","",'Final Calculation Sheet'!$H$29)</f>
        <v>270006</v>
      </c>
      <c r="AU29" s="137">
        <f>IF(AT29="","",COUNTIFS(AT$4:AT$40,"&lt;"&amp;AT29,AT$4:AT$40,"&lt;&gt;"&amp;"")+COUNTIF(AT$4:AT29,AT29))</f>
        <v>28</v>
      </c>
      <c r="AV29" s="55">
        <f t="shared" si="19"/>
        <v>220001</v>
      </c>
      <c r="AW29" s="137">
        <f>AW28+IF(AND(AV29&lt;&gt;"",COUNTIF(AV$4:AV29,AV29)=1),1,0)</f>
        <v>26</v>
      </c>
      <c r="AX29" s="55">
        <f t="shared" si="20"/>
        <v>220001</v>
      </c>
      <c r="AY29" s="55">
        <f>IF('Final Calculation Sheet'!$I$29="","",'Final Calculation Sheet'!$I$29)</f>
        <v>48601</v>
      </c>
      <c r="AZ29" s="137">
        <f>IF(AY29="","",COUNTIFS(AY$4:AY$40,"&lt;"&amp;AY29,AY$4:AY$40,"&lt;&gt;"&amp;"")+COUNTIF(AY$4:AY29,AY29))</f>
        <v>28</v>
      </c>
      <c r="BA29" s="55">
        <f t="shared" si="21"/>
        <v>39600</v>
      </c>
      <c r="BB29" s="137">
        <f>BB28+IF(AND(BA29&lt;&gt;"",COUNTIF(BA$4:BA29,BA29)=1),1,0)</f>
        <v>26</v>
      </c>
      <c r="BC29" s="55">
        <f t="shared" si="22"/>
        <v>39600</v>
      </c>
      <c r="BD29" s="55">
        <f>IF('Final Calculation Sheet'!$J$29="","",'Final Calculation Sheet'!$J$29)</f>
        <v>318607</v>
      </c>
      <c r="BE29" s="137">
        <f>IF(BD29="","",COUNTIFS(BD$4:BD$40,"&lt;"&amp;BD29,BD$4:BD$40,"&lt;&gt;"&amp;"")+COUNTIF(BD$4:BD29,BD29))</f>
        <v>28</v>
      </c>
      <c r="BF29" s="55">
        <f t="shared" si="23"/>
        <v>259601</v>
      </c>
      <c r="BG29" s="137">
        <f>BG28+IF(AND(BF29&lt;&gt;"",COUNTIF(BF$4:BF29,BF29)=1),1,0)</f>
        <v>26</v>
      </c>
      <c r="BH29" s="55">
        <f t="shared" si="24"/>
        <v>259601</v>
      </c>
      <c r="BI29" s="55">
        <f>IF('Final Calculation Sheet'!$K$29="","",'Final Calculation Sheet'!$K$29)</f>
        <v>6372</v>
      </c>
      <c r="BJ29" s="137">
        <f>IF(BI29="","",COUNTIFS(BI$4:BI$40,"&lt;"&amp;BI29,BI$4:BI$40,"&lt;&gt;"&amp;"")+COUNTIF(BI$4:BI29,BI29))</f>
        <v>28</v>
      </c>
      <c r="BK29" s="55">
        <f t="shared" si="25"/>
        <v>5192</v>
      </c>
      <c r="BL29" s="137">
        <f>BL28+IF(AND(BK29&lt;&gt;"",COUNTIF(BK$4:BK29,BK29)=1),1,0)</f>
        <v>25</v>
      </c>
      <c r="BM29" s="55">
        <f t="shared" si="26"/>
        <v>5929</v>
      </c>
      <c r="BN29" s="55">
        <f>IF('Final Calculation Sheet'!$L$29="","",'Final Calculation Sheet'!$L$29)</f>
        <v>270.00600000000003</v>
      </c>
      <c r="BO29" s="137">
        <f>IF(BN29="","",COUNTIFS(BN$4:BN$40,"&lt;"&amp;BN29,BN$4:BN$40,"&lt;&gt;"&amp;"")+COUNTIF(BN$4:BN29,BN29))</f>
        <v>28</v>
      </c>
      <c r="BP29" s="55">
        <f t="shared" si="27"/>
        <v>220.001</v>
      </c>
      <c r="BQ29" s="137">
        <f>BQ28+IF(AND(BP29&lt;&gt;"",COUNTIF(BP$4:BP29,BP29)=1),1,0)</f>
        <v>26</v>
      </c>
      <c r="BR29" s="55">
        <f t="shared" si="28"/>
        <v>220.001</v>
      </c>
      <c r="BS29" s="55">
        <f>IF('Final Calculation Sheet'!$M$29="","",'Final Calculation Sheet'!$M$29)</f>
        <v>7168.6593000000003</v>
      </c>
      <c r="BT29" s="137">
        <f>IF(BS29="","",COUNTIFS(BS$4:BS$40,"&lt;"&amp;BS29,BS$4:BS$40,"&lt;&gt;"&amp;"")+COUNTIF(BS$4:BS29,BS29))</f>
        <v>28</v>
      </c>
      <c r="BU29" s="55">
        <f t="shared" si="29"/>
        <v>5841.0265499999996</v>
      </c>
      <c r="BV29" s="137">
        <f>BV28+IF(AND(BU29&lt;&gt;"",COUNTIF(BU$4:BU29,BU29)=1),1,0)</f>
        <v>26</v>
      </c>
      <c r="BW29" s="55">
        <f t="shared" si="30"/>
        <v>5841.0265499999996</v>
      </c>
      <c r="BX29" s="138">
        <f>IF('Final Calculation Sheet'!$N$29="","",'Final Calculation Sheet'!$N$29)</f>
        <v>121.5027</v>
      </c>
      <c r="BY29" s="137">
        <f>IF(BX29="","",COUNTIFS(BX$4:BX$40,"&lt;"&amp;BX29,BX$4:BX$40,"&lt;&gt;"&amp;"")+COUNTIF(BX$4:BX29,BX29))</f>
        <v>28</v>
      </c>
      <c r="BZ29" s="138">
        <f t="shared" si="31"/>
        <v>99.000450000000001</v>
      </c>
      <c r="CA29" s="137">
        <f>CA28+IF(AND(BZ29&lt;&gt;"",COUNTIF(BZ$4:BZ29,BZ29)=1),1,0)</f>
        <v>26</v>
      </c>
      <c r="CB29" s="138">
        <f t="shared" si="32"/>
        <v>99.000450000000001</v>
      </c>
      <c r="CC29" s="55">
        <f>IF('Final Calculation Sheet'!$O$29="","",'Final Calculation Sheet'!$O$29)</f>
        <v>7047.1566000000003</v>
      </c>
      <c r="CD29" s="137">
        <f>IF(CC29="","",COUNTIFS(CC$4:CC$40,"&lt;"&amp;CC29,CC$4:CC$40,"&lt;&gt;"&amp;"")+COUNTIF(CC$4:CC29,CC29))</f>
        <v>28</v>
      </c>
      <c r="CE29" s="55">
        <f t="shared" si="33"/>
        <v>5742.0260999999991</v>
      </c>
      <c r="CF29" s="137">
        <f>CF28+IF(AND(CE29&lt;&gt;"",COUNTIF(CE$4:CE29,CE29)=1),1,0)</f>
        <v>26</v>
      </c>
      <c r="CG29" s="55">
        <f t="shared" si="34"/>
        <v>5742.0260999999991</v>
      </c>
      <c r="CH29" s="55">
        <f>IF('Final Calculation Sheet'!$P$29="","",'Final Calculation Sheet'!$P$29)</f>
        <v>7317</v>
      </c>
      <c r="CI29" s="137">
        <f>IF(CH29="","",COUNTIFS(CH$4:CH$40,"&lt;"&amp;CH29,CH$4:CH$40,"&lt;&gt;"&amp;"")+COUNTIF(CH$4:CH29,CH29))</f>
        <v>28</v>
      </c>
      <c r="CJ29" s="55">
        <f t="shared" si="35"/>
        <v>5962</v>
      </c>
      <c r="CK29" s="137">
        <f>CK28+IF(AND(CJ29&lt;&gt;"",COUNTIF(CJ$4:CJ29,CJ29)=1),1,0)</f>
        <v>25</v>
      </c>
      <c r="CL29" s="55">
        <f t="shared" si="36"/>
        <v>6808</v>
      </c>
      <c r="CM29" s="139">
        <f>IF('Final Calculation Sheet'!$Q$29="","",'Final Calculation Sheet'!$Q$29)</f>
        <v>0</v>
      </c>
      <c r="CN29" s="137">
        <f>IF(CM29="","",COUNTIFS(CM$4:CM$40,"&lt;"&amp;CM29,CM$4:CM$40,"&lt;&gt;"&amp;"")+COUNTIF(CM$4:CM29,CM29))</f>
        <v>22</v>
      </c>
      <c r="CO29" s="139">
        <f t="shared" si="37"/>
        <v>0</v>
      </c>
      <c r="CP29" s="137">
        <f>CP28+IF(AND(CO29&lt;&gt;"",COUNTIF(CO$4:CO29,CO29)=1),1,0)</f>
        <v>1</v>
      </c>
      <c r="CQ29" t="str">
        <f t="shared" si="38"/>
        <v/>
      </c>
      <c r="CR29" s="55">
        <f>IF('Final Calculation Sheet'!$R$29="","",'Final Calculation Sheet'!$R$29)</f>
        <v>0</v>
      </c>
      <c r="CS29" s="137">
        <f>IF(CR29="","",COUNTIFS(CR$4:CR$40,"&lt;"&amp;CR29,CR$4:CR$40,"&lt;&gt;"&amp;"")+COUNTIF(CR$4:CR29,CR29))</f>
        <v>22</v>
      </c>
      <c r="CT29" s="55">
        <f t="shared" si="39"/>
        <v>0</v>
      </c>
      <c r="CU29" s="137">
        <f>CU28+IF(AND(CT29&lt;&gt;"",COUNTIF(CT$4:CT29,CT29)=1),1,0)</f>
        <v>1</v>
      </c>
      <c r="CV29" t="str">
        <f t="shared" si="40"/>
        <v/>
      </c>
      <c r="CW29" s="55">
        <f>IF('Final Calculation Sheet'!$S$29="","",'Final Calculation Sheet'!$S$29)</f>
        <v>317662</v>
      </c>
      <c r="CX29" s="137">
        <f>IF(CW29="","",COUNTIFS(CW$4:CW$40,"&lt;"&amp;CW29,CW$4:CW$40,"&lt;&gt;"&amp;"")+COUNTIF(CW$4:CW29,CW29))</f>
        <v>28</v>
      </c>
      <c r="CY29" s="55">
        <f t="shared" si="41"/>
        <v>258831</v>
      </c>
      <c r="CZ29" s="137">
        <f>CZ28+IF(AND(CY29&lt;&gt;"",COUNTIF(CY$4:CY29,CY29)=1),1,0)</f>
        <v>26</v>
      </c>
      <c r="DA29" s="55">
        <f t="shared" si="42"/>
        <v>258831</v>
      </c>
      <c r="DB29" s="55">
        <f>IF('Final Calculation Sheet'!$T$29="","",'Final Calculation Sheet'!$T$29)</f>
        <v>67502</v>
      </c>
      <c r="DC29" s="137">
        <f>IF(DB29="","",COUNTIFS(DB$4:DB$40,"&lt;"&amp;DB29,DB$4:DB$40,"&lt;&gt;"&amp;"")+COUNTIF(DB$4:DB29,DB29))</f>
        <v>28</v>
      </c>
      <c r="DD29" s="55">
        <f t="shared" si="43"/>
        <v>55000</v>
      </c>
      <c r="DE29" s="137">
        <f>DE28+IF(AND(DD29&lt;&gt;"",COUNTIF(DD$4:DD29,DD29)=1),1,0)</f>
        <v>26</v>
      </c>
      <c r="DF29" s="55">
        <f t="shared" si="44"/>
        <v>55000</v>
      </c>
      <c r="DG29" s="140">
        <f>IF('Final Calculation Sheet'!$U$29="","",'Final Calculation Sheet'!$U$29)</f>
        <v>67502</v>
      </c>
      <c r="DH29" s="137">
        <f>IF(DG29="","",COUNTIFS(DG$4:DG$40,"&lt;"&amp;DG29,DG$4:DG$40,"&lt;&gt;"&amp;"")+COUNTIF(DG$4:DG29,DG29))</f>
        <v>28</v>
      </c>
      <c r="DI29" s="140">
        <f t="shared" si="45"/>
        <v>55000</v>
      </c>
      <c r="DJ29" s="137">
        <f>DJ28+IF(AND(DI29&lt;&gt;"",COUNTIF(DI$4:DI29,DI29)=1),1,0)</f>
        <v>26</v>
      </c>
      <c r="DK29" s="140">
        <f t="shared" si="46"/>
        <v>55000</v>
      </c>
      <c r="DL29" t="str">
        <f>IF('Final Calculation Sheet'!$V$29="","",'Final Calculation Sheet'!$V$29)</f>
        <v>11.08.2026</v>
      </c>
      <c r="DM29" s="137">
        <f>IF(DL29="","",COUNTIFS(DL$4:DL$40,"&lt;"&amp;DL29,DL$4:DL$40,"&lt;&gt;"&amp;"")+COUNTIF(DL$4:DL29,DL29))</f>
        <v>8</v>
      </c>
      <c r="DN29" t="str">
        <f t="shared" si="47"/>
        <v>13.08.2026</v>
      </c>
      <c r="DO29" s="137">
        <f>DO28+IF(AND(DN29&lt;&gt;"",COUNTIF(DN$4:DN29,DN29)=1),1,0)</f>
        <v>3</v>
      </c>
      <c r="DP29" t="str">
        <f t="shared" si="48"/>
        <v/>
      </c>
      <c r="DQ29" s="55">
        <f>IF('Final Calculation Sheet'!$W$29="","",'Final Calculation Sheet'!$W$29)</f>
        <v>250161</v>
      </c>
      <c r="DR29" s="137">
        <f>IF(DQ29="","",COUNTIFS(DQ$4:DQ$40,"&lt;"&amp;DQ29,DQ$4:DQ$40,"&lt;&gt;"&amp;"")+COUNTIF(DQ$4:DQ29,DQ29))</f>
        <v>28</v>
      </c>
      <c r="DS29" s="55">
        <f t="shared" si="49"/>
        <v>203831</v>
      </c>
      <c r="DT29" s="137">
        <f>DT28+IF(AND(DS29&lt;&gt;"",COUNTIF(DS$4:DS29,DS29)=1),1,0)</f>
        <v>26</v>
      </c>
      <c r="DU29" s="55">
        <f t="shared" si="50"/>
        <v>203831</v>
      </c>
      <c r="DV29" t="str">
        <f>IF('Final Calculation Sheet'!$X$29="","",'Final Calculation Sheet'!$X$29)</f>
        <v/>
      </c>
      <c r="DW29" t="str">
        <f>IF(DV29="","",COUNTIFS(DV$4:DV$40,"&lt;"&amp;DV29,DV$4:DV$40,"&lt;&gt;"&amp;"")+COUNTIF(DV$4:DV29,DV29))</f>
        <v/>
      </c>
      <c r="DX29" s="55">
        <f t="shared" si="51"/>
        <v>232764</v>
      </c>
      <c r="DY29" s="137">
        <f>DY28+IF(AND(DX29&lt;&gt;"",COUNTIF(DX$4:DX29,DX29)=1),1,0)</f>
        <v>26</v>
      </c>
      <c r="DZ29" t="e">
        <f t="shared" si="52"/>
        <v>#N/A</v>
      </c>
      <c r="EA29" s="55">
        <f>IF('Final Calculation Sheet'!$Y$29="","",'Final Calculation Sheet'!$Y$29)</f>
        <v>0</v>
      </c>
      <c r="EB29" s="137">
        <f>IF(EA29="","",COUNTIFS(EA$4:EA$40,"&lt;"&amp;EA29,EA$4:EA$40,"&lt;&gt;"&amp;"")+COUNTIF(EA$4:EA29,EA29))</f>
        <v>2</v>
      </c>
      <c r="EC29" t="str">
        <f t="shared" si="53"/>
        <v>24.08.2026</v>
      </c>
      <c r="ED29" s="137">
        <f>ED28+IF(AND(EC29&lt;&gt;"",COUNTIF(EC$4:EC29,EC29)=1),1,0)</f>
        <v>9</v>
      </c>
      <c r="EE29" t="e">
        <f t="shared" si="54"/>
        <v>#N/A</v>
      </c>
      <c r="EF29" s="55">
        <f ca="1">IF('Final Calculation Sheet'!$Z$29="","",'Final Calculation Sheet'!$Z$29)</f>
        <v>9558.2124000000003</v>
      </c>
      <c r="EG29" s="137">
        <f ca="1">IF(EF29="","",COUNTIFS(EF$4:EF$40,"&lt;"&amp;EF29,EF$4:EF$40,"&lt;&gt;"&amp;"")+COUNTIF(EF$4:EF29,EF29))</f>
        <v>36</v>
      </c>
      <c r="EH29" s="55">
        <f t="shared" ca="1" si="55"/>
        <v>0</v>
      </c>
      <c r="EI29" s="137">
        <f ca="1">EI28+IF(AND(EH29&lt;&gt;"",COUNTIF(EH$4:EH29,EH29)=1),1,0)</f>
        <v>1</v>
      </c>
      <c r="EJ29" t="str">
        <f t="shared" ca="1" si="56"/>
        <v/>
      </c>
      <c r="EK29" t="str">
        <f>IF('Final Calculation Sheet'!$AA$29="","",'Final Calculation Sheet'!$AA$29)</f>
        <v/>
      </c>
      <c r="EL29" t="str">
        <f>IF(EK29="","",COUNTIFS(EK$4:EK$40,"&lt;"&amp;EK29,EK$4:EK$40,"&lt;&gt;"&amp;"")+COUNTIF(EK$4:EK29,EK29))</f>
        <v/>
      </c>
      <c r="EM29" s="137" t="e">
        <f t="shared" si="57"/>
        <v>#N/A</v>
      </c>
      <c r="EN29" s="137" t="e">
        <f>EN28+IF(AND(EM29&lt;&gt;"",COUNTIF(EM$4:EM29,EM29)=1),1,0)</f>
        <v>#N/A</v>
      </c>
      <c r="EO29" t="e">
        <f t="shared" si="58"/>
        <v>#N/A</v>
      </c>
      <c r="EP29" t="str">
        <f>IF('Final Calculation Sheet'!$AB$29="","",'Final Calculation Sheet'!$AB$29)</f>
        <v/>
      </c>
      <c r="EQ29" t="str">
        <f>IF(EP29="","",COUNTIFS(EP$4:EP$40,"&lt;"&amp;EP29,EP$4:EP$40,"&lt;&gt;"&amp;"")+COUNTIF(EP$4:EP29,EP29))</f>
        <v/>
      </c>
      <c r="ER29" s="137" t="e">
        <f t="shared" si="59"/>
        <v>#N/A</v>
      </c>
      <c r="ES29" s="137" t="e">
        <f>ES28+IF(AND(ER29&lt;&gt;"",COUNTIF(ER$4:ER29,ER29)=1),1,0)</f>
        <v>#N/A</v>
      </c>
      <c r="ET29" t="e">
        <f t="shared" si="60"/>
        <v>#N/A</v>
      </c>
      <c r="EU29" s="55">
        <f>IF('Final Calculation Sheet'!$AC$29="","",'Final Calculation Sheet'!$AC$29)</f>
        <v>67502</v>
      </c>
      <c r="EV29" s="137">
        <f>IF(EU29="","",COUNTIFS(EU$4:EU$40,"&lt;"&amp;EU29,EU$4:EU$40,"&lt;&gt;"&amp;"")+COUNTIF(EU$4:EU29,EU29))</f>
        <v>11</v>
      </c>
      <c r="EW29" s="55">
        <f t="shared" si="61"/>
        <v>247066</v>
      </c>
      <c r="EX29" s="137">
        <f>EX28+IF(AND(EW29&lt;&gt;"",COUNTIF(EW$4:EW29,EW29)=1),1,0)</f>
        <v>26</v>
      </c>
      <c r="EY29" s="55">
        <f t="shared" si="62"/>
        <v>247066</v>
      </c>
      <c r="EZ29" s="55">
        <f>IF('Final Calculation Sheet'!$AD$29="","",'Final Calculation Sheet'!$AD$29)</f>
        <v>250160</v>
      </c>
      <c r="FA29" s="137">
        <f>IF(EZ29="","",COUNTIFS(EZ$4:EZ$40,"&lt;"&amp;EZ29,EZ$4:EZ$40,"&lt;&gt;"&amp;"")+COUNTIF(EZ$4:EZ29,EZ29))</f>
        <v>36</v>
      </c>
      <c r="FB29" s="55">
        <f t="shared" si="63"/>
        <v>0</v>
      </c>
      <c r="FC29" s="137" t="e">
        <f>FC28+IF(AND(FB29&lt;&gt;"",COUNTIF(FB$4:FB29,FB29)=1),1,0)</f>
        <v>#N/A</v>
      </c>
      <c r="FD29" t="e">
        <f t="shared" si="64"/>
        <v>#N/A</v>
      </c>
      <c r="FE29" t="str">
        <f>IF('Final Calculation Sheet'!$AE$29="","",'Final Calculation Sheet'!$AE$29)</f>
        <v/>
      </c>
      <c r="FF29" t="str">
        <f>IF(FE29="","",COUNTIFS(FE$4:FE$40,"&lt;"&amp;FE29,FE$4:FE$40,"&lt;&gt;"&amp;"")+COUNTIF(FE$4:FE29,FE29))</f>
        <v/>
      </c>
      <c r="FG29" t="str">
        <f t="shared" si="65"/>
        <v>DR2640100037</v>
      </c>
      <c r="FH29" s="137" t="e">
        <f>FH28+IF(AND(FG29&lt;&gt;"",COUNTIF(FG$4:FG29,FG29)=1),1,0)</f>
        <v>#N/A</v>
      </c>
      <c r="FI29" t="e">
        <f t="shared" si="66"/>
        <v>#N/A</v>
      </c>
      <c r="FJ29" t="str">
        <f>IF('Final Calculation Sheet'!$AF$29="","",'Final Calculation Sheet'!$AF$29)</f>
        <v/>
      </c>
      <c r="FK29" t="str">
        <f>IF(FJ29="","",COUNTIFS(FJ$4:FJ$40,"&lt;"&amp;FJ29,FJ$4:FJ$40,"&lt;&gt;"&amp;"")+COUNTIF(FJ$4:FJ29,FJ29))</f>
        <v/>
      </c>
      <c r="FL29" s="141">
        <f t="shared" si="67"/>
        <v>1800003314</v>
      </c>
      <c r="FM29" s="137">
        <f>FM28+IF(AND(FL29&lt;&gt;"",COUNTIF(FL$4:FL29,FL29)=1),1,0)</f>
        <v>26</v>
      </c>
      <c r="FN29" t="e">
        <f t="shared" si="68"/>
        <v>#N/A</v>
      </c>
      <c r="FO29" t="str">
        <f>IF('Final Calculation Sheet'!$AG$29="","",'Final Calculation Sheet'!$AG$29)</f>
        <v/>
      </c>
      <c r="FP29" t="str">
        <f>IF(FO29="","",COUNTIFS(FO$4:FO$40,"&lt;"&amp;FO29,FO$4:FO$40,"&lt;&gt;"&amp;"")+COUNTIF(FO$4:FO29,FO29))</f>
        <v/>
      </c>
      <c r="FQ29" t="str">
        <f t="shared" si="69"/>
        <v>27.08.2026</v>
      </c>
      <c r="FR29" s="137" t="e">
        <f>FR28+IF(AND(FQ29&lt;&gt;"",COUNTIF(FQ$4:FQ29,FQ29)=1),1,0)</f>
        <v>#N/A</v>
      </c>
      <c r="FS29" t="e">
        <f t="shared" si="70"/>
        <v>#N/A</v>
      </c>
      <c r="FU29" t="str">
        <f>IF(FT29="","",COUNTIFS(FT$4:FT$40,"&lt;"&amp;FT29,FT$4:FT$40,"&lt;&gt;"&amp;"")+COUNTIF(FT$4:FT29,FT29))</f>
        <v/>
      </c>
      <c r="FV29" t="str">
        <f t="shared" si="71"/>
        <v/>
      </c>
      <c r="FW29" s="137">
        <f>FW28+IF(AND(FV29&lt;&gt;"",COUNTIF(FV$4:FV29,FV29)=1),1,0)</f>
        <v>2</v>
      </c>
      <c r="FX29" t="str">
        <f t="shared" si="72"/>
        <v/>
      </c>
    </row>
    <row r="30" spans="1:180" x14ac:dyDescent="0.25">
      <c r="A30">
        <f>IF('Final Calculation Sheet'!$F$30="","",'Final Calculation Sheet'!$F$30)</f>
        <v>2043</v>
      </c>
      <c r="B30" s="137">
        <f>IF(A30="","",COUNTIFS(A$4:A$114,"&lt;"&amp;A30,A$4:A$114,"&lt;&gt;"&amp;"")+COUNTIF(A$4:A30,A30))</f>
        <v>27</v>
      </c>
      <c r="C30" s="137">
        <f t="shared" si="0"/>
        <v>2043</v>
      </c>
      <c r="D30" s="137">
        <f>D29+IF(AND(C30&lt;&gt;"",COUNTIF(C$4:C30,C30)=1),1,0)</f>
        <v>27</v>
      </c>
      <c r="E30" t="e">
        <f t="shared" si="1"/>
        <v>#N/A</v>
      </c>
      <c r="F30">
        <f t="shared" si="2"/>
        <v>27</v>
      </c>
      <c r="G30" s="137">
        <f>IF(F30="","",COUNTIFS(F$4:F$40,"&lt;"&amp;F30,F$4:F$40,"&lt;&gt;"&amp;"")+COUNTIF(F$4:F30,F30))</f>
        <v>27</v>
      </c>
      <c r="H30" s="137">
        <f t="shared" si="3"/>
        <v>27</v>
      </c>
      <c r="I30" s="137">
        <f>I29+IF(AND(H30&lt;&gt;"",COUNTIF(H$4:H30,H30)=1),1,0)</f>
        <v>27</v>
      </c>
      <c r="J30">
        <f t="shared" si="4"/>
        <v>27</v>
      </c>
      <c r="K30">
        <f>IF('Final Calculation Sheet'!$F$30="","",'Final Calculation Sheet'!$F$30)</f>
        <v>2043</v>
      </c>
      <c r="L30" s="137">
        <f>IF(K30="","",COUNTIFS(K$4:K$40,"&lt;"&amp;K30,K$4:K$40,"&lt;&gt;"&amp;"")+COUNTIF(K$4:K30,K30))</f>
        <v>27</v>
      </c>
      <c r="M30" s="137">
        <f t="shared" si="5"/>
        <v>2043</v>
      </c>
      <c r="N30" s="137">
        <f>N29+IF(AND(M30&lt;&gt;"",COUNTIF(M$4:M30,M30)=1),1,0)</f>
        <v>27</v>
      </c>
      <c r="O30">
        <f t="shared" si="6"/>
        <v>2043</v>
      </c>
      <c r="P30" t="str">
        <f>IF('Final Calculation Sheet'!$G$30="","",'Final Calculation Sheet'!$G$30)</f>
        <v>NATIONAL ENTERPRISES</v>
      </c>
      <c r="Q30" s="137">
        <f>IF(P30="","",COUNTIFS(P$4:P$40,"&lt;"&amp;P30,P$4:P$40,"&lt;&gt;"&amp;"")+COUNTIF(P$4:P30,P30))</f>
        <v>16</v>
      </c>
      <c r="R30" t="str">
        <f t="shared" si="7"/>
        <v>SHAR JAHAN TRADERS</v>
      </c>
      <c r="S30" s="137">
        <f>S29+IF(AND(R30&lt;&gt;"",COUNTIF(R$4:R30,R30)=1),1,0)</f>
        <v>11</v>
      </c>
      <c r="T30" t="str">
        <f t="shared" si="8"/>
        <v/>
      </c>
      <c r="U30" t="str">
        <f>IF('Final Calculation Sheet'!$B$30="","",'Final Calculation Sheet'!$B$30)</f>
        <v>Scrap of 132 KV CT</v>
      </c>
      <c r="V30" s="137">
        <f>IF(U30="","",COUNTIFS(U$4:U$40,"&lt;"&amp;U30,U$4:U$40,"&lt;&gt;"&amp;"")+COUNTIF(U$4:U30,U30))</f>
        <v>10</v>
      </c>
      <c r="W30" t="str">
        <f t="shared" si="9"/>
        <v>Scrap of empty oil Barrels</v>
      </c>
      <c r="X30" s="137">
        <f>X29+IF(AND(W30&lt;&gt;"",COUNTIF(W$4:W30,W30)=1),1,0)</f>
        <v>20</v>
      </c>
      <c r="Y30" t="str">
        <f t="shared" si="10"/>
        <v/>
      </c>
      <c r="Z30">
        <f>IF('Final Calculation Sheet'!$D$30="","",'Final Calculation Sheet'!$D$30)</f>
        <v>21979</v>
      </c>
      <c r="AA30" s="137">
        <f>IF(Z30="","",COUNTIFS(Z$4:Z$40,"&lt;"&amp;Z30,Z$4:Z$40,"&lt;&gt;"&amp;"")+COUNTIF(Z$4:Z30,Z30))</f>
        <v>25</v>
      </c>
      <c r="AB30" s="137">
        <f t="shared" si="11"/>
        <v>21979</v>
      </c>
      <c r="AC30" s="137">
        <f>AC29+IF(AND(AB30&lt;&gt;"",COUNTIF(AB$4:AB30,AB30)=1),1,0)</f>
        <v>3</v>
      </c>
      <c r="AD30" t="str">
        <f t="shared" si="12"/>
        <v/>
      </c>
      <c r="AE30">
        <f>IF('Final Calculation Sheet'!$A$30="","",'Final Calculation Sheet'!$A$30)</f>
        <v>5</v>
      </c>
      <c r="AF30" s="137">
        <f>IF(AE30="","",COUNTIFS(AE$4:AE$40,"&lt;"&amp;AE30,AE$4:AE$40,"&lt;&gt;"&amp;"")+COUNTIF(AE$4:AE30,AE30))</f>
        <v>20</v>
      </c>
      <c r="AG30" s="137">
        <f t="shared" si="13"/>
        <v>90</v>
      </c>
      <c r="AH30" s="137">
        <f>AH29+IF(AND(AG30&lt;&gt;"",COUNTIF(AG$4:AG30,AG30)=1),1,0)</f>
        <v>12</v>
      </c>
      <c r="AI30" t="str">
        <f t="shared" si="14"/>
        <v/>
      </c>
      <c r="AJ30" t="str">
        <f>IF('Final Calculation Sheet'!$E$30="","",'Final Calculation Sheet'!$E$30)</f>
        <v>NO</v>
      </c>
      <c r="AK30" s="137">
        <f>IF(AJ30="","",COUNTIFS(AJ$4:AJ$40,"&lt;"&amp;AJ30,AJ$4:AJ$40,"&lt;&gt;"&amp;"")+COUNTIF(AJ$4:AJ30,AJ30))</f>
        <v>28</v>
      </c>
      <c r="AL30" t="str">
        <f t="shared" si="15"/>
        <v>NO</v>
      </c>
      <c r="AM30" s="137">
        <f>AM29+IF(AND(AL30&lt;&gt;"",COUNTIF(AL$4:AL30,AL30)=1),1,0)</f>
        <v>3</v>
      </c>
      <c r="AN30" t="str">
        <f t="shared" si="16"/>
        <v/>
      </c>
      <c r="AO30" s="55">
        <f>IF('Final Calculation Sheet'!$C$30="","",'Final Calculation Sheet'!$C$30)</f>
        <v>80000</v>
      </c>
      <c r="AP30" s="137">
        <f>IF(AO30="","",COUNTIFS(AO$4:AO$40,"&lt;"&amp;AO30,AO$4:AO$40,"&lt;&gt;"&amp;"")+COUNTIF(AO$4:AO30,AO30))</f>
        <v>29</v>
      </c>
      <c r="AQ30" s="55">
        <f t="shared" si="17"/>
        <v>70001</v>
      </c>
      <c r="AR30" s="137">
        <f>AR29+IF(AND(AQ30&lt;&gt;"",COUNTIF(AQ$4:AQ30,AQ30)=1),1,0)</f>
        <v>25</v>
      </c>
      <c r="AS30" s="55">
        <f t="shared" si="18"/>
        <v>80000</v>
      </c>
      <c r="AT30" s="55">
        <f>IF('Final Calculation Sheet'!$H$30="","",'Final Calculation Sheet'!$H$30)</f>
        <v>400000</v>
      </c>
      <c r="AU30" s="137">
        <f>IF(AT30="","",COUNTIFS(AT$4:AT$40,"&lt;"&amp;AT30,AT$4:AT$40,"&lt;&gt;"&amp;"")+COUNTIF(AT$4:AT30,AT30))</f>
        <v>30</v>
      </c>
      <c r="AV30" s="55">
        <f t="shared" si="19"/>
        <v>251229</v>
      </c>
      <c r="AW30" s="137">
        <f>AW29+IF(AND(AV30&lt;&gt;"",COUNTIF(AV$4:AV30,AV30)=1),1,0)</f>
        <v>27</v>
      </c>
      <c r="AX30" s="55">
        <f t="shared" si="20"/>
        <v>251229</v>
      </c>
      <c r="AY30" s="55">
        <f>IF('Final Calculation Sheet'!$I$30="","",'Final Calculation Sheet'!$I$30)</f>
        <v>72000</v>
      </c>
      <c r="AZ30" s="137">
        <f>IF(AY30="","",COUNTIFS(AY$4:AY$40,"&lt;"&amp;AY30,AY$4:AY$40,"&lt;&gt;"&amp;"")+COUNTIF(AY$4:AY30,AY30))</f>
        <v>30</v>
      </c>
      <c r="BA30" s="55">
        <f t="shared" si="21"/>
        <v>45221</v>
      </c>
      <c r="BB30" s="137">
        <f>BB29+IF(AND(BA30&lt;&gt;"",COUNTIF(BA$4:BA30,BA30)=1),1,0)</f>
        <v>27</v>
      </c>
      <c r="BC30" s="55">
        <f t="shared" si="22"/>
        <v>45221</v>
      </c>
      <c r="BD30" s="55">
        <f>IF('Final Calculation Sheet'!$J$30="","",'Final Calculation Sheet'!$J$30)</f>
        <v>472000</v>
      </c>
      <c r="BE30" s="137">
        <f>IF(BD30="","",COUNTIFS(BD$4:BD$40,"&lt;"&amp;BD30,BD$4:BD$40,"&lt;&gt;"&amp;"")+COUNTIF(BD$4:BD30,BD30))</f>
        <v>30</v>
      </c>
      <c r="BF30" s="55">
        <f t="shared" si="23"/>
        <v>296450</v>
      </c>
      <c r="BG30" s="137">
        <f>BG29+IF(AND(BF30&lt;&gt;"",COUNTIF(BF$4:BF30,BF30)=1),1,0)</f>
        <v>27</v>
      </c>
      <c r="BH30" s="55">
        <f t="shared" si="24"/>
        <v>296450</v>
      </c>
      <c r="BI30" s="55">
        <f>IF('Final Calculation Sheet'!$K$30="","",'Final Calculation Sheet'!$K$30)</f>
        <v>9440</v>
      </c>
      <c r="BJ30" s="137">
        <f>IF(BI30="","",COUNTIFS(BI$4:BI$40,"&lt;"&amp;BI30,BI$4:BI$40,"&lt;&gt;"&amp;"")+COUNTIF(BI$4:BI30,BI30))</f>
        <v>30</v>
      </c>
      <c r="BK30" s="55">
        <f t="shared" si="25"/>
        <v>5929</v>
      </c>
      <c r="BL30" s="137">
        <f>BL29+IF(AND(BK30&lt;&gt;"",COUNTIF(BK$4:BK30,BK30)=1),1,0)</f>
        <v>26</v>
      </c>
      <c r="BM30" s="55">
        <f t="shared" si="26"/>
        <v>6372</v>
      </c>
      <c r="BN30" s="55">
        <f>IF('Final Calculation Sheet'!$L$30="","",'Final Calculation Sheet'!$L$30)</f>
        <v>400</v>
      </c>
      <c r="BO30" s="137">
        <f>IF(BN30="","",COUNTIFS(BN$4:BN$40,"&lt;"&amp;BN30,BN$4:BN$40,"&lt;&gt;"&amp;"")+COUNTIF(BN$4:BN30,BN30))</f>
        <v>30</v>
      </c>
      <c r="BP30" s="55">
        <f t="shared" si="27"/>
        <v>251.22900000000001</v>
      </c>
      <c r="BQ30" s="137">
        <f>BQ29+IF(AND(BP30&lt;&gt;"",COUNTIF(BP$4:BP30,BP30)=1),1,0)</f>
        <v>27</v>
      </c>
      <c r="BR30" s="55">
        <f t="shared" si="28"/>
        <v>251.22900000000001</v>
      </c>
      <c r="BS30" s="55">
        <f>IF('Final Calculation Sheet'!$M$30="","",'Final Calculation Sheet'!$M$30)</f>
        <v>10620</v>
      </c>
      <c r="BT30" s="137">
        <f>IF(BS30="","",COUNTIFS(BS$4:BS$40,"&lt;"&amp;BS30,BS$4:BS$40,"&lt;&gt;"&amp;"")+COUNTIF(BS$4:BS30,BS30))</f>
        <v>30</v>
      </c>
      <c r="BU30" s="55">
        <f t="shared" si="29"/>
        <v>6670.1299499999996</v>
      </c>
      <c r="BV30" s="137">
        <f>BV29+IF(AND(BU30&lt;&gt;"",COUNTIF(BU$4:BU30,BU30)=1),1,0)</f>
        <v>27</v>
      </c>
      <c r="BW30" s="55">
        <f t="shared" si="30"/>
        <v>6670.1299499999996</v>
      </c>
      <c r="BX30" s="138">
        <f>IF('Final Calculation Sheet'!$N$30="","",'Final Calculation Sheet'!$N$30)</f>
        <v>180</v>
      </c>
      <c r="BY30" s="137">
        <f>IF(BX30="","",COUNTIFS(BX$4:BX$40,"&lt;"&amp;BX30,BX$4:BX$40,"&lt;&gt;"&amp;"")+COUNTIF(BX$4:BX30,BX30))</f>
        <v>30</v>
      </c>
      <c r="BZ30" s="138">
        <f t="shared" si="31"/>
        <v>113.05305</v>
      </c>
      <c r="CA30" s="137">
        <f>CA29+IF(AND(BZ30&lt;&gt;"",COUNTIF(BZ$4:BZ30,BZ30)=1),1,0)</f>
        <v>27</v>
      </c>
      <c r="CB30" s="138">
        <f t="shared" si="32"/>
        <v>113.05305</v>
      </c>
      <c r="CC30" s="55">
        <f>IF('Final Calculation Sheet'!$O$30="","",'Final Calculation Sheet'!$O$30)</f>
        <v>10440</v>
      </c>
      <c r="CD30" s="137">
        <f>IF(CC30="","",COUNTIFS(CC$4:CC$40,"&lt;"&amp;CC30,CC$4:CC$40,"&lt;&gt;"&amp;"")+COUNTIF(CC$4:CC30,CC30))</f>
        <v>30</v>
      </c>
      <c r="CE30" s="55">
        <f t="shared" si="33"/>
        <v>6557.0768999999991</v>
      </c>
      <c r="CF30" s="137">
        <f>CF29+IF(AND(CE30&lt;&gt;"",COUNTIF(CE$4:CE30,CE30)=1),1,0)</f>
        <v>27</v>
      </c>
      <c r="CG30" s="55">
        <f t="shared" si="34"/>
        <v>6557.0768999999991</v>
      </c>
      <c r="CH30" s="55">
        <f>IF('Final Calculation Sheet'!$P$30="","",'Final Calculation Sheet'!$P$30)</f>
        <v>10840</v>
      </c>
      <c r="CI30" s="137">
        <f>IF(CH30="","",COUNTIFS(CH$4:CH$40,"&lt;"&amp;CH30,CH$4:CH$40,"&lt;&gt;"&amp;"")+COUNTIF(CH$4:CH30,CH30))</f>
        <v>30</v>
      </c>
      <c r="CJ30" s="55">
        <f t="shared" si="35"/>
        <v>6808</v>
      </c>
      <c r="CK30" s="137">
        <f>CK29+IF(AND(CJ30&lt;&gt;"",COUNTIF(CJ$4:CJ30,CJ30)=1),1,0)</f>
        <v>26</v>
      </c>
      <c r="CL30" s="55">
        <f t="shared" si="36"/>
        <v>7317</v>
      </c>
      <c r="CM30" s="139">
        <f>IF('Final Calculation Sheet'!$Q$30="","",'Final Calculation Sheet'!$Q$30)</f>
        <v>0</v>
      </c>
      <c r="CN30" s="137">
        <f>IF(CM30="","",COUNTIFS(CM$4:CM$40,"&lt;"&amp;CM30,CM$4:CM$40,"&lt;&gt;"&amp;"")+COUNTIF(CM$4:CM30,CM30))</f>
        <v>23</v>
      </c>
      <c r="CO30" s="139">
        <f t="shared" si="37"/>
        <v>0</v>
      </c>
      <c r="CP30" s="137">
        <f>CP29+IF(AND(CO30&lt;&gt;"",COUNTIF(CO$4:CO30,CO30)=1),1,0)</f>
        <v>1</v>
      </c>
      <c r="CQ30" t="str">
        <f t="shared" si="38"/>
        <v/>
      </c>
      <c r="CR30" s="55">
        <f>IF('Final Calculation Sheet'!$R$30="","",'Final Calculation Sheet'!$R$30)</f>
        <v>0</v>
      </c>
      <c r="CS30" s="137">
        <f>IF(CR30="","",COUNTIFS(CR$4:CR$40,"&lt;"&amp;CR30,CR$4:CR$40,"&lt;&gt;"&amp;"")+COUNTIF(CR$4:CR30,CR30))</f>
        <v>23</v>
      </c>
      <c r="CT30" s="55">
        <f t="shared" si="39"/>
        <v>0</v>
      </c>
      <c r="CU30" s="137">
        <f>CU29+IF(AND(CT30&lt;&gt;"",COUNTIF(CT$4:CT30,CT30)=1),1,0)</f>
        <v>1</v>
      </c>
      <c r="CV30" t="str">
        <f t="shared" si="40"/>
        <v/>
      </c>
      <c r="CW30" s="55">
        <f>IF('Final Calculation Sheet'!$S$30="","",'Final Calculation Sheet'!$S$30)</f>
        <v>470600</v>
      </c>
      <c r="CX30" s="137">
        <f>IF(CW30="","",COUNTIFS(CW$4:CW$40,"&lt;"&amp;CW30,CW$4:CW$40,"&lt;&gt;"&amp;"")+COUNTIF(CW$4:CW30,CW30))</f>
        <v>30</v>
      </c>
      <c r="CY30" s="55">
        <f t="shared" si="41"/>
        <v>295571</v>
      </c>
      <c r="CZ30" s="137">
        <f>CZ29+IF(AND(CY30&lt;&gt;"",COUNTIF(CY$4:CY30,CY30)=1),1,0)</f>
        <v>27</v>
      </c>
      <c r="DA30" s="55">
        <f t="shared" si="42"/>
        <v>295571</v>
      </c>
      <c r="DB30" s="55">
        <f>IF('Final Calculation Sheet'!$T$30="","",'Final Calculation Sheet'!$T$30)</f>
        <v>100000</v>
      </c>
      <c r="DC30" s="137">
        <f>IF(DB30="","",COUNTIFS(DB$4:DB$40,"&lt;"&amp;DB30,DB$4:DB$40,"&lt;&gt;"&amp;"")+COUNTIF(DB$4:DB30,DB30))</f>
        <v>30</v>
      </c>
      <c r="DD30" s="55">
        <f t="shared" si="43"/>
        <v>62807</v>
      </c>
      <c r="DE30" s="137">
        <f>DE29+IF(AND(DD30&lt;&gt;"",COUNTIF(DD$4:DD30,DD30)=1),1,0)</f>
        <v>27</v>
      </c>
      <c r="DF30" s="55">
        <f t="shared" si="44"/>
        <v>62807</v>
      </c>
      <c r="DG30" s="140">
        <f>IF('Final Calculation Sheet'!$U$30="","",'Final Calculation Sheet'!$U$30)</f>
        <v>100000</v>
      </c>
      <c r="DH30" s="137">
        <f>IF(DG30="","",COUNTIFS(DG$4:DG$40,"&lt;"&amp;DG30,DG$4:DG$40,"&lt;&gt;"&amp;"")+COUNTIF(DG$4:DG30,DG30))</f>
        <v>30</v>
      </c>
      <c r="DI30" s="140">
        <f t="shared" si="45"/>
        <v>62807</v>
      </c>
      <c r="DJ30" s="137">
        <f>DJ29+IF(AND(DI30&lt;&gt;"",COUNTIF(DI$4:DI30,DI30)=1),1,0)</f>
        <v>27</v>
      </c>
      <c r="DK30" s="140">
        <f t="shared" si="46"/>
        <v>62807</v>
      </c>
      <c r="DL30" t="str">
        <f>IF('Final Calculation Sheet'!$V$30="","",'Final Calculation Sheet'!$V$30)</f>
        <v>13.08.2026</v>
      </c>
      <c r="DM30" s="137">
        <f>IF(DL30="","",COUNTIFS(DL$4:DL$40,"&lt;"&amp;DL30,DL$4:DL$40,"&lt;&gt;"&amp;"")+COUNTIF(DL$4:DL30,DL30))</f>
        <v>23</v>
      </c>
      <c r="DN30" t="str">
        <f t="shared" si="47"/>
        <v>14.08.2026</v>
      </c>
      <c r="DO30" s="137">
        <f>DO29+IF(AND(DN30&lt;&gt;"",COUNTIF(DN$4:DN30,DN30)=1),1,0)</f>
        <v>4</v>
      </c>
      <c r="DP30" t="str">
        <f t="shared" si="48"/>
        <v/>
      </c>
      <c r="DQ30" s="55">
        <f>IF('Final Calculation Sheet'!$W$30="","",'Final Calculation Sheet'!$W$30)</f>
        <v>370600</v>
      </c>
      <c r="DR30" s="137">
        <f>IF(DQ30="","",COUNTIFS(DQ$4:DQ$40,"&lt;"&amp;DQ30,DQ$4:DQ$40,"&lt;&gt;"&amp;"")+COUNTIF(DQ$4:DQ30,DQ30))</f>
        <v>30</v>
      </c>
      <c r="DS30" s="55">
        <f t="shared" si="49"/>
        <v>232764</v>
      </c>
      <c r="DT30" s="137">
        <f>DT29+IF(AND(DS30&lt;&gt;"",COUNTIF(DS$4:DS30,DS30)=1),1,0)</f>
        <v>27</v>
      </c>
      <c r="DU30" s="55">
        <f t="shared" si="50"/>
        <v>232764</v>
      </c>
      <c r="DV30" s="55">
        <f>IF('Final Calculation Sheet'!$X$30="","",'Final Calculation Sheet'!$X$30)</f>
        <v>370600</v>
      </c>
      <c r="DW30" s="137">
        <f>IF(DV30="","",COUNTIFS(DV$4:DV$40,"&lt;"&amp;DV30,DV$4:DV$40,"&lt;&gt;"&amp;"")+COUNTIF(DV$4:DV30,DV30))</f>
        <v>28</v>
      </c>
      <c r="DX30" s="55">
        <f t="shared" si="51"/>
        <v>306301</v>
      </c>
      <c r="DY30" s="137">
        <f>DY29+IF(AND(DX30&lt;&gt;"",COUNTIF(DX$4:DX30,DX30)=1),1,0)</f>
        <v>27</v>
      </c>
      <c r="DZ30" t="e">
        <f t="shared" si="52"/>
        <v>#N/A</v>
      </c>
      <c r="EA30" t="str">
        <f>IF('Final Calculation Sheet'!$Y$30="","",'Final Calculation Sheet'!$Y$30)</f>
        <v>24.08.2026</v>
      </c>
      <c r="EB30" s="137">
        <f>IF(EA30="","",COUNTIFS(EA$4:EA$40,"&lt;"&amp;EA30,EA$4:EA$40,"&lt;&gt;"&amp;"")+COUNTIF(EA$4:EA30,EA30))</f>
        <v>31</v>
      </c>
      <c r="EC30" t="str">
        <f t="shared" si="53"/>
        <v>24.08.2026</v>
      </c>
      <c r="ED30" s="137">
        <f>ED29+IF(AND(EC30&lt;&gt;"",COUNTIF(EC$4:EC30,EC30)=1),1,0)</f>
        <v>9</v>
      </c>
      <c r="EE30" t="e">
        <f t="shared" si="54"/>
        <v>#N/A</v>
      </c>
      <c r="EF30" s="55">
        <f ca="1">IF('Final Calculation Sheet'!$Z$30="","",'Final Calculation Sheet'!$Z$30)</f>
        <v>0</v>
      </c>
      <c r="EG30" s="137">
        <f ca="1">IF(EF30="","",COUNTIFS(EF$4:EF$40,"&lt;"&amp;EF30,EF$4:EF$40,"&lt;&gt;"&amp;"")+COUNTIF(EF$4:EF30,EF30))</f>
        <v>25</v>
      </c>
      <c r="EH30" s="55">
        <f t="shared" ca="1" si="55"/>
        <v>0</v>
      </c>
      <c r="EI30" s="137">
        <f ca="1">EI29+IF(AND(EH30&lt;&gt;"",COUNTIF(EH$4:EH30,EH30)=1),1,0)</f>
        <v>1</v>
      </c>
      <c r="EJ30" t="str">
        <f t="shared" ca="1" si="56"/>
        <v/>
      </c>
      <c r="EK30" t="str">
        <f>IF('Final Calculation Sheet'!$AA$30="","",'Final Calculation Sheet'!$AA$30)</f>
        <v/>
      </c>
      <c r="EL30" t="str">
        <f>IF(EK30="","",COUNTIFS(EK$4:EK$40,"&lt;"&amp;EK30,EK$4:EK$40,"&lt;&gt;"&amp;"")+COUNTIF(EK$4:EK30,EK30))</f>
        <v/>
      </c>
      <c r="EM30" s="137" t="e">
        <f t="shared" si="57"/>
        <v>#N/A</v>
      </c>
      <c r="EN30" s="137" t="e">
        <f>EN29+IF(AND(EM30&lt;&gt;"",COUNTIF(EM$4:EM30,EM30)=1),1,0)</f>
        <v>#N/A</v>
      </c>
      <c r="EO30" t="e">
        <f t="shared" si="58"/>
        <v>#N/A</v>
      </c>
      <c r="EP30" t="str">
        <f>IF('Final Calculation Sheet'!$AB$30="","",'Final Calculation Sheet'!$AB$30)</f>
        <v/>
      </c>
      <c r="EQ30" t="str">
        <f>IF(EP30="","",COUNTIFS(EP$4:EP$40,"&lt;"&amp;EP30,EP$4:EP$40,"&lt;&gt;"&amp;"")+COUNTIF(EP$4:EP30,EP30))</f>
        <v/>
      </c>
      <c r="ER30" s="137" t="e">
        <f t="shared" si="59"/>
        <v>#N/A</v>
      </c>
      <c r="ES30" s="137" t="e">
        <f>ES29+IF(AND(ER30&lt;&gt;"",COUNTIF(ER$4:ER30,ER30)=1),1,0)</f>
        <v>#N/A</v>
      </c>
      <c r="ET30" t="e">
        <f t="shared" si="60"/>
        <v>#N/A</v>
      </c>
      <c r="EU30" s="55">
        <f>IF('Final Calculation Sheet'!$AC$30="","",'Final Calculation Sheet'!$AC$30)</f>
        <v>470600</v>
      </c>
      <c r="EV30" s="137">
        <f>IF(EU30="","",COUNTIFS(EU$4:EU$40,"&lt;"&amp;EU30,EU$4:EU$40,"&lt;&gt;"&amp;"")+COUNTIF(EU$4:EU30,EU30))</f>
        <v>31</v>
      </c>
      <c r="EW30" s="55">
        <f t="shared" si="61"/>
        <v>247069</v>
      </c>
      <c r="EX30" s="137">
        <f>EX29+IF(AND(EW30&lt;&gt;"",COUNTIF(EW$4:EW30,EW30)=1),1,0)</f>
        <v>27</v>
      </c>
      <c r="EY30" s="55">
        <f t="shared" si="62"/>
        <v>247069</v>
      </c>
      <c r="EZ30" s="55">
        <f>IF('Final Calculation Sheet'!$AD$30="","",'Final Calculation Sheet'!$AD$30)</f>
        <v>0</v>
      </c>
      <c r="FA30" s="137">
        <f>IF(EZ30="","",COUNTIFS(EZ$4:EZ$40,"&lt;"&amp;EZ30,EZ$4:EZ$40,"&lt;&gt;"&amp;"")+COUNTIF(EZ$4:EZ30,EZ30))</f>
        <v>24</v>
      </c>
      <c r="FB30" s="55">
        <f t="shared" si="63"/>
        <v>0</v>
      </c>
      <c r="FC30" s="137" t="e">
        <f>FC29+IF(AND(FB30&lt;&gt;"",COUNTIF(FB$4:FB30,FB30)=1),1,0)</f>
        <v>#N/A</v>
      </c>
      <c r="FD30" t="e">
        <f t="shared" si="64"/>
        <v>#N/A</v>
      </c>
      <c r="FE30" t="str">
        <f>IF('Final Calculation Sheet'!$AE$30="","",'Final Calculation Sheet'!$AE$30)</f>
        <v>DR2640100038</v>
      </c>
      <c r="FF30" s="137">
        <f>IF(FE30="","",COUNTIFS(FE$4:FE$40,"&lt;"&amp;FE30,FE$4:FE$40,"&lt;&gt;"&amp;"")+COUNTIF(FE$4:FE30,FE30))</f>
        <v>27</v>
      </c>
      <c r="FG30" t="str">
        <f t="shared" si="65"/>
        <v>DR2640100038</v>
      </c>
      <c r="FH30" s="137" t="e">
        <f>FH29+IF(AND(FG30&lt;&gt;"",COUNTIF(FG$4:FG30,FG30)=1),1,0)</f>
        <v>#N/A</v>
      </c>
      <c r="FI30" t="e">
        <f t="shared" si="66"/>
        <v>#N/A</v>
      </c>
      <c r="FJ30" s="141">
        <f>IF('Final Calculation Sheet'!$AF$30="","",'Final Calculation Sheet'!$AF$30)</f>
        <v>1800003311</v>
      </c>
      <c r="FK30" s="137">
        <f>IF(FJ30="","",COUNTIFS(FJ$4:FJ$40,"&lt;"&amp;FJ30,FJ$4:FJ$40,"&lt;&gt;"&amp;"")+COUNTIF(FJ$4:FJ30,FJ30))</f>
        <v>23</v>
      </c>
      <c r="FL30" s="141">
        <f t="shared" si="67"/>
        <v>1800003315</v>
      </c>
      <c r="FM30" s="137">
        <f>FM29+IF(AND(FL30&lt;&gt;"",COUNTIF(FL$4:FL30,FL30)=1),1,0)</f>
        <v>27</v>
      </c>
      <c r="FN30" t="e">
        <f t="shared" si="68"/>
        <v>#N/A</v>
      </c>
      <c r="FO30" t="str">
        <f>IF('Final Calculation Sheet'!$AG$30="","",'Final Calculation Sheet'!$AG$30)</f>
        <v>27.08.2026</v>
      </c>
      <c r="FP30" s="137">
        <f>IF(FO30="","",COUNTIFS(FO$4:FO$40,"&lt;"&amp;FO30,FO$4:FO$40,"&lt;&gt;"&amp;"")+COUNTIF(FO$4:FO30,FO30))</f>
        <v>33</v>
      </c>
      <c r="FQ30" t="str">
        <f t="shared" si="69"/>
        <v>27.08.2026</v>
      </c>
      <c r="FR30" s="137" t="e">
        <f>FR29+IF(AND(FQ30&lt;&gt;"",COUNTIF(FQ$4:FQ30,FQ30)=1),1,0)</f>
        <v>#N/A</v>
      </c>
      <c r="FS30" t="e">
        <f t="shared" si="70"/>
        <v>#N/A</v>
      </c>
      <c r="FU30" t="str">
        <f>IF(FT30="","",COUNTIFS(FT$4:FT$40,"&lt;"&amp;FT30,FT$4:FT$40,"&lt;&gt;"&amp;"")+COUNTIF(FT$4:FT30,FT30))</f>
        <v/>
      </c>
      <c r="FV30" t="str">
        <f t="shared" si="71"/>
        <v/>
      </c>
      <c r="FW30" s="137">
        <f>FW29+IF(AND(FV30&lt;&gt;"",COUNTIF(FV$4:FV30,FV30)=1),1,0)</f>
        <v>2</v>
      </c>
      <c r="FX30" t="str">
        <f t="shared" si="72"/>
        <v/>
      </c>
    </row>
    <row r="31" spans="1:180" x14ac:dyDescent="0.25">
      <c r="A31">
        <f>IF('Final Calculation Sheet'!$F$31="","",'Final Calculation Sheet'!$F$31)</f>
        <v>2046</v>
      </c>
      <c r="B31" s="137">
        <f>IF(A31="","",COUNTIFS(A$4:A$114,"&lt;"&amp;A31,A$4:A$114,"&lt;&gt;"&amp;"")+COUNTIF(A$4:A31,A31))</f>
        <v>28</v>
      </c>
      <c r="C31" s="137">
        <f t="shared" si="0"/>
        <v>2046</v>
      </c>
      <c r="D31" s="137">
        <f>D30+IF(AND(C31&lt;&gt;"",COUNTIF(C$4:C31,C31)=1),1,0)</f>
        <v>28</v>
      </c>
      <c r="E31" t="e">
        <f t="shared" si="1"/>
        <v>#N/A</v>
      </c>
      <c r="F31">
        <f t="shared" si="2"/>
        <v>28</v>
      </c>
      <c r="G31" s="137">
        <f>IF(F31="","",COUNTIFS(F$4:F$40,"&lt;"&amp;F31,F$4:F$40,"&lt;&gt;"&amp;"")+COUNTIF(F$4:F31,F31))</f>
        <v>28</v>
      </c>
      <c r="H31" s="137">
        <f t="shared" si="3"/>
        <v>28</v>
      </c>
      <c r="I31" s="137">
        <f>I30+IF(AND(H31&lt;&gt;"",COUNTIF(H$4:H31,H31)=1),1,0)</f>
        <v>28</v>
      </c>
      <c r="J31">
        <f t="shared" si="4"/>
        <v>28</v>
      </c>
      <c r="K31">
        <f>IF('Final Calculation Sheet'!$F$31="","",'Final Calculation Sheet'!$F$31)</f>
        <v>2046</v>
      </c>
      <c r="L31" s="137">
        <f>IF(K31="","",COUNTIFS(K$4:K$40,"&lt;"&amp;K31,K$4:K$40,"&lt;&gt;"&amp;"")+COUNTIF(K$4:K31,K31))</f>
        <v>28</v>
      </c>
      <c r="M31" s="137">
        <f t="shared" si="5"/>
        <v>2046</v>
      </c>
      <c r="N31" s="137">
        <f>N30+IF(AND(M31&lt;&gt;"",COUNTIF(M$4:M31,M31)=1),1,0)</f>
        <v>28</v>
      </c>
      <c r="O31">
        <f t="shared" si="6"/>
        <v>2046</v>
      </c>
      <c r="P31" t="str">
        <f>IF('Final Calculation Sheet'!$G$31="","",'Final Calculation Sheet'!$G$31)</f>
        <v>SAHARA ENTERPRISES</v>
      </c>
      <c r="Q31" s="137">
        <f>IF(P31="","",COUNTIFS(P$4:P$40,"&lt;"&amp;P31,P$4:P$40,"&lt;&gt;"&amp;"")+COUNTIF(P$4:P31,P31))</f>
        <v>25</v>
      </c>
      <c r="R31" t="str">
        <f t="shared" si="7"/>
        <v>STERLING ENTERPRISES</v>
      </c>
      <c r="S31" s="137">
        <f>S30+IF(AND(R31&lt;&gt;"",COUNTIF(R$4:R31,R31)=1),1,0)</f>
        <v>12</v>
      </c>
      <c r="T31" t="str">
        <f t="shared" si="8"/>
        <v/>
      </c>
      <c r="U31" t="str">
        <f>IF('Final Calculation Sheet'!$B$31="","",'Final Calculation Sheet'!$B$31)</f>
        <v>Scrap of AAAC Earth wire</v>
      </c>
      <c r="V31" s="137">
        <f>IF(U31="","",COUNTIFS(U$4:U$40,"&lt;"&amp;U31,U$4:U$40,"&lt;&gt;"&amp;"")+COUNTIF(U$4:U31,U31))</f>
        <v>24</v>
      </c>
      <c r="W31" t="str">
        <f t="shared" si="9"/>
        <v>Scrap of empty oil Barrels</v>
      </c>
      <c r="X31" s="137">
        <f>X30+IF(AND(W31&lt;&gt;"",COUNTIF(W$4:W31,W31)=1),1,0)</f>
        <v>20</v>
      </c>
      <c r="Y31" t="str">
        <f t="shared" si="10"/>
        <v/>
      </c>
      <c r="Z31">
        <f>IF('Final Calculation Sheet'!$D$31="","",'Final Calculation Sheet'!$D$31)</f>
        <v>21979</v>
      </c>
      <c r="AA31" s="137">
        <f>IF(Z31="","",COUNTIFS(Z$4:Z$40,"&lt;"&amp;Z31,Z$4:Z$40,"&lt;&gt;"&amp;"")+COUNTIF(Z$4:Z31,Z31))</f>
        <v>26</v>
      </c>
      <c r="AB31" s="137">
        <f t="shared" si="11"/>
        <v>21979</v>
      </c>
      <c r="AC31" s="137">
        <f>AC30+IF(AND(AB31&lt;&gt;"",COUNTIF(AB$4:AB31,AB31)=1),1,0)</f>
        <v>3</v>
      </c>
      <c r="AD31" t="str">
        <f t="shared" si="12"/>
        <v/>
      </c>
      <c r="AE31">
        <f>IF('Final Calculation Sheet'!$A$31="","",'Final Calculation Sheet'!$A$31)</f>
        <v>670</v>
      </c>
      <c r="AF31" s="137">
        <f>IF(AE31="","",COUNTIFS(AE$4:AE$40,"&lt;"&amp;AE31,AE$4:AE$40,"&lt;&gt;"&amp;"")+COUNTIF(AE$4:AE31,AE31))</f>
        <v>33</v>
      </c>
      <c r="AG31" s="137">
        <f t="shared" si="13"/>
        <v>100</v>
      </c>
      <c r="AH31" s="137">
        <f>AH30+IF(AND(AG31&lt;&gt;"",COUNTIF(AG$4:AG31,AG31)=1),1,0)</f>
        <v>13</v>
      </c>
      <c r="AI31" t="str">
        <f t="shared" si="14"/>
        <v/>
      </c>
      <c r="AJ31" t="str">
        <f>IF('Final Calculation Sheet'!$E$31="","",'Final Calculation Sheet'!$E$31)</f>
        <v>KG</v>
      </c>
      <c r="AK31" s="137">
        <f>IF(AJ31="","",COUNTIFS(AJ$4:AJ$40,"&lt;"&amp;AJ31,AJ$4:AJ$40,"&lt;&gt;"&amp;"")+COUNTIF(AJ$4:AJ31,AJ31))</f>
        <v>6</v>
      </c>
      <c r="AL31" t="str">
        <f t="shared" si="15"/>
        <v>NO</v>
      </c>
      <c r="AM31" s="137">
        <f>AM30+IF(AND(AL31&lt;&gt;"",COUNTIF(AL$4:AL31,AL31)=1),1,0)</f>
        <v>3</v>
      </c>
      <c r="AN31" t="str">
        <f t="shared" si="16"/>
        <v/>
      </c>
      <c r="AO31" s="55">
        <f>IF('Final Calculation Sheet'!$C$31="","",'Final Calculation Sheet'!$C$31)</f>
        <v>309</v>
      </c>
      <c r="AP31" s="137">
        <f>IF(AO31="","",COUNTIFS(AO$4:AO$40,"&lt;"&amp;AO31,AO$4:AO$40,"&lt;&gt;"&amp;"")+COUNTIF(AO$4:AO31,AO31))</f>
        <v>3</v>
      </c>
      <c r="AQ31" s="55">
        <f t="shared" si="17"/>
        <v>70006</v>
      </c>
      <c r="AR31" s="137">
        <f>AR30+IF(AND(AQ31&lt;&gt;"",COUNTIF(AQ$4:AQ31,AQ31)=1),1,0)</f>
        <v>26</v>
      </c>
      <c r="AS31" s="55">
        <f t="shared" si="18"/>
        <v>80006</v>
      </c>
      <c r="AT31" s="55">
        <f>IF('Final Calculation Sheet'!$H$31="","",'Final Calculation Sheet'!$H$31)</f>
        <v>207030</v>
      </c>
      <c r="AU31" s="137">
        <f>IF(AT31="","",COUNTIFS(AT$4:AT$40,"&lt;"&amp;AT31,AT$4:AT$40,"&lt;&gt;"&amp;"")+COUNTIF(AT$4:AT31,AT31))</f>
        <v>23</v>
      </c>
      <c r="AV31" s="55">
        <f t="shared" si="19"/>
        <v>270006</v>
      </c>
      <c r="AW31" s="137">
        <f>AW30+IF(AND(AV31&lt;&gt;"",COUNTIF(AV$4:AV31,AV31)=1),1,0)</f>
        <v>28</v>
      </c>
      <c r="AX31" s="55">
        <f t="shared" si="20"/>
        <v>270006</v>
      </c>
      <c r="AY31" s="55">
        <f>IF('Final Calculation Sheet'!$I$31="","",'Final Calculation Sheet'!$I$31)</f>
        <v>37265</v>
      </c>
      <c r="AZ31" s="137">
        <f>IF(AY31="","",COUNTIFS(AY$4:AY$40,"&lt;"&amp;AY31,AY$4:AY$40,"&lt;&gt;"&amp;"")+COUNTIF(AY$4:AY31,AY31))</f>
        <v>23</v>
      </c>
      <c r="BA31" s="55">
        <f t="shared" si="21"/>
        <v>48601</v>
      </c>
      <c r="BB31" s="137">
        <f>BB30+IF(AND(BA31&lt;&gt;"",COUNTIF(BA$4:BA31,BA31)=1),1,0)</f>
        <v>28</v>
      </c>
      <c r="BC31" s="55">
        <f t="shared" si="22"/>
        <v>48601</v>
      </c>
      <c r="BD31" s="55">
        <f>IF('Final Calculation Sheet'!$J$31="","",'Final Calculation Sheet'!$J$31)</f>
        <v>244295</v>
      </c>
      <c r="BE31" s="137">
        <f>IF(BD31="","",COUNTIFS(BD$4:BD$40,"&lt;"&amp;BD31,BD$4:BD$40,"&lt;&gt;"&amp;"")+COUNTIF(BD$4:BD31,BD31))</f>
        <v>23</v>
      </c>
      <c r="BF31" s="55">
        <f t="shared" si="23"/>
        <v>318607</v>
      </c>
      <c r="BG31" s="137">
        <f>BG30+IF(AND(BF31&lt;&gt;"",COUNTIF(BF$4:BF31,BF31)=1),1,0)</f>
        <v>28</v>
      </c>
      <c r="BH31" s="55">
        <f t="shared" si="24"/>
        <v>318607</v>
      </c>
      <c r="BI31" s="55">
        <f>IF('Final Calculation Sheet'!$K$31="","",'Final Calculation Sheet'!$K$31)</f>
        <v>4886</v>
      </c>
      <c r="BJ31" s="137">
        <f>IF(BI31="","",COUNTIFS(BI$4:BI$40,"&lt;"&amp;BI31,BI$4:BI$40,"&lt;&gt;"&amp;"")+COUNTIF(BI$4:BI31,BI31))</f>
        <v>23</v>
      </c>
      <c r="BK31" s="55">
        <f t="shared" si="25"/>
        <v>6372</v>
      </c>
      <c r="BL31" s="137">
        <f>BL30+IF(AND(BK31&lt;&gt;"",COUNTIF(BK$4:BK31,BK31)=1),1,0)</f>
        <v>27</v>
      </c>
      <c r="BM31" s="55">
        <f t="shared" si="26"/>
        <v>7802</v>
      </c>
      <c r="BN31" s="55">
        <f>IF('Final Calculation Sheet'!$L$31="","",'Final Calculation Sheet'!$L$31)</f>
        <v>207.03</v>
      </c>
      <c r="BO31" s="137">
        <f>IF(BN31="","",COUNTIFS(BN$4:BN$40,"&lt;"&amp;BN31,BN$4:BN$40,"&lt;&gt;"&amp;"")+COUNTIF(BN$4:BN31,BN31))</f>
        <v>23</v>
      </c>
      <c r="BP31" s="55">
        <f t="shared" si="27"/>
        <v>270.00600000000003</v>
      </c>
      <c r="BQ31" s="137">
        <f>BQ30+IF(AND(BP31&lt;&gt;"",COUNTIF(BP$4:BP31,BP31)=1),1,0)</f>
        <v>28</v>
      </c>
      <c r="BR31" s="55">
        <f t="shared" si="28"/>
        <v>270.00600000000003</v>
      </c>
      <c r="BS31" s="55">
        <f>IF('Final Calculation Sheet'!$M$31="","",'Final Calculation Sheet'!$M$31)</f>
        <v>5496.6464999999998</v>
      </c>
      <c r="BT31" s="137">
        <f>IF(BS31="","",COUNTIFS(BS$4:BS$40,"&lt;"&amp;BS31,BS$4:BS$40,"&lt;&gt;"&amp;"")+COUNTIF(BS$4:BS31,BS31))</f>
        <v>23</v>
      </c>
      <c r="BU31" s="55">
        <f t="shared" si="29"/>
        <v>7168.6593000000003</v>
      </c>
      <c r="BV31" s="137">
        <f>BV30+IF(AND(BU31&lt;&gt;"",COUNTIF(BU$4:BU31,BU31)=1),1,0)</f>
        <v>28</v>
      </c>
      <c r="BW31" s="55">
        <f t="shared" si="30"/>
        <v>7168.6593000000003</v>
      </c>
      <c r="BX31" s="138">
        <f>IF('Final Calculation Sheet'!$N$31="","",'Final Calculation Sheet'!$N$31)</f>
        <v>93.163499999999999</v>
      </c>
      <c r="BY31" s="137">
        <f>IF(BX31="","",COUNTIFS(BX$4:BX$40,"&lt;"&amp;BX31,BX$4:BX$40,"&lt;&gt;"&amp;"")+COUNTIF(BX$4:BX31,BX31))</f>
        <v>23</v>
      </c>
      <c r="BZ31" s="138">
        <f t="shared" si="31"/>
        <v>121.5027</v>
      </c>
      <c r="CA31" s="137">
        <f>CA30+IF(AND(BZ31&lt;&gt;"",COUNTIF(BZ$4:BZ31,BZ31)=1),1,0)</f>
        <v>28</v>
      </c>
      <c r="CB31" s="138">
        <f t="shared" si="32"/>
        <v>121.5027</v>
      </c>
      <c r="CC31" s="55">
        <f>IF('Final Calculation Sheet'!$O$31="","",'Final Calculation Sheet'!$O$31)</f>
        <v>5403.4830000000002</v>
      </c>
      <c r="CD31" s="137">
        <f>IF(CC31="","",COUNTIFS(CC$4:CC$40,"&lt;"&amp;CC31,CC$4:CC$40,"&lt;&gt;"&amp;"")+COUNTIF(CC$4:CC31,CC31))</f>
        <v>23</v>
      </c>
      <c r="CE31" s="55">
        <f t="shared" si="33"/>
        <v>7047.1566000000003</v>
      </c>
      <c r="CF31" s="137">
        <f>CF30+IF(AND(CE31&lt;&gt;"",COUNTIF(CE$4:CE31,CE31)=1),1,0)</f>
        <v>28</v>
      </c>
      <c r="CG31" s="55">
        <f t="shared" si="34"/>
        <v>7047.1566000000003</v>
      </c>
      <c r="CH31" s="55">
        <f>IF('Final Calculation Sheet'!$P$31="","",'Final Calculation Sheet'!$P$31)</f>
        <v>5611</v>
      </c>
      <c r="CI31" s="137">
        <f>IF(CH31="","",COUNTIFS(CH$4:CH$40,"&lt;"&amp;CH31,CH$4:CH$40,"&lt;&gt;"&amp;"")+COUNTIF(CH$4:CH31,CH31))</f>
        <v>23</v>
      </c>
      <c r="CJ31" s="55">
        <f t="shared" si="35"/>
        <v>7317</v>
      </c>
      <c r="CK31" s="137">
        <f>CK30+IF(AND(CJ31&lt;&gt;"",COUNTIF(CJ$4:CJ31,CJ31)=1),1,0)</f>
        <v>27</v>
      </c>
      <c r="CL31" s="55">
        <f t="shared" si="36"/>
        <v>8959</v>
      </c>
      <c r="CM31" s="139">
        <f>IF('Final Calculation Sheet'!$Q$31="","",'Final Calculation Sheet'!$Q$31)</f>
        <v>0</v>
      </c>
      <c r="CN31" s="137">
        <f>IF(CM31="","",COUNTIFS(CM$4:CM$40,"&lt;"&amp;CM31,CM$4:CM$40,"&lt;&gt;"&amp;"")+COUNTIF(CM$4:CM31,CM31))</f>
        <v>24</v>
      </c>
      <c r="CO31" s="139">
        <f t="shared" si="37"/>
        <v>0</v>
      </c>
      <c r="CP31" s="137">
        <f>CP30+IF(AND(CO31&lt;&gt;"",COUNTIF(CO$4:CO31,CO31)=1),1,0)</f>
        <v>1</v>
      </c>
      <c r="CQ31" t="str">
        <f t="shared" si="38"/>
        <v/>
      </c>
      <c r="CR31" s="55">
        <f>IF('Final Calculation Sheet'!$R$31="","",'Final Calculation Sheet'!$R$31)</f>
        <v>0</v>
      </c>
      <c r="CS31" s="137">
        <f>IF(CR31="","",COUNTIFS(CR$4:CR$40,"&lt;"&amp;CR31,CR$4:CR$40,"&lt;&gt;"&amp;"")+COUNTIF(CR$4:CR31,CR31))</f>
        <v>24</v>
      </c>
      <c r="CT31" s="55">
        <f t="shared" si="39"/>
        <v>0</v>
      </c>
      <c r="CU31" s="137">
        <f>CU30+IF(AND(CT31&lt;&gt;"",COUNTIF(CT$4:CT31,CT31)=1),1,0)</f>
        <v>1</v>
      </c>
      <c r="CV31" t="str">
        <f t="shared" si="40"/>
        <v/>
      </c>
      <c r="CW31" s="55">
        <f>IF('Final Calculation Sheet'!$S$31="","",'Final Calculation Sheet'!$S$31)</f>
        <v>243571</v>
      </c>
      <c r="CX31" s="137">
        <f>IF(CW31="","",COUNTIFS(CW$4:CW$40,"&lt;"&amp;CW31,CW$4:CW$40,"&lt;&gt;"&amp;"")+COUNTIF(CW$4:CW31,CW31))</f>
        <v>23</v>
      </c>
      <c r="CY31" s="55">
        <f t="shared" si="41"/>
        <v>317662</v>
      </c>
      <c r="CZ31" s="137">
        <f>CZ30+IF(AND(CY31&lt;&gt;"",COUNTIF(CY$4:CY31,CY31)=1),1,0)</f>
        <v>28</v>
      </c>
      <c r="DA31" s="55">
        <f t="shared" si="42"/>
        <v>317662</v>
      </c>
      <c r="DB31" s="55">
        <f>IF('Final Calculation Sheet'!$T$31="","",'Final Calculation Sheet'!$T$31)</f>
        <v>51758</v>
      </c>
      <c r="DC31" s="137">
        <f>IF(DB31="","",COUNTIFS(DB$4:DB$40,"&lt;"&amp;DB31,DB$4:DB$40,"&lt;&gt;"&amp;"")+COUNTIF(DB$4:DB31,DB31))</f>
        <v>23</v>
      </c>
      <c r="DD31" s="55">
        <f t="shared" si="43"/>
        <v>67502</v>
      </c>
      <c r="DE31" s="137">
        <f>DE30+IF(AND(DD31&lt;&gt;"",COUNTIF(DD$4:DD31,DD31)=1),1,0)</f>
        <v>28</v>
      </c>
      <c r="DF31" s="55">
        <f t="shared" si="44"/>
        <v>67502</v>
      </c>
      <c r="DG31" s="140">
        <f>IF('Final Calculation Sheet'!$U$31="","",'Final Calculation Sheet'!$U$31)</f>
        <v>51758</v>
      </c>
      <c r="DH31" s="137">
        <f>IF(DG31="","",COUNTIFS(DG$4:DG$40,"&lt;"&amp;DG31,DG$4:DG$40,"&lt;&gt;"&amp;"")+COUNTIF(DG$4:DG31,DG31))</f>
        <v>23</v>
      </c>
      <c r="DI31" s="140">
        <f t="shared" si="45"/>
        <v>67502</v>
      </c>
      <c r="DJ31" s="137">
        <f>DJ30+IF(AND(DI31&lt;&gt;"",COUNTIF(DI$4:DI31,DI31)=1),1,0)</f>
        <v>28</v>
      </c>
      <c r="DK31" s="140">
        <f t="shared" si="46"/>
        <v>67502</v>
      </c>
      <c r="DL31" t="str">
        <f>IF('Final Calculation Sheet'!$V$31="","",'Final Calculation Sheet'!$V$31)</f>
        <v>11.08.2026</v>
      </c>
      <c r="DM31" s="137">
        <f>IF(DL31="","",COUNTIFS(DL$4:DL$40,"&lt;"&amp;DL31,DL$4:DL$40,"&lt;&gt;"&amp;"")+COUNTIF(DL$4:DL31,DL31))</f>
        <v>9</v>
      </c>
      <c r="DN31" t="str">
        <f t="shared" si="47"/>
        <v>14.08.2026</v>
      </c>
      <c r="DO31" s="137">
        <f>DO30+IF(AND(DN31&lt;&gt;"",COUNTIF(DN$4:DN31,DN31)=1),1,0)</f>
        <v>4</v>
      </c>
      <c r="DP31" t="str">
        <f t="shared" si="48"/>
        <v/>
      </c>
      <c r="DQ31" s="55">
        <f>IF('Final Calculation Sheet'!$W$31="","",'Final Calculation Sheet'!$W$31)</f>
        <v>191813</v>
      </c>
      <c r="DR31" s="137">
        <f>IF(DQ31="","",COUNTIFS(DQ$4:DQ$40,"&lt;"&amp;DQ31,DQ$4:DQ$40,"&lt;&gt;"&amp;"")+COUNTIF(DQ$4:DQ31,DQ31))</f>
        <v>23</v>
      </c>
      <c r="DS31" s="55">
        <f t="shared" si="49"/>
        <v>250161</v>
      </c>
      <c r="DT31" s="137">
        <f>DT30+IF(AND(DS31&lt;&gt;"",COUNTIF(DS$4:DS31,DS31)=1),1,0)</f>
        <v>28</v>
      </c>
      <c r="DU31" s="55">
        <f t="shared" si="50"/>
        <v>250161</v>
      </c>
      <c r="DV31" s="55">
        <f>IF('Final Calculation Sheet'!$X$31="","",'Final Calculation Sheet'!$X$31)</f>
        <v>191812</v>
      </c>
      <c r="DW31" s="137">
        <f>IF(DV31="","",COUNTIFS(DV$4:DV$40,"&lt;"&amp;DV31,DV$4:DV$40,"&lt;&gt;"&amp;"")+COUNTIF(DV$4:DV31,DV31))</f>
        <v>22</v>
      </c>
      <c r="DX31" s="55">
        <f t="shared" si="51"/>
        <v>370600</v>
      </c>
      <c r="DY31" s="137">
        <f>DY30+IF(AND(DX31&lt;&gt;"",COUNTIF(DX$4:DX31,DX31)=1),1,0)</f>
        <v>28</v>
      </c>
      <c r="DZ31" t="e">
        <f t="shared" si="52"/>
        <v>#N/A</v>
      </c>
      <c r="EA31" t="str">
        <f>IF('Final Calculation Sheet'!$Y$31="","",'Final Calculation Sheet'!$Y$31)</f>
        <v>21.08.2026</v>
      </c>
      <c r="EB31" s="137">
        <f>IF(EA31="","",COUNTIFS(EA$4:EA$40,"&lt;"&amp;EA31,EA$4:EA$40,"&lt;&gt;"&amp;"")+COUNTIF(EA$4:EA31,EA31))</f>
        <v>20</v>
      </c>
      <c r="EC31" t="str">
        <f t="shared" si="53"/>
        <v>24.08.2026</v>
      </c>
      <c r="ED31" s="137">
        <f>ED30+IF(AND(EC31&lt;&gt;"",COUNTIF(EC$4:EC31,EC31)=1),1,0)</f>
        <v>9</v>
      </c>
      <c r="EE31" t="e">
        <f t="shared" si="54"/>
        <v>#N/A</v>
      </c>
      <c r="EF31" s="55">
        <f ca="1">IF('Final Calculation Sheet'!$Z$31="","",'Final Calculation Sheet'!$Z$31)</f>
        <v>0</v>
      </c>
      <c r="EG31" s="137">
        <f ca="1">IF(EF31="","",COUNTIFS(EF$4:EF$40,"&lt;"&amp;EF31,EF$4:EF$40,"&lt;&gt;"&amp;"")+COUNTIF(EF$4:EF31,EF31))</f>
        <v>26</v>
      </c>
      <c r="EH31" s="55">
        <f t="shared" ca="1" si="55"/>
        <v>0</v>
      </c>
      <c r="EI31" s="137">
        <f ca="1">EI30+IF(AND(EH31&lt;&gt;"",COUNTIF(EH$4:EH31,EH31)=1),1,0)</f>
        <v>1</v>
      </c>
      <c r="EJ31" t="str">
        <f t="shared" ca="1" si="56"/>
        <v/>
      </c>
      <c r="EK31" t="str">
        <f>IF('Final Calculation Sheet'!$AA$31="","",'Final Calculation Sheet'!$AA$31)</f>
        <v/>
      </c>
      <c r="EL31" t="str">
        <f>IF(EK31="","",COUNTIFS(EK$4:EK$40,"&lt;"&amp;EK31,EK$4:EK$40,"&lt;&gt;"&amp;"")+COUNTIF(EK$4:EK31,EK31))</f>
        <v/>
      </c>
      <c r="EM31" s="137" t="e">
        <f t="shared" si="57"/>
        <v>#N/A</v>
      </c>
      <c r="EN31" s="137" t="e">
        <f>EN30+IF(AND(EM31&lt;&gt;"",COUNTIF(EM$4:EM31,EM31)=1),1,0)</f>
        <v>#N/A</v>
      </c>
      <c r="EO31" t="e">
        <f t="shared" si="58"/>
        <v>#N/A</v>
      </c>
      <c r="EP31" t="str">
        <f>IF('Final Calculation Sheet'!$AB$31="","",'Final Calculation Sheet'!$AB$31)</f>
        <v/>
      </c>
      <c r="EQ31" t="str">
        <f>IF(EP31="","",COUNTIFS(EP$4:EP$40,"&lt;"&amp;EP31,EP$4:EP$40,"&lt;&gt;"&amp;"")+COUNTIF(EP$4:EP31,EP31))</f>
        <v/>
      </c>
      <c r="ER31" s="137" t="e">
        <f t="shared" si="59"/>
        <v>#N/A</v>
      </c>
      <c r="ES31" s="137" t="e">
        <f>ES30+IF(AND(ER31&lt;&gt;"",COUNTIF(ER$4:ER31,ER31)=1),1,0)</f>
        <v>#N/A</v>
      </c>
      <c r="ET31" t="e">
        <f t="shared" si="60"/>
        <v>#N/A</v>
      </c>
      <c r="EU31" s="55">
        <f>IF('Final Calculation Sheet'!$AC$31="","",'Final Calculation Sheet'!$AC$31)</f>
        <v>243570</v>
      </c>
      <c r="EV31" s="137">
        <f>IF(EU31="","",COUNTIFS(EU$4:EU$40,"&lt;"&amp;EU31,EU$4:EU$40,"&lt;&gt;"&amp;"")+COUNTIF(EU$4:EU31,EU31))</f>
        <v>25</v>
      </c>
      <c r="EW31" s="55">
        <f t="shared" si="61"/>
        <v>258831</v>
      </c>
      <c r="EX31" s="137">
        <f>EX30+IF(AND(EW31&lt;&gt;"",COUNTIF(EW$4:EW31,EW31)=1),1,0)</f>
        <v>28</v>
      </c>
      <c r="EY31" s="55">
        <f t="shared" si="62"/>
        <v>258831</v>
      </c>
      <c r="EZ31" s="55">
        <f>IF('Final Calculation Sheet'!$AD$31="","",'Final Calculation Sheet'!$AD$31)</f>
        <v>1</v>
      </c>
      <c r="FA31" s="137">
        <f>IF(EZ31="","",COUNTIFS(EZ$4:EZ$40,"&lt;"&amp;EZ31,EZ$4:EZ$40,"&lt;&gt;"&amp;"")+COUNTIF(EZ$4:EZ31,EZ31))</f>
        <v>33</v>
      </c>
      <c r="FB31" s="55">
        <f t="shared" si="63"/>
        <v>0</v>
      </c>
      <c r="FC31" s="137" t="e">
        <f>FC30+IF(AND(FB31&lt;&gt;"",COUNTIF(FB$4:FB31,FB31)=1),1,0)</f>
        <v>#N/A</v>
      </c>
      <c r="FD31" t="e">
        <f t="shared" si="64"/>
        <v>#N/A</v>
      </c>
      <c r="FE31" t="str">
        <f>IF('Final Calculation Sheet'!$AE$31="","",'Final Calculation Sheet'!$AE$31)</f>
        <v>DR2640100041</v>
      </c>
      <c r="FF31" s="137">
        <f>IF(FE31="","",COUNTIFS(FE$4:FE$40,"&lt;"&amp;FE31,FE$4:FE$40,"&lt;&gt;"&amp;"")+COUNTIF(FE$4:FE31,FE31))</f>
        <v>30</v>
      </c>
      <c r="FG31" t="str">
        <f t="shared" si="65"/>
        <v>DR2640100039</v>
      </c>
      <c r="FH31" s="137" t="e">
        <f>FH30+IF(AND(FG31&lt;&gt;"",COUNTIF(FG$4:FG31,FG31)=1),1,0)</f>
        <v>#N/A</v>
      </c>
      <c r="FI31" t="e">
        <f t="shared" si="66"/>
        <v>#N/A</v>
      </c>
      <c r="FJ31" s="141">
        <f>IF('Final Calculation Sheet'!$AF$31="","",'Final Calculation Sheet'!$AF$31)</f>
        <v>1800003316</v>
      </c>
      <c r="FK31" s="137">
        <f>IF(FJ31="","",COUNTIFS(FJ$4:FJ$40,"&lt;"&amp;FJ31,FJ$4:FJ$40,"&lt;&gt;"&amp;"")+COUNTIF(FJ$4:FJ31,FJ31))</f>
        <v>28</v>
      </c>
      <c r="FL31" s="141">
        <f t="shared" si="67"/>
        <v>1800003316</v>
      </c>
      <c r="FM31" s="137">
        <f>FM30+IF(AND(FL31&lt;&gt;"",COUNTIF(FL$4:FL31,FL31)=1),1,0)</f>
        <v>28</v>
      </c>
      <c r="FN31" t="e">
        <f t="shared" si="68"/>
        <v>#N/A</v>
      </c>
      <c r="FO31" t="str">
        <f>IF('Final Calculation Sheet'!$AG$31="","",'Final Calculation Sheet'!$AG$31)</f>
        <v>27.08.2026</v>
      </c>
      <c r="FP31" s="137">
        <f>IF(FO31="","",COUNTIFS(FO$4:FO$40,"&lt;"&amp;FO31,FO$4:FO$40,"&lt;&gt;"&amp;"")+COUNTIF(FO$4:FO31,FO31))</f>
        <v>34</v>
      </c>
      <c r="FQ31" t="str">
        <f t="shared" si="69"/>
        <v>27.08.2026</v>
      </c>
      <c r="FR31" s="137" t="e">
        <f>FR30+IF(AND(FQ31&lt;&gt;"",COUNTIF(FQ$4:FQ31,FQ31)=1),1,0)</f>
        <v>#N/A</v>
      </c>
      <c r="FS31" t="e">
        <f t="shared" si="70"/>
        <v>#N/A</v>
      </c>
      <c r="FU31" t="str">
        <f>IF(FT31="","",COUNTIFS(FT$4:FT$40,"&lt;"&amp;FT31,FT$4:FT$40,"&lt;&gt;"&amp;"")+COUNTIF(FT$4:FT31,FT31))</f>
        <v/>
      </c>
      <c r="FV31" t="str">
        <f t="shared" si="71"/>
        <v/>
      </c>
      <c r="FW31" s="137">
        <f>FW30+IF(AND(FV31&lt;&gt;"",COUNTIF(FV$4:FV31,FV31)=1),1,0)</f>
        <v>2</v>
      </c>
      <c r="FX31" t="str">
        <f t="shared" si="72"/>
        <v/>
      </c>
    </row>
    <row r="32" spans="1:180" x14ac:dyDescent="0.25">
      <c r="A32">
        <f>IF('Final Calculation Sheet'!$F$32="","",'Final Calculation Sheet'!$F$32)</f>
        <v>2055</v>
      </c>
      <c r="B32" s="137">
        <f>IF(A32="","",COUNTIFS(A$4:A$114,"&lt;"&amp;A32,A$4:A$114,"&lt;&gt;"&amp;"")+COUNTIF(A$4:A32,A32))</f>
        <v>29</v>
      </c>
      <c r="C32" s="137">
        <f t="shared" si="0"/>
        <v>2055</v>
      </c>
      <c r="D32" s="137">
        <f>D31+IF(AND(C32&lt;&gt;"",COUNTIF(C$4:C32,C32)=1),1,0)</f>
        <v>29</v>
      </c>
      <c r="E32" t="e">
        <f t="shared" si="1"/>
        <v>#N/A</v>
      </c>
      <c r="F32">
        <f t="shared" si="2"/>
        <v>29</v>
      </c>
      <c r="G32" s="137">
        <f>IF(F32="","",COUNTIFS(F$4:F$40,"&lt;"&amp;F32,F$4:F$40,"&lt;&gt;"&amp;"")+COUNTIF(F$4:F32,F32))</f>
        <v>29</v>
      </c>
      <c r="H32" s="137">
        <f t="shared" si="3"/>
        <v>29</v>
      </c>
      <c r="I32" s="137">
        <f>I31+IF(AND(H32&lt;&gt;"",COUNTIF(H$4:H32,H32)=1),1,0)</f>
        <v>29</v>
      </c>
      <c r="J32">
        <f t="shared" si="4"/>
        <v>29</v>
      </c>
      <c r="K32">
        <f>IF('Final Calculation Sheet'!$F$32="","",'Final Calculation Sheet'!$F$32)</f>
        <v>2055</v>
      </c>
      <c r="L32" s="137">
        <f>IF(K32="","",COUNTIFS(K$4:K$40,"&lt;"&amp;K32,K$4:K$40,"&lt;&gt;"&amp;"")+COUNTIF(K$4:K32,K32))</f>
        <v>29</v>
      </c>
      <c r="M32" s="137">
        <f t="shared" si="5"/>
        <v>2055</v>
      </c>
      <c r="N32" s="137">
        <f>N31+IF(AND(M32&lt;&gt;"",COUNTIF(M$4:M32,M32)=1),1,0)</f>
        <v>29</v>
      </c>
      <c r="O32">
        <f t="shared" si="6"/>
        <v>2055</v>
      </c>
      <c r="P32" t="str">
        <f>IF('Final Calculation Sheet'!$G$32="","",'Final Calculation Sheet'!$G$32)</f>
        <v>NATIONAL ENTERPRISES</v>
      </c>
      <c r="Q32" s="137">
        <f>IF(P32="","",COUNTIFS(P$4:P$40,"&lt;"&amp;P32,P$4:P$40,"&lt;&gt;"&amp;"")+COUNTIF(P$4:P32,P32))</f>
        <v>17</v>
      </c>
      <c r="R32" t="str">
        <f t="shared" si="7"/>
        <v>STERLING ENTERPRISES</v>
      </c>
      <c r="S32" s="137">
        <f>S31+IF(AND(R32&lt;&gt;"",COUNTIF(R$4:R32,R32)=1),1,0)</f>
        <v>12</v>
      </c>
      <c r="T32" t="str">
        <f t="shared" si="8"/>
        <v/>
      </c>
      <c r="U32" t="str">
        <f>IF('Final Calculation Sheet'!$B$32="","",'Final Calculation Sheet'!$B$32)</f>
        <v>Scrap of 220 KV CT</v>
      </c>
      <c r="V32" s="137">
        <f>IF(U32="","",COUNTIFS(U$4:U$40,"&lt;"&amp;U32,U$4:U$40,"&lt;&gt;"&amp;"")+COUNTIF(U$4:U32,U32))</f>
        <v>17</v>
      </c>
      <c r="W32" t="str">
        <f t="shared" si="9"/>
        <v>Scrap of empty oil Barrels</v>
      </c>
      <c r="X32" s="137">
        <f>X31+IF(AND(W32&lt;&gt;"",COUNTIF(W$4:W32,W32)=1),1,0)</f>
        <v>20</v>
      </c>
      <c r="Y32" t="str">
        <f t="shared" si="10"/>
        <v/>
      </c>
      <c r="Z32">
        <f>IF('Final Calculation Sheet'!$D$32="","",'Final Calculation Sheet'!$D$32)</f>
        <v>21979</v>
      </c>
      <c r="AA32" s="137">
        <f>IF(Z32="","",COUNTIFS(Z$4:Z$40,"&lt;"&amp;Z32,Z$4:Z$40,"&lt;&gt;"&amp;"")+COUNTIF(Z$4:Z32,Z32))</f>
        <v>27</v>
      </c>
      <c r="AB32" s="137">
        <f t="shared" si="11"/>
        <v>21979</v>
      </c>
      <c r="AC32" s="137">
        <f>AC31+IF(AND(AB32&lt;&gt;"",COUNTIF(AB$4:AB32,AB32)=1),1,0)</f>
        <v>3</v>
      </c>
      <c r="AD32" t="str">
        <f t="shared" si="12"/>
        <v/>
      </c>
      <c r="AE32">
        <f>IF('Final Calculation Sheet'!$A$32="","",'Final Calculation Sheet'!$A$32)</f>
        <v>2</v>
      </c>
      <c r="AF32" s="137">
        <f>IF(AE32="","",COUNTIFS(AE$4:AE$40,"&lt;"&amp;AE32,AE$4:AE$40,"&lt;&gt;"&amp;"")+COUNTIF(AE$4:AE32,AE32))</f>
        <v>11</v>
      </c>
      <c r="AG32" s="137">
        <f t="shared" si="13"/>
        <v>150</v>
      </c>
      <c r="AH32" s="137">
        <f>AH31+IF(AND(AG32&lt;&gt;"",COUNTIF(AG$4:AG32,AG32)=1),1,0)</f>
        <v>14</v>
      </c>
      <c r="AI32" t="str">
        <f t="shared" si="14"/>
        <v/>
      </c>
      <c r="AJ32" t="str">
        <f>IF('Final Calculation Sheet'!$E$32="","",'Final Calculation Sheet'!$E$32)</f>
        <v>NO</v>
      </c>
      <c r="AK32" s="137">
        <f>IF(AJ32="","",COUNTIFS(AJ$4:AJ$40,"&lt;"&amp;AJ32,AJ$4:AJ$40,"&lt;&gt;"&amp;"")+COUNTIF(AJ$4:AJ32,AJ32))</f>
        <v>29</v>
      </c>
      <c r="AL32" t="str">
        <f t="shared" si="15"/>
        <v>NO</v>
      </c>
      <c r="AM32" s="137">
        <f>AM31+IF(AND(AL32&lt;&gt;"",COUNTIF(AL$4:AL32,AL32)=1),1,0)</f>
        <v>3</v>
      </c>
      <c r="AN32" t="str">
        <f t="shared" si="16"/>
        <v/>
      </c>
      <c r="AO32" s="55">
        <f>IF('Final Calculation Sheet'!$C$32="","",'Final Calculation Sheet'!$C$32)</f>
        <v>80006</v>
      </c>
      <c r="AP32" s="137">
        <f>IF(AO32="","",COUNTIFS(AO$4:AO$40,"&lt;"&amp;AO32,AO$4:AO$40,"&lt;&gt;"&amp;"")+COUNTIF(AO$4:AO32,AO32))</f>
        <v>30</v>
      </c>
      <c r="AQ32" s="55">
        <f t="shared" si="17"/>
        <v>80000</v>
      </c>
      <c r="AR32" s="137">
        <f>AR31+IF(AND(AQ32&lt;&gt;"",COUNTIF(AQ$4:AQ32,AQ32)=1),1,0)</f>
        <v>27</v>
      </c>
      <c r="AS32" s="55">
        <f t="shared" si="18"/>
        <v>83743</v>
      </c>
      <c r="AT32" s="55">
        <f>IF('Final Calculation Sheet'!$H$32="","",'Final Calculation Sheet'!$H$32)</f>
        <v>160012</v>
      </c>
      <c r="AU32" s="137">
        <f>IF(AT32="","",COUNTIFS(AT$4:AT$40,"&lt;"&amp;AT32,AT$4:AT$40,"&lt;&gt;"&amp;"")+COUNTIF(AT$4:AT32,AT32))</f>
        <v>20</v>
      </c>
      <c r="AV32" s="55">
        <f t="shared" si="19"/>
        <v>330600</v>
      </c>
      <c r="AW32" s="137">
        <f>AW31+IF(AND(AV32&lt;&gt;"",COUNTIF(AV$4:AV32,AV32)=1),1,0)</f>
        <v>29</v>
      </c>
      <c r="AX32" s="55">
        <f t="shared" si="20"/>
        <v>330600</v>
      </c>
      <c r="AY32" s="55">
        <f>IF('Final Calculation Sheet'!$I$32="","",'Final Calculation Sheet'!$I$32)</f>
        <v>28802</v>
      </c>
      <c r="AZ32" s="137">
        <f>IF(AY32="","",COUNTIFS(AY$4:AY$40,"&lt;"&amp;AY32,AY$4:AY$40,"&lt;&gt;"&amp;"")+COUNTIF(AY$4:AY32,AY32))</f>
        <v>20</v>
      </c>
      <c r="BA32" s="55">
        <f t="shared" si="21"/>
        <v>59508</v>
      </c>
      <c r="BB32" s="137">
        <f>BB31+IF(AND(BA32&lt;&gt;"",COUNTIF(BA$4:BA32,BA32)=1),1,0)</f>
        <v>29</v>
      </c>
      <c r="BC32" s="55">
        <f t="shared" si="22"/>
        <v>59508</v>
      </c>
      <c r="BD32" s="55">
        <f>IF('Final Calculation Sheet'!$J$32="","",'Final Calculation Sheet'!$J$32)</f>
        <v>188814</v>
      </c>
      <c r="BE32" s="137">
        <f>IF(BD32="","",COUNTIFS(BD$4:BD$40,"&lt;"&amp;BD32,BD$4:BD$40,"&lt;&gt;"&amp;"")+COUNTIF(BD$4:BD32,BD32))</f>
        <v>20</v>
      </c>
      <c r="BF32" s="55">
        <f t="shared" si="23"/>
        <v>390108</v>
      </c>
      <c r="BG32" s="137">
        <f>BG31+IF(AND(BF32&lt;&gt;"",COUNTIF(BF$4:BF32,BF32)=1),1,0)</f>
        <v>29</v>
      </c>
      <c r="BH32" s="55">
        <f t="shared" si="24"/>
        <v>390108</v>
      </c>
      <c r="BI32" s="55">
        <f>IF('Final Calculation Sheet'!$K$32="","",'Final Calculation Sheet'!$K$32)</f>
        <v>3776</v>
      </c>
      <c r="BJ32" s="137">
        <f>IF(BI32="","",COUNTIFS(BI$4:BI$40,"&lt;"&amp;BI32,BI$4:BI$40,"&lt;&gt;"&amp;"")+COUNTIF(BI$4:BI32,BI32))</f>
        <v>20</v>
      </c>
      <c r="BK32" s="55">
        <f t="shared" si="25"/>
        <v>7802</v>
      </c>
      <c r="BL32" s="137">
        <f>BL31+IF(AND(BK32&lt;&gt;"",COUNTIF(BK$4:BK32,BK32)=1),1,0)</f>
        <v>28</v>
      </c>
      <c r="BM32" s="55">
        <f t="shared" si="26"/>
        <v>9440</v>
      </c>
      <c r="BN32" s="55">
        <f>IF('Final Calculation Sheet'!$L$32="","",'Final Calculation Sheet'!$L$32)</f>
        <v>160.012</v>
      </c>
      <c r="BO32" s="137">
        <f>IF(BN32="","",COUNTIFS(BN$4:BN$40,"&lt;"&amp;BN32,BN$4:BN$40,"&lt;&gt;"&amp;"")+COUNTIF(BN$4:BN32,BN32))</f>
        <v>20</v>
      </c>
      <c r="BP32" s="55">
        <f t="shared" si="27"/>
        <v>330.6</v>
      </c>
      <c r="BQ32" s="137">
        <f>BQ31+IF(AND(BP32&lt;&gt;"",COUNTIF(BP$4:BP32,BP32)=1),1,0)</f>
        <v>29</v>
      </c>
      <c r="BR32" s="55">
        <f t="shared" si="28"/>
        <v>330.6</v>
      </c>
      <c r="BS32" s="55">
        <f>IF('Final Calculation Sheet'!$M$32="","",'Final Calculation Sheet'!$M$32)</f>
        <v>4248.3185999999996</v>
      </c>
      <c r="BT32" s="137">
        <f>IF(BS32="","",COUNTIFS(BS$4:BS$40,"&lt;"&amp;BS32,BS$4:BS$40,"&lt;&gt;"&amp;"")+COUNTIF(BS$4:BS32,BS32))</f>
        <v>20</v>
      </c>
      <c r="BU32" s="55">
        <f t="shared" si="29"/>
        <v>8777.43</v>
      </c>
      <c r="BV32" s="137">
        <f>BV31+IF(AND(BU32&lt;&gt;"",COUNTIF(BU$4:BU32,BU32)=1),1,0)</f>
        <v>29</v>
      </c>
      <c r="BW32" s="55">
        <f t="shared" si="30"/>
        <v>8777.43</v>
      </c>
      <c r="BX32" s="138">
        <f>IF('Final Calculation Sheet'!$N$32="","",'Final Calculation Sheet'!$N$32)</f>
        <v>72.005399999999995</v>
      </c>
      <c r="BY32" s="137">
        <f>IF(BX32="","",COUNTIFS(BX$4:BX$40,"&lt;"&amp;BX32,BX$4:BX$40,"&lt;&gt;"&amp;"")+COUNTIF(BX$4:BX32,BX32))</f>
        <v>20</v>
      </c>
      <c r="BZ32" s="138">
        <f t="shared" si="31"/>
        <v>148.77000000000001</v>
      </c>
      <c r="CA32" s="137">
        <f>CA31+IF(AND(BZ32&lt;&gt;"",COUNTIF(BZ$4:BZ32,BZ32)=1),1,0)</f>
        <v>29</v>
      </c>
      <c r="CB32" s="138">
        <f t="shared" si="32"/>
        <v>148.77000000000001</v>
      </c>
      <c r="CC32" s="55">
        <f>IF('Final Calculation Sheet'!$O$32="","",'Final Calculation Sheet'!$O$32)</f>
        <v>4176.3131999999996</v>
      </c>
      <c r="CD32" s="137">
        <f>IF(CC32="","",COUNTIFS(CC$4:CC$40,"&lt;"&amp;CC32,CC$4:CC$40,"&lt;&gt;"&amp;"")+COUNTIF(CC$4:CC32,CC32))</f>
        <v>20</v>
      </c>
      <c r="CE32" s="55">
        <f t="shared" si="33"/>
        <v>8628.66</v>
      </c>
      <c r="CF32" s="137">
        <f>CF31+IF(AND(CE32&lt;&gt;"",COUNTIF(CE$4:CE32,CE32)=1),1,0)</f>
        <v>29</v>
      </c>
      <c r="CG32" s="55">
        <f t="shared" si="34"/>
        <v>8628.66</v>
      </c>
      <c r="CH32" s="55">
        <f>IF('Final Calculation Sheet'!$P$32="","",'Final Calculation Sheet'!$P$32)</f>
        <v>4336</v>
      </c>
      <c r="CI32" s="137">
        <f>IF(CH32="","",COUNTIFS(CH$4:CH$40,"&lt;"&amp;CH32,CH$4:CH$40,"&lt;&gt;"&amp;"")+COUNTIF(CH$4:CH32,CH32))</f>
        <v>20</v>
      </c>
      <c r="CJ32" s="55">
        <f t="shared" si="35"/>
        <v>8959</v>
      </c>
      <c r="CK32" s="137">
        <f>CK31+IF(AND(CJ32&lt;&gt;"",COUNTIF(CJ$4:CJ32,CJ32)=1),1,0)</f>
        <v>28</v>
      </c>
      <c r="CL32" s="55">
        <f t="shared" si="36"/>
        <v>10840</v>
      </c>
      <c r="CM32" s="139">
        <f>IF('Final Calculation Sheet'!$Q$32="","",'Final Calculation Sheet'!$Q$32)</f>
        <v>0</v>
      </c>
      <c r="CN32" s="137">
        <f>IF(CM32="","",COUNTIFS(CM$4:CM$40,"&lt;"&amp;CM32,CM$4:CM$40,"&lt;&gt;"&amp;"")+COUNTIF(CM$4:CM32,CM32))</f>
        <v>25</v>
      </c>
      <c r="CO32" s="139">
        <f t="shared" si="37"/>
        <v>0</v>
      </c>
      <c r="CP32" s="137">
        <f>CP31+IF(AND(CO32&lt;&gt;"",COUNTIF(CO$4:CO32,CO32)=1),1,0)</f>
        <v>1</v>
      </c>
      <c r="CQ32" t="str">
        <f t="shared" si="38"/>
        <v/>
      </c>
      <c r="CR32" s="55">
        <f>IF('Final Calculation Sheet'!$R$32="","",'Final Calculation Sheet'!$R$32)</f>
        <v>0</v>
      </c>
      <c r="CS32" s="137">
        <f>IF(CR32="","",COUNTIFS(CR$4:CR$40,"&lt;"&amp;CR32,CR$4:CR$40,"&lt;&gt;"&amp;"")+COUNTIF(CR$4:CR32,CR32))</f>
        <v>25</v>
      </c>
      <c r="CT32" s="55">
        <f t="shared" si="39"/>
        <v>0</v>
      </c>
      <c r="CU32" s="137">
        <f>CU31+IF(AND(CT32&lt;&gt;"",COUNTIF(CT$4:CT32,CT32)=1),1,0)</f>
        <v>1</v>
      </c>
      <c r="CV32" t="str">
        <f t="shared" si="40"/>
        <v/>
      </c>
      <c r="CW32" s="55">
        <f>IF('Final Calculation Sheet'!$S$32="","",'Final Calculation Sheet'!$S$32)</f>
        <v>188254</v>
      </c>
      <c r="CX32" s="137">
        <f>IF(CW32="","",COUNTIFS(CW$4:CW$40,"&lt;"&amp;CW32,CW$4:CW$40,"&lt;&gt;"&amp;"")+COUNTIF(CW$4:CW32,CW32))</f>
        <v>20</v>
      </c>
      <c r="CY32" s="55">
        <f t="shared" si="41"/>
        <v>388951</v>
      </c>
      <c r="CZ32" s="137">
        <f>CZ31+IF(AND(CY32&lt;&gt;"",COUNTIF(CY$4:CY32,CY32)=1),1,0)</f>
        <v>29</v>
      </c>
      <c r="DA32" s="55">
        <f t="shared" si="42"/>
        <v>388951</v>
      </c>
      <c r="DB32" s="55">
        <f>IF('Final Calculation Sheet'!$T$32="","",'Final Calculation Sheet'!$T$32)</f>
        <v>40003</v>
      </c>
      <c r="DC32" s="137">
        <f>IF(DB32="","",COUNTIFS(DB$4:DB$40,"&lt;"&amp;DB32,DB$4:DB$40,"&lt;&gt;"&amp;"")+COUNTIF(DB$4:DB32,DB32))</f>
        <v>20</v>
      </c>
      <c r="DD32" s="55">
        <f t="shared" si="43"/>
        <v>82650</v>
      </c>
      <c r="DE32" s="137">
        <f>DE31+IF(AND(DD32&lt;&gt;"",COUNTIF(DD$4:DD32,DD32)=1),1,0)</f>
        <v>29</v>
      </c>
      <c r="DF32" s="55">
        <f t="shared" si="44"/>
        <v>82650</v>
      </c>
      <c r="DG32" s="140">
        <f>IF('Final Calculation Sheet'!$U$32="","",'Final Calculation Sheet'!$U$32)</f>
        <v>40003</v>
      </c>
      <c r="DH32" s="137">
        <f>IF(DG32="","",COUNTIFS(DG$4:DG$40,"&lt;"&amp;DG32,DG$4:DG$40,"&lt;&gt;"&amp;"")+COUNTIF(DG$4:DG32,DG32))</f>
        <v>20</v>
      </c>
      <c r="DI32" s="140">
        <f t="shared" si="45"/>
        <v>82650</v>
      </c>
      <c r="DJ32" s="137">
        <f>DJ31+IF(AND(DI32&lt;&gt;"",COUNTIF(DI$4:DI32,DI32)=1),1,0)</f>
        <v>29</v>
      </c>
      <c r="DK32" s="140">
        <f t="shared" si="46"/>
        <v>82650</v>
      </c>
      <c r="DL32" t="str">
        <f>IF('Final Calculation Sheet'!$V$32="","",'Final Calculation Sheet'!$V$32)</f>
        <v>13.08.2026</v>
      </c>
      <c r="DM32" s="137">
        <f>IF(DL32="","",COUNTIFS(DL$4:DL$40,"&lt;"&amp;DL32,DL$4:DL$40,"&lt;&gt;"&amp;"")+COUNTIF(DL$4:DL32,DL32))</f>
        <v>24</v>
      </c>
      <c r="DN32" t="str">
        <f t="shared" si="47"/>
        <v>14.08.2026</v>
      </c>
      <c r="DO32" s="137">
        <f>DO31+IF(AND(DN32&lt;&gt;"",COUNTIF(DN$4:DN32,DN32)=1),1,0)</f>
        <v>4</v>
      </c>
      <c r="DP32" t="str">
        <f t="shared" si="48"/>
        <v/>
      </c>
      <c r="DQ32" s="55">
        <f>IF('Final Calculation Sheet'!$W$32="","",'Final Calculation Sheet'!$W$32)</f>
        <v>148251</v>
      </c>
      <c r="DR32" s="137">
        <f>IF(DQ32="","",COUNTIFS(DQ$4:DQ$40,"&lt;"&amp;DQ32,DQ$4:DQ$40,"&lt;&gt;"&amp;"")+COUNTIF(DQ$4:DQ32,DQ32))</f>
        <v>20</v>
      </c>
      <c r="DS32" s="55">
        <f t="shared" si="49"/>
        <v>306301</v>
      </c>
      <c r="DT32" s="137">
        <f>DT31+IF(AND(DS32&lt;&gt;"",COUNTIF(DS$4:DS32,DS32)=1),1,0)</f>
        <v>29</v>
      </c>
      <c r="DU32" s="55">
        <f t="shared" si="50"/>
        <v>306301</v>
      </c>
      <c r="DV32" s="55">
        <f>IF('Final Calculation Sheet'!$X$32="","",'Final Calculation Sheet'!$X$32)</f>
        <v>148251</v>
      </c>
      <c r="DW32" s="137">
        <f>IF(DV32="","",COUNTIFS(DV$4:DV$40,"&lt;"&amp;DV32,DV$4:DV$40,"&lt;&gt;"&amp;"")+COUNTIF(DV$4:DV32,DV32))</f>
        <v>19</v>
      </c>
      <c r="DX32" s="55">
        <f t="shared" si="51"/>
        <v>479001</v>
      </c>
      <c r="DY32" s="137">
        <f>DY31+IF(AND(DX32&lt;&gt;"",COUNTIF(DX$4:DX32,DX32)=1),1,0)</f>
        <v>29</v>
      </c>
      <c r="DZ32" t="e">
        <f t="shared" si="52"/>
        <v>#N/A</v>
      </c>
      <c r="EA32" t="str">
        <f>IF('Final Calculation Sheet'!$Y$32="","",'Final Calculation Sheet'!$Y$32)</f>
        <v>24.08.2026</v>
      </c>
      <c r="EB32" s="137">
        <f>IF(EA32="","",COUNTIFS(EA$4:EA$40,"&lt;"&amp;EA32,EA$4:EA$40,"&lt;&gt;"&amp;"")+COUNTIF(EA$4:EA32,EA32))</f>
        <v>32</v>
      </c>
      <c r="EC32" t="str">
        <f t="shared" si="53"/>
        <v>24.08.2026</v>
      </c>
      <c r="ED32" s="137">
        <f>ED31+IF(AND(EC32&lt;&gt;"",COUNTIF(EC$4:EC32,EC32)=1),1,0)</f>
        <v>9</v>
      </c>
      <c r="EE32" t="e">
        <f t="shared" si="54"/>
        <v>#N/A</v>
      </c>
      <c r="EF32" s="55">
        <f ca="1">IF('Final Calculation Sheet'!$Z$32="","",'Final Calculation Sheet'!$Z$32)</f>
        <v>0</v>
      </c>
      <c r="EG32" s="137">
        <f ca="1">IF(EF32="","",COUNTIFS(EF$4:EF$40,"&lt;"&amp;EF32,EF$4:EF$40,"&lt;&gt;"&amp;"")+COUNTIF(EF$4:EF32,EF32))</f>
        <v>27</v>
      </c>
      <c r="EH32" s="55">
        <f t="shared" ca="1" si="55"/>
        <v>0</v>
      </c>
      <c r="EI32" s="137">
        <f ca="1">EI31+IF(AND(EH32&lt;&gt;"",COUNTIF(EH$4:EH32,EH32)=1),1,0)</f>
        <v>1</v>
      </c>
      <c r="EJ32" t="str">
        <f t="shared" ca="1" si="56"/>
        <v/>
      </c>
      <c r="EK32" t="str">
        <f>IF('Final Calculation Sheet'!$AA$32="","",'Final Calculation Sheet'!$AA$32)</f>
        <v/>
      </c>
      <c r="EL32" t="str">
        <f>IF(EK32="","",COUNTIFS(EK$4:EK$40,"&lt;"&amp;EK32,EK$4:EK$40,"&lt;&gt;"&amp;"")+COUNTIF(EK$4:EK32,EK32))</f>
        <v/>
      </c>
      <c r="EM32" s="137" t="e">
        <f t="shared" si="57"/>
        <v>#N/A</v>
      </c>
      <c r="EN32" s="137" t="e">
        <f>EN31+IF(AND(EM32&lt;&gt;"",COUNTIF(EM$4:EM32,EM32)=1),1,0)</f>
        <v>#N/A</v>
      </c>
      <c r="EO32" t="e">
        <f t="shared" si="58"/>
        <v>#N/A</v>
      </c>
      <c r="EP32" t="str">
        <f>IF('Final Calculation Sheet'!$AB$32="","",'Final Calculation Sheet'!$AB$32)</f>
        <v/>
      </c>
      <c r="EQ32" t="str">
        <f>IF(EP32="","",COUNTIFS(EP$4:EP$40,"&lt;"&amp;EP32,EP$4:EP$40,"&lt;&gt;"&amp;"")+COUNTIF(EP$4:EP32,EP32))</f>
        <v/>
      </c>
      <c r="ER32" s="137" t="e">
        <f t="shared" si="59"/>
        <v>#N/A</v>
      </c>
      <c r="ES32" s="137" t="e">
        <f>ES31+IF(AND(ER32&lt;&gt;"",COUNTIF(ER$4:ER32,ER32)=1),1,0)</f>
        <v>#N/A</v>
      </c>
      <c r="ET32" t="e">
        <f t="shared" si="60"/>
        <v>#N/A</v>
      </c>
      <c r="EU32" s="55">
        <f>IF('Final Calculation Sheet'!$AC$32="","",'Final Calculation Sheet'!$AC$32)</f>
        <v>188254</v>
      </c>
      <c r="EV32" s="137">
        <f>IF(EU32="","",COUNTIFS(EU$4:EU$40,"&lt;"&amp;EU32,EU$4:EU$40,"&lt;&gt;"&amp;"")+COUNTIF(EU$4:EU32,EU32))</f>
        <v>22</v>
      </c>
      <c r="EW32" s="55">
        <f t="shared" si="61"/>
        <v>295571</v>
      </c>
      <c r="EX32" s="137">
        <f>EX31+IF(AND(EW32&lt;&gt;"",COUNTIF(EW$4:EW32,EW32)=1),1,0)</f>
        <v>29</v>
      </c>
      <c r="EY32" s="55">
        <f t="shared" si="62"/>
        <v>295571</v>
      </c>
      <c r="EZ32" s="55">
        <f>IF('Final Calculation Sheet'!$AD$32="","",'Final Calculation Sheet'!$AD$32)</f>
        <v>0</v>
      </c>
      <c r="FA32" s="137">
        <f>IF(EZ32="","",COUNTIFS(EZ$4:EZ$40,"&lt;"&amp;EZ32,EZ$4:EZ$40,"&lt;&gt;"&amp;"")+COUNTIF(EZ$4:EZ32,EZ32))</f>
        <v>25</v>
      </c>
      <c r="FB32" s="55">
        <f t="shared" si="63"/>
        <v>1</v>
      </c>
      <c r="FC32" s="137" t="e">
        <f>FC31+IF(AND(FB32&lt;&gt;"",COUNTIF(FB$4:FB32,FB32)=1),1,0)</f>
        <v>#N/A</v>
      </c>
      <c r="FD32" t="e">
        <f t="shared" si="64"/>
        <v>#N/A</v>
      </c>
      <c r="FE32" t="str">
        <f>IF('Final Calculation Sheet'!$AE$32="","",'Final Calculation Sheet'!$AE$32)</f>
        <v>DR2640100039</v>
      </c>
      <c r="FF32" s="137">
        <f>IF(FE32="","",COUNTIFS(FE$4:FE$40,"&lt;"&amp;FE32,FE$4:FE$40,"&lt;&gt;"&amp;"")+COUNTIF(FE$4:FE32,FE32))</f>
        <v>28</v>
      </c>
      <c r="FG32" t="str">
        <f t="shared" si="65"/>
        <v>DR2640100040</v>
      </c>
      <c r="FH32" s="137" t="e">
        <f>FH31+IF(AND(FG32&lt;&gt;"",COUNTIF(FG$4:FG32,FG32)=1),1,0)</f>
        <v>#N/A</v>
      </c>
      <c r="FI32" t="e">
        <f t="shared" si="66"/>
        <v>#N/A</v>
      </c>
      <c r="FJ32" s="141">
        <f>IF('Final Calculation Sheet'!$AF$32="","",'Final Calculation Sheet'!$AF$32)</f>
        <v>1800003312</v>
      </c>
      <c r="FK32" s="137">
        <f>IF(FJ32="","",COUNTIFS(FJ$4:FJ$40,"&lt;"&amp;FJ32,FJ$4:FJ$40,"&lt;&gt;"&amp;"")+COUNTIF(FJ$4:FJ32,FJ32))</f>
        <v>24</v>
      </c>
      <c r="FL32" s="141">
        <f t="shared" si="67"/>
        <v>1800003317</v>
      </c>
      <c r="FM32" s="137">
        <f>FM31+IF(AND(FL32&lt;&gt;"",COUNTIF(FL$4:FL32,FL32)=1),1,0)</f>
        <v>29</v>
      </c>
      <c r="FN32" t="e">
        <f t="shared" si="68"/>
        <v>#N/A</v>
      </c>
      <c r="FO32" t="str">
        <f>IF('Final Calculation Sheet'!$AG$32="","",'Final Calculation Sheet'!$AG$32)</f>
        <v>27.08.2026</v>
      </c>
      <c r="FP32" s="137">
        <f>IF(FO32="","",COUNTIFS(FO$4:FO$40,"&lt;"&amp;FO32,FO$4:FO$40,"&lt;&gt;"&amp;"")+COUNTIF(FO$4:FO32,FO32))</f>
        <v>35</v>
      </c>
      <c r="FQ32" t="str">
        <f t="shared" si="69"/>
        <v>27.08.2026</v>
      </c>
      <c r="FR32" s="137" t="e">
        <f>FR31+IF(AND(FQ32&lt;&gt;"",COUNTIF(FQ$4:FQ32,FQ32)=1),1,0)</f>
        <v>#N/A</v>
      </c>
      <c r="FS32" t="e">
        <f t="shared" si="70"/>
        <v>#N/A</v>
      </c>
      <c r="FU32" t="str">
        <f>IF(FT32="","",COUNTIFS(FT$4:FT$40,"&lt;"&amp;FT32,FT$4:FT$40,"&lt;&gt;"&amp;"")+COUNTIF(FT$4:FT32,FT32))</f>
        <v/>
      </c>
      <c r="FV32" t="str">
        <f t="shared" si="71"/>
        <v/>
      </c>
      <c r="FW32" s="137">
        <f>FW31+IF(AND(FV32&lt;&gt;"",COUNTIF(FV$4:FV32,FV32)=1),1,0)</f>
        <v>2</v>
      </c>
      <c r="FX32" t="str">
        <f t="shared" si="72"/>
        <v/>
      </c>
    </row>
    <row r="33" spans="1:180" x14ac:dyDescent="0.25">
      <c r="A33">
        <f>IF('Final Calculation Sheet'!$F$33="","",'Final Calculation Sheet'!$F$33)</f>
        <v>2059</v>
      </c>
      <c r="B33" s="137">
        <f>IF(A33="","",COUNTIFS(A$4:A$114,"&lt;"&amp;A33,A$4:A$114,"&lt;&gt;"&amp;"")+COUNTIF(A$4:A33,A33))</f>
        <v>30</v>
      </c>
      <c r="C33" s="137">
        <f t="shared" si="0"/>
        <v>2059</v>
      </c>
      <c r="D33" s="137">
        <f>D32+IF(AND(C33&lt;&gt;"",COUNTIF(C$4:C33,C33)=1),1,0)</f>
        <v>30</v>
      </c>
      <c r="E33" t="e">
        <f t="shared" si="1"/>
        <v>#N/A</v>
      </c>
      <c r="F33">
        <f t="shared" si="2"/>
        <v>30</v>
      </c>
      <c r="G33" s="137">
        <f>IF(F33="","",COUNTIFS(F$4:F$40,"&lt;"&amp;F33,F$4:F$40,"&lt;&gt;"&amp;"")+COUNTIF(F$4:F33,F33))</f>
        <v>30</v>
      </c>
      <c r="H33" s="137">
        <f t="shared" si="3"/>
        <v>30</v>
      </c>
      <c r="I33" s="137">
        <f>I32+IF(AND(H33&lt;&gt;"",COUNTIF(H$4:H33,H33)=1),1,0)</f>
        <v>30</v>
      </c>
      <c r="J33">
        <f t="shared" si="4"/>
        <v>30</v>
      </c>
      <c r="K33">
        <f>IF('Final Calculation Sheet'!$F$33="","",'Final Calculation Sheet'!$F$33)</f>
        <v>2059</v>
      </c>
      <c r="L33" s="137">
        <f>IF(K33="","",COUNTIFS(K$4:K$40,"&lt;"&amp;K33,K$4:K$40,"&lt;&gt;"&amp;"")+COUNTIF(K$4:K33,K33))</f>
        <v>30</v>
      </c>
      <c r="M33" s="137">
        <f t="shared" si="5"/>
        <v>2059</v>
      </c>
      <c r="N33" s="137">
        <f>N32+IF(AND(M33&lt;&gt;"",COUNTIF(M$4:M33,M33)=1),1,0)</f>
        <v>30</v>
      </c>
      <c r="O33">
        <f t="shared" si="6"/>
        <v>2059</v>
      </c>
      <c r="P33" t="str">
        <f>IF('Final Calculation Sheet'!$G$33="","",'Final Calculation Sheet'!$G$33)</f>
        <v>NATIONAL ENTERPRISES</v>
      </c>
      <c r="Q33" s="137">
        <f>IF(P33="","",COUNTIFS(P$4:P$40,"&lt;"&amp;P33,P$4:P$40,"&lt;&gt;"&amp;"")+COUNTIF(P$4:P33,P33))</f>
        <v>18</v>
      </c>
      <c r="R33" t="str">
        <f t="shared" si="7"/>
        <v>STERLING ENTERPRISES</v>
      </c>
      <c r="S33" s="137">
        <f>S32+IF(AND(R33&lt;&gt;"",COUNTIF(R$4:R33,R33)=1),1,0)</f>
        <v>12</v>
      </c>
      <c r="T33" t="str">
        <f t="shared" si="8"/>
        <v/>
      </c>
      <c r="U33" t="str">
        <f>IF('Final Calculation Sheet'!$B$33="","",'Final Calculation Sheet'!$B$33)</f>
        <v>Scrap of 33 KV GCB</v>
      </c>
      <c r="V33" s="137">
        <f>IF(U33="","",COUNTIFS(U$4:U$40,"&lt;"&amp;U33,U$4:U$40,"&lt;&gt;"&amp;"")+COUNTIF(U$4:U33,U33))</f>
        <v>21</v>
      </c>
      <c r="W33" t="str">
        <f t="shared" si="9"/>
        <v>Scrap of Empty oil Barrels</v>
      </c>
      <c r="X33" s="137">
        <f>X32+IF(AND(W33&lt;&gt;"",COUNTIF(W$4:W33,W33)=1),1,0)</f>
        <v>20</v>
      </c>
      <c r="Y33" t="str">
        <f t="shared" si="10"/>
        <v/>
      </c>
      <c r="Z33">
        <f>IF('Final Calculation Sheet'!$D$33="","",'Final Calculation Sheet'!$D$33)</f>
        <v>21979</v>
      </c>
      <c r="AA33" s="137">
        <f>IF(Z33="","",COUNTIFS(Z$4:Z$40,"&lt;"&amp;Z33,Z$4:Z$40,"&lt;&gt;"&amp;"")+COUNTIF(Z$4:Z33,Z33))</f>
        <v>28</v>
      </c>
      <c r="AB33" s="137">
        <f t="shared" si="11"/>
        <v>21980</v>
      </c>
      <c r="AC33" s="137">
        <f>AC32+IF(AND(AB33&lt;&gt;"",COUNTIF(AB$4:AB33,AB33)=1),1,0)</f>
        <v>4</v>
      </c>
      <c r="AD33" t="str">
        <f t="shared" si="12"/>
        <v/>
      </c>
      <c r="AE33">
        <f>IF('Final Calculation Sheet'!$A$33="","",'Final Calculation Sheet'!$A$33)</f>
        <v>1</v>
      </c>
      <c r="AF33" s="137">
        <f>IF(AE33="","",COUNTIFS(AE$4:AE$40,"&lt;"&amp;AE33,AE$4:AE$40,"&lt;&gt;"&amp;"")+COUNTIF(AE$4:AE33,AE33))</f>
        <v>8</v>
      </c>
      <c r="AG33" s="137">
        <f t="shared" si="13"/>
        <v>250</v>
      </c>
      <c r="AH33" s="137">
        <f>AH32+IF(AND(AG33&lt;&gt;"",COUNTIF(AG$4:AG33,AG33)=1),1,0)</f>
        <v>15</v>
      </c>
      <c r="AI33" t="str">
        <f t="shared" si="14"/>
        <v/>
      </c>
      <c r="AJ33" t="str">
        <f>IF('Final Calculation Sheet'!$E$33="","",'Final Calculation Sheet'!$E$33)</f>
        <v>NO</v>
      </c>
      <c r="AK33" s="137">
        <f>IF(AJ33="","",COUNTIFS(AJ$4:AJ$40,"&lt;"&amp;AJ33,AJ$4:AJ$40,"&lt;&gt;"&amp;"")+COUNTIF(AJ$4:AJ33,AJ33))</f>
        <v>30</v>
      </c>
      <c r="AL33" t="str">
        <f t="shared" si="15"/>
        <v>NO</v>
      </c>
      <c r="AM33" s="137">
        <f>AM32+IF(AND(AL33&lt;&gt;"",COUNTIF(AL$4:AL33,AL33)=1),1,0)</f>
        <v>3</v>
      </c>
      <c r="AN33" t="str">
        <f t="shared" si="16"/>
        <v/>
      </c>
      <c r="AO33" s="55">
        <f>IF('Final Calculation Sheet'!$C$33="","",'Final Calculation Sheet'!$C$33)</f>
        <v>29502</v>
      </c>
      <c r="AP33" s="137">
        <f>IF(AO33="","",COUNTIFS(AO$4:AO$40,"&lt;"&amp;AO33,AO$4:AO$40,"&lt;&gt;"&amp;"")+COUNTIF(AO$4:AO33,AO33))</f>
        <v>20</v>
      </c>
      <c r="AQ33" s="55">
        <f t="shared" si="17"/>
        <v>80006</v>
      </c>
      <c r="AR33" s="137">
        <f>AR32+IF(AND(AQ33&lt;&gt;"",COUNTIF(AQ$4:AQ33,AQ33)=1),1,0)</f>
        <v>28</v>
      </c>
      <c r="AS33" s="55">
        <f t="shared" si="18"/>
        <v>90002</v>
      </c>
      <c r="AT33" s="55">
        <f>IF('Final Calculation Sheet'!$H$33="","",'Final Calculation Sheet'!$H$33)</f>
        <v>29502</v>
      </c>
      <c r="AU33" s="137">
        <f>IF(AT33="","",COUNTIFS(AT$4:AT$40,"&lt;"&amp;AT33,AT$4:AT$40,"&lt;&gt;"&amp;"")+COUNTIF(AT$4:AT33,AT33))</f>
        <v>6</v>
      </c>
      <c r="AV33" s="55">
        <f t="shared" si="19"/>
        <v>400000</v>
      </c>
      <c r="AW33" s="137">
        <f>AW32+IF(AND(AV33&lt;&gt;"",COUNTIF(AV$4:AV33,AV33)=1),1,0)</f>
        <v>30</v>
      </c>
      <c r="AX33" s="55">
        <f t="shared" si="20"/>
        <v>400000</v>
      </c>
      <c r="AY33" s="55">
        <f>IF('Final Calculation Sheet'!$I$33="","",'Final Calculation Sheet'!$I$33)</f>
        <v>5310</v>
      </c>
      <c r="AZ33" s="137">
        <f>IF(AY33="","",COUNTIFS(AY$4:AY$40,"&lt;"&amp;AY33,AY$4:AY$40,"&lt;&gt;"&amp;"")+COUNTIF(AY$4:AY33,AY33))</f>
        <v>6</v>
      </c>
      <c r="BA33" s="55">
        <f t="shared" si="21"/>
        <v>72000</v>
      </c>
      <c r="BB33" s="137">
        <f>BB32+IF(AND(BA33&lt;&gt;"",COUNTIF(BA$4:BA33,BA33)=1),1,0)</f>
        <v>30</v>
      </c>
      <c r="BC33" s="55">
        <f t="shared" si="22"/>
        <v>72000</v>
      </c>
      <c r="BD33" s="55">
        <f>IF('Final Calculation Sheet'!$J$33="","",'Final Calculation Sheet'!$J$33)</f>
        <v>34812</v>
      </c>
      <c r="BE33" s="137">
        <f>IF(BD33="","",COUNTIFS(BD$4:BD$40,"&lt;"&amp;BD33,BD$4:BD$40,"&lt;&gt;"&amp;"")+COUNTIF(BD$4:BD33,BD33))</f>
        <v>6</v>
      </c>
      <c r="BF33" s="55">
        <f t="shared" si="23"/>
        <v>472000</v>
      </c>
      <c r="BG33" s="137">
        <f>BG32+IF(AND(BF33&lt;&gt;"",COUNTIF(BF$4:BF33,BF33)=1),1,0)</f>
        <v>30</v>
      </c>
      <c r="BH33" s="55">
        <f t="shared" si="24"/>
        <v>472000</v>
      </c>
      <c r="BI33" s="55">
        <f>IF('Final Calculation Sheet'!$K$33="","",'Final Calculation Sheet'!$K$33)</f>
        <v>696</v>
      </c>
      <c r="BJ33" s="137">
        <f>IF(BI33="","",COUNTIFS(BI$4:BI$40,"&lt;"&amp;BI33,BI$4:BI$40,"&lt;&gt;"&amp;"")+COUNTIF(BI$4:BI33,BI33))</f>
        <v>6</v>
      </c>
      <c r="BK33" s="55">
        <f t="shared" si="25"/>
        <v>9440</v>
      </c>
      <c r="BL33" s="137">
        <f>BL32+IF(AND(BK33&lt;&gt;"",COUNTIF(BK$4:BK33,BK33)=1),1,0)</f>
        <v>29</v>
      </c>
      <c r="BM33" s="55">
        <f t="shared" si="26"/>
        <v>12201</v>
      </c>
      <c r="BN33" s="55">
        <f>IF('Final Calculation Sheet'!$L$33="","",'Final Calculation Sheet'!$L$33)</f>
        <v>29.501999999999999</v>
      </c>
      <c r="BO33" s="137">
        <f>IF(BN33="","",COUNTIFS(BN$4:BN$40,"&lt;"&amp;BN33,BN$4:BN$40,"&lt;&gt;"&amp;"")+COUNTIF(BN$4:BN33,BN33))</f>
        <v>6</v>
      </c>
      <c r="BP33" s="55">
        <f t="shared" si="27"/>
        <v>400</v>
      </c>
      <c r="BQ33" s="137">
        <f>BQ32+IF(AND(BP33&lt;&gt;"",COUNTIF(BP$4:BP33,BP33)=1),1,0)</f>
        <v>30</v>
      </c>
      <c r="BR33" s="55">
        <f t="shared" si="28"/>
        <v>400</v>
      </c>
      <c r="BS33" s="55">
        <f>IF('Final Calculation Sheet'!$M$33="","",'Final Calculation Sheet'!$M$33)</f>
        <v>783.27809999999988</v>
      </c>
      <c r="BT33" s="137">
        <f>IF(BS33="","",COUNTIFS(BS$4:BS$40,"&lt;"&amp;BS33,BS$4:BS$40,"&lt;&gt;"&amp;"")+COUNTIF(BS$4:BS33,BS33))</f>
        <v>6</v>
      </c>
      <c r="BU33" s="55">
        <f t="shared" si="29"/>
        <v>10620</v>
      </c>
      <c r="BV33" s="137">
        <f>BV32+IF(AND(BU33&lt;&gt;"",COUNTIF(BU$4:BU33,BU33)=1),1,0)</f>
        <v>30</v>
      </c>
      <c r="BW33" s="55">
        <f t="shared" si="30"/>
        <v>10620</v>
      </c>
      <c r="BX33" s="138">
        <f>IF('Final Calculation Sheet'!$N$33="","",'Final Calculation Sheet'!$N$33)</f>
        <v>13.2759</v>
      </c>
      <c r="BY33" s="137">
        <f>IF(BX33="","",COUNTIFS(BX$4:BX$40,"&lt;"&amp;BX33,BX$4:BX$40,"&lt;&gt;"&amp;"")+COUNTIF(BX$4:BX33,BX33))</f>
        <v>6</v>
      </c>
      <c r="BZ33" s="138">
        <f t="shared" si="31"/>
        <v>180</v>
      </c>
      <c r="CA33" s="137">
        <f>CA32+IF(AND(BZ33&lt;&gt;"",COUNTIF(BZ$4:BZ33,BZ33)=1),1,0)</f>
        <v>30</v>
      </c>
      <c r="CB33" s="138">
        <f t="shared" si="32"/>
        <v>180</v>
      </c>
      <c r="CC33" s="55">
        <f>IF('Final Calculation Sheet'!$O$33="","",'Final Calculation Sheet'!$O$33)</f>
        <v>770.0021999999999</v>
      </c>
      <c r="CD33" s="137">
        <f>IF(CC33="","",COUNTIFS(CC$4:CC$40,"&lt;"&amp;CC33,CC$4:CC$40,"&lt;&gt;"&amp;"")+COUNTIF(CC$4:CC33,CC33))</f>
        <v>6</v>
      </c>
      <c r="CE33" s="55">
        <f t="shared" si="33"/>
        <v>10440</v>
      </c>
      <c r="CF33" s="137">
        <f>CF32+IF(AND(CE33&lt;&gt;"",COUNTIF(CE$4:CE33,CE33)=1),1,0)</f>
        <v>30</v>
      </c>
      <c r="CG33" s="55">
        <f t="shared" si="34"/>
        <v>10440</v>
      </c>
      <c r="CH33" s="55">
        <f>IF('Final Calculation Sheet'!$P$33="","",'Final Calculation Sheet'!$P$33)</f>
        <v>800</v>
      </c>
      <c r="CI33" s="137">
        <f>IF(CH33="","",COUNTIFS(CH$4:CH$40,"&lt;"&amp;CH33,CH$4:CH$40,"&lt;&gt;"&amp;"")+COUNTIF(CH$4:CH33,CH33))</f>
        <v>6</v>
      </c>
      <c r="CJ33" s="55">
        <f t="shared" si="35"/>
        <v>10840</v>
      </c>
      <c r="CK33" s="137">
        <f>CK32+IF(AND(CJ33&lt;&gt;"",COUNTIF(CJ$4:CJ33,CJ33)=1),1,0)</f>
        <v>29</v>
      </c>
      <c r="CL33" s="55">
        <f t="shared" si="36"/>
        <v>14011</v>
      </c>
      <c r="CM33" s="139">
        <f>IF('Final Calculation Sheet'!$Q$33="","",'Final Calculation Sheet'!$Q$33)</f>
        <v>0</v>
      </c>
      <c r="CN33" s="137">
        <f>IF(CM33="","",COUNTIFS(CM$4:CM$40,"&lt;"&amp;CM33,CM$4:CM$40,"&lt;&gt;"&amp;"")+COUNTIF(CM$4:CM33,CM33))</f>
        <v>26</v>
      </c>
      <c r="CO33" s="139">
        <f t="shared" si="37"/>
        <v>0</v>
      </c>
      <c r="CP33" s="137">
        <f>CP32+IF(AND(CO33&lt;&gt;"",COUNTIF(CO$4:CO33,CO33)=1),1,0)</f>
        <v>1</v>
      </c>
      <c r="CQ33" t="str">
        <f t="shared" si="38"/>
        <v/>
      </c>
      <c r="CR33" s="55">
        <f>IF('Final Calculation Sheet'!$R$33="","",'Final Calculation Sheet'!$R$33)</f>
        <v>0</v>
      </c>
      <c r="CS33" s="137">
        <f>IF(CR33="","",COUNTIFS(CR$4:CR$40,"&lt;"&amp;CR33,CR$4:CR$40,"&lt;&gt;"&amp;"")+COUNTIF(CR$4:CR33,CR33))</f>
        <v>26</v>
      </c>
      <c r="CT33" s="55">
        <f t="shared" si="39"/>
        <v>0</v>
      </c>
      <c r="CU33" s="137">
        <f>CU32+IF(AND(CT33&lt;&gt;"",COUNTIF(CT$4:CT33,CT33)=1),1,0)</f>
        <v>1</v>
      </c>
      <c r="CV33" t="str">
        <f t="shared" si="40"/>
        <v/>
      </c>
      <c r="CW33" s="55">
        <f>IF('Final Calculation Sheet'!$S$33="","",'Final Calculation Sheet'!$S$33)</f>
        <v>34709</v>
      </c>
      <c r="CX33" s="137">
        <f>IF(CW33="","",COUNTIFS(CW$4:CW$40,"&lt;"&amp;CW33,CW$4:CW$40,"&lt;&gt;"&amp;"")+COUNTIF(CW$4:CW33,CW33))</f>
        <v>6</v>
      </c>
      <c r="CY33" s="55">
        <f t="shared" si="41"/>
        <v>470600</v>
      </c>
      <c r="CZ33" s="137">
        <f>CZ32+IF(AND(CY33&lt;&gt;"",COUNTIF(CY$4:CY33,CY33)=1),1,0)</f>
        <v>30</v>
      </c>
      <c r="DA33" s="55">
        <f t="shared" si="42"/>
        <v>470600</v>
      </c>
      <c r="DB33" s="55">
        <f>IF('Final Calculation Sheet'!$T$33="","",'Final Calculation Sheet'!$T$33)</f>
        <v>7376</v>
      </c>
      <c r="DC33" s="137">
        <f>IF(DB33="","",COUNTIFS(DB$4:DB$40,"&lt;"&amp;DB33,DB$4:DB$40,"&lt;&gt;"&amp;"")+COUNTIF(DB$4:DB33,DB33))</f>
        <v>6</v>
      </c>
      <c r="DD33" s="55">
        <f t="shared" si="43"/>
        <v>100000</v>
      </c>
      <c r="DE33" s="137">
        <f>DE32+IF(AND(DD33&lt;&gt;"",COUNTIF(DD$4:DD33,DD33)=1),1,0)</f>
        <v>30</v>
      </c>
      <c r="DF33" s="55">
        <f t="shared" si="44"/>
        <v>100000</v>
      </c>
      <c r="DG33" s="140">
        <f>IF('Final Calculation Sheet'!$U$33="","",'Final Calculation Sheet'!$U$33)</f>
        <v>7376</v>
      </c>
      <c r="DH33" s="137">
        <f>IF(DG33="","",COUNTIFS(DG$4:DG$40,"&lt;"&amp;DG33,DG$4:DG$40,"&lt;&gt;"&amp;"")+COUNTIF(DG$4:DG33,DG33))</f>
        <v>6</v>
      </c>
      <c r="DI33" s="140">
        <f t="shared" si="45"/>
        <v>100000</v>
      </c>
      <c r="DJ33" s="137">
        <f>DJ32+IF(AND(DI33&lt;&gt;"",COUNTIF(DI$4:DI33,DI33)=1),1,0)</f>
        <v>30</v>
      </c>
      <c r="DK33" s="140">
        <f t="shared" si="46"/>
        <v>100000</v>
      </c>
      <c r="DL33" t="str">
        <f>IF('Final Calculation Sheet'!$V$33="","",'Final Calculation Sheet'!$V$33)</f>
        <v>13.08.2026</v>
      </c>
      <c r="DM33" s="137">
        <f>IF(DL33="","",COUNTIFS(DL$4:DL$40,"&lt;"&amp;DL33,DL$4:DL$40,"&lt;&gt;"&amp;"")+COUNTIF(DL$4:DL33,DL33))</f>
        <v>25</v>
      </c>
      <c r="DN33" t="str">
        <f t="shared" si="47"/>
        <v>14.08.2026</v>
      </c>
      <c r="DO33" s="137">
        <f>DO32+IF(AND(DN33&lt;&gt;"",COUNTIF(DN$4:DN33,DN33)=1),1,0)</f>
        <v>4</v>
      </c>
      <c r="DP33" t="str">
        <f t="shared" si="48"/>
        <v/>
      </c>
      <c r="DQ33" s="55">
        <f>IF('Final Calculation Sheet'!$W$33="","",'Final Calculation Sheet'!$W$33)</f>
        <v>27334</v>
      </c>
      <c r="DR33" s="137">
        <f>IF(DQ33="","",COUNTIFS(DQ$4:DQ$40,"&lt;"&amp;DQ33,DQ$4:DQ$40,"&lt;&gt;"&amp;"")+COUNTIF(DQ$4:DQ33,DQ33))</f>
        <v>6</v>
      </c>
      <c r="DS33" s="55">
        <f t="shared" si="49"/>
        <v>370600</v>
      </c>
      <c r="DT33" s="137">
        <f>DT32+IF(AND(DS33&lt;&gt;"",COUNTIF(DS$4:DS33,DS33)=1),1,0)</f>
        <v>30</v>
      </c>
      <c r="DU33" s="55">
        <f t="shared" si="50"/>
        <v>370600</v>
      </c>
      <c r="DV33" s="55">
        <f>IF('Final Calculation Sheet'!$X$33="","",'Final Calculation Sheet'!$X$33)</f>
        <v>27332</v>
      </c>
      <c r="DW33" s="137">
        <f>IF(DV33="","",COUNTIFS(DV$4:DV$40,"&lt;"&amp;DV33,DV$4:DV$40,"&lt;&gt;"&amp;"")+COUNTIF(DV$4:DV33,DV33))</f>
        <v>6</v>
      </c>
      <c r="DX33" s="55">
        <f t="shared" si="51"/>
        <v>716216</v>
      </c>
      <c r="DY33" s="137">
        <f>DY32+IF(AND(DX33&lt;&gt;"",COUNTIF(DX$4:DX33,DX33)=1),1,0)</f>
        <v>30</v>
      </c>
      <c r="DZ33" t="e">
        <f t="shared" si="52"/>
        <v>#N/A</v>
      </c>
      <c r="EA33" t="str">
        <f>IF('Final Calculation Sheet'!$Y$33="","",'Final Calculation Sheet'!$Y$33)</f>
        <v>24.08.2026</v>
      </c>
      <c r="EB33" s="137">
        <f>IF(EA33="","",COUNTIFS(EA$4:EA$40,"&lt;"&amp;EA33,EA$4:EA$40,"&lt;&gt;"&amp;"")+COUNTIF(EA$4:EA33,EA33))</f>
        <v>33</v>
      </c>
      <c r="EC33" t="str">
        <f t="shared" si="53"/>
        <v>24.08.2026</v>
      </c>
      <c r="ED33" s="137">
        <f>ED32+IF(AND(EC33&lt;&gt;"",COUNTIF(EC$4:EC33,EC33)=1),1,0)</f>
        <v>9</v>
      </c>
      <c r="EE33" t="e">
        <f t="shared" si="54"/>
        <v>#N/A</v>
      </c>
      <c r="EF33" s="55">
        <f ca="1">IF('Final Calculation Sheet'!$Z$33="","",'Final Calculation Sheet'!$Z$33)</f>
        <v>0</v>
      </c>
      <c r="EG33" s="137">
        <f ca="1">IF(EF33="","",COUNTIFS(EF$4:EF$40,"&lt;"&amp;EF33,EF$4:EF$40,"&lt;&gt;"&amp;"")+COUNTIF(EF$4:EF33,EF33))</f>
        <v>28</v>
      </c>
      <c r="EH33" s="55">
        <f t="shared" ca="1" si="55"/>
        <v>0</v>
      </c>
      <c r="EI33" s="137">
        <f ca="1">EI32+IF(AND(EH33&lt;&gt;"",COUNTIF(EH$4:EH33,EH33)=1),1,0)</f>
        <v>1</v>
      </c>
      <c r="EJ33" t="str">
        <f t="shared" ca="1" si="56"/>
        <v/>
      </c>
      <c r="EK33" t="str">
        <f>IF('Final Calculation Sheet'!$AA$33="","",'Final Calculation Sheet'!$AA$33)</f>
        <v/>
      </c>
      <c r="EL33" t="str">
        <f>IF(EK33="","",COUNTIFS(EK$4:EK$40,"&lt;"&amp;EK33,EK$4:EK$40,"&lt;&gt;"&amp;"")+COUNTIF(EK$4:EK33,EK33))</f>
        <v/>
      </c>
      <c r="EM33" s="137" t="e">
        <f t="shared" si="57"/>
        <v>#N/A</v>
      </c>
      <c r="EN33" s="137" t="e">
        <f>EN32+IF(AND(EM33&lt;&gt;"",COUNTIF(EM$4:EM33,EM33)=1),1,0)</f>
        <v>#N/A</v>
      </c>
      <c r="EO33" t="e">
        <f t="shared" si="58"/>
        <v>#N/A</v>
      </c>
      <c r="EP33" t="str">
        <f>IF('Final Calculation Sheet'!$AB$33="","",'Final Calculation Sheet'!$AB$33)</f>
        <v/>
      </c>
      <c r="EQ33" t="str">
        <f>IF(EP33="","",COUNTIFS(EP$4:EP$40,"&lt;"&amp;EP33,EP$4:EP$40,"&lt;&gt;"&amp;"")+COUNTIF(EP$4:EP33,EP33))</f>
        <v/>
      </c>
      <c r="ER33" s="137" t="e">
        <f t="shared" si="59"/>
        <v>#N/A</v>
      </c>
      <c r="ES33" s="137" t="e">
        <f>ES32+IF(AND(ER33&lt;&gt;"",COUNTIF(ER$4:ER33,ER33)=1),1,0)</f>
        <v>#N/A</v>
      </c>
      <c r="ET33" t="e">
        <f t="shared" si="60"/>
        <v>#N/A</v>
      </c>
      <c r="EU33" s="55">
        <f>IF('Final Calculation Sheet'!$AC$33="","",'Final Calculation Sheet'!$AC$33)</f>
        <v>34708</v>
      </c>
      <c r="EV33" s="137">
        <f>IF(EU33="","",COUNTIFS(EU$4:EU$40,"&lt;"&amp;EU33,EU$4:EU$40,"&lt;&gt;"&amp;"")+COUNTIF(EU$4:EU33,EU33))</f>
        <v>7</v>
      </c>
      <c r="EW33" s="55">
        <f t="shared" si="61"/>
        <v>388951</v>
      </c>
      <c r="EX33" s="137">
        <f>EX32+IF(AND(EW33&lt;&gt;"",COUNTIF(EW$4:EW33,EW33)=1),1,0)</f>
        <v>30</v>
      </c>
      <c r="EY33" s="55">
        <f t="shared" si="62"/>
        <v>388951</v>
      </c>
      <c r="EZ33" s="55">
        <f>IF('Final Calculation Sheet'!$AD$33="","",'Final Calculation Sheet'!$AD$33)</f>
        <v>1</v>
      </c>
      <c r="FA33" s="137">
        <f>IF(EZ33="","",COUNTIFS(EZ$4:EZ$40,"&lt;"&amp;EZ33,EZ$4:EZ$40,"&lt;&gt;"&amp;"")+COUNTIF(EZ$4:EZ33,EZ33))</f>
        <v>34</v>
      </c>
      <c r="FB33" s="55">
        <f t="shared" si="63"/>
        <v>1</v>
      </c>
      <c r="FC33" s="137" t="e">
        <f>FC32+IF(AND(FB33&lt;&gt;"",COUNTIF(FB$4:FB33,FB33)=1),1,0)</f>
        <v>#N/A</v>
      </c>
      <c r="FD33" t="e">
        <f t="shared" si="64"/>
        <v>#N/A</v>
      </c>
      <c r="FE33" t="str">
        <f>IF('Final Calculation Sheet'!$AE$33="","",'Final Calculation Sheet'!$AE$33)</f>
        <v>DR2640100046</v>
      </c>
      <c r="FF33" s="137">
        <f>IF(FE33="","",COUNTIFS(FE$4:FE$40,"&lt;"&amp;FE33,FE$4:FE$40,"&lt;&gt;"&amp;"")+COUNTIF(FE$4:FE33,FE33))</f>
        <v>35</v>
      </c>
      <c r="FG33" t="str">
        <f t="shared" si="65"/>
        <v>DR2640100041</v>
      </c>
      <c r="FH33" s="137" t="e">
        <f>FH32+IF(AND(FG33&lt;&gt;"",COUNTIF(FG$4:FG33,FG33)=1),1,0)</f>
        <v>#N/A</v>
      </c>
      <c r="FI33" t="e">
        <f t="shared" si="66"/>
        <v>#N/A</v>
      </c>
      <c r="FJ33" s="141">
        <f>IF('Final Calculation Sheet'!$AF$33="","",'Final Calculation Sheet'!$AF$33)</f>
        <v>1800003313</v>
      </c>
      <c r="FK33" s="137">
        <f>IF(FJ33="","",COUNTIFS(FJ$4:FJ$40,"&lt;"&amp;FJ33,FJ$4:FJ$40,"&lt;&gt;"&amp;"")+COUNTIF(FJ$4:FJ33,FJ33))</f>
        <v>25</v>
      </c>
      <c r="FL33" s="141">
        <f t="shared" si="67"/>
        <v>1800003318</v>
      </c>
      <c r="FM33" s="137">
        <f>FM32+IF(AND(FL33&lt;&gt;"",COUNTIF(FL$4:FL33,FL33)=1),1,0)</f>
        <v>30</v>
      </c>
      <c r="FN33" t="e">
        <f t="shared" si="68"/>
        <v>#N/A</v>
      </c>
      <c r="FO33" t="str">
        <f>IF('Final Calculation Sheet'!$AG$33="","",'Final Calculation Sheet'!$AG$33)</f>
        <v>27.08.2026</v>
      </c>
      <c r="FP33" s="137">
        <f>IF(FO33="","",COUNTIFS(FO$4:FO$40,"&lt;"&amp;FO33,FO$4:FO$40,"&lt;&gt;"&amp;"")+COUNTIF(FO$4:FO33,FO33))</f>
        <v>36</v>
      </c>
      <c r="FQ33" t="str">
        <f t="shared" si="69"/>
        <v>27.08.2026</v>
      </c>
      <c r="FR33" s="137" t="e">
        <f>FR32+IF(AND(FQ33&lt;&gt;"",COUNTIF(FQ$4:FQ33,FQ33)=1),1,0)</f>
        <v>#N/A</v>
      </c>
      <c r="FS33" t="e">
        <f t="shared" si="70"/>
        <v>#N/A</v>
      </c>
      <c r="FU33" t="str">
        <f>IF(FT33="","",COUNTIFS(FT$4:FT$40,"&lt;"&amp;FT33,FT$4:FT$40,"&lt;&gt;"&amp;"")+COUNTIF(FT$4:FT33,FT33))</f>
        <v/>
      </c>
      <c r="FV33" t="str">
        <f t="shared" si="71"/>
        <v/>
      </c>
      <c r="FW33" s="137">
        <f>FW32+IF(AND(FV33&lt;&gt;"",COUNTIF(FV$4:FV33,FV33)=1),1,0)</f>
        <v>2</v>
      </c>
      <c r="FX33" t="str">
        <f t="shared" si="72"/>
        <v/>
      </c>
    </row>
    <row r="34" spans="1:180" x14ac:dyDescent="0.25">
      <c r="A34">
        <f>IF('Final Calculation Sheet'!$F$34="","",'Final Calculation Sheet'!$F$34)</f>
        <v>2062</v>
      </c>
      <c r="B34" s="137">
        <f>IF(A34="","",COUNTIFS(A$4:A$114,"&lt;"&amp;A34,A$4:A$114,"&lt;&gt;"&amp;"")+COUNTIF(A$4:A34,A34))</f>
        <v>31</v>
      </c>
      <c r="C34" s="137">
        <f t="shared" si="0"/>
        <v>2062</v>
      </c>
      <c r="D34" s="137">
        <f>D33+IF(AND(C34&lt;&gt;"",COUNTIF(C$4:C34,C34)=1),1,0)</f>
        <v>31</v>
      </c>
      <c r="E34" t="e">
        <f t="shared" si="1"/>
        <v>#N/A</v>
      </c>
      <c r="F34">
        <f t="shared" si="2"/>
        <v>31</v>
      </c>
      <c r="G34" s="137">
        <f>IF(F34="","",COUNTIFS(F$4:F$40,"&lt;"&amp;F34,F$4:F$40,"&lt;&gt;"&amp;"")+COUNTIF(F$4:F34,F34))</f>
        <v>31</v>
      </c>
      <c r="H34" s="137">
        <f t="shared" si="3"/>
        <v>31</v>
      </c>
      <c r="I34" s="137">
        <f>I33+IF(AND(H34&lt;&gt;"",COUNTIF(H$4:H34,H34)=1),1,0)</f>
        <v>31</v>
      </c>
      <c r="J34">
        <f t="shared" si="4"/>
        <v>31</v>
      </c>
      <c r="K34">
        <f>IF('Final Calculation Sheet'!$F$34="","",'Final Calculation Sheet'!$F$34)</f>
        <v>2062</v>
      </c>
      <c r="L34" s="137">
        <f>IF(K34="","",COUNTIFS(K$4:K$40,"&lt;"&amp;K34,K$4:K$40,"&lt;&gt;"&amp;"")+COUNTIF(K$4:K34,K34))</f>
        <v>31</v>
      </c>
      <c r="M34" s="137">
        <f t="shared" si="5"/>
        <v>2062</v>
      </c>
      <c r="N34" s="137">
        <f>N33+IF(AND(M34&lt;&gt;"",COUNTIF(M$4:M34,M34)=1),1,0)</f>
        <v>31</v>
      </c>
      <c r="O34">
        <f t="shared" si="6"/>
        <v>2062</v>
      </c>
      <c r="P34" t="str">
        <f>IF('Final Calculation Sheet'!$G$34="","",'Final Calculation Sheet'!$G$34)</f>
        <v>STERLING ENTERPRISES</v>
      </c>
      <c r="Q34" s="137">
        <f>IF(P34="","",COUNTIFS(P$4:P$40,"&lt;"&amp;P34,P$4:P$40,"&lt;&gt;"&amp;"")+COUNTIF(P$4:P34,P34))</f>
        <v>33</v>
      </c>
      <c r="R34" t="str">
        <f t="shared" si="7"/>
        <v>STERLING ENTERPRISES</v>
      </c>
      <c r="S34" s="137">
        <f>S33+IF(AND(R34&lt;&gt;"",COUNTIF(R$4:R34,R34)=1),1,0)</f>
        <v>12</v>
      </c>
      <c r="T34" t="str">
        <f t="shared" si="8"/>
        <v/>
      </c>
      <c r="U34" t="str">
        <f>IF('Final Calculation Sheet'!$B$34="","",'Final Calculation Sheet'!$B$34)</f>
        <v>Scrap of Empty oil Barrels</v>
      </c>
      <c r="V34" s="137">
        <f>IF(U34="","",COUNTIFS(U$4:U$40,"&lt;"&amp;U34,U$4:U$40,"&lt;&gt;"&amp;"")+COUNTIF(U$4:U34,U34))</f>
        <v>30</v>
      </c>
      <c r="W34" t="str">
        <f t="shared" si="9"/>
        <v>Scrap of empty oil Druam</v>
      </c>
      <c r="X34" s="137">
        <f>X33+IF(AND(W34&lt;&gt;"",COUNTIF(W$4:W34,W34)=1),1,0)</f>
        <v>21</v>
      </c>
      <c r="Y34" t="str">
        <f t="shared" si="10"/>
        <v/>
      </c>
      <c r="Z34">
        <f>IF('Final Calculation Sheet'!$D$34="","",'Final Calculation Sheet'!$D$34)</f>
        <v>21979</v>
      </c>
      <c r="AA34" s="137">
        <f>IF(Z34="","",COUNTIFS(Z$4:Z$40,"&lt;"&amp;Z34,Z$4:Z$40,"&lt;&gt;"&amp;"")+COUNTIF(Z$4:Z34,Z34))</f>
        <v>29</v>
      </c>
      <c r="AB34" s="137">
        <f t="shared" si="11"/>
        <v>21980</v>
      </c>
      <c r="AC34" s="137">
        <f>AC33+IF(AND(AB34&lt;&gt;"",COUNTIF(AB$4:AB34,AB34)=1),1,0)</f>
        <v>4</v>
      </c>
      <c r="AD34" t="str">
        <f t="shared" si="12"/>
        <v/>
      </c>
      <c r="AE34">
        <f>IF('Final Calculation Sheet'!$A$34="","",'Final Calculation Sheet'!$A$34)</f>
        <v>30</v>
      </c>
      <c r="AF34" s="137">
        <f>IF(AE34="","",COUNTIFS(AE$4:AE$40,"&lt;"&amp;AE34,AE$4:AE$40,"&lt;&gt;"&amp;"")+COUNTIF(AE$4:AE34,AE34))</f>
        <v>25</v>
      </c>
      <c r="AG34" s="137">
        <f t="shared" si="13"/>
        <v>270</v>
      </c>
      <c r="AH34" s="137">
        <f>AH33+IF(AND(AG34&lt;&gt;"",COUNTIF(AG$4:AG34,AG34)=1),1,0)</f>
        <v>16</v>
      </c>
      <c r="AI34" t="str">
        <f t="shared" si="14"/>
        <v/>
      </c>
      <c r="AJ34" t="str">
        <f>IF('Final Calculation Sheet'!$E$34="","",'Final Calculation Sheet'!$E$34)</f>
        <v>NO</v>
      </c>
      <c r="AK34" s="137">
        <f>IF(AJ34="","",COUNTIFS(AJ$4:AJ$40,"&lt;"&amp;AJ34,AJ$4:AJ$40,"&lt;&gt;"&amp;"")+COUNTIF(AJ$4:AJ34,AJ34))</f>
        <v>31</v>
      </c>
      <c r="AL34" t="str">
        <f t="shared" si="15"/>
        <v>NO</v>
      </c>
      <c r="AM34" s="137">
        <f>AM33+IF(AND(AL34&lt;&gt;"",COUNTIF(AL$4:AL34,AL34)=1),1,0)</f>
        <v>3</v>
      </c>
      <c r="AN34" t="str">
        <f t="shared" si="16"/>
        <v/>
      </c>
      <c r="AO34" s="55">
        <f>IF('Final Calculation Sheet'!$C$34="","",'Final Calculation Sheet'!$C$34)</f>
        <v>702</v>
      </c>
      <c r="AP34" s="137">
        <f>IF(AO34="","",COUNTIFS(AO$4:AO$40,"&lt;"&amp;AO34,AO$4:AO$40,"&lt;&gt;"&amp;"")+COUNTIF(AO$4:AO34,AO34))</f>
        <v>13</v>
      </c>
      <c r="AQ34" s="55">
        <f t="shared" si="17"/>
        <v>83743</v>
      </c>
      <c r="AR34" s="137">
        <f>AR33+IF(AND(AQ34&lt;&gt;"",COUNTIF(AQ$4:AQ34,AQ34)=1),1,0)</f>
        <v>29</v>
      </c>
      <c r="AS34" s="55">
        <f t="shared" si="18"/>
        <v>110200</v>
      </c>
      <c r="AT34" s="55">
        <f>IF('Final Calculation Sheet'!$H$34="","",'Final Calculation Sheet'!$H$34)</f>
        <v>21060</v>
      </c>
      <c r="AU34" s="137">
        <f>IF(AT34="","",COUNTIFS(AT$4:AT$40,"&lt;"&amp;AT34,AT$4:AT$40,"&lt;&gt;"&amp;"")+COUNTIF(AT$4:AT34,AT34))</f>
        <v>3</v>
      </c>
      <c r="AV34" s="55">
        <f t="shared" si="19"/>
        <v>517000</v>
      </c>
      <c r="AW34" s="137">
        <f>AW33+IF(AND(AV34&lt;&gt;"",COUNTIF(AV$4:AV34,AV34)=1),1,0)</f>
        <v>31</v>
      </c>
      <c r="AX34" s="55">
        <f t="shared" si="20"/>
        <v>517000</v>
      </c>
      <c r="AY34" s="55">
        <f>IF('Final Calculation Sheet'!$I$34="","",'Final Calculation Sheet'!$I$34)</f>
        <v>3791</v>
      </c>
      <c r="AZ34" s="137">
        <f>IF(AY34="","",COUNTIFS(AY$4:AY$40,"&lt;"&amp;AY34,AY$4:AY$40,"&lt;&gt;"&amp;"")+COUNTIF(AY$4:AY34,AY34))</f>
        <v>3</v>
      </c>
      <c r="BA34" s="55">
        <f t="shared" si="21"/>
        <v>93060</v>
      </c>
      <c r="BB34" s="137">
        <f>BB33+IF(AND(BA34&lt;&gt;"",COUNTIF(BA$4:BA34,BA34)=1),1,0)</f>
        <v>31</v>
      </c>
      <c r="BC34" s="55">
        <f t="shared" si="22"/>
        <v>93060</v>
      </c>
      <c r="BD34" s="55">
        <f>IF('Final Calculation Sheet'!$J$34="","",'Final Calculation Sheet'!$J$34)</f>
        <v>24851</v>
      </c>
      <c r="BE34" s="137">
        <f>IF(BD34="","",COUNTIFS(BD$4:BD$40,"&lt;"&amp;BD34,BD$4:BD$40,"&lt;&gt;"&amp;"")+COUNTIF(BD$4:BD34,BD34))</f>
        <v>3</v>
      </c>
      <c r="BF34" s="55">
        <f t="shared" si="23"/>
        <v>610060</v>
      </c>
      <c r="BG34" s="137">
        <f>BG33+IF(AND(BF34&lt;&gt;"",COUNTIF(BF$4:BF34,BF34)=1),1,0)</f>
        <v>31</v>
      </c>
      <c r="BH34" s="55">
        <f t="shared" si="24"/>
        <v>610060</v>
      </c>
      <c r="BI34" s="55">
        <f>IF('Final Calculation Sheet'!$K$34="","",'Final Calculation Sheet'!$K$34)</f>
        <v>497</v>
      </c>
      <c r="BJ34" s="137">
        <f>IF(BI34="","",COUNTIFS(BI$4:BI$40,"&lt;"&amp;BI34,BI$4:BI$40,"&lt;&gt;"&amp;"")+COUNTIF(BI$4:BI34,BI34))</f>
        <v>3</v>
      </c>
      <c r="BK34" s="55">
        <f t="shared" si="25"/>
        <v>12201</v>
      </c>
      <c r="BL34" s="137">
        <f>BL33+IF(AND(BK34&lt;&gt;"",COUNTIF(BK$4:BK34,BK34)=1),1,0)</f>
        <v>30</v>
      </c>
      <c r="BM34" s="55">
        <f t="shared" si="26"/>
        <v>12966</v>
      </c>
      <c r="BN34" s="55">
        <f>IF('Final Calculation Sheet'!$L$34="","",'Final Calculation Sheet'!$L$34)</f>
        <v>21.06</v>
      </c>
      <c r="BO34" s="137">
        <f>IF(BN34="","",COUNTIFS(BN$4:BN$40,"&lt;"&amp;BN34,BN$4:BN$40,"&lt;&gt;"&amp;"")+COUNTIF(BN$4:BN34,BN34))</f>
        <v>3</v>
      </c>
      <c r="BP34" s="55">
        <f t="shared" si="27"/>
        <v>517</v>
      </c>
      <c r="BQ34" s="137">
        <f>BQ33+IF(AND(BP34&lt;&gt;"",COUNTIF(BP$4:BP34,BP34)=1),1,0)</f>
        <v>31</v>
      </c>
      <c r="BR34" s="55">
        <f t="shared" si="28"/>
        <v>517</v>
      </c>
      <c r="BS34" s="55">
        <f>IF('Final Calculation Sheet'!$M$34="","",'Final Calculation Sheet'!$M$34)</f>
        <v>559.14299999999992</v>
      </c>
      <c r="BT34" s="137">
        <f>IF(BS34="","",COUNTIFS(BS$4:BS$40,"&lt;"&amp;BS34,BS$4:BS$40,"&lt;&gt;"&amp;"")+COUNTIF(BS$4:BS34,BS34))</f>
        <v>3</v>
      </c>
      <c r="BU34" s="55">
        <f t="shared" si="29"/>
        <v>13726.349999999999</v>
      </c>
      <c r="BV34" s="137">
        <f>BV33+IF(AND(BU34&lt;&gt;"",COUNTIF(BU$4:BU34,BU34)=1),1,0)</f>
        <v>31</v>
      </c>
      <c r="BW34" s="55">
        <f t="shared" si="30"/>
        <v>13726.349999999999</v>
      </c>
      <c r="BX34" s="138">
        <f>IF('Final Calculation Sheet'!$N$34="","",'Final Calculation Sheet'!$N$34)</f>
        <v>9.4770000000000003</v>
      </c>
      <c r="BY34" s="137">
        <f>IF(BX34="","",COUNTIFS(BX$4:BX$40,"&lt;"&amp;BX34,BX$4:BX$40,"&lt;&gt;"&amp;"")+COUNTIF(BX$4:BX34,BX34))</f>
        <v>3</v>
      </c>
      <c r="BZ34" s="138">
        <f t="shared" si="31"/>
        <v>232.65</v>
      </c>
      <c r="CA34" s="137">
        <f>CA33+IF(AND(BZ34&lt;&gt;"",COUNTIF(BZ$4:BZ34,BZ34)=1),1,0)</f>
        <v>31</v>
      </c>
      <c r="CB34" s="138">
        <f t="shared" si="32"/>
        <v>232.65</v>
      </c>
      <c r="CC34" s="55">
        <f>IF('Final Calculation Sheet'!$O$34="","",'Final Calculation Sheet'!$O$34)</f>
        <v>549.66599999999994</v>
      </c>
      <c r="CD34" s="137">
        <f>IF(CC34="","",COUNTIFS(CC$4:CC$40,"&lt;"&amp;CC34,CC$4:CC$40,"&lt;&gt;"&amp;"")+COUNTIF(CC$4:CC34,CC34))</f>
        <v>3</v>
      </c>
      <c r="CE34" s="55">
        <f t="shared" si="33"/>
        <v>13493.699999999999</v>
      </c>
      <c r="CF34" s="137">
        <f>CF33+IF(AND(CE34&lt;&gt;"",COUNTIF(CE$4:CE34,CE34)=1),1,0)</f>
        <v>31</v>
      </c>
      <c r="CG34" s="55">
        <f t="shared" si="34"/>
        <v>13493.699999999999</v>
      </c>
      <c r="CH34" s="55">
        <f>IF('Final Calculation Sheet'!$P$34="","",'Final Calculation Sheet'!$P$34)</f>
        <v>571</v>
      </c>
      <c r="CI34" s="137">
        <f>IF(CH34="","",COUNTIFS(CH$4:CH$40,"&lt;"&amp;CH34,CH$4:CH$40,"&lt;&gt;"&amp;"")+COUNTIF(CH$4:CH34,CH34))</f>
        <v>3</v>
      </c>
      <c r="CJ34" s="55">
        <f t="shared" si="35"/>
        <v>14011</v>
      </c>
      <c r="CK34" s="137">
        <f>CK33+IF(AND(CJ34&lt;&gt;"",COUNTIF(CJ$4:CJ34,CJ34)=1),1,0)</f>
        <v>30</v>
      </c>
      <c r="CL34" s="55">
        <f t="shared" si="36"/>
        <v>14889</v>
      </c>
      <c r="CM34" s="139">
        <f>IF('Final Calculation Sheet'!$Q$34="","",'Final Calculation Sheet'!$Q$34)</f>
        <v>0</v>
      </c>
      <c r="CN34" s="137">
        <f>IF(CM34="","",COUNTIFS(CM$4:CM$40,"&lt;"&amp;CM34,CM$4:CM$40,"&lt;&gt;"&amp;"")+COUNTIF(CM$4:CM34,CM34))</f>
        <v>27</v>
      </c>
      <c r="CO34" s="139">
        <f t="shared" si="37"/>
        <v>0</v>
      </c>
      <c r="CP34" s="137">
        <f>CP33+IF(AND(CO34&lt;&gt;"",COUNTIF(CO$4:CO34,CO34)=1),1,0)</f>
        <v>1</v>
      </c>
      <c r="CQ34" t="str">
        <f t="shared" si="38"/>
        <v/>
      </c>
      <c r="CR34" s="55">
        <f>IF('Final Calculation Sheet'!$R$34="","",'Final Calculation Sheet'!$R$34)</f>
        <v>0</v>
      </c>
      <c r="CS34" s="137">
        <f>IF(CR34="","",COUNTIFS(CR$4:CR$40,"&lt;"&amp;CR34,CR$4:CR$40,"&lt;&gt;"&amp;"")+COUNTIF(CR$4:CR34,CR34))</f>
        <v>27</v>
      </c>
      <c r="CT34" s="55">
        <f t="shared" si="39"/>
        <v>0</v>
      </c>
      <c r="CU34" s="137">
        <f>CU33+IF(AND(CT34&lt;&gt;"",COUNTIF(CT$4:CT34,CT34)=1),1,0)</f>
        <v>1</v>
      </c>
      <c r="CV34" t="str">
        <f t="shared" si="40"/>
        <v/>
      </c>
      <c r="CW34" s="55">
        <f>IF('Final Calculation Sheet'!$S$34="","",'Final Calculation Sheet'!$S$34)</f>
        <v>24777</v>
      </c>
      <c r="CX34" s="137">
        <f>IF(CW34="","",COUNTIFS(CW$4:CW$40,"&lt;"&amp;CW34,CW$4:CW$40,"&lt;&gt;"&amp;"")+COUNTIF(CW$4:CW34,CW34))</f>
        <v>3</v>
      </c>
      <c r="CY34" s="55">
        <f t="shared" si="41"/>
        <v>608251</v>
      </c>
      <c r="CZ34" s="137">
        <f>CZ33+IF(AND(CY34&lt;&gt;"",COUNTIF(CY$4:CY34,CY34)=1),1,0)</f>
        <v>31</v>
      </c>
      <c r="DA34" s="55">
        <f t="shared" si="42"/>
        <v>608251</v>
      </c>
      <c r="DB34" s="55">
        <f>IF('Final Calculation Sheet'!$T$34="","",'Final Calculation Sheet'!$T$34)</f>
        <v>5265</v>
      </c>
      <c r="DC34" s="137">
        <f>IF(DB34="","",COUNTIFS(DB$4:DB$40,"&lt;"&amp;DB34,DB$4:DB$40,"&lt;&gt;"&amp;"")+COUNTIF(DB$4:DB34,DB34))</f>
        <v>3</v>
      </c>
      <c r="DD34" s="55">
        <f t="shared" si="43"/>
        <v>129250</v>
      </c>
      <c r="DE34" s="137">
        <f>DE33+IF(AND(DD34&lt;&gt;"",COUNTIF(DD$4:DD34,DD34)=1),1,0)</f>
        <v>31</v>
      </c>
      <c r="DF34" s="55">
        <f t="shared" si="44"/>
        <v>129250</v>
      </c>
      <c r="DG34" s="140">
        <f>IF('Final Calculation Sheet'!$U$34="","",'Final Calculation Sheet'!$U$34)</f>
        <v>5265</v>
      </c>
      <c r="DH34" s="137">
        <f>IF(DG34="","",COUNTIFS(DG$4:DG$40,"&lt;"&amp;DG34,DG$4:DG$40,"&lt;&gt;"&amp;"")+COUNTIF(DG$4:DG34,DG34))</f>
        <v>3</v>
      </c>
      <c r="DI34" s="140">
        <f t="shared" si="45"/>
        <v>129250</v>
      </c>
      <c r="DJ34" s="137">
        <f>DJ33+IF(AND(DI34&lt;&gt;"",COUNTIF(DI$4:DI34,DI34)=1),1,0)</f>
        <v>31</v>
      </c>
      <c r="DK34" s="140">
        <f t="shared" si="46"/>
        <v>129250</v>
      </c>
      <c r="DL34" t="str">
        <f>IF('Final Calculation Sheet'!$V$34="","",'Final Calculation Sheet'!$V$34)</f>
        <v>11.08.2026</v>
      </c>
      <c r="DM34" s="137">
        <f>IF(DL34="","",COUNTIFS(DL$4:DL$40,"&lt;"&amp;DL34,DL$4:DL$40,"&lt;&gt;"&amp;"")+COUNTIF(DL$4:DL34,DL34))</f>
        <v>10</v>
      </c>
      <c r="DN34" t="str">
        <f t="shared" si="47"/>
        <v>14.08.2026</v>
      </c>
      <c r="DO34" s="137">
        <f>DO33+IF(AND(DN34&lt;&gt;"",COUNTIF(DN$4:DN34,DN34)=1),1,0)</f>
        <v>4</v>
      </c>
      <c r="DP34" t="str">
        <f t="shared" si="48"/>
        <v/>
      </c>
      <c r="DQ34" s="55">
        <f>IF('Final Calculation Sheet'!$W$34="","",'Final Calculation Sheet'!$W$34)</f>
        <v>19512</v>
      </c>
      <c r="DR34" s="137">
        <f>IF(DQ34="","",COUNTIFS(DQ$4:DQ$40,"&lt;"&amp;DQ34,DQ$4:DQ$40,"&lt;&gt;"&amp;"")+COUNTIF(DQ$4:DQ34,DQ34))</f>
        <v>3</v>
      </c>
      <c r="DS34" s="55">
        <f t="shared" si="49"/>
        <v>479001</v>
      </c>
      <c r="DT34" s="137">
        <f>DT33+IF(AND(DS34&lt;&gt;"",COUNTIF(DS$4:DS34,DS34)=1),1,0)</f>
        <v>31</v>
      </c>
      <c r="DU34" s="55">
        <f t="shared" si="50"/>
        <v>479001</v>
      </c>
      <c r="DV34" s="55">
        <f>IF('Final Calculation Sheet'!$X$34="","",'Final Calculation Sheet'!$X$34)</f>
        <v>19512</v>
      </c>
      <c r="DW34" s="137">
        <f>IF(DV34="","",COUNTIFS(DV$4:DV$40,"&lt;"&amp;DV34,DV$4:DV$40,"&lt;&gt;"&amp;"")+COUNTIF(DV$4:DV34,DV34))</f>
        <v>3</v>
      </c>
      <c r="DX34" s="55">
        <f t="shared" si="51"/>
        <v>1056525</v>
      </c>
      <c r="DY34" s="137">
        <f>DY33+IF(AND(DX34&lt;&gt;"",COUNTIF(DX$4:DX34,DX34)=1),1,0)</f>
        <v>31</v>
      </c>
      <c r="DZ34" t="e">
        <f t="shared" si="52"/>
        <v>#N/A</v>
      </c>
      <c r="EA34" t="str">
        <f>IF('Final Calculation Sheet'!$Y$34="","",'Final Calculation Sheet'!$Y$34)</f>
        <v>11.08.2026</v>
      </c>
      <c r="EB34" s="137">
        <f>IF(EA34="","",COUNTIFS(EA$4:EA$40,"&lt;"&amp;EA34,EA$4:EA$40,"&lt;&gt;"&amp;"")+COUNTIF(EA$4:EA34,EA34))</f>
        <v>8</v>
      </c>
      <c r="EC34" t="str">
        <f t="shared" si="53"/>
        <v>24.08.2026</v>
      </c>
      <c r="ED34" s="137">
        <f>ED33+IF(AND(EC34&lt;&gt;"",COUNTIF(EC$4:EC34,EC34)=1),1,0)</f>
        <v>9</v>
      </c>
      <c r="EE34" t="e">
        <f t="shared" si="54"/>
        <v>#N/A</v>
      </c>
      <c r="EF34" s="55">
        <f ca="1">IF('Final Calculation Sheet'!$Z$34="","",'Final Calculation Sheet'!$Z$34)</f>
        <v>0</v>
      </c>
      <c r="EG34" s="137">
        <f ca="1">IF(EF34="","",COUNTIFS(EF$4:EF$40,"&lt;"&amp;EF34,EF$4:EF$40,"&lt;&gt;"&amp;"")+COUNTIF(EF$4:EF34,EF34))</f>
        <v>29</v>
      </c>
      <c r="EH34" s="55">
        <f t="shared" ca="1" si="55"/>
        <v>0</v>
      </c>
      <c r="EI34" s="137">
        <f ca="1">EI33+IF(AND(EH34&lt;&gt;"",COUNTIF(EH$4:EH34,EH34)=1),1,0)</f>
        <v>1</v>
      </c>
      <c r="EJ34" t="str">
        <f t="shared" ca="1" si="56"/>
        <v/>
      </c>
      <c r="EK34" t="str">
        <f>IF('Final Calculation Sheet'!$AA$34="","",'Final Calculation Sheet'!$AA$34)</f>
        <v/>
      </c>
      <c r="EL34" t="str">
        <f>IF(EK34="","",COUNTIFS(EK$4:EK$40,"&lt;"&amp;EK34,EK$4:EK$40,"&lt;&gt;"&amp;"")+COUNTIF(EK$4:EK34,EK34))</f>
        <v/>
      </c>
      <c r="EM34" s="137" t="e">
        <f t="shared" si="57"/>
        <v>#N/A</v>
      </c>
      <c r="EN34" s="137" t="e">
        <f>EN33+IF(AND(EM34&lt;&gt;"",COUNTIF(EM$4:EM34,EM34)=1),1,0)</f>
        <v>#N/A</v>
      </c>
      <c r="EO34" t="e">
        <f t="shared" si="58"/>
        <v>#N/A</v>
      </c>
      <c r="EP34" t="str">
        <f>IF('Final Calculation Sheet'!$AB$34="","",'Final Calculation Sheet'!$AB$34)</f>
        <v/>
      </c>
      <c r="EQ34" t="str">
        <f>IF(EP34="","",COUNTIFS(EP$4:EP$40,"&lt;"&amp;EP34,EP$4:EP$40,"&lt;&gt;"&amp;"")+COUNTIF(EP$4:EP34,EP34))</f>
        <v/>
      </c>
      <c r="ER34" s="137" t="e">
        <f t="shared" si="59"/>
        <v>#N/A</v>
      </c>
      <c r="ES34" s="137" t="e">
        <f>ES33+IF(AND(ER34&lt;&gt;"",COUNTIF(ER$4:ER34,ER34)=1),1,0)</f>
        <v>#N/A</v>
      </c>
      <c r="ET34" t="e">
        <f t="shared" si="60"/>
        <v>#N/A</v>
      </c>
      <c r="EU34" s="55">
        <f>IF('Final Calculation Sheet'!$AC$34="","",'Final Calculation Sheet'!$AC$34)</f>
        <v>24777</v>
      </c>
      <c r="EV34" s="137">
        <f>IF(EU34="","",COUNTIFS(EU$4:EU$40,"&lt;"&amp;EU34,EU$4:EU$40,"&lt;&gt;"&amp;"")+COUNTIF(EU$4:EU34,EU34))</f>
        <v>4</v>
      </c>
      <c r="EW34" s="55">
        <f t="shared" si="61"/>
        <v>470600</v>
      </c>
      <c r="EX34" s="137">
        <f>EX33+IF(AND(EW34&lt;&gt;"",COUNTIF(EW$4:EW34,EW34)=1),1,0)</f>
        <v>31</v>
      </c>
      <c r="EY34" s="55">
        <f t="shared" si="62"/>
        <v>470600</v>
      </c>
      <c r="EZ34" s="55">
        <f>IF('Final Calculation Sheet'!$AD$34="","",'Final Calculation Sheet'!$AD$34)</f>
        <v>0</v>
      </c>
      <c r="FA34" s="137">
        <f>IF(EZ34="","",COUNTIFS(EZ$4:EZ$40,"&lt;"&amp;EZ34,EZ$4:EZ$40,"&lt;&gt;"&amp;"")+COUNTIF(EZ$4:EZ34,EZ34))</f>
        <v>26</v>
      </c>
      <c r="FB34" s="55">
        <f t="shared" si="63"/>
        <v>1</v>
      </c>
      <c r="FC34" s="137" t="e">
        <f>FC33+IF(AND(FB34&lt;&gt;"",COUNTIF(FB$4:FB34,FB34)=1),1,0)</f>
        <v>#N/A</v>
      </c>
      <c r="FD34" t="e">
        <f t="shared" si="64"/>
        <v>#N/A</v>
      </c>
      <c r="FE34" t="str">
        <f>IF('Final Calculation Sheet'!$AE$34="","",'Final Calculation Sheet'!$AE$34)</f>
        <v>DR2640100022</v>
      </c>
      <c r="FF34" s="137">
        <f>IF(FE34="","",COUNTIFS(FE$4:FE$40,"&lt;"&amp;FE34,FE$4:FE$40,"&lt;&gt;"&amp;"")+COUNTIF(FE$4:FE34,FE34))</f>
        <v>11</v>
      </c>
      <c r="FG34" t="str">
        <f t="shared" si="65"/>
        <v>DR2640100042</v>
      </c>
      <c r="FH34" s="137" t="e">
        <f>FH33+IF(AND(FG34&lt;&gt;"",COUNTIF(FG$4:FG34,FG34)=1),1,0)</f>
        <v>#N/A</v>
      </c>
      <c r="FI34" t="e">
        <f t="shared" si="66"/>
        <v>#N/A</v>
      </c>
      <c r="FJ34" s="141">
        <f>IF('Final Calculation Sheet'!$AF$34="","",'Final Calculation Sheet'!$AF$34)</f>
        <v>1800003161</v>
      </c>
      <c r="FK34" s="137">
        <f>IF(FJ34="","",COUNTIFS(FJ$4:FJ$40,"&lt;"&amp;FJ34,FJ$4:FJ$40,"&lt;&gt;"&amp;"")+COUNTIF(FJ$4:FJ34,FJ34))</f>
        <v>6</v>
      </c>
      <c r="FL34" s="141">
        <f t="shared" si="67"/>
        <v>1800003346</v>
      </c>
      <c r="FM34" s="137">
        <f>FM33+IF(AND(FL34&lt;&gt;"",COUNTIF(FL$4:FL34,FL34)=1),1,0)</f>
        <v>31</v>
      </c>
      <c r="FN34" t="e">
        <f t="shared" si="68"/>
        <v>#N/A</v>
      </c>
      <c r="FO34" t="str">
        <f>IF('Final Calculation Sheet'!$AG$34="","",'Final Calculation Sheet'!$AG$34)</f>
        <v>14.08.2026</v>
      </c>
      <c r="FP34" s="137">
        <f>IF(FO34="","",COUNTIFS(FO$4:FO$40,"&lt;"&amp;FO34,FO$4:FO$40,"&lt;&gt;"&amp;"")+COUNTIF(FO$4:FO34,FO34))</f>
        <v>11</v>
      </c>
      <c r="FQ34" t="str">
        <f t="shared" si="69"/>
        <v>27.08.2026</v>
      </c>
      <c r="FR34" s="137" t="e">
        <f>FR33+IF(AND(FQ34&lt;&gt;"",COUNTIF(FQ$4:FQ34,FQ34)=1),1,0)</f>
        <v>#N/A</v>
      </c>
      <c r="FS34" t="e">
        <f t="shared" si="70"/>
        <v>#N/A</v>
      </c>
      <c r="FU34" t="str">
        <f>IF(FT34="","",COUNTIFS(FT$4:FT$40,"&lt;"&amp;FT34,FT$4:FT$40,"&lt;&gt;"&amp;"")+COUNTIF(FT$4:FT34,FT34))</f>
        <v/>
      </c>
      <c r="FV34" t="str">
        <f t="shared" si="71"/>
        <v/>
      </c>
      <c r="FW34" s="137">
        <f>FW33+IF(AND(FV34&lt;&gt;"",COUNTIF(FV$4:FV34,FV34)=1),1,0)</f>
        <v>2</v>
      </c>
      <c r="FX34" t="str">
        <f t="shared" si="72"/>
        <v/>
      </c>
    </row>
    <row r="35" spans="1:180" x14ac:dyDescent="0.25">
      <c r="A35">
        <f>IF('Final Calculation Sheet'!$F$35="","",'Final Calculation Sheet'!$F$35)</f>
        <v>2067</v>
      </c>
      <c r="B35" s="137">
        <f>IF(A35="","",COUNTIFS(A$4:A$114,"&lt;"&amp;A35,A$4:A$114,"&lt;&gt;"&amp;"")+COUNTIF(A$4:A35,A35))</f>
        <v>32</v>
      </c>
      <c r="C35" s="137">
        <f t="shared" si="0"/>
        <v>2067</v>
      </c>
      <c r="D35" s="137">
        <f>D34+IF(AND(C35&lt;&gt;"",COUNTIF(C$4:C35,C35)=1),1,0)</f>
        <v>32</v>
      </c>
      <c r="E35" t="e">
        <f t="shared" si="1"/>
        <v>#N/A</v>
      </c>
      <c r="F35">
        <f t="shared" si="2"/>
        <v>32</v>
      </c>
      <c r="G35" s="137">
        <f>IF(F35="","",COUNTIFS(F$4:F$40,"&lt;"&amp;F35,F$4:F$40,"&lt;&gt;"&amp;"")+COUNTIF(F$4:F35,F35))</f>
        <v>32</v>
      </c>
      <c r="H35" s="137">
        <f t="shared" si="3"/>
        <v>32</v>
      </c>
      <c r="I35" s="137">
        <f>I34+IF(AND(H35&lt;&gt;"",COUNTIF(H$4:H35,H35)=1),1,0)</f>
        <v>32</v>
      </c>
      <c r="J35">
        <f t="shared" si="4"/>
        <v>32</v>
      </c>
      <c r="K35">
        <f>IF('Final Calculation Sheet'!$F$35="","",'Final Calculation Sheet'!$F$35)</f>
        <v>2067</v>
      </c>
      <c r="L35" s="137">
        <f>IF(K35="","",COUNTIFS(K$4:K$40,"&lt;"&amp;K35,K$4:K$40,"&lt;&gt;"&amp;"")+COUNTIF(K$4:K35,K35))</f>
        <v>32</v>
      </c>
      <c r="M35" s="137">
        <f t="shared" si="5"/>
        <v>2067</v>
      </c>
      <c r="N35" s="137">
        <f>N34+IF(AND(M35&lt;&gt;"",COUNTIF(M$4:M35,M35)=1),1,0)</f>
        <v>32</v>
      </c>
      <c r="O35">
        <f t="shared" si="6"/>
        <v>2067</v>
      </c>
      <c r="P35" t="str">
        <f>IF('Final Calculation Sheet'!$G$35="","",'Final Calculation Sheet'!$G$35)</f>
        <v>WATAN SCRAP TRADERS</v>
      </c>
      <c r="Q35" s="137">
        <f>IF(P35="","",COUNTIFS(P$4:P$40,"&lt;"&amp;P35,P$4:P$40,"&lt;&gt;"&amp;"")+COUNTIF(P$4:P35,P35))</f>
        <v>37</v>
      </c>
      <c r="R35" t="str">
        <f t="shared" si="7"/>
        <v>STERLING ENTERPRISES</v>
      </c>
      <c r="S35" s="137">
        <f>S34+IF(AND(R35&lt;&gt;"",COUNTIF(R$4:R35,R35)=1),1,0)</f>
        <v>12</v>
      </c>
      <c r="T35" t="str">
        <f t="shared" si="8"/>
        <v/>
      </c>
      <c r="U35" t="str">
        <f>IF('Final Calculation Sheet'!$B$35="","",'Final Calculation Sheet'!$B$35)</f>
        <v>Scrap of empty oil drums</v>
      </c>
      <c r="V35" s="137">
        <f>IF(U35="","",COUNTIFS(U$4:U$40,"&lt;"&amp;U35,U$4:U$40,"&lt;&gt;"&amp;"")+COUNTIF(U$4:U35,U35))</f>
        <v>34</v>
      </c>
      <c r="W35" t="str">
        <f t="shared" si="9"/>
        <v>Scrap of Empty oil drum</v>
      </c>
      <c r="X35" s="137">
        <f>X34+IF(AND(W35&lt;&gt;"",COUNTIF(W$4:W35,W35)=1),1,0)</f>
        <v>22</v>
      </c>
      <c r="Y35" t="str">
        <f t="shared" si="10"/>
        <v/>
      </c>
      <c r="Z35">
        <f>IF('Final Calculation Sheet'!$D$35="","",'Final Calculation Sheet'!$D$35)</f>
        <v>21980</v>
      </c>
      <c r="AA35" s="137">
        <f>IF(Z35="","",COUNTIFS(Z$4:Z$40,"&lt;"&amp;Z35,Z$4:Z$40,"&lt;&gt;"&amp;"")+COUNTIF(Z$4:Z35,Z35))</f>
        <v>32</v>
      </c>
      <c r="AB35" s="137">
        <f t="shared" si="11"/>
        <v>21980</v>
      </c>
      <c r="AC35" s="137">
        <f>AC34+IF(AND(AB35&lt;&gt;"",COUNTIF(AB$4:AB35,AB35)=1),1,0)</f>
        <v>4</v>
      </c>
      <c r="AD35" t="str">
        <f t="shared" si="12"/>
        <v/>
      </c>
      <c r="AE35">
        <f>IF('Final Calculation Sheet'!$A$35="","",'Final Calculation Sheet'!$A$35)</f>
        <v>150</v>
      </c>
      <c r="AF35" s="137">
        <f>IF(AE35="","",COUNTIFS(AE$4:AE$40,"&lt;"&amp;AE35,AE$4:AE$40,"&lt;&gt;"&amp;"")+COUNTIF(AE$4:AE35,AE35))</f>
        <v>29</v>
      </c>
      <c r="AG35" s="137">
        <f t="shared" si="13"/>
        <v>669</v>
      </c>
      <c r="AH35" s="137">
        <f>AH34+IF(AND(AG35&lt;&gt;"",COUNTIF(AG$4:AG35,AG35)=1),1,0)</f>
        <v>17</v>
      </c>
      <c r="AI35" t="str">
        <f t="shared" si="14"/>
        <v/>
      </c>
      <c r="AJ35" t="str">
        <f>IF('Final Calculation Sheet'!$E$35="","",'Final Calculation Sheet'!$E$35)</f>
        <v>NO</v>
      </c>
      <c r="AK35" s="137">
        <f>IF(AJ35="","",COUNTIFS(AJ$4:AJ$40,"&lt;"&amp;AJ35,AJ$4:AJ$40,"&lt;&gt;"&amp;"")+COUNTIF(AJ$4:AJ35,AJ35))</f>
        <v>32</v>
      </c>
      <c r="AL35" t="str">
        <f t="shared" si="15"/>
        <v>NO</v>
      </c>
      <c r="AM35" s="137">
        <f>AM34+IF(AND(AL35&lt;&gt;"",COUNTIF(AL$4:AL35,AL35)=1),1,0)</f>
        <v>3</v>
      </c>
      <c r="AN35" t="str">
        <f t="shared" si="16"/>
        <v/>
      </c>
      <c r="AO35" s="55">
        <f>IF('Final Calculation Sheet'!$C$35="","",'Final Calculation Sheet'!$C$35)</f>
        <v>571</v>
      </c>
      <c r="AP35" s="137">
        <f>IF(AO35="","",COUNTIFS(AO$4:AO$40,"&lt;"&amp;AO35,AO$4:AO$40,"&lt;&gt;"&amp;"")+COUNTIF(AO$4:AO35,AO35))</f>
        <v>8</v>
      </c>
      <c r="AQ35" s="55">
        <f t="shared" si="17"/>
        <v>90002</v>
      </c>
      <c r="AR35" s="137">
        <f>AR34+IF(AND(AQ35&lt;&gt;"",COUNTIF(AQ$4:AQ35,AQ35)=1),1,0)</f>
        <v>30</v>
      </c>
      <c r="AS35" s="55">
        <f t="shared" si="18"/>
        <v>210001</v>
      </c>
      <c r="AT35" s="55">
        <f>IF('Final Calculation Sheet'!$H$35="","",'Final Calculation Sheet'!$H$35)</f>
        <v>85650</v>
      </c>
      <c r="AU35" s="137">
        <f>IF(AT35="","",COUNTIFS(AT$4:AT$40,"&lt;"&amp;AT35,AT$4:AT$40,"&lt;&gt;"&amp;"")+COUNTIF(AT$4:AT35,AT35))</f>
        <v>16</v>
      </c>
      <c r="AV35" s="55">
        <f t="shared" si="19"/>
        <v>549400</v>
      </c>
      <c r="AW35" s="137">
        <f>AW34+IF(AND(AV35&lt;&gt;"",COUNTIF(AV$4:AV35,AV35)=1),1,0)</f>
        <v>32</v>
      </c>
      <c r="AX35" s="55">
        <f t="shared" si="20"/>
        <v>549400</v>
      </c>
      <c r="AY35" s="55">
        <f>IF('Final Calculation Sheet'!$I$35="","",'Final Calculation Sheet'!$I$35)</f>
        <v>15417</v>
      </c>
      <c r="AZ35" s="137">
        <f>IF(AY35="","",COUNTIFS(AY$4:AY$40,"&lt;"&amp;AY35,AY$4:AY$40,"&lt;&gt;"&amp;"")+COUNTIF(AY$4:AY35,AY35))</f>
        <v>16</v>
      </c>
      <c r="BA35" s="55">
        <f t="shared" si="21"/>
        <v>98892</v>
      </c>
      <c r="BB35" s="137">
        <f>BB34+IF(AND(BA35&lt;&gt;"",COUNTIF(BA$4:BA35,BA35)=1),1,0)</f>
        <v>32</v>
      </c>
      <c r="BC35" s="55">
        <f t="shared" si="22"/>
        <v>98892</v>
      </c>
      <c r="BD35" s="55">
        <f>IF('Final Calculation Sheet'!$J$35="","",'Final Calculation Sheet'!$J$35)</f>
        <v>101067</v>
      </c>
      <c r="BE35" s="137">
        <f>IF(BD35="","",COUNTIFS(BD$4:BD$40,"&lt;"&amp;BD35,BD$4:BD$40,"&lt;&gt;"&amp;"")+COUNTIF(BD$4:BD35,BD35))</f>
        <v>16</v>
      </c>
      <c r="BF35" s="55">
        <f t="shared" si="23"/>
        <v>648292</v>
      </c>
      <c r="BG35" s="137">
        <f>BG34+IF(AND(BF35&lt;&gt;"",COUNTIF(BF$4:BF35,BF35)=1),1,0)</f>
        <v>32</v>
      </c>
      <c r="BH35" s="55">
        <f t="shared" si="24"/>
        <v>648292</v>
      </c>
      <c r="BI35" s="55">
        <f>IF('Final Calculation Sheet'!$K$35="","",'Final Calculation Sheet'!$K$35)</f>
        <v>2021</v>
      </c>
      <c r="BJ35" s="137">
        <f>IF(BI35="","",COUNTIFS(BI$4:BI$40,"&lt;"&amp;BI35,BI$4:BI$40,"&lt;&gt;"&amp;"")+COUNTIF(BI$4:BI35,BI35))</f>
        <v>16</v>
      </c>
      <c r="BK35" s="55">
        <f t="shared" si="25"/>
        <v>12966</v>
      </c>
      <c r="BL35" s="137">
        <f>BL34+IF(AND(BK35&lt;&gt;"",COUNTIF(BK$4:BK35,BK35)=1),1,0)</f>
        <v>31</v>
      </c>
      <c r="BM35" s="55">
        <f t="shared" si="26"/>
        <v>18646</v>
      </c>
      <c r="BN35" s="55">
        <f>IF('Final Calculation Sheet'!$L$35="","",'Final Calculation Sheet'!$L$35)</f>
        <v>85.65</v>
      </c>
      <c r="BO35" s="137">
        <f>IF(BN35="","",COUNTIFS(BN$4:BN$40,"&lt;"&amp;BN35,BN$4:BN$40,"&lt;&gt;"&amp;"")+COUNTIF(BN$4:BN35,BN35))</f>
        <v>16</v>
      </c>
      <c r="BP35" s="55">
        <f t="shared" si="27"/>
        <v>549.4</v>
      </c>
      <c r="BQ35" s="137">
        <f>BQ34+IF(AND(BP35&lt;&gt;"",COUNTIF(BP$4:BP35,BP35)=1),1,0)</f>
        <v>32</v>
      </c>
      <c r="BR35" s="55">
        <f t="shared" si="28"/>
        <v>549.4</v>
      </c>
      <c r="BS35" s="55">
        <f>IF('Final Calculation Sheet'!$M$35="","",'Final Calculation Sheet'!$M$35)</f>
        <v>2274.0074999999997</v>
      </c>
      <c r="BT35" s="137">
        <f>IF(BS35="","",COUNTIFS(BS$4:BS$40,"&lt;"&amp;BS35,BS$4:BS$40,"&lt;&gt;"&amp;"")+COUNTIF(BS$4:BS35,BS35))</f>
        <v>16</v>
      </c>
      <c r="BU35" s="55">
        <f t="shared" si="29"/>
        <v>14586.57</v>
      </c>
      <c r="BV35" s="137">
        <f>BV34+IF(AND(BU35&lt;&gt;"",COUNTIF(BU$4:BU35,BU35)=1),1,0)</f>
        <v>32</v>
      </c>
      <c r="BW35" s="55">
        <f t="shared" si="30"/>
        <v>14586.57</v>
      </c>
      <c r="BX35" s="138">
        <f>IF('Final Calculation Sheet'!$N$35="","",'Final Calculation Sheet'!$N$35)</f>
        <v>38.542500000000004</v>
      </c>
      <c r="BY35" s="137">
        <f>IF(BX35="","",COUNTIFS(BX$4:BX$40,"&lt;"&amp;BX35,BX$4:BX$40,"&lt;&gt;"&amp;"")+COUNTIF(BX$4:BX35,BX35))</f>
        <v>16</v>
      </c>
      <c r="BZ35" s="138">
        <f t="shared" si="31"/>
        <v>247.23000000000002</v>
      </c>
      <c r="CA35" s="137">
        <f>CA34+IF(AND(BZ35&lt;&gt;"",COUNTIF(BZ$4:BZ35,BZ35)=1),1,0)</f>
        <v>32</v>
      </c>
      <c r="CB35" s="138">
        <f t="shared" si="32"/>
        <v>247.23000000000002</v>
      </c>
      <c r="CC35" s="55">
        <f>IF('Final Calculation Sheet'!$O$35="","",'Final Calculation Sheet'!$O$35)</f>
        <v>2235.4649999999997</v>
      </c>
      <c r="CD35" s="137">
        <f>IF(CC35="","",COUNTIFS(CC$4:CC$40,"&lt;"&amp;CC35,CC$4:CC$40,"&lt;&gt;"&amp;"")+COUNTIF(CC$4:CC35,CC35))</f>
        <v>16</v>
      </c>
      <c r="CE35" s="55">
        <f t="shared" si="33"/>
        <v>14339.34</v>
      </c>
      <c r="CF35" s="137">
        <f>CF34+IF(AND(CE35&lt;&gt;"",COUNTIF(CE$4:CE35,CE35)=1),1,0)</f>
        <v>32</v>
      </c>
      <c r="CG35" s="55">
        <f t="shared" si="34"/>
        <v>14339.34</v>
      </c>
      <c r="CH35" s="55">
        <f>IF('Final Calculation Sheet'!$P$35="","",'Final Calculation Sheet'!$P$35)</f>
        <v>2321</v>
      </c>
      <c r="CI35" s="137">
        <f>IF(CH35="","",COUNTIFS(CH$4:CH$40,"&lt;"&amp;CH35,CH$4:CH$40,"&lt;&gt;"&amp;"")+COUNTIF(CH$4:CH35,CH35))</f>
        <v>16</v>
      </c>
      <c r="CJ35" s="55">
        <f t="shared" si="35"/>
        <v>14889</v>
      </c>
      <c r="CK35" s="137">
        <f>CK34+IF(AND(CJ35&lt;&gt;"",COUNTIF(CJ$4:CJ35,CJ35)=1),1,0)</f>
        <v>31</v>
      </c>
      <c r="CL35" s="55">
        <f t="shared" si="36"/>
        <v>21411</v>
      </c>
      <c r="CM35" s="139">
        <f>IF('Final Calculation Sheet'!$Q$35="","",'Final Calculation Sheet'!$Q$35)</f>
        <v>0</v>
      </c>
      <c r="CN35" s="137">
        <f>IF(CM35="","",COUNTIFS(CM$4:CM$40,"&lt;"&amp;CM35,CM$4:CM$40,"&lt;&gt;"&amp;"")+COUNTIF(CM$4:CM35,CM35))</f>
        <v>28</v>
      </c>
      <c r="CO35" s="139">
        <f t="shared" si="37"/>
        <v>0</v>
      </c>
      <c r="CP35" s="137">
        <f>CP34+IF(AND(CO35&lt;&gt;"",COUNTIF(CO$4:CO35,CO35)=1),1,0)</f>
        <v>1</v>
      </c>
      <c r="CQ35" t="str">
        <f t="shared" si="38"/>
        <v/>
      </c>
      <c r="CR35" s="55">
        <f>IF('Final Calculation Sheet'!$R$35="","",'Final Calculation Sheet'!$R$35)</f>
        <v>0</v>
      </c>
      <c r="CS35" s="137">
        <f>IF(CR35="","",COUNTIFS(CR$4:CR$40,"&lt;"&amp;CR35,CR$4:CR$40,"&lt;&gt;"&amp;"")+COUNTIF(CR$4:CR35,CR35))</f>
        <v>28</v>
      </c>
      <c r="CT35" s="55">
        <f t="shared" si="39"/>
        <v>0</v>
      </c>
      <c r="CU35" s="137">
        <f>CU34+IF(AND(CT35&lt;&gt;"",COUNTIF(CT$4:CT35,CT35)=1),1,0)</f>
        <v>1</v>
      </c>
      <c r="CV35" t="str">
        <f t="shared" si="40"/>
        <v/>
      </c>
      <c r="CW35" s="55">
        <f>IF('Final Calculation Sheet'!$S$35="","",'Final Calculation Sheet'!$S$35)</f>
        <v>100767</v>
      </c>
      <c r="CX35" s="137">
        <f>IF(CW35="","",COUNTIFS(CW$4:CW$40,"&lt;"&amp;CW35,CW$4:CW$40,"&lt;&gt;"&amp;"")+COUNTIF(CW$4:CW35,CW35))</f>
        <v>16</v>
      </c>
      <c r="CY35" s="55">
        <f t="shared" si="41"/>
        <v>635381</v>
      </c>
      <c r="CZ35" s="137">
        <f>CZ34+IF(AND(CY35&lt;&gt;"",COUNTIF(CY$4:CY35,CY35)=1),1,0)</f>
        <v>32</v>
      </c>
      <c r="DA35" s="55">
        <f t="shared" si="42"/>
        <v>635381</v>
      </c>
      <c r="DB35" s="55">
        <f>IF('Final Calculation Sheet'!$T$35="","",'Final Calculation Sheet'!$T$35)</f>
        <v>21413</v>
      </c>
      <c r="DC35" s="137">
        <f>IF(DB35="","",COUNTIFS(DB$4:DB$40,"&lt;"&amp;DB35,DB$4:DB$40,"&lt;&gt;"&amp;"")+COUNTIF(DB$4:DB35,DB35))</f>
        <v>16</v>
      </c>
      <c r="DD35" s="55">
        <f t="shared" si="43"/>
        <v>137350</v>
      </c>
      <c r="DE35" s="137">
        <f>DE34+IF(AND(DD35&lt;&gt;"",COUNTIF(DD$4:DD35,DD35)=1),1,0)</f>
        <v>32</v>
      </c>
      <c r="DF35" s="55">
        <f t="shared" si="44"/>
        <v>137350</v>
      </c>
      <c r="DG35" s="140">
        <f>IF('Final Calculation Sheet'!$U$35="","",'Final Calculation Sheet'!$U$35)</f>
        <v>21413</v>
      </c>
      <c r="DH35" s="137">
        <f>IF(DG35="","",COUNTIFS(DG$4:DG$40,"&lt;"&amp;DG35,DG$4:DG$40,"&lt;&gt;"&amp;"")+COUNTIF(DG$4:DG35,DG35))</f>
        <v>16</v>
      </c>
      <c r="DI35" s="140">
        <f t="shared" si="45"/>
        <v>137350</v>
      </c>
      <c r="DJ35" s="137">
        <f>DJ34+IF(AND(DI35&lt;&gt;"",COUNTIF(DI$4:DI35,DI35)=1),1,0)</f>
        <v>32</v>
      </c>
      <c r="DK35" s="140">
        <f t="shared" si="46"/>
        <v>137350</v>
      </c>
      <c r="DL35" t="str">
        <f>IF('Final Calculation Sheet'!$V$35="","",'Final Calculation Sheet'!$V$35)</f>
        <v>14.08.2026</v>
      </c>
      <c r="DM35" s="137">
        <f>IF(DL35="","",COUNTIFS(DL$4:DL$40,"&lt;"&amp;DL35,DL$4:DL$40,"&lt;&gt;"&amp;"")+COUNTIF(DL$4:DL35,DL35))</f>
        <v>33</v>
      </c>
      <c r="DN35" t="str">
        <f t="shared" si="47"/>
        <v>14.08.2026</v>
      </c>
      <c r="DO35" s="137">
        <f>DO34+IF(AND(DN35&lt;&gt;"",COUNTIF(DN$4:DN35,DN35)=1),1,0)</f>
        <v>4</v>
      </c>
      <c r="DP35" t="str">
        <f t="shared" si="48"/>
        <v/>
      </c>
      <c r="DQ35" s="55">
        <f>IF('Final Calculation Sheet'!$W$35="","",'Final Calculation Sheet'!$W$35)</f>
        <v>79355</v>
      </c>
      <c r="DR35" s="137">
        <f>IF(DQ35="","",COUNTIFS(DQ$4:DQ$40,"&lt;"&amp;DQ35,DQ$4:DQ$40,"&lt;&gt;"&amp;"")+COUNTIF(DQ$4:DQ35,DQ35))</f>
        <v>16</v>
      </c>
      <c r="DS35" s="55">
        <f t="shared" si="49"/>
        <v>498031</v>
      </c>
      <c r="DT35" s="137">
        <f>DT34+IF(AND(DS35&lt;&gt;"",COUNTIF(DS$4:DS35,DS35)=1),1,0)</f>
        <v>32</v>
      </c>
      <c r="DU35" s="55">
        <f t="shared" si="50"/>
        <v>498031</v>
      </c>
      <c r="DV35" s="55">
        <f>IF('Final Calculation Sheet'!$X$35="","",'Final Calculation Sheet'!$X$35)</f>
        <v>79354</v>
      </c>
      <c r="DW35" s="137">
        <f>IF(DV35="","",COUNTIFS(DV$4:DV$40,"&lt;"&amp;DV35,DV$4:DV$40,"&lt;&gt;"&amp;"")+COUNTIF(DV$4:DV35,DV35))</f>
        <v>15</v>
      </c>
      <c r="DX35" s="55">
        <f t="shared" si="51"/>
        <v>1492490</v>
      </c>
      <c r="DY35" s="137">
        <f>DY34+IF(AND(DX35&lt;&gt;"",COUNTIF(DX$4:DX35,DX35)=1),1,0)</f>
        <v>32</v>
      </c>
      <c r="DZ35" t="e">
        <f t="shared" si="52"/>
        <v>#N/A</v>
      </c>
      <c r="EA35" t="str">
        <f>IF('Final Calculation Sheet'!$Y$35="","",'Final Calculation Sheet'!$Y$35)</f>
        <v>20.08.2026</v>
      </c>
      <c r="EB35" s="137">
        <f>IF(EA35="","",COUNTIFS(EA$4:EA$40,"&lt;"&amp;EA35,EA$4:EA$40,"&lt;&gt;"&amp;"")+COUNTIF(EA$4:EA35,EA35))</f>
        <v>16</v>
      </c>
      <c r="EC35" t="str">
        <f t="shared" si="53"/>
        <v>24.08.2026</v>
      </c>
      <c r="ED35" s="137">
        <f>ED34+IF(AND(EC35&lt;&gt;"",COUNTIF(EC$4:EC35,EC35)=1),1,0)</f>
        <v>9</v>
      </c>
      <c r="EE35" t="e">
        <f t="shared" si="54"/>
        <v>#N/A</v>
      </c>
      <c r="EF35" s="55">
        <f ca="1">IF('Final Calculation Sheet'!$Z$35="","",'Final Calculation Sheet'!$Z$35)</f>
        <v>0</v>
      </c>
      <c r="EG35" s="137">
        <f ca="1">IF(EF35="","",COUNTIFS(EF$4:EF$40,"&lt;"&amp;EF35,EF$4:EF$40,"&lt;&gt;"&amp;"")+COUNTIF(EF$4:EF35,EF35))</f>
        <v>30</v>
      </c>
      <c r="EH35" s="55">
        <f t="shared" ca="1" si="55"/>
        <v>0</v>
      </c>
      <c r="EI35" s="137">
        <f ca="1">EI34+IF(AND(EH35&lt;&gt;"",COUNTIF(EH$4:EH35,EH35)=1),1,0)</f>
        <v>1</v>
      </c>
      <c r="EJ35" t="str">
        <f t="shared" ca="1" si="56"/>
        <v/>
      </c>
      <c r="EK35" t="str">
        <f>IF('Final Calculation Sheet'!$AA$35="","",'Final Calculation Sheet'!$AA$35)</f>
        <v/>
      </c>
      <c r="EL35" t="str">
        <f>IF(EK35="","",COUNTIFS(EK$4:EK$40,"&lt;"&amp;EK35,EK$4:EK$40,"&lt;&gt;"&amp;"")+COUNTIF(EK$4:EK35,EK35))</f>
        <v/>
      </c>
      <c r="EM35" s="137" t="e">
        <f t="shared" si="57"/>
        <v>#N/A</v>
      </c>
      <c r="EN35" s="137" t="e">
        <f>EN34+IF(AND(EM35&lt;&gt;"",COUNTIF(EM$4:EM35,EM35)=1),1,0)</f>
        <v>#N/A</v>
      </c>
      <c r="EO35" t="e">
        <f t="shared" si="58"/>
        <v>#N/A</v>
      </c>
      <c r="EP35" t="str">
        <f>IF('Final Calculation Sheet'!$AB$35="","",'Final Calculation Sheet'!$AB$35)</f>
        <v/>
      </c>
      <c r="EQ35" t="str">
        <f>IF(EP35="","",COUNTIFS(EP$4:EP$40,"&lt;"&amp;EP35,EP$4:EP$40,"&lt;&gt;"&amp;"")+COUNTIF(EP$4:EP35,EP35))</f>
        <v/>
      </c>
      <c r="ER35" s="137" t="e">
        <f t="shared" si="59"/>
        <v>#N/A</v>
      </c>
      <c r="ES35" s="137" t="e">
        <f>ES34+IF(AND(ER35&lt;&gt;"",COUNTIF(ER$4:ER35,ER35)=1),1,0)</f>
        <v>#N/A</v>
      </c>
      <c r="ET35" t="e">
        <f t="shared" si="60"/>
        <v>#N/A</v>
      </c>
      <c r="EU35" s="55">
        <f>IF('Final Calculation Sheet'!$AC$35="","",'Final Calculation Sheet'!$AC$35)</f>
        <v>100767</v>
      </c>
      <c r="EV35" s="137">
        <f>IF(EU35="","",COUNTIFS(EU$4:EU$40,"&lt;"&amp;EU35,EU$4:EU$40,"&lt;&gt;"&amp;"")+COUNTIF(EU$4:EU35,EU35))</f>
        <v>17</v>
      </c>
      <c r="EW35" s="55">
        <f t="shared" si="61"/>
        <v>608251</v>
      </c>
      <c r="EX35" s="137">
        <f>EX34+IF(AND(EW35&lt;&gt;"",COUNTIF(EW$4:EW35,EW35)=1),1,0)</f>
        <v>32</v>
      </c>
      <c r="EY35" s="55">
        <f t="shared" si="62"/>
        <v>608251</v>
      </c>
      <c r="EZ35" s="55">
        <f>IF('Final Calculation Sheet'!$AD$35="","",'Final Calculation Sheet'!$AD$35)</f>
        <v>0</v>
      </c>
      <c r="FA35" s="137">
        <f>IF(EZ35="","",COUNTIFS(EZ$4:EZ$40,"&lt;"&amp;EZ35,EZ$4:EZ$40,"&lt;&gt;"&amp;"")+COUNTIF(EZ$4:EZ35,EZ35))</f>
        <v>27</v>
      </c>
      <c r="FB35" s="55">
        <f t="shared" si="63"/>
        <v>1</v>
      </c>
      <c r="FC35" s="137" t="e">
        <f>FC34+IF(AND(FB35&lt;&gt;"",COUNTIF(FB$4:FB35,FB35)=1),1,0)</f>
        <v>#N/A</v>
      </c>
      <c r="FD35" t="e">
        <f t="shared" si="64"/>
        <v>#N/A</v>
      </c>
      <c r="FE35" t="str">
        <f>IF('Final Calculation Sheet'!$AE$35="","",'Final Calculation Sheet'!$AE$35)</f>
        <v>DR2640100027</v>
      </c>
      <c r="FF35" s="137">
        <f>IF(FE35="","",COUNTIFS(FE$4:FE$40,"&lt;"&amp;FE35,FE$4:FE$40,"&lt;&gt;"&amp;"")+COUNTIF(FE$4:FE35,FE35))</f>
        <v>16</v>
      </c>
      <c r="FG35" t="str">
        <f t="shared" si="65"/>
        <v>DR2640100043</v>
      </c>
      <c r="FH35" s="137" t="e">
        <f>FH34+IF(AND(FG35&lt;&gt;"",COUNTIF(FG$4:FG35,FG35)=1),1,0)</f>
        <v>#N/A</v>
      </c>
      <c r="FI35" t="e">
        <f t="shared" si="66"/>
        <v>#N/A</v>
      </c>
      <c r="FJ35" s="141">
        <f>IF('Final Calculation Sheet'!$AF$35="","",'Final Calculation Sheet'!$AF$35)</f>
        <v>1800003248</v>
      </c>
      <c r="FK35" s="137">
        <f>IF(FJ35="","",COUNTIFS(FJ$4:FJ$40,"&lt;"&amp;FJ35,FJ$4:FJ$40,"&lt;&gt;"&amp;"")+COUNTIF(FJ$4:FJ35,FJ35))</f>
        <v>11</v>
      </c>
      <c r="FL35" s="141">
        <f t="shared" si="67"/>
        <v>1800003347</v>
      </c>
      <c r="FM35" s="137">
        <f>FM34+IF(AND(FL35&lt;&gt;"",COUNTIF(FL$4:FL35,FL35)=1),1,0)</f>
        <v>32</v>
      </c>
      <c r="FN35" t="e">
        <f t="shared" si="68"/>
        <v>#N/A</v>
      </c>
      <c r="FO35" t="str">
        <f>IF('Final Calculation Sheet'!$AG$35="","",'Final Calculation Sheet'!$AG$35)</f>
        <v>20.08.2026</v>
      </c>
      <c r="FP35" s="137">
        <f>IF(FO35="","",COUNTIFS(FO$4:FO$40,"&lt;"&amp;FO35,FO$4:FO$40,"&lt;&gt;"&amp;"")+COUNTIF(FO$4:FO35,FO35))</f>
        <v>16</v>
      </c>
      <c r="FQ35" t="str">
        <f t="shared" si="69"/>
        <v>27.08.2026</v>
      </c>
      <c r="FR35" s="137" t="e">
        <f>FR34+IF(AND(FQ35&lt;&gt;"",COUNTIF(FQ$4:FQ35,FQ35)=1),1,0)</f>
        <v>#N/A</v>
      </c>
      <c r="FS35" t="e">
        <f t="shared" si="70"/>
        <v>#N/A</v>
      </c>
      <c r="FU35" t="str">
        <f>IF(FT35="","",COUNTIFS(FT$4:FT$40,"&lt;"&amp;FT35,FT$4:FT$40,"&lt;&gt;"&amp;"")+COUNTIF(FT$4:FT35,FT35))</f>
        <v/>
      </c>
      <c r="FV35" t="str">
        <f t="shared" si="71"/>
        <v/>
      </c>
      <c r="FW35" s="137">
        <f>FW34+IF(AND(FV35&lt;&gt;"",COUNTIF(FV$4:FV35,FV35)=1),1,0)</f>
        <v>2</v>
      </c>
      <c r="FX35" t="str">
        <f t="shared" si="72"/>
        <v/>
      </c>
    </row>
    <row r="36" spans="1:180" x14ac:dyDescent="0.25">
      <c r="A36">
        <f>IF('Final Calculation Sheet'!$F$36="","",'Final Calculation Sheet'!$F$36)</f>
        <v>2069</v>
      </c>
      <c r="B36" s="137">
        <f>IF(A36="","",COUNTIFS(A$4:A$114,"&lt;"&amp;A36,A$4:A$114,"&lt;&gt;"&amp;"")+COUNTIF(A$4:A36,A36))</f>
        <v>33</v>
      </c>
      <c r="C36" s="137">
        <f t="shared" ref="C36:C67" si="73">IF(ROW()-3&gt;COUNTIF(A$4:A$114,"&lt;&gt;"&amp;""),"",INDEX(A$4:A$114,MATCH(ROW()-3,B$4:B$114,0)))</f>
        <v>2069</v>
      </c>
      <c r="D36" s="137">
        <f>D35+IF(AND(C36&lt;&gt;"",COUNTIF(C$4:C36,C36)=1),1,0)</f>
        <v>33</v>
      </c>
      <c r="E36" t="e">
        <f t="shared" ref="E36:E67" si="74">IF(ROW()-3&gt;MAX(D$4:D$114),"",INDEX(C$4:C$114,MATCH(ROW()-3,D$4:D$114,0)))</f>
        <v>#N/A</v>
      </c>
      <c r="F36">
        <f t="shared" si="2"/>
        <v>33</v>
      </c>
      <c r="G36" s="137">
        <f>IF(F36="","",COUNTIFS(F$4:F$40,"&lt;"&amp;F36,F$4:F$40,"&lt;&gt;"&amp;"")+COUNTIF(F$4:F36,F36))</f>
        <v>33</v>
      </c>
      <c r="H36" s="137">
        <f t="shared" si="3"/>
        <v>33</v>
      </c>
      <c r="I36" s="137">
        <f>I35+IF(AND(H36&lt;&gt;"",COUNTIF(H$4:H36,H36)=1),1,0)</f>
        <v>33</v>
      </c>
      <c r="J36">
        <f t="shared" si="4"/>
        <v>33</v>
      </c>
      <c r="K36">
        <f>IF('Final Calculation Sheet'!$F$36="","",'Final Calculation Sheet'!$F$36)</f>
        <v>2069</v>
      </c>
      <c r="L36" s="137">
        <f>IF(K36="","",COUNTIFS(K$4:K$40,"&lt;"&amp;K36,K$4:K$40,"&lt;&gt;"&amp;"")+COUNTIF(K$4:K36,K36))</f>
        <v>33</v>
      </c>
      <c r="M36" s="137">
        <f t="shared" si="5"/>
        <v>2069</v>
      </c>
      <c r="N36" s="137">
        <f>N35+IF(AND(M36&lt;&gt;"",COUNTIF(M$4:M36,M36)=1),1,0)</f>
        <v>33</v>
      </c>
      <c r="O36">
        <f t="shared" si="6"/>
        <v>2069</v>
      </c>
      <c r="P36" t="str">
        <f>IF('Final Calculation Sheet'!$G$36="","",'Final Calculation Sheet'!$G$36)</f>
        <v>STERLING ENTERPRISES</v>
      </c>
      <c r="Q36" s="137">
        <f>IF(P36="","",COUNTIFS(P$4:P$40,"&lt;"&amp;P36,P$4:P$40,"&lt;&gt;"&amp;"")+COUNTIF(P$4:P36,P36))</f>
        <v>34</v>
      </c>
      <c r="R36" t="str">
        <f t="shared" si="7"/>
        <v>STERLING ENTERPRISES</v>
      </c>
      <c r="S36" s="137">
        <f>S35+IF(AND(R36&lt;&gt;"",COUNTIF(R$4:R36,R36)=1),1,0)</f>
        <v>12</v>
      </c>
      <c r="T36" t="str">
        <f t="shared" si="8"/>
        <v/>
      </c>
      <c r="U36" t="str">
        <f>IF('Final Calculation Sheet'!$B$36="","",'Final Calculation Sheet'!$B$36)</f>
        <v>Scrap of 33 KV CB</v>
      </c>
      <c r="V36" s="137">
        <f>IF(U36="","",COUNTIFS(U$4:U$40,"&lt;"&amp;U36,U$4:U$40,"&lt;&gt;"&amp;"")+COUNTIF(U$4:U36,U36))</f>
        <v>19</v>
      </c>
      <c r="W36" t="str">
        <f t="shared" si="9"/>
        <v>Scrap of empty oil drums</v>
      </c>
      <c r="X36" s="137">
        <f>X35+IF(AND(W36&lt;&gt;"",COUNTIF(W$4:W36,W36)=1),1,0)</f>
        <v>23</v>
      </c>
      <c r="Y36" t="str">
        <f t="shared" si="10"/>
        <v/>
      </c>
      <c r="Z36">
        <f>IF('Final Calculation Sheet'!$D$36="","",'Final Calculation Sheet'!$D$36)</f>
        <v>21980</v>
      </c>
      <c r="AA36" s="137">
        <f>IF(Z36="","",COUNTIFS(Z$4:Z$40,"&lt;"&amp;Z36,Z$4:Z$40,"&lt;&gt;"&amp;"")+COUNTIF(Z$4:Z36,Z36))</f>
        <v>33</v>
      </c>
      <c r="AB36" s="137">
        <f t="shared" si="11"/>
        <v>21980</v>
      </c>
      <c r="AC36" s="137">
        <f>AC35+IF(AND(AB36&lt;&gt;"",COUNTIF(AB$4:AB36,AB36)=1),1,0)</f>
        <v>4</v>
      </c>
      <c r="AD36" t="str">
        <f t="shared" si="12"/>
        <v/>
      </c>
      <c r="AE36">
        <f>IF('Final Calculation Sheet'!$A$36="","",'Final Calculation Sheet'!$A$36)</f>
        <v>1</v>
      </c>
      <c r="AF36" s="137">
        <f>IF(AE36="","",COUNTIFS(AE$4:AE$40,"&lt;"&amp;AE36,AE$4:AE$40,"&lt;&gt;"&amp;"")+COUNTIF(AE$4:AE36,AE36))</f>
        <v>9</v>
      </c>
      <c r="AG36" s="137">
        <f t="shared" si="13"/>
        <v>670</v>
      </c>
      <c r="AH36" s="137">
        <f>AH35+IF(AND(AG36&lt;&gt;"",COUNTIF(AG$4:AG36,AG36)=1),1,0)</f>
        <v>18</v>
      </c>
      <c r="AI36" t="str">
        <f t="shared" si="14"/>
        <v/>
      </c>
      <c r="AJ36" t="str">
        <f>IF('Final Calculation Sheet'!$E$36="","",'Final Calculation Sheet'!$E$36)</f>
        <v>NO</v>
      </c>
      <c r="AK36" s="137">
        <f>IF(AJ36="","",COUNTIFS(AJ$4:AJ$40,"&lt;"&amp;AJ36,AJ$4:AJ$40,"&lt;&gt;"&amp;"")+COUNTIF(AJ$4:AJ36,AJ36))</f>
        <v>33</v>
      </c>
      <c r="AL36" t="str">
        <f t="shared" si="15"/>
        <v>NO</v>
      </c>
      <c r="AM36" s="137">
        <f>AM35+IF(AND(AL36&lt;&gt;"",COUNTIF(AL$4:AL36,AL36)=1),1,0)</f>
        <v>3</v>
      </c>
      <c r="AN36" t="str">
        <f t="shared" si="16"/>
        <v/>
      </c>
      <c r="AO36" s="55">
        <f>IF('Final Calculation Sheet'!$C$36="","",'Final Calculation Sheet'!$C$36)</f>
        <v>54000</v>
      </c>
      <c r="AP36" s="137">
        <f>IF(AO36="","",COUNTIFS(AO$4:AO$40,"&lt;"&amp;AO36,AO$4:AO$40,"&lt;&gt;"&amp;"")+COUNTIF(AO$4:AO36,AO36))</f>
        <v>24</v>
      </c>
      <c r="AQ36" s="55">
        <f t="shared" si="17"/>
        <v>110200</v>
      </c>
      <c r="AR36" s="137">
        <f>AR35+IF(AND(AQ36&lt;&gt;"",COUNTIF(AQ$4:AQ36,AQ36)=1),1,0)</f>
        <v>31</v>
      </c>
      <c r="AS36" s="55">
        <f t="shared" si="18"/>
        <v>220001</v>
      </c>
      <c r="AT36" s="55">
        <f>IF('Final Calculation Sheet'!$H$36="","",'Final Calculation Sheet'!$H$36)</f>
        <v>54000</v>
      </c>
      <c r="AU36" s="137">
        <f>IF(AT36="","",COUNTIFS(AT$4:AT$40,"&lt;"&amp;AT36,AT$4:AT$40,"&lt;&gt;"&amp;"")+COUNTIF(AT$4:AT36,AT36))</f>
        <v>10</v>
      </c>
      <c r="AV36" s="55">
        <f t="shared" si="19"/>
        <v>790089</v>
      </c>
      <c r="AW36" s="137">
        <f>AW35+IF(AND(AV36&lt;&gt;"",COUNTIF(AV$4:AV36,AV36)=1),1,0)</f>
        <v>33</v>
      </c>
      <c r="AX36" s="55">
        <f t="shared" si="20"/>
        <v>790089</v>
      </c>
      <c r="AY36" s="55">
        <f>IF('Final Calculation Sheet'!$I$36="","",'Final Calculation Sheet'!$I$36)</f>
        <v>9720</v>
      </c>
      <c r="AZ36" s="137">
        <f>IF(AY36="","",COUNTIFS(AY$4:AY$40,"&lt;"&amp;AY36,AY$4:AY$40,"&lt;&gt;"&amp;"")+COUNTIF(AY$4:AY36,AY36))</f>
        <v>10</v>
      </c>
      <c r="BA36" s="55">
        <f t="shared" si="21"/>
        <v>142216</v>
      </c>
      <c r="BB36" s="137">
        <f>BB35+IF(AND(BA36&lt;&gt;"",COUNTIF(BA$4:BA36,BA36)=1),1,0)</f>
        <v>33</v>
      </c>
      <c r="BC36" s="55">
        <f t="shared" si="22"/>
        <v>142216</v>
      </c>
      <c r="BD36" s="55">
        <f>IF('Final Calculation Sheet'!$J$36="","",'Final Calculation Sheet'!$J$36)</f>
        <v>63720</v>
      </c>
      <c r="BE36" s="137">
        <f>IF(BD36="","",COUNTIFS(BD$4:BD$40,"&lt;"&amp;BD36,BD$4:BD$40,"&lt;&gt;"&amp;"")+COUNTIF(BD$4:BD36,BD36))</f>
        <v>10</v>
      </c>
      <c r="BF36" s="55">
        <f t="shared" si="23"/>
        <v>932305</v>
      </c>
      <c r="BG36" s="137">
        <f>BG35+IF(AND(BF36&lt;&gt;"",COUNTIF(BF$4:BF36,BF36)=1),1,0)</f>
        <v>33</v>
      </c>
      <c r="BH36" s="55">
        <f t="shared" si="24"/>
        <v>932305</v>
      </c>
      <c r="BI36" s="55">
        <f>IF('Final Calculation Sheet'!$K$36="","",'Final Calculation Sheet'!$K$36)</f>
        <v>1274</v>
      </c>
      <c r="BJ36" s="137">
        <f>IF(BI36="","",COUNTIFS(BI$4:BI$40,"&lt;"&amp;BI36,BI$4:BI$40,"&lt;&gt;"&amp;"")+COUNTIF(BI$4:BI36,BI36))</f>
        <v>10</v>
      </c>
      <c r="BK36" s="55">
        <f t="shared" si="25"/>
        <v>18646</v>
      </c>
      <c r="BL36" s="137">
        <f>BL35+IF(AND(BK36&lt;&gt;"",COUNTIF(BK$4:BK36,BK36)=1),1,0)</f>
        <v>32</v>
      </c>
      <c r="BM36" s="55">
        <f t="shared" si="26"/>
        <v>27506</v>
      </c>
      <c r="BN36" s="55">
        <f>IF('Final Calculation Sheet'!$L$36="","",'Final Calculation Sheet'!$L$36)</f>
        <v>54</v>
      </c>
      <c r="BO36" s="137">
        <f>IF(BN36="","",COUNTIFS(BN$4:BN$40,"&lt;"&amp;BN36,BN$4:BN$40,"&lt;&gt;"&amp;"")+COUNTIF(BN$4:BN36,BN36))</f>
        <v>10</v>
      </c>
      <c r="BP36" s="55">
        <f t="shared" si="27"/>
        <v>790.08900000000006</v>
      </c>
      <c r="BQ36" s="137">
        <f>BQ35+IF(AND(BP36&lt;&gt;"",COUNTIF(BP$4:BP36,BP36)=1),1,0)</f>
        <v>33</v>
      </c>
      <c r="BR36" s="55">
        <f t="shared" si="28"/>
        <v>790.08900000000006</v>
      </c>
      <c r="BS36" s="55">
        <f>IF('Final Calculation Sheet'!$M$36="","",'Final Calculation Sheet'!$M$36)</f>
        <v>1433.6999999999998</v>
      </c>
      <c r="BT36" s="137">
        <f>IF(BS36="","",COUNTIFS(BS$4:BS$40,"&lt;"&amp;BS36,BS$4:BS$40,"&lt;&gt;"&amp;"")+COUNTIF(BS$4:BS36,BS36))</f>
        <v>10</v>
      </c>
      <c r="BU36" s="55">
        <f t="shared" si="29"/>
        <v>20976.862949999999</v>
      </c>
      <c r="BV36" s="137">
        <f>BV35+IF(AND(BU36&lt;&gt;"",COUNTIF(BU$4:BU36,BU36)=1),1,0)</f>
        <v>33</v>
      </c>
      <c r="BW36" s="55">
        <f t="shared" si="30"/>
        <v>20976.862949999999</v>
      </c>
      <c r="BX36" s="138">
        <f>IF('Final Calculation Sheet'!$N$36="","",'Final Calculation Sheet'!$N$36)</f>
        <v>24.3</v>
      </c>
      <c r="BY36" s="137">
        <f>IF(BX36="","",COUNTIFS(BX$4:BX$40,"&lt;"&amp;BX36,BX$4:BX$40,"&lt;&gt;"&amp;"")+COUNTIF(BX$4:BX36,BX36))</f>
        <v>10</v>
      </c>
      <c r="BZ36" s="138">
        <f t="shared" si="31"/>
        <v>355.54005000000001</v>
      </c>
      <c r="CA36" s="137">
        <f>CA35+IF(AND(BZ36&lt;&gt;"",COUNTIF(BZ$4:BZ36,BZ36)=1),1,0)</f>
        <v>33</v>
      </c>
      <c r="CB36" s="138">
        <f t="shared" si="32"/>
        <v>355.54005000000001</v>
      </c>
      <c r="CC36" s="55">
        <f>IF('Final Calculation Sheet'!$O$36="","",'Final Calculation Sheet'!$O$36)</f>
        <v>1409.3999999999999</v>
      </c>
      <c r="CD36" s="137">
        <f>IF(CC36="","",COUNTIFS(CC$4:CC$40,"&lt;"&amp;CC36,CC$4:CC$40,"&lt;&gt;"&amp;"")+COUNTIF(CC$4:CC36,CC36))</f>
        <v>10</v>
      </c>
      <c r="CE36" s="55">
        <f t="shared" si="33"/>
        <v>20621.322899999999</v>
      </c>
      <c r="CF36" s="137">
        <f>CF35+IF(AND(CE36&lt;&gt;"",COUNTIF(CE$4:CE36,CE36)=1),1,0)</f>
        <v>33</v>
      </c>
      <c r="CG36" s="55">
        <f t="shared" si="34"/>
        <v>20621.322899999999</v>
      </c>
      <c r="CH36" s="55">
        <f>IF('Final Calculation Sheet'!$P$36="","",'Final Calculation Sheet'!$P$36)</f>
        <v>1463</v>
      </c>
      <c r="CI36" s="137">
        <f>IF(CH36="","",COUNTIFS(CH$4:CH$40,"&lt;"&amp;CH36,CH$4:CH$40,"&lt;&gt;"&amp;"")+COUNTIF(CH$4:CH36,CH36))</f>
        <v>10</v>
      </c>
      <c r="CJ36" s="55">
        <f t="shared" si="35"/>
        <v>21411</v>
      </c>
      <c r="CK36" s="137">
        <f>CK35+IF(AND(CJ36&lt;&gt;"",COUNTIF(CJ$4:CJ36,CJ36)=1),1,0)</f>
        <v>32</v>
      </c>
      <c r="CL36" s="55">
        <f t="shared" si="36"/>
        <v>31585</v>
      </c>
      <c r="CM36" s="139">
        <f>IF('Final Calculation Sheet'!$Q$36="","",'Final Calculation Sheet'!$Q$36)</f>
        <v>0</v>
      </c>
      <c r="CN36" s="137">
        <f>IF(CM36="","",COUNTIFS(CM$4:CM$40,"&lt;"&amp;CM36,CM$4:CM$40,"&lt;&gt;"&amp;"")+COUNTIF(CM$4:CM36,CM36))</f>
        <v>29</v>
      </c>
      <c r="CO36" s="139">
        <f t="shared" si="37"/>
        <v>0</v>
      </c>
      <c r="CP36" s="137">
        <f>CP35+IF(AND(CO36&lt;&gt;"",COUNTIF(CO$4:CO36,CO36)=1),1,0)</f>
        <v>1</v>
      </c>
      <c r="CQ36" t="str">
        <f t="shared" si="38"/>
        <v/>
      </c>
      <c r="CR36" s="55">
        <f>IF('Final Calculation Sheet'!$R$36="","",'Final Calculation Sheet'!$R$36)</f>
        <v>0</v>
      </c>
      <c r="CS36" s="137">
        <f>IF(CR36="","",COUNTIFS(CR$4:CR$40,"&lt;"&amp;CR36,CR$4:CR$40,"&lt;&gt;"&amp;"")+COUNTIF(CR$4:CR36,CR36))</f>
        <v>29</v>
      </c>
      <c r="CT36" s="55">
        <f t="shared" si="39"/>
        <v>0</v>
      </c>
      <c r="CU36" s="137">
        <f>CU35+IF(AND(CT36&lt;&gt;"",COUNTIF(CT$4:CT36,CT36)=1),1,0)</f>
        <v>1</v>
      </c>
      <c r="CV36" t="str">
        <f t="shared" si="40"/>
        <v/>
      </c>
      <c r="CW36" s="55">
        <f>IF('Final Calculation Sheet'!$S$36="","",'Final Calculation Sheet'!$S$36)</f>
        <v>63531</v>
      </c>
      <c r="CX36" s="137">
        <f>IF(CW36="","",COUNTIFS(CW$4:CW$40,"&lt;"&amp;CW36,CW$4:CW$40,"&lt;&gt;"&amp;"")+COUNTIF(CW$4:CW36,CW36))</f>
        <v>10</v>
      </c>
      <c r="CY36" s="55">
        <f t="shared" si="41"/>
        <v>913738</v>
      </c>
      <c r="CZ36" s="137">
        <f>CZ35+IF(AND(CY36&lt;&gt;"",COUNTIF(CY$4:CY36,CY36)=1),1,0)</f>
        <v>33</v>
      </c>
      <c r="DA36" s="55">
        <f t="shared" si="42"/>
        <v>913738</v>
      </c>
      <c r="DB36" s="55">
        <f>IF('Final Calculation Sheet'!$T$36="","",'Final Calculation Sheet'!$T$36)</f>
        <v>13500</v>
      </c>
      <c r="DC36" s="137">
        <f>IF(DB36="","",COUNTIFS(DB$4:DB$40,"&lt;"&amp;DB36,DB$4:DB$40,"&lt;&gt;"&amp;"")+COUNTIF(DB$4:DB36,DB36))</f>
        <v>10</v>
      </c>
      <c r="DD36" s="55">
        <f t="shared" si="43"/>
        <v>197522</v>
      </c>
      <c r="DE36" s="137">
        <f>DE35+IF(AND(DD36&lt;&gt;"",COUNTIF(DD$4:DD36,DD36)=1),1,0)</f>
        <v>33</v>
      </c>
      <c r="DF36" s="55">
        <f t="shared" si="44"/>
        <v>197522</v>
      </c>
      <c r="DG36" s="140">
        <f>IF('Final Calculation Sheet'!$U$36="","",'Final Calculation Sheet'!$U$36)</f>
        <v>13500</v>
      </c>
      <c r="DH36" s="137">
        <f>IF(DG36="","",COUNTIFS(DG$4:DG$40,"&lt;"&amp;DG36,DG$4:DG$40,"&lt;&gt;"&amp;"")+COUNTIF(DG$4:DG36,DG36))</f>
        <v>10</v>
      </c>
      <c r="DI36" s="140">
        <f t="shared" si="45"/>
        <v>197522</v>
      </c>
      <c r="DJ36" s="137">
        <f>DJ35+IF(AND(DI36&lt;&gt;"",COUNTIF(DI$4:DI36,DI36)=1),1,0)</f>
        <v>33</v>
      </c>
      <c r="DK36" s="140">
        <f t="shared" si="46"/>
        <v>197522</v>
      </c>
      <c r="DL36" t="str">
        <f>IF('Final Calculation Sheet'!$V$36="","",'Final Calculation Sheet'!$V$36)</f>
        <v>11.08.2026</v>
      </c>
      <c r="DM36" s="137">
        <f>IF(DL36="","",COUNTIFS(DL$4:DL$40,"&lt;"&amp;DL36,DL$4:DL$40,"&lt;&gt;"&amp;"")+COUNTIF(DL$4:DL36,DL36))</f>
        <v>11</v>
      </c>
      <c r="DN36" t="str">
        <f t="shared" si="47"/>
        <v>14.08.2026</v>
      </c>
      <c r="DO36" s="137">
        <f>DO35+IF(AND(DN36&lt;&gt;"",COUNTIF(DN$4:DN36,DN36)=1),1,0)</f>
        <v>4</v>
      </c>
      <c r="DP36" t="str">
        <f t="shared" si="48"/>
        <v/>
      </c>
      <c r="DQ36" s="55">
        <f>IF('Final Calculation Sheet'!$W$36="","",'Final Calculation Sheet'!$W$36)</f>
        <v>50031</v>
      </c>
      <c r="DR36" s="137">
        <f>IF(DQ36="","",COUNTIFS(DQ$4:DQ$40,"&lt;"&amp;DQ36,DQ$4:DQ$40,"&lt;&gt;"&amp;"")+COUNTIF(DQ$4:DQ36,DQ36))</f>
        <v>10</v>
      </c>
      <c r="DS36" s="55">
        <f t="shared" si="49"/>
        <v>716215</v>
      </c>
      <c r="DT36" s="137">
        <f>DT35+IF(AND(DS36&lt;&gt;"",COUNTIF(DS$4:DS36,DS36)=1),1,0)</f>
        <v>33</v>
      </c>
      <c r="DU36" s="55">
        <f t="shared" si="50"/>
        <v>716215</v>
      </c>
      <c r="DV36" t="str">
        <f>IF('Final Calculation Sheet'!$X$36="","",'Final Calculation Sheet'!$X$36)</f>
        <v/>
      </c>
      <c r="DW36" t="str">
        <f>IF(DV36="","",COUNTIFS(DV$4:DV$40,"&lt;"&amp;DV36,DV$4:DV$40,"&lt;&gt;"&amp;"")+COUNTIF(DV$4:DV36,DV36))</f>
        <v/>
      </c>
      <c r="DX36" s="55">
        <f t="shared" si="51"/>
        <v>2582447.0942916102</v>
      </c>
      <c r="DY36" s="137">
        <f>DY35+IF(AND(DX36&lt;&gt;"",COUNTIF(DX$4:DX36,DX36)=1),1,0)</f>
        <v>33</v>
      </c>
      <c r="DZ36" t="e">
        <f t="shared" si="52"/>
        <v>#N/A</v>
      </c>
      <c r="EA36" s="55">
        <f>IF('Final Calculation Sheet'!$Y$36="","",'Final Calculation Sheet'!$Y$36)</f>
        <v>0</v>
      </c>
      <c r="EB36" s="137">
        <f>IF(EA36="","",COUNTIFS(EA$4:EA$40,"&lt;"&amp;EA36,EA$4:EA$40,"&lt;&gt;"&amp;"")+COUNTIF(EA$4:EA36,EA36))</f>
        <v>3</v>
      </c>
      <c r="EC36" t="str">
        <f t="shared" si="53"/>
        <v>24.08.2026</v>
      </c>
      <c r="ED36" s="137">
        <f>ED35+IF(AND(EC36&lt;&gt;"",COUNTIF(EC$4:EC36,EC36)=1),1,0)</f>
        <v>9</v>
      </c>
      <c r="EE36" t="e">
        <f t="shared" si="54"/>
        <v>#N/A</v>
      </c>
      <c r="EF36" s="55">
        <f ca="1">IF('Final Calculation Sheet'!$Z$36="","",'Final Calculation Sheet'!$Z$36)</f>
        <v>1911.6</v>
      </c>
      <c r="EG36" s="137">
        <f ca="1">IF(EF36="","",COUNTIFS(EF$4:EF$40,"&lt;"&amp;EF36,EF$4:EF$40,"&lt;&gt;"&amp;"")+COUNTIF(EF$4:EF36,EF36))</f>
        <v>34</v>
      </c>
      <c r="EH36" s="55">
        <f t="shared" ca="1" si="55"/>
        <v>708.28319999999997</v>
      </c>
      <c r="EI36" s="137">
        <f ca="1">EI35+IF(AND(EH36&lt;&gt;"",COUNTIF(EH$4:EH36,EH36)=1),1,0)</f>
        <v>2</v>
      </c>
      <c r="EJ36" t="str">
        <f t="shared" ca="1" si="56"/>
        <v/>
      </c>
      <c r="EK36" t="str">
        <f>IF('Final Calculation Sheet'!$AA$36="","",'Final Calculation Sheet'!$AA$36)</f>
        <v/>
      </c>
      <c r="EL36" t="str">
        <f>IF(EK36="","",COUNTIFS(EK$4:EK$40,"&lt;"&amp;EK36,EK$4:EK$40,"&lt;&gt;"&amp;"")+COUNTIF(EK$4:EK36,EK36))</f>
        <v/>
      </c>
      <c r="EM36" s="137" t="e">
        <f t="shared" si="57"/>
        <v>#N/A</v>
      </c>
      <c r="EN36" s="137" t="e">
        <f>EN35+IF(AND(EM36&lt;&gt;"",COUNTIF(EM$4:EM36,EM36)=1),1,0)</f>
        <v>#N/A</v>
      </c>
      <c r="EO36" t="e">
        <f t="shared" si="58"/>
        <v>#N/A</v>
      </c>
      <c r="EP36" t="str">
        <f>IF('Final Calculation Sheet'!$AB$36="","",'Final Calculation Sheet'!$AB$36)</f>
        <v/>
      </c>
      <c r="EQ36" t="str">
        <f>IF(EP36="","",COUNTIFS(EP$4:EP$40,"&lt;"&amp;EP36,EP$4:EP$40,"&lt;&gt;"&amp;"")+COUNTIF(EP$4:EP36,EP36))</f>
        <v/>
      </c>
      <c r="ER36" s="137" t="e">
        <f t="shared" si="59"/>
        <v>#N/A</v>
      </c>
      <c r="ES36" s="137" t="e">
        <f>ES35+IF(AND(ER36&lt;&gt;"",COUNTIF(ER$4:ER36,ER36)=1),1,0)</f>
        <v>#N/A</v>
      </c>
      <c r="ET36" t="e">
        <f t="shared" si="60"/>
        <v>#N/A</v>
      </c>
      <c r="EU36" s="55">
        <f>IF('Final Calculation Sheet'!$AC$36="","",'Final Calculation Sheet'!$AC$36)</f>
        <v>13500</v>
      </c>
      <c r="EV36" s="137">
        <f>IF(EU36="","",COUNTIFS(EU$4:EU$40,"&lt;"&amp;EU36,EU$4:EU$40,"&lt;&gt;"&amp;"")+COUNTIF(EU$4:EU36,EU36))</f>
        <v>1</v>
      </c>
      <c r="EW36" s="55">
        <f t="shared" si="61"/>
        <v>913738</v>
      </c>
      <c r="EX36" s="137">
        <f>EX35+IF(AND(EW36&lt;&gt;"",COUNTIF(EW$4:EW36,EW36)=1),1,0)</f>
        <v>33</v>
      </c>
      <c r="EY36" s="55">
        <f t="shared" si="62"/>
        <v>913738</v>
      </c>
      <c r="EZ36" s="55">
        <f>IF('Final Calculation Sheet'!$AD$36="","",'Final Calculation Sheet'!$AD$36)</f>
        <v>50031</v>
      </c>
      <c r="FA36" s="137">
        <f>IF(EZ36="","",COUNTIFS(EZ$4:EZ$40,"&lt;"&amp;EZ36,EZ$4:EZ$40,"&lt;&gt;"&amp;"")+COUNTIF(EZ$4:EZ36,EZ36))</f>
        <v>35</v>
      </c>
      <c r="FB36" s="55">
        <f t="shared" si="63"/>
        <v>1</v>
      </c>
      <c r="FC36" s="137" t="e">
        <f>FC35+IF(AND(FB36&lt;&gt;"",COUNTIF(FB$4:FB36,FB36)=1),1,0)</f>
        <v>#N/A</v>
      </c>
      <c r="FD36" t="e">
        <f t="shared" si="64"/>
        <v>#N/A</v>
      </c>
      <c r="FE36" t="str">
        <f>IF('Final Calculation Sheet'!$AE$36="","",'Final Calculation Sheet'!$AE$36)</f>
        <v/>
      </c>
      <c r="FF36" t="str">
        <f>IF(FE36="","",COUNTIFS(FE$4:FE$40,"&lt;"&amp;FE36,FE$4:FE$40,"&lt;&gt;"&amp;"")+COUNTIF(FE$4:FE36,FE36))</f>
        <v/>
      </c>
      <c r="FG36" t="str">
        <f t="shared" si="65"/>
        <v>DR2640100044</v>
      </c>
      <c r="FH36" s="137" t="e">
        <f>FH35+IF(AND(FG36&lt;&gt;"",COUNTIF(FG$4:FG36,FG36)=1),1,0)</f>
        <v>#N/A</v>
      </c>
      <c r="FI36" t="e">
        <f t="shared" si="66"/>
        <v>#N/A</v>
      </c>
      <c r="FJ36" t="str">
        <f>IF('Final Calculation Sheet'!$AF$36="","",'Final Calculation Sheet'!$AF$36)</f>
        <v/>
      </c>
      <c r="FK36" t="str">
        <f>IF(FJ36="","",COUNTIFS(FJ$4:FJ$40,"&lt;"&amp;FJ36,FJ$4:FJ$40,"&lt;&gt;"&amp;"")+COUNTIF(FJ$4:FJ36,FJ36))</f>
        <v/>
      </c>
      <c r="FL36" s="137" t="e">
        <f t="shared" si="67"/>
        <v>#N/A</v>
      </c>
      <c r="FM36" s="137" t="e">
        <f>FM35+IF(AND(FL36&lt;&gt;"",COUNTIF(FL$4:FL36,FL36)=1),1,0)</f>
        <v>#N/A</v>
      </c>
      <c r="FN36" t="e">
        <f t="shared" si="68"/>
        <v>#N/A</v>
      </c>
      <c r="FO36" t="str">
        <f>IF('Final Calculation Sheet'!$AG$36="","",'Final Calculation Sheet'!$AG$36)</f>
        <v/>
      </c>
      <c r="FP36" t="str">
        <f>IF(FO36="","",COUNTIFS(FO$4:FO$40,"&lt;"&amp;FO36,FO$4:FO$40,"&lt;&gt;"&amp;"")+COUNTIF(FO$4:FO36,FO36))</f>
        <v/>
      </c>
      <c r="FQ36" t="str">
        <f t="shared" si="69"/>
        <v>27.08.2026</v>
      </c>
      <c r="FR36" s="137" t="e">
        <f>FR35+IF(AND(FQ36&lt;&gt;"",COUNTIF(FQ$4:FQ36,FQ36)=1),1,0)</f>
        <v>#N/A</v>
      </c>
      <c r="FS36" t="e">
        <f t="shared" si="70"/>
        <v>#N/A</v>
      </c>
      <c r="FU36" t="str">
        <f>IF(FT36="","",COUNTIFS(FT$4:FT$40,"&lt;"&amp;FT36,FT$4:FT$40,"&lt;&gt;"&amp;"")+COUNTIF(FT$4:FT36,FT36))</f>
        <v/>
      </c>
      <c r="FV36" t="str">
        <f t="shared" si="71"/>
        <v/>
      </c>
      <c r="FW36" s="137">
        <f>FW35+IF(AND(FV36&lt;&gt;"",COUNTIF(FV$4:FV36,FV36)=1),1,0)</f>
        <v>2</v>
      </c>
      <c r="FX36" t="str">
        <f t="shared" si="72"/>
        <v/>
      </c>
    </row>
    <row r="37" spans="1:180" x14ac:dyDescent="0.25">
      <c r="A37">
        <f>IF('Final Calculation Sheet'!$F$37="","",'Final Calculation Sheet'!$F$37)</f>
        <v>2071</v>
      </c>
      <c r="B37" s="137">
        <f>IF(A37="","",COUNTIFS(A$4:A$114,"&lt;"&amp;A37,A$4:A$114,"&lt;&gt;"&amp;"")+COUNTIF(A$4:A37,A37))</f>
        <v>34</v>
      </c>
      <c r="C37" s="137">
        <f t="shared" si="73"/>
        <v>2071</v>
      </c>
      <c r="D37" s="137">
        <f>D36+IF(AND(C37&lt;&gt;"",COUNTIF(C$4:C37,C37)=1),1,0)</f>
        <v>34</v>
      </c>
      <c r="E37" t="e">
        <f t="shared" si="74"/>
        <v>#N/A</v>
      </c>
      <c r="F37">
        <f t="shared" si="2"/>
        <v>34</v>
      </c>
      <c r="G37" s="137">
        <f>IF(F37="","",COUNTIFS(F$4:F$40,"&lt;"&amp;F37,F$4:F$40,"&lt;&gt;"&amp;"")+COUNTIF(F$4:F37,F37))</f>
        <v>34</v>
      </c>
      <c r="H37" s="137">
        <f t="shared" si="3"/>
        <v>34</v>
      </c>
      <c r="I37" s="137">
        <f>I36+IF(AND(H37&lt;&gt;"",COUNTIF(H$4:H37,H37)=1),1,0)</f>
        <v>34</v>
      </c>
      <c r="J37">
        <f t="shared" si="4"/>
        <v>34</v>
      </c>
      <c r="K37">
        <f>IF('Final Calculation Sheet'!$F$37="","",'Final Calculation Sheet'!$F$37)</f>
        <v>2071</v>
      </c>
      <c r="L37" s="137">
        <f>IF(K37="","",COUNTIFS(K$4:K$40,"&lt;"&amp;K37,K$4:K$40,"&lt;&gt;"&amp;"")+COUNTIF(K$4:K37,K37))</f>
        <v>34</v>
      </c>
      <c r="M37" s="137">
        <f t="shared" si="5"/>
        <v>2071</v>
      </c>
      <c r="N37" s="137">
        <f>N36+IF(AND(M37&lt;&gt;"",COUNTIF(M$4:M37,M37)=1),1,0)</f>
        <v>34</v>
      </c>
      <c r="O37">
        <f t="shared" si="6"/>
        <v>2071</v>
      </c>
      <c r="P37" t="str">
        <f>IF('Final Calculation Sheet'!$G$37="","",'Final Calculation Sheet'!$G$37)</f>
        <v>NATIONAL ENTERPRISES</v>
      </c>
      <c r="Q37" s="137">
        <f>IF(P37="","",COUNTIFS(P$4:P$40,"&lt;"&amp;P37,P$4:P$40,"&lt;&gt;"&amp;"")+COUNTIF(P$4:P37,P37))</f>
        <v>19</v>
      </c>
      <c r="R37" t="str">
        <f t="shared" si="7"/>
        <v>STERLING ENTERPRISES</v>
      </c>
      <c r="S37" s="137">
        <f>S36+IF(AND(R37&lt;&gt;"",COUNTIF(R$4:R37,R37)=1),1,0)</f>
        <v>12</v>
      </c>
      <c r="T37" t="str">
        <f t="shared" si="8"/>
        <v/>
      </c>
      <c r="U37" t="str">
        <f>IF('Final Calculation Sheet'!$B$37="","",'Final Calculation Sheet'!$B$37)</f>
        <v>Scrap of 66 KV Isolater</v>
      </c>
      <c r="V37" s="137">
        <f>IF(U37="","",COUNTIFS(U$4:U$40,"&lt;"&amp;U37,U$4:U$40,"&lt;&gt;"&amp;"")+COUNTIF(U$4:U37,U37))</f>
        <v>22</v>
      </c>
      <c r="W37" t="str">
        <f t="shared" si="9"/>
        <v>Scrap of empty oil drums</v>
      </c>
      <c r="X37" s="137">
        <f>X36+IF(AND(W37&lt;&gt;"",COUNTIF(W$4:W37,W37)=1),1,0)</f>
        <v>23</v>
      </c>
      <c r="Y37" t="str">
        <f t="shared" si="10"/>
        <v/>
      </c>
      <c r="Z37">
        <f>IF('Final Calculation Sheet'!$D$37="","",'Final Calculation Sheet'!$D$37)</f>
        <v>21980</v>
      </c>
      <c r="AA37" s="137">
        <f>IF(Z37="","",COUNTIFS(Z$4:Z$40,"&lt;"&amp;Z37,Z$4:Z$40,"&lt;&gt;"&amp;"")+COUNTIF(Z$4:Z37,Z37))</f>
        <v>34</v>
      </c>
      <c r="AB37" s="137">
        <f t="shared" si="11"/>
        <v>21980</v>
      </c>
      <c r="AC37" s="137">
        <f>AC36+IF(AND(AB37&lt;&gt;"",COUNTIF(AB$4:AB37,AB37)=1),1,0)</f>
        <v>4</v>
      </c>
      <c r="AD37" t="str">
        <f t="shared" si="12"/>
        <v/>
      </c>
      <c r="AE37">
        <f>IF('Final Calculation Sheet'!$A$37="","",'Final Calculation Sheet'!$A$37)</f>
        <v>3</v>
      </c>
      <c r="AF37" s="137">
        <f>IF(AE37="","",COUNTIFS(AE$4:AE$40,"&lt;"&amp;AE37,AE$4:AE$40,"&lt;&gt;"&amp;"")+COUNTIF(AE$4:AE37,AE37))</f>
        <v>16</v>
      </c>
      <c r="AG37" s="137">
        <f t="shared" si="13"/>
        <v>1000</v>
      </c>
      <c r="AH37" s="137">
        <f>AH36+IF(AND(AG37&lt;&gt;"",COUNTIF(AG$4:AG37,AG37)=1),1,0)</f>
        <v>19</v>
      </c>
      <c r="AI37" t="str">
        <f t="shared" si="14"/>
        <v/>
      </c>
      <c r="AJ37" t="str">
        <f>IF('Final Calculation Sheet'!$E$37="","",'Final Calculation Sheet'!$E$37)</f>
        <v>NO</v>
      </c>
      <c r="AK37" s="137">
        <f>IF(AJ37="","",COUNTIFS(AJ$4:AJ$40,"&lt;"&amp;AJ37,AJ$4:AJ$40,"&lt;&gt;"&amp;"")+COUNTIF(AJ$4:AJ37,AJ37))</f>
        <v>34</v>
      </c>
      <c r="AL37" t="str">
        <f t="shared" si="15"/>
        <v>NO</v>
      </c>
      <c r="AM37" s="137">
        <f>AM36+IF(AND(AL37&lt;&gt;"",COUNTIF(AL$4:AL37,AL37)=1),1,0)</f>
        <v>3</v>
      </c>
      <c r="AN37" t="str">
        <f t="shared" si="16"/>
        <v/>
      </c>
      <c r="AO37" s="55">
        <f>IF('Final Calculation Sheet'!$C$37="","",'Final Calculation Sheet'!$C$37)</f>
        <v>25001</v>
      </c>
      <c r="AP37" s="137">
        <f>IF(AO37="","",COUNTIFS(AO$4:AO$40,"&lt;"&amp;AO37,AO$4:AO$40,"&lt;&gt;"&amp;"")+COUNTIF(AO$4:AO37,AO37))</f>
        <v>19</v>
      </c>
      <c r="AQ37" s="55">
        <f t="shared" si="17"/>
        <v>210001</v>
      </c>
      <c r="AR37" s="137">
        <f>AR36+IF(AND(AQ37&lt;&gt;"",COUNTIF(AQ$4:AQ37,AQ37)=1),1,0)</f>
        <v>32</v>
      </c>
      <c r="AS37" s="55">
        <f t="shared" si="18"/>
        <v>2787314</v>
      </c>
      <c r="AT37" s="55">
        <f>IF('Final Calculation Sheet'!$H$37="","",'Final Calculation Sheet'!$H$37)</f>
        <v>75003</v>
      </c>
      <c r="AU37" s="137">
        <f>IF(AT37="","",COUNTIFS(AT$4:AT$40,"&lt;"&amp;AT37,AT$4:AT$40,"&lt;&gt;"&amp;"")+COUNTIF(AT$4:AT37,AT37))</f>
        <v>15</v>
      </c>
      <c r="AV37" s="55">
        <f t="shared" si="19"/>
        <v>1165500</v>
      </c>
      <c r="AW37" s="137">
        <f>AW36+IF(AND(AV37&lt;&gt;"",COUNTIF(AV$4:AV37,AV37)=1),1,0)</f>
        <v>34</v>
      </c>
      <c r="AX37" s="55">
        <f t="shared" si="20"/>
        <v>1165500</v>
      </c>
      <c r="AY37" s="55">
        <f>IF('Final Calculation Sheet'!$I$37="","",'Final Calculation Sheet'!$I$37)</f>
        <v>13501</v>
      </c>
      <c r="AZ37" s="137">
        <f>IF(AY37="","",COUNTIFS(AY$4:AY$40,"&lt;"&amp;AY37,AY$4:AY$40,"&lt;&gt;"&amp;"")+COUNTIF(AY$4:AY37,AY37))</f>
        <v>15</v>
      </c>
      <c r="BA37" s="55">
        <f t="shared" si="21"/>
        <v>209790</v>
      </c>
      <c r="BB37" s="137">
        <f>BB36+IF(AND(BA37&lt;&gt;"",COUNTIF(BA$4:BA37,BA37)=1),1,0)</f>
        <v>34</v>
      </c>
      <c r="BC37" s="55">
        <f t="shared" si="22"/>
        <v>209790</v>
      </c>
      <c r="BD37" s="55">
        <f>IF('Final Calculation Sheet'!$J$37="","",'Final Calculation Sheet'!$J$37)</f>
        <v>88504</v>
      </c>
      <c r="BE37" s="137">
        <f>IF(BD37="","",COUNTIFS(BD$4:BD$40,"&lt;"&amp;BD37,BD$4:BD$40,"&lt;&gt;"&amp;"")+COUNTIF(BD$4:BD37,BD37))</f>
        <v>15</v>
      </c>
      <c r="BF37" s="55">
        <f t="shared" si="23"/>
        <v>1375290</v>
      </c>
      <c r="BG37" s="137">
        <f>BG36+IF(AND(BF37&lt;&gt;"",COUNTIF(BF$4:BF37,BF37)=1),1,0)</f>
        <v>34</v>
      </c>
      <c r="BH37" s="55">
        <f t="shared" si="24"/>
        <v>1375290</v>
      </c>
      <c r="BI37" s="55">
        <f>IF('Final Calculation Sheet'!$K$37="","",'Final Calculation Sheet'!$K$37)</f>
        <v>1770</v>
      </c>
      <c r="BJ37" s="137">
        <f>IF(BI37="","",COUNTIFS(BI$4:BI$40,"&lt;"&amp;BI37,BI$4:BI$40,"&lt;&gt;"&amp;"")+COUNTIF(BI$4:BI37,BI37))</f>
        <v>15</v>
      </c>
      <c r="BK37" s="55">
        <f t="shared" si="25"/>
        <v>27506</v>
      </c>
      <c r="BL37" s="137">
        <f>BL36+IF(AND(BK37&lt;&gt;"",COUNTIF(BK$4:BK37,BK37)=1),1,0)</f>
        <v>33</v>
      </c>
      <c r="BM37" s="55">
        <f t="shared" si="26"/>
        <v>38856</v>
      </c>
      <c r="BN37" s="55">
        <f>IF('Final Calculation Sheet'!$L$37="","",'Final Calculation Sheet'!$L$37)</f>
        <v>75.003</v>
      </c>
      <c r="BO37" s="137">
        <f>IF(BN37="","",COUNTIFS(BN$4:BN$40,"&lt;"&amp;BN37,BN$4:BN$40,"&lt;&gt;"&amp;"")+COUNTIF(BN$4:BN37,BN37))</f>
        <v>15</v>
      </c>
      <c r="BP37" s="55">
        <f t="shared" si="27"/>
        <v>1165.5</v>
      </c>
      <c r="BQ37" s="137">
        <f>BQ36+IF(AND(BP37&lt;&gt;"",COUNTIF(BP$4:BP37,BP37)=1),1,0)</f>
        <v>34</v>
      </c>
      <c r="BR37" s="55">
        <f t="shared" si="28"/>
        <v>1165.5</v>
      </c>
      <c r="BS37" s="55">
        <f>IF('Final Calculation Sheet'!$M$37="","",'Final Calculation Sheet'!$M$37)</f>
        <v>1991.3296499999997</v>
      </c>
      <c r="BT37" s="137">
        <f>IF(BS37="","",COUNTIFS(BS$4:BS$40,"&lt;"&amp;BS37,BS$4:BS$40,"&lt;&gt;"&amp;"")+COUNTIF(BS$4:BS37,BS37))</f>
        <v>15</v>
      </c>
      <c r="BU37" s="55">
        <f t="shared" si="29"/>
        <v>30944.024999999998</v>
      </c>
      <c r="BV37" s="137">
        <f>BV36+IF(AND(BU37&lt;&gt;"",COUNTIF(BU$4:BU37,BU37)=1),1,0)</f>
        <v>34</v>
      </c>
      <c r="BW37" s="55">
        <f t="shared" si="30"/>
        <v>30944.024999999998</v>
      </c>
      <c r="BX37" s="138">
        <f>IF('Final Calculation Sheet'!$N$37="","",'Final Calculation Sheet'!$N$37)</f>
        <v>33.751349999999995</v>
      </c>
      <c r="BY37" s="137">
        <f>IF(BX37="","",COUNTIFS(BX$4:BX$40,"&lt;"&amp;BX37,BX$4:BX$40,"&lt;&gt;"&amp;"")+COUNTIF(BX$4:BX37,BX37))</f>
        <v>15</v>
      </c>
      <c r="BZ37" s="138">
        <f t="shared" si="31"/>
        <v>524.47500000000002</v>
      </c>
      <c r="CA37" s="137">
        <f>CA36+IF(AND(BZ37&lt;&gt;"",COUNTIF(BZ$4:BZ37,BZ37)=1),1,0)</f>
        <v>34</v>
      </c>
      <c r="CB37" s="138">
        <f t="shared" si="32"/>
        <v>524.47500000000002</v>
      </c>
      <c r="CC37" s="55">
        <f>IF('Final Calculation Sheet'!$O$37="","",'Final Calculation Sheet'!$O$37)</f>
        <v>1957.5782999999997</v>
      </c>
      <c r="CD37" s="137">
        <f>IF(CC37="","",COUNTIFS(CC$4:CC$40,"&lt;"&amp;CC37,CC$4:CC$40,"&lt;&gt;"&amp;"")+COUNTIF(CC$4:CC37,CC37))</f>
        <v>15</v>
      </c>
      <c r="CE37" s="55">
        <f t="shared" si="33"/>
        <v>30419.55</v>
      </c>
      <c r="CF37" s="137">
        <f>CF36+IF(AND(CE37&lt;&gt;"",COUNTIF(CE$4:CE37,CE37)=1),1,0)</f>
        <v>34</v>
      </c>
      <c r="CG37" s="55">
        <f t="shared" si="34"/>
        <v>30419.55</v>
      </c>
      <c r="CH37" s="55">
        <f>IF('Final Calculation Sheet'!$P$37="","",'Final Calculation Sheet'!$P$37)</f>
        <v>2033</v>
      </c>
      <c r="CI37" s="137">
        <f>IF(CH37="","",COUNTIFS(CH$4:CH$40,"&lt;"&amp;CH37,CH$4:CH$40,"&lt;&gt;"&amp;"")+COUNTIF(CH$4:CH37,CH37))</f>
        <v>15</v>
      </c>
      <c r="CJ37" s="55">
        <f t="shared" si="35"/>
        <v>31585</v>
      </c>
      <c r="CK37" s="137">
        <f>CK36+IF(AND(CJ37&lt;&gt;"",COUNTIF(CJ$4:CJ37,CJ37)=1),1,0)</f>
        <v>33</v>
      </c>
      <c r="CL37" s="55">
        <f t="shared" si="36"/>
        <v>44618</v>
      </c>
      <c r="CM37" s="139">
        <f>IF('Final Calculation Sheet'!$Q$37="","",'Final Calculation Sheet'!$Q$37)</f>
        <v>0</v>
      </c>
      <c r="CN37" s="137">
        <f>IF(CM37="","",COUNTIFS(CM$4:CM$40,"&lt;"&amp;CM37,CM$4:CM$40,"&lt;&gt;"&amp;"")+COUNTIF(CM$4:CM37,CM37))</f>
        <v>30</v>
      </c>
      <c r="CO37" s="139">
        <f t="shared" si="37"/>
        <v>0.02</v>
      </c>
      <c r="CP37" s="137">
        <f>CP36+IF(AND(CO37&lt;&gt;"",COUNTIF(CO$4:CO37,CO37)=1),1,0)</f>
        <v>2</v>
      </c>
      <c r="CQ37" t="str">
        <f t="shared" si="38"/>
        <v/>
      </c>
      <c r="CR37" s="55">
        <f>IF('Final Calculation Sheet'!$R$37="","",'Final Calculation Sheet'!$R$37)</f>
        <v>0</v>
      </c>
      <c r="CS37" s="137">
        <f>IF(CR37="","",COUNTIFS(CR$4:CR$40,"&lt;"&amp;CR37,CR$4:CR$40,"&lt;&gt;"&amp;"")+COUNTIF(CR$4:CR37,CR37))</f>
        <v>30</v>
      </c>
      <c r="CT37" s="55">
        <f t="shared" si="39"/>
        <v>10988</v>
      </c>
      <c r="CU37" s="137">
        <f>CU36+IF(AND(CT37&lt;&gt;"",COUNTIF(CT$4:CT37,CT37)=1),1,0)</f>
        <v>2</v>
      </c>
      <c r="CV37" t="str">
        <f t="shared" si="40"/>
        <v/>
      </c>
      <c r="CW37" s="55">
        <f>IF('Final Calculation Sheet'!$S$37="","",'Final Calculation Sheet'!$S$37)</f>
        <v>88241</v>
      </c>
      <c r="CX37" s="137">
        <f>IF(CW37="","",COUNTIFS(CW$4:CW$40,"&lt;"&amp;CW37,CW$4:CW$40,"&lt;&gt;"&amp;"")+COUNTIF(CW$4:CW37,CW37))</f>
        <v>15</v>
      </c>
      <c r="CY37" s="55">
        <f t="shared" si="41"/>
        <v>1347901</v>
      </c>
      <c r="CZ37" s="137">
        <f>CZ36+IF(AND(CY37&lt;&gt;"",COUNTIF(CY$4:CY37,CY37)=1),1,0)</f>
        <v>34</v>
      </c>
      <c r="DA37" s="55">
        <f t="shared" si="42"/>
        <v>1347901</v>
      </c>
      <c r="DB37" s="55">
        <f>IF('Final Calculation Sheet'!$T$37="","",'Final Calculation Sheet'!$T$37)</f>
        <v>18751</v>
      </c>
      <c r="DC37" s="137">
        <f>IF(DB37="","",COUNTIFS(DB$4:DB$40,"&lt;"&amp;DB37,DB$4:DB$40,"&lt;&gt;"&amp;"")+COUNTIF(DB$4:DB37,DB37))</f>
        <v>15</v>
      </c>
      <c r="DD37" s="55">
        <f t="shared" si="43"/>
        <v>291375</v>
      </c>
      <c r="DE37" s="137">
        <f>DE36+IF(AND(DD37&lt;&gt;"",COUNTIF(DD$4:DD37,DD37)=1),1,0)</f>
        <v>34</v>
      </c>
      <c r="DF37" s="55">
        <f t="shared" si="44"/>
        <v>291375</v>
      </c>
      <c r="DG37" s="140">
        <f>IF('Final Calculation Sheet'!$U$37="","",'Final Calculation Sheet'!$U$37)</f>
        <v>18751</v>
      </c>
      <c r="DH37" s="137">
        <f>IF(DG37="","",COUNTIFS(DG$4:DG$40,"&lt;"&amp;DG37,DG$4:DG$40,"&lt;&gt;"&amp;"")+COUNTIF(DG$4:DG37,DG37))</f>
        <v>15</v>
      </c>
      <c r="DI37" s="140">
        <f t="shared" si="45"/>
        <v>291375</v>
      </c>
      <c r="DJ37" s="137">
        <f>DJ36+IF(AND(DI37&lt;&gt;"",COUNTIF(DI$4:DI37,DI37)=1),1,0)</f>
        <v>34</v>
      </c>
      <c r="DK37" s="140">
        <f t="shared" si="46"/>
        <v>291375</v>
      </c>
      <c r="DL37" t="str">
        <f>IF('Final Calculation Sheet'!$V$37="","",'Final Calculation Sheet'!$V$37)</f>
        <v>13.08.2026</v>
      </c>
      <c r="DM37" s="137">
        <f>IF(DL37="","",COUNTIFS(DL$4:DL$40,"&lt;"&amp;DL37,DL$4:DL$40,"&lt;&gt;"&amp;"")+COUNTIF(DL$4:DL37,DL37))</f>
        <v>26</v>
      </c>
      <c r="DN37" t="str">
        <f t="shared" si="47"/>
        <v>14.08.2026</v>
      </c>
      <c r="DO37" s="137">
        <f>DO36+IF(AND(DN37&lt;&gt;"",COUNTIF(DN$4:DN37,DN37)=1),1,0)</f>
        <v>4</v>
      </c>
      <c r="DP37" t="str">
        <f t="shared" si="48"/>
        <v/>
      </c>
      <c r="DQ37" s="55">
        <f>IF('Final Calculation Sheet'!$W$37="","",'Final Calculation Sheet'!$W$37)</f>
        <v>69490</v>
      </c>
      <c r="DR37" s="137">
        <f>IF(DQ37="","",COUNTIFS(DQ$4:DQ$40,"&lt;"&amp;DQ37,DQ$4:DQ$40,"&lt;&gt;"&amp;"")+COUNTIF(DQ$4:DQ37,DQ37))</f>
        <v>15</v>
      </c>
      <c r="DS37" s="55">
        <f t="shared" si="49"/>
        <v>1056526</v>
      </c>
      <c r="DT37" s="137">
        <f>DT36+IF(AND(DS37&lt;&gt;"",COUNTIF(DS$4:DS37,DS37)=1),1,0)</f>
        <v>34</v>
      </c>
      <c r="DU37" s="55">
        <f t="shared" si="50"/>
        <v>1056526</v>
      </c>
      <c r="DV37" s="55">
        <f>IF('Final Calculation Sheet'!$X$37="","",'Final Calculation Sheet'!$X$37)</f>
        <v>69491</v>
      </c>
      <c r="DW37" s="137">
        <f>IF(DV37="","",COUNTIFS(DV$4:DV$40,"&lt;"&amp;DV37,DV$4:DV$40,"&lt;&gt;"&amp;"")+COUNTIF(DV$4:DV37,DV37))</f>
        <v>14</v>
      </c>
      <c r="DX37" s="55">
        <f t="shared" si="51"/>
        <v>3573618.9057083898</v>
      </c>
      <c r="DY37" s="137">
        <f>DY36+IF(AND(DX37&lt;&gt;"",COUNTIF(DX$4:DX37,DX37)=1),1,0)</f>
        <v>34</v>
      </c>
      <c r="DZ37" t="e">
        <f t="shared" si="52"/>
        <v>#N/A</v>
      </c>
      <c r="EA37" t="str">
        <f>IF('Final Calculation Sheet'!$Y$37="","",'Final Calculation Sheet'!$Y$37)</f>
        <v>24.08.2026</v>
      </c>
      <c r="EB37" s="137">
        <f>IF(EA37="","",COUNTIFS(EA$4:EA$40,"&lt;"&amp;EA37,EA$4:EA$40,"&lt;&gt;"&amp;"")+COUNTIF(EA$4:EA37,EA37))</f>
        <v>34</v>
      </c>
      <c r="EC37" t="str">
        <f t="shared" si="53"/>
        <v>24.08.2026</v>
      </c>
      <c r="ED37" s="137">
        <f>ED36+IF(AND(EC37&lt;&gt;"",COUNTIF(EC$4:EC37,EC37)=1),1,0)</f>
        <v>9</v>
      </c>
      <c r="EE37" t="e">
        <f t="shared" si="54"/>
        <v>#N/A</v>
      </c>
      <c r="EF37" s="55">
        <f ca="1">IF('Final Calculation Sheet'!$Z$37="","",'Final Calculation Sheet'!$Z$37)</f>
        <v>0</v>
      </c>
      <c r="EG37" s="137">
        <f ca="1">IF(EF37="","",COUNTIFS(EF$4:EF$40,"&lt;"&amp;EF37,EF$4:EF$40,"&lt;&gt;"&amp;"")+COUNTIF(EF$4:EF37,EF37))</f>
        <v>31</v>
      </c>
      <c r="EH37" s="55">
        <f t="shared" ca="1" si="55"/>
        <v>1911.6</v>
      </c>
      <c r="EI37" s="137">
        <f ca="1">EI36+IF(AND(EH37&lt;&gt;"",COUNTIF(EH$4:EH37,EH37)=1),1,0)</f>
        <v>3</v>
      </c>
      <c r="EJ37" t="str">
        <f t="shared" ca="1" si="56"/>
        <v/>
      </c>
      <c r="EK37" t="str">
        <f>IF('Final Calculation Sheet'!$AA$37="","",'Final Calculation Sheet'!$AA$37)</f>
        <v/>
      </c>
      <c r="EL37" t="str">
        <f>IF(EK37="","",COUNTIFS(EK$4:EK$40,"&lt;"&amp;EK37,EK$4:EK$40,"&lt;&gt;"&amp;"")+COUNTIF(EK$4:EK37,EK37))</f>
        <v/>
      </c>
      <c r="EM37" s="137" t="e">
        <f t="shared" si="57"/>
        <v>#N/A</v>
      </c>
      <c r="EN37" s="137" t="e">
        <f>EN36+IF(AND(EM37&lt;&gt;"",COUNTIF(EM$4:EM37,EM37)=1),1,0)</f>
        <v>#N/A</v>
      </c>
      <c r="EO37" t="e">
        <f t="shared" si="58"/>
        <v>#N/A</v>
      </c>
      <c r="EP37" t="str">
        <f>IF('Final Calculation Sheet'!$AB$37="","",'Final Calculation Sheet'!$AB$37)</f>
        <v/>
      </c>
      <c r="EQ37" t="str">
        <f>IF(EP37="","",COUNTIFS(EP$4:EP$40,"&lt;"&amp;EP37,EP$4:EP$40,"&lt;&gt;"&amp;"")+COUNTIF(EP$4:EP37,EP37))</f>
        <v/>
      </c>
      <c r="ER37" s="137" t="e">
        <f t="shared" si="59"/>
        <v>#N/A</v>
      </c>
      <c r="ES37" s="137" t="e">
        <f>ES36+IF(AND(ER37&lt;&gt;"",COUNTIF(ER$4:ER37,ER37)=1),1,0)</f>
        <v>#N/A</v>
      </c>
      <c r="ET37" t="e">
        <f t="shared" si="60"/>
        <v>#N/A</v>
      </c>
      <c r="EU37" s="55">
        <f>IF('Final Calculation Sheet'!$AC$37="","",'Final Calculation Sheet'!$AC$37)</f>
        <v>88242</v>
      </c>
      <c r="EV37" s="137">
        <f>IF(EU37="","",COUNTIFS(EU$4:EU$40,"&lt;"&amp;EU37,EU$4:EU$40,"&lt;&gt;"&amp;"")+COUNTIF(EU$4:EU37,EU37))</f>
        <v>16</v>
      </c>
      <c r="EW37" s="55">
        <f t="shared" si="61"/>
        <v>1347900</v>
      </c>
      <c r="EX37" s="137">
        <f>EX36+IF(AND(EW37&lt;&gt;"",COUNTIF(EW$4:EW37,EW37)=1),1,0)</f>
        <v>34</v>
      </c>
      <c r="EY37" s="55">
        <f t="shared" si="62"/>
        <v>1347900</v>
      </c>
      <c r="EZ37" s="55">
        <f>IF('Final Calculation Sheet'!$AD$37="","",'Final Calculation Sheet'!$AD$37)</f>
        <v>-1</v>
      </c>
      <c r="FA37" s="137">
        <f>IF(EZ37="","",COUNTIFS(EZ$4:EZ$40,"&lt;"&amp;EZ37,EZ$4:EZ$40,"&lt;&gt;"&amp;"")+COUNTIF(EZ$4:EZ37,EZ37))</f>
        <v>6</v>
      </c>
      <c r="FB37" s="55">
        <f t="shared" si="63"/>
        <v>1</v>
      </c>
      <c r="FC37" s="137" t="e">
        <f>FC36+IF(AND(FB37&lt;&gt;"",COUNTIF(FB$4:FB37,FB37)=1),1,0)</f>
        <v>#N/A</v>
      </c>
      <c r="FD37" t="e">
        <f t="shared" si="64"/>
        <v>#N/A</v>
      </c>
      <c r="FE37" t="str">
        <f>IF('Final Calculation Sheet'!$AE$37="","",'Final Calculation Sheet'!$AE$37)</f>
        <v>DR2640100040</v>
      </c>
      <c r="FF37" s="137">
        <f>IF(FE37="","",COUNTIFS(FE$4:FE$40,"&lt;"&amp;FE37,FE$4:FE$40,"&lt;&gt;"&amp;"")+COUNTIF(FE$4:FE37,FE37))</f>
        <v>29</v>
      </c>
      <c r="FG37" t="str">
        <f t="shared" si="65"/>
        <v>DR2640100045</v>
      </c>
      <c r="FH37" s="137" t="e">
        <f>FH36+IF(AND(FG37&lt;&gt;"",COUNTIF(FG$4:FG37,FG37)=1),1,0)</f>
        <v>#N/A</v>
      </c>
      <c r="FI37" t="e">
        <f t="shared" si="66"/>
        <v>#N/A</v>
      </c>
      <c r="FJ37" s="141">
        <f>IF('Final Calculation Sheet'!$AF$37="","",'Final Calculation Sheet'!$AF$37)</f>
        <v>1800003314</v>
      </c>
      <c r="FK37" s="137">
        <f>IF(FJ37="","",COUNTIFS(FJ$4:FJ$40,"&lt;"&amp;FJ37,FJ$4:FJ$40,"&lt;&gt;"&amp;"")+COUNTIF(FJ$4:FJ37,FJ37))</f>
        <v>26</v>
      </c>
      <c r="FL37" s="137" t="e">
        <f t="shared" si="67"/>
        <v>#N/A</v>
      </c>
      <c r="FM37" s="137" t="e">
        <f>FM36+IF(AND(FL37&lt;&gt;"",COUNTIF(FL$4:FL37,FL37)=1),1,0)</f>
        <v>#N/A</v>
      </c>
      <c r="FN37" t="e">
        <f t="shared" si="68"/>
        <v>#N/A</v>
      </c>
      <c r="FO37" t="str">
        <f>IF('Final Calculation Sheet'!$AG$37="","",'Final Calculation Sheet'!$AG$37)</f>
        <v>27.08.2026</v>
      </c>
      <c r="FP37" s="137">
        <f>IF(FO37="","",COUNTIFS(FO$4:FO$40,"&lt;"&amp;FO37,FO$4:FO$40,"&lt;&gt;"&amp;"")+COUNTIF(FO$4:FO37,FO37))</f>
        <v>37</v>
      </c>
      <c r="FQ37" t="str">
        <f t="shared" si="69"/>
        <v>27.08.2026</v>
      </c>
      <c r="FR37" s="137" t="e">
        <f>FR36+IF(AND(FQ37&lt;&gt;"",COUNTIF(FQ$4:FQ37,FQ37)=1),1,0)</f>
        <v>#N/A</v>
      </c>
      <c r="FS37" t="e">
        <f t="shared" si="70"/>
        <v>#N/A</v>
      </c>
      <c r="FU37" t="str">
        <f>IF(FT37="","",COUNTIFS(FT$4:FT$40,"&lt;"&amp;FT37,FT$4:FT$40,"&lt;&gt;"&amp;"")+COUNTIF(FT$4:FT37,FT37))</f>
        <v/>
      </c>
      <c r="FV37" t="str">
        <f t="shared" si="71"/>
        <v/>
      </c>
      <c r="FW37" s="137">
        <f>FW36+IF(AND(FV37&lt;&gt;"",COUNTIF(FV$4:FV37,FV37)=1),1,0)</f>
        <v>2</v>
      </c>
      <c r="FX37" t="str">
        <f t="shared" si="72"/>
        <v/>
      </c>
    </row>
    <row r="38" spans="1:180" x14ac:dyDescent="0.25">
      <c r="A38">
        <f>IF('Final Calculation Sheet'!$F$38="","",'Final Calculation Sheet'!$F$38)</f>
        <v>2086</v>
      </c>
      <c r="B38" s="137">
        <f>IF(A38="","",COUNTIFS(A$4:A$114,"&lt;"&amp;A38,A$4:A$114,"&lt;&gt;"&amp;"")+COUNTIF(A$4:A38,A38))</f>
        <v>35</v>
      </c>
      <c r="C38" s="137">
        <f t="shared" si="73"/>
        <v>2086</v>
      </c>
      <c r="D38" s="137">
        <f>D37+IF(AND(C38&lt;&gt;"",COUNTIF(C$4:C38,C38)=1),1,0)</f>
        <v>35</v>
      </c>
      <c r="E38" t="e">
        <f t="shared" si="74"/>
        <v>#N/A</v>
      </c>
      <c r="F38">
        <f t="shared" si="2"/>
        <v>35</v>
      </c>
      <c r="G38" s="137">
        <f>IF(F38="","",COUNTIFS(F$4:F$40,"&lt;"&amp;F38,F$4:F$40,"&lt;&gt;"&amp;"")+COUNTIF(F$4:F38,F38))</f>
        <v>35</v>
      </c>
      <c r="H38" s="137">
        <f t="shared" si="3"/>
        <v>35</v>
      </c>
      <c r="I38" s="137">
        <f>I37+IF(AND(H38&lt;&gt;"",COUNTIF(H$4:H38,H38)=1),1,0)</f>
        <v>35</v>
      </c>
      <c r="J38">
        <f t="shared" si="4"/>
        <v>35</v>
      </c>
      <c r="K38">
        <f>IF('Final Calculation Sheet'!$F$38="","",'Final Calculation Sheet'!$F$38)</f>
        <v>2086</v>
      </c>
      <c r="L38" s="137">
        <f>IF(K38="","",COUNTIFS(K$4:K$40,"&lt;"&amp;K38,K$4:K$40,"&lt;&gt;"&amp;"")+COUNTIF(K$4:K38,K38))</f>
        <v>35</v>
      </c>
      <c r="M38" s="137">
        <f t="shared" si="5"/>
        <v>2086</v>
      </c>
      <c r="N38" s="137">
        <f>N37+IF(AND(M38&lt;&gt;"",COUNTIF(M$4:M38,M38)=1),1,0)</f>
        <v>35</v>
      </c>
      <c r="O38">
        <f t="shared" si="6"/>
        <v>2086</v>
      </c>
      <c r="P38" t="str">
        <f>IF('Final Calculation Sheet'!$G$38="","",'Final Calculation Sheet'!$G$38)</f>
        <v>KASHYAP TRADING CO</v>
      </c>
      <c r="Q38" s="137">
        <f>IF(P38="","",COUNTIFS(P$4:P$40,"&lt;"&amp;P38,P$4:P$40,"&lt;&gt;"&amp;"")+COUNTIF(P$4:P38,P38))</f>
        <v>5</v>
      </c>
      <c r="R38" t="str">
        <f t="shared" si="7"/>
        <v>WATAN SCRAP TRADERS</v>
      </c>
      <c r="S38" s="137">
        <f>S37+IF(AND(R38&lt;&gt;"",COUNTIF(R$4:R38,R38)=1),1,0)</f>
        <v>13</v>
      </c>
      <c r="T38" t="str">
        <f t="shared" si="8"/>
        <v/>
      </c>
      <c r="U38" t="str">
        <f>IF('Final Calculation Sheet'!$B$38="","",'Final Calculation Sheet'!$B$38)</f>
        <v>Scrap of 132 KV CT</v>
      </c>
      <c r="V38" s="137">
        <f>IF(U38="","",COUNTIFS(U$4:U$40,"&lt;"&amp;U38,U$4:U$40,"&lt;&gt;"&amp;"")+COUNTIF(U$4:U38,U38))</f>
        <v>11</v>
      </c>
      <c r="W38" t="str">
        <f t="shared" si="9"/>
        <v>Scrap of MS (extracted from equip cage and empty Sf6 gas cylinder)</v>
      </c>
      <c r="X38" s="137">
        <f>X37+IF(AND(W38&lt;&gt;"",COUNTIF(W$4:W38,W38)=1),1,0)</f>
        <v>24</v>
      </c>
      <c r="Y38" t="str">
        <f t="shared" si="10"/>
        <v/>
      </c>
      <c r="Z38">
        <f>IF('Final Calculation Sheet'!$D$38="","",'Final Calculation Sheet'!$D$38)</f>
        <v>21980</v>
      </c>
      <c r="AA38" s="137">
        <f>IF(Z38="","",COUNTIFS(Z$4:Z$40,"&lt;"&amp;Z38,Z$4:Z$40,"&lt;&gt;"&amp;"")+COUNTIF(Z$4:Z38,Z38))</f>
        <v>35</v>
      </c>
      <c r="AB38" s="137">
        <f t="shared" si="11"/>
        <v>21980</v>
      </c>
      <c r="AC38" s="137">
        <f>AC37+IF(AND(AB38&lt;&gt;"",COUNTIF(AB$4:AB38,AB38)=1),1,0)</f>
        <v>4</v>
      </c>
      <c r="AD38" t="str">
        <f t="shared" si="12"/>
        <v/>
      </c>
      <c r="AE38">
        <f>IF('Final Calculation Sheet'!$A$38="","",'Final Calculation Sheet'!$A$38)</f>
        <v>3</v>
      </c>
      <c r="AF38" s="137">
        <f>IF(AE38="","",COUNTIFS(AE$4:AE$40,"&lt;"&amp;AE38,AE$4:AE$40,"&lt;&gt;"&amp;"")+COUNTIF(AE$4:AE38,AE38))</f>
        <v>17</v>
      </c>
      <c r="AG38" s="137">
        <f t="shared" si="13"/>
        <v>3000</v>
      </c>
      <c r="AH38" s="137">
        <f>AH37+IF(AND(AG38&lt;&gt;"",COUNTIF(AG$4:AG38,AG38)=1),1,0)</f>
        <v>20</v>
      </c>
      <c r="AI38" t="str">
        <f t="shared" si="14"/>
        <v/>
      </c>
      <c r="AJ38" t="str">
        <f>IF('Final Calculation Sheet'!$E$38="","",'Final Calculation Sheet'!$E$38)</f>
        <v>NO</v>
      </c>
      <c r="AK38" s="137">
        <f>IF(AJ38="","",COUNTIFS(AJ$4:AJ$40,"&lt;"&amp;AJ38,AJ$4:AJ$40,"&lt;&gt;"&amp;"")+COUNTIF(AJ$4:AJ38,AJ38))</f>
        <v>35</v>
      </c>
      <c r="AL38" t="str">
        <f t="shared" si="15"/>
        <v>NO</v>
      </c>
      <c r="AM38" s="137">
        <f>AM37+IF(AND(AL38&lt;&gt;"",COUNTIF(AL$4:AL38,AL38)=1),1,0)</f>
        <v>3</v>
      </c>
      <c r="AN38" t="str">
        <f t="shared" si="16"/>
        <v/>
      </c>
      <c r="AO38" s="55">
        <f>IF('Final Calculation Sheet'!$C$38="","",'Final Calculation Sheet'!$C$38)</f>
        <v>70001</v>
      </c>
      <c r="AP38" s="137">
        <f>IF(AO38="","",COUNTIFS(AO$4:AO$40,"&lt;"&amp;AO38,AO$4:AO$40,"&lt;&gt;"&amp;"")+COUNTIF(AO$4:AO38,AO38))</f>
        <v>27</v>
      </c>
      <c r="AQ38" s="55">
        <f t="shared" si="17"/>
        <v>220001</v>
      </c>
      <c r="AR38" s="137">
        <f>AR37+IF(AND(AQ38&lt;&gt;"",COUNTIF(AQ$4:AQ38,AQ38)=1),1,0)</f>
        <v>33</v>
      </c>
      <c r="AS38" s="55">
        <f t="shared" si="18"/>
        <v>3857116</v>
      </c>
      <c r="AT38" s="55">
        <f>IF('Final Calculation Sheet'!$H$38="","",'Final Calculation Sheet'!$H$38)</f>
        <v>210003</v>
      </c>
      <c r="AU38" s="137">
        <f>IF(AT38="","",COUNTIFS(AT$4:AT$40,"&lt;"&amp;AT38,AT$4:AT$40,"&lt;&gt;"&amp;"")+COUNTIF(AT$4:AT38,AT38))</f>
        <v>25</v>
      </c>
      <c r="AV38" s="55">
        <f t="shared" si="19"/>
        <v>1646431</v>
      </c>
      <c r="AW38" s="137">
        <f>AW37+IF(AND(AV38&lt;&gt;"",COUNTIF(AV$4:AV38,AV38)=1),1,0)</f>
        <v>35</v>
      </c>
      <c r="AX38" s="55">
        <f t="shared" si="20"/>
        <v>1646431</v>
      </c>
      <c r="AY38" s="55">
        <f>IF('Final Calculation Sheet'!$I$38="","",'Final Calculation Sheet'!$I$38)</f>
        <v>37801</v>
      </c>
      <c r="AZ38" s="137">
        <f>IF(AY38="","",COUNTIFS(AY$4:AY$40,"&lt;"&amp;AY38,AY$4:AY$40,"&lt;&gt;"&amp;"")+COUNTIF(AY$4:AY38,AY38))</f>
        <v>25</v>
      </c>
      <c r="BA38" s="55">
        <f t="shared" si="21"/>
        <v>296358</v>
      </c>
      <c r="BB38" s="137">
        <f>BB37+IF(AND(BA38&lt;&gt;"",COUNTIF(BA$4:BA38,BA38)=1),1,0)</f>
        <v>35</v>
      </c>
      <c r="BC38" s="55">
        <f t="shared" si="22"/>
        <v>296358</v>
      </c>
      <c r="BD38" s="55">
        <f>IF('Final Calculation Sheet'!$J$38="","",'Final Calculation Sheet'!$J$38)</f>
        <v>247804</v>
      </c>
      <c r="BE38" s="137">
        <f>IF(BD38="","",COUNTIFS(BD$4:BD$40,"&lt;"&amp;BD38,BD$4:BD$40,"&lt;&gt;"&amp;"")+COUNTIF(BD$4:BD38,BD38))</f>
        <v>25</v>
      </c>
      <c r="BF38" s="55">
        <f t="shared" si="23"/>
        <v>1942789</v>
      </c>
      <c r="BG38" s="137">
        <f>BG37+IF(AND(BF38&lt;&gt;"",COUNTIF(BF$4:BF38,BF38)=1),1,0)</f>
        <v>35</v>
      </c>
      <c r="BH38" s="55">
        <f t="shared" si="24"/>
        <v>1942789</v>
      </c>
      <c r="BI38" s="55">
        <f>IF('Final Calculation Sheet'!$K$38="","",'Final Calculation Sheet'!$K$38)</f>
        <v>4956</v>
      </c>
      <c r="BJ38" s="137">
        <f>IF(BI38="","",COUNTIFS(BI$4:BI$40,"&lt;"&amp;BI38,BI$4:BI$40,"&lt;&gt;"&amp;"")+COUNTIF(BI$4:BI38,BI38))</f>
        <v>25</v>
      </c>
      <c r="BK38" s="55">
        <f t="shared" si="25"/>
        <v>38856</v>
      </c>
      <c r="BL38" s="137">
        <f>BL37+IF(AND(BK38&lt;&gt;"",COUNTIF(BK$4:BK38,BK38)=1),1,0)</f>
        <v>34</v>
      </c>
      <c r="BM38" s="55">
        <f t="shared" si="26"/>
        <v>65781</v>
      </c>
      <c r="BN38" s="55">
        <f>IF('Final Calculation Sheet'!$L$38="","",'Final Calculation Sheet'!$L$38)</f>
        <v>210.00300000000001</v>
      </c>
      <c r="BO38" s="137">
        <f>IF(BN38="","",COUNTIFS(BN$4:BN$40,"&lt;"&amp;BN38,BN$4:BN$40,"&lt;&gt;"&amp;"")+COUNTIF(BN$4:BN38,BN38))</f>
        <v>25</v>
      </c>
      <c r="BP38" s="55">
        <f t="shared" si="27"/>
        <v>1646.431</v>
      </c>
      <c r="BQ38" s="137">
        <f>BQ37+IF(AND(BP38&lt;&gt;"",COUNTIF(BP$4:BP38,BP38)=1),1,0)</f>
        <v>35</v>
      </c>
      <c r="BR38" s="55">
        <f t="shared" si="28"/>
        <v>1646.431</v>
      </c>
      <c r="BS38" s="55">
        <f>IF('Final Calculation Sheet'!$M$38="","",'Final Calculation Sheet'!$M$38)</f>
        <v>5575.5796499999997</v>
      </c>
      <c r="BT38" s="137">
        <f>IF(BS38="","",COUNTIFS(BS$4:BS$40,"&lt;"&amp;BS38,BS$4:BS$40,"&lt;&gt;"&amp;"")+COUNTIF(BS$4:BS38,BS38))</f>
        <v>25</v>
      </c>
      <c r="BU38" s="55">
        <f t="shared" si="29"/>
        <v>43712.743049999997</v>
      </c>
      <c r="BV38" s="137">
        <f>BV37+IF(AND(BU38&lt;&gt;"",COUNTIF(BU$4:BU38,BU38)=1),1,0)</f>
        <v>35</v>
      </c>
      <c r="BW38" s="55">
        <f t="shared" si="30"/>
        <v>43712.743049999997</v>
      </c>
      <c r="BX38" s="138">
        <f>IF('Final Calculation Sheet'!$N$38="","",'Final Calculation Sheet'!$N$38)</f>
        <v>94.501350000000002</v>
      </c>
      <c r="BY38" s="137">
        <f>IF(BX38="","",COUNTIFS(BX$4:BX$40,"&lt;"&amp;BX38,BX$4:BX$40,"&lt;&gt;"&amp;"")+COUNTIF(BX$4:BX38,BX38))</f>
        <v>25</v>
      </c>
      <c r="BZ38" s="138">
        <f t="shared" si="31"/>
        <v>740.89395000000002</v>
      </c>
      <c r="CA38" s="137">
        <f>CA37+IF(AND(BZ38&lt;&gt;"",COUNTIF(BZ$4:BZ38,BZ38)=1),1,0)</f>
        <v>35</v>
      </c>
      <c r="CB38" s="138">
        <f t="shared" si="32"/>
        <v>740.89395000000002</v>
      </c>
      <c r="CC38" s="55">
        <f>IF('Final Calculation Sheet'!$O$38="","",'Final Calculation Sheet'!$O$38)</f>
        <v>5481.0782999999992</v>
      </c>
      <c r="CD38" s="137">
        <f>IF(CC38="","",COUNTIFS(CC$4:CC$40,"&lt;"&amp;CC38,CC$4:CC$40,"&lt;&gt;"&amp;"")+COUNTIF(CC$4:CC38,CC38))</f>
        <v>25</v>
      </c>
      <c r="CE38" s="55">
        <f t="shared" si="33"/>
        <v>42971.849099999999</v>
      </c>
      <c r="CF38" s="137">
        <f>CF37+IF(AND(CE38&lt;&gt;"",COUNTIF(CE$4:CE38,CE38)=1),1,0)</f>
        <v>35</v>
      </c>
      <c r="CG38" s="55">
        <f t="shared" si="34"/>
        <v>42971.849099999999</v>
      </c>
      <c r="CH38" s="55">
        <f>IF('Final Calculation Sheet'!$P$38="","",'Final Calculation Sheet'!$P$38)</f>
        <v>5691</v>
      </c>
      <c r="CI38" s="137">
        <f>IF(CH38="","",COUNTIFS(CH$4:CH$40,"&lt;"&amp;CH38,CH$4:CH$40,"&lt;&gt;"&amp;"")+COUNTIF(CH$4:CH38,CH38))</f>
        <v>25</v>
      </c>
      <c r="CJ38" s="55">
        <f t="shared" si="35"/>
        <v>44618</v>
      </c>
      <c r="CK38" s="137">
        <f>CK37+IF(AND(CJ38&lt;&gt;"",COUNTIF(CJ$4:CJ38,CJ38)=1),1,0)</f>
        <v>34</v>
      </c>
      <c r="CL38" s="55">
        <f t="shared" si="36"/>
        <v>75536</v>
      </c>
      <c r="CM38" s="139">
        <f>IF('Final Calculation Sheet'!$Q$38="","",'Final Calculation Sheet'!$Q$38)</f>
        <v>0</v>
      </c>
      <c r="CN38" s="137">
        <f>IF(CM38="","",COUNTIFS(CM$4:CM$40,"&lt;"&amp;CM38,CM$4:CM$40,"&lt;&gt;"&amp;"")+COUNTIF(CM$4:CM38,CM38))</f>
        <v>31</v>
      </c>
      <c r="CO38" s="139">
        <f t="shared" si="37"/>
        <v>0.02</v>
      </c>
      <c r="CP38" s="137">
        <f>CP37+IF(AND(CO38&lt;&gt;"",COUNTIF(CO$4:CO38,CO38)=1),1,0)</f>
        <v>2</v>
      </c>
      <c r="CQ38" t="str">
        <f t="shared" si="38"/>
        <v/>
      </c>
      <c r="CR38" s="55">
        <f>IF('Final Calculation Sheet'!$R$38="","",'Final Calculation Sheet'!$R$38)</f>
        <v>0</v>
      </c>
      <c r="CS38" s="137">
        <f>IF(CR38="","",COUNTIFS(CR$4:CR$40,"&lt;"&amp;CR38,CR$4:CR$40,"&lt;&gt;"&amp;"")+COUNTIF(CR$4:CR38,CR38))</f>
        <v>31</v>
      </c>
      <c r="CT38" s="55">
        <f t="shared" si="39"/>
        <v>15802</v>
      </c>
      <c r="CU38" s="137">
        <f>CU37+IF(AND(CT38&lt;&gt;"",COUNTIF(CT$4:CT38,CT38)=1),1,0)</f>
        <v>3</v>
      </c>
      <c r="CV38" t="str">
        <f t="shared" si="40"/>
        <v/>
      </c>
      <c r="CW38" s="55">
        <f>IF('Final Calculation Sheet'!$S$38="","",'Final Calculation Sheet'!$S$38)</f>
        <v>247069</v>
      </c>
      <c r="CX38" s="137">
        <f>IF(CW38="","",COUNTIFS(CW$4:CW$40,"&lt;"&amp;CW38,CW$4:CW$40,"&lt;&gt;"&amp;"")+COUNTIF(CW$4:CW38,CW38))</f>
        <v>25</v>
      </c>
      <c r="CY38" s="55">
        <f t="shared" si="41"/>
        <v>1904097</v>
      </c>
      <c r="CZ38" s="137">
        <f>CZ37+IF(AND(CY38&lt;&gt;"",COUNTIF(CY$4:CY38,CY38)=1),1,0)</f>
        <v>35</v>
      </c>
      <c r="DA38" s="55">
        <f t="shared" si="42"/>
        <v>1904097</v>
      </c>
      <c r="DB38" s="55">
        <f>IF('Final Calculation Sheet'!$T$38="","",'Final Calculation Sheet'!$T$38)</f>
        <v>52501</v>
      </c>
      <c r="DC38" s="137">
        <f>IF(DB38="","",COUNTIFS(DB$4:DB$40,"&lt;"&amp;DB38,DB$4:DB$40,"&lt;&gt;"&amp;"")+COUNTIF(DB$4:DB38,DB38))</f>
        <v>25</v>
      </c>
      <c r="DD38" s="55">
        <f t="shared" si="43"/>
        <v>411608</v>
      </c>
      <c r="DE38" s="137">
        <f>DE37+IF(AND(DD38&lt;&gt;"",COUNTIF(DD$4:DD38,DD38)=1),1,0)</f>
        <v>35</v>
      </c>
      <c r="DF38" s="55">
        <f t="shared" si="44"/>
        <v>411608</v>
      </c>
      <c r="DG38" s="140">
        <f>IF('Final Calculation Sheet'!$U$38="","",'Final Calculation Sheet'!$U$38)</f>
        <v>52501</v>
      </c>
      <c r="DH38" s="137">
        <f>IF(DG38="","",COUNTIFS(DG$4:DG$40,"&lt;"&amp;DG38,DG$4:DG$40,"&lt;&gt;"&amp;"")+COUNTIF(DG$4:DG38,DG38))</f>
        <v>25</v>
      </c>
      <c r="DI38" s="140">
        <f t="shared" si="45"/>
        <v>411608</v>
      </c>
      <c r="DJ38" s="137">
        <f>DJ37+IF(AND(DI38&lt;&gt;"",COUNTIF(DI$4:DI38,DI38)=1),1,0)</f>
        <v>35</v>
      </c>
      <c r="DK38" s="140">
        <f t="shared" si="46"/>
        <v>411608</v>
      </c>
      <c r="DL38" t="str">
        <f>IF('Final Calculation Sheet'!$V$38="","",'Final Calculation Sheet'!$V$38)</f>
        <v>17.08.2026</v>
      </c>
      <c r="DM38" s="137">
        <f>IF(DL38="","",COUNTIFS(DL$4:DL$40,"&lt;"&amp;DL38,DL$4:DL$40,"&lt;&gt;"&amp;"")+COUNTIF(DL$4:DL38,DL38))</f>
        <v>36</v>
      </c>
      <c r="DN38" t="str">
        <f t="shared" si="47"/>
        <v>14.08.2026</v>
      </c>
      <c r="DO38" s="137">
        <f>DO37+IF(AND(DN38&lt;&gt;"",COUNTIF(DN$4:DN38,DN38)=1),1,0)</f>
        <v>4</v>
      </c>
      <c r="DP38" t="str">
        <f t="shared" si="48"/>
        <v/>
      </c>
      <c r="DQ38" s="55">
        <f>IF('Final Calculation Sheet'!$W$38="","",'Final Calculation Sheet'!$W$38)</f>
        <v>194568</v>
      </c>
      <c r="DR38" s="137">
        <f>IF(DQ38="","",COUNTIFS(DQ$4:DQ$40,"&lt;"&amp;DQ38,DQ$4:DQ$40,"&lt;&gt;"&amp;"")+COUNTIF(DQ$4:DQ38,DQ38))</f>
        <v>25</v>
      </c>
      <c r="DS38" s="55">
        <f t="shared" si="49"/>
        <v>1492489</v>
      </c>
      <c r="DT38" s="137">
        <f>DT37+IF(AND(DS38&lt;&gt;"",COUNTIF(DS$4:DS38,DS38)=1),1,0)</f>
        <v>35</v>
      </c>
      <c r="DU38" s="55">
        <f t="shared" si="50"/>
        <v>1492489</v>
      </c>
      <c r="DV38" s="55">
        <f>IF('Final Calculation Sheet'!$X$38="","",'Final Calculation Sheet'!$X$38)</f>
        <v>194568</v>
      </c>
      <c r="DW38" s="137">
        <f>IF(DV38="","",COUNTIFS(DV$4:DV$40,"&lt;"&amp;DV38,DV$4:DV$40,"&lt;&gt;"&amp;"")+COUNTIF(DV$4:DV38,DV38))</f>
        <v>24</v>
      </c>
      <c r="DX38" s="137" t="e">
        <f t="shared" si="51"/>
        <v>#N/A</v>
      </c>
      <c r="DY38" s="137" t="e">
        <f>DY37+IF(AND(DX38&lt;&gt;"",COUNTIF(DX$4:DX38,DX38)=1),1,0)</f>
        <v>#N/A</v>
      </c>
      <c r="DZ38" t="e">
        <f t="shared" si="52"/>
        <v>#N/A</v>
      </c>
      <c r="EA38" t="str">
        <f>IF('Final Calculation Sheet'!$Y$38="","",'Final Calculation Sheet'!$Y$38)</f>
        <v>17.08.2026</v>
      </c>
      <c r="EB38" s="137">
        <f>IF(EA38="","",COUNTIFS(EA$4:EA$40,"&lt;"&amp;EA38,EA$4:EA$40,"&lt;&gt;"&amp;"")+COUNTIF(EA$4:EA38,EA38))</f>
        <v>11</v>
      </c>
      <c r="EC38" s="137" t="e">
        <f t="shared" si="53"/>
        <v>#N/A</v>
      </c>
      <c r="ED38" s="137" t="e">
        <f>ED37+IF(AND(EC38&lt;&gt;"",COUNTIF(EC$4:EC38,EC38)=1),1,0)</f>
        <v>#N/A</v>
      </c>
      <c r="EE38" t="e">
        <f t="shared" si="54"/>
        <v>#N/A</v>
      </c>
      <c r="EF38" s="55">
        <f ca="1">IF('Final Calculation Sheet'!$Z$38="","",'Final Calculation Sheet'!$Z$38)</f>
        <v>0</v>
      </c>
      <c r="EG38" s="137">
        <f ca="1">IF(EF38="","",COUNTIFS(EF$4:EF$40,"&lt;"&amp;EF38,EF$4:EF$40,"&lt;&gt;"&amp;"")+COUNTIF(EF$4:EF38,EF38))</f>
        <v>32</v>
      </c>
      <c r="EH38" s="55">
        <f t="shared" ca="1" si="55"/>
        <v>2832.2123999999999</v>
      </c>
      <c r="EI38" s="137">
        <f ca="1">EI37+IF(AND(EH38&lt;&gt;"",COUNTIF(EH$4:EH38,EH38)=1),1,0)</f>
        <v>4</v>
      </c>
      <c r="EJ38" t="str">
        <f t="shared" ca="1" si="56"/>
        <v/>
      </c>
      <c r="EK38" t="str">
        <f>IF('Final Calculation Sheet'!$AA$38="","",'Final Calculation Sheet'!$AA$38)</f>
        <v/>
      </c>
      <c r="EL38" t="str">
        <f>IF(EK38="","",COUNTIFS(EK$4:EK$40,"&lt;"&amp;EK38,EK$4:EK$40,"&lt;&gt;"&amp;"")+COUNTIF(EK$4:EK38,EK38))</f>
        <v/>
      </c>
      <c r="EM38" s="137" t="e">
        <f t="shared" si="57"/>
        <v>#N/A</v>
      </c>
      <c r="EN38" s="137" t="e">
        <f>EN37+IF(AND(EM38&lt;&gt;"",COUNTIF(EM$4:EM38,EM38)=1),1,0)</f>
        <v>#N/A</v>
      </c>
      <c r="EO38" t="e">
        <f t="shared" si="58"/>
        <v>#N/A</v>
      </c>
      <c r="EP38" t="str">
        <f>IF('Final Calculation Sheet'!$AB$38="","",'Final Calculation Sheet'!$AB$38)</f>
        <v/>
      </c>
      <c r="EQ38" t="str">
        <f>IF(EP38="","",COUNTIFS(EP$4:EP$40,"&lt;"&amp;EP38,EP$4:EP$40,"&lt;&gt;"&amp;"")+COUNTIF(EP$4:EP38,EP38))</f>
        <v/>
      </c>
      <c r="ER38" s="137" t="e">
        <f t="shared" si="59"/>
        <v>#N/A</v>
      </c>
      <c r="ES38" s="137" t="e">
        <f>ES37+IF(AND(ER38&lt;&gt;"",COUNTIF(ER$4:ER38,ER38)=1),1,0)</f>
        <v>#N/A</v>
      </c>
      <c r="ET38" t="e">
        <f t="shared" si="60"/>
        <v>#N/A</v>
      </c>
      <c r="EU38" s="55">
        <f>IF('Final Calculation Sheet'!$AC$38="","",'Final Calculation Sheet'!$AC$38)</f>
        <v>247069</v>
      </c>
      <c r="EV38" s="137">
        <f>IF(EU38="","",COUNTIFS(EU$4:EU$40,"&lt;"&amp;EU38,EU$4:EU$40,"&lt;&gt;"&amp;"")+COUNTIF(EU$4:EU38,EU38))</f>
        <v>27</v>
      </c>
      <c r="EW38" s="55">
        <f t="shared" si="61"/>
        <v>1904098</v>
      </c>
      <c r="EX38" s="137">
        <f>EX37+IF(AND(EW38&lt;&gt;"",COUNTIF(EW$4:EW38,EW38)=1),1,0)</f>
        <v>35</v>
      </c>
      <c r="EY38" s="55">
        <f t="shared" si="62"/>
        <v>1904098</v>
      </c>
      <c r="EZ38" s="55">
        <f>IF('Final Calculation Sheet'!$AD$38="","",'Final Calculation Sheet'!$AD$38)</f>
        <v>0</v>
      </c>
      <c r="FA38" s="137">
        <f>IF(EZ38="","",COUNTIFS(EZ$4:EZ$40,"&lt;"&amp;EZ38,EZ$4:EZ$40,"&lt;&gt;"&amp;"")+COUNTIF(EZ$4:EZ38,EZ38))</f>
        <v>28</v>
      </c>
      <c r="FB38" s="55">
        <f t="shared" si="63"/>
        <v>50031</v>
      </c>
      <c r="FC38" s="137" t="e">
        <f>FC37+IF(AND(FB38&lt;&gt;"",COUNTIF(FB$4:FB38,FB38)=1),1,0)</f>
        <v>#N/A</v>
      </c>
      <c r="FD38" t="e">
        <f t="shared" si="64"/>
        <v>#N/A</v>
      </c>
      <c r="FE38" t="str">
        <f>IF('Final Calculation Sheet'!$AE$38="","",'Final Calculation Sheet'!$AE$38)</f>
        <v>DR2640100025</v>
      </c>
      <c r="FF38" s="137">
        <f>IF(FE38="","",COUNTIFS(FE$4:FE$40,"&lt;"&amp;FE38,FE$4:FE$40,"&lt;&gt;"&amp;"")+COUNTIF(FE$4:FE38,FE38))</f>
        <v>14</v>
      </c>
      <c r="FG38" t="str">
        <f t="shared" si="65"/>
        <v>DR2640100046</v>
      </c>
      <c r="FH38" s="137" t="e">
        <f>FH37+IF(AND(FG38&lt;&gt;"",COUNTIF(FG$4:FG38,FG38)=1),1,0)</f>
        <v>#N/A</v>
      </c>
      <c r="FI38" t="e">
        <f t="shared" si="66"/>
        <v>#N/A</v>
      </c>
      <c r="FJ38" s="141">
        <f>IF('Final Calculation Sheet'!$AF$38="","",'Final Calculation Sheet'!$AF$38)</f>
        <v>1800003226</v>
      </c>
      <c r="FK38" s="137">
        <f>IF(FJ38="","",COUNTIFS(FJ$4:FJ$40,"&lt;"&amp;FJ38,FJ$4:FJ$40,"&lt;&gt;"&amp;"")+COUNTIF(FJ$4:FJ38,FJ38))</f>
        <v>9</v>
      </c>
      <c r="FL38" s="137" t="e">
        <f t="shared" si="67"/>
        <v>#N/A</v>
      </c>
      <c r="FM38" s="137" t="e">
        <f>FM37+IF(AND(FL38&lt;&gt;"",COUNTIF(FL$4:FL38,FL38)=1),1,0)</f>
        <v>#N/A</v>
      </c>
      <c r="FN38" t="e">
        <f t="shared" si="68"/>
        <v>#N/A</v>
      </c>
      <c r="FO38" t="str">
        <f>IF('Final Calculation Sheet'!$AG$38="","",'Final Calculation Sheet'!$AG$38)</f>
        <v>19.08.2026</v>
      </c>
      <c r="FP38" s="137">
        <f>IF(FO38="","",COUNTIFS(FO$4:FO$40,"&lt;"&amp;FO38,FO$4:FO$40,"&lt;&gt;"&amp;"")+COUNTIF(FO$4:FO38,FO38))</f>
        <v>14</v>
      </c>
      <c r="FQ38" t="str">
        <f t="shared" si="69"/>
        <v>27.08.2026</v>
      </c>
      <c r="FR38" s="137" t="e">
        <f>FR37+IF(AND(FQ38&lt;&gt;"",COUNTIF(FQ$4:FQ38,FQ38)=1),1,0)</f>
        <v>#N/A</v>
      </c>
      <c r="FS38" t="e">
        <f t="shared" si="70"/>
        <v>#N/A</v>
      </c>
      <c r="FU38" t="str">
        <f>IF(FT38="","",COUNTIFS(FT$4:FT$40,"&lt;"&amp;FT38,FT$4:FT$40,"&lt;&gt;"&amp;"")+COUNTIF(FT$4:FT38,FT38))</f>
        <v/>
      </c>
      <c r="FV38" t="str">
        <f t="shared" si="71"/>
        <v/>
      </c>
      <c r="FW38" s="137">
        <f>FW37+IF(AND(FV38&lt;&gt;"",COUNTIF(FV$4:FV38,FV38)=1),1,0)</f>
        <v>2</v>
      </c>
      <c r="FX38" t="str">
        <f t="shared" si="72"/>
        <v/>
      </c>
    </row>
    <row r="39" spans="1:180" x14ac:dyDescent="0.25">
      <c r="A39">
        <f>IF('Final Calculation Sheet'!$F$39="","",'Final Calculation Sheet'!$F$39)</f>
        <v>2089</v>
      </c>
      <c r="B39" s="137">
        <f>IF(A39="","",COUNTIFS(A$4:A$114,"&lt;"&amp;A39,A$4:A$114,"&lt;&gt;"&amp;"")+COUNTIF(A$4:A39,A39))</f>
        <v>36</v>
      </c>
      <c r="C39" s="137">
        <f t="shared" si="73"/>
        <v>2089</v>
      </c>
      <c r="D39" s="137">
        <f>D38+IF(AND(C39&lt;&gt;"",COUNTIF(C$4:C39,C39)=1),1,0)</f>
        <v>36</v>
      </c>
      <c r="E39" t="e">
        <f t="shared" si="74"/>
        <v>#N/A</v>
      </c>
      <c r="F39">
        <f t="shared" si="2"/>
        <v>36</v>
      </c>
      <c r="G39" s="137">
        <f>IF(F39="","",COUNTIFS(F$4:F$40,"&lt;"&amp;F39,F$4:F$40,"&lt;&gt;"&amp;"")+COUNTIF(F$4:F39,F39))</f>
        <v>36</v>
      </c>
      <c r="H39" s="137">
        <f t="shared" si="3"/>
        <v>36</v>
      </c>
      <c r="I39" s="137">
        <f>I38+IF(AND(H39&lt;&gt;"",COUNTIF(H$4:H39,H39)=1),1,0)</f>
        <v>36</v>
      </c>
      <c r="J39">
        <f t="shared" si="4"/>
        <v>36</v>
      </c>
      <c r="K39">
        <f>IF('Final Calculation Sheet'!$F$39="","",'Final Calculation Sheet'!$F$39)</f>
        <v>2089</v>
      </c>
      <c r="L39" s="137">
        <f>IF(K39="","",COUNTIFS(K$4:K$40,"&lt;"&amp;K39,K$4:K$40,"&lt;&gt;"&amp;"")+COUNTIF(K$4:K39,K39))</f>
        <v>36</v>
      </c>
      <c r="M39" s="137">
        <f t="shared" si="5"/>
        <v>2089</v>
      </c>
      <c r="N39" s="137">
        <f>N38+IF(AND(M39&lt;&gt;"",COUNTIF(M$4:M39,M39)=1),1,0)</f>
        <v>36</v>
      </c>
      <c r="O39">
        <f t="shared" si="6"/>
        <v>2089</v>
      </c>
      <c r="P39" t="str">
        <f>IF('Final Calculation Sheet'!$G$39="","",'Final Calculation Sheet'!$G$39)</f>
        <v>S M ENTERPRISES</v>
      </c>
      <c r="Q39" s="137">
        <f>IF(P39="","",COUNTIFS(P$4:P$40,"&lt;"&amp;P39,P$4:P$40,"&lt;&gt;"&amp;"")+COUNTIF(P$4:P39,P39))</f>
        <v>23</v>
      </c>
      <c r="R39" t="str">
        <f t="shared" si="7"/>
        <v>WATAN SCRAP TRADERS</v>
      </c>
      <c r="S39" s="137">
        <f>S38+IF(AND(R39&lt;&gt;"",COUNTIF(R$4:R39,R39)=1),1,0)</f>
        <v>13</v>
      </c>
      <c r="T39" t="str">
        <f t="shared" si="8"/>
        <v/>
      </c>
      <c r="U39" t="str">
        <f>IF('Final Calculation Sheet'!$B$39="","",'Final Calculation Sheet'!$B$39)</f>
        <v>Scrap of 66 kv TBC C &amp; R Panel</v>
      </c>
      <c r="V39" s="137">
        <f>IF(U39="","",COUNTIFS(U$4:U$40,"&lt;"&amp;U39,U$4:U$40,"&lt;&gt;"&amp;"")+COUNTIF(U$4:U39,U39))</f>
        <v>23</v>
      </c>
      <c r="W39" t="str">
        <f t="shared" si="9"/>
        <v>Scrap Power Transformer</v>
      </c>
      <c r="X39" s="137">
        <f>X38+IF(AND(W39&lt;&gt;"",COUNTIF(W$4:W39,W39)=1),1,0)</f>
        <v>25</v>
      </c>
      <c r="Y39" t="str">
        <f t="shared" si="10"/>
        <v/>
      </c>
      <c r="Z39">
        <f>IF('Final Calculation Sheet'!$D$39="","",'Final Calculation Sheet'!$D$39)</f>
        <v>21980</v>
      </c>
      <c r="AA39" s="137">
        <f>IF(Z39="","",COUNTIFS(Z$4:Z$40,"&lt;"&amp;Z39,Z$4:Z$40,"&lt;&gt;"&amp;"")+COUNTIF(Z$4:Z39,Z39))</f>
        <v>36</v>
      </c>
      <c r="AB39" s="137">
        <f t="shared" si="11"/>
        <v>21980</v>
      </c>
      <c r="AC39" s="137">
        <f>AC38+IF(AND(AB39&lt;&gt;"",COUNTIF(AB$4:AB39,AB39)=1),1,0)</f>
        <v>4</v>
      </c>
      <c r="AD39" t="str">
        <f t="shared" si="12"/>
        <v/>
      </c>
      <c r="AE39">
        <f>IF('Final Calculation Sheet'!$A$39="","",'Final Calculation Sheet'!$A$39)</f>
        <v>2</v>
      </c>
      <c r="AF39" s="137">
        <f>IF(AE39="","",COUNTIFS(AE$4:AE$40,"&lt;"&amp;AE39,AE$4:AE$40,"&lt;&gt;"&amp;"")+COUNTIF(AE$4:AE39,AE39))</f>
        <v>12</v>
      </c>
      <c r="AG39" s="137">
        <f t="shared" si="13"/>
        <v>3500</v>
      </c>
      <c r="AH39" s="137">
        <f>AH38+IF(AND(AG39&lt;&gt;"",COUNTIF(AG$4:AG39,AG39)=1),1,0)</f>
        <v>21</v>
      </c>
      <c r="AI39" t="str">
        <f t="shared" si="14"/>
        <v/>
      </c>
      <c r="AJ39" t="str">
        <f>IF('Final Calculation Sheet'!$E$39="","",'Final Calculation Sheet'!$E$39)</f>
        <v>NO</v>
      </c>
      <c r="AK39" s="137">
        <f>IF(AJ39="","",COUNTIFS(AJ$4:AJ$40,"&lt;"&amp;AJ39,AJ$4:AJ$40,"&lt;&gt;"&amp;"")+COUNTIF(AJ$4:AJ39,AJ39))</f>
        <v>36</v>
      </c>
      <c r="AL39" t="str">
        <f t="shared" si="15"/>
        <v>NO</v>
      </c>
      <c r="AM39" s="137">
        <f>AM38+IF(AND(AL39&lt;&gt;"",COUNTIF(AL$4:AL39,AL39)=1),1,0)</f>
        <v>3</v>
      </c>
      <c r="AN39" t="str">
        <f t="shared" si="16"/>
        <v/>
      </c>
      <c r="AO39" s="55">
        <f>IF('Final Calculation Sheet'!$C$39="","",'Final Calculation Sheet'!$C$39)</f>
        <v>15006</v>
      </c>
      <c r="AP39" s="137">
        <f>IF(AO39="","",COUNTIFS(AO$4:AO$40,"&lt;"&amp;AO39,AO$4:AO$40,"&lt;&gt;"&amp;"")+COUNTIF(AO$4:AO39,AO39))</f>
        <v>18</v>
      </c>
      <c r="AQ39" s="55">
        <f t="shared" si="17"/>
        <v>2787314</v>
      </c>
      <c r="AR39" s="137">
        <f>AR38+IF(AND(AQ39&lt;&gt;"",COUNTIF(AQ$4:AQ39,AQ39)=1),1,0)</f>
        <v>34</v>
      </c>
      <c r="AS39" t="str">
        <f t="shared" si="18"/>
        <v/>
      </c>
      <c r="AT39" s="55">
        <f>IF('Final Calculation Sheet'!$H$39="","",'Final Calculation Sheet'!$H$39)</f>
        <v>30012</v>
      </c>
      <c r="AU39" s="137">
        <f>IF(AT39="","",COUNTIFS(AT$4:AT$40,"&lt;"&amp;AT39,AT$4:AT$40,"&lt;&gt;"&amp;"")+COUNTIF(AT$4:AT39,AT39))</f>
        <v>7</v>
      </c>
      <c r="AV39" s="55">
        <f t="shared" si="19"/>
        <v>2787314</v>
      </c>
      <c r="AW39" s="137">
        <f>AW38+IF(AND(AV39&lt;&gt;"",COUNTIF(AV$4:AV39,AV39)=1),1,0)</f>
        <v>36</v>
      </c>
      <c r="AX39" s="55">
        <f t="shared" si="20"/>
        <v>2787314</v>
      </c>
      <c r="AY39" s="55">
        <f>IF('Final Calculation Sheet'!$I$39="","",'Final Calculation Sheet'!$I$39)</f>
        <v>5402</v>
      </c>
      <c r="AZ39" s="137">
        <f>IF(AY39="","",COUNTIFS(AY$4:AY$40,"&lt;"&amp;AY39,AY$4:AY$40,"&lt;&gt;"&amp;"")+COUNTIF(AY$4:AY39,AY39))</f>
        <v>7</v>
      </c>
      <c r="BA39" s="55">
        <f t="shared" si="21"/>
        <v>501717</v>
      </c>
      <c r="BB39" s="137">
        <f>BB38+IF(AND(BA39&lt;&gt;"",COUNTIF(BA$4:BA39,BA39)=1),1,0)</f>
        <v>36</v>
      </c>
      <c r="BC39" s="55">
        <f t="shared" si="22"/>
        <v>501717</v>
      </c>
      <c r="BD39" s="55">
        <f>IF('Final Calculation Sheet'!$J$39="","",'Final Calculation Sheet'!$J$39)</f>
        <v>35414</v>
      </c>
      <c r="BE39" s="137">
        <f>IF(BD39="","",COUNTIFS(BD$4:BD$40,"&lt;"&amp;BD39,BD$4:BD$40,"&lt;&gt;"&amp;"")+COUNTIF(BD$4:BD39,BD39))</f>
        <v>7</v>
      </c>
      <c r="BF39" s="55">
        <f t="shared" si="23"/>
        <v>3289031</v>
      </c>
      <c r="BG39" s="137">
        <f>BG38+IF(AND(BF39&lt;&gt;"",COUNTIF(BF$4:BF39,BF39)=1),1,0)</f>
        <v>36</v>
      </c>
      <c r="BH39" s="55">
        <f t="shared" si="24"/>
        <v>3289031</v>
      </c>
      <c r="BI39" s="55">
        <f>IF('Final Calculation Sheet'!$K$39="","",'Final Calculation Sheet'!$K$39)</f>
        <v>708</v>
      </c>
      <c r="BJ39" s="137">
        <f>IF(BI39="","",COUNTIFS(BI$4:BI$40,"&lt;"&amp;BI39,BI$4:BI$40,"&lt;&gt;"&amp;"")+COUNTIF(BI$4:BI39,BI39))</f>
        <v>7</v>
      </c>
      <c r="BK39" s="55">
        <f t="shared" si="25"/>
        <v>65781</v>
      </c>
      <c r="BL39" s="137">
        <f>BL38+IF(AND(BK39&lt;&gt;"",COUNTIF(BK$4:BK39,BK39)=1),1,0)</f>
        <v>35</v>
      </c>
      <c r="BM39" s="55">
        <f t="shared" si="26"/>
        <v>91028</v>
      </c>
      <c r="BN39" s="55">
        <f>IF('Final Calculation Sheet'!$L$39="","",'Final Calculation Sheet'!$L$39)</f>
        <v>30.012</v>
      </c>
      <c r="BO39" s="137">
        <f>IF(BN39="","",COUNTIFS(BN$4:BN$40,"&lt;"&amp;BN39,BN$4:BN$40,"&lt;&gt;"&amp;"")+COUNTIF(BN$4:BN39,BN39))</f>
        <v>7</v>
      </c>
      <c r="BP39" s="55">
        <f t="shared" si="27"/>
        <v>2787.3139999999999</v>
      </c>
      <c r="BQ39" s="137">
        <f>BQ38+IF(AND(BP39&lt;&gt;"",COUNTIF(BP$4:BP39,BP39)=1),1,0)</f>
        <v>36</v>
      </c>
      <c r="BR39" s="55">
        <f t="shared" si="28"/>
        <v>2787.3139999999999</v>
      </c>
      <c r="BS39" s="55">
        <f>IF('Final Calculation Sheet'!$M$39="","",'Final Calculation Sheet'!$M$39)</f>
        <v>796.81859999999995</v>
      </c>
      <c r="BT39" s="137">
        <f>IF(BS39="","",COUNTIFS(BS$4:BS$40,"&lt;"&amp;BS39,BS$4:BS$40,"&lt;&gt;"&amp;"")+COUNTIF(BS$4:BS39,BS39))</f>
        <v>7</v>
      </c>
      <c r="BU39" s="55">
        <f t="shared" si="29"/>
        <v>74003.186699999991</v>
      </c>
      <c r="BV39" s="137">
        <f>BV38+IF(AND(BU39&lt;&gt;"",COUNTIF(BU$4:BU39,BU39)=1),1,0)</f>
        <v>36</v>
      </c>
      <c r="BW39" s="55">
        <f t="shared" si="30"/>
        <v>74003.186699999991</v>
      </c>
      <c r="BX39" s="138">
        <f>IF('Final Calculation Sheet'!$N$39="","",'Final Calculation Sheet'!$N$39)</f>
        <v>13.5054</v>
      </c>
      <c r="BY39" s="137">
        <f>IF(BX39="","",COUNTIFS(BX$4:BX$40,"&lt;"&amp;BX39,BX$4:BX$40,"&lt;&gt;"&amp;"")+COUNTIF(BX$4:BX39,BX39))</f>
        <v>7</v>
      </c>
      <c r="BZ39" s="138">
        <f t="shared" si="31"/>
        <v>1254.2912999999999</v>
      </c>
      <c r="CA39" s="137">
        <f>CA38+IF(AND(BZ39&lt;&gt;"",COUNTIF(BZ$4:BZ39,BZ39)=1),1,0)</f>
        <v>36</v>
      </c>
      <c r="CB39" s="138">
        <f t="shared" si="32"/>
        <v>1254.2912999999999</v>
      </c>
      <c r="CC39" s="55">
        <f>IF('Final Calculation Sheet'!$O$39="","",'Final Calculation Sheet'!$O$39)</f>
        <v>783.31319999999994</v>
      </c>
      <c r="CD39" s="137">
        <f>IF(CC39="","",COUNTIFS(CC$4:CC$40,"&lt;"&amp;CC39,CC$4:CC$40,"&lt;&gt;"&amp;"")+COUNTIF(CC$4:CC39,CC39))</f>
        <v>7</v>
      </c>
      <c r="CE39" s="55">
        <f t="shared" si="33"/>
        <v>72748.895399999994</v>
      </c>
      <c r="CF39" s="137">
        <f>CF38+IF(AND(CE39&lt;&gt;"",COUNTIF(CE$4:CE39,CE39)=1),1,0)</f>
        <v>36</v>
      </c>
      <c r="CG39" s="55">
        <f t="shared" si="34"/>
        <v>72748.895399999994</v>
      </c>
      <c r="CH39" s="55">
        <f>IF('Final Calculation Sheet'!$P$39="","",'Final Calculation Sheet'!$P$39)</f>
        <v>813</v>
      </c>
      <c r="CI39" s="137">
        <f>IF(CH39="","",COUNTIFS(CH$4:CH$40,"&lt;"&amp;CH39,CH$4:CH$40,"&lt;&gt;"&amp;"")+COUNTIF(CH$4:CH39,CH39))</f>
        <v>7</v>
      </c>
      <c r="CJ39" s="55">
        <f t="shared" si="35"/>
        <v>75536</v>
      </c>
      <c r="CK39" s="137">
        <f>CK38+IF(AND(CJ39&lt;&gt;"",COUNTIF(CJ$4:CJ39,CJ39)=1),1,0)</f>
        <v>35</v>
      </c>
      <c r="CL39" s="55">
        <f t="shared" si="36"/>
        <v>104528</v>
      </c>
      <c r="CM39" s="139">
        <f>IF('Final Calculation Sheet'!$Q$39="","",'Final Calculation Sheet'!$Q$39)</f>
        <v>0</v>
      </c>
      <c r="CN39" s="137">
        <f>IF(CM39="","",COUNTIFS(CM$4:CM$40,"&lt;"&amp;CM39,CM$4:CM$40,"&lt;&gt;"&amp;"")+COUNTIF(CM$4:CM39,CM39))</f>
        <v>32</v>
      </c>
      <c r="CO39" s="139">
        <f t="shared" si="37"/>
        <v>0.02</v>
      </c>
      <c r="CP39" s="137">
        <f>CP38+IF(AND(CO39&lt;&gt;"",COUNTIF(CO$4:CO39,CO39)=1),1,0)</f>
        <v>2</v>
      </c>
      <c r="CQ39" t="str">
        <f t="shared" si="38"/>
        <v/>
      </c>
      <c r="CR39" s="55">
        <f>IF('Final Calculation Sheet'!$R$39="","",'Final Calculation Sheet'!$R$39)</f>
        <v>0</v>
      </c>
      <c r="CS39" s="137">
        <f>IF(CR39="","",COUNTIFS(CR$4:CR$40,"&lt;"&amp;CR39,CR$4:CR$40,"&lt;&gt;"&amp;"")+COUNTIF(CR$4:CR39,CR39))</f>
        <v>32</v>
      </c>
      <c r="CT39" s="55">
        <f t="shared" si="39"/>
        <v>23310</v>
      </c>
      <c r="CU39" s="137">
        <f>CU38+IF(AND(CT39&lt;&gt;"",COUNTIF(CT$4:CT39,CT39)=1),1,0)</f>
        <v>4</v>
      </c>
      <c r="CV39" t="str">
        <f t="shared" si="40"/>
        <v/>
      </c>
      <c r="CW39" s="55">
        <f>IF('Final Calculation Sheet'!$S$39="","",'Final Calculation Sheet'!$S$39)</f>
        <v>35309</v>
      </c>
      <c r="CX39" s="137">
        <f>IF(CW39="","",COUNTIFS(CW$4:CW$40,"&lt;"&amp;CW39,CW$4:CW$40,"&lt;&gt;"&amp;"")+COUNTIF(CW$4:CW39,CW39))</f>
        <v>7</v>
      </c>
      <c r="CY39" s="55">
        <f t="shared" si="41"/>
        <v>3279275</v>
      </c>
      <c r="CZ39" s="137">
        <f>CZ38+IF(AND(CY39&lt;&gt;"",COUNTIF(CY$4:CY39,CY39)=1),1,0)</f>
        <v>36</v>
      </c>
      <c r="DA39" s="55">
        <f t="shared" si="42"/>
        <v>3279275</v>
      </c>
      <c r="DB39" s="55">
        <f>IF('Final Calculation Sheet'!$T$39="","",'Final Calculation Sheet'!$T$39)</f>
        <v>7503</v>
      </c>
      <c r="DC39" s="137">
        <f>IF(DB39="","",COUNTIFS(DB$4:DB$40,"&lt;"&amp;DB39,DB$4:DB$40,"&lt;&gt;"&amp;"")+COUNTIF(DB$4:DB39,DB39))</f>
        <v>7</v>
      </c>
      <c r="DD39" s="55">
        <f t="shared" si="43"/>
        <v>696829</v>
      </c>
      <c r="DE39" s="137">
        <f>DE38+IF(AND(DD39&lt;&gt;"",COUNTIF(DD$4:DD39,DD39)=1),1,0)</f>
        <v>36</v>
      </c>
      <c r="DF39" s="55">
        <f t="shared" si="44"/>
        <v>696829</v>
      </c>
      <c r="DG39" s="140">
        <f>IF('Final Calculation Sheet'!$U$39="","",'Final Calculation Sheet'!$U$39)</f>
        <v>7503</v>
      </c>
      <c r="DH39" s="137">
        <f>IF(DG39="","",COUNTIFS(DG$4:DG$40,"&lt;"&amp;DG39,DG$4:DG$40,"&lt;&gt;"&amp;"")+COUNTIF(DG$4:DG39,DG39))</f>
        <v>7</v>
      </c>
      <c r="DI39" s="140">
        <f t="shared" si="45"/>
        <v>696829</v>
      </c>
      <c r="DJ39" s="137">
        <f>DJ38+IF(AND(DI39&lt;&gt;"",COUNTIF(DI$4:DI39,DI39)=1),1,0)</f>
        <v>36</v>
      </c>
      <c r="DK39" s="140">
        <f t="shared" si="46"/>
        <v>696829</v>
      </c>
      <c r="DL39" t="str">
        <f>IF('Final Calculation Sheet'!$V$39="","",'Final Calculation Sheet'!$V$39)</f>
        <v>14.08.2026</v>
      </c>
      <c r="DM39" s="137">
        <f>IF(DL39="","",COUNTIFS(DL$4:DL$40,"&lt;"&amp;DL39,DL$4:DL$40,"&lt;&gt;"&amp;"")+COUNTIF(DL$4:DL39,DL39))</f>
        <v>34</v>
      </c>
      <c r="DN39" t="str">
        <f t="shared" si="47"/>
        <v>17.08.2026</v>
      </c>
      <c r="DO39" s="137">
        <f>DO38+IF(AND(DN39&lt;&gt;"",COUNTIF(DN$4:DN39,DN39)=1),1,0)</f>
        <v>5</v>
      </c>
      <c r="DP39" t="str">
        <f t="shared" si="48"/>
        <v/>
      </c>
      <c r="DQ39" s="55">
        <f>IF('Final Calculation Sheet'!$W$39="","",'Final Calculation Sheet'!$W$39)</f>
        <v>27806</v>
      </c>
      <c r="DR39" s="137">
        <f>IF(DQ39="","",COUNTIFS(DQ$4:DQ$40,"&lt;"&amp;DQ39,DQ$4:DQ$40,"&lt;&gt;"&amp;"")+COUNTIF(DQ$4:DQ39,DQ39))</f>
        <v>7</v>
      </c>
      <c r="DS39" s="55">
        <f t="shared" si="49"/>
        <v>2582446</v>
      </c>
      <c r="DT39" s="137">
        <f>DT38+IF(AND(DS39&lt;&gt;"",COUNTIF(DS$4:DS39,DS39)=1),1,0)</f>
        <v>36</v>
      </c>
      <c r="DU39" s="55">
        <f t="shared" si="50"/>
        <v>2582446</v>
      </c>
      <c r="DV39" s="55">
        <f>IF('Final Calculation Sheet'!$X$39="","",'Final Calculation Sheet'!$X$39)</f>
        <v>27806</v>
      </c>
      <c r="DW39" s="137">
        <f>IF(DV39="","",COUNTIFS(DV$4:DV$40,"&lt;"&amp;DV39,DV$4:DV$40,"&lt;&gt;"&amp;"")+COUNTIF(DV$4:DV39,DV39))</f>
        <v>7</v>
      </c>
      <c r="DX39" s="137" t="e">
        <f t="shared" si="51"/>
        <v>#N/A</v>
      </c>
      <c r="DY39" s="137" t="e">
        <f>DY38+IF(AND(DX39&lt;&gt;"",COUNTIF(DX$4:DX39,DX39)=1),1,0)</f>
        <v>#N/A</v>
      </c>
      <c r="DZ39" t="e">
        <f t="shared" si="52"/>
        <v>#N/A</v>
      </c>
      <c r="EA39" t="str">
        <f>IF('Final Calculation Sheet'!$Y$39="","",'Final Calculation Sheet'!$Y$39)</f>
        <v>01.09.2026</v>
      </c>
      <c r="EB39" s="137">
        <f>IF(EA39="","",COUNTIFS(EA$4:EA$40,"&lt;"&amp;EA39,EA$4:EA$40,"&lt;&gt;"&amp;"")+COUNTIF(EA$4:EA39,EA39))</f>
        <v>1</v>
      </c>
      <c r="EC39" s="137" t="e">
        <f t="shared" si="53"/>
        <v>#N/A</v>
      </c>
      <c r="ED39" s="137" t="e">
        <f>ED38+IF(AND(EC39&lt;&gt;"",COUNTIF(EC$4:EC39,EC39)=1),1,0)</f>
        <v>#N/A</v>
      </c>
      <c r="EE39" t="e">
        <f t="shared" si="54"/>
        <v>#N/A</v>
      </c>
      <c r="EF39" s="55">
        <f ca="1">IF('Final Calculation Sheet'!$Z$39="","",'Final Calculation Sheet'!$Z$39)</f>
        <v>708.28319999999997</v>
      </c>
      <c r="EG39" s="137">
        <f ca="1">IF(EF39="","",COUNTIFS(EF$4:EF$40,"&lt;"&amp;EF39,EF$4:EF$40,"&lt;&gt;"&amp;"")+COUNTIF(EF$4:EF39,EF39))</f>
        <v>33</v>
      </c>
      <c r="EH39" s="55">
        <f t="shared" ca="1" si="55"/>
        <v>9558.2124000000003</v>
      </c>
      <c r="EI39" s="137">
        <f ca="1">EI38+IF(AND(EH39&lt;&gt;"",COUNTIF(EH$4:EH39,EH39)=1),1,0)</f>
        <v>5</v>
      </c>
      <c r="EJ39" t="str">
        <f t="shared" ca="1" si="56"/>
        <v/>
      </c>
      <c r="EK39" s="55">
        <f>IF('Final Calculation Sheet'!$AA$39="","",'Final Calculation Sheet'!$AA$39)</f>
        <v>708</v>
      </c>
      <c r="EL39" s="137">
        <f>IF(EK39="","",COUNTIFS(EK$4:EK$40,"&lt;"&amp;EK39,EK$4:EK$40,"&lt;&gt;"&amp;"")+COUNTIF(EK$4:EK39,EK39))</f>
        <v>1</v>
      </c>
      <c r="EM39" s="137" t="e">
        <f t="shared" si="57"/>
        <v>#N/A</v>
      </c>
      <c r="EN39" s="137" t="e">
        <f>EN38+IF(AND(EM39&lt;&gt;"",COUNTIF(EM$4:EM39,EM39)=1),1,0)</f>
        <v>#N/A</v>
      </c>
      <c r="EO39" t="e">
        <f t="shared" si="58"/>
        <v>#N/A</v>
      </c>
      <c r="EP39" t="str">
        <f>IF('Final Calculation Sheet'!$AB$39="","",'Final Calculation Sheet'!$AB$39)</f>
        <v>01.09.2026</v>
      </c>
      <c r="EQ39" s="137">
        <f>IF(EP39="","",COUNTIFS(EP$4:EP$40,"&lt;"&amp;EP39,EP$4:EP$40,"&lt;&gt;"&amp;"")+COUNTIF(EP$4:EP39,EP39))</f>
        <v>36</v>
      </c>
      <c r="ER39" t="str">
        <f t="shared" si="59"/>
        <v>01.09.2026</v>
      </c>
      <c r="ES39" s="137" t="e">
        <f>ES38+IF(AND(ER39&lt;&gt;"",COUNTIF(ER$4:ER39,ER39)=1),1,0)</f>
        <v>#N/A</v>
      </c>
      <c r="ET39" t="e">
        <f t="shared" si="60"/>
        <v>#N/A</v>
      </c>
      <c r="EU39" s="55">
        <f>IF('Final Calculation Sheet'!$AC$39="","",'Final Calculation Sheet'!$AC$39)</f>
        <v>36017</v>
      </c>
      <c r="EV39" s="137">
        <f>IF(EU39="","",COUNTIFS(EU$4:EU$40,"&lt;"&amp;EU39,EU$4:EU$40,"&lt;&gt;"&amp;"")+COUNTIF(EU$4:EU39,EU39))</f>
        <v>8</v>
      </c>
      <c r="EW39" s="55">
        <f t="shared" si="61"/>
        <v>3279276.0942916102</v>
      </c>
      <c r="EX39" s="137">
        <f>EX38+IF(AND(EW39&lt;&gt;"",COUNTIF(EW$4:EW39,EW39)=1),1,0)</f>
        <v>36</v>
      </c>
      <c r="EY39" s="55">
        <f t="shared" si="62"/>
        <v>3279276.0942916102</v>
      </c>
      <c r="EZ39" s="55">
        <f>IF('Final Calculation Sheet'!$AD$39="","",'Final Calculation Sheet'!$AD$39)</f>
        <v>-708</v>
      </c>
      <c r="FA39" s="137">
        <f>IF(EZ39="","",COUNTIFS(EZ$4:EZ$40,"&lt;"&amp;EZ39,EZ$4:EZ$40,"&lt;&gt;"&amp;"")+COUNTIF(EZ$4:EZ39,EZ39))</f>
        <v>2</v>
      </c>
      <c r="FB39" s="55">
        <f t="shared" si="63"/>
        <v>250160</v>
      </c>
      <c r="FC39" s="137" t="e">
        <f>FC38+IF(AND(FB39&lt;&gt;"",COUNTIF(FB$4:FB39,FB39)=1),1,0)</f>
        <v>#N/A</v>
      </c>
      <c r="FD39" t="e">
        <f t="shared" si="64"/>
        <v>#N/A</v>
      </c>
      <c r="FE39" t="str">
        <f>IF('Final Calculation Sheet'!$AE$39="","",'Final Calculation Sheet'!$AE$39)</f>
        <v/>
      </c>
      <c r="FF39" t="str">
        <f>IF(FE39="","",COUNTIFS(FE$4:FE$40,"&lt;"&amp;FE39,FE$4:FE$40,"&lt;&gt;"&amp;"")+COUNTIF(FE$4:FE39,FE39))</f>
        <v/>
      </c>
      <c r="FG39" t="str">
        <f t="shared" si="65"/>
        <v>DR2640100047</v>
      </c>
      <c r="FH39" s="137" t="e">
        <f>FH38+IF(AND(FG39&lt;&gt;"",COUNTIF(FG$4:FG39,FG39)=1),1,0)</f>
        <v>#N/A</v>
      </c>
      <c r="FI39" t="e">
        <f t="shared" si="66"/>
        <v>#N/A</v>
      </c>
      <c r="FJ39" t="str">
        <f>IF('Final Calculation Sheet'!$AF$39="","",'Final Calculation Sheet'!$AF$39)</f>
        <v/>
      </c>
      <c r="FK39" t="str">
        <f>IF(FJ39="","",COUNTIFS(FJ$4:FJ$40,"&lt;"&amp;FJ39,FJ$4:FJ$40,"&lt;&gt;"&amp;"")+COUNTIF(FJ$4:FJ39,FJ39))</f>
        <v/>
      </c>
      <c r="FL39" s="137" t="e">
        <f t="shared" si="67"/>
        <v>#N/A</v>
      </c>
      <c r="FM39" s="137" t="e">
        <f>FM38+IF(AND(FL39&lt;&gt;"",COUNTIF(FL$4:FL39,FL39)=1),1,0)</f>
        <v>#N/A</v>
      </c>
      <c r="FN39" t="e">
        <f t="shared" si="68"/>
        <v>#N/A</v>
      </c>
      <c r="FO39" t="str">
        <f>IF('Final Calculation Sheet'!$AG$39="","",'Final Calculation Sheet'!$AG$39)</f>
        <v/>
      </c>
      <c r="FP39" t="str">
        <f>IF(FO39="","",COUNTIFS(FO$4:FO$40,"&lt;"&amp;FO39,FO$4:FO$40,"&lt;&gt;"&amp;"")+COUNTIF(FO$4:FO39,FO39))</f>
        <v/>
      </c>
      <c r="FQ39" t="str">
        <f t="shared" si="69"/>
        <v>27.08.2026</v>
      </c>
      <c r="FR39" s="137" t="e">
        <f>FR38+IF(AND(FQ39&lt;&gt;"",COUNTIF(FQ$4:FQ39,FQ39)=1),1,0)</f>
        <v>#N/A</v>
      </c>
      <c r="FS39" t="e">
        <f t="shared" si="70"/>
        <v>#N/A</v>
      </c>
      <c r="FU39" t="str">
        <f>IF(FT39="","",COUNTIFS(FT$4:FT$40,"&lt;"&amp;FT39,FT$4:FT$40,"&lt;&gt;"&amp;"")+COUNTIF(FT$4:FT39,FT39))</f>
        <v/>
      </c>
      <c r="FV39" t="str">
        <f t="shared" si="71"/>
        <v/>
      </c>
      <c r="FW39" s="137">
        <f>FW38+IF(AND(FV39&lt;&gt;"",COUNTIF(FV$4:FV39,FV39)=1),1,0)</f>
        <v>2</v>
      </c>
      <c r="FX39" t="str">
        <f t="shared" si="72"/>
        <v/>
      </c>
    </row>
    <row r="40" spans="1:180" x14ac:dyDescent="0.25">
      <c r="A40">
        <f>IF('Final Calculation Sheet'!$F$40="","",'Final Calculation Sheet'!$F$40)</f>
        <v>2091</v>
      </c>
      <c r="B40" s="137">
        <f>IF(A40="","",COUNTIFS(A$4:A$114,"&lt;"&amp;A40,A$4:A$114,"&lt;&gt;"&amp;"")+COUNTIF(A$4:A40,A40))</f>
        <v>37</v>
      </c>
      <c r="C40" s="137">
        <f t="shared" si="73"/>
        <v>2091</v>
      </c>
      <c r="D40" s="137">
        <f>D39+IF(AND(C40&lt;&gt;"",COUNTIF(C$4:C40,C40)=1),1,0)</f>
        <v>37</v>
      </c>
      <c r="E40" t="e">
        <f t="shared" si="74"/>
        <v>#N/A</v>
      </c>
      <c r="F40">
        <f t="shared" si="2"/>
        <v>37</v>
      </c>
      <c r="G40" s="137">
        <f>IF(F40="","",COUNTIFS(F$4:F$40,"&lt;"&amp;F40,F$4:F$40,"&lt;&gt;"&amp;"")+COUNTIF(F$4:F40,F40))</f>
        <v>37</v>
      </c>
      <c r="H40" s="137">
        <f t="shared" si="3"/>
        <v>37</v>
      </c>
      <c r="I40" s="137">
        <f>I39+IF(AND(H40&lt;&gt;"",COUNTIF(H$4:H40,H40)=1),1,0)</f>
        <v>37</v>
      </c>
      <c r="J40">
        <f t="shared" si="4"/>
        <v>37</v>
      </c>
      <c r="K40">
        <f>IF('Final Calculation Sheet'!$F$40="","",'Final Calculation Sheet'!$F$40)</f>
        <v>2091</v>
      </c>
      <c r="L40" s="137">
        <f>IF(K40="","",COUNTIFS(K$4:K$40,"&lt;"&amp;K40,K$4:K$40,"&lt;&gt;"&amp;"")+COUNTIF(K$4:K40,K40))</f>
        <v>37</v>
      </c>
      <c r="M40" s="137">
        <f t="shared" si="5"/>
        <v>2091</v>
      </c>
      <c r="N40" s="137">
        <f>N39+IF(AND(M40&lt;&gt;"",COUNTIF(M$4:M40,M40)=1),1,0)</f>
        <v>37</v>
      </c>
      <c r="O40">
        <f t="shared" si="6"/>
        <v>2091</v>
      </c>
      <c r="P40" t="str">
        <f>IF('Final Calculation Sheet'!$G$40="","",'Final Calculation Sheet'!$G$40)</f>
        <v>S M ENTERPRISES</v>
      </c>
      <c r="Q40" s="137">
        <f>IF(P40="","",COUNTIFS(P$4:P$40,"&lt;"&amp;P40,P$4:P$40,"&lt;&gt;"&amp;"")+COUNTIF(P$4:P40,P40))</f>
        <v>24</v>
      </c>
      <c r="R40" t="str">
        <f t="shared" si="7"/>
        <v>WATAN SCRAP TRADERS</v>
      </c>
      <c r="S40" s="137">
        <f>S39+IF(AND(R40&lt;&gt;"",COUNTIF(R$4:R40,R40)=1),1,0)</f>
        <v>13</v>
      </c>
      <c r="T40" t="str">
        <f t="shared" si="8"/>
        <v/>
      </c>
      <c r="U40" t="str">
        <f>IF('Final Calculation Sheet'!$B$40="","",'Final Calculation Sheet'!$B$40)</f>
        <v>Scrap of 132 KV CT</v>
      </c>
      <c r="V40" s="137">
        <f>IF(U40="","",COUNTIFS(U$4:U$40,"&lt;"&amp;U40,U$4:U$40,"&lt;&gt;"&amp;"")+COUNTIF(U$4:U40,U40))</f>
        <v>12</v>
      </c>
      <c r="W40" t="str">
        <f t="shared" si="9"/>
        <v>SCRAP POWER TRANSFORMER</v>
      </c>
      <c r="X40" s="137">
        <f>X39+IF(AND(W40&lt;&gt;"",COUNTIF(W$4:W40,W40)=1),1,0)</f>
        <v>25</v>
      </c>
      <c r="Y40" t="str">
        <f t="shared" si="10"/>
        <v/>
      </c>
      <c r="Z40">
        <f>IF('Final Calculation Sheet'!$D$40="","",'Final Calculation Sheet'!$D$40)</f>
        <v>21980</v>
      </c>
      <c r="AA40" s="137">
        <f>IF(Z40="","",COUNTIFS(Z$4:Z$40,"&lt;"&amp;Z40,Z$4:Z$40,"&lt;&gt;"&amp;"")+COUNTIF(Z$4:Z40,Z40))</f>
        <v>37</v>
      </c>
      <c r="AB40" s="137">
        <f t="shared" si="11"/>
        <v>21980</v>
      </c>
      <c r="AC40" s="137">
        <f>AC39+IF(AND(AB40&lt;&gt;"",COUNTIF(AB$4:AB40,AB40)=1),1,0)</f>
        <v>4</v>
      </c>
      <c r="AD40" t="str">
        <f t="shared" si="12"/>
        <v/>
      </c>
      <c r="AE40">
        <f>IF('Final Calculation Sheet'!$A$40="","",'Final Calculation Sheet'!$A$40)</f>
        <v>3</v>
      </c>
      <c r="AF40" s="137">
        <f>IF(AE40="","",COUNTIFS(AE$4:AE$40,"&lt;"&amp;AE40,AE$4:AE$40,"&lt;&gt;"&amp;"")+COUNTIF(AE$4:AE40,AE40))</f>
        <v>18</v>
      </c>
      <c r="AG40" s="137">
        <f t="shared" si="13"/>
        <v>7253</v>
      </c>
      <c r="AH40" s="137">
        <f>AH39+IF(AND(AG40&lt;&gt;"",COUNTIF(AG$4:AG40,AG40)=1),1,0)</f>
        <v>22</v>
      </c>
      <c r="AI40" t="str">
        <f t="shared" si="14"/>
        <v/>
      </c>
      <c r="AJ40" t="str">
        <f>IF('Final Calculation Sheet'!$E$40="","",'Final Calculation Sheet'!$E$40)</f>
        <v>NO</v>
      </c>
      <c r="AK40" s="137">
        <f>IF(AJ40="","",COUNTIFS(AJ$4:AJ$40,"&lt;"&amp;AJ40,AJ$4:AJ$40,"&lt;&gt;"&amp;"")+COUNTIF(AJ$4:AJ40,AJ40))</f>
        <v>37</v>
      </c>
      <c r="AL40" t="str">
        <f t="shared" si="15"/>
        <v>NO</v>
      </c>
      <c r="AM40" s="137">
        <f>AM39+IF(AND(AL40&lt;&gt;"",COUNTIF(AL$4:AL40,AL40)=1),1,0)</f>
        <v>3</v>
      </c>
      <c r="AN40" t="str">
        <f t="shared" si="16"/>
        <v/>
      </c>
      <c r="AO40" s="55">
        <f>IF('Final Calculation Sheet'!$C$40="","",'Final Calculation Sheet'!$C$40)</f>
        <v>40003</v>
      </c>
      <c r="AP40" s="137">
        <f>IF(AO40="","",COUNTIFS(AO$4:AO$40,"&lt;"&amp;AO40,AO$4:AO$40,"&lt;&gt;"&amp;"")+COUNTIF(AO$4:AO40,AO40))</f>
        <v>21</v>
      </c>
      <c r="AQ40" s="55">
        <f t="shared" si="17"/>
        <v>3857116</v>
      </c>
      <c r="AR40" s="137">
        <f>AR39+IF(AND(AQ40&lt;&gt;"",COUNTIF(AQ$4:AQ40,AQ40)=1),1,0)</f>
        <v>35</v>
      </c>
      <c r="AS40" t="str">
        <f t="shared" si="18"/>
        <v/>
      </c>
      <c r="AT40" s="55">
        <f>IF('Final Calculation Sheet'!$H$40="","",'Final Calculation Sheet'!$H$40)</f>
        <v>120009</v>
      </c>
      <c r="AU40" s="137">
        <f>IF(AT40="","",COUNTIFS(AT$4:AT$40,"&lt;"&amp;AT40,AT$4:AT$40,"&lt;&gt;"&amp;"")+COUNTIF(AT$4:AT40,AT40))</f>
        <v>17</v>
      </c>
      <c r="AV40" s="55">
        <f t="shared" si="19"/>
        <v>3857116</v>
      </c>
      <c r="AW40" s="137">
        <f>AW39+IF(AND(AV40&lt;&gt;"",COUNTIF(AV$4:AV40,AV40)=1),1,0)</f>
        <v>37</v>
      </c>
      <c r="AX40" s="55">
        <f t="shared" si="20"/>
        <v>3857116</v>
      </c>
      <c r="AY40" s="55">
        <f>IF('Final Calculation Sheet'!$I$40="","",'Final Calculation Sheet'!$I$40)</f>
        <v>21602</v>
      </c>
      <c r="AZ40" s="137">
        <f>IF(AY40="","",COUNTIFS(AY$4:AY$40,"&lt;"&amp;AY40,AY$4:AY$40,"&lt;&gt;"&amp;"")+COUNTIF(AY$4:AY40,AY40))</f>
        <v>17</v>
      </c>
      <c r="BA40" s="55">
        <f t="shared" si="21"/>
        <v>694281</v>
      </c>
      <c r="BB40" s="137">
        <f>BB39+IF(AND(BA40&lt;&gt;"",COUNTIF(BA$4:BA40,BA40)=1),1,0)</f>
        <v>37</v>
      </c>
      <c r="BC40" s="55">
        <f t="shared" si="22"/>
        <v>694281</v>
      </c>
      <c r="BD40" s="55">
        <f>IF('Final Calculation Sheet'!$J$40="","",'Final Calculation Sheet'!$J$40)</f>
        <v>141611</v>
      </c>
      <c r="BE40" s="137">
        <f>IF(BD40="","",COUNTIFS(BD$4:BD$40,"&lt;"&amp;BD40,BD$4:BD$40,"&lt;&gt;"&amp;"")+COUNTIF(BD$4:BD40,BD40))</f>
        <v>17</v>
      </c>
      <c r="BF40" s="55">
        <f t="shared" si="23"/>
        <v>4551397</v>
      </c>
      <c r="BG40" s="137">
        <f>BG39+IF(AND(BF40&lt;&gt;"",COUNTIF(BF$4:BF40,BF40)=1),1,0)</f>
        <v>37</v>
      </c>
      <c r="BH40" s="55">
        <f t="shared" si="24"/>
        <v>4551397</v>
      </c>
      <c r="BI40" s="55">
        <f>IF('Final Calculation Sheet'!$K$40="","",'Final Calculation Sheet'!$K$40)</f>
        <v>2832</v>
      </c>
      <c r="BJ40" s="137">
        <f>IF(BI40="","",COUNTIFS(BI$4:BI$40,"&lt;"&amp;BI40,BI$4:BI$40,"&lt;&gt;"&amp;"")+COUNTIF(BI$4:BI40,BI40))</f>
        <v>17</v>
      </c>
      <c r="BK40" s="55">
        <f t="shared" si="25"/>
        <v>91028</v>
      </c>
      <c r="BL40" s="137">
        <f>BL39+IF(AND(BK40&lt;&gt;"",COUNTIF(BK$4:BK40,BK40)=1),1,0)</f>
        <v>36</v>
      </c>
      <c r="BM40" t="str">
        <f t="shared" si="26"/>
        <v/>
      </c>
      <c r="BN40" s="55">
        <f>IF('Final Calculation Sheet'!$L$40="","",'Final Calculation Sheet'!$L$40)</f>
        <v>120.009</v>
      </c>
      <c r="BO40" s="137">
        <f>IF(BN40="","",COUNTIFS(BN$4:BN$40,"&lt;"&amp;BN40,BN$4:BN$40,"&lt;&gt;"&amp;"")+COUNTIF(BN$4:BN40,BN40))</f>
        <v>17</v>
      </c>
      <c r="BP40" s="55">
        <f t="shared" si="27"/>
        <v>3857.116</v>
      </c>
      <c r="BQ40" s="137">
        <f>BQ39+IF(AND(BP40&lt;&gt;"",COUNTIF(BP$4:BP40,BP40)=1),1,0)</f>
        <v>37</v>
      </c>
      <c r="BR40" s="55">
        <f t="shared" si="28"/>
        <v>3857.116</v>
      </c>
      <c r="BS40" s="55">
        <f>IF('Final Calculation Sheet'!$M$40="","",'Final Calculation Sheet'!$M$40)</f>
        <v>3186.2389499999995</v>
      </c>
      <c r="BT40" s="137">
        <f>IF(BS40="","",COUNTIFS(BS$4:BS$40,"&lt;"&amp;BS40,BS$4:BS$40,"&lt;&gt;"&amp;"")+COUNTIF(BS$4:BS40,BS40))</f>
        <v>17</v>
      </c>
      <c r="BU40" s="55">
        <f t="shared" si="29"/>
        <v>102406.4298</v>
      </c>
      <c r="BV40" s="137">
        <f>BV39+IF(AND(BU40&lt;&gt;"",COUNTIF(BU$4:BU40,BU40)=1),1,0)</f>
        <v>37</v>
      </c>
      <c r="BW40" s="55">
        <f t="shared" si="30"/>
        <v>102406.4298</v>
      </c>
      <c r="BX40" s="138">
        <f>IF('Final Calculation Sheet'!$N$40="","",'Final Calculation Sheet'!$N$40)</f>
        <v>54.004049999999999</v>
      </c>
      <c r="BY40" s="137">
        <f>IF(BX40="","",COUNTIFS(BX$4:BX$40,"&lt;"&amp;BX40,BX$4:BX$40,"&lt;&gt;"&amp;"")+COUNTIF(BX$4:BX40,BX40))</f>
        <v>17</v>
      </c>
      <c r="BZ40" s="138">
        <f t="shared" si="31"/>
        <v>1735.7021999999999</v>
      </c>
      <c r="CA40" s="137">
        <f>CA39+IF(AND(BZ40&lt;&gt;"",COUNTIF(BZ$4:BZ40,BZ40)=1),1,0)</f>
        <v>37</v>
      </c>
      <c r="CB40" s="138">
        <f t="shared" si="32"/>
        <v>1735.7021999999999</v>
      </c>
      <c r="CC40" s="55">
        <f>IF('Final Calculation Sheet'!$O$40="","",'Final Calculation Sheet'!$O$40)</f>
        <v>3132.2348999999995</v>
      </c>
      <c r="CD40" s="137">
        <f>IF(CC40="","",COUNTIFS(CC$4:CC$40,"&lt;"&amp;CC40,CC$4:CC$40,"&lt;&gt;"&amp;"")+COUNTIF(CC$4:CC40,CC40))</f>
        <v>17</v>
      </c>
      <c r="CE40" s="55">
        <f t="shared" si="33"/>
        <v>100670.7276</v>
      </c>
      <c r="CF40" s="137">
        <f>CF39+IF(AND(CE40&lt;&gt;"",COUNTIF(CE$4:CE40,CE40)=1),1,0)</f>
        <v>37</v>
      </c>
      <c r="CG40" s="55">
        <f t="shared" si="34"/>
        <v>100670.7276</v>
      </c>
      <c r="CH40" s="55">
        <f>IF('Final Calculation Sheet'!$P$40="","",'Final Calculation Sheet'!$P$40)</f>
        <v>3252</v>
      </c>
      <c r="CI40" s="137">
        <f>IF(CH40="","",COUNTIFS(CH$4:CH$40,"&lt;"&amp;CH40,CH$4:CH$40,"&lt;&gt;"&amp;"")+COUNTIF(CH$4:CH40,CH40))</f>
        <v>17</v>
      </c>
      <c r="CJ40" s="55">
        <f t="shared" si="35"/>
        <v>104528</v>
      </c>
      <c r="CK40" s="137">
        <f>CK39+IF(AND(CJ40&lt;&gt;"",COUNTIF(CJ$4:CJ40,CJ40)=1),1,0)</f>
        <v>36</v>
      </c>
      <c r="CL40" t="str">
        <f t="shared" si="36"/>
        <v/>
      </c>
      <c r="CM40" s="139">
        <f>IF('Final Calculation Sheet'!$Q$40="","",'Final Calculation Sheet'!$Q$40)</f>
        <v>0</v>
      </c>
      <c r="CN40" s="137">
        <f>IF(CM40="","",COUNTIFS(CM$4:CM$40,"&lt;"&amp;CM40,CM$4:CM$40,"&lt;&gt;"&amp;"")+COUNTIF(CM$4:CM40,CM40))</f>
        <v>33</v>
      </c>
      <c r="CO40" s="139">
        <f t="shared" si="37"/>
        <v>0.02</v>
      </c>
      <c r="CP40" s="137">
        <f>CP39+IF(AND(CO40&lt;&gt;"",COUNTIF(CO$4:CO40,CO40)=1),1,0)</f>
        <v>2</v>
      </c>
      <c r="CQ40" t="str">
        <f t="shared" si="38"/>
        <v/>
      </c>
      <c r="CR40" s="55">
        <f>IF('Final Calculation Sheet'!$R$40="","",'Final Calculation Sheet'!$R$40)</f>
        <v>0</v>
      </c>
      <c r="CS40" s="137">
        <f>IF(CR40="","",COUNTIFS(CR$4:CR$40,"&lt;"&amp;CR40,CR$4:CR$40,"&lt;&gt;"&amp;"")+COUNTIF(CR$4:CR40,CR40))</f>
        <v>33</v>
      </c>
      <c r="CT40" s="55">
        <f t="shared" si="39"/>
        <v>32929</v>
      </c>
      <c r="CU40" s="137">
        <f>CU39+IF(AND(CT40&lt;&gt;"",COUNTIF(CT$4:CT40,CT40)=1),1,0)</f>
        <v>5</v>
      </c>
      <c r="CV40" t="str">
        <f t="shared" si="40"/>
        <v/>
      </c>
      <c r="CW40" s="55">
        <f>IF('Final Calculation Sheet'!$S$40="","",'Final Calculation Sheet'!$S$40)</f>
        <v>141191</v>
      </c>
      <c r="CX40" s="137">
        <f>IF(CW40="","",COUNTIFS(CW$4:CW$40,"&lt;"&amp;CW40,CW$4:CW$40,"&lt;&gt;"&amp;"")+COUNTIF(CW$4:CW40,CW40))</f>
        <v>17</v>
      </c>
      <c r="CY40" s="55">
        <f t="shared" si="41"/>
        <v>4537897</v>
      </c>
      <c r="CZ40" s="137">
        <f>CZ39+IF(AND(CY40&lt;&gt;"",COUNTIF(CY$4:CY40,CY40)=1),1,0)</f>
        <v>37</v>
      </c>
      <c r="DA40" s="55">
        <f t="shared" si="42"/>
        <v>4537897</v>
      </c>
      <c r="DB40" s="55">
        <f>IF('Final Calculation Sheet'!$T$40="","",'Final Calculation Sheet'!$T$40)</f>
        <v>30002</v>
      </c>
      <c r="DC40" s="137">
        <f>IF(DB40="","",COUNTIFS(DB$4:DB$40,"&lt;"&amp;DB40,DB$4:DB$40,"&lt;&gt;"&amp;"")+COUNTIF(DB$4:DB40,DB40))</f>
        <v>17</v>
      </c>
      <c r="DD40" s="55">
        <f t="shared" si="43"/>
        <v>964279</v>
      </c>
      <c r="DE40" s="137">
        <f>DE39+IF(AND(DD40&lt;&gt;"",COUNTIF(DD$4:DD40,DD40)=1),1,0)</f>
        <v>37</v>
      </c>
      <c r="DF40" s="55">
        <f t="shared" si="44"/>
        <v>964279</v>
      </c>
      <c r="DG40" s="140">
        <f>IF('Final Calculation Sheet'!$U$40="","",'Final Calculation Sheet'!$U$40)</f>
        <v>30002</v>
      </c>
      <c r="DH40" s="137">
        <f>IF(DG40="","",COUNTIFS(DG$4:DG$40,"&lt;"&amp;DG40,DG$4:DG$40,"&lt;&gt;"&amp;"")+COUNTIF(DG$4:DG40,DG40))</f>
        <v>17</v>
      </c>
      <c r="DI40" s="140">
        <f t="shared" si="45"/>
        <v>964279</v>
      </c>
      <c r="DJ40" s="137">
        <f>DJ39+IF(AND(DI40&lt;&gt;"",COUNTIF(DI$4:DI40,DI40)=1),1,0)</f>
        <v>37</v>
      </c>
      <c r="DK40" s="140">
        <f t="shared" si="46"/>
        <v>964279</v>
      </c>
      <c r="DL40" t="str">
        <f>IF('Final Calculation Sheet'!$V$40="","",'Final Calculation Sheet'!$V$40)</f>
        <v>14.08.2026</v>
      </c>
      <c r="DM40" s="137">
        <f>IF(DL40="","",COUNTIFS(DL$4:DL$40,"&lt;"&amp;DL40,DL$4:DL$40,"&lt;&gt;"&amp;"")+COUNTIF(DL$4:DL40,DL40))</f>
        <v>35</v>
      </c>
      <c r="DN40" t="str">
        <f t="shared" si="47"/>
        <v>24.08.2026</v>
      </c>
      <c r="DO40" s="137">
        <f>DO39+IF(AND(DN40&lt;&gt;"",COUNTIF(DN$4:DN40,DN40)=1),1,0)</f>
        <v>6</v>
      </c>
      <c r="DP40" t="str">
        <f t="shared" si="48"/>
        <v/>
      </c>
      <c r="DQ40" s="55">
        <f>IF('Final Calculation Sheet'!$W$40="","",'Final Calculation Sheet'!$W$40)</f>
        <v>111188</v>
      </c>
      <c r="DR40" s="137">
        <f>IF(DQ40="","",COUNTIFS(DQ$4:DQ$40,"&lt;"&amp;DQ40,DQ$4:DQ$40,"&lt;&gt;"&amp;"")+COUNTIF(DQ$4:DQ40,DQ40))</f>
        <v>17</v>
      </c>
      <c r="DS40" s="55">
        <f t="shared" si="49"/>
        <v>3573618</v>
      </c>
      <c r="DT40" s="137">
        <f>DT39+IF(AND(DS40&lt;&gt;"",COUNTIF(DS$4:DS40,DS40)=1),1,0)</f>
        <v>37</v>
      </c>
      <c r="DU40" s="55">
        <f t="shared" si="50"/>
        <v>3573618</v>
      </c>
      <c r="DV40" s="55">
        <f>IF('Final Calculation Sheet'!$X$40="","",'Final Calculation Sheet'!$X$40)</f>
        <v>111189</v>
      </c>
      <c r="DW40" s="137">
        <f>IF(DV40="","",COUNTIFS(DV$4:DV$40,"&lt;"&amp;DV40,DV$4:DV$40,"&lt;&gt;"&amp;"")+COUNTIF(DV$4:DV40,DV40))</f>
        <v>16</v>
      </c>
      <c r="DX40" s="137" t="e">
        <f t="shared" si="51"/>
        <v>#N/A</v>
      </c>
      <c r="DY40" s="137" t="e">
        <f>DY39+IF(AND(DX40&lt;&gt;"",COUNTIF(DX$4:DX40,DX40)=1),1,0)</f>
        <v>#N/A</v>
      </c>
      <c r="DZ40" t="e">
        <f t="shared" si="52"/>
        <v>#N/A</v>
      </c>
      <c r="EA40" t="str">
        <f>IF('Final Calculation Sheet'!$Y$40="","",'Final Calculation Sheet'!$Y$40)</f>
        <v>01.09.2026</v>
      </c>
      <c r="EB40" s="137">
        <f>IF(EA40="","",COUNTIFS(EA$4:EA$40,"&lt;"&amp;EA40,EA$4:EA$40,"&lt;&gt;"&amp;"")+COUNTIF(EA$4:EA40,EA40))</f>
        <v>2</v>
      </c>
      <c r="EC40" s="137" t="e">
        <f t="shared" si="53"/>
        <v>#N/A</v>
      </c>
      <c r="ED40" s="137" t="e">
        <f>ED39+IF(AND(EC40&lt;&gt;"",COUNTIF(EC$4:EC40,EC40)=1),1,0)</f>
        <v>#N/A</v>
      </c>
      <c r="EE40" t="e">
        <f t="shared" si="54"/>
        <v>#N/A</v>
      </c>
      <c r="EF40" s="55">
        <f ca="1">IF('Final Calculation Sheet'!$Z$40="","",'Final Calculation Sheet'!$Z$40)</f>
        <v>2832.2123999999999</v>
      </c>
      <c r="EG40" s="137">
        <f ca="1">IF(EF40="","",COUNTIFS(EF$4:EF$40,"&lt;"&amp;EF40,EF$4:EF$40,"&lt;&gt;"&amp;"")+COUNTIF(EF$4:EF40,EF40))</f>
        <v>35</v>
      </c>
      <c r="EH40" s="55">
        <f t="shared" ca="1" si="55"/>
        <v>19448.760000000002</v>
      </c>
      <c r="EI40" s="137">
        <f ca="1">EI39+IF(AND(EH40&lt;&gt;"",COUNTIF(EH$4:EH40,EH40)=1),1,0)</f>
        <v>6</v>
      </c>
      <c r="EJ40" t="str">
        <f t="shared" ca="1" si="56"/>
        <v/>
      </c>
      <c r="EK40" s="55">
        <f>IF('Final Calculation Sheet'!$AA$40="","",'Final Calculation Sheet'!$AA$40)</f>
        <v>2832</v>
      </c>
      <c r="EL40" s="137">
        <f>IF(EK40="","",COUNTIFS(EK$4:EK$40,"&lt;"&amp;EK40,EK$4:EK$40,"&lt;&gt;"&amp;"")+COUNTIF(EK$4:EK40,EK40))</f>
        <v>2</v>
      </c>
      <c r="EM40" s="137" t="e">
        <f t="shared" si="57"/>
        <v>#N/A</v>
      </c>
      <c r="EN40" s="137" t="e">
        <f>EN39+IF(AND(EM40&lt;&gt;"",COUNTIF(EM$4:EM40,EM40)=1),1,0)</f>
        <v>#N/A</v>
      </c>
      <c r="EO40" t="e">
        <f t="shared" si="58"/>
        <v>#N/A</v>
      </c>
      <c r="EP40" t="str">
        <f>IF('Final Calculation Sheet'!$AB$40="","",'Final Calculation Sheet'!$AB$40)</f>
        <v>01.09.2026</v>
      </c>
      <c r="EQ40" s="137">
        <f>IF(EP40="","",COUNTIFS(EP$4:EP$40,"&lt;"&amp;EP40,EP$4:EP$40,"&lt;&gt;"&amp;"")+COUNTIF(EP$4:EP40,EP40))</f>
        <v>37</v>
      </c>
      <c r="ER40" t="str">
        <f t="shared" si="59"/>
        <v>01.09.2026</v>
      </c>
      <c r="ES40" s="137" t="e">
        <f>ES39+IF(AND(ER40&lt;&gt;"",COUNTIF(ER$4:ER40,ER40)=1),1,0)</f>
        <v>#N/A</v>
      </c>
      <c r="ET40" t="e">
        <f t="shared" si="60"/>
        <v>#N/A</v>
      </c>
      <c r="EU40" s="55">
        <f>IF('Final Calculation Sheet'!$AC$40="","",'Final Calculation Sheet'!$AC$40)</f>
        <v>144023</v>
      </c>
      <c r="EV40" s="137">
        <f>IF(EU40="","",COUNTIFS(EU$4:EU$40,"&lt;"&amp;EU40,EU$4:EU$40,"&lt;&gt;"&amp;"")+COUNTIF(EU$4:EU40,EU40))</f>
        <v>19</v>
      </c>
      <c r="EW40" s="55">
        <f t="shared" si="61"/>
        <v>4537897.9057083894</v>
      </c>
      <c r="EX40" s="137">
        <f>EX39+IF(AND(EW40&lt;&gt;"",COUNTIF(EW$4:EW40,EW40)=1),1,0)</f>
        <v>37</v>
      </c>
      <c r="EY40" s="55">
        <f t="shared" si="62"/>
        <v>4537897.9057083894</v>
      </c>
      <c r="EZ40" s="55">
        <f>IF('Final Calculation Sheet'!$AD$40="","",'Final Calculation Sheet'!$AD$40)</f>
        <v>-2832</v>
      </c>
      <c r="FA40" s="137">
        <f>IF(EZ40="","",COUNTIFS(EZ$4:EZ$40,"&lt;"&amp;EZ40,EZ$4:EZ$40,"&lt;&gt;"&amp;"")+COUNTIF(EZ$4:EZ40,EZ40))</f>
        <v>1</v>
      </c>
      <c r="FB40" s="55">
        <f t="shared" si="63"/>
        <v>498031</v>
      </c>
      <c r="FC40" s="137" t="e">
        <f>FC39+IF(AND(FB40&lt;&gt;"",COUNTIF(FB$4:FB40,FB40)=1),1,0)</f>
        <v>#N/A</v>
      </c>
      <c r="FD40" t="e">
        <f t="shared" si="64"/>
        <v>#N/A</v>
      </c>
      <c r="FE40" t="str">
        <f>IF('Final Calculation Sheet'!$AE$40="","",'Final Calculation Sheet'!$AE$40)</f>
        <v/>
      </c>
      <c r="FF40" t="str">
        <f>IF(FE40="","",COUNTIFS(FE$4:FE$40,"&lt;"&amp;FE40,FE$4:FE$40,"&lt;&gt;"&amp;"")+COUNTIF(FE$4:FE40,FE40))</f>
        <v/>
      </c>
      <c r="FG40" t="str">
        <f t="shared" si="65"/>
        <v>DR2640100048</v>
      </c>
      <c r="FH40" s="137" t="e">
        <f>FH39+IF(AND(FG40&lt;&gt;"",COUNTIF(FG$4:FG40,FG40)=1),1,0)</f>
        <v>#N/A</v>
      </c>
      <c r="FI40" t="e">
        <f t="shared" si="66"/>
        <v>#N/A</v>
      </c>
      <c r="FJ40" t="str">
        <f>IF('Final Calculation Sheet'!$AF$40="","",'Final Calculation Sheet'!$AF$40)</f>
        <v/>
      </c>
      <c r="FK40" t="str">
        <f>IF(FJ40="","",COUNTIFS(FJ$4:FJ$40,"&lt;"&amp;FJ40,FJ$4:FJ$40,"&lt;&gt;"&amp;"")+COUNTIF(FJ$4:FJ40,FJ40))</f>
        <v/>
      </c>
      <c r="FL40" s="137" t="e">
        <f t="shared" si="67"/>
        <v>#N/A</v>
      </c>
      <c r="FM40" s="137" t="e">
        <f>FM39+IF(AND(FL40&lt;&gt;"",COUNTIF(FL$4:FL40,FL40)=1),1,0)</f>
        <v>#N/A</v>
      </c>
      <c r="FN40" t="e">
        <f t="shared" si="68"/>
        <v>#N/A</v>
      </c>
      <c r="FO40" t="str">
        <f>IF('Final Calculation Sheet'!$AG$40="","",'Final Calculation Sheet'!$AG$40)</f>
        <v/>
      </c>
      <c r="FP40" t="str">
        <f>IF(FO40="","",COUNTIFS(FO$4:FO$40,"&lt;"&amp;FO40,FO$4:FO$40,"&lt;&gt;"&amp;"")+COUNTIF(FO$4:FO40,FO40))</f>
        <v/>
      </c>
      <c r="FQ40" t="str">
        <f t="shared" si="69"/>
        <v>27.08.2026</v>
      </c>
      <c r="FR40" s="137" t="e">
        <f>FR39+IF(AND(FQ40&lt;&gt;"",COUNTIF(FQ$4:FQ40,FQ40)=1),1,0)</f>
        <v>#N/A</v>
      </c>
      <c r="FS40" t="e">
        <f t="shared" si="70"/>
        <v>#N/A</v>
      </c>
      <c r="FU40" t="str">
        <f>IF(FT40="","",COUNTIFS(FT$4:FT$40,"&lt;"&amp;FT40,FT$4:FT$40,"&lt;&gt;"&amp;"")+COUNTIF(FT$4:FT40,FT40))</f>
        <v/>
      </c>
      <c r="FV40" t="str">
        <f t="shared" si="71"/>
        <v/>
      </c>
      <c r="FW40" s="137">
        <f>FW39+IF(AND(FV40&lt;&gt;"",COUNTIF(FV$4:FV40,FV40)=1),1,0)</f>
        <v>2</v>
      </c>
      <c r="FX40" t="str">
        <f t="shared" si="72"/>
        <v/>
      </c>
    </row>
    <row r="41" spans="1:180" x14ac:dyDescent="0.25">
      <c r="A41" t="str">
        <f>IF(INDEX('Final Calculation Sheet'!$G$4:$G$40,ROW()-40)="","",INDEX('Final Calculation Sheet'!$G$4:$G$40,ROW()-40))</f>
        <v>AL HAMD TRADE CORPORATION</v>
      </c>
      <c r="B41" s="137">
        <f>IF(A41="","",COUNTIFS(A$4:A$114,"&lt;"&amp;A41,A$4:A$114,"&lt;&gt;"&amp;"")+COUNTIF(A$4:A41,A41))</f>
        <v>1</v>
      </c>
      <c r="C41" t="str">
        <f t="shared" si="73"/>
        <v>Scrap of 132 KV Wave Trap</v>
      </c>
      <c r="D41" s="137">
        <f>D40+IF(AND(C41&lt;&gt;"",COUNTIF(C$4:C41,C41)=1),1,0)</f>
        <v>38</v>
      </c>
      <c r="E41" t="e">
        <f t="shared" si="74"/>
        <v>#N/A</v>
      </c>
      <c r="O41" t="s">
        <v>205</v>
      </c>
      <c r="T41" t="s">
        <v>205</v>
      </c>
      <c r="Y41" t="s">
        <v>205</v>
      </c>
      <c r="AD41" t="s">
        <v>205</v>
      </c>
      <c r="AI41" t="s">
        <v>205</v>
      </c>
      <c r="AN41" t="s">
        <v>205</v>
      </c>
      <c r="AS41" t="s">
        <v>205</v>
      </c>
      <c r="AX41" t="s">
        <v>205</v>
      </c>
      <c r="BC41" t="s">
        <v>205</v>
      </c>
      <c r="BH41" t="s">
        <v>205</v>
      </c>
      <c r="BM41" t="s">
        <v>205</v>
      </c>
      <c r="BR41" t="s">
        <v>205</v>
      </c>
      <c r="BW41" t="s">
        <v>205</v>
      </c>
      <c r="CB41" t="s">
        <v>205</v>
      </c>
      <c r="CG41" t="s">
        <v>205</v>
      </c>
      <c r="CL41" t="s">
        <v>205</v>
      </c>
      <c r="CQ41" t="s">
        <v>205</v>
      </c>
      <c r="CV41" t="s">
        <v>205</v>
      </c>
      <c r="DA41" t="s">
        <v>205</v>
      </c>
      <c r="DF41" t="s">
        <v>205</v>
      </c>
      <c r="DK41" t="s">
        <v>205</v>
      </c>
      <c r="DP41" t="s">
        <v>205</v>
      </c>
      <c r="DU41" t="s">
        <v>205</v>
      </c>
      <c r="DZ41" t="s">
        <v>205</v>
      </c>
      <c r="EE41" t="s">
        <v>205</v>
      </c>
      <c r="EJ41" t="s">
        <v>205</v>
      </c>
      <c r="EO41" t="s">
        <v>205</v>
      </c>
      <c r="ET41" t="s">
        <v>205</v>
      </c>
      <c r="EY41" t="s">
        <v>205</v>
      </c>
      <c r="FD41" t="s">
        <v>205</v>
      </c>
      <c r="FI41" t="s">
        <v>205</v>
      </c>
      <c r="FN41" t="s">
        <v>205</v>
      </c>
      <c r="FS41" t="s">
        <v>205</v>
      </c>
    </row>
    <row r="42" spans="1:180" x14ac:dyDescent="0.25">
      <c r="A42" t="str">
        <f>IF(INDEX('Final Calculation Sheet'!$G$4:$G$40,ROW()-40)="","",INDEX('Final Calculation Sheet'!$G$4:$G$40,ROW()-40))</f>
        <v>NATIONAL ENTERPRISES</v>
      </c>
      <c r="B42" s="137">
        <f>IF(A42="","",COUNTIFS(A$4:A$114,"&lt;"&amp;A42,A$4:A$114,"&lt;&gt;"&amp;"")+COUNTIF(A$4:A42,A42))</f>
        <v>8</v>
      </c>
      <c r="C42" t="str">
        <f t="shared" si="73"/>
        <v>Scrap of 145 KV CB</v>
      </c>
      <c r="D42" s="137">
        <f>D41+IF(AND(C42&lt;&gt;"",COUNTIF(C$4:C42,C42)=1),1,0)</f>
        <v>39</v>
      </c>
      <c r="E42" t="e">
        <f t="shared" si="74"/>
        <v>#N/A</v>
      </c>
      <c r="O42" t="s">
        <v>206</v>
      </c>
      <c r="T42" t="s">
        <v>206</v>
      </c>
      <c r="Y42" t="s">
        <v>206</v>
      </c>
      <c r="AD42" t="s">
        <v>206</v>
      </c>
      <c r="AI42" t="s">
        <v>206</v>
      </c>
      <c r="AN42" t="s">
        <v>206</v>
      </c>
      <c r="AS42" t="s">
        <v>206</v>
      </c>
      <c r="AX42" t="s">
        <v>206</v>
      </c>
      <c r="BC42" t="s">
        <v>206</v>
      </c>
      <c r="BH42" t="s">
        <v>206</v>
      </c>
      <c r="BM42" t="s">
        <v>206</v>
      </c>
      <c r="BR42" t="s">
        <v>206</v>
      </c>
      <c r="BW42" t="s">
        <v>206</v>
      </c>
      <c r="CB42" t="s">
        <v>206</v>
      </c>
      <c r="CG42" t="s">
        <v>206</v>
      </c>
      <c r="CL42" t="s">
        <v>206</v>
      </c>
      <c r="CQ42" t="s">
        <v>206</v>
      </c>
      <c r="CV42" t="s">
        <v>206</v>
      </c>
      <c r="DA42" t="s">
        <v>206</v>
      </c>
      <c r="DF42" t="s">
        <v>206</v>
      </c>
      <c r="DK42" t="s">
        <v>206</v>
      </c>
      <c r="DP42" t="s">
        <v>206</v>
      </c>
      <c r="DU42" t="s">
        <v>206</v>
      </c>
      <c r="DZ42" t="s">
        <v>206</v>
      </c>
      <c r="EE42" t="s">
        <v>206</v>
      </c>
      <c r="EJ42" t="s">
        <v>206</v>
      </c>
      <c r="EO42" t="s">
        <v>206</v>
      </c>
      <c r="ET42" t="s">
        <v>206</v>
      </c>
      <c r="EY42" t="s">
        <v>206</v>
      </c>
      <c r="FD42" t="s">
        <v>206</v>
      </c>
      <c r="FI42" t="s">
        <v>206</v>
      </c>
      <c r="FN42" t="s">
        <v>206</v>
      </c>
      <c r="FS42" t="s">
        <v>206</v>
      </c>
    </row>
    <row r="43" spans="1:180" x14ac:dyDescent="0.25">
      <c r="A43" t="str">
        <f>IF(INDEX('Final Calculation Sheet'!$G$4:$G$40,ROW()-40)="","",INDEX('Final Calculation Sheet'!$G$4:$G$40,ROW()-40))</f>
        <v>F R KHANS ENTERPRISES</v>
      </c>
      <c r="B43" s="137">
        <f>IF(A43="","",COUNTIFS(A$4:A$114,"&lt;"&amp;A43,A$4:A$114,"&lt;&gt;"&amp;"")+COUNTIF(A$4:A43,A43))</f>
        <v>2</v>
      </c>
      <c r="C43" t="str">
        <f t="shared" si="73"/>
        <v>Scrap of 220 KV Circuit Breaker</v>
      </c>
      <c r="D43" s="137">
        <f>D42+IF(AND(C43&lt;&gt;"",COUNTIF(C$4:C43,C43)=1),1,0)</f>
        <v>40</v>
      </c>
      <c r="E43" t="e">
        <f t="shared" si="74"/>
        <v>#N/A</v>
      </c>
    </row>
    <row r="44" spans="1:180" x14ac:dyDescent="0.25">
      <c r="A44" t="str">
        <f>IF(INDEX('Final Calculation Sheet'!$G$4:$G$40,ROW()-40)="","",INDEX('Final Calculation Sheet'!$G$4:$G$40,ROW()-40))</f>
        <v>F R KHANS ENTERPRISES</v>
      </c>
      <c r="B44" s="137">
        <f>IF(A44="","",COUNTIFS(A$4:A$114,"&lt;"&amp;A44,A$4:A$114,"&lt;&gt;"&amp;"")+COUNTIF(A$4:A44,A44))</f>
        <v>3</v>
      </c>
      <c r="C44" t="str">
        <f t="shared" si="73"/>
        <v>Scrap of 220 KV Circuit Breaker</v>
      </c>
      <c r="D44" s="137">
        <f>D43+IF(AND(C44&lt;&gt;"",COUNTIF(C$4:C44,C44)=1),1,0)</f>
        <v>40</v>
      </c>
      <c r="E44" t="e">
        <f t="shared" si="74"/>
        <v>#N/A</v>
      </c>
    </row>
    <row r="45" spans="1:180" x14ac:dyDescent="0.25">
      <c r="A45" t="str">
        <f>IF(INDEX('Final Calculation Sheet'!$G$4:$G$40,ROW()-40)="","",INDEX('Final Calculation Sheet'!$G$4:$G$40,ROW()-40))</f>
        <v>OMKAR STEELS</v>
      </c>
      <c r="B45" s="137">
        <f>IF(A45="","",COUNTIFS(A$4:A$114,"&lt;"&amp;A45,A$4:A$114,"&lt;&gt;"&amp;"")+COUNTIF(A$4:A45,A45))</f>
        <v>22</v>
      </c>
      <c r="C45" t="str">
        <f t="shared" si="73"/>
        <v>Scrap of 220 KV CT</v>
      </c>
      <c r="D45" s="137">
        <f>D44+IF(AND(C45&lt;&gt;"",COUNTIF(C$4:C45,C45)=1),1,0)</f>
        <v>41</v>
      </c>
      <c r="E45" t="e">
        <f t="shared" si="74"/>
        <v>#N/A</v>
      </c>
    </row>
    <row r="46" spans="1:180" x14ac:dyDescent="0.25">
      <c r="A46" t="str">
        <f>IF(INDEX('Final Calculation Sheet'!$G$4:$G$40,ROW()-40)="","",INDEX('Final Calculation Sheet'!$G$4:$G$40,ROW()-40))</f>
        <v>SHAR JAHAN TRADERS</v>
      </c>
      <c r="B46" s="137">
        <f>IF(A46="","",COUNTIFS(A$4:A$114,"&lt;"&amp;A46,A$4:A$114,"&lt;&gt;"&amp;"")+COUNTIF(A$4:A46,A46))</f>
        <v>63</v>
      </c>
      <c r="C46" t="str">
        <f t="shared" si="73"/>
        <v>Scrap of 220KV CT</v>
      </c>
      <c r="D46" s="137">
        <f>D45+IF(AND(C46&lt;&gt;"",COUNTIF(C$4:C46,C46)=1),1,0)</f>
        <v>42</v>
      </c>
      <c r="E46" t="e">
        <f t="shared" si="74"/>
        <v>#N/A</v>
      </c>
    </row>
    <row r="47" spans="1:180" x14ac:dyDescent="0.25">
      <c r="A47" t="str">
        <f>IF(INDEX('Final Calculation Sheet'!$G$4:$G$40,ROW()-40)="","",INDEX('Final Calculation Sheet'!$G$4:$G$40,ROW()-40))</f>
        <v>NATIONAL ENTERPRISES</v>
      </c>
      <c r="B47" s="137">
        <f>IF(A47="","",COUNTIFS(A$4:A$114,"&lt;"&amp;A47,A$4:A$114,"&lt;&gt;"&amp;"")+COUNTIF(A$4:A47,A47))</f>
        <v>9</v>
      </c>
      <c r="C47" t="str">
        <f t="shared" si="73"/>
        <v>Scrap of 33 KV CB</v>
      </c>
      <c r="D47" s="137">
        <f>D46+IF(AND(C47&lt;&gt;"",COUNTIF(C$4:C47,C47)=1),1,0)</f>
        <v>43</v>
      </c>
      <c r="E47" t="e">
        <f t="shared" si="74"/>
        <v>#N/A</v>
      </c>
    </row>
    <row r="48" spans="1:180" x14ac:dyDescent="0.25">
      <c r="A48" t="str">
        <f>IF(INDEX('Final Calculation Sheet'!$G$4:$G$40,ROW()-40)="","",INDEX('Final Calculation Sheet'!$G$4:$G$40,ROW()-40))</f>
        <v>NATIONAL ENTERPRISES</v>
      </c>
      <c r="B48" s="137">
        <f>IF(A48="","",COUNTIFS(A$4:A$114,"&lt;"&amp;A48,A$4:A$114,"&lt;&gt;"&amp;"")+COUNTIF(A$4:A48,A48))</f>
        <v>10</v>
      </c>
      <c r="C48" t="str">
        <f t="shared" si="73"/>
        <v>Scrap of 33 KV CT</v>
      </c>
      <c r="D48" s="137">
        <f>D47+IF(AND(C48&lt;&gt;"",COUNTIF(C$4:C48,C48)=1),1,0)</f>
        <v>44</v>
      </c>
      <c r="E48" t="e">
        <f t="shared" si="74"/>
        <v>#N/A</v>
      </c>
    </row>
    <row r="49" spans="1:5" x14ac:dyDescent="0.25">
      <c r="A49" t="str">
        <f>IF(INDEX('Final Calculation Sheet'!$G$4:$G$40,ROW()-40)="","",INDEX('Final Calculation Sheet'!$G$4:$G$40,ROW()-40))</f>
        <v>NATIONAL ENTERPRISES</v>
      </c>
      <c r="B49" s="137">
        <f>IF(A49="","",COUNTIFS(A$4:A$114,"&lt;"&amp;A49,A$4:A$114,"&lt;&gt;"&amp;"")+COUNTIF(A$4:A49,A49))</f>
        <v>11</v>
      </c>
      <c r="C49" t="str">
        <f t="shared" si="73"/>
        <v>Scrap of 33 KV GCB</v>
      </c>
      <c r="D49" s="137">
        <f>D48+IF(AND(C49&lt;&gt;"",COUNTIF(C$4:C49,C49)=1),1,0)</f>
        <v>45</v>
      </c>
      <c r="E49" t="e">
        <f t="shared" si="74"/>
        <v>#N/A</v>
      </c>
    </row>
    <row r="50" spans="1:5" x14ac:dyDescent="0.25">
      <c r="A50" t="str">
        <f>IF(INDEX('Final Calculation Sheet'!$G$4:$G$40,ROW()-40)="","",INDEX('Final Calculation Sheet'!$G$4:$G$40,ROW()-40))</f>
        <v>STERLING ENTERPRISES</v>
      </c>
      <c r="B50" s="137">
        <f>IF(A50="","",COUNTIFS(A$4:A$114,"&lt;"&amp;A50,A$4:A$114,"&lt;&gt;"&amp;"")+COUNTIF(A$4:A50,A50))</f>
        <v>65</v>
      </c>
      <c r="C50" t="str">
        <f t="shared" si="73"/>
        <v>Scrap of 66 KV Isolater</v>
      </c>
      <c r="D50" s="137">
        <f>D49+IF(AND(C50&lt;&gt;"",COUNTIF(C$4:C50,C50)=1),1,0)</f>
        <v>46</v>
      </c>
      <c r="E50" t="e">
        <f t="shared" si="74"/>
        <v>#N/A</v>
      </c>
    </row>
    <row r="51" spans="1:5" x14ac:dyDescent="0.25">
      <c r="A51" t="str">
        <f>IF(INDEX('Final Calculation Sheet'!$G$4:$G$40,ROW()-40)="","",INDEX('Final Calculation Sheet'!$G$4:$G$40,ROW()-40))</f>
        <v>SHAR JAHAN TRADERS</v>
      </c>
      <c r="B51" s="137">
        <f>IF(A51="","",COUNTIFS(A$4:A$114,"&lt;"&amp;A51,A$4:A$114,"&lt;&gt;"&amp;"")+COUNTIF(A$4:A51,A51))</f>
        <v>64</v>
      </c>
      <c r="C51" t="str">
        <f t="shared" si="73"/>
        <v>Scrap of 66 kv TBC C &amp; R Panel</v>
      </c>
      <c r="D51" s="137">
        <f>D50+IF(AND(C51&lt;&gt;"",COUNTIF(C$4:C51,C51)=1),1,0)</f>
        <v>47</v>
      </c>
      <c r="E51" t="e">
        <f t="shared" si="74"/>
        <v>#N/A</v>
      </c>
    </row>
    <row r="52" spans="1:5" x14ac:dyDescent="0.25">
      <c r="A52" t="str">
        <f>IF(INDEX('Final Calculation Sheet'!$G$4:$G$40,ROW()-40)="","",INDEX('Final Calculation Sheet'!$G$4:$G$40,ROW()-40))</f>
        <v>HIND TRADERS</v>
      </c>
      <c r="B52" s="137">
        <f>IF(A52="","",COUNTIFS(A$4:A$114,"&lt;"&amp;A52,A$4:A$114,"&lt;&gt;"&amp;"")+COUNTIF(A$4:A52,A52))</f>
        <v>4</v>
      </c>
      <c r="C52" t="str">
        <f t="shared" si="73"/>
        <v>Scrap of AAAC Earth wire</v>
      </c>
      <c r="D52" s="137">
        <f>D51+IF(AND(C52&lt;&gt;"",COUNTIF(C$4:C52,C52)=1),1,0)</f>
        <v>48</v>
      </c>
      <c r="E52" t="e">
        <f t="shared" si="74"/>
        <v>#N/A</v>
      </c>
    </row>
    <row r="53" spans="1:5" x14ac:dyDescent="0.25">
      <c r="A53" t="str">
        <f>IF(INDEX('Final Calculation Sheet'!$G$4:$G$40,ROW()-40)="","",INDEX('Final Calculation Sheet'!$G$4:$G$40,ROW()-40))</f>
        <v>STERLING ENTERPRISES</v>
      </c>
      <c r="B53" s="137">
        <f>IF(A53="","",COUNTIFS(A$4:A$114,"&lt;"&amp;A53,A$4:A$114,"&lt;&gt;"&amp;"")+COUNTIF(A$4:A53,A53))</f>
        <v>66</v>
      </c>
      <c r="C53" t="str">
        <f t="shared" si="73"/>
        <v>Scrap of Copper of faulty AC compressor</v>
      </c>
      <c r="D53" s="137">
        <f>D52+IF(AND(C53&lt;&gt;"",COUNTIF(C$4:C53,C53)=1),1,0)</f>
        <v>49</v>
      </c>
      <c r="E53" t="e">
        <f t="shared" si="74"/>
        <v>#N/A</v>
      </c>
    </row>
    <row r="54" spans="1:5" x14ac:dyDescent="0.25">
      <c r="A54" t="str">
        <f>IF(INDEX('Final Calculation Sheet'!$G$4:$G$40,ROW()-40)="","",INDEX('Final Calculation Sheet'!$G$4:$G$40,ROW()-40))</f>
        <v>STERLING ENTERPRISES</v>
      </c>
      <c r="B54" s="137">
        <f>IF(A54="","",COUNTIFS(A$4:A$114,"&lt;"&amp;A54,A$4:A$114,"&lt;&gt;"&amp;"")+COUNTIF(A$4:A54,A54))</f>
        <v>67</v>
      </c>
      <c r="C54" t="str">
        <f t="shared" si="73"/>
        <v>Scrap of empty oil Barrel</v>
      </c>
      <c r="D54" s="137">
        <f>D53+IF(AND(C54&lt;&gt;"",COUNTIF(C$4:C54,C54)=1),1,0)</f>
        <v>50</v>
      </c>
      <c r="E54" t="e">
        <f t="shared" si="74"/>
        <v>#N/A</v>
      </c>
    </row>
    <row r="55" spans="1:5" x14ac:dyDescent="0.25">
      <c r="A55" t="str">
        <f>IF(INDEX('Final Calculation Sheet'!$G$4:$G$40,ROW()-40)="","",INDEX('Final Calculation Sheet'!$G$4:$G$40,ROW()-40))</f>
        <v>NATIONAL ENTERPRISES</v>
      </c>
      <c r="B55" s="137">
        <f>IF(A55="","",COUNTIFS(A$4:A$114,"&lt;"&amp;A55,A$4:A$114,"&lt;&gt;"&amp;"")+COUNTIF(A$4:A55,A55))</f>
        <v>12</v>
      </c>
      <c r="C55" t="str">
        <f t="shared" si="73"/>
        <v>Scrap of empty oil Barrels</v>
      </c>
      <c r="D55" s="137">
        <f>D54+IF(AND(C55&lt;&gt;"",COUNTIF(C$4:C55,C55)=1),1,0)</f>
        <v>51</v>
      </c>
      <c r="E55" t="e">
        <f t="shared" si="74"/>
        <v>#N/A</v>
      </c>
    </row>
    <row r="56" spans="1:5" x14ac:dyDescent="0.25">
      <c r="A56" t="str">
        <f>IF(INDEX('Final Calculation Sheet'!$G$4:$G$40,ROW()-40)="","",INDEX('Final Calculation Sheet'!$G$4:$G$40,ROW()-40))</f>
        <v>NATIONAL ENTERPRISES</v>
      </c>
      <c r="B56" s="137">
        <f>IF(A56="","",COUNTIFS(A$4:A$114,"&lt;"&amp;A56,A$4:A$114,"&lt;&gt;"&amp;"")+COUNTIF(A$4:A56,A56))</f>
        <v>13</v>
      </c>
      <c r="C56" t="str">
        <f t="shared" si="73"/>
        <v>Scrap of empty oil Barrels</v>
      </c>
      <c r="D56" s="137">
        <f>D55+IF(AND(C56&lt;&gt;"",COUNTIF(C$4:C56,C56)=1),1,0)</f>
        <v>51</v>
      </c>
      <c r="E56" t="e">
        <f t="shared" si="74"/>
        <v>#N/A</v>
      </c>
    </row>
    <row r="57" spans="1:5" x14ac:dyDescent="0.25">
      <c r="A57" t="str">
        <f>IF(INDEX('Final Calculation Sheet'!$G$4:$G$40,ROW()-40)="","",INDEX('Final Calculation Sheet'!$G$4:$G$40,ROW()-40))</f>
        <v>OMKAR STEELS</v>
      </c>
      <c r="B57" s="137">
        <f>IF(A57="","",COUNTIFS(A$4:A$114,"&lt;"&amp;A57,A$4:A$114,"&lt;&gt;"&amp;"")+COUNTIF(A$4:A57,A57))</f>
        <v>23</v>
      </c>
      <c r="C57" t="str">
        <f t="shared" si="73"/>
        <v>Scrap of empty oil Barrels</v>
      </c>
      <c r="D57" s="137">
        <f>D56+IF(AND(C57&lt;&gt;"",COUNTIF(C$4:C57,C57)=1),1,0)</f>
        <v>51</v>
      </c>
      <c r="E57" t="e">
        <f t="shared" si="74"/>
        <v>#N/A</v>
      </c>
    </row>
    <row r="58" spans="1:5" x14ac:dyDescent="0.25">
      <c r="A58" t="str">
        <f>IF(INDEX('Final Calculation Sheet'!$G$4:$G$40,ROW()-40)="","",INDEX('Final Calculation Sheet'!$G$4:$G$40,ROW()-40))</f>
        <v>NATIONAL SCRAP AND BUILDING MATERIAL SUPPLIER</v>
      </c>
      <c r="B58" s="137">
        <f>IF(A58="","",COUNTIFS(A$4:A$114,"&lt;"&amp;A58,A$4:A$114,"&lt;&gt;"&amp;"")+COUNTIF(A$4:A58,A58))</f>
        <v>21</v>
      </c>
      <c r="C58" t="str">
        <f t="shared" si="73"/>
        <v>Scrap of Empty oil Barrels</v>
      </c>
      <c r="D58" s="137">
        <f>D57+IF(AND(C58&lt;&gt;"",COUNTIF(C$4:C58,C58)=1),1,0)</f>
        <v>51</v>
      </c>
      <c r="E58" t="e">
        <f t="shared" si="74"/>
        <v>#N/A</v>
      </c>
    </row>
    <row r="59" spans="1:5" x14ac:dyDescent="0.25">
      <c r="A59" t="str">
        <f>IF(INDEX('Final Calculation Sheet'!$G$4:$G$40,ROW()-40)="","",INDEX('Final Calculation Sheet'!$G$4:$G$40,ROW()-40))</f>
        <v>NATIONAL ENTERPRISES</v>
      </c>
      <c r="B59" s="137">
        <f>IF(A59="","",COUNTIFS(A$4:A$114,"&lt;"&amp;A59,A$4:A$114,"&lt;&gt;"&amp;"")+COUNTIF(A$4:A59,A59))</f>
        <v>14</v>
      </c>
      <c r="C59" t="str">
        <f t="shared" si="73"/>
        <v>Scrap of empty oil Druam</v>
      </c>
      <c r="D59" s="137">
        <f>D58+IF(AND(C59&lt;&gt;"",COUNTIF(C$4:C59,C59)=1),1,0)</f>
        <v>52</v>
      </c>
      <c r="E59" t="e">
        <f t="shared" si="74"/>
        <v>#N/A</v>
      </c>
    </row>
    <row r="60" spans="1:5" x14ac:dyDescent="0.25">
      <c r="A60" t="str">
        <f>IF(INDEX('Final Calculation Sheet'!$G$4:$G$40,ROW()-40)="","",INDEX('Final Calculation Sheet'!$G$4:$G$40,ROW()-40))</f>
        <v>STERLING ENTERPRISES</v>
      </c>
      <c r="B60" s="137">
        <f>IF(A60="","",COUNTIFS(A$4:A$114,"&lt;"&amp;A60,A$4:A$114,"&lt;&gt;"&amp;"")+COUNTIF(A$4:A60,A60))</f>
        <v>68</v>
      </c>
      <c r="C60" t="str">
        <f t="shared" si="73"/>
        <v>Scrap of Empty oil drum</v>
      </c>
      <c r="D60" s="137">
        <f>D59+IF(AND(C60&lt;&gt;"",COUNTIF(C$4:C60,C60)=1),1,0)</f>
        <v>53</v>
      </c>
      <c r="E60" t="e">
        <f t="shared" si="74"/>
        <v>#N/A</v>
      </c>
    </row>
    <row r="61" spans="1:5" x14ac:dyDescent="0.25">
      <c r="A61" t="str">
        <f>IF(INDEX('Final Calculation Sheet'!$G$4:$G$40,ROW()-40)="","",INDEX('Final Calculation Sheet'!$G$4:$G$40,ROW()-40))</f>
        <v>NATIONAL ENTERPRISES</v>
      </c>
      <c r="B61" s="137">
        <f>IF(A61="","",COUNTIFS(A$4:A$114,"&lt;"&amp;A61,A$4:A$114,"&lt;&gt;"&amp;"")+COUNTIF(A$4:A61,A61))</f>
        <v>15</v>
      </c>
      <c r="C61" t="str">
        <f t="shared" si="73"/>
        <v>Scrap of empty oil drums</v>
      </c>
      <c r="D61" s="137">
        <f>D60+IF(AND(C61&lt;&gt;"",COUNTIF(C$4:C61,C61)=1),1,0)</f>
        <v>54</v>
      </c>
      <c r="E61" t="e">
        <f t="shared" si="74"/>
        <v>#N/A</v>
      </c>
    </row>
    <row r="62" spans="1:5" x14ac:dyDescent="0.25">
      <c r="A62" t="str">
        <f>IF(INDEX('Final Calculation Sheet'!$G$4:$G$40,ROW()-40)="","",INDEX('Final Calculation Sheet'!$G$4:$G$40,ROW()-40))</f>
        <v>WATAN SCRAP TRADERS</v>
      </c>
      <c r="B62" s="137">
        <f>IF(A62="","",COUNTIFS(A$4:A$114,"&lt;"&amp;A62,A$4:A$114,"&lt;&gt;"&amp;"")+COUNTIF(A$4:A62,A62))</f>
        <v>72</v>
      </c>
      <c r="C62" t="str">
        <f t="shared" si="73"/>
        <v>Scrap of empty oil drums</v>
      </c>
      <c r="D62" s="137">
        <f>D61+IF(AND(C62&lt;&gt;"",COUNTIF(C$4:C62,C62)=1),1,0)</f>
        <v>54</v>
      </c>
      <c r="E62" t="e">
        <f t="shared" si="74"/>
        <v>#N/A</v>
      </c>
    </row>
    <row r="63" spans="1:5" x14ac:dyDescent="0.25">
      <c r="A63" t="str">
        <f>IF(INDEX('Final Calculation Sheet'!$G$4:$G$40,ROW()-40)="","",INDEX('Final Calculation Sheet'!$G$4:$G$40,ROW()-40))</f>
        <v>NATIONAL ENTERPRISES</v>
      </c>
      <c r="B63" s="137">
        <f>IF(A63="","",COUNTIFS(A$4:A$114,"&lt;"&amp;A63,A$4:A$114,"&lt;&gt;"&amp;"")+COUNTIF(A$4:A63,A63))</f>
        <v>16</v>
      </c>
      <c r="C63" t="str">
        <f t="shared" si="73"/>
        <v>Scrap of MS (extracted from equip cage and empty Sf6 gas cylinder)</v>
      </c>
      <c r="D63" s="137">
        <f>D62+IF(AND(C63&lt;&gt;"",COUNTIF(C$4:C63,C63)=1),1,0)</f>
        <v>55</v>
      </c>
      <c r="E63" t="e">
        <f t="shared" si="74"/>
        <v>#N/A</v>
      </c>
    </row>
    <row r="64" spans="1:5" x14ac:dyDescent="0.25">
      <c r="A64" t="str">
        <f>IF(INDEX('Final Calculation Sheet'!$G$4:$G$40,ROW()-40)="","",INDEX('Final Calculation Sheet'!$G$4:$G$40,ROW()-40))</f>
        <v>M I SCRAP TRADERS</v>
      </c>
      <c r="B64" s="137">
        <f>IF(A64="","",COUNTIFS(A$4:A$114,"&lt;"&amp;A64,A$4:A$114,"&lt;&gt;"&amp;"")+COUNTIF(A$4:A64,A64))</f>
        <v>6</v>
      </c>
      <c r="C64" t="str">
        <f t="shared" si="73"/>
        <v>Scrap Power Transformer</v>
      </c>
      <c r="D64" s="137">
        <f>D63+IF(AND(C64&lt;&gt;"",COUNTIF(C$4:C64,C64)=1),1,0)</f>
        <v>56</v>
      </c>
      <c r="E64" t="e">
        <f t="shared" si="74"/>
        <v>#N/A</v>
      </c>
    </row>
    <row r="65" spans="1:5" x14ac:dyDescent="0.25">
      <c r="A65" t="str">
        <f>IF(INDEX('Final Calculation Sheet'!$G$4:$G$40,ROW()-40)="","",INDEX('Final Calculation Sheet'!$G$4:$G$40,ROW()-40))</f>
        <v>WATAN SCRAP TRADERS</v>
      </c>
      <c r="B65" s="137">
        <f>IF(A65="","",COUNTIFS(A$4:A$114,"&lt;"&amp;A65,A$4:A$114,"&lt;&gt;"&amp;"")+COUNTIF(A$4:A65,A65))</f>
        <v>73</v>
      </c>
      <c r="C65" t="str">
        <f t="shared" si="73"/>
        <v>SCRAP POWER TRANSFORMER</v>
      </c>
      <c r="D65" s="137">
        <f>D64+IF(AND(C65&lt;&gt;"",COUNTIF(C$4:C65,C65)=1),1,0)</f>
        <v>56</v>
      </c>
      <c r="E65" t="e">
        <f t="shared" si="74"/>
        <v>#N/A</v>
      </c>
    </row>
    <row r="66" spans="1:5" x14ac:dyDescent="0.25">
      <c r="A66" t="str">
        <f>IF(INDEX('Final Calculation Sheet'!$G$4:$G$40,ROW()-40)="","",INDEX('Final Calculation Sheet'!$G$4:$G$40,ROW()-40))</f>
        <v>STERLING ENTERPRISES</v>
      </c>
      <c r="B66" s="137">
        <f>IF(A66="","",COUNTIFS(A$4:A$114,"&lt;"&amp;A66,A$4:A$114,"&lt;&gt;"&amp;"")+COUNTIF(A$4:A66,A66))</f>
        <v>69</v>
      </c>
      <c r="C66" t="str">
        <f t="shared" si="73"/>
        <v>SHAR JAHAN TRADERS</v>
      </c>
      <c r="D66" s="137">
        <f>D65+IF(AND(C66&lt;&gt;"",COUNTIF(C$4:C66,C66)=1),1,0)</f>
        <v>57</v>
      </c>
      <c r="E66" t="e">
        <f t="shared" si="74"/>
        <v>#N/A</v>
      </c>
    </row>
    <row r="67" spans="1:5" x14ac:dyDescent="0.25">
      <c r="A67" t="str">
        <f>IF(INDEX('Final Calculation Sheet'!$G$4:$G$40,ROW()-40)="","",INDEX('Final Calculation Sheet'!$G$4:$G$40,ROW()-40))</f>
        <v>NATIONAL ENTERPRISES</v>
      </c>
      <c r="B67" s="137">
        <f>IF(A67="","",COUNTIFS(A$4:A$114,"&lt;"&amp;A67,A$4:A$114,"&lt;&gt;"&amp;"")+COUNTIF(A$4:A67,A67))</f>
        <v>17</v>
      </c>
      <c r="C67" t="str">
        <f t="shared" si="73"/>
        <v>SHAR JAHAN TRADERS</v>
      </c>
      <c r="D67" s="137">
        <f>D66+IF(AND(C67&lt;&gt;"",COUNTIF(C$4:C67,C67)=1),1,0)</f>
        <v>57</v>
      </c>
      <c r="E67" t="e">
        <f t="shared" si="74"/>
        <v>#N/A</v>
      </c>
    </row>
    <row r="68" spans="1:5" x14ac:dyDescent="0.25">
      <c r="A68" t="str">
        <f>IF(INDEX('Final Calculation Sheet'!$G$4:$G$40,ROW()-40)="","",INDEX('Final Calculation Sheet'!$G$4:$G$40,ROW()-40))</f>
        <v>SAHARA ENTERPRISES</v>
      </c>
      <c r="B68" s="137">
        <f>IF(A68="","",COUNTIFS(A$4:A$114,"&lt;"&amp;A68,A$4:A$114,"&lt;&gt;"&amp;"")+COUNTIF(A$4:A68,A68))</f>
        <v>26</v>
      </c>
      <c r="C68" t="str">
        <f t="shared" ref="C68:C99" si="75">IF(ROW()-3&gt;COUNTIF(A$4:A$114,"&lt;&gt;"&amp;""),"",INDEX(A$4:A$114,MATCH(ROW()-3,B$4:B$114,0)))</f>
        <v>STERLING ENTERPRISES</v>
      </c>
      <c r="D68" s="137">
        <f>D67+IF(AND(C68&lt;&gt;"",COUNTIF(C$4:C68,C68)=1),1,0)</f>
        <v>58</v>
      </c>
      <c r="E68" t="e">
        <f t="shared" ref="E68:E99" si="76">IF(ROW()-3&gt;MAX(D$4:D$114),"",INDEX(C$4:C$114,MATCH(ROW()-3,D$4:D$114,0)))</f>
        <v>#N/A</v>
      </c>
    </row>
    <row r="69" spans="1:5" x14ac:dyDescent="0.25">
      <c r="A69" t="str">
        <f>IF(INDEX('Final Calculation Sheet'!$G$4:$G$40,ROW()-40)="","",INDEX('Final Calculation Sheet'!$G$4:$G$40,ROW()-40))</f>
        <v>NATIONAL ENTERPRISES</v>
      </c>
      <c r="B69" s="137">
        <f>IF(A69="","",COUNTIFS(A$4:A$114,"&lt;"&amp;A69,A$4:A$114,"&lt;&gt;"&amp;"")+COUNTIF(A$4:A69,A69))</f>
        <v>18</v>
      </c>
      <c r="C69" t="str">
        <f t="shared" si="75"/>
        <v>STERLING ENTERPRISES</v>
      </c>
      <c r="D69" s="137">
        <f>D68+IF(AND(C69&lt;&gt;"",COUNTIF(C$4:C69,C69)=1),1,0)</f>
        <v>58</v>
      </c>
      <c r="E69" t="e">
        <f t="shared" si="76"/>
        <v>#N/A</v>
      </c>
    </row>
    <row r="70" spans="1:5" x14ac:dyDescent="0.25">
      <c r="A70" t="str">
        <f>IF(INDEX('Final Calculation Sheet'!$G$4:$G$40,ROW()-40)="","",INDEX('Final Calculation Sheet'!$G$4:$G$40,ROW()-40))</f>
        <v>NATIONAL ENTERPRISES</v>
      </c>
      <c r="B70" s="137">
        <f>IF(A70="","",COUNTIFS(A$4:A$114,"&lt;"&amp;A70,A$4:A$114,"&lt;&gt;"&amp;"")+COUNTIF(A$4:A70,A70))</f>
        <v>19</v>
      </c>
      <c r="C70" t="str">
        <f t="shared" si="75"/>
        <v>STERLING ENTERPRISES</v>
      </c>
      <c r="D70" s="137">
        <f>D69+IF(AND(C70&lt;&gt;"",COUNTIF(C$4:C70,C70)=1),1,0)</f>
        <v>58</v>
      </c>
      <c r="E70" t="e">
        <f t="shared" si="76"/>
        <v>#N/A</v>
      </c>
    </row>
    <row r="71" spans="1:5" x14ac:dyDescent="0.25">
      <c r="A71" t="str">
        <f>IF(INDEX('Final Calculation Sheet'!$G$4:$G$40,ROW()-40)="","",INDEX('Final Calculation Sheet'!$G$4:$G$40,ROW()-40))</f>
        <v>STERLING ENTERPRISES</v>
      </c>
      <c r="B71" s="137">
        <f>IF(A71="","",COUNTIFS(A$4:A$114,"&lt;"&amp;A71,A$4:A$114,"&lt;&gt;"&amp;"")+COUNTIF(A$4:A71,A71))</f>
        <v>70</v>
      </c>
      <c r="C71" t="str">
        <f t="shared" si="75"/>
        <v>STERLING ENTERPRISES</v>
      </c>
      <c r="D71" s="137">
        <f>D70+IF(AND(C71&lt;&gt;"",COUNTIF(C$4:C71,C71)=1),1,0)</f>
        <v>58</v>
      </c>
      <c r="E71" t="e">
        <f t="shared" si="76"/>
        <v>#N/A</v>
      </c>
    </row>
    <row r="72" spans="1:5" x14ac:dyDescent="0.25">
      <c r="A72" t="str">
        <f>IF(INDEX('Final Calculation Sheet'!$G$4:$G$40,ROW()-40)="","",INDEX('Final Calculation Sheet'!$G$4:$G$40,ROW()-40))</f>
        <v>WATAN SCRAP TRADERS</v>
      </c>
      <c r="B72" s="137">
        <f>IF(A72="","",COUNTIFS(A$4:A$114,"&lt;"&amp;A72,A$4:A$114,"&lt;&gt;"&amp;"")+COUNTIF(A$4:A72,A72))</f>
        <v>74</v>
      </c>
      <c r="C72" t="str">
        <f t="shared" si="75"/>
        <v>STERLING ENTERPRISES</v>
      </c>
      <c r="D72" s="137">
        <f>D71+IF(AND(C72&lt;&gt;"",COUNTIF(C$4:C72,C72)=1),1,0)</f>
        <v>58</v>
      </c>
      <c r="E72" t="e">
        <f t="shared" si="76"/>
        <v>#N/A</v>
      </c>
    </row>
    <row r="73" spans="1:5" x14ac:dyDescent="0.25">
      <c r="A73" t="str">
        <f>IF(INDEX('Final Calculation Sheet'!$G$4:$G$40,ROW()-40)="","",INDEX('Final Calculation Sheet'!$G$4:$G$40,ROW()-40))</f>
        <v>STERLING ENTERPRISES</v>
      </c>
      <c r="B73" s="137">
        <f>IF(A73="","",COUNTIFS(A$4:A$114,"&lt;"&amp;A73,A$4:A$114,"&lt;&gt;"&amp;"")+COUNTIF(A$4:A73,A73))</f>
        <v>71</v>
      </c>
      <c r="C73" t="str">
        <f t="shared" si="75"/>
        <v>STERLING ENTERPRISES</v>
      </c>
      <c r="D73" s="137">
        <f>D72+IF(AND(C73&lt;&gt;"",COUNTIF(C$4:C73,C73)=1),1,0)</f>
        <v>58</v>
      </c>
      <c r="E73" t="e">
        <f t="shared" si="76"/>
        <v>#N/A</v>
      </c>
    </row>
    <row r="74" spans="1:5" x14ac:dyDescent="0.25">
      <c r="A74" t="str">
        <f>IF(INDEX('Final Calculation Sheet'!$G$4:$G$40,ROW()-40)="","",INDEX('Final Calculation Sheet'!$G$4:$G$40,ROW()-40))</f>
        <v>NATIONAL ENTERPRISES</v>
      </c>
      <c r="B74" s="137">
        <f>IF(A74="","",COUNTIFS(A$4:A$114,"&lt;"&amp;A74,A$4:A$114,"&lt;&gt;"&amp;"")+COUNTIF(A$4:A74,A74))</f>
        <v>20</v>
      </c>
      <c r="C74" t="str">
        <f t="shared" si="75"/>
        <v>STERLING ENTERPRISES</v>
      </c>
      <c r="D74" s="137">
        <f>D73+IF(AND(C74&lt;&gt;"",COUNTIF(C$4:C74,C74)=1),1,0)</f>
        <v>58</v>
      </c>
      <c r="E74" t="e">
        <f t="shared" si="76"/>
        <v>#N/A</v>
      </c>
    </row>
    <row r="75" spans="1:5" x14ac:dyDescent="0.25">
      <c r="A75" t="str">
        <f>IF(INDEX('Final Calculation Sheet'!$G$4:$G$40,ROW()-40)="","",INDEX('Final Calculation Sheet'!$G$4:$G$40,ROW()-40))</f>
        <v>KASHYAP TRADING CO</v>
      </c>
      <c r="B75" s="137">
        <f>IF(A75="","",COUNTIFS(A$4:A$114,"&lt;"&amp;A75,A$4:A$114,"&lt;&gt;"&amp;"")+COUNTIF(A$4:A75,A75))</f>
        <v>5</v>
      </c>
      <c r="C75" t="str">
        <f t="shared" si="75"/>
        <v>WATAN SCRAP TRADERS</v>
      </c>
      <c r="D75" s="137">
        <f>D74+IF(AND(C75&lt;&gt;"",COUNTIF(C$4:C75,C75)=1),1,0)</f>
        <v>59</v>
      </c>
      <c r="E75" t="e">
        <f t="shared" si="76"/>
        <v>#N/A</v>
      </c>
    </row>
    <row r="76" spans="1:5" x14ac:dyDescent="0.25">
      <c r="A76" t="str">
        <f>IF(INDEX('Final Calculation Sheet'!$G$4:$G$40,ROW()-40)="","",INDEX('Final Calculation Sheet'!$G$4:$G$40,ROW()-40))</f>
        <v>S M ENTERPRISES</v>
      </c>
      <c r="B76" s="137">
        <f>IF(A76="","",COUNTIFS(A$4:A$114,"&lt;"&amp;A76,A$4:A$114,"&lt;&gt;"&amp;"")+COUNTIF(A$4:A76,A76))</f>
        <v>24</v>
      </c>
      <c r="C76" t="str">
        <f t="shared" si="75"/>
        <v>WATAN SCRAP TRADERS</v>
      </c>
      <c r="D76" s="137">
        <f>D75+IF(AND(C76&lt;&gt;"",COUNTIF(C$4:C76,C76)=1),1,0)</f>
        <v>59</v>
      </c>
      <c r="E76" t="e">
        <f t="shared" si="76"/>
        <v>#N/A</v>
      </c>
    </row>
    <row r="77" spans="1:5" x14ac:dyDescent="0.25">
      <c r="A77" t="str">
        <f>IF(INDEX('Final Calculation Sheet'!$G$4:$G$40,ROW()-40)="","",INDEX('Final Calculation Sheet'!$G$4:$G$40,ROW()-40))</f>
        <v>S M ENTERPRISES</v>
      </c>
      <c r="B77" s="137">
        <f>IF(A77="","",COUNTIFS(A$4:A$114,"&lt;"&amp;A77,A$4:A$114,"&lt;&gt;"&amp;"")+COUNTIF(A$4:A77,A77))</f>
        <v>25</v>
      </c>
      <c r="C77" t="str">
        <f t="shared" si="75"/>
        <v>WATAN SCRAP TRADERS</v>
      </c>
      <c r="D77" s="137">
        <f>D76+IF(AND(C77&lt;&gt;"",COUNTIF(C$4:C77,C77)=1),1,0)</f>
        <v>59</v>
      </c>
      <c r="E77" t="e">
        <f t="shared" si="76"/>
        <v>#N/A</v>
      </c>
    </row>
    <row r="78" spans="1:5" x14ac:dyDescent="0.25">
      <c r="A78" t="str">
        <f>IF(INDEX('Final Calculation Sheet'!$B$4:$B$40,ROW()-77)="","",INDEX('Final Calculation Sheet'!$B$4:$B$40,ROW()-77))</f>
        <v>SCRAP COPPER OF T/F WINDING (Oil impregnated paper insulated T/F winding)</v>
      </c>
      <c r="B78" s="137">
        <f>IF(A78="","",COUNTIFS(A$4:A$114,"&lt;"&amp;A78,A$4:A$114,"&lt;&gt;"&amp;"")+COUNTIF(A$4:A78,A78))</f>
        <v>29</v>
      </c>
      <c r="C78" s="137" t="e">
        <f t="shared" si="75"/>
        <v>#N/A</v>
      </c>
      <c r="D78" s="137" t="e">
        <f>D77+IF(AND(C78&lt;&gt;"",COUNTIF(C$4:C78,C78)=1),1,0)</f>
        <v>#N/A</v>
      </c>
      <c r="E78" t="e">
        <f t="shared" si="76"/>
        <v>#N/A</v>
      </c>
    </row>
    <row r="79" spans="1:5" x14ac:dyDescent="0.25">
      <c r="A79" t="str">
        <f>IF(INDEX('Final Calculation Sheet'!$B$4:$B$40,ROW()-77)="","",INDEX('Final Calculation Sheet'!$B$4:$B$40,ROW()-77))</f>
        <v>Scrap of Empty oil drum</v>
      </c>
      <c r="B79" s="137">
        <f>IF(A79="","",COUNTIFS(A$4:A$114,"&lt;"&amp;A79,A$4:A$114,"&lt;&gt;"&amp;"")+COUNTIF(A$4:A79,A79))</f>
        <v>57</v>
      </c>
      <c r="C79" s="137" t="e">
        <f t="shared" si="75"/>
        <v>#N/A</v>
      </c>
      <c r="D79" s="137" t="e">
        <f>D78+IF(AND(C79&lt;&gt;"",COUNTIF(C$4:C79,C79)=1),1,0)</f>
        <v>#N/A</v>
      </c>
      <c r="E79" t="e">
        <f t="shared" si="76"/>
        <v>#N/A</v>
      </c>
    </row>
    <row r="80" spans="1:5" x14ac:dyDescent="0.25">
      <c r="A80" t="str">
        <f>IF(INDEX('Final Calculation Sheet'!$B$4:$B$40,ROW()-77)="","",INDEX('Final Calculation Sheet'!$B$4:$B$40,ROW()-77))</f>
        <v>Scrap of Copper of faulty AC compressor</v>
      </c>
      <c r="B80" s="137">
        <f>IF(A80="","",COUNTIFS(A$4:A$114,"&lt;"&amp;A80,A$4:A$114,"&lt;&gt;"&amp;"")+COUNTIF(A$4:A80,A80))</f>
        <v>50</v>
      </c>
      <c r="C80" s="137" t="e">
        <f t="shared" si="75"/>
        <v>#N/A</v>
      </c>
      <c r="D80" s="137" t="e">
        <f>D79+IF(AND(C80&lt;&gt;"",COUNTIF(C$4:C80,C80)=1),1,0)</f>
        <v>#N/A</v>
      </c>
      <c r="E80" t="e">
        <f t="shared" si="76"/>
        <v>#N/A</v>
      </c>
    </row>
    <row r="81" spans="1:5" x14ac:dyDescent="0.25">
      <c r="A81" t="str">
        <f>IF(INDEX('Final Calculation Sheet'!$B$4:$B$40,ROW()-77)="","",INDEX('Final Calculation Sheet'!$B$4:$B$40,ROW()-77))</f>
        <v>Scrap of MS (extracted from equip cage and empty Sf6 gas cylinder)</v>
      </c>
      <c r="B81" s="137">
        <f>IF(A81="","",COUNTIFS(A$4:A$114,"&lt;"&amp;A81,A$4:A$114,"&lt;&gt;"&amp;"")+COUNTIF(A$4:A81,A81))</f>
        <v>60</v>
      </c>
      <c r="C81" s="137" t="e">
        <f t="shared" si="75"/>
        <v>#N/A</v>
      </c>
      <c r="D81" s="137" t="e">
        <f>D80+IF(AND(C81&lt;&gt;"",COUNTIF(C$4:C81,C81)=1),1,0)</f>
        <v>#N/A</v>
      </c>
      <c r="E81" t="e">
        <f t="shared" si="76"/>
        <v>#N/A</v>
      </c>
    </row>
    <row r="82" spans="1:5" x14ac:dyDescent="0.25">
      <c r="A82" t="str">
        <f>IF(INDEX('Final Calculation Sheet'!$B$4:$B$40,ROW()-77)="","",INDEX('Final Calculation Sheet'!$B$4:$B$40,ROW()-77))</f>
        <v>SCRAP ACSR CONDUCTORS (Conductor Pieces)</v>
      </c>
      <c r="B82" s="137">
        <f>IF(A82="","",COUNTIFS(A$4:A$114,"&lt;"&amp;A82,A$4:A$114,"&lt;&gt;"&amp;"")+COUNTIF(A$4:A82,A82))</f>
        <v>28</v>
      </c>
      <c r="C82" s="137" t="e">
        <f t="shared" si="75"/>
        <v>#N/A</v>
      </c>
      <c r="D82" s="137" t="e">
        <f>D81+IF(AND(C82&lt;&gt;"",COUNTIF(C$4:C82,C82)=1),1,0)</f>
        <v>#N/A</v>
      </c>
      <c r="E82" t="e">
        <f t="shared" si="76"/>
        <v>#N/A</v>
      </c>
    </row>
    <row r="83" spans="1:5" x14ac:dyDescent="0.25">
      <c r="A83" t="str">
        <f>IF(INDEX('Final Calculation Sheet'!$B$4:$B$40,ROW()-77)="","",INDEX('Final Calculation Sheet'!$B$4:$B$40,ROW()-77))</f>
        <v>Scrap Power Transformer</v>
      </c>
      <c r="B83" s="137">
        <f>IF(A83="","",COUNTIFS(A$4:A$114,"&lt;"&amp;A83,A$4:A$114,"&lt;&gt;"&amp;"")+COUNTIF(A$4:A83,A83))</f>
        <v>61</v>
      </c>
      <c r="C83" s="137" t="e">
        <f t="shared" si="75"/>
        <v>#N/A</v>
      </c>
      <c r="D83" s="137" t="e">
        <f>D82+IF(AND(C83&lt;&gt;"",COUNTIF(C$4:C83,C83)=1),1,0)</f>
        <v>#N/A</v>
      </c>
      <c r="E83" t="e">
        <f t="shared" si="76"/>
        <v>#N/A</v>
      </c>
    </row>
    <row r="84" spans="1:5" x14ac:dyDescent="0.25">
      <c r="A84" t="str">
        <f>IF(INDEX('Final Calculation Sheet'!$B$4:$B$40,ROW()-77)="","",INDEX('Final Calculation Sheet'!$B$4:$B$40,ROW()-77))</f>
        <v>Scrap of 132 KV CT</v>
      </c>
      <c r="B84" s="137">
        <f>IF(A84="","",COUNTIFS(A$4:A$114,"&lt;"&amp;A84,A$4:A$114,"&lt;&gt;"&amp;"")+COUNTIF(A$4:A84,A84))</f>
        <v>31</v>
      </c>
      <c r="C84" s="137" t="e">
        <f t="shared" si="75"/>
        <v>#N/A</v>
      </c>
      <c r="D84" s="137" t="e">
        <f>D83+IF(AND(C84&lt;&gt;"",COUNTIF(C$4:C84,C84)=1),1,0)</f>
        <v>#N/A</v>
      </c>
      <c r="E84" t="e">
        <f t="shared" si="76"/>
        <v>#N/A</v>
      </c>
    </row>
    <row r="85" spans="1:5" x14ac:dyDescent="0.25">
      <c r="A85" t="str">
        <f>IF(INDEX('Final Calculation Sheet'!$B$4:$B$40,ROW()-77)="","",INDEX('Final Calculation Sheet'!$B$4:$B$40,ROW()-77))</f>
        <v>Scrap of 145 KV CB</v>
      </c>
      <c r="B85" s="137">
        <f>IF(A85="","",COUNTIFS(A$4:A$114,"&lt;"&amp;A85,A$4:A$114,"&lt;&gt;"&amp;"")+COUNTIF(A$4:A85,A85))</f>
        <v>39</v>
      </c>
      <c r="C85" s="137" t="e">
        <f t="shared" si="75"/>
        <v>#N/A</v>
      </c>
      <c r="D85" s="137" t="e">
        <f>D84+IF(AND(C85&lt;&gt;"",COUNTIF(C$4:C85,C85)=1),1,0)</f>
        <v>#N/A</v>
      </c>
      <c r="E85" t="e">
        <f t="shared" si="76"/>
        <v>#N/A</v>
      </c>
    </row>
    <row r="86" spans="1:5" x14ac:dyDescent="0.25">
      <c r="A86" t="str">
        <f>IF(INDEX('Final Calculation Sheet'!$B$4:$B$40,ROW()-77)="","",INDEX('Final Calculation Sheet'!$B$4:$B$40,ROW()-77))</f>
        <v>Scrap of 220KV CT</v>
      </c>
      <c r="B86" s="137">
        <f>IF(A86="","",COUNTIFS(A$4:A$114,"&lt;"&amp;A86,A$4:A$114,"&lt;&gt;"&amp;"")+COUNTIF(A$4:A86,A86))</f>
        <v>43</v>
      </c>
      <c r="C86" s="137" t="e">
        <f t="shared" si="75"/>
        <v>#N/A</v>
      </c>
      <c r="D86" s="137" t="e">
        <f>D85+IF(AND(C86&lt;&gt;"",COUNTIF(C$4:C86,C86)=1),1,0)</f>
        <v>#N/A</v>
      </c>
      <c r="E86" t="e">
        <f t="shared" si="76"/>
        <v>#N/A</v>
      </c>
    </row>
    <row r="87" spans="1:5" x14ac:dyDescent="0.25">
      <c r="A87" t="str">
        <f>IF(INDEX('Final Calculation Sheet'!$B$4:$B$40,ROW()-77)="","",INDEX('Final Calculation Sheet'!$B$4:$B$40,ROW()-77))</f>
        <v>Scrap of empty oil drums</v>
      </c>
      <c r="B87" s="137">
        <f>IF(A87="","",COUNTIFS(A$4:A$114,"&lt;"&amp;A87,A$4:A$114,"&lt;&gt;"&amp;"")+COUNTIF(A$4:A87,A87))</f>
        <v>58</v>
      </c>
      <c r="C87" s="137" t="e">
        <f t="shared" si="75"/>
        <v>#N/A</v>
      </c>
      <c r="D87" s="137" t="e">
        <f>D86+IF(AND(C87&lt;&gt;"",COUNTIF(C$4:C87,C87)=1),1,0)</f>
        <v>#N/A</v>
      </c>
      <c r="E87" t="e">
        <f t="shared" si="76"/>
        <v>#N/A</v>
      </c>
    </row>
    <row r="88" spans="1:5" x14ac:dyDescent="0.25">
      <c r="A88" t="str">
        <f>IF(INDEX('Final Calculation Sheet'!$B$4:$B$40,ROW()-77)="","",INDEX('Final Calculation Sheet'!$B$4:$B$40,ROW()-77))</f>
        <v>SCRAP POWER TRANSFORMER</v>
      </c>
      <c r="B88" s="137">
        <f>IF(A88="","",COUNTIFS(A$4:A$114,"&lt;"&amp;A88,A$4:A$114,"&lt;&gt;"&amp;"")+COUNTIF(A$4:A88,A88))</f>
        <v>62</v>
      </c>
      <c r="C88" s="137" t="e">
        <f t="shared" si="75"/>
        <v>#N/A</v>
      </c>
      <c r="D88" s="137" t="e">
        <f>D87+IF(AND(C88&lt;&gt;"",COUNTIF(C$4:C88,C88)=1),1,0)</f>
        <v>#N/A</v>
      </c>
      <c r="E88" t="e">
        <f t="shared" si="76"/>
        <v>#N/A</v>
      </c>
    </row>
    <row r="89" spans="1:5" x14ac:dyDescent="0.25">
      <c r="A89" t="str">
        <f>IF(INDEX('Final Calculation Sheet'!$B$4:$B$40,ROW()-77)="","",INDEX('Final Calculation Sheet'!$B$4:$B$40,ROW()-77))</f>
        <v>Scrap of empty oil Druam</v>
      </c>
      <c r="B89" s="137">
        <f>IF(A89="","",COUNTIFS(A$4:A$114,"&lt;"&amp;A89,A$4:A$114,"&lt;&gt;"&amp;"")+COUNTIF(A$4:A89,A89))</f>
        <v>56</v>
      </c>
      <c r="C89" s="137" t="e">
        <f t="shared" si="75"/>
        <v>#N/A</v>
      </c>
      <c r="D89" s="137" t="e">
        <f>D88+IF(AND(C89&lt;&gt;"",COUNTIF(C$4:C89,C89)=1),1,0)</f>
        <v>#N/A</v>
      </c>
      <c r="E89" t="e">
        <f t="shared" si="76"/>
        <v>#N/A</v>
      </c>
    </row>
    <row r="90" spans="1:5" x14ac:dyDescent="0.25">
      <c r="A90" t="str">
        <f>IF(INDEX('Final Calculation Sheet'!$B$4:$B$40,ROW()-77)="","",INDEX('Final Calculation Sheet'!$B$4:$B$40,ROW()-77))</f>
        <v>Scrap of empty oil Barrel</v>
      </c>
      <c r="B90" s="137">
        <f>IF(A90="","",COUNTIFS(A$4:A$114,"&lt;"&amp;A90,A$4:A$114,"&lt;&gt;"&amp;"")+COUNTIF(A$4:A90,A90))</f>
        <v>51</v>
      </c>
      <c r="C90" s="137" t="e">
        <f t="shared" si="75"/>
        <v>#N/A</v>
      </c>
      <c r="D90" s="137" t="e">
        <f>D89+IF(AND(C90&lt;&gt;"",COUNTIF(C$4:C90,C90)=1),1,0)</f>
        <v>#N/A</v>
      </c>
      <c r="E90" t="e">
        <f t="shared" si="76"/>
        <v>#N/A</v>
      </c>
    </row>
    <row r="91" spans="1:5" x14ac:dyDescent="0.25">
      <c r="A91" t="str">
        <f>IF(INDEX('Final Calculation Sheet'!$B$4:$B$40,ROW()-77)="","",INDEX('Final Calculation Sheet'!$B$4:$B$40,ROW()-77))</f>
        <v>Scrap of empty oil Barrels</v>
      </c>
      <c r="B91" s="137">
        <f>IF(A91="","",COUNTIFS(A$4:A$114,"&lt;"&amp;A91,A$4:A$114,"&lt;&gt;"&amp;"")+COUNTIF(A$4:A91,A91))</f>
        <v>52</v>
      </c>
      <c r="C91" s="137" t="e">
        <f t="shared" si="75"/>
        <v>#N/A</v>
      </c>
      <c r="D91" s="137" t="e">
        <f>D90+IF(AND(C91&lt;&gt;"",COUNTIF(C$4:C91,C91)=1),1,0)</f>
        <v>#N/A</v>
      </c>
      <c r="E91" t="e">
        <f t="shared" si="76"/>
        <v>#N/A</v>
      </c>
    </row>
    <row r="92" spans="1:5" x14ac:dyDescent="0.25">
      <c r="A92" t="str">
        <f>IF(INDEX('Final Calculation Sheet'!$B$4:$B$40,ROW()-77)="","",INDEX('Final Calculation Sheet'!$B$4:$B$40,ROW()-77))</f>
        <v>Scrap of 220 KV Circuit Breaker</v>
      </c>
      <c r="B92" s="137">
        <f>IF(A92="","",COUNTIFS(A$4:A$114,"&lt;"&amp;A92,A$4:A$114,"&lt;&gt;"&amp;"")+COUNTIF(A$4:A92,A92))</f>
        <v>40</v>
      </c>
      <c r="C92" s="137" t="e">
        <f t="shared" si="75"/>
        <v>#N/A</v>
      </c>
      <c r="D92" s="137" t="e">
        <f>D91+IF(AND(C92&lt;&gt;"",COUNTIF(C$4:C92,C92)=1),1,0)</f>
        <v>#N/A</v>
      </c>
      <c r="E92" t="e">
        <f t="shared" si="76"/>
        <v>#N/A</v>
      </c>
    </row>
    <row r="93" spans="1:5" x14ac:dyDescent="0.25">
      <c r="A93" t="str">
        <f>IF(INDEX('Final Calculation Sheet'!$B$4:$B$40,ROW()-77)="","",INDEX('Final Calculation Sheet'!$B$4:$B$40,ROW()-77))</f>
        <v>Scrap of 220 KV Circuit Breaker</v>
      </c>
      <c r="B93" s="137">
        <f>IF(A93="","",COUNTIFS(A$4:A$114,"&lt;"&amp;A93,A$4:A$114,"&lt;&gt;"&amp;"")+COUNTIF(A$4:A93,A93))</f>
        <v>41</v>
      </c>
      <c r="C93" s="137" t="e">
        <f t="shared" si="75"/>
        <v>#N/A</v>
      </c>
      <c r="D93" s="137" t="e">
        <f>D92+IF(AND(C93&lt;&gt;"",COUNTIF(C$4:C93,C93)=1),1,0)</f>
        <v>#N/A</v>
      </c>
      <c r="E93" t="e">
        <f t="shared" si="76"/>
        <v>#N/A</v>
      </c>
    </row>
    <row r="94" spans="1:5" x14ac:dyDescent="0.25">
      <c r="A94" t="str">
        <f>IF(INDEX('Final Calculation Sheet'!$B$4:$B$40,ROW()-77)="","",INDEX('Final Calculation Sheet'!$B$4:$B$40,ROW()-77))</f>
        <v>SCRAP 80MM² AAAC EARTHWIRE</v>
      </c>
      <c r="B94" s="137">
        <f>IF(A94="","",COUNTIFS(A$4:A$114,"&lt;"&amp;A94,A$4:A$114,"&lt;&gt;"&amp;"")+COUNTIF(A$4:A94,A94))</f>
        <v>27</v>
      </c>
      <c r="C94" s="137" t="e">
        <f t="shared" si="75"/>
        <v>#N/A</v>
      </c>
      <c r="D94" s="137" t="e">
        <f>D93+IF(AND(C94&lt;&gt;"",COUNTIF(C$4:C94,C94)=1),1,0)</f>
        <v>#N/A</v>
      </c>
      <c r="E94" t="e">
        <f t="shared" si="76"/>
        <v>#N/A</v>
      </c>
    </row>
    <row r="95" spans="1:5" x14ac:dyDescent="0.25">
      <c r="A95" t="str">
        <f>IF(INDEX('Final Calculation Sheet'!$B$4:$B$40,ROW()-77)="","",INDEX('Final Calculation Sheet'!$B$4:$B$40,ROW()-77))</f>
        <v>Scrap of 132 KV CT</v>
      </c>
      <c r="B95" s="137">
        <f>IF(A95="","",COUNTIFS(A$4:A$114,"&lt;"&amp;A95,A$4:A$114,"&lt;&gt;"&amp;"")+COUNTIF(A$4:A95,A95))</f>
        <v>32</v>
      </c>
      <c r="C95" s="137" t="e">
        <f t="shared" si="75"/>
        <v>#N/A</v>
      </c>
      <c r="D95" s="137" t="e">
        <f>D94+IF(AND(C95&lt;&gt;"",COUNTIF(C$4:C95,C95)=1),1,0)</f>
        <v>#N/A</v>
      </c>
      <c r="E95" t="e">
        <f t="shared" si="76"/>
        <v>#N/A</v>
      </c>
    </row>
    <row r="96" spans="1:5" x14ac:dyDescent="0.25">
      <c r="A96" t="str">
        <f>IF(INDEX('Final Calculation Sheet'!$B$4:$B$40,ROW()-77)="","",INDEX('Final Calculation Sheet'!$B$4:$B$40,ROW()-77))</f>
        <v>Scrap of 132 KV CT</v>
      </c>
      <c r="B96" s="137">
        <f>IF(A96="","",COUNTIFS(A$4:A$114,"&lt;"&amp;A96,A$4:A$114,"&lt;&gt;"&amp;"")+COUNTIF(A$4:A96,A96))</f>
        <v>33</v>
      </c>
      <c r="C96" s="137" t="e">
        <f t="shared" si="75"/>
        <v>#N/A</v>
      </c>
      <c r="D96" s="137" t="e">
        <f>D95+IF(AND(C96&lt;&gt;"",COUNTIF(C$4:C96,C96)=1),1,0)</f>
        <v>#N/A</v>
      </c>
      <c r="E96" t="e">
        <f t="shared" si="76"/>
        <v>#N/A</v>
      </c>
    </row>
    <row r="97" spans="1:5" x14ac:dyDescent="0.25">
      <c r="A97" t="str">
        <f>IF(INDEX('Final Calculation Sheet'!$B$4:$B$40,ROW()-77)="","",INDEX('Final Calculation Sheet'!$B$4:$B$40,ROW()-77))</f>
        <v>Scrap of empty oil Barrels</v>
      </c>
      <c r="B97" s="137">
        <f>IF(A97="","",COUNTIFS(A$4:A$114,"&lt;"&amp;A97,A$4:A$114,"&lt;&gt;"&amp;"")+COUNTIF(A$4:A97,A97))</f>
        <v>53</v>
      </c>
      <c r="C97" s="137" t="e">
        <f t="shared" si="75"/>
        <v>#N/A</v>
      </c>
      <c r="D97" s="137" t="e">
        <f>D96+IF(AND(C97&lt;&gt;"",COUNTIF(C$4:C97,C97)=1),1,0)</f>
        <v>#N/A</v>
      </c>
      <c r="E97" t="e">
        <f t="shared" si="76"/>
        <v>#N/A</v>
      </c>
    </row>
    <row r="98" spans="1:5" x14ac:dyDescent="0.25">
      <c r="A98" t="str">
        <f>IF(INDEX('Final Calculation Sheet'!$B$4:$B$40,ROW()-77)="","",INDEX('Final Calculation Sheet'!$B$4:$B$40,ROW()-77))</f>
        <v>Scrap of 132 KV CT</v>
      </c>
      <c r="B98" s="137">
        <f>IF(A98="","",COUNTIFS(A$4:A$114,"&lt;"&amp;A98,A$4:A$114,"&lt;&gt;"&amp;"")+COUNTIF(A$4:A98,A98))</f>
        <v>34</v>
      </c>
      <c r="C98" s="137" t="e">
        <f t="shared" si="75"/>
        <v>#N/A</v>
      </c>
      <c r="D98" s="137" t="e">
        <f>D97+IF(AND(C98&lt;&gt;"",COUNTIF(C$4:C98,C98)=1),1,0)</f>
        <v>#N/A</v>
      </c>
      <c r="E98" t="e">
        <f t="shared" si="76"/>
        <v>#N/A</v>
      </c>
    </row>
    <row r="99" spans="1:5" x14ac:dyDescent="0.25">
      <c r="A99" t="str">
        <f>IF(INDEX('Final Calculation Sheet'!$B$4:$B$40,ROW()-77)="","",INDEX('Final Calculation Sheet'!$B$4:$B$40,ROW()-77))</f>
        <v>Scrap Empty Oil Drum/ Barrel</v>
      </c>
      <c r="B99" s="137">
        <f>IF(A99="","",COUNTIFS(A$4:A$114,"&lt;"&amp;A99,A$4:A$114,"&lt;&gt;"&amp;"")+COUNTIF(A$4:A99,A99))</f>
        <v>30</v>
      </c>
      <c r="C99" s="137" t="e">
        <f t="shared" si="75"/>
        <v>#N/A</v>
      </c>
      <c r="D99" s="137" t="e">
        <f>D98+IF(AND(C99&lt;&gt;"",COUNTIF(C$4:C99,C99)=1),1,0)</f>
        <v>#N/A</v>
      </c>
      <c r="E99" t="e">
        <f t="shared" si="76"/>
        <v>#N/A</v>
      </c>
    </row>
    <row r="100" spans="1:5" x14ac:dyDescent="0.25">
      <c r="A100" t="str">
        <f>IF(INDEX('Final Calculation Sheet'!$B$4:$B$40,ROW()-77)="","",INDEX('Final Calculation Sheet'!$B$4:$B$40,ROW()-77))</f>
        <v>Scrap of 132 KV Wave Trap</v>
      </c>
      <c r="B100" s="137">
        <f>IF(A100="","",COUNTIFS(A$4:A$114,"&lt;"&amp;A100,A$4:A$114,"&lt;&gt;"&amp;"")+COUNTIF(A$4:A100,A100))</f>
        <v>38</v>
      </c>
      <c r="C100" s="137" t="e">
        <f t="shared" ref="C100:C114" si="77">IF(ROW()-3&gt;COUNTIF(A$4:A$114,"&lt;&gt;"&amp;""),"",INDEX(A$4:A$114,MATCH(ROW()-3,B$4:B$114,0)))</f>
        <v>#N/A</v>
      </c>
      <c r="D100" s="137" t="e">
        <f>D99+IF(AND(C100&lt;&gt;"",COUNTIF(C$4:C100,C100)=1),1,0)</f>
        <v>#N/A</v>
      </c>
      <c r="E100" t="e">
        <f t="shared" ref="E100:E114" si="78">IF(ROW()-3&gt;MAX(D$4:D$114),"",INDEX(C$4:C$114,MATCH(ROW()-3,D$4:D$114,0)))</f>
        <v>#N/A</v>
      </c>
    </row>
    <row r="101" spans="1:5" x14ac:dyDescent="0.25">
      <c r="A101" t="str">
        <f>IF(INDEX('Final Calculation Sheet'!$B$4:$B$40,ROW()-77)="","",INDEX('Final Calculation Sheet'!$B$4:$B$40,ROW()-77))</f>
        <v>Mix Scrap (Tower angles &amp; 0.2 ACSR Condutor pieces)</v>
      </c>
      <c r="B101" s="137">
        <f>IF(A101="","",COUNTIFS(A$4:A$114,"&lt;"&amp;A101,A$4:A$114,"&lt;&gt;"&amp;"")+COUNTIF(A$4:A101,A101))</f>
        <v>7</v>
      </c>
      <c r="C101" s="137" t="e">
        <f t="shared" si="77"/>
        <v>#N/A</v>
      </c>
      <c r="D101" s="137" t="e">
        <f>D100+IF(AND(C101&lt;&gt;"",COUNTIF(C$4:C101,C101)=1),1,0)</f>
        <v>#N/A</v>
      </c>
      <c r="E101" t="e">
        <f t="shared" si="78"/>
        <v>#N/A</v>
      </c>
    </row>
    <row r="102" spans="1:5" x14ac:dyDescent="0.25">
      <c r="A102" t="str">
        <f>IF(INDEX('Final Calculation Sheet'!$B$4:$B$40,ROW()-77)="","",INDEX('Final Calculation Sheet'!$B$4:$B$40,ROW()-77))</f>
        <v>Scrap of empty oil Barrels</v>
      </c>
      <c r="B102" s="137">
        <f>IF(A102="","",COUNTIFS(A$4:A$114,"&lt;"&amp;A102,A$4:A$114,"&lt;&gt;"&amp;"")+COUNTIF(A$4:A102,A102))</f>
        <v>54</v>
      </c>
      <c r="C102" s="137" t="e">
        <f t="shared" si="77"/>
        <v>#N/A</v>
      </c>
      <c r="D102" s="137" t="e">
        <f>D101+IF(AND(C102&lt;&gt;"",COUNTIF(C$4:C102,C102)=1),1,0)</f>
        <v>#N/A</v>
      </c>
      <c r="E102" t="e">
        <f t="shared" si="78"/>
        <v>#N/A</v>
      </c>
    </row>
    <row r="103" spans="1:5" x14ac:dyDescent="0.25">
      <c r="A103" t="str">
        <f>IF(INDEX('Final Calculation Sheet'!$B$4:$B$40,ROW()-77)="","",INDEX('Final Calculation Sheet'!$B$4:$B$40,ROW()-77))</f>
        <v>Scrap of 33 KV CT</v>
      </c>
      <c r="B103" s="137">
        <f>IF(A103="","",COUNTIFS(A$4:A$114,"&lt;"&amp;A103,A$4:A$114,"&lt;&gt;"&amp;"")+COUNTIF(A$4:A103,A103))</f>
        <v>45</v>
      </c>
      <c r="C103" s="137" t="e">
        <f t="shared" si="77"/>
        <v>#N/A</v>
      </c>
      <c r="D103" s="137" t="e">
        <f>D102+IF(AND(C103&lt;&gt;"",COUNTIF(C$4:C103,C103)=1),1,0)</f>
        <v>#N/A</v>
      </c>
      <c r="E103" t="e">
        <f t="shared" si="78"/>
        <v>#N/A</v>
      </c>
    </row>
    <row r="104" spans="1:5" x14ac:dyDescent="0.25">
      <c r="A104" t="str">
        <f>IF(INDEX('Final Calculation Sheet'!$B$4:$B$40,ROW()-77)="","",INDEX('Final Calculation Sheet'!$B$4:$B$40,ROW()-77))</f>
        <v>Scrap of 132 KV CT</v>
      </c>
      <c r="B104" s="137">
        <f>IF(A104="","",COUNTIFS(A$4:A$114,"&lt;"&amp;A104,A$4:A$114,"&lt;&gt;"&amp;"")+COUNTIF(A$4:A104,A104))</f>
        <v>35</v>
      </c>
      <c r="C104" s="137" t="e">
        <f t="shared" si="77"/>
        <v>#N/A</v>
      </c>
      <c r="D104" s="137" t="e">
        <f>D103+IF(AND(C104&lt;&gt;"",COUNTIF(C$4:C104,C104)=1),1,0)</f>
        <v>#N/A</v>
      </c>
      <c r="E104" t="e">
        <f t="shared" si="78"/>
        <v>#N/A</v>
      </c>
    </row>
    <row r="105" spans="1:5" x14ac:dyDescent="0.25">
      <c r="A105" t="str">
        <f>IF(INDEX('Final Calculation Sheet'!$B$4:$B$40,ROW()-77)="","",INDEX('Final Calculation Sheet'!$B$4:$B$40,ROW()-77))</f>
        <v>Scrap of AAAC Earth wire</v>
      </c>
      <c r="B105" s="137">
        <f>IF(A105="","",COUNTIFS(A$4:A$114,"&lt;"&amp;A105,A$4:A$114,"&lt;&gt;"&amp;"")+COUNTIF(A$4:A105,A105))</f>
        <v>49</v>
      </c>
      <c r="C105" s="137" t="e">
        <f t="shared" si="77"/>
        <v>#N/A</v>
      </c>
      <c r="D105" s="137" t="e">
        <f>D104+IF(AND(C105&lt;&gt;"",COUNTIF(C$4:C105,C105)=1),1,0)</f>
        <v>#N/A</v>
      </c>
      <c r="E105" t="e">
        <f t="shared" si="78"/>
        <v>#N/A</v>
      </c>
    </row>
    <row r="106" spans="1:5" x14ac:dyDescent="0.25">
      <c r="A106" t="str">
        <f>IF(INDEX('Final Calculation Sheet'!$B$4:$B$40,ROW()-77)="","",INDEX('Final Calculation Sheet'!$B$4:$B$40,ROW()-77))</f>
        <v>Scrap of 220 KV CT</v>
      </c>
      <c r="B106" s="137">
        <f>IF(A106="","",COUNTIFS(A$4:A$114,"&lt;"&amp;A106,A$4:A$114,"&lt;&gt;"&amp;"")+COUNTIF(A$4:A106,A106))</f>
        <v>42</v>
      </c>
      <c r="C106" s="137" t="e">
        <f t="shared" si="77"/>
        <v>#N/A</v>
      </c>
      <c r="D106" s="137" t="e">
        <f>D105+IF(AND(C106&lt;&gt;"",COUNTIF(C$4:C106,C106)=1),1,0)</f>
        <v>#N/A</v>
      </c>
      <c r="E106" t="e">
        <f t="shared" si="78"/>
        <v>#N/A</v>
      </c>
    </row>
    <row r="107" spans="1:5" x14ac:dyDescent="0.25">
      <c r="A107" t="str">
        <f>IF(INDEX('Final Calculation Sheet'!$B$4:$B$40,ROW()-77)="","",INDEX('Final Calculation Sheet'!$B$4:$B$40,ROW()-77))</f>
        <v>Scrap of 33 KV GCB</v>
      </c>
      <c r="B107" s="137">
        <f>IF(A107="","",COUNTIFS(A$4:A$114,"&lt;"&amp;A107,A$4:A$114,"&lt;&gt;"&amp;"")+COUNTIF(A$4:A107,A107))</f>
        <v>46</v>
      </c>
      <c r="C107" s="137" t="e">
        <f t="shared" si="77"/>
        <v>#N/A</v>
      </c>
      <c r="D107" s="137" t="e">
        <f>D106+IF(AND(C107&lt;&gt;"",COUNTIF(C$4:C107,C107)=1),1,0)</f>
        <v>#N/A</v>
      </c>
      <c r="E107" t="e">
        <f t="shared" si="78"/>
        <v>#N/A</v>
      </c>
    </row>
    <row r="108" spans="1:5" x14ac:dyDescent="0.25">
      <c r="A108" t="str">
        <f>IF(INDEX('Final Calculation Sheet'!$B$4:$B$40,ROW()-77)="","",INDEX('Final Calculation Sheet'!$B$4:$B$40,ROW()-77))</f>
        <v>Scrap of Empty oil Barrels</v>
      </c>
      <c r="B108" s="137">
        <f>IF(A108="","",COUNTIFS(A$4:A$114,"&lt;"&amp;A108,A$4:A$114,"&lt;&gt;"&amp;"")+COUNTIF(A$4:A108,A108))</f>
        <v>55</v>
      </c>
      <c r="C108" s="137" t="e">
        <f t="shared" si="77"/>
        <v>#N/A</v>
      </c>
      <c r="D108" s="137" t="e">
        <f>D107+IF(AND(C108&lt;&gt;"",COUNTIF(C$4:C108,C108)=1),1,0)</f>
        <v>#N/A</v>
      </c>
      <c r="E108" t="e">
        <f t="shared" si="78"/>
        <v>#N/A</v>
      </c>
    </row>
    <row r="109" spans="1:5" x14ac:dyDescent="0.25">
      <c r="A109" t="str">
        <f>IF(INDEX('Final Calculation Sheet'!$B$4:$B$40,ROW()-77)="","",INDEX('Final Calculation Sheet'!$B$4:$B$40,ROW()-77))</f>
        <v>Scrap of empty oil drums</v>
      </c>
      <c r="B109" s="137">
        <f>IF(A109="","",COUNTIFS(A$4:A$114,"&lt;"&amp;A109,A$4:A$114,"&lt;&gt;"&amp;"")+COUNTIF(A$4:A109,A109))</f>
        <v>59</v>
      </c>
      <c r="C109" s="137" t="e">
        <f t="shared" si="77"/>
        <v>#N/A</v>
      </c>
      <c r="D109" s="137" t="e">
        <f>D108+IF(AND(C109&lt;&gt;"",COUNTIF(C$4:C109,C109)=1),1,0)</f>
        <v>#N/A</v>
      </c>
      <c r="E109" t="e">
        <f t="shared" si="78"/>
        <v>#N/A</v>
      </c>
    </row>
    <row r="110" spans="1:5" x14ac:dyDescent="0.25">
      <c r="A110" t="str">
        <f>IF(INDEX('Final Calculation Sheet'!$B$4:$B$40,ROW()-77)="","",INDEX('Final Calculation Sheet'!$B$4:$B$40,ROW()-77))</f>
        <v>Scrap of 33 KV CB</v>
      </c>
      <c r="B110" s="137">
        <f>IF(A110="","",COUNTIFS(A$4:A$114,"&lt;"&amp;A110,A$4:A$114,"&lt;&gt;"&amp;"")+COUNTIF(A$4:A110,A110))</f>
        <v>44</v>
      </c>
      <c r="C110" s="137" t="e">
        <f t="shared" si="77"/>
        <v>#N/A</v>
      </c>
      <c r="D110" s="137" t="e">
        <f>D109+IF(AND(C110&lt;&gt;"",COUNTIF(C$4:C110,C110)=1),1,0)</f>
        <v>#N/A</v>
      </c>
      <c r="E110" t="e">
        <f t="shared" si="78"/>
        <v>#N/A</v>
      </c>
    </row>
    <row r="111" spans="1:5" x14ac:dyDescent="0.25">
      <c r="A111" t="str">
        <f>IF(INDEX('Final Calculation Sheet'!$B$4:$B$40,ROW()-77)="","",INDEX('Final Calculation Sheet'!$B$4:$B$40,ROW()-77))</f>
        <v>Scrap of 66 KV Isolater</v>
      </c>
      <c r="B111" s="137">
        <f>IF(A111="","",COUNTIFS(A$4:A$114,"&lt;"&amp;A111,A$4:A$114,"&lt;&gt;"&amp;"")+COUNTIF(A$4:A111,A111))</f>
        <v>47</v>
      </c>
      <c r="C111" s="137" t="e">
        <f t="shared" si="77"/>
        <v>#N/A</v>
      </c>
      <c r="D111" s="137" t="e">
        <f>D110+IF(AND(C111&lt;&gt;"",COUNTIF(C$4:C111,C111)=1),1,0)</f>
        <v>#N/A</v>
      </c>
      <c r="E111" t="e">
        <f t="shared" si="78"/>
        <v>#N/A</v>
      </c>
    </row>
    <row r="112" spans="1:5" x14ac:dyDescent="0.25">
      <c r="A112" t="str">
        <f>IF(INDEX('Final Calculation Sheet'!$B$4:$B$40,ROW()-77)="","",INDEX('Final Calculation Sheet'!$B$4:$B$40,ROW()-77))</f>
        <v>Scrap of 132 KV CT</v>
      </c>
      <c r="B112" s="137">
        <f>IF(A112="","",COUNTIFS(A$4:A$114,"&lt;"&amp;A112,A$4:A$114,"&lt;&gt;"&amp;"")+COUNTIF(A$4:A112,A112))</f>
        <v>36</v>
      </c>
      <c r="C112" s="137" t="e">
        <f t="shared" si="77"/>
        <v>#N/A</v>
      </c>
      <c r="D112" s="137" t="e">
        <f>D111+IF(AND(C112&lt;&gt;"",COUNTIF(C$4:C112,C112)=1),1,0)</f>
        <v>#N/A</v>
      </c>
      <c r="E112" t="e">
        <f t="shared" si="78"/>
        <v>#N/A</v>
      </c>
    </row>
    <row r="113" spans="1:5" x14ac:dyDescent="0.25">
      <c r="A113" t="str">
        <f>IF(INDEX('Final Calculation Sheet'!$B$4:$B$40,ROW()-77)="","",INDEX('Final Calculation Sheet'!$B$4:$B$40,ROW()-77))</f>
        <v>Scrap of 66 kv TBC C &amp; R Panel</v>
      </c>
      <c r="B113" s="137">
        <f>IF(A113="","",COUNTIFS(A$4:A$114,"&lt;"&amp;A113,A$4:A$114,"&lt;&gt;"&amp;"")+COUNTIF(A$4:A113,A113))</f>
        <v>48</v>
      </c>
      <c r="C113" s="137" t="e">
        <f t="shared" si="77"/>
        <v>#N/A</v>
      </c>
      <c r="D113" s="137" t="e">
        <f>D112+IF(AND(C113&lt;&gt;"",COUNTIF(C$4:C113,C113)=1),1,0)</f>
        <v>#N/A</v>
      </c>
      <c r="E113" t="e">
        <f t="shared" si="78"/>
        <v>#N/A</v>
      </c>
    </row>
    <row r="114" spans="1:5" x14ac:dyDescent="0.25">
      <c r="A114" t="str">
        <f>IF(INDEX('Final Calculation Sheet'!$B$4:$B$40,ROW()-77)="","",INDEX('Final Calculation Sheet'!$B$4:$B$40,ROW()-77))</f>
        <v>Scrap of 132 KV CT</v>
      </c>
      <c r="B114" s="137">
        <f>IF(A114="","",COUNTIFS(A$4:A$114,"&lt;"&amp;A114,A$4:A$114,"&lt;&gt;"&amp;"")+COUNTIF(A$4:A114,A114))</f>
        <v>37</v>
      </c>
      <c r="C114" s="137" t="e">
        <f t="shared" si="77"/>
        <v>#N/A</v>
      </c>
      <c r="D114" s="137" t="e">
        <f>D113+IF(AND(C114&lt;&gt;"",COUNTIF(C$4:C114,C114)=1),1,0)</f>
        <v>#N/A</v>
      </c>
      <c r="E114" t="e">
        <f t="shared" si="78"/>
        <v>#N/A</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I38"/>
  <sheetViews>
    <sheetView zoomScaleNormal="100" workbookViewId="0"/>
  </sheetViews>
  <sheetFormatPr defaultColWidth="8.7109375" defaultRowHeight="15" x14ac:dyDescent="0.25"/>
  <sheetData>
    <row r="1" spans="1:35" x14ac:dyDescent="0.25">
      <c r="A1" t="s">
        <v>134</v>
      </c>
      <c r="B1" t="s">
        <v>2</v>
      </c>
      <c r="C1" t="s">
        <v>6</v>
      </c>
      <c r="D1" t="s">
        <v>135</v>
      </c>
      <c r="E1" t="s">
        <v>4</v>
      </c>
      <c r="F1" t="s">
        <v>1</v>
      </c>
      <c r="G1" t="s">
        <v>5</v>
      </c>
      <c r="H1" t="s">
        <v>3</v>
      </c>
      <c r="I1" t="s">
        <v>7</v>
      </c>
      <c r="J1" t="s">
        <v>8</v>
      </c>
      <c r="K1" t="s">
        <v>9</v>
      </c>
      <c r="L1" t="s">
        <v>10</v>
      </c>
      <c r="M1" t="s">
        <v>11</v>
      </c>
      <c r="N1" t="s">
        <v>136</v>
      </c>
      <c r="O1" t="s">
        <v>13</v>
      </c>
      <c r="P1" t="s">
        <v>137</v>
      </c>
      <c r="Q1" t="s">
        <v>15</v>
      </c>
      <c r="R1" t="s">
        <v>16</v>
      </c>
      <c r="S1" t="s">
        <v>17</v>
      </c>
      <c r="T1" t="s">
        <v>18</v>
      </c>
      <c r="U1" t="s">
        <v>19</v>
      </c>
      <c r="V1" t="s">
        <v>20</v>
      </c>
      <c r="W1" t="s">
        <v>138</v>
      </c>
      <c r="X1" t="s">
        <v>22</v>
      </c>
      <c r="Y1" t="s">
        <v>23</v>
      </c>
      <c r="Z1" t="s">
        <v>139</v>
      </c>
      <c r="AA1" t="s">
        <v>24</v>
      </c>
      <c r="AB1" t="s">
        <v>25</v>
      </c>
      <c r="AC1" t="s">
        <v>26</v>
      </c>
      <c r="AD1" t="s">
        <v>27</v>
      </c>
      <c r="AE1" t="s">
        <v>28</v>
      </c>
      <c r="AF1" t="s">
        <v>140</v>
      </c>
      <c r="AG1" t="s">
        <v>30</v>
      </c>
      <c r="AH1" t="s">
        <v>31</v>
      </c>
      <c r="AI1" t="s">
        <v>141</v>
      </c>
    </row>
    <row r="2" spans="1:35" x14ac:dyDescent="0.25">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Sheet'!$AE$4:$AE$40,$BJ5-3)="","",INDEX('Final Calculation Sheet'!$AE$4:$AE$40,$BJ5-3)),IF(OR($BI5=1,$BL5=1,$BH5&gt;0),"–",""))</f>
        <v/>
      </c>
      <c r="AG2" t="str">
        <f>IF($BJ5&gt;0,IF(INDEX('Final Calculation Sheet'!$AF$4:$AF$40,$BJ5-3)="","",INDEX('Final Calculation Sheet'!$AF$4:$AF$40,$BJ5-3)),IF(OR($BI5=1,$BL5=1,$BH5&gt;0),"–",""))</f>
        <v/>
      </c>
      <c r="AH2" t="str">
        <f>IF($BJ5&gt;0,IF(INDEX('Final Calculation Sheet'!$AG$4:$AG$40,$BJ5-3)="","",INDEX('Final Calculation Sheet'!$AG$4:$AG$40,$BJ5-3)),IF(OR($BI5=1,$BL5=1,$BH5&gt;0),"–",""))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spans="1:35" x14ac:dyDescent="0.25">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Sheet'!$AE$4:$AE$40,$BJ6-3)="","",INDEX('Final Calculation Sheet'!$AE$4:$AE$40,$BJ6-3)),IF(OR($BI6=1,$BL6=1,$BH6&gt;0),"–",""))</f>
        <v/>
      </c>
      <c r="AG3" t="str">
        <f>IF($BJ6&gt;0,IF(INDEX('Final Calculation Sheet'!$AF$4:$AF$40,$BJ6-3)="","",INDEX('Final Calculation Sheet'!$AF$4:$AF$40,$BJ6-3)),IF(OR($BI6=1,$BL6=1,$BH6&gt;0),"–",""))</f>
        <v/>
      </c>
      <c r="AH3" t="str">
        <f>IF($BJ6&gt;0,IF(INDEX('Final Calculation Sheet'!$AG$4:$AG$40,$BJ6-3)="","",INDEX('Final Calculation Sheet'!$AG$4:$AG$40,$BJ6-3)),IF(OR($BI6=1,$BL6=1,$BH6&gt;0),"–",""))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spans="1:35" x14ac:dyDescent="0.25">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Sheet'!$AE$4:$AE$40,$BJ7-3)="","",INDEX('Final Calculation Sheet'!$AE$4:$AE$40,$BJ7-3)),IF(OR($BI7=1,$BL7=1,$BH7&gt;0),"–",""))</f>
        <v/>
      </c>
      <c r="AG4" t="str">
        <f>IF($BJ7&gt;0,IF(INDEX('Final Calculation Sheet'!$AF$4:$AF$40,$BJ7-3)="","",INDEX('Final Calculation Sheet'!$AF$4:$AF$40,$BJ7-3)),IF(OR($BI7=1,$BL7=1,$BH7&gt;0),"–",""))</f>
        <v/>
      </c>
      <c r="AH4" t="str">
        <f>IF($BJ7&gt;0,IF(INDEX('Final Calculation Sheet'!$AG$4:$AG$40,$BJ7-3)="","",INDEX('Final Calculation Sheet'!$AG$4:$AG$40,$BJ7-3)),IF(OR($BI7=1,$BL7=1,$BH7&gt;0),"–",""))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spans="1:35" x14ac:dyDescent="0.2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Sheet'!$AE$4:$AE$40,$BJ8-3)="","",INDEX('Final Calculation Sheet'!$AE$4:$AE$40,$BJ8-3)),IF(OR($BI8=1,$BL8=1,$BH8&gt;0),"–",""))</f>
        <v/>
      </c>
      <c r="AG5" t="str">
        <f>IF($BJ8&gt;0,IF(INDEX('Final Calculation Sheet'!$AF$4:$AF$40,$BJ8-3)="","",INDEX('Final Calculation Sheet'!$AF$4:$AF$40,$BJ8-3)),IF(OR($BI8=1,$BL8=1,$BH8&gt;0),"–",""))</f>
        <v/>
      </c>
      <c r="AH5" t="str">
        <f>IF($BJ8&gt;0,IF(INDEX('Final Calculation Sheet'!$AG$4:$AG$40,$BJ8-3)="","",INDEX('Final Calculation Sheet'!$AG$4:$AG$40,$BJ8-3)),IF(OR($BI8=1,$BL8=1,$BH8&gt;0),"–",""))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spans="1:35" x14ac:dyDescent="0.25">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Sheet'!$AE$4:$AE$40,$BJ9-3)="","",INDEX('Final Calculation Sheet'!$AE$4:$AE$40,$BJ9-3)),IF(OR($BI9=1,$BL9=1,$BH9&gt;0),"–",""))</f>
        <v/>
      </c>
      <c r="AG6" t="str">
        <f>IF($BJ9&gt;0,IF(INDEX('Final Calculation Sheet'!$AF$4:$AF$40,$BJ9-3)="","",INDEX('Final Calculation Sheet'!$AF$4:$AF$40,$BJ9-3)),IF(OR($BI9=1,$BL9=1,$BH9&gt;0),"–",""))</f>
        <v/>
      </c>
      <c r="AH6" t="str">
        <f>IF($BJ9&gt;0,IF(INDEX('Final Calculation Sheet'!$AG$4:$AG$40,$BJ9-3)="","",INDEX('Final Calculation Sheet'!$AG$4:$AG$40,$BJ9-3)),IF(OR($BI9=1,$BL9=1,$BH9&gt;0),"–",""))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spans="1:35" x14ac:dyDescent="0.25">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Sheet'!$AE$4:$AE$40,$BJ10-3)="","",INDEX('Final Calculation Sheet'!$AE$4:$AE$40,$BJ10-3)),IF(OR($BI10=1,$BL10=1,$BH10&gt;0),"–",""))</f>
        <v/>
      </c>
      <c r="AG7" t="str">
        <f>IF($BJ10&gt;0,IF(INDEX('Final Calculation Sheet'!$AF$4:$AF$40,$BJ10-3)="","",INDEX('Final Calculation Sheet'!$AF$4:$AF$40,$BJ10-3)),IF(OR($BI10=1,$BL10=1,$BH10&gt;0),"–",""))</f>
        <v/>
      </c>
      <c r="AH7" t="str">
        <f>IF($BJ10&gt;0,IF(INDEX('Final Calculation Sheet'!$AG$4:$AG$40,$BJ10-3)="","",INDEX('Final Calculation Sheet'!$AG$4:$AG$40,$BJ10-3)),IF(OR($BI10=1,$BL10=1,$BH10&gt;0),"–",""))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spans="1:35" x14ac:dyDescent="0.25">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Sheet'!$AE$4:$AE$40,$BJ11-3)="","",INDEX('Final Calculation Sheet'!$AE$4:$AE$40,$BJ11-3)),IF(OR($BI11=1,$BL11=1,$BH11&gt;0),"–",""))</f>
        <v/>
      </c>
      <c r="AG8" t="str">
        <f>IF($BJ11&gt;0,IF(INDEX('Final Calculation Sheet'!$AF$4:$AF$40,$BJ11-3)="","",INDEX('Final Calculation Sheet'!$AF$4:$AF$40,$BJ11-3)),IF(OR($BI11=1,$BL11=1,$BH11&gt;0),"–",""))</f>
        <v/>
      </c>
      <c r="AH8" t="str">
        <f>IF($BJ11&gt;0,IF(INDEX('Final Calculation Sheet'!$AG$4:$AG$40,$BJ11-3)="","",INDEX('Final Calculation Sheet'!$AG$4:$AG$40,$BJ11-3)),IF(OR($BI11=1,$BL11=1,$BH11&gt;0),"–",""))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spans="1:35" x14ac:dyDescent="0.25">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Sheet'!$AE$4:$AE$40,$BJ12-3)="","",INDEX('Final Calculation Sheet'!$AE$4:$AE$40,$BJ12-3)),IF(OR($BI12=1,$BL12=1,$BH12&gt;0),"–",""))</f>
        <v/>
      </c>
      <c r="AG9" t="str">
        <f>IF($BJ12&gt;0,IF(INDEX('Final Calculation Sheet'!$AF$4:$AF$40,$BJ12-3)="","",INDEX('Final Calculation Sheet'!$AF$4:$AF$40,$BJ12-3)),IF(OR($BI12=1,$BL12=1,$BH12&gt;0),"–",""))</f>
        <v/>
      </c>
      <c r="AH9" t="str">
        <f>IF($BJ12&gt;0,IF(INDEX('Final Calculation Sheet'!$AG$4:$AG$40,$BJ12-3)="","",INDEX('Final Calculation Sheet'!$AG$4:$AG$40,$BJ12-3)),IF(OR($BI12=1,$BL12=1,$BH12&gt;0),"–",""))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spans="1:35" x14ac:dyDescent="0.25">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Sheet'!$AE$4:$AE$40,$BJ13-3)="","",INDEX('Final Calculation Sheet'!$AE$4:$AE$40,$BJ13-3)),IF(OR($BI13=1,$BL13=1,$BH13&gt;0),"–",""))</f>
        <v/>
      </c>
      <c r="AG10" t="str">
        <f>IF($BJ13&gt;0,IF(INDEX('Final Calculation Sheet'!$AF$4:$AF$40,$BJ13-3)="","",INDEX('Final Calculation Sheet'!$AF$4:$AF$40,$BJ13-3)),IF(OR($BI13=1,$BL13=1,$BH13&gt;0),"–",""))</f>
        <v/>
      </c>
      <c r="AH10" t="str">
        <f>IF($BJ13&gt;0,IF(INDEX('Final Calculation Sheet'!$AG$4:$AG$40,$BJ13-3)="","",INDEX('Final Calculation Sheet'!$AG$4:$AG$40,$BJ13-3)),IF(OR($BI13=1,$BL13=1,$BH13&gt;0),"–",""))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spans="1:35" x14ac:dyDescent="0.25">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Sheet'!$AE$4:$AE$40,$BJ14-3)="","",INDEX('Final Calculation Sheet'!$AE$4:$AE$40,$BJ14-3)),IF(OR($BI14=1,$BL14=1,$BH14&gt;0),"–",""))</f>
        <v/>
      </c>
      <c r="AG11" t="str">
        <f>IF($BJ14&gt;0,IF(INDEX('Final Calculation Sheet'!$AF$4:$AF$40,$BJ14-3)="","",INDEX('Final Calculation Sheet'!$AF$4:$AF$40,$BJ14-3)),IF(OR($BI14=1,$BL14=1,$BH14&gt;0),"–",""))</f>
        <v/>
      </c>
      <c r="AH11" t="str">
        <f>IF($BJ14&gt;0,IF(INDEX('Final Calculation Sheet'!$AG$4:$AG$40,$BJ14-3)="","",INDEX('Final Calculation Sheet'!$AG$4:$AG$40,$BJ14-3)),IF(OR($BI14=1,$BL14=1,$BH14&gt;0),"–",""))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spans="1:35" x14ac:dyDescent="0.25">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Sheet'!$AE$4:$AE$40,$BJ15-3)="","",INDEX('Final Calculation Sheet'!$AE$4:$AE$40,$BJ15-3)),IF(OR($BI15=1,$BL15=1,$BH15&gt;0),"–",""))</f>
        <v/>
      </c>
      <c r="AG12" t="str">
        <f>IF($BJ15&gt;0,IF(INDEX('Final Calculation Sheet'!$AF$4:$AF$40,$BJ15-3)="","",INDEX('Final Calculation Sheet'!$AF$4:$AF$40,$BJ15-3)),IF(OR($BI15=1,$BL15=1,$BH15&gt;0),"–",""))</f>
        <v/>
      </c>
      <c r="AH12" t="str">
        <f>IF($BJ15&gt;0,IF(INDEX('Final Calculation Sheet'!$AG$4:$AG$40,$BJ15-3)="","",INDEX('Final Calculation Sheet'!$AG$4:$AG$40,$BJ15-3)),IF(OR($BI15=1,$BL15=1,$BH15&gt;0),"–",""))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spans="1:35" x14ac:dyDescent="0.25">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Sheet'!$AE$4:$AE$40,$BJ16-3)="","",INDEX('Final Calculation Sheet'!$AE$4:$AE$40,$BJ16-3)),IF(OR($BI16=1,$BL16=1,$BH16&gt;0),"–",""))</f>
        <v/>
      </c>
      <c r="AG13" t="str">
        <f>IF($BJ16&gt;0,IF(INDEX('Final Calculation Sheet'!$AF$4:$AF$40,$BJ16-3)="","",INDEX('Final Calculation Sheet'!$AF$4:$AF$40,$BJ16-3)),IF(OR($BI16=1,$BL16=1,$BH16&gt;0),"–",""))</f>
        <v/>
      </c>
      <c r="AH13" t="str">
        <f>IF($BJ16&gt;0,IF(INDEX('Final Calculation Sheet'!$AG$4:$AG$40,$BJ16-3)="","",INDEX('Final Calculation Sheet'!$AG$4:$AG$40,$BJ16-3)),IF(OR($BI16=1,$BL16=1,$BH16&gt;0),"–",""))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spans="1:35" x14ac:dyDescent="0.25">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Sheet'!$AE$4:$AE$40,$BJ17-3)="","",INDEX('Final Calculation Sheet'!$AE$4:$AE$40,$BJ17-3)),IF(OR($BI17=1,$BL17=1,$BH17&gt;0),"–",""))</f>
        <v/>
      </c>
      <c r="AG14" t="str">
        <f>IF($BJ17&gt;0,IF(INDEX('Final Calculation Sheet'!$AF$4:$AF$40,$BJ17-3)="","",INDEX('Final Calculation Sheet'!$AF$4:$AF$40,$BJ17-3)),IF(OR($BI17=1,$BL17=1,$BH17&gt;0),"–",""))</f>
        <v/>
      </c>
      <c r="AH14" t="str">
        <f>IF($BJ17&gt;0,IF(INDEX('Final Calculation Sheet'!$AG$4:$AG$40,$BJ17-3)="","",INDEX('Final Calculation Sheet'!$AG$4:$AG$40,$BJ17-3)),IF(OR($BI17=1,$BL17=1,$BH17&gt;0),"–",""))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spans="1:35" x14ac:dyDescent="0.2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Sheet'!$AE$4:$AE$40,$BJ18-3)="","",INDEX('Final Calculation Sheet'!$AE$4:$AE$40,$BJ18-3)),IF(OR($BI18=1,$BL18=1,$BH18&gt;0),"–",""))</f>
        <v/>
      </c>
      <c r="AG15" t="str">
        <f>IF($BJ18&gt;0,IF(INDEX('Final Calculation Sheet'!$AF$4:$AF$40,$BJ18-3)="","",INDEX('Final Calculation Sheet'!$AF$4:$AF$40,$BJ18-3)),IF(OR($BI18=1,$BL18=1,$BH18&gt;0),"–",""))</f>
        <v/>
      </c>
      <c r="AH15" t="str">
        <f>IF($BJ18&gt;0,IF(INDEX('Final Calculation Sheet'!$AG$4:$AG$40,$BJ18-3)="","",INDEX('Final Calculation Sheet'!$AG$4:$AG$40,$BJ18-3)),IF(OR($BI18=1,$BL18=1,$BH18&gt;0),"–",""))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spans="1:35" x14ac:dyDescent="0.25">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Sheet'!$AE$4:$AE$40,$BJ19-3)="","",INDEX('Final Calculation Sheet'!$AE$4:$AE$40,$BJ19-3)),IF(OR($BI19=1,$BL19=1,$BH19&gt;0),"–",""))</f>
        <v/>
      </c>
      <c r="AG16" t="str">
        <f>IF($BJ19&gt;0,IF(INDEX('Final Calculation Sheet'!$AF$4:$AF$40,$BJ19-3)="","",INDEX('Final Calculation Sheet'!$AF$4:$AF$40,$BJ19-3)),IF(OR($BI19=1,$BL19=1,$BH19&gt;0),"–",""))</f>
        <v/>
      </c>
      <c r="AH16" t="str">
        <f>IF($BJ19&gt;0,IF(INDEX('Final Calculation Sheet'!$AG$4:$AG$40,$BJ19-3)="","",INDEX('Final Calculation Sheet'!$AG$4:$AG$40,$BJ19-3)),IF(OR($BI19=1,$BL19=1,$BH19&gt;0),"–",""))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spans="1:35" x14ac:dyDescent="0.25">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Sheet'!$AE$4:$AE$40,$BJ20-3)="","",INDEX('Final Calculation Sheet'!$AE$4:$AE$40,$BJ20-3)),IF(OR($BI20=1,$BL20=1,$BH20&gt;0),"–",""))</f>
        <v/>
      </c>
      <c r="AG17" t="str">
        <f>IF($BJ20&gt;0,IF(INDEX('Final Calculation Sheet'!$AF$4:$AF$40,$BJ20-3)="","",INDEX('Final Calculation Sheet'!$AF$4:$AF$40,$BJ20-3)),IF(OR($BI20=1,$BL20=1,$BH20&gt;0),"–",""))</f>
        <v/>
      </c>
      <c r="AH17" t="str">
        <f>IF($BJ20&gt;0,IF(INDEX('Final Calculation Sheet'!$AG$4:$AG$40,$BJ20-3)="","",INDEX('Final Calculation Sheet'!$AG$4:$AG$40,$BJ20-3)),IF(OR($BI20=1,$BL20=1,$BH20&gt;0),"–",""))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spans="1:35" x14ac:dyDescent="0.25">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Sheet'!$AE$4:$AE$40,$BJ21-3)="","",INDEX('Final Calculation Sheet'!$AE$4:$AE$40,$BJ21-3)),IF(OR($BI21=1,$BL21=1,$BH21&gt;0),"–",""))</f>
        <v/>
      </c>
      <c r="AG18" t="str">
        <f>IF($BJ21&gt;0,IF(INDEX('Final Calculation Sheet'!$AF$4:$AF$40,$BJ21-3)="","",INDEX('Final Calculation Sheet'!$AF$4:$AF$40,$BJ21-3)),IF(OR($BI21=1,$BL21=1,$BH21&gt;0),"–",""))</f>
        <v/>
      </c>
      <c r="AH18" t="str">
        <f>IF($BJ21&gt;0,IF(INDEX('Final Calculation Sheet'!$AG$4:$AG$40,$BJ21-3)="","",INDEX('Final Calculation Sheet'!$AG$4:$AG$40,$BJ21-3)),IF(OR($BI21=1,$BL21=1,$BH21&gt;0),"–",""))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spans="1:35" x14ac:dyDescent="0.25">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Sheet'!$AE$4:$AE$40,$BJ22-3)="","",INDEX('Final Calculation Sheet'!$AE$4:$AE$40,$BJ22-3)),IF(OR($BI22=1,$BL22=1,$BH22&gt;0),"–",""))</f>
        <v/>
      </c>
      <c r="AG19" t="str">
        <f>IF($BJ22&gt;0,IF(INDEX('Final Calculation Sheet'!$AF$4:$AF$40,$BJ22-3)="","",INDEX('Final Calculation Sheet'!$AF$4:$AF$40,$BJ22-3)),IF(OR($BI22=1,$BL22=1,$BH22&gt;0),"–",""))</f>
        <v/>
      </c>
      <c r="AH19" t="str">
        <f>IF($BJ22&gt;0,IF(INDEX('Final Calculation Sheet'!$AG$4:$AG$40,$BJ22-3)="","",INDEX('Final Calculation Sheet'!$AG$4:$AG$40,$BJ22-3)),IF(OR($BI22=1,$BL22=1,$BH22&gt;0),"–",""))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spans="1:35" x14ac:dyDescent="0.25">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Sheet'!$AE$4:$AE$40,$BJ23-3)="","",INDEX('Final Calculation Sheet'!$AE$4:$AE$40,$BJ23-3)),IF(OR($BI23=1,$BL23=1,$BH23&gt;0),"–",""))</f>
        <v/>
      </c>
      <c r="AG20" t="str">
        <f>IF($BJ23&gt;0,IF(INDEX('Final Calculation Sheet'!$AF$4:$AF$40,$BJ23-3)="","",INDEX('Final Calculation Sheet'!$AF$4:$AF$40,$BJ23-3)),IF(OR($BI23=1,$BL23=1,$BH23&gt;0),"–",""))</f>
        <v/>
      </c>
      <c r="AH20" t="str">
        <f>IF($BJ23&gt;0,IF(INDEX('Final Calculation Sheet'!$AG$4:$AG$40,$BJ23-3)="","",INDEX('Final Calculation Sheet'!$AG$4:$AG$40,$BJ23-3)),IF(OR($BI23=1,$BL23=1,$BH23&gt;0),"–",""))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spans="1:35" x14ac:dyDescent="0.25">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Sheet'!$AE$4:$AE$40,$BJ24-3)="","",INDEX('Final Calculation Sheet'!$AE$4:$AE$40,$BJ24-3)),IF(OR($BI24=1,$BL24=1,$BH24&gt;0),"–",""))</f>
        <v/>
      </c>
      <c r="AG21" t="str">
        <f>IF($BJ24&gt;0,IF(INDEX('Final Calculation Sheet'!$AF$4:$AF$40,$BJ24-3)="","",INDEX('Final Calculation Sheet'!$AF$4:$AF$40,$BJ24-3)),IF(OR($BI24=1,$BL24=1,$BH24&gt;0),"–",""))</f>
        <v/>
      </c>
      <c r="AH21" t="str">
        <f>IF($BJ24&gt;0,IF(INDEX('Final Calculation Sheet'!$AG$4:$AG$40,$BJ24-3)="","",INDEX('Final Calculation Sheet'!$AG$4:$AG$40,$BJ24-3)),IF(OR($BI24=1,$BL24=1,$BH24&gt;0),"–",""))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spans="1:35" x14ac:dyDescent="0.25">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Sheet'!$AE$4:$AE$40,$BJ25-3)="","",INDEX('Final Calculation Sheet'!$AE$4:$AE$40,$BJ25-3)),IF(OR($BI25=1,$BL25=1,$BH25&gt;0),"–",""))</f>
        <v/>
      </c>
      <c r="AG22" t="str">
        <f>IF($BJ25&gt;0,IF(INDEX('Final Calculation Sheet'!$AF$4:$AF$40,$BJ25-3)="","",INDEX('Final Calculation Sheet'!$AF$4:$AF$40,$BJ25-3)),IF(OR($BI25=1,$BL25=1,$BH25&gt;0),"–",""))</f>
        <v/>
      </c>
      <c r="AH22" t="str">
        <f>IF($BJ25&gt;0,IF(INDEX('Final Calculation Sheet'!$AG$4:$AG$40,$BJ25-3)="","",INDEX('Final Calculation Sheet'!$AG$4:$AG$40,$BJ25-3)),IF(OR($BI25=1,$BL25=1,$BH25&gt;0),"–",""))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spans="1:35" x14ac:dyDescent="0.25">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Sheet'!$AE$4:$AE$40,$BJ26-3)="","",INDEX('Final Calculation Sheet'!$AE$4:$AE$40,$BJ26-3)),IF(OR($BI26=1,$BL26=1,$BH26&gt;0),"–",""))</f>
        <v/>
      </c>
      <c r="AG23" t="str">
        <f>IF($BJ26&gt;0,IF(INDEX('Final Calculation Sheet'!$AF$4:$AF$40,$BJ26-3)="","",INDEX('Final Calculation Sheet'!$AF$4:$AF$40,$BJ26-3)),IF(OR($BI26=1,$BL26=1,$BH26&gt;0),"–",""))</f>
        <v/>
      </c>
      <c r="AH23" t="str">
        <f>IF($BJ26&gt;0,IF(INDEX('Final Calculation Sheet'!$AG$4:$AG$40,$BJ26-3)="","",INDEX('Final Calculation Sheet'!$AG$4:$AG$40,$BJ26-3)),IF(OR($BI26=1,$BL26=1,$BH26&gt;0),"–",""))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spans="1:35" x14ac:dyDescent="0.25">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Sheet'!$AE$4:$AE$40,$BJ27-3)="","",INDEX('Final Calculation Sheet'!$AE$4:$AE$40,$BJ27-3)),IF(OR($BI27=1,$BL27=1,$BH27&gt;0),"–",""))</f>
        <v/>
      </c>
      <c r="AG24" t="str">
        <f>IF($BJ27&gt;0,IF(INDEX('Final Calculation Sheet'!$AF$4:$AF$40,$BJ27-3)="","",INDEX('Final Calculation Sheet'!$AF$4:$AF$40,$BJ27-3)),IF(OR($BI27=1,$BL27=1,$BH27&gt;0),"–",""))</f>
        <v/>
      </c>
      <c r="AH24" t="str">
        <f>IF($BJ27&gt;0,IF(INDEX('Final Calculation Sheet'!$AG$4:$AG$40,$BJ27-3)="","",INDEX('Final Calculation Sheet'!$AG$4:$AG$40,$BJ27-3)),IF(OR($BI27=1,$BL27=1,$BH27&gt;0),"–",""))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spans="1:35" x14ac:dyDescent="0.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Sheet'!$AE$4:$AE$40,$BJ28-3)="","",INDEX('Final Calculation Sheet'!$AE$4:$AE$40,$BJ28-3)),IF(OR($BI28=1,$BL28=1,$BH28&gt;0),"–",""))</f>
        <v/>
      </c>
      <c r="AG25" t="str">
        <f>IF($BJ28&gt;0,IF(INDEX('Final Calculation Sheet'!$AF$4:$AF$40,$BJ28-3)="","",INDEX('Final Calculation Sheet'!$AF$4:$AF$40,$BJ28-3)),IF(OR($BI28=1,$BL28=1,$BH28&gt;0),"–",""))</f>
        <v/>
      </c>
      <c r="AH25" t="str">
        <f>IF($BJ28&gt;0,IF(INDEX('Final Calculation Sheet'!$AG$4:$AG$40,$BJ28-3)="","",INDEX('Final Calculation Sheet'!$AG$4:$AG$40,$BJ28-3)),IF(OR($BI28=1,$BL28=1,$BH28&gt;0),"–",""))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spans="1:35" x14ac:dyDescent="0.25">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Sheet'!$AE$4:$AE$40,$BJ29-3)="","",INDEX('Final Calculation Sheet'!$AE$4:$AE$40,$BJ29-3)),IF(OR($BI29=1,$BL29=1,$BH29&gt;0),"–",""))</f>
        <v/>
      </c>
      <c r="AG26" t="str">
        <f>IF($BJ29&gt;0,IF(INDEX('Final Calculation Sheet'!$AF$4:$AF$40,$BJ29-3)="","",INDEX('Final Calculation Sheet'!$AF$4:$AF$40,$BJ29-3)),IF(OR($BI29=1,$BL29=1,$BH29&gt;0),"–",""))</f>
        <v/>
      </c>
      <c r="AH26" t="str">
        <f>IF($BJ29&gt;0,IF(INDEX('Final Calculation Sheet'!$AG$4:$AG$40,$BJ29-3)="","",INDEX('Final Calculation Sheet'!$AG$4:$AG$40,$BJ29-3)),IF(OR($BI29=1,$BL29=1,$BH29&gt;0),"–",""))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spans="1:35" x14ac:dyDescent="0.25">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Sheet'!$AE$4:$AE$40,$BJ30-3)="","",INDEX('Final Calculation Sheet'!$AE$4:$AE$40,$BJ30-3)),IF(OR($BI30=1,$BL30=1,$BH30&gt;0),"–",""))</f>
        <v/>
      </c>
      <c r="AG27" t="str">
        <f>IF($BJ30&gt;0,IF(INDEX('Final Calculation Sheet'!$AF$4:$AF$40,$BJ30-3)="","",INDEX('Final Calculation Sheet'!$AF$4:$AF$40,$BJ30-3)),IF(OR($BI30=1,$BL30=1,$BH30&gt;0),"–",""))</f>
        <v/>
      </c>
      <c r="AH27" t="str">
        <f>IF($BJ30&gt;0,IF(INDEX('Final Calculation Sheet'!$AG$4:$AG$40,$BJ30-3)="","",INDEX('Final Calculation Sheet'!$AG$4:$AG$40,$BJ30-3)),IF(OR($BI30=1,$BL30=1,$BH30&gt;0),"–",""))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spans="1:35" x14ac:dyDescent="0.25">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Sheet'!$AE$4:$AE$40,$BJ31-3)="","",INDEX('Final Calculation Sheet'!$AE$4:$AE$40,$BJ31-3)),IF(OR($BI31=1,$BL31=1,$BH31&gt;0),"–",""))</f>
        <v/>
      </c>
      <c r="AG28" t="str">
        <f>IF($BJ31&gt;0,IF(INDEX('Final Calculation Sheet'!$AF$4:$AF$40,$BJ31-3)="","",INDEX('Final Calculation Sheet'!$AF$4:$AF$40,$BJ31-3)),IF(OR($BI31=1,$BL31=1,$BH31&gt;0),"–",""))</f>
        <v/>
      </c>
      <c r="AH28" t="str">
        <f>IF($BJ31&gt;0,IF(INDEX('Final Calculation Sheet'!$AG$4:$AG$40,$BJ31-3)="","",INDEX('Final Calculation Sheet'!$AG$4:$AG$40,$BJ31-3)),IF(OR($BI31=1,$BL31=1,$BH31&gt;0),"–",""))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spans="1:35" x14ac:dyDescent="0.25">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Sheet'!$AE$4:$AE$40,$BJ32-3)="","",INDEX('Final Calculation Sheet'!$AE$4:$AE$40,$BJ32-3)),IF(OR($BI32=1,$BL32=1,$BH32&gt;0),"–",""))</f>
        <v/>
      </c>
      <c r="AG29" t="str">
        <f>IF($BJ32&gt;0,IF(INDEX('Final Calculation Sheet'!$AF$4:$AF$40,$BJ32-3)="","",INDEX('Final Calculation Sheet'!$AF$4:$AF$40,$BJ32-3)),IF(OR($BI32=1,$BL32=1,$BH32&gt;0),"–",""))</f>
        <v/>
      </c>
      <c r="AH29" t="str">
        <f>IF($BJ32&gt;0,IF(INDEX('Final Calculation Sheet'!$AG$4:$AG$40,$BJ32-3)="","",INDEX('Final Calculation Sheet'!$AG$4:$AG$40,$BJ32-3)),IF(OR($BI32=1,$BL32=1,$BH32&gt;0),"–",""))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spans="1:35" x14ac:dyDescent="0.25">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Sheet'!$AE$4:$AE$40,$BJ33-3)="","",INDEX('Final Calculation Sheet'!$AE$4:$AE$40,$BJ33-3)),IF(OR($BI33=1,$BL33=1,$BH33&gt;0),"–",""))</f>
        <v/>
      </c>
      <c r="AG30" t="str">
        <f>IF($BJ33&gt;0,IF(INDEX('Final Calculation Sheet'!$AF$4:$AF$40,$BJ33-3)="","",INDEX('Final Calculation Sheet'!$AF$4:$AF$40,$BJ33-3)),IF(OR($BI33=1,$BL33=1,$BH33&gt;0),"–",""))</f>
        <v/>
      </c>
      <c r="AH30" t="str">
        <f>IF($BJ33&gt;0,IF(INDEX('Final Calculation Sheet'!$AG$4:$AG$40,$BJ33-3)="","",INDEX('Final Calculation Sheet'!$AG$4:$AG$40,$BJ33-3)),IF(OR($BI33=1,$BL33=1,$BH33&gt;0),"–",""))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spans="1:35" x14ac:dyDescent="0.25">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Sheet'!$AE$4:$AE$40,$BJ34-3)="","",INDEX('Final Calculation Sheet'!$AE$4:$AE$40,$BJ34-3)),IF(OR($BI34=1,$BL34=1,$BH34&gt;0),"–",""))</f>
        <v/>
      </c>
      <c r="AG31" t="str">
        <f>IF($BJ34&gt;0,IF(INDEX('Final Calculation Sheet'!$AF$4:$AF$40,$BJ34-3)="","",INDEX('Final Calculation Sheet'!$AF$4:$AF$40,$BJ34-3)),IF(OR($BI34=1,$BL34=1,$BH34&gt;0),"–",""))</f>
        <v/>
      </c>
      <c r="AH31" t="str">
        <f>IF($BJ34&gt;0,IF(INDEX('Final Calculation Sheet'!$AG$4:$AG$40,$BJ34-3)="","",INDEX('Final Calculation Sheet'!$AG$4:$AG$40,$BJ34-3)),IF(OR($BI34=1,$BL34=1,$BH34&gt;0),"–",""))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spans="1:35" x14ac:dyDescent="0.25">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Sheet'!$AE$4:$AE$40,$BJ35-3)="","",INDEX('Final Calculation Sheet'!$AE$4:$AE$40,$BJ35-3)),IF(OR($BI35=1,$BL35=1,$BH35&gt;0),"–",""))</f>
        <v/>
      </c>
      <c r="AG32" t="str">
        <f>IF($BJ35&gt;0,IF(INDEX('Final Calculation Sheet'!$AF$4:$AF$40,$BJ35-3)="","",INDEX('Final Calculation Sheet'!$AF$4:$AF$40,$BJ35-3)),IF(OR($BI35=1,$BL35=1,$BH35&gt;0),"–",""))</f>
        <v/>
      </c>
      <c r="AH32" t="str">
        <f>IF($BJ35&gt;0,IF(INDEX('Final Calculation Sheet'!$AG$4:$AG$40,$BJ35-3)="","",INDEX('Final Calculation Sheet'!$AG$4:$AG$40,$BJ35-3)),IF(OR($BI35=1,$BL35=1,$BH35&gt;0),"–",""))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spans="1:35" x14ac:dyDescent="0.25">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Sheet'!$AE$4:$AE$40,$BJ36-3)="","",INDEX('Final Calculation Sheet'!$AE$4:$AE$40,$BJ36-3)),IF(OR($BI36=1,$BL36=1,$BH36&gt;0),"–",""))</f>
        <v/>
      </c>
      <c r="AG33" t="str">
        <f>IF($BJ36&gt;0,IF(INDEX('Final Calculation Sheet'!$AF$4:$AF$40,$BJ36-3)="","",INDEX('Final Calculation Sheet'!$AF$4:$AF$40,$BJ36-3)),IF(OR($BI36=1,$BL36=1,$BH36&gt;0),"–",""))</f>
        <v/>
      </c>
      <c r="AH33" t="str">
        <f>IF($BJ36&gt;0,IF(INDEX('Final Calculation Sheet'!$AG$4:$AG$40,$BJ36-3)="","",INDEX('Final Calculation Sheet'!$AG$4:$AG$40,$BJ36-3)),IF(OR($BI36=1,$BL36=1,$BH36&gt;0),"–",""))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spans="1:35" x14ac:dyDescent="0.25">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Sheet'!$AE$4:$AE$40,$BJ37-3)="","",INDEX('Final Calculation Sheet'!$AE$4:$AE$40,$BJ37-3)),IF(OR($BI37=1,$BL37=1,$BH37&gt;0),"–",""))</f>
        <v/>
      </c>
      <c r="AG34" t="str">
        <f>IF($BJ37&gt;0,IF(INDEX('Final Calculation Sheet'!$AF$4:$AF$40,$BJ37-3)="","",INDEX('Final Calculation Sheet'!$AF$4:$AF$40,$BJ37-3)),IF(OR($BI37=1,$BL37=1,$BH37&gt;0),"–",""))</f>
        <v/>
      </c>
      <c r="AH34" t="str">
        <f>IF($BJ37&gt;0,IF(INDEX('Final Calculation Sheet'!$AG$4:$AG$40,$BJ37-3)="","",INDEX('Final Calculation Sheet'!$AG$4:$AG$40,$BJ37-3)),IF(OR($BI37=1,$BL37=1,$BH37&gt;0),"–",""))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spans="1:35" x14ac:dyDescent="0.2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Sheet'!$AE$4:$AE$40,$BJ38-3)="","",INDEX('Final Calculation Sheet'!$AE$4:$AE$40,$BJ38-3)),IF(OR($BI38=1,$BL38=1,$BH38&gt;0),"–",""))</f>
        <v/>
      </c>
      <c r="AG35" t="str">
        <f>IF($BJ38&gt;0,IF(INDEX('Final Calculation Sheet'!$AF$4:$AF$40,$BJ38-3)="","",INDEX('Final Calculation Sheet'!$AF$4:$AF$40,$BJ38-3)),IF(OR($BI38=1,$BL38=1,$BH38&gt;0),"–",""))</f>
        <v/>
      </c>
      <c r="AH35" t="str">
        <f>IF($BJ38&gt;0,IF(INDEX('Final Calculation Sheet'!$AG$4:$AG$40,$BJ38-3)="","",INDEX('Final Calculation Sheet'!$AG$4:$AG$40,$BJ38-3)),IF(OR($BI38=1,$BL38=1,$BH38&gt;0),"–",""))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spans="1:35" x14ac:dyDescent="0.25">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Sheet'!$AE$4:$AE$40,$BJ39-3)="","",INDEX('Final Calculation Sheet'!$AE$4:$AE$40,$BJ39-3)),IF(OR($BI39=1,$BL39=1,$BH39&gt;0),"–",""))</f>
        <v/>
      </c>
      <c r="AG36" t="str">
        <f>IF($BJ39&gt;0,IF(INDEX('Final Calculation Sheet'!$AF$4:$AF$40,$BJ39-3)="","",INDEX('Final Calculation Sheet'!$AF$4:$AF$40,$BJ39-3)),IF(OR($BI39=1,$BL39=1,$BH39&gt;0),"–",""))</f>
        <v/>
      </c>
      <c r="AH36" t="str">
        <f>IF($BJ39&gt;0,IF(INDEX('Final Calculation Sheet'!$AG$4:$AG$40,$BJ39-3)="","",INDEX('Final Calculation Sheet'!$AG$4:$AG$40,$BJ39-3)),IF(OR($BI39=1,$BL39=1,$BH39&gt;0),"–",""))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spans="1:35" x14ac:dyDescent="0.25">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Sheet'!$AE$4:$AE$40,$BJ40-3)="","",INDEX('Final Calculation Sheet'!$AE$4:$AE$40,$BJ40-3)),IF(OR($BI40=1,$BL40=1,$BH40&gt;0),"–",""))</f>
        <v/>
      </c>
      <c r="AG37" t="str">
        <f>IF($BJ40&gt;0,IF(INDEX('Final Calculation Sheet'!$AF$4:$AF$40,$BJ40-3)="","",INDEX('Final Calculation Sheet'!$AF$4:$AF$40,$BJ40-3)),IF(OR($BI40=1,$BL40=1,$BH40&gt;0),"–",""))</f>
        <v/>
      </c>
      <c r="AH37" t="str">
        <f>IF($BJ40&gt;0,IF(INDEX('Final Calculation Sheet'!$AG$4:$AG$40,$BJ40-3)="","",INDEX('Final Calculation Sheet'!$AG$4:$AG$40,$BJ40-3)),IF(OR($BI40=1,$BL40=1,$BH40&gt;0),"–",""))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spans="1:35" x14ac:dyDescent="0.25">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Sheet'!$AE$4:$AE$40,$BJ41-3)="","",INDEX('Final Calculation Sheet'!$AE$4:$AE$40,$BJ41-3)),IF(OR($BI41=1,$BL41=1,$BH41&gt;0),"–",""))</f>
        <v/>
      </c>
      <c r="AG38" t="str">
        <f>IF($BJ41&gt;0,IF(INDEX('Final Calculation Sheet'!$AF$4:$AF$40,$BJ41-3)="","",INDEX('Final Calculation Sheet'!$AF$4:$AF$40,$BJ41-3)),IF(OR($BI41=1,$BL41=1,$BH41&gt;0),"–",""))</f>
        <v/>
      </c>
      <c r="AH38" t="str">
        <f>IF($BJ41&gt;0,IF(INDEX('Final Calculation Sheet'!$AG$4:$AG$40,$BJ41-3)="","",INDEX('Final Calculation Sheet'!$AG$4:$AG$40,$BJ41-3)),IF(OR($BI41=1,$BL41=1,$BH41&gt;0),"–",""))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Final Calculation Sheet</vt:lpstr>
      <vt:lpstr>Live Search</vt:lpstr>
      <vt:lpstr>Buyer Groups</vt:lpstr>
      <vt:lpstr>Lists</vt:lpstr>
      <vt:lpstr>LS_Backup</vt:lpstr>
      <vt:lpstr>'Live Search'!Print_Titles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S.M.C</dc:creator>
  <dc:description/>
  <cp:lastModifiedBy>S.M.C</cp:lastModifiedBy>
  <cp:revision>0</cp:revision>
  <dcterms:created xsi:type="dcterms:W3CDTF">2026-09-02T06:08:07Z</dcterms:created>
  <dcterms:modified xsi:type="dcterms:W3CDTF">2026-09-10T10:26:51Z</dcterms:modified>
  <dc:language>en-US</dc:language>
</cp:coreProperties>
</file>