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 name="DropFilter" sheetId="6" state="hidden" r:id="rId6"/>
  </sheets>
  <definedNames>
    <definedName name="SUG_A">Lists!$J$4:INDEX(Lists!$J$4:$J$40,MAX(Lists!$I$4:$I$40))</definedName>
    <definedName name="SUG_AA">DropFilter!$FK$4:INDEX(DropFilter!$FK$4:$FK$42,MAX(DropFilter!$FJ$4:$FJ$40)+2)</definedName>
    <definedName name="SUG_AB">DropFilter!$FP$4:INDEX(DropFilter!$FP$4:$FP$42,MAX(DropFilter!$FO$4:$FO$40)+2)</definedName>
    <definedName name="SUG_AC">DropFilter!$FU$4:INDEX(DropFilter!$FU$4:$FU$42,MAX(DropFilter!$FT$4:$FT$40)+2)</definedName>
    <definedName name="SUG_AD">DropFilter!$FZ$4:INDEX(DropFilter!$FZ$4:$FZ$42,MAX(DropFilter!$FY$4:$FY$40)+2)</definedName>
    <definedName name="SUG_AE">DropFilter!$GE$4:INDEX(DropFilter!$GE$4:$GE$42,MAX(DropFilter!$GD$4:$GD$40)+2)</definedName>
    <definedName name="SUG_AF">DropFilter!$GJ$4:INDEX(DropFilter!$GJ$4:$GJ$42,MAX(DropFilter!$GI$4:$GI$40)+2)</definedName>
    <definedName name="SUG_AG">DropFilter!$GO$4:INDEX(DropFilter!$GO$4:$GO$42,MAX(DropFilter!$GN$4:$GN$40)+2)</definedName>
    <definedName name="SUG_AH">DropFilter!$GT$4:INDEX(DropFilter!$GT$4:$GT$42,MAX(DropFilter!$GS$4:$GS$40)+2)</definedName>
    <definedName name="SUG_AI">Lists!$FX$4:INDEX(Lists!$FX$4:$FX$40,MAX(Lists!$FW$4:$FW$40))</definedName>
    <definedName name="SUG_B">DropFilter!$AP$4:INDEX(DropFilter!$AP$4:$AP$42,MAX(DropFilter!$AO$4:$AO$40)+2)</definedName>
    <definedName name="SUG_C">DropFilter!$AU$4:INDEX(DropFilter!$AU$4:$AU$42,MAX(DropFilter!$AT$4:$AT$40)+2)</definedName>
    <definedName name="SUG_D">DropFilter!$AZ$4:INDEX(DropFilter!$AZ$4:$AZ$42,MAX(DropFilter!$AY$4:$AY$40)+2)</definedName>
    <definedName name="SUG_E">DropFilter!$BE$4:INDEX(DropFilter!$BE$4:$BE$42,MAX(DropFilter!$BD$4:$BD$40)+2)</definedName>
    <definedName name="SUG_F">DropFilter!$BJ$4:INDEX(DropFilter!$BJ$4:$BJ$42,MAX(DropFilter!$BI$4:$BI$40)+2)</definedName>
    <definedName name="SUG_G">DropFilter!$BO$4:INDEX(DropFilter!$BO$4:$BO$42,MAX(DropFilter!$BN$4:$BN$40)+2)</definedName>
    <definedName name="SUG_H">DropFilter!$BT$4:INDEX(DropFilter!$BT$4:$BT$42,MAX(DropFilter!$BS$4:$BS$40)+2)</definedName>
    <definedName name="SUG_I">DropFilter!$BY$4:INDEX(DropFilter!$BY$4:$BY$42,MAX(DropFilter!$BX$4:$BX$40)+2)</definedName>
    <definedName name="SUG_J">DropFilter!$CD$4:INDEX(DropFilter!$CD$4:$CD$42,MAX(DropFilter!$CC$4:$CC$40)+2)</definedName>
    <definedName name="SUG_K">DropFilter!$CI$4:INDEX(DropFilter!$CI$4:$CI$42,MAX(DropFilter!$CH$4:$CH$40)+2)</definedName>
    <definedName name="SUG_L">DropFilter!$CN$4:INDEX(DropFilter!$CN$4:$CN$42,MAX(DropFilter!$CM$4:$CM$40)+2)</definedName>
    <definedName name="SUG_M">DropFilter!$CS$4:INDEX(DropFilter!$CS$4:$CS$42,MAX(DropFilter!$CR$4:$CR$40)+2)</definedName>
    <definedName name="SUG_MAIN">Lists!$E$4:INDEX(Lists!$E$4:$E$114,MAX(Lists!$D$4:$D$114))</definedName>
    <definedName name="SUG_N">DropFilter!$CX$4:INDEX(DropFilter!$CX$4:$CX$42,MAX(DropFilter!$CW$4:$CW$40)+2)</definedName>
    <definedName name="SUG_O">DropFilter!$DC$4:INDEX(DropFilter!$DC$4:$DC$42,MAX(DropFilter!$DB$4:$DB$40)+2)</definedName>
    <definedName name="SUG_P">DropFilter!$DH$4:INDEX(DropFilter!$DH$4:$DH$42,MAX(DropFilter!$DG$4:$DG$40)+2)</definedName>
    <definedName name="SUG_Q">DropFilter!$DM$4:INDEX(DropFilter!$DM$4:$DM$42,MAX(DropFilter!$DL$4:$DL$40)+2)</definedName>
    <definedName name="SUG_R">DropFilter!$DR$4:INDEX(DropFilter!$DR$4:$DR$42,MAX(DropFilter!$DQ$4:$DQ$40)+2)</definedName>
    <definedName name="SUG_S">DropFilter!$DW$4:INDEX(DropFilter!$DW$4:$DW$42,MAX(DropFilter!$DV$4:$DV$40)+2)</definedName>
    <definedName name="SUG_T">DropFilter!$EB$4:INDEX(DropFilter!$EB$4:$EB$42,MAX(DropFilter!$EA$4:$EA$40)+2)</definedName>
    <definedName name="SUG_U">DropFilter!$EG$4:INDEX(DropFilter!$EG$4:$EG$42,MAX(DropFilter!$EF$4:$EF$40)+2)</definedName>
    <definedName name="SUG_V">DropFilter!$EL$4:INDEX(DropFilter!$EL$4:$EL$42,MAX(DropFilter!$EK$4:$EK$40)+2)</definedName>
    <definedName name="SUG_W">DropFilter!$EQ$4:INDEX(DropFilter!$EQ$4:$EQ$42,MAX(DropFilter!$EP$4:$EP$40)+2)</definedName>
    <definedName name="SUG_X">DropFilter!$EV$4:INDEX(DropFilter!$EV$4:$EV$42,MAX(DropFilter!$EU$4:$EU$40)+2)</definedName>
    <definedName name="SUG_Y">DropFilter!$FA$4:INDEX(DropFilter!$FA$4:$FA$42,MAX(DropFilter!$EZ$4:$EZ$40)+2)</definedName>
    <definedName name="SUG_Z">DropFilter!$FF$4:INDEX(DropFilter!$FF$4:$FF$42,MAX(DropFilter!$FE$4:$FE$40)+2)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width="13.7109375" customWidth="1" style="137" min="1" max="1"/>
    <col width="29.42578125" customWidth="1" style="137" min="2" max="2"/>
    <col width="9.140625" customWidth="1" style="137" min="3" max="3"/>
    <col width="9.42578125" customWidth="1" style="137" min="4" max="4"/>
    <col width="10" customWidth="1" style="137" min="5" max="5"/>
    <col width="12.42578125" customWidth="1" style="137" min="6" max="6"/>
    <col width="25" customWidth="1" style="137" min="7" max="7"/>
    <col width="15.5703125" customWidth="1" style="137" min="8" max="8"/>
    <col width="9.85546875" customWidth="1" style="137" min="9" max="9"/>
    <col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IF(OR(Y4="",Y4=0),H4*0.0118*CEILING((TODAY()-DATE(2026,8,22))/7,1),IF(DATE(VALUE(RIGHT(Y4,4)),VALUE(MID(Y4,4,2)),VALUE(LEFT(Y4,2)))&lt;=DATE(2026,8,24),0,H4*0.0118*CEILING((DATE(VALUE(RIGHT(Y4,4)),VALUE(MID(Y4,4,2)),VALUE(LEFT(Y4,2)))-DATE(2026,8,22))/7,1)))</f>
        <v/>
      </c>
      <c r="AA4" s="15" t="n"/>
      <c r="AB4" s="15" t="n"/>
      <c r="AC4" s="15">
        <f>U4+X4+AA4</f>
        <v/>
      </c>
      <c r="AD4" s="19">
        <f>S4-AC4</f>
        <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
      </c>
      <c r="J5" s="27">
        <f>+H5+I5</f>
        <v/>
      </c>
      <c r="K5" s="27">
        <f>ROUND((H5+I5)*2%,0)</f>
        <v/>
      </c>
      <c r="L5" s="28">
        <f>H5*0.1%</f>
        <v/>
      </c>
      <c r="M5" s="28">
        <f>H5*2.25%*118%</f>
        <v/>
      </c>
      <c r="N5" s="29">
        <f>H5*2.25%*2%</f>
        <v/>
      </c>
      <c r="O5" s="28">
        <f>M5-N5</f>
        <v/>
      </c>
      <c r="P5" s="28">
        <f>ROUND(O5+L5,0)</f>
        <v/>
      </c>
      <c r="Q5" s="30" t="n">
        <v>0</v>
      </c>
      <c r="R5" s="28">
        <f>ROUND(H5*Q5,0)</f>
        <v/>
      </c>
      <c r="S5" s="27">
        <f>ROUND(H5*117.65%-R5,0)</f>
        <v/>
      </c>
      <c r="T5" s="28">
        <f>ROUND(H5*25%,0)</f>
        <v/>
      </c>
      <c r="U5" s="31">
        <f>+T5</f>
        <v/>
      </c>
      <c r="V5" s="28" t="inlineStr">
        <is>
          <t>13.08.2026</t>
        </is>
      </c>
      <c r="W5" s="28">
        <f>ROUND(H5*92.65%-R5,0)</f>
        <v/>
      </c>
      <c r="X5" s="28" t="n">
        <v>145090</v>
      </c>
      <c r="Y5" s="28" t="inlineStr">
        <is>
          <t>24.08.2026</t>
        </is>
      </c>
      <c r="Z5" s="28">
        <f>IF(OR(Y5="",Y5=0),H5*0.0118*CEILING((TODAY()-DATE(2026,8,22))/7,1),IF(DATE(VALUE(RIGHT(Y5,4)),VALUE(MID(Y5,4,2)),VALUE(LEFT(Y5,2)))&lt;=DATE(2026,8,24),0,H5*0.0118*CEILING((DATE(VALUE(RIGHT(Y5,4)),VALUE(MID(Y5,4,2)),VALUE(LEFT(Y5,2)))-DATE(2026,8,22))/7,1)))</f>
        <v/>
      </c>
      <c r="AA5" s="28" t="n"/>
      <c r="AB5" s="28" t="n"/>
      <c r="AC5" s="15">
        <f>U5+X5+AA5</f>
        <v/>
      </c>
      <c r="AD5" s="19">
        <f>S5-AC5</f>
        <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IF(OR(Y6="",Y6=0),H6*0.0118*CEILING((TODAY()-DATE(2026,8,22))/7,1),IF(DATE(VALUE(RIGHT(Y6,4)),VALUE(MID(Y6,4,2)),VALUE(LEFT(Y6,2)))&lt;=DATE(2026,8,24),0,H6*0.0118*CEILING((DATE(VALUE(RIGHT(Y6,4)),VALUE(MID(Y6,4,2)),VALUE(LEFT(Y6,2)))-DATE(2026,8,22))/7,1)))</f>
        <v/>
      </c>
      <c r="AA6" s="28" t="n"/>
      <c r="AB6" s="28" t="n"/>
      <c r="AC6" s="15">
        <f>U6+X6+AA6</f>
        <v/>
      </c>
      <c r="AD6" s="19">
        <f>S6-AC6</f>
        <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
      </c>
      <c r="J7" s="27">
        <f>+H7+I7</f>
        <v/>
      </c>
      <c r="K7" s="27">
        <f>ROUND((H7+I7)*2%,0)</f>
        <v/>
      </c>
      <c r="L7" s="28">
        <f>H7*0.1%</f>
        <v/>
      </c>
      <c r="M7" s="28">
        <f>H7*2.25%*118%</f>
        <v/>
      </c>
      <c r="N7" s="29">
        <f>H7*2.25%*2%</f>
        <v/>
      </c>
      <c r="O7" s="28">
        <f>M7-N7</f>
        <v/>
      </c>
      <c r="P7" s="28">
        <f>ROUND(O7+L7,0)</f>
        <v/>
      </c>
      <c r="Q7" s="30" t="n">
        <v>0</v>
      </c>
      <c r="R7" s="28">
        <f>ROUND(H7*Q7,0)</f>
        <v/>
      </c>
      <c r="S7" s="27">
        <f>ROUND(H7*117.65%-R7,0)</f>
        <v/>
      </c>
      <c r="T7" s="28">
        <f>ROUND(H7*25%,0)</f>
        <v/>
      </c>
      <c r="U7" s="31" t="n">
        <v>49500</v>
      </c>
      <c r="V7" s="28" t="inlineStr">
        <is>
          <t>11.08.2026</t>
        </is>
      </c>
      <c r="W7" s="28">
        <f>ROUND(H7*92.65%-R7,0)</f>
        <v/>
      </c>
      <c r="X7" s="28">
        <f>+W7+R7-1</f>
        <v/>
      </c>
      <c r="Y7" s="28" t="inlineStr">
        <is>
          <t>20.08.2026</t>
        </is>
      </c>
      <c r="Z7" s="28">
        <f>IF(OR(Y7="",Y7=0),H7*0.0118*CEILING((TODAY()-DATE(2026,8,22))/7,1),IF(DATE(VALUE(RIGHT(Y7,4)),VALUE(MID(Y7,4,2)),VALUE(LEFT(Y7,2)))&lt;=DATE(2026,8,24),0,H7*0.0118*CEILING((DATE(VALUE(RIGHT(Y7,4)),VALUE(MID(Y7,4,2)),VALUE(LEFT(Y7,2)))-DATE(2026,8,22))/7,1)))</f>
        <v/>
      </c>
      <c r="AA7" s="28" t="n"/>
      <c r="AB7" s="28" t="n"/>
      <c r="AC7" s="15">
        <f>U7+X7+AA7</f>
        <v/>
      </c>
      <c r="AD7" s="19">
        <f>S7-AC7</f>
        <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IF(OR(Y8="",Y8=0),H8*0.0118*CEILING((TODAY()-DATE(2026,8,22))/7,1),IF(DATE(VALUE(RIGHT(Y8,4)),VALUE(MID(Y8,4,2)),VALUE(LEFT(Y8,2)))&lt;=DATE(2026,8,24),0,H8*0.0118*CEILING((DATE(VALUE(RIGHT(Y8,4)),VALUE(MID(Y8,4,2)),VALUE(LEFT(Y8,2)))-DATE(2026,8,22))/7,1)))</f>
        <v/>
      </c>
      <c r="AA8" s="28" t="n"/>
      <c r="AB8" s="28" t="n"/>
      <c r="AC8" s="15">
        <f>U8+X8+AA8</f>
        <v/>
      </c>
      <c r="AD8" s="19">
        <f>S8-AC8</f>
        <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
      </c>
      <c r="J9" s="27">
        <f>+H9+I9</f>
        <v/>
      </c>
      <c r="K9" s="27">
        <f>ROUND((H9+I9)*2%,0)</f>
        <v/>
      </c>
      <c r="L9" s="28">
        <f>H9*0.1%</f>
        <v/>
      </c>
      <c r="M9" s="28">
        <f>H9*2.25%*118%</f>
        <v/>
      </c>
      <c r="N9" s="29">
        <f>H9*2.25%*2%</f>
        <v/>
      </c>
      <c r="O9" s="28">
        <f>M9-N9</f>
        <v/>
      </c>
      <c r="P9" s="28">
        <f>ROUND(O9+L9,0)</f>
        <v/>
      </c>
      <c r="Q9" s="30" t="n">
        <v>0</v>
      </c>
      <c r="R9" s="28">
        <f>ROUND(H9*Q9,0)</f>
        <v/>
      </c>
      <c r="S9" s="27">
        <f>ROUND(H9*117.65%-R9,0)</f>
        <v/>
      </c>
      <c r="T9" s="28">
        <f>ROUND(H9*25%,0)</f>
        <v/>
      </c>
      <c r="U9" s="31">
        <f>+T9</f>
        <v/>
      </c>
      <c r="V9" s="28" t="inlineStr">
        <is>
          <t>13.08.2026</t>
        </is>
      </c>
      <c r="W9" s="28">
        <f>ROUND(H9*92.65%-R9,0)</f>
        <v/>
      </c>
      <c r="X9" s="28" t="n">
        <v>2582447.09429161</v>
      </c>
      <c r="Y9" s="28" t="inlineStr">
        <is>
          <t>13.08.2026</t>
        </is>
      </c>
      <c r="Z9" s="28">
        <f>IF(OR(Y9="",Y9=0),H9*0.0118*CEILING((TODAY()-DATE(2026,8,22))/7,1),IF(DATE(VALUE(RIGHT(Y9,4)),VALUE(MID(Y9,4,2)),VALUE(LEFT(Y9,2)))&lt;=DATE(2026,8,24),0,H9*0.0118*CEILING((DATE(VALUE(RIGHT(Y9,4)),VALUE(MID(Y9,4,2)),VALUE(LEFT(Y9,2)))-DATE(2026,8,22))/7,1)))</f>
        <v/>
      </c>
      <c r="AA9" s="28" t="n"/>
      <c r="AB9" s="28" t="n"/>
      <c r="AC9" s="15">
        <f>U9+X9+AA9</f>
        <v/>
      </c>
      <c r="AD9" s="19">
        <f>S9-AC9</f>
        <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IF(OR(Y10="",Y10=0),H10*0.0118*CEILING((TODAY()-DATE(2026,8,22))/7,1),IF(DATE(VALUE(RIGHT(Y10,4)),VALUE(MID(Y10,4,2)),VALUE(LEFT(Y10,2)))&lt;=DATE(2026,8,24),0,H10*0.0118*CEILING((DATE(VALUE(RIGHT(Y10,4)),VALUE(MID(Y10,4,2)),VALUE(LEFT(Y10,2)))-DATE(2026,8,22))/7,1)))</f>
        <v/>
      </c>
      <c r="AA10" s="28" t="n"/>
      <c r="AB10" s="28" t="n"/>
      <c r="AC10" s="15">
        <f>U10+X10+AA10</f>
        <v/>
      </c>
      <c r="AD10" s="19">
        <f>S10-AC10</f>
        <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
      </c>
      <c r="J11" s="27">
        <f>+H11+I11</f>
        <v/>
      </c>
      <c r="K11" s="27">
        <f>ROUND((H11+I11)*2%,0)</f>
        <v/>
      </c>
      <c r="L11" s="28">
        <f>H11*0.1%</f>
        <v/>
      </c>
      <c r="M11" s="28">
        <f>H11*2.25%*118%</f>
        <v/>
      </c>
      <c r="N11" s="29">
        <f>H11*2.25%*2%</f>
        <v/>
      </c>
      <c r="O11" s="28">
        <f>M11-N11</f>
        <v/>
      </c>
      <c r="P11" s="28">
        <f>ROUND(O11+L11,0)</f>
        <v/>
      </c>
      <c r="Q11" s="30" t="n">
        <v>0</v>
      </c>
      <c r="R11" s="28">
        <f>ROUND(H11*Q11,0)</f>
        <v/>
      </c>
      <c r="S11" s="27">
        <f>ROUND(H11*117.65%-R11,0)</f>
        <v/>
      </c>
      <c r="T11" s="28">
        <f>ROUND(H11*25%,0)</f>
        <v/>
      </c>
      <c r="U11" s="31">
        <f>+T11</f>
        <v/>
      </c>
      <c r="V11" s="28" t="inlineStr">
        <is>
          <t>13.08.2026</t>
        </is>
      </c>
      <c r="W11" s="28">
        <f>ROUND(H11*92.65%-R11,0)</f>
        <v/>
      </c>
      <c r="X11" s="28" t="n">
        <v>60229</v>
      </c>
      <c r="Y11" s="28" t="inlineStr">
        <is>
          <t>24.08.2026</t>
        </is>
      </c>
      <c r="Z11" s="28">
        <f>IF(OR(Y11="",Y11=0),H11*0.0118*CEILING((TODAY()-DATE(2026,8,22))/7,1),IF(DATE(VALUE(RIGHT(Y11,4)),VALUE(MID(Y11,4,2)),VALUE(LEFT(Y11,2)))&lt;=DATE(2026,8,24),0,H11*0.0118*CEILING((DATE(VALUE(RIGHT(Y11,4)),VALUE(MID(Y11,4,2)),VALUE(LEFT(Y11,2)))-DATE(2026,8,22))/7,1)))</f>
        <v/>
      </c>
      <c r="AA11" s="28" t="n"/>
      <c r="AB11" s="28" t="n"/>
      <c r="AC11" s="15">
        <f>U11+X11+AA11</f>
        <v/>
      </c>
      <c r="AD11" s="19">
        <f>S11-AC11</f>
        <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IF(OR(Y12="",Y12=0),H12*0.0118*CEILING((TODAY()-DATE(2026,8,22))/7,1),IF(DATE(VALUE(RIGHT(Y12,4)),VALUE(MID(Y12,4,2)),VALUE(LEFT(Y12,2)))&lt;=DATE(2026,8,24),0,H12*0.0118*CEILING((DATE(VALUE(RIGHT(Y12,4)),VALUE(MID(Y12,4,2)),VALUE(LEFT(Y12,2)))-DATE(2026,8,22))/7,1)))</f>
        <v/>
      </c>
      <c r="AA12" s="28" t="n"/>
      <c r="AB12" s="28" t="n"/>
      <c r="AC12" s="15">
        <f>U12+X12+AA12</f>
        <v/>
      </c>
      <c r="AD12" s="19">
        <f>S12-AC12</f>
        <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
      </c>
      <c r="J13" s="27">
        <f>+H13+I13</f>
        <v/>
      </c>
      <c r="K13" s="27">
        <f>ROUND((H13+I13)*2%,0)</f>
        <v/>
      </c>
      <c r="L13" s="28">
        <f>H13*0.1%</f>
        <v/>
      </c>
      <c r="M13" s="28">
        <f>H13*2.25%*118%</f>
        <v/>
      </c>
      <c r="N13" s="29">
        <f>H13*2.25%*2%</f>
        <v/>
      </c>
      <c r="O13" s="28">
        <f>M13-N13</f>
        <v/>
      </c>
      <c r="P13" s="28">
        <f>ROUND(O13+L13,0)</f>
        <v/>
      </c>
      <c r="Q13" s="30" t="n">
        <v>0</v>
      </c>
      <c r="R13" s="28">
        <f>ROUND(H13*Q13,0)</f>
        <v/>
      </c>
      <c r="S13" s="27">
        <f>ROUND(H13*117.65%-R13,0)</f>
        <v/>
      </c>
      <c r="T13" s="28">
        <f>ROUND(H13*25%,0)</f>
        <v/>
      </c>
      <c r="U13" s="31" t="n">
        <v>4375</v>
      </c>
      <c r="V13" s="28" t="inlineStr">
        <is>
          <t>11.08.2026</t>
        </is>
      </c>
      <c r="W13" s="28">
        <f>ROUND(H13*92.65%-R13,0)</f>
        <v/>
      </c>
      <c r="X13" s="28" t="n">
        <v>16214</v>
      </c>
      <c r="Y13" s="28" t="inlineStr">
        <is>
          <t>11.08.2026</t>
        </is>
      </c>
      <c r="Z13" s="28">
        <f>IF(OR(Y13="",Y13=0),H13*0.0118*CEILING((TODAY()-DATE(2026,8,22))/7,1),IF(DATE(VALUE(RIGHT(Y13,4)),VALUE(MID(Y13,4,2)),VALUE(LEFT(Y13,2)))&lt;=DATE(2026,8,24),0,H13*0.0118*CEILING((DATE(VALUE(RIGHT(Y13,4)),VALUE(MID(Y13,4,2)),VALUE(LEFT(Y13,2)))-DATE(2026,8,22))/7,1)))</f>
        <v/>
      </c>
      <c r="AA13" s="28" t="n"/>
      <c r="AB13" s="28" t="n"/>
      <c r="AC13" s="15">
        <f>U13+X13+AA13</f>
        <v/>
      </c>
      <c r="AD13" s="19">
        <f>S13-AC13</f>
        <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IF(OR(Y14="",Y14=0),H14*0.0118*CEILING((TODAY()-DATE(2026,8,22))/7,1),IF(DATE(VALUE(RIGHT(Y14,4)),VALUE(MID(Y14,4,2)),VALUE(LEFT(Y14,2)))&lt;=DATE(2026,8,24),0,H14*0.0118*CEILING((DATE(VALUE(RIGHT(Y14,4)),VALUE(MID(Y14,4,2)),VALUE(LEFT(Y14,2)))-DATE(2026,8,22))/7,1)))</f>
        <v/>
      </c>
      <c r="AA14" s="28" t="n"/>
      <c r="AB14" s="28" t="n"/>
      <c r="AC14" s="15">
        <f>U14+X14+AA14</f>
        <v/>
      </c>
      <c r="AD14" s="19">
        <f>S14-AC14</f>
        <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
      </c>
      <c r="J15" s="27">
        <f>+H15+I15</f>
        <v/>
      </c>
      <c r="K15" s="27">
        <f>ROUND((H15+I15)*2%,0)</f>
        <v/>
      </c>
      <c r="L15" s="28">
        <f>H15*0.1%</f>
        <v/>
      </c>
      <c r="M15" s="28">
        <f>H15*2.25%*118%</f>
        <v/>
      </c>
      <c r="N15" s="29">
        <f>H15*2.25%*2%</f>
        <v/>
      </c>
      <c r="O15" s="28">
        <f>M15-N15</f>
        <v/>
      </c>
      <c r="P15" s="28">
        <f>ROUND(O15+L15,0)</f>
        <v/>
      </c>
      <c r="Q15" s="30" t="n">
        <v>0</v>
      </c>
      <c r="R15" s="28">
        <f>ROUND(H15*Q15,0)</f>
        <v/>
      </c>
      <c r="S15" s="27">
        <f>ROUND(H15*117.65%-R15,0)</f>
        <v/>
      </c>
      <c r="T15" s="28">
        <f>ROUND(H15*25%,0)</f>
        <v/>
      </c>
      <c r="U15" s="31" t="n">
        <v>33938</v>
      </c>
      <c r="V15" s="28" t="inlineStr">
        <is>
          <t>14.08.2026</t>
        </is>
      </c>
      <c r="W15" s="28">
        <f>ROUND(H15*92.65%-R15,0)</f>
        <v/>
      </c>
      <c r="X15" s="28" t="n">
        <v>125772</v>
      </c>
      <c r="Y15" s="28" t="inlineStr">
        <is>
          <t>18.08.2026</t>
        </is>
      </c>
      <c r="Z15" s="28">
        <f>IF(OR(Y15="",Y15=0),H15*0.0118*CEILING((TODAY()-DATE(2026,8,22))/7,1),IF(DATE(VALUE(RIGHT(Y15,4)),VALUE(MID(Y15,4,2)),VALUE(LEFT(Y15,2)))&lt;=DATE(2026,8,24),0,H15*0.0118*CEILING((DATE(VALUE(RIGHT(Y15,4)),VALUE(MID(Y15,4,2)),VALUE(LEFT(Y15,2)))-DATE(2026,8,22))/7,1)))</f>
        <v/>
      </c>
      <c r="AA15" s="28" t="n"/>
      <c r="AB15" s="28" t="n"/>
      <c r="AC15" s="15">
        <f>U15+X15+AA15</f>
        <v/>
      </c>
      <c r="AD15" s="19">
        <f>S15-AC15</f>
        <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IF(OR(Y16="",Y16=0),H16*0.0118*CEILING((TODAY()-DATE(2026,8,22))/7,1),IF(DATE(VALUE(RIGHT(Y16,4)),VALUE(MID(Y16,4,2)),VALUE(LEFT(Y16,2)))&lt;=DATE(2026,8,24),0,H16*0.0118*CEILING((DATE(VALUE(RIGHT(Y16,4)),VALUE(MID(Y16,4,2)),VALUE(LEFT(Y16,2)))-DATE(2026,8,22))/7,1)))</f>
        <v/>
      </c>
      <c r="AA16" s="28" t="n"/>
      <c r="AB16" s="28" t="n"/>
      <c r="AC16" s="15">
        <f>U16+X16+AA16</f>
        <v/>
      </c>
      <c r="AD16" s="19">
        <f>S16-AC16</f>
        <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
      </c>
      <c r="J17" s="27">
        <f>+H17+I17</f>
        <v/>
      </c>
      <c r="K17" s="27">
        <f>ROUND((H17+I17)*2%,0)</f>
        <v/>
      </c>
      <c r="L17" s="28">
        <f>H17*0.1%</f>
        <v/>
      </c>
      <c r="M17" s="28">
        <f>H17*2.25%*118%</f>
        <v/>
      </c>
      <c r="N17" s="29">
        <f>H17*2.25%*2%</f>
        <v/>
      </c>
      <c r="O17" s="28">
        <f>M17-N17</f>
        <v/>
      </c>
      <c r="P17" s="28">
        <f>ROUND(O17+L17,0)</f>
        <v/>
      </c>
      <c r="Q17" s="30" t="n">
        <v>0</v>
      </c>
      <c r="R17" s="28">
        <f>ROUND(H17*Q17,0)</f>
        <v/>
      </c>
      <c r="S17" s="27">
        <f>ROUND(H17*117.65%-R17,0)</f>
        <v/>
      </c>
      <c r="T17" s="28">
        <f>ROUND(H17*25%,0)</f>
        <v/>
      </c>
      <c r="U17" s="31" t="n">
        <v>17750</v>
      </c>
      <c r="V17" s="28" t="inlineStr">
        <is>
          <t>11.08.2026</t>
        </is>
      </c>
      <c r="W17" s="28">
        <f>ROUND(H17*92.65%-R17,0)</f>
        <v/>
      </c>
      <c r="X17" s="28">
        <f>+W17</f>
        <v/>
      </c>
      <c r="Y17" s="28" t="inlineStr">
        <is>
          <t>11.08.2026</t>
        </is>
      </c>
      <c r="Z17" s="28">
        <f>IF(OR(Y17="",Y17=0),H17*0.0118*CEILING((TODAY()-DATE(2026,8,22))/7,1),IF(DATE(VALUE(RIGHT(Y17,4)),VALUE(MID(Y17,4,2)),VALUE(LEFT(Y17,2)))&lt;=DATE(2026,8,24),0,H17*0.0118*CEILING((DATE(VALUE(RIGHT(Y17,4)),VALUE(MID(Y17,4,2)),VALUE(LEFT(Y17,2)))-DATE(2026,8,22))/7,1)))</f>
        <v/>
      </c>
      <c r="AA17" s="28" t="n"/>
      <c r="AB17" s="28" t="n"/>
      <c r="AC17" s="15">
        <f>U17+X17+AA17</f>
        <v/>
      </c>
      <c r="AD17" s="19">
        <f>S17-AC17</f>
        <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IF(OR(Y18="",Y18=0),H18*0.0118*CEILING((TODAY()-DATE(2026,8,22))/7,1),IF(DATE(VALUE(RIGHT(Y18,4)),VALUE(MID(Y18,4,2)),VALUE(LEFT(Y18,2)))&lt;=DATE(2026,8,24),0,H18*0.0118*CEILING((DATE(VALUE(RIGHT(Y18,4)),VALUE(MID(Y18,4,2)),VALUE(LEFT(Y18,2)))-DATE(2026,8,22))/7,1)))</f>
        <v/>
      </c>
      <c r="AA18" s="28" t="n"/>
      <c r="AB18" s="28" t="n"/>
      <c r="AC18" s="15">
        <f>U18+X18+AA18</f>
        <v/>
      </c>
      <c r="AD18" s="19">
        <f>S18-AC18</f>
        <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
      </c>
      <c r="J19" s="27">
        <f>+H19+I19</f>
        <v/>
      </c>
      <c r="K19" s="27">
        <f>ROUND((H19+I19)*2%,0)</f>
        <v/>
      </c>
      <c r="L19" s="28">
        <f>H19*0.1%</f>
        <v/>
      </c>
      <c r="M19" s="28">
        <f>H19*2.25%*118%</f>
        <v/>
      </c>
      <c r="N19" s="29">
        <f>H19*2.25%*2%</f>
        <v/>
      </c>
      <c r="O19" s="28">
        <f>M19-N19</f>
        <v/>
      </c>
      <c r="P19" s="28">
        <f>ROUND(O19+L19,0)</f>
        <v/>
      </c>
      <c r="Q19" s="30" t="n">
        <v>0</v>
      </c>
      <c r="R19" s="28">
        <f>ROUND(H19*Q19,0)</f>
        <v/>
      </c>
      <c r="S19" s="27">
        <f>ROUND(H19*117.65%-R19,0)</f>
        <v/>
      </c>
      <c r="T19" s="28">
        <f>ROUND(H19*25%,0)</f>
        <v/>
      </c>
      <c r="U19" s="31">
        <f>+T19</f>
        <v/>
      </c>
      <c r="V19" s="28" t="inlineStr">
        <is>
          <t>13.08.2026</t>
        </is>
      </c>
      <c r="W19" s="28">
        <f>ROUND(H19*92.65%-R19,0)</f>
        <v/>
      </c>
      <c r="X19" s="28" t="n">
        <v>194566</v>
      </c>
      <c r="Y19" s="28" t="inlineStr">
        <is>
          <t>24.08.2026</t>
        </is>
      </c>
      <c r="Z19" s="28">
        <f>IF(OR(Y19="",Y19=0),H19*0.0118*CEILING((TODAY()-DATE(2026,8,22))/7,1),IF(DATE(VALUE(RIGHT(Y19,4)),VALUE(MID(Y19,4,2)),VALUE(LEFT(Y19,2)))&lt;=DATE(2026,8,24),0,H19*0.0118*CEILING((DATE(VALUE(RIGHT(Y19,4)),VALUE(MID(Y19,4,2)),VALUE(LEFT(Y19,2)))-DATE(2026,8,22))/7,1)))</f>
        <v/>
      </c>
      <c r="AA19" s="28" t="n"/>
      <c r="AB19" s="28" t="n"/>
      <c r="AC19" s="15">
        <f>U19+X19+AA19</f>
        <v/>
      </c>
      <c r="AD19" s="19">
        <f>S19-AC19</f>
        <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IF(OR(Y20="",Y20=0),H20*0.0118*CEILING((TODAY()-DATE(2026,8,22))/7,1),IF(DATE(VALUE(RIGHT(Y20,4)),VALUE(MID(Y20,4,2)),VALUE(LEFT(Y20,2)))&lt;=DATE(2026,8,24),0,H20*0.0118*CEILING((DATE(VALUE(RIGHT(Y20,4)),VALUE(MID(Y20,4,2)),VALUE(LEFT(Y20,2)))-DATE(2026,8,22))/7,1)))</f>
        <v/>
      </c>
      <c r="AA20" s="28" t="n"/>
      <c r="AB20" s="28" t="n"/>
      <c r="AC20" s="15">
        <f>U20+X20+AA20</f>
        <v/>
      </c>
      <c r="AD20" s="19">
        <f>S20-AC20</f>
        <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
      </c>
      <c r="J21" s="27">
        <f>+H21+I21</f>
        <v/>
      </c>
      <c r="K21" s="27">
        <f>ROUND((H21+I21)*2%,0)</f>
        <v/>
      </c>
      <c r="L21" s="28">
        <f>H21*0.1%</f>
        <v/>
      </c>
      <c r="M21" s="28">
        <f>H21*2.25%*118%</f>
        <v/>
      </c>
      <c r="N21" s="29">
        <f>H21*2.25%*2%</f>
        <v/>
      </c>
      <c r="O21" s="28">
        <f>M21-N21</f>
        <v/>
      </c>
      <c r="P21" s="28">
        <f>ROUND(O21+L21,0)</f>
        <v/>
      </c>
      <c r="Q21" s="30" t="n">
        <v>0</v>
      </c>
      <c r="R21" s="28">
        <f>ROUND(H21*Q21,0)</f>
        <v/>
      </c>
      <c r="S21" s="27">
        <f>ROUND(H21*117.65%-R21,0)</f>
        <v/>
      </c>
      <c r="T21" s="28">
        <f>ROUND(H21*25%,0)</f>
        <v/>
      </c>
      <c r="U21" s="31">
        <f>+T21</f>
        <v/>
      </c>
      <c r="V21" s="28" t="inlineStr">
        <is>
          <t>14.08.2026</t>
        </is>
      </c>
      <c r="W21" s="28">
        <f>ROUND(H21*92.65%-R21,0)</f>
        <v/>
      </c>
      <c r="X21" s="28" t="n">
        <v>306301</v>
      </c>
      <c r="Y21" s="28" t="inlineStr">
        <is>
          <t>21.08.2026</t>
        </is>
      </c>
      <c r="Z21" s="28">
        <f>IF(OR(Y21="",Y21=0),H21*0.0118*CEILING((TODAY()-DATE(2026,8,22))/7,1),IF(DATE(VALUE(RIGHT(Y21,4)),VALUE(MID(Y21,4,2)),VALUE(LEFT(Y21,2)))&lt;=DATE(2026,8,24),0,H21*0.0118*CEILING((DATE(VALUE(RIGHT(Y21,4)),VALUE(MID(Y21,4,2)),VALUE(LEFT(Y21,2)))-DATE(2026,8,22))/7,1)))</f>
        <v/>
      </c>
      <c r="AA21" s="28" t="n"/>
      <c r="AB21" s="28" t="n"/>
      <c r="AC21" s="15">
        <f>U21+X21+AA21</f>
        <v/>
      </c>
      <c r="AD21" s="19">
        <f>S21-AC21</f>
        <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IF(OR(Y22="",Y22=0),H22*0.0118*CEILING((TODAY()-DATE(2026,8,22))/7,1),IF(DATE(VALUE(RIGHT(Y22,4)),VALUE(MID(Y22,4,2)),VALUE(LEFT(Y22,2)))&lt;=DATE(2026,8,24),0,H22*0.0118*CEILING((DATE(VALUE(RIGHT(Y22,4)),VALUE(MID(Y22,4,2)),VALUE(LEFT(Y22,2)))-DATE(2026,8,22))/7,1)))</f>
        <v/>
      </c>
      <c r="AA22" s="28" t="n"/>
      <c r="AB22" s="28" t="n"/>
      <c r="AC22" s="15">
        <f>U22+X22+AA22</f>
        <v/>
      </c>
      <c r="AD22" s="19">
        <f>S22-AC22</f>
        <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
      </c>
      <c r="J23" s="27">
        <f>+H23+I23</f>
        <v/>
      </c>
      <c r="K23" s="27">
        <f>ROUND((H23+I23)*2%,0)</f>
        <v/>
      </c>
      <c r="L23" s="28">
        <f>H23*0.1%</f>
        <v/>
      </c>
      <c r="M23" s="28">
        <f>H23*2.25%*118%</f>
        <v/>
      </c>
      <c r="N23" s="29">
        <f>H23*2.25%*2%</f>
        <v/>
      </c>
      <c r="O23" s="28">
        <f>M23-N23</f>
        <v/>
      </c>
      <c r="P23" s="28">
        <f>ROUND(O23+L23,0)</f>
        <v/>
      </c>
      <c r="Q23" s="30" t="n">
        <v>0</v>
      </c>
      <c r="R23" s="28">
        <f>ROUND(H23*Q23,0)</f>
        <v/>
      </c>
      <c r="S23" s="27">
        <f>ROUND(H23*117.65%-R23,0)</f>
        <v/>
      </c>
      <c r="T23" s="28">
        <f>ROUND(H23*25%,0)</f>
        <v/>
      </c>
      <c r="U23" s="31" t="n">
        <v>15750</v>
      </c>
      <c r="V23" s="28" t="inlineStr">
        <is>
          <t>11.08.2026</t>
        </is>
      </c>
      <c r="W23" s="28">
        <f>ROUND(H23*92.65%-R23,0)</f>
        <v/>
      </c>
      <c r="X23" s="28" t="n">
        <v>58418</v>
      </c>
      <c r="Y23" s="28" t="inlineStr">
        <is>
          <t>11.08.2026</t>
        </is>
      </c>
      <c r="Z23" s="28">
        <f>IF(OR(Y23="",Y23=0),H23*0.0118*CEILING((TODAY()-DATE(2026,8,22))/7,1),IF(DATE(VALUE(RIGHT(Y23,4)),VALUE(MID(Y23,4,2)),VALUE(LEFT(Y23,2)))&lt;=DATE(2026,8,24),0,H23*0.0118*CEILING((DATE(VALUE(RIGHT(Y23,4)),VALUE(MID(Y23,4,2)),VALUE(LEFT(Y23,2)))-DATE(2026,8,22))/7,1)))</f>
        <v/>
      </c>
      <c r="AA23" s="28" t="n"/>
      <c r="AB23" s="28" t="n"/>
      <c r="AC23" s="15">
        <f>U23+X23+AA23</f>
        <v/>
      </c>
      <c r="AD23" s="19">
        <f>S23-AC23</f>
        <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IF(OR(Y24="",Y24=0),H24*0.0118*CEILING((TODAY()-DATE(2026,8,22))/7,1),IF(DATE(VALUE(RIGHT(Y24,4)),VALUE(MID(Y24,4,2)),VALUE(LEFT(Y24,2)))&lt;=DATE(2026,8,24),0,H24*0.0118*CEILING((DATE(VALUE(RIGHT(Y24,4)),VALUE(MID(Y24,4,2)),VALUE(LEFT(Y24,2)))-DATE(2026,8,22))/7,1)))</f>
        <v/>
      </c>
      <c r="AA24" s="28" t="n"/>
      <c r="AB24" s="28" t="n"/>
      <c r="AC24" s="15">
        <f>U24+X24+AA24</f>
        <v/>
      </c>
      <c r="AD24" s="19">
        <f>S24-AC24</f>
        <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
      </c>
      <c r="J25" s="27">
        <f>+H25+I25</f>
        <v/>
      </c>
      <c r="K25" s="27">
        <f>ROUND((H25+I25)*2%,0)</f>
        <v/>
      </c>
      <c r="L25" s="28">
        <f>H25*0.1%</f>
        <v/>
      </c>
      <c r="M25" s="28">
        <f>H25*2.25%*118%</f>
        <v/>
      </c>
      <c r="N25" s="29">
        <f>H25*2.25%*2%</f>
        <v/>
      </c>
      <c r="O25" s="28">
        <f>M25-N25</f>
        <v/>
      </c>
      <c r="P25" s="28">
        <f>ROUND(O25+L25,0)</f>
        <v/>
      </c>
      <c r="Q25" s="30" t="n">
        <v>0</v>
      </c>
      <c r="R25" s="28">
        <f>ROUND(H25*Q25,0)</f>
        <v/>
      </c>
      <c r="S25" s="27">
        <f>ROUND(H25*117.65%-R25,0)</f>
        <v/>
      </c>
      <c r="T25" s="28">
        <f>ROUND(H25*25%,0)</f>
        <v/>
      </c>
      <c r="U25" s="31" t="n">
        <v>129250</v>
      </c>
      <c r="V25" s="28" t="inlineStr">
        <is>
          <t>14.08.2026</t>
        </is>
      </c>
      <c r="W25" s="28">
        <f>ROUND(H25*92.65%-R25,0)</f>
        <v/>
      </c>
      <c r="X25" s="28" t="n">
        <v>479001</v>
      </c>
      <c r="Y25" s="28" t="inlineStr">
        <is>
          <t>21.08.2026</t>
        </is>
      </c>
      <c r="Z25" s="28">
        <f>IF(OR(Y25="",Y25=0),H25*0.0118*CEILING((TODAY()-DATE(2026,8,22))/7,1),IF(DATE(VALUE(RIGHT(Y25,4)),VALUE(MID(Y25,4,2)),VALUE(LEFT(Y25,2)))&lt;=DATE(2026,8,24),0,H25*0.0118*CEILING((DATE(VALUE(RIGHT(Y25,4)),VALUE(MID(Y25,4,2)),VALUE(LEFT(Y25,2)))-DATE(2026,8,22))/7,1)))</f>
        <v/>
      </c>
      <c r="AA25" s="28" t="n"/>
      <c r="AB25" s="28" t="n"/>
      <c r="AC25" s="15">
        <f>U25+X25+AA25</f>
        <v/>
      </c>
      <c r="AD25" s="19">
        <f>S25-AC25</f>
        <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IF(OR(Y26="",Y26=0),H26*0.0118*CEILING((TODAY()-DATE(2026,8,22))/7,1),IF(DATE(VALUE(RIGHT(Y26,4)),VALUE(MID(Y26,4,2)),VALUE(LEFT(Y26,2)))&lt;=DATE(2026,8,24),0,H26*0.0118*CEILING((DATE(VALUE(RIGHT(Y26,4)),VALUE(MID(Y26,4,2)),VALUE(LEFT(Y26,2)))-DATE(2026,8,22))/7,1)))</f>
        <v/>
      </c>
      <c r="AA26" s="28" t="n"/>
      <c r="AB26" s="28" t="n"/>
      <c r="AC26" s="15">
        <f>U26+X26+AA26</f>
        <v/>
      </c>
      <c r="AD26" s="19">
        <f>S26-AC26</f>
        <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
      </c>
      <c r="J27" s="27">
        <f>+H27+I27</f>
        <v/>
      </c>
      <c r="K27" s="27">
        <f>ROUND((H27+I27)*2%,0)</f>
        <v/>
      </c>
      <c r="L27" s="28">
        <f>H27*0.1%</f>
        <v/>
      </c>
      <c r="M27" s="28">
        <f>H27*2.25%*118%</f>
        <v/>
      </c>
      <c r="N27" s="29">
        <f>H27*2.25%*2%</f>
        <v/>
      </c>
      <c r="O27" s="28">
        <f>M27-N27</f>
        <v/>
      </c>
      <c r="P27" s="28">
        <f>ROUND(O27+L27,0)</f>
        <v/>
      </c>
      <c r="Q27" s="30" t="n">
        <v>0.02</v>
      </c>
      <c r="R27" s="28">
        <f>ROUND(H27*Q27,0)</f>
        <v/>
      </c>
      <c r="S27" s="27">
        <f>ROUND(H27*117.65%-R27,0)</f>
        <v/>
      </c>
      <c r="T27" s="28">
        <f>ROUND(H27*25%,0)</f>
        <v/>
      </c>
      <c r="U27" s="31" t="n">
        <v>137350</v>
      </c>
      <c r="V27" s="28" t="inlineStr">
        <is>
          <t>14.08.2026</t>
        </is>
      </c>
      <c r="W27" s="28">
        <f>ROUND(H27*92.65%-R27,0)</f>
        <v/>
      </c>
      <c r="X27" s="28" t="n"/>
      <c r="Y27" s="28" t="n">
        <v>0</v>
      </c>
      <c r="Z27" s="28">
        <f>IF(OR(Y27="",Y27=0),H27*0.0118*CEILING((TODAY()-DATE(2026,8,22))/7,1),IF(DATE(VALUE(RIGHT(Y27,4)),VALUE(MID(Y27,4,2)),VALUE(LEFT(Y27,2)))&lt;=DATE(2026,8,24),0,H27*0.0118*CEILING((DATE(VALUE(RIGHT(Y27,4)),VALUE(MID(Y27,4,2)),VALUE(LEFT(Y27,2)))-DATE(2026,8,22))/7,1)))</f>
        <v/>
      </c>
      <c r="AA27" s="28" t="n"/>
      <c r="AB27" s="28" t="n"/>
      <c r="AC27" s="15">
        <f>U27+X27+AA27</f>
        <v/>
      </c>
      <c r="AD27" s="19">
        <f>S27-AC27</f>
        <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IF(OR(Y28="",Y28=0),H28*0.0118*CEILING((TODAY()-DATE(2026,8,22))/7,1),IF(DATE(VALUE(RIGHT(Y28,4)),VALUE(MID(Y28,4,2)),VALUE(LEFT(Y28,2)))&lt;=DATE(2026,8,24),0,H28*0.0118*CEILING((DATE(VALUE(RIGHT(Y28,4)),VALUE(MID(Y28,4,2)),VALUE(LEFT(Y28,2)))-DATE(2026,8,22))/7,1)))</f>
        <v/>
      </c>
      <c r="AA28" s="28" t="n"/>
      <c r="AB28" s="28" t="n"/>
      <c r="AC28" s="15">
        <f>U28+X28+AA28</f>
        <v/>
      </c>
      <c r="AD28" s="19">
        <f>S28-AC28</f>
        <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
      </c>
      <c r="J29" s="27">
        <f>+H29+I29</f>
        <v/>
      </c>
      <c r="K29" s="27">
        <f>ROUND((H29+I29)*2%,0)</f>
        <v/>
      </c>
      <c r="L29" s="28">
        <f>H29*0.1%</f>
        <v/>
      </c>
      <c r="M29" s="28">
        <f>H29*2.25%*118%</f>
        <v/>
      </c>
      <c r="N29" s="29">
        <f>H29*2.25%*2%</f>
        <v/>
      </c>
      <c r="O29" s="28">
        <f>M29-N29</f>
        <v/>
      </c>
      <c r="P29" s="28">
        <f>ROUND(O29+L29,0)</f>
        <v/>
      </c>
      <c r="Q29" s="30" t="n">
        <v>0</v>
      </c>
      <c r="R29" s="28">
        <f>ROUND(H29*Q29,0)</f>
        <v/>
      </c>
      <c r="S29" s="27">
        <f>ROUND(H29*117.65%-R29,0)</f>
        <v/>
      </c>
      <c r="T29" s="28">
        <f>ROUND(H29*25%,0)</f>
        <v/>
      </c>
      <c r="U29" s="31" t="n">
        <v>67502</v>
      </c>
      <c r="V29" s="28" t="inlineStr">
        <is>
          <t>11.08.2026</t>
        </is>
      </c>
      <c r="W29" s="28">
        <f>ROUND(H29*92.65%-R29,0)</f>
        <v/>
      </c>
      <c r="X29" s="28" t="n"/>
      <c r="Y29" s="28" t="n">
        <v>0</v>
      </c>
      <c r="Z29" s="28">
        <f>IF(OR(Y29="",Y29=0),H29*0.0118*CEILING((TODAY()-DATE(2026,8,22))/7,1),IF(DATE(VALUE(RIGHT(Y29,4)),VALUE(MID(Y29,4,2)),VALUE(LEFT(Y29,2)))&lt;=DATE(2026,8,24),0,H29*0.0118*CEILING((DATE(VALUE(RIGHT(Y29,4)),VALUE(MID(Y29,4,2)),VALUE(LEFT(Y29,2)))-DATE(2026,8,22))/7,1)))</f>
        <v/>
      </c>
      <c r="AA29" s="28" t="n"/>
      <c r="AB29" s="28" t="n"/>
      <c r="AC29" s="15">
        <f>U29+X29+AA29</f>
        <v/>
      </c>
      <c r="AD29" s="19">
        <f>S29-AC29</f>
        <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IF(OR(Y30="",Y30=0),H30*0.0118*CEILING((TODAY()-DATE(2026,8,22))/7,1),IF(DATE(VALUE(RIGHT(Y30,4)),VALUE(MID(Y30,4,2)),VALUE(LEFT(Y30,2)))&lt;=DATE(2026,8,24),0,H30*0.0118*CEILING((DATE(VALUE(RIGHT(Y30,4)),VALUE(MID(Y30,4,2)),VALUE(LEFT(Y30,2)))-DATE(2026,8,22))/7,1)))</f>
        <v/>
      </c>
      <c r="AA30" s="28" t="n"/>
      <c r="AB30" s="28" t="n"/>
      <c r="AC30" s="15">
        <f>U30+X30+AA30</f>
        <v/>
      </c>
      <c r="AD30" s="19">
        <f>S30-AC30</f>
        <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
      </c>
      <c r="J31" s="27">
        <f>+H31+I31</f>
        <v/>
      </c>
      <c r="K31" s="27">
        <f>ROUND((H31+I31)*2%,0)</f>
        <v/>
      </c>
      <c r="L31" s="28">
        <f>H31*0.1%</f>
        <v/>
      </c>
      <c r="M31" s="28">
        <f>H31*2.25%*118%</f>
        <v/>
      </c>
      <c r="N31" s="29">
        <f>H31*2.25%*2%</f>
        <v/>
      </c>
      <c r="O31" s="28">
        <f>M31-N31</f>
        <v/>
      </c>
      <c r="P31" s="28">
        <f>ROUND(O31+L31,0)</f>
        <v/>
      </c>
      <c r="Q31" s="30" t="n">
        <v>0</v>
      </c>
      <c r="R31" s="28">
        <f>ROUND(H31*Q31,0)</f>
        <v/>
      </c>
      <c r="S31" s="27">
        <f>ROUND(H31*117.65%-R31,0)</f>
        <v/>
      </c>
      <c r="T31" s="28">
        <f>ROUND(H31*25%,0)</f>
        <v/>
      </c>
      <c r="U31" s="31" t="n">
        <v>51758</v>
      </c>
      <c r="V31" s="28" t="inlineStr">
        <is>
          <t>11.08.2026</t>
        </is>
      </c>
      <c r="W31" s="28">
        <f>ROUND(H31*92.65%-R31,0)</f>
        <v/>
      </c>
      <c r="X31" s="28" t="n">
        <v>191812</v>
      </c>
      <c r="Y31" s="28" t="inlineStr">
        <is>
          <t>21.08.2026</t>
        </is>
      </c>
      <c r="Z31" s="28">
        <f>IF(OR(Y31="",Y31=0),H31*0.0118*CEILING((TODAY()-DATE(2026,8,22))/7,1),IF(DATE(VALUE(RIGHT(Y31,4)),VALUE(MID(Y31,4,2)),VALUE(LEFT(Y31,2)))&lt;=DATE(2026,8,24),0,H31*0.0118*CEILING((DATE(VALUE(RIGHT(Y31,4)),VALUE(MID(Y31,4,2)),VALUE(LEFT(Y31,2)))-DATE(2026,8,22))/7,1)))</f>
        <v/>
      </c>
      <c r="AA31" s="28" t="n"/>
      <c r="AB31" s="28" t="n"/>
      <c r="AC31" s="15">
        <f>U31+X31+AA31</f>
        <v/>
      </c>
      <c r="AD31" s="19">
        <f>S31-AC31</f>
        <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IF(OR(Y32="",Y32=0),H32*0.0118*CEILING((TODAY()-DATE(2026,8,22))/7,1),IF(DATE(VALUE(RIGHT(Y32,4)),VALUE(MID(Y32,4,2)),VALUE(LEFT(Y32,2)))&lt;=DATE(2026,8,24),0,H32*0.0118*CEILING((DATE(VALUE(RIGHT(Y32,4)),VALUE(MID(Y32,4,2)),VALUE(LEFT(Y32,2)))-DATE(2026,8,22))/7,1)))</f>
        <v/>
      </c>
      <c r="AA32" s="28" t="n"/>
      <c r="AB32" s="28" t="n"/>
      <c r="AC32" s="15">
        <f>U32+X32+AA32</f>
        <v/>
      </c>
      <c r="AD32" s="19">
        <f>S32-AC32</f>
        <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
      </c>
      <c r="J33" s="27">
        <f>+H33+I33</f>
        <v/>
      </c>
      <c r="K33" s="27">
        <f>ROUND((H33+I33)*2%,0)</f>
        <v/>
      </c>
      <c r="L33" s="28">
        <f>H33*0.1%</f>
        <v/>
      </c>
      <c r="M33" s="28">
        <f>H33*2.25%*118%</f>
        <v/>
      </c>
      <c r="N33" s="29">
        <f>H33*2.25%*2%</f>
        <v/>
      </c>
      <c r="O33" s="28">
        <f>M33-N33</f>
        <v/>
      </c>
      <c r="P33" s="28">
        <f>ROUND(O33+L33,0)</f>
        <v/>
      </c>
      <c r="Q33" s="30" t="n">
        <v>0</v>
      </c>
      <c r="R33" s="28">
        <f>ROUND(H33*Q33,0)</f>
        <v/>
      </c>
      <c r="S33" s="27">
        <f>ROUND(H33*117.65%-R33,0)</f>
        <v/>
      </c>
      <c r="T33" s="28">
        <f>ROUND(H33*25%,0)</f>
        <v/>
      </c>
      <c r="U33" s="31">
        <f>+T33</f>
        <v/>
      </c>
      <c r="V33" s="28" t="inlineStr">
        <is>
          <t>13.08.2026</t>
        </is>
      </c>
      <c r="W33" s="28">
        <f>ROUND(H33*92.65%-R33,0)</f>
        <v/>
      </c>
      <c r="X33" s="28" t="n">
        <v>27332</v>
      </c>
      <c r="Y33" s="28" t="inlineStr">
        <is>
          <t>24.08.2026</t>
        </is>
      </c>
      <c r="Z33" s="28">
        <f>IF(OR(Y33="",Y33=0),H33*0.0118*CEILING((TODAY()-DATE(2026,8,22))/7,1),IF(DATE(VALUE(RIGHT(Y33,4)),VALUE(MID(Y33,4,2)),VALUE(LEFT(Y33,2)))&lt;=DATE(2026,8,24),0,H33*0.0118*CEILING((DATE(VALUE(RIGHT(Y33,4)),VALUE(MID(Y33,4,2)),VALUE(LEFT(Y33,2)))-DATE(2026,8,22))/7,1)))</f>
        <v/>
      </c>
      <c r="AA33" s="28" t="n"/>
      <c r="AB33" s="28" t="n"/>
      <c r="AC33" s="15">
        <f>U33+X33+AA33</f>
        <v/>
      </c>
      <c r="AD33" s="19">
        <f>S33-AC33</f>
        <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IF(OR(Y34="",Y34=0),H34*0.0118*CEILING((TODAY()-DATE(2026,8,22))/7,1),IF(DATE(VALUE(RIGHT(Y34,4)),VALUE(MID(Y34,4,2)),VALUE(LEFT(Y34,2)))&lt;=DATE(2026,8,24),0,H34*0.0118*CEILING((DATE(VALUE(RIGHT(Y34,4)),VALUE(MID(Y34,4,2)),VALUE(LEFT(Y34,2)))-DATE(2026,8,22))/7,1)))</f>
        <v/>
      </c>
      <c r="AA34" s="28" t="n"/>
      <c r="AB34" s="28" t="n"/>
      <c r="AC34" s="15">
        <f>U34+X34+AA34</f>
        <v/>
      </c>
      <c r="AD34" s="19">
        <f>S34-AC34</f>
        <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
      </c>
      <c r="J35" s="27">
        <f>+H35+I35</f>
        <v/>
      </c>
      <c r="K35" s="27">
        <f>ROUND((H35+I35)*2%,0)</f>
        <v/>
      </c>
      <c r="L35" s="28">
        <f>H35*0.1%</f>
        <v/>
      </c>
      <c r="M35" s="28">
        <f>H35*2.25%*118%</f>
        <v/>
      </c>
      <c r="N35" s="29">
        <f>H35*2.25%*2%</f>
        <v/>
      </c>
      <c r="O35" s="28">
        <f>M35-N35</f>
        <v/>
      </c>
      <c r="P35" s="28">
        <f>ROUND(O35+L35,0)</f>
        <v/>
      </c>
      <c r="Q35" s="30" t="n">
        <v>0</v>
      </c>
      <c r="R35" s="28">
        <f>ROUND(H35*Q35,0)</f>
        <v/>
      </c>
      <c r="S35" s="27">
        <f>ROUND(H35*117.65%-R35,0)</f>
        <v/>
      </c>
      <c r="T35" s="28">
        <f>ROUND(H35*25%,0)</f>
        <v/>
      </c>
      <c r="U35" s="31" t="n">
        <v>21413</v>
      </c>
      <c r="V35" s="28" t="inlineStr">
        <is>
          <t>14.08.2026</t>
        </is>
      </c>
      <c r="W35" s="28">
        <f>ROUND(H35*92.65%-R35,0)</f>
        <v/>
      </c>
      <c r="X35" s="28" t="n">
        <v>79354</v>
      </c>
      <c r="Y35" s="28" t="inlineStr">
        <is>
          <t>20.08.2026</t>
        </is>
      </c>
      <c r="Z35" s="28">
        <f>IF(OR(Y35="",Y35=0),H35*0.0118*CEILING((TODAY()-DATE(2026,8,22))/7,1),IF(DATE(VALUE(RIGHT(Y35,4)),VALUE(MID(Y35,4,2)),VALUE(LEFT(Y35,2)))&lt;=DATE(2026,8,24),0,H35*0.0118*CEILING((DATE(VALUE(RIGHT(Y35,4)),VALUE(MID(Y35,4,2)),VALUE(LEFT(Y35,2)))-DATE(2026,8,22))/7,1)))</f>
        <v/>
      </c>
      <c r="AA35" s="28" t="n"/>
      <c r="AB35" s="28" t="n"/>
      <c r="AC35" s="15">
        <f>U35+X35+AA35</f>
        <v/>
      </c>
      <c r="AD35" s="19">
        <f>S35-AC35</f>
        <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IF(OR(Y36="",Y36=0),H36*0.0118*CEILING((TODAY()-DATE(2026,8,22))/7,1),IF(DATE(VALUE(RIGHT(Y36,4)),VALUE(MID(Y36,4,2)),VALUE(LEFT(Y36,2)))&lt;=DATE(2026,8,24),0,H36*0.0118*CEILING((DATE(VALUE(RIGHT(Y36,4)),VALUE(MID(Y36,4,2)),VALUE(LEFT(Y36,2)))-DATE(2026,8,22))/7,1)))</f>
        <v/>
      </c>
      <c r="AA36" s="28" t="n"/>
      <c r="AB36" s="28" t="n"/>
      <c r="AC36" s="15">
        <f>U36+X36+AA36</f>
        <v/>
      </c>
      <c r="AD36" s="19">
        <f>S36-AC36</f>
        <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
      </c>
      <c r="J37" s="27">
        <f>+H37+I37</f>
        <v/>
      </c>
      <c r="K37" s="27">
        <f>ROUND((H37+I37)*2%,0)</f>
        <v/>
      </c>
      <c r="L37" s="28">
        <f>H37*0.1%</f>
        <v/>
      </c>
      <c r="M37" s="28">
        <f>H37*2.25%*118%</f>
        <v/>
      </c>
      <c r="N37" s="29">
        <f>H37*2.25%*2%</f>
        <v/>
      </c>
      <c r="O37" s="28">
        <f>M37-N37</f>
        <v/>
      </c>
      <c r="P37" s="28">
        <f>ROUND(O37+L37,0)</f>
        <v/>
      </c>
      <c r="Q37" s="30" t="n">
        <v>0</v>
      </c>
      <c r="R37" s="28">
        <f>ROUND(H37*Q37,0)</f>
        <v/>
      </c>
      <c r="S37" s="27">
        <f>ROUND(H37*117.65%-R37,0)</f>
        <v/>
      </c>
      <c r="T37" s="28">
        <f>ROUND(H37*25%,0)</f>
        <v/>
      </c>
      <c r="U37" s="31">
        <f>+T37</f>
        <v/>
      </c>
      <c r="V37" s="28" t="inlineStr">
        <is>
          <t>13.08.2026</t>
        </is>
      </c>
      <c r="W37" s="28">
        <f>ROUND(H37*92.65%-R37,0)</f>
        <v/>
      </c>
      <c r="X37" s="28" t="n">
        <v>69491</v>
      </c>
      <c r="Y37" s="28" t="inlineStr">
        <is>
          <t>24.08.2026</t>
        </is>
      </c>
      <c r="Z37" s="28">
        <f>IF(OR(Y37="",Y37=0),H37*0.0118*CEILING((TODAY()-DATE(2026,8,22))/7,1),IF(DATE(VALUE(RIGHT(Y37,4)),VALUE(MID(Y37,4,2)),VALUE(LEFT(Y37,2)))&lt;=DATE(2026,8,24),0,H37*0.0118*CEILING((DATE(VALUE(RIGHT(Y37,4)),VALUE(MID(Y37,4,2)),VALUE(LEFT(Y37,2)))-DATE(2026,8,22))/7,1)))</f>
        <v/>
      </c>
      <c r="AA37" s="28" t="n"/>
      <c r="AB37" s="28" t="n"/>
      <c r="AC37" s="15">
        <f>U37+X37+AA37</f>
        <v/>
      </c>
      <c r="AD37" s="19">
        <f>S37-AC37</f>
        <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IF(OR(Y38="",Y38=0),H38*0.0118*CEILING((TODAY()-DATE(2026,8,22))/7,1),IF(DATE(VALUE(RIGHT(Y38,4)),VALUE(MID(Y38,4,2)),VALUE(LEFT(Y38,2)))&lt;=DATE(2026,8,24),0,H38*0.0118*CEILING((DATE(VALUE(RIGHT(Y38,4)),VALUE(MID(Y38,4,2)),VALUE(LEFT(Y38,2)))-DATE(2026,8,22))/7,1)))</f>
        <v/>
      </c>
      <c r="AA38" s="28" t="n"/>
      <c r="AB38" s="28" t="n"/>
      <c r="AC38" s="15">
        <f>U38+X38+AA38</f>
        <v/>
      </c>
      <c r="AD38" s="19">
        <f>S38-AC38</f>
        <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
      </c>
      <c r="J39" s="27">
        <f>+H39+I39</f>
        <v/>
      </c>
      <c r="K39" s="27">
        <f>ROUND((H39+I39)*2%,0)</f>
        <v/>
      </c>
      <c r="L39" s="28">
        <f>H39*0.1%</f>
        <v/>
      </c>
      <c r="M39" s="28">
        <f>H39*2.25%*118%</f>
        <v/>
      </c>
      <c r="N39" s="29">
        <f>H39*2.25%*2%</f>
        <v/>
      </c>
      <c r="O39" s="28">
        <f>M39-N39</f>
        <v/>
      </c>
      <c r="P39" s="28">
        <f>ROUND(O39+L39,0)</f>
        <v/>
      </c>
      <c r="Q39" s="30" t="n">
        <v>0</v>
      </c>
      <c r="R39" s="28">
        <f>ROUND(H39*Q39,0)</f>
        <v/>
      </c>
      <c r="S39" s="27">
        <f>ROUND(H39*117.65%-R39,0)</f>
        <v/>
      </c>
      <c r="T39" s="28">
        <f>ROUND(H39*25%,0)</f>
        <v/>
      </c>
      <c r="U39" s="31" t="n">
        <v>7503</v>
      </c>
      <c r="V39" s="28" t="inlineStr">
        <is>
          <t>14.08.2026</t>
        </is>
      </c>
      <c r="W39" s="28">
        <f>ROUND(H39*92.65%-R39,0)</f>
        <v/>
      </c>
      <c r="X39" s="28" t="n">
        <v>27806</v>
      </c>
      <c r="Y39" s="28" t="inlineStr">
        <is>
          <t>01.09.2026</t>
        </is>
      </c>
      <c r="Z39" s="28">
        <f>IF(OR(Y39="",Y39=0),H39*0.0118*CEILING((TODAY()-DATE(2026,8,22))/7,1),IF(DATE(VALUE(RIGHT(Y39,4)),VALUE(MID(Y39,4,2)),VALUE(LEFT(Y39,2)))&lt;=DATE(2026,8,24),0,H39*0.0118*CEILING((DATE(VALUE(RIGHT(Y39,4)),VALUE(MID(Y39,4,2)),VALUE(LEFT(Y39,2)))-DATE(2026,8,22))/7,1)))</f>
        <v/>
      </c>
      <c r="AA39" s="28" t="n">
        <v>708</v>
      </c>
      <c r="AB39" s="28" t="inlineStr">
        <is>
          <t>01.09.2026</t>
        </is>
      </c>
      <c r="AC39" s="15">
        <f>U39+X39+AA39</f>
        <v/>
      </c>
      <c r="AD39" s="19">
        <f>S39-AC39</f>
        <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IF(OR(Y40="",Y40=0),H40*0.0118*CEILING((TODAY()-DATE(2026,8,22))/7,1),IF(DATE(VALUE(RIGHT(Y40,4)),VALUE(MID(Y40,4,2)),VALUE(LEFT(Y40,2)))&lt;=DATE(2026,8,24),0,H40*0.0118*CEILING((DATE(VALUE(RIGHT(Y40,4)),VALUE(MID(Y40,4,2)),VALUE(LEFT(Y40,2)))-DATE(2026,8,22))/7,1)))</f>
        <v/>
      </c>
      <c r="AA40" s="37" t="n">
        <v>2832</v>
      </c>
      <c r="AB40" s="37" t="inlineStr">
        <is>
          <t>01.09.2026</t>
        </is>
      </c>
      <c r="AC40" s="15">
        <f>U40+X40+AA40</f>
        <v/>
      </c>
      <c r="AD40" s="19">
        <f>S40-AC40</f>
        <v/>
      </c>
      <c r="AE40" s="20" t="n"/>
      <c r="AF40" s="21" t="n"/>
      <c r="AG40" s="22" t="n"/>
    </row>
    <row r="41" ht="14.25" customHeight="1" s="137">
      <c r="A41" s="41" t="n"/>
      <c r="B41" s="42" t="n"/>
      <c r="C41" s="42" t="n"/>
      <c r="D41" s="42" t="n"/>
      <c r="E41" s="42" t="n"/>
      <c r="F41" s="42" t="n"/>
      <c r="G41" s="42" t="n"/>
      <c r="H41" s="43">
        <f>SUM(H4:H40)</f>
        <v/>
      </c>
      <c r="I41" s="43">
        <f>SUM(I4:I40)</f>
        <v/>
      </c>
      <c r="J41" s="43">
        <f>SUM(J4:J40)</f>
        <v/>
      </c>
      <c r="K41" s="43">
        <f>SUM(K4:K40)</f>
        <v/>
      </c>
      <c r="L41" s="43">
        <f>SUM(L4:L40)</f>
        <v/>
      </c>
      <c r="M41" s="43">
        <f>SUM(M4:M40)</f>
        <v/>
      </c>
      <c r="N41" s="43">
        <f>SUM(N4:N40)</f>
        <v/>
      </c>
      <c r="O41" s="43">
        <f>SUM(O4:O40)</f>
        <v/>
      </c>
      <c r="P41" s="43">
        <f>SUM(P4:P40)</f>
        <v/>
      </c>
      <c r="Q41" s="44" t="n"/>
      <c r="R41" s="44">
        <f>SUM(R4:R40)</f>
        <v/>
      </c>
      <c r="S41" s="43">
        <f>SUM(S4:S40)</f>
        <v/>
      </c>
      <c r="T41" s="43">
        <f>SUM(T4:T40)</f>
        <v/>
      </c>
      <c r="U41" s="43">
        <f>SUM(U4:U40)</f>
        <v/>
      </c>
      <c r="V41" s="44" t="n"/>
      <c r="W41" s="43">
        <f>SUM(W4:W40)</f>
        <v/>
      </c>
      <c r="X41" s="43">
        <f>SUM(X4:X40)</f>
        <v/>
      </c>
      <c r="Y41" s="44" t="n"/>
      <c r="Z41" s="44">
        <f>SUM(Z4:Z40)</f>
        <v/>
      </c>
      <c r="AA41" s="44">
        <f>SUM(AA4:AA40)</f>
        <v/>
      </c>
      <c r="AB41" s="44" t="n"/>
      <c r="AC41" s="44">
        <f>SUM(AC4:AC40)</f>
        <v/>
      </c>
      <c r="AD41" s="43">
        <f>SUM(AD4:AD40)</f>
        <v/>
      </c>
      <c r="AE41" s="42" t="n"/>
      <c r="AF41" s="42" t="n"/>
      <c r="AG41" s="45"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  DEPENDENT DROPDOWNS — picking a value in any yellow cell in row 4 narrows every other row-4 dropdown to values from the matching rows only (picks in several cells combine as AND); the cell you picked in stays full so you can change it; B3 and # (col A) never narrow the lists; the Payment Status list itself always shows both values; only exact single picks narrow — typed comma-lists, + facets, wildcards and partial text still filter the results but leave the lists full; (blank)/(nonblank) picks narrow to empty/filled rows; clear the cells to restore the full lists.</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0">
        <f>IF($BJ5&gt;0,IF(INDEX('Final Calculation Sheet'!$AE$4:$AE$40,$BJ5-3)="","",INDEX('Final Calculation Sheet'!$AE$4:$AE$40,$BJ5-3)),IF(OR($BI5=1,$BL5=1,$BH5&gt;0),"–",""))</f>
        <v/>
      </c>
      <c r="AG6" s="74">
        <f>IF($BJ5&gt;0,IF(INDEX('Final Calculation Sheet'!$AF$4:$AF$40,$BJ5-3)="","",INDEX('Final Calculation Sheet'!$AF$4:$AF$40,$BJ5-3)),IF(OR($BI5=1,$BL5=1,$BH5&gt;0),"–",""))</f>
        <v/>
      </c>
      <c r="AH6" s="70">
        <f>IF($BJ5&gt;0,IF(INDEX('Final Calculation Sheet'!$AG$4:$AG$40,$BJ5-3)="","",INDEX('Final Calculation Sheet'!$AG$4:$AG$40,$BJ5-3)),IF(OR($BI5=1,$BL5=1,$BH5&gt;0),"–",""))</f>
        <v/>
      </c>
      <c r="AI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0">
        <f>IF($BJ6&gt;0,IF(INDEX('Final Calculation Sheet'!$AE$4:$AE$40,$BJ6-3)="","",INDEX('Final Calculation Sheet'!$AE$4:$AE$40,$BJ6-3)),IF(OR($BI6=1,$BL6=1,$BH6&gt;0),"–",""))</f>
        <v/>
      </c>
      <c r="AG7" s="74">
        <f>IF($BJ6&gt;0,IF(INDEX('Final Calculation Sheet'!$AF$4:$AF$40,$BJ6-3)="","",INDEX('Final Calculation Sheet'!$AF$4:$AF$40,$BJ6-3)),IF(OR($BI6=1,$BL6=1,$BH6&gt;0),"–",""))</f>
        <v/>
      </c>
      <c r="AH7" s="70">
        <f>IF($BJ6&gt;0,IF(INDEX('Final Calculation Sheet'!$AG$4:$AG$40,$BJ6-3)="","",INDEX('Final Calculation Sheet'!$AG$4:$AG$40,$BJ6-3)),IF(OR($BI6=1,$BL6=1,$BH6&gt;0),"–",""))</f>
        <v/>
      </c>
      <c r="AI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0">
        <f>IF($BJ7&gt;0,IF(INDEX('Final Calculation Sheet'!$AE$4:$AE$40,$BJ7-3)="","",INDEX('Final Calculation Sheet'!$AE$4:$AE$40,$BJ7-3)),IF(OR($BI7=1,$BL7=1,$BH7&gt;0),"–",""))</f>
        <v/>
      </c>
      <c r="AG8" s="74">
        <f>IF($BJ7&gt;0,IF(INDEX('Final Calculation Sheet'!$AF$4:$AF$40,$BJ7-3)="","",INDEX('Final Calculation Sheet'!$AF$4:$AF$40,$BJ7-3)),IF(OR($BI7=1,$BL7=1,$BH7&gt;0),"–",""))</f>
        <v/>
      </c>
      <c r="AH8" s="70">
        <f>IF($BJ7&gt;0,IF(INDEX('Final Calculation Sheet'!$AG$4:$AG$40,$BJ7-3)="","",INDEX('Final Calculation Sheet'!$AG$4:$AG$40,$BJ7-3)),IF(OR($BI7=1,$BL7=1,$BH7&gt;0),"–",""))</f>
        <v/>
      </c>
      <c r="AI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0">
        <f>IF($BJ8&gt;0,IF(INDEX('Final Calculation Sheet'!$AE$4:$AE$40,$BJ8-3)="","",INDEX('Final Calculation Sheet'!$AE$4:$AE$40,$BJ8-3)),IF(OR($BI8=1,$BL8=1,$BH8&gt;0),"–",""))</f>
        <v/>
      </c>
      <c r="AG9" s="74">
        <f>IF($BJ8&gt;0,IF(INDEX('Final Calculation Sheet'!$AF$4:$AF$40,$BJ8-3)="","",INDEX('Final Calculation Sheet'!$AF$4:$AF$40,$BJ8-3)),IF(OR($BI8=1,$BL8=1,$BH8&gt;0),"–",""))</f>
        <v/>
      </c>
      <c r="AH9" s="70">
        <f>IF($BJ8&gt;0,IF(INDEX('Final Calculation Sheet'!$AG$4:$AG$40,$BJ8-3)="","",INDEX('Final Calculation Sheet'!$AG$4:$AG$40,$BJ8-3)),IF(OR($BI8=1,$BL8=1,$BH8&gt;0),"–",""))</f>
        <v/>
      </c>
      <c r="AI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0">
        <f>IF($BJ9&gt;0,IF(INDEX('Final Calculation Sheet'!$AE$4:$AE$40,$BJ9-3)="","",INDEX('Final Calculation Sheet'!$AE$4:$AE$40,$BJ9-3)),IF(OR($BI9=1,$BL9=1,$BH9&gt;0),"–",""))</f>
        <v/>
      </c>
      <c r="AG10" s="74">
        <f>IF($BJ9&gt;0,IF(INDEX('Final Calculation Sheet'!$AF$4:$AF$40,$BJ9-3)="","",INDEX('Final Calculation Sheet'!$AF$4:$AF$40,$BJ9-3)),IF(OR($BI9=1,$BL9=1,$BH9&gt;0),"–",""))</f>
        <v/>
      </c>
      <c r="AH10" s="70">
        <f>IF($BJ9&gt;0,IF(INDEX('Final Calculation Sheet'!$AG$4:$AG$40,$BJ9-3)="","",INDEX('Final Calculation Sheet'!$AG$4:$AG$40,$BJ9-3)),IF(OR($BI9=1,$BL9=1,$BH9&gt;0),"–",""))</f>
        <v/>
      </c>
      <c r="AI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0">
        <f>IF($BJ10&gt;0,IF(INDEX('Final Calculation Sheet'!$AE$4:$AE$40,$BJ10-3)="","",INDEX('Final Calculation Sheet'!$AE$4:$AE$40,$BJ10-3)),IF(OR($BI10=1,$BL10=1,$BH10&gt;0),"–",""))</f>
        <v/>
      </c>
      <c r="AG11" s="74">
        <f>IF($BJ10&gt;0,IF(INDEX('Final Calculation Sheet'!$AF$4:$AF$40,$BJ10-3)="","",INDEX('Final Calculation Sheet'!$AF$4:$AF$40,$BJ10-3)),IF(OR($BI10=1,$BL10=1,$BH10&gt;0),"–",""))</f>
        <v/>
      </c>
      <c r="AH11" s="70">
        <f>IF($BJ10&gt;0,IF(INDEX('Final Calculation Sheet'!$AG$4:$AG$40,$BJ10-3)="","",INDEX('Final Calculation Sheet'!$AG$4:$AG$40,$BJ10-3)),IF(OR($BI10=1,$BL10=1,$BH10&gt;0),"–",""))</f>
        <v/>
      </c>
      <c r="AI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0">
        <f>IF($BJ11&gt;0,IF(INDEX('Final Calculation Sheet'!$AE$4:$AE$40,$BJ11-3)="","",INDEX('Final Calculation Sheet'!$AE$4:$AE$40,$BJ11-3)),IF(OR($BI11=1,$BL11=1,$BH11&gt;0),"–",""))</f>
        <v/>
      </c>
      <c r="AG12" s="74">
        <f>IF($BJ11&gt;0,IF(INDEX('Final Calculation Sheet'!$AF$4:$AF$40,$BJ11-3)="","",INDEX('Final Calculation Sheet'!$AF$4:$AF$40,$BJ11-3)),IF(OR($BI11=1,$BL11=1,$BH11&gt;0),"–",""))</f>
        <v/>
      </c>
      <c r="AH12" s="70">
        <f>IF($BJ11&gt;0,IF(INDEX('Final Calculation Sheet'!$AG$4:$AG$40,$BJ11-3)="","",INDEX('Final Calculation Sheet'!$AG$4:$AG$40,$BJ11-3)),IF(OR($BI11=1,$BL11=1,$BH11&gt;0),"–",""))</f>
        <v/>
      </c>
      <c r="AI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0">
        <f>IF($BJ12&gt;0,IF(INDEX('Final Calculation Sheet'!$AE$4:$AE$40,$BJ12-3)="","",INDEX('Final Calculation Sheet'!$AE$4:$AE$40,$BJ12-3)),IF(OR($BI12=1,$BL12=1,$BH12&gt;0),"–",""))</f>
        <v/>
      </c>
      <c r="AG13" s="74">
        <f>IF($BJ12&gt;0,IF(INDEX('Final Calculation Sheet'!$AF$4:$AF$40,$BJ12-3)="","",INDEX('Final Calculation Sheet'!$AF$4:$AF$40,$BJ12-3)),IF(OR($BI12=1,$BL12=1,$BH12&gt;0),"–",""))</f>
        <v/>
      </c>
      <c r="AH13" s="70">
        <f>IF($BJ12&gt;0,IF(INDEX('Final Calculation Sheet'!$AG$4:$AG$40,$BJ12-3)="","",INDEX('Final Calculation Sheet'!$AG$4:$AG$40,$BJ12-3)),IF(OR($BI12=1,$BL12=1,$BH12&gt;0),"–",""))</f>
        <v/>
      </c>
      <c r="AI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0">
        <f>IF($BJ13&gt;0,IF(INDEX('Final Calculation Sheet'!$AE$4:$AE$40,$BJ13-3)="","",INDEX('Final Calculation Sheet'!$AE$4:$AE$40,$BJ13-3)),IF(OR($BI13=1,$BL13=1,$BH13&gt;0),"–",""))</f>
        <v/>
      </c>
      <c r="AG14" s="74">
        <f>IF($BJ13&gt;0,IF(INDEX('Final Calculation Sheet'!$AF$4:$AF$40,$BJ13-3)="","",INDEX('Final Calculation Sheet'!$AF$4:$AF$40,$BJ13-3)),IF(OR($BI13=1,$BL13=1,$BH13&gt;0),"–",""))</f>
        <v/>
      </c>
      <c r="AH14" s="70">
        <f>IF($BJ13&gt;0,IF(INDEX('Final Calculation Sheet'!$AG$4:$AG$40,$BJ13-3)="","",INDEX('Final Calculation Sheet'!$AG$4:$AG$40,$BJ13-3)),IF(OR($BI13=1,$BL13=1,$BH13&gt;0),"–",""))</f>
        <v/>
      </c>
      <c r="AI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0">
        <f>IF($BJ14&gt;0,IF(INDEX('Final Calculation Sheet'!$AE$4:$AE$40,$BJ14-3)="","",INDEX('Final Calculation Sheet'!$AE$4:$AE$40,$BJ14-3)),IF(OR($BI14=1,$BL14=1,$BH14&gt;0),"–",""))</f>
        <v/>
      </c>
      <c r="AG15" s="74">
        <f>IF($BJ14&gt;0,IF(INDEX('Final Calculation Sheet'!$AF$4:$AF$40,$BJ14-3)="","",INDEX('Final Calculation Sheet'!$AF$4:$AF$40,$BJ14-3)),IF(OR($BI14=1,$BL14=1,$BH14&gt;0),"–",""))</f>
        <v/>
      </c>
      <c r="AH15" s="70">
        <f>IF($BJ14&gt;0,IF(INDEX('Final Calculation Sheet'!$AG$4:$AG$40,$BJ14-3)="","",INDEX('Final Calculation Sheet'!$AG$4:$AG$40,$BJ14-3)),IF(OR($BI14=1,$BL14=1,$BH14&gt;0),"–",""))</f>
        <v/>
      </c>
      <c r="AI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0">
        <f>IF($BJ15&gt;0,IF(INDEX('Final Calculation Sheet'!$AE$4:$AE$40,$BJ15-3)="","",INDEX('Final Calculation Sheet'!$AE$4:$AE$40,$BJ15-3)),IF(OR($BI15=1,$BL15=1,$BH15&gt;0),"–",""))</f>
        <v/>
      </c>
      <c r="AG16" s="74">
        <f>IF($BJ15&gt;0,IF(INDEX('Final Calculation Sheet'!$AF$4:$AF$40,$BJ15-3)="","",INDEX('Final Calculation Sheet'!$AF$4:$AF$40,$BJ15-3)),IF(OR($BI15=1,$BL15=1,$BH15&gt;0),"–",""))</f>
        <v/>
      </c>
      <c r="AH16" s="70">
        <f>IF($BJ15&gt;0,IF(INDEX('Final Calculation Sheet'!$AG$4:$AG$40,$BJ15-3)="","",INDEX('Final Calculation Sheet'!$AG$4:$AG$40,$BJ15-3)),IF(OR($BI15=1,$BL15=1,$BH15&gt;0),"–",""))</f>
        <v/>
      </c>
      <c r="AI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0">
        <f>IF($BJ16&gt;0,IF(INDEX('Final Calculation Sheet'!$AE$4:$AE$40,$BJ16-3)="","",INDEX('Final Calculation Sheet'!$AE$4:$AE$40,$BJ16-3)),IF(OR($BI16=1,$BL16=1,$BH16&gt;0),"–",""))</f>
        <v/>
      </c>
      <c r="AG17" s="74">
        <f>IF($BJ16&gt;0,IF(INDEX('Final Calculation Sheet'!$AF$4:$AF$40,$BJ16-3)="","",INDEX('Final Calculation Sheet'!$AF$4:$AF$40,$BJ16-3)),IF(OR($BI16=1,$BL16=1,$BH16&gt;0),"–",""))</f>
        <v/>
      </c>
      <c r="AH17" s="70">
        <f>IF($BJ16&gt;0,IF(INDEX('Final Calculation Sheet'!$AG$4:$AG$40,$BJ16-3)="","",INDEX('Final Calculation Sheet'!$AG$4:$AG$40,$BJ16-3)),IF(OR($BI16=1,$BL16=1,$BH16&gt;0),"–",""))</f>
        <v/>
      </c>
      <c r="AI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0">
        <f>IF($BJ17&gt;0,IF(INDEX('Final Calculation Sheet'!$AE$4:$AE$40,$BJ17-3)="","",INDEX('Final Calculation Sheet'!$AE$4:$AE$40,$BJ17-3)),IF(OR($BI17=1,$BL17=1,$BH17&gt;0),"–",""))</f>
        <v/>
      </c>
      <c r="AG18" s="74">
        <f>IF($BJ17&gt;0,IF(INDEX('Final Calculation Sheet'!$AF$4:$AF$40,$BJ17-3)="","",INDEX('Final Calculation Sheet'!$AF$4:$AF$40,$BJ17-3)),IF(OR($BI17=1,$BL17=1,$BH17&gt;0),"–",""))</f>
        <v/>
      </c>
      <c r="AH18" s="70">
        <f>IF($BJ17&gt;0,IF(INDEX('Final Calculation Sheet'!$AG$4:$AG$40,$BJ17-3)="","",INDEX('Final Calculation Sheet'!$AG$4:$AG$40,$BJ17-3)),IF(OR($BI17=1,$BL17=1,$BH17&gt;0),"–",""))</f>
        <v/>
      </c>
      <c r="AI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0">
        <f>IF($BJ18&gt;0,IF(INDEX('Final Calculation Sheet'!$AE$4:$AE$40,$BJ18-3)="","",INDEX('Final Calculation Sheet'!$AE$4:$AE$40,$BJ18-3)),IF(OR($BI18=1,$BL18=1,$BH18&gt;0),"–",""))</f>
        <v/>
      </c>
      <c r="AG19" s="74">
        <f>IF($BJ18&gt;0,IF(INDEX('Final Calculation Sheet'!$AF$4:$AF$40,$BJ18-3)="","",INDEX('Final Calculation Sheet'!$AF$4:$AF$40,$BJ18-3)),IF(OR($BI18=1,$BL18=1,$BH18&gt;0),"–",""))</f>
        <v/>
      </c>
      <c r="AH19" s="70">
        <f>IF($BJ18&gt;0,IF(INDEX('Final Calculation Sheet'!$AG$4:$AG$40,$BJ18-3)="","",INDEX('Final Calculation Sheet'!$AG$4:$AG$40,$BJ18-3)),IF(OR($BI18=1,$BL18=1,$BH18&gt;0),"–",""))</f>
        <v/>
      </c>
      <c r="AI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0">
        <f>IF($BJ19&gt;0,IF(INDEX('Final Calculation Sheet'!$AE$4:$AE$40,$BJ19-3)="","",INDEX('Final Calculation Sheet'!$AE$4:$AE$40,$BJ19-3)),IF(OR($BI19=1,$BL19=1,$BH19&gt;0),"–",""))</f>
        <v/>
      </c>
      <c r="AG20" s="74">
        <f>IF($BJ19&gt;0,IF(INDEX('Final Calculation Sheet'!$AF$4:$AF$40,$BJ19-3)="","",INDEX('Final Calculation Sheet'!$AF$4:$AF$40,$BJ19-3)),IF(OR($BI19=1,$BL19=1,$BH19&gt;0),"–",""))</f>
        <v/>
      </c>
      <c r="AH20" s="70">
        <f>IF($BJ19&gt;0,IF(INDEX('Final Calculation Sheet'!$AG$4:$AG$40,$BJ19-3)="","",INDEX('Final Calculation Sheet'!$AG$4:$AG$40,$BJ19-3)),IF(OR($BI19=1,$BL19=1,$BH19&gt;0),"–",""))</f>
        <v/>
      </c>
      <c r="AI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0">
        <f>IF($BJ20&gt;0,IF(INDEX('Final Calculation Sheet'!$AE$4:$AE$40,$BJ20-3)="","",INDEX('Final Calculation Sheet'!$AE$4:$AE$40,$BJ20-3)),IF(OR($BI20=1,$BL20=1,$BH20&gt;0),"–",""))</f>
        <v/>
      </c>
      <c r="AG21" s="74">
        <f>IF($BJ20&gt;0,IF(INDEX('Final Calculation Sheet'!$AF$4:$AF$40,$BJ20-3)="","",INDEX('Final Calculation Sheet'!$AF$4:$AF$40,$BJ20-3)),IF(OR($BI20=1,$BL20=1,$BH20&gt;0),"–",""))</f>
        <v/>
      </c>
      <c r="AH21" s="70">
        <f>IF($BJ20&gt;0,IF(INDEX('Final Calculation Sheet'!$AG$4:$AG$40,$BJ20-3)="","",INDEX('Final Calculation Sheet'!$AG$4:$AG$40,$BJ20-3)),IF(OR($BI20=1,$BL20=1,$BH20&gt;0),"–",""))</f>
        <v/>
      </c>
      <c r="AI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0">
        <f>IF($BJ21&gt;0,IF(INDEX('Final Calculation Sheet'!$AE$4:$AE$40,$BJ21-3)="","",INDEX('Final Calculation Sheet'!$AE$4:$AE$40,$BJ21-3)),IF(OR($BI21=1,$BL21=1,$BH21&gt;0),"–",""))</f>
        <v/>
      </c>
      <c r="AG22" s="74">
        <f>IF($BJ21&gt;0,IF(INDEX('Final Calculation Sheet'!$AF$4:$AF$40,$BJ21-3)="","",INDEX('Final Calculation Sheet'!$AF$4:$AF$40,$BJ21-3)),IF(OR($BI21=1,$BL21=1,$BH21&gt;0),"–",""))</f>
        <v/>
      </c>
      <c r="AH22" s="70">
        <f>IF($BJ21&gt;0,IF(INDEX('Final Calculation Sheet'!$AG$4:$AG$40,$BJ21-3)="","",INDEX('Final Calculation Sheet'!$AG$4:$AG$40,$BJ21-3)),IF(OR($BI21=1,$BL21=1,$BH21&gt;0),"–",""))</f>
        <v/>
      </c>
      <c r="AI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0">
        <f>IF($BJ22&gt;0,IF(INDEX('Final Calculation Sheet'!$AE$4:$AE$40,$BJ22-3)="","",INDEX('Final Calculation Sheet'!$AE$4:$AE$40,$BJ22-3)),IF(OR($BI22=1,$BL22=1,$BH22&gt;0),"–",""))</f>
        <v/>
      </c>
      <c r="AG23" s="74">
        <f>IF($BJ22&gt;0,IF(INDEX('Final Calculation Sheet'!$AF$4:$AF$40,$BJ22-3)="","",INDEX('Final Calculation Sheet'!$AF$4:$AF$40,$BJ22-3)),IF(OR($BI22=1,$BL22=1,$BH22&gt;0),"–",""))</f>
        <v/>
      </c>
      <c r="AH23" s="70">
        <f>IF($BJ22&gt;0,IF(INDEX('Final Calculation Sheet'!$AG$4:$AG$40,$BJ22-3)="","",INDEX('Final Calculation Sheet'!$AG$4:$AG$40,$BJ22-3)),IF(OR($BI22=1,$BL22=1,$BH22&gt;0),"–",""))</f>
        <v/>
      </c>
      <c r="AI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0">
        <f>IF($BJ23&gt;0,IF(INDEX('Final Calculation Sheet'!$AE$4:$AE$40,$BJ23-3)="","",INDEX('Final Calculation Sheet'!$AE$4:$AE$40,$BJ23-3)),IF(OR($BI23=1,$BL23=1,$BH23&gt;0),"–",""))</f>
        <v/>
      </c>
      <c r="AG24" s="74">
        <f>IF($BJ23&gt;0,IF(INDEX('Final Calculation Sheet'!$AF$4:$AF$40,$BJ23-3)="","",INDEX('Final Calculation Sheet'!$AF$4:$AF$40,$BJ23-3)),IF(OR($BI23=1,$BL23=1,$BH23&gt;0),"–",""))</f>
        <v/>
      </c>
      <c r="AH24" s="70">
        <f>IF($BJ23&gt;0,IF(INDEX('Final Calculation Sheet'!$AG$4:$AG$40,$BJ23-3)="","",INDEX('Final Calculation Sheet'!$AG$4:$AG$40,$BJ23-3)),IF(OR($BI23=1,$BL23=1,$BH23&gt;0),"–",""))</f>
        <v/>
      </c>
      <c r="AI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0">
        <f>IF($BJ24&gt;0,IF(INDEX('Final Calculation Sheet'!$AE$4:$AE$40,$BJ24-3)="","",INDEX('Final Calculation Sheet'!$AE$4:$AE$40,$BJ24-3)),IF(OR($BI24=1,$BL24=1,$BH24&gt;0),"–",""))</f>
        <v/>
      </c>
      <c r="AG25" s="74">
        <f>IF($BJ24&gt;0,IF(INDEX('Final Calculation Sheet'!$AF$4:$AF$40,$BJ24-3)="","",INDEX('Final Calculation Sheet'!$AF$4:$AF$40,$BJ24-3)),IF(OR($BI24=1,$BL24=1,$BH24&gt;0),"–",""))</f>
        <v/>
      </c>
      <c r="AH25" s="70">
        <f>IF($BJ24&gt;0,IF(INDEX('Final Calculation Sheet'!$AG$4:$AG$40,$BJ24-3)="","",INDEX('Final Calculation Sheet'!$AG$4:$AG$40,$BJ24-3)),IF(OR($BI24=1,$BL24=1,$BH24&gt;0),"–",""))</f>
        <v/>
      </c>
      <c r="AI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0">
        <f>IF($BJ25&gt;0,IF(INDEX('Final Calculation Sheet'!$AE$4:$AE$40,$BJ25-3)="","",INDEX('Final Calculation Sheet'!$AE$4:$AE$40,$BJ25-3)),IF(OR($BI25=1,$BL25=1,$BH25&gt;0),"–",""))</f>
        <v/>
      </c>
      <c r="AG26" s="74">
        <f>IF($BJ25&gt;0,IF(INDEX('Final Calculation Sheet'!$AF$4:$AF$40,$BJ25-3)="","",INDEX('Final Calculation Sheet'!$AF$4:$AF$40,$BJ25-3)),IF(OR($BI25=1,$BL25=1,$BH25&gt;0),"–",""))</f>
        <v/>
      </c>
      <c r="AH26" s="70">
        <f>IF($BJ25&gt;0,IF(INDEX('Final Calculation Sheet'!$AG$4:$AG$40,$BJ25-3)="","",INDEX('Final Calculation Sheet'!$AG$4:$AG$40,$BJ25-3)),IF(OR($BI25=1,$BL25=1,$BH25&gt;0),"–",""))</f>
        <v/>
      </c>
      <c r="AI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0">
        <f>IF($BJ26&gt;0,IF(INDEX('Final Calculation Sheet'!$AE$4:$AE$40,$BJ26-3)="","",INDEX('Final Calculation Sheet'!$AE$4:$AE$40,$BJ26-3)),IF(OR($BI26=1,$BL26=1,$BH26&gt;0),"–",""))</f>
        <v/>
      </c>
      <c r="AG27" s="74">
        <f>IF($BJ26&gt;0,IF(INDEX('Final Calculation Sheet'!$AF$4:$AF$40,$BJ26-3)="","",INDEX('Final Calculation Sheet'!$AF$4:$AF$40,$BJ26-3)),IF(OR($BI26=1,$BL26=1,$BH26&gt;0),"–",""))</f>
        <v/>
      </c>
      <c r="AH27" s="70">
        <f>IF($BJ26&gt;0,IF(INDEX('Final Calculation Sheet'!$AG$4:$AG$40,$BJ26-3)="","",INDEX('Final Calculation Sheet'!$AG$4:$AG$40,$BJ26-3)),IF(OR($BI26=1,$BL26=1,$BH26&gt;0),"–",""))</f>
        <v/>
      </c>
      <c r="AI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0">
        <f>IF($BJ27&gt;0,IF(INDEX('Final Calculation Sheet'!$AE$4:$AE$40,$BJ27-3)="","",INDEX('Final Calculation Sheet'!$AE$4:$AE$40,$BJ27-3)),IF(OR($BI27=1,$BL27=1,$BH27&gt;0),"–",""))</f>
        <v/>
      </c>
      <c r="AG28" s="74">
        <f>IF($BJ27&gt;0,IF(INDEX('Final Calculation Sheet'!$AF$4:$AF$40,$BJ27-3)="","",INDEX('Final Calculation Sheet'!$AF$4:$AF$40,$BJ27-3)),IF(OR($BI27=1,$BL27=1,$BH27&gt;0),"–",""))</f>
        <v/>
      </c>
      <c r="AH28" s="70">
        <f>IF($BJ27&gt;0,IF(INDEX('Final Calculation Sheet'!$AG$4:$AG$40,$BJ27-3)="","",INDEX('Final Calculation Sheet'!$AG$4:$AG$40,$BJ27-3)),IF(OR($BI27=1,$BL27=1,$BH27&gt;0),"–",""))</f>
        <v/>
      </c>
      <c r="AI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0">
        <f>IF($BJ28&gt;0,IF(INDEX('Final Calculation Sheet'!$AE$4:$AE$40,$BJ28-3)="","",INDEX('Final Calculation Sheet'!$AE$4:$AE$40,$BJ28-3)),IF(OR($BI28=1,$BL28=1,$BH28&gt;0),"–",""))</f>
        <v/>
      </c>
      <c r="AG29" s="74">
        <f>IF($BJ28&gt;0,IF(INDEX('Final Calculation Sheet'!$AF$4:$AF$40,$BJ28-3)="","",INDEX('Final Calculation Sheet'!$AF$4:$AF$40,$BJ28-3)),IF(OR($BI28=1,$BL28=1,$BH28&gt;0),"–",""))</f>
        <v/>
      </c>
      <c r="AH29" s="70">
        <f>IF($BJ28&gt;0,IF(INDEX('Final Calculation Sheet'!$AG$4:$AG$40,$BJ28-3)="","",INDEX('Final Calculation Sheet'!$AG$4:$AG$40,$BJ28-3)),IF(OR($BI28=1,$BL28=1,$BH28&gt;0),"–",""))</f>
        <v/>
      </c>
      <c r="AI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0">
        <f>IF($BJ29&gt;0,IF(INDEX('Final Calculation Sheet'!$AE$4:$AE$40,$BJ29-3)="","",INDEX('Final Calculation Sheet'!$AE$4:$AE$40,$BJ29-3)),IF(OR($BI29=1,$BL29=1,$BH29&gt;0),"–",""))</f>
        <v/>
      </c>
      <c r="AG30" s="74">
        <f>IF($BJ29&gt;0,IF(INDEX('Final Calculation Sheet'!$AF$4:$AF$40,$BJ29-3)="","",INDEX('Final Calculation Sheet'!$AF$4:$AF$40,$BJ29-3)),IF(OR($BI29=1,$BL29=1,$BH29&gt;0),"–",""))</f>
        <v/>
      </c>
      <c r="AH30" s="70">
        <f>IF($BJ29&gt;0,IF(INDEX('Final Calculation Sheet'!$AG$4:$AG$40,$BJ29-3)="","",INDEX('Final Calculation Sheet'!$AG$4:$AG$40,$BJ29-3)),IF(OR($BI29=1,$BL29=1,$BH29&gt;0),"–",""))</f>
        <v/>
      </c>
      <c r="AI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0">
        <f>IF($BJ30&gt;0,IF(INDEX('Final Calculation Sheet'!$AE$4:$AE$40,$BJ30-3)="","",INDEX('Final Calculation Sheet'!$AE$4:$AE$40,$BJ30-3)),IF(OR($BI30=1,$BL30=1,$BH30&gt;0),"–",""))</f>
        <v/>
      </c>
      <c r="AG31" s="74">
        <f>IF($BJ30&gt;0,IF(INDEX('Final Calculation Sheet'!$AF$4:$AF$40,$BJ30-3)="","",INDEX('Final Calculation Sheet'!$AF$4:$AF$40,$BJ30-3)),IF(OR($BI30=1,$BL30=1,$BH30&gt;0),"–",""))</f>
        <v/>
      </c>
      <c r="AH31" s="70">
        <f>IF($BJ30&gt;0,IF(INDEX('Final Calculation Sheet'!$AG$4:$AG$40,$BJ30-3)="","",INDEX('Final Calculation Sheet'!$AG$4:$AG$40,$BJ30-3)),IF(OR($BI30=1,$BL30=1,$BH30&gt;0),"–",""))</f>
        <v/>
      </c>
      <c r="AI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0">
        <f>IF($BJ31&gt;0,IF(INDEX('Final Calculation Sheet'!$AE$4:$AE$40,$BJ31-3)="","",INDEX('Final Calculation Sheet'!$AE$4:$AE$40,$BJ31-3)),IF(OR($BI31=1,$BL31=1,$BH31&gt;0),"–",""))</f>
        <v/>
      </c>
      <c r="AG32" s="74">
        <f>IF($BJ31&gt;0,IF(INDEX('Final Calculation Sheet'!$AF$4:$AF$40,$BJ31-3)="","",INDEX('Final Calculation Sheet'!$AF$4:$AF$40,$BJ31-3)),IF(OR($BI31=1,$BL31=1,$BH31&gt;0),"–",""))</f>
        <v/>
      </c>
      <c r="AH32" s="70">
        <f>IF($BJ31&gt;0,IF(INDEX('Final Calculation Sheet'!$AG$4:$AG$40,$BJ31-3)="","",INDEX('Final Calculation Sheet'!$AG$4:$AG$40,$BJ31-3)),IF(OR($BI31=1,$BL31=1,$BH31&gt;0),"–",""))</f>
        <v/>
      </c>
      <c r="AI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0">
        <f>IF($BJ32&gt;0,IF(INDEX('Final Calculation Sheet'!$AE$4:$AE$40,$BJ32-3)="","",INDEX('Final Calculation Sheet'!$AE$4:$AE$40,$BJ32-3)),IF(OR($BI32=1,$BL32=1,$BH32&gt;0),"–",""))</f>
        <v/>
      </c>
      <c r="AG33" s="74">
        <f>IF($BJ32&gt;0,IF(INDEX('Final Calculation Sheet'!$AF$4:$AF$40,$BJ32-3)="","",INDEX('Final Calculation Sheet'!$AF$4:$AF$40,$BJ32-3)),IF(OR($BI32=1,$BL32=1,$BH32&gt;0),"–",""))</f>
        <v/>
      </c>
      <c r="AH33" s="70">
        <f>IF($BJ32&gt;0,IF(INDEX('Final Calculation Sheet'!$AG$4:$AG$40,$BJ32-3)="","",INDEX('Final Calculation Sheet'!$AG$4:$AG$40,$BJ32-3)),IF(OR($BI32=1,$BL32=1,$BH32&gt;0),"–",""))</f>
        <v/>
      </c>
      <c r="AI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0">
        <f>IF($BJ33&gt;0,IF(INDEX('Final Calculation Sheet'!$AE$4:$AE$40,$BJ33-3)="","",INDEX('Final Calculation Sheet'!$AE$4:$AE$40,$BJ33-3)),IF(OR($BI33=1,$BL33=1,$BH33&gt;0),"–",""))</f>
        <v/>
      </c>
      <c r="AG34" s="74">
        <f>IF($BJ33&gt;0,IF(INDEX('Final Calculation Sheet'!$AF$4:$AF$40,$BJ33-3)="","",INDEX('Final Calculation Sheet'!$AF$4:$AF$40,$BJ33-3)),IF(OR($BI33=1,$BL33=1,$BH33&gt;0),"–",""))</f>
        <v/>
      </c>
      <c r="AH34" s="70">
        <f>IF($BJ33&gt;0,IF(INDEX('Final Calculation Sheet'!$AG$4:$AG$40,$BJ33-3)="","",INDEX('Final Calculation Sheet'!$AG$4:$AG$40,$BJ33-3)),IF(OR($BI33=1,$BL33=1,$BH33&gt;0),"–",""))</f>
        <v/>
      </c>
      <c r="AI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0">
        <f>IF($BJ34&gt;0,IF(INDEX('Final Calculation Sheet'!$AE$4:$AE$40,$BJ34-3)="","",INDEX('Final Calculation Sheet'!$AE$4:$AE$40,$BJ34-3)),IF(OR($BI34=1,$BL34=1,$BH34&gt;0),"–",""))</f>
        <v/>
      </c>
      <c r="AG35" s="74">
        <f>IF($BJ34&gt;0,IF(INDEX('Final Calculation Sheet'!$AF$4:$AF$40,$BJ34-3)="","",INDEX('Final Calculation Sheet'!$AF$4:$AF$40,$BJ34-3)),IF(OR($BI34=1,$BL34=1,$BH34&gt;0),"–",""))</f>
        <v/>
      </c>
      <c r="AH35" s="70">
        <f>IF($BJ34&gt;0,IF(INDEX('Final Calculation Sheet'!$AG$4:$AG$40,$BJ34-3)="","",INDEX('Final Calculation Sheet'!$AG$4:$AG$40,$BJ34-3)),IF(OR($BI34=1,$BL34=1,$BH34&gt;0),"–",""))</f>
        <v/>
      </c>
      <c r="AI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0">
        <f>IF($BJ35&gt;0,IF(INDEX('Final Calculation Sheet'!$AE$4:$AE$40,$BJ35-3)="","",INDEX('Final Calculation Sheet'!$AE$4:$AE$40,$BJ35-3)),IF(OR($BI35=1,$BL35=1,$BH35&gt;0),"–",""))</f>
        <v/>
      </c>
      <c r="AG36" s="74">
        <f>IF($BJ35&gt;0,IF(INDEX('Final Calculation Sheet'!$AF$4:$AF$40,$BJ35-3)="","",INDEX('Final Calculation Sheet'!$AF$4:$AF$40,$BJ35-3)),IF(OR($BI35=1,$BL35=1,$BH35&gt;0),"–",""))</f>
        <v/>
      </c>
      <c r="AH36" s="70">
        <f>IF($BJ35&gt;0,IF(INDEX('Final Calculation Sheet'!$AG$4:$AG$40,$BJ35-3)="","",INDEX('Final Calculation Sheet'!$AG$4:$AG$40,$BJ35-3)),IF(OR($BI35=1,$BL35=1,$BH35&gt;0),"–",""))</f>
        <v/>
      </c>
      <c r="AI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0">
        <f>IF($BJ36&gt;0,IF(INDEX('Final Calculation Sheet'!$AE$4:$AE$40,$BJ36-3)="","",INDEX('Final Calculation Sheet'!$AE$4:$AE$40,$BJ36-3)),IF(OR($BI36=1,$BL36=1,$BH36&gt;0),"–",""))</f>
        <v/>
      </c>
      <c r="AG37" s="74">
        <f>IF($BJ36&gt;0,IF(INDEX('Final Calculation Sheet'!$AF$4:$AF$40,$BJ36-3)="","",INDEX('Final Calculation Sheet'!$AF$4:$AF$40,$BJ36-3)),IF(OR($BI36=1,$BL36=1,$BH36&gt;0),"–",""))</f>
        <v/>
      </c>
      <c r="AH37" s="70">
        <f>IF($BJ36&gt;0,IF(INDEX('Final Calculation Sheet'!$AG$4:$AG$40,$BJ36-3)="","",INDEX('Final Calculation Sheet'!$AG$4:$AG$40,$BJ36-3)),IF(OR($BI36=1,$BL36=1,$BH36&gt;0),"–",""))</f>
        <v/>
      </c>
      <c r="AI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0">
        <f>IF($BJ37&gt;0,IF(INDEX('Final Calculation Sheet'!$AE$4:$AE$40,$BJ37-3)="","",INDEX('Final Calculation Sheet'!$AE$4:$AE$40,$BJ37-3)),IF(OR($BI37=1,$BL37=1,$BH37&gt;0),"–",""))</f>
        <v/>
      </c>
      <c r="AG38" s="74">
        <f>IF($BJ37&gt;0,IF(INDEX('Final Calculation Sheet'!$AF$4:$AF$40,$BJ37-3)="","",INDEX('Final Calculation Sheet'!$AF$4:$AF$40,$BJ37-3)),IF(OR($BI37=1,$BL37=1,$BH37&gt;0),"–",""))</f>
        <v/>
      </c>
      <c r="AH38" s="70">
        <f>IF($BJ37&gt;0,IF(INDEX('Final Calculation Sheet'!$AG$4:$AG$40,$BJ37-3)="","",INDEX('Final Calculation Sheet'!$AG$4:$AG$40,$BJ37-3)),IF(OR($BI37=1,$BL37=1,$BH37&gt;0),"–",""))</f>
        <v/>
      </c>
      <c r="AI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0">
        <f>IF($BJ38&gt;0,IF(INDEX('Final Calculation Sheet'!$AE$4:$AE$40,$BJ38-3)="","",INDEX('Final Calculation Sheet'!$AE$4:$AE$40,$BJ38-3)),IF(OR($BI38=1,$BL38=1,$BH38&gt;0),"–",""))</f>
        <v/>
      </c>
      <c r="AG39" s="74">
        <f>IF($BJ38&gt;0,IF(INDEX('Final Calculation Sheet'!$AF$4:$AF$40,$BJ38-3)="","",INDEX('Final Calculation Sheet'!$AF$4:$AF$40,$BJ38-3)),IF(OR($BI38=1,$BL38=1,$BH38&gt;0),"–",""))</f>
        <v/>
      </c>
      <c r="AH39" s="70">
        <f>IF($BJ38&gt;0,IF(INDEX('Final Calculation Sheet'!$AG$4:$AG$40,$BJ38-3)="","",INDEX('Final Calculation Sheet'!$AG$4:$AG$40,$BJ38-3)),IF(OR($BI38=1,$BL38=1,$BH38&gt;0),"–",""))</f>
        <v/>
      </c>
      <c r="AI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0">
        <f>IF($BJ39&gt;0,IF(INDEX('Final Calculation Sheet'!$AE$4:$AE$40,$BJ39-3)="","",INDEX('Final Calculation Sheet'!$AE$4:$AE$40,$BJ39-3)),IF(OR($BI39=1,$BL39=1,$BH39&gt;0),"–",""))</f>
        <v/>
      </c>
      <c r="AG40" s="74">
        <f>IF($BJ39&gt;0,IF(INDEX('Final Calculation Sheet'!$AF$4:$AF$40,$BJ39-3)="","",INDEX('Final Calculation Sheet'!$AF$4:$AF$40,$BJ39-3)),IF(OR($BI39=1,$BL39=1,$BH39&gt;0),"–",""))</f>
        <v/>
      </c>
      <c r="AH40" s="70">
        <f>IF($BJ39&gt;0,IF(INDEX('Final Calculation Sheet'!$AG$4:$AG$40,$BJ39-3)="","",INDEX('Final Calculation Sheet'!$AG$4:$AG$40,$BJ39-3)),IF(OR($BI39=1,$BL39=1,$BH39&gt;0),"–",""))</f>
        <v/>
      </c>
      <c r="AI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0">
        <f>IF($BJ40&gt;0,IF(INDEX('Final Calculation Sheet'!$AE$4:$AE$40,$BJ40-3)="","",INDEX('Final Calculation Sheet'!$AE$4:$AE$40,$BJ40-3)),IF(OR($BI40=1,$BL40=1,$BH40&gt;0),"–",""))</f>
        <v/>
      </c>
      <c r="AG41" s="74">
        <f>IF($BJ40&gt;0,IF(INDEX('Final Calculation Sheet'!$AF$4:$AF$40,$BJ40-3)="","",INDEX('Final Calculation Sheet'!$AF$4:$AF$40,$BJ40-3)),IF(OR($BI40=1,$BL40=1,$BH40&gt;0),"–",""))</f>
        <v/>
      </c>
      <c r="AH41" s="70">
        <f>IF($BJ40&gt;0,IF(INDEX('Final Calculation Sheet'!$AG$4:$AG$40,$BJ40-3)="","",INDEX('Final Calculation Sheet'!$AG$4:$AG$40,$BJ40-3)),IF(OR($BI40=1,$BL40=1,$BH40&gt;0),"–",""))</f>
        <v/>
      </c>
      <c r="AI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0">
        <f>IF($BJ41&gt;0,IF(INDEX('Final Calculation Sheet'!$AE$4:$AE$40,$BJ41-3)="","",INDEX('Final Calculation Sheet'!$AE$4:$AE$40,$BJ41-3)),IF(OR($BI41=1,$BL41=1,$BH41&gt;0),"–",""))</f>
        <v/>
      </c>
      <c r="AG42" s="74">
        <f>IF($BJ41&gt;0,IF(INDEX('Final Calculation Sheet'!$AF$4:$AF$40,$BJ41-3)="","",INDEX('Final Calculation Sheet'!$AF$4:$AF$40,$BJ41-3)),IF(OR($BI41=1,$BL41=1,$BH41&gt;0),"–",""))</f>
        <v/>
      </c>
      <c r="AH42" s="70">
        <f>IF($BJ41&gt;0,IF(INDEX('Final Calculation Sheet'!$AG$4:$AG$40,$BJ41-3)="","",INDEX('Final Calculation Sheet'!$AG$4:$AG$40,$BJ41-3)),IF(OR($BI41=1,$BL41=1,$BH41&gt;0),"–",""))</f>
        <v/>
      </c>
      <c r="AI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0">
        <f>IF($BJ42&gt;0,IF(INDEX('Final Calculation Sheet'!$AE$4:$AE$40,$BJ42-3)="","",INDEX('Final Calculation Sheet'!$AE$4:$AE$40,$BJ42-3)),IF(OR($BI42=1,$BL42=1,$BH42&gt;0),"–",""))</f>
        <v/>
      </c>
      <c r="AG43" s="74">
        <f>IF($BJ42&gt;0,IF(INDEX('Final Calculation Sheet'!$AF$4:$AF$40,$BJ42-3)="","",INDEX('Final Calculation Sheet'!$AF$4:$AF$40,$BJ42-3)),IF(OR($BI42=1,$BL42=1,$BH42&gt;0),"–",""))</f>
        <v/>
      </c>
      <c r="AH43" s="70">
        <f>IF($BJ42&gt;0,IF(INDEX('Final Calculation Sheet'!$AG$4:$AG$40,$BJ42-3)="","",INDEX('Final Calculation Sheet'!$AG$4:$AG$40,$BJ42-3)),IF(OR($BI42=1,$BL42=1,$BH42&gt;0),"–",""))</f>
        <v/>
      </c>
      <c r="AI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0">
        <f>IF($BJ43&gt;0,IF(INDEX('Final Calculation Sheet'!$AE$4:$AE$40,$BJ43-3)="","",INDEX('Final Calculation Sheet'!$AE$4:$AE$40,$BJ43-3)),IF(OR($BI43=1,$BL43=1,$BH43&gt;0),"–",""))</f>
        <v/>
      </c>
      <c r="AG44" s="74">
        <f>IF($BJ43&gt;0,IF(INDEX('Final Calculation Sheet'!$AF$4:$AF$40,$BJ43-3)="","",INDEX('Final Calculation Sheet'!$AF$4:$AF$40,$BJ43-3)),IF(OR($BI43=1,$BL43=1,$BH43&gt;0),"–",""))</f>
        <v/>
      </c>
      <c r="AH44" s="70">
        <f>IF($BJ43&gt;0,IF(INDEX('Final Calculation Sheet'!$AG$4:$AG$40,$BJ43-3)="","",INDEX('Final Calculation Sheet'!$AG$4:$AG$40,$BJ43-3)),IF(OR($BI43=1,$BL43=1,$BH43&gt;0),"–",""))</f>
        <v/>
      </c>
      <c r="AI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0">
        <f>IF($BJ44&gt;0,IF(INDEX('Final Calculation Sheet'!$AE$4:$AE$40,$BJ44-3)="","",INDEX('Final Calculation Sheet'!$AE$4:$AE$40,$BJ44-3)),IF(OR($BI44=1,$BL44=1,$BH44&gt;0),"–",""))</f>
        <v/>
      </c>
      <c r="AG45" s="74">
        <f>IF($BJ44&gt;0,IF(INDEX('Final Calculation Sheet'!$AF$4:$AF$40,$BJ44-3)="","",INDEX('Final Calculation Sheet'!$AF$4:$AF$40,$BJ44-3)),IF(OR($BI44=1,$BL44=1,$BH44&gt;0),"–",""))</f>
        <v/>
      </c>
      <c r="AH45" s="70">
        <f>IF($BJ44&gt;0,IF(INDEX('Final Calculation Sheet'!$AG$4:$AG$40,$BJ44-3)="","",INDEX('Final Calculation Sheet'!$AG$4:$AG$40,$BJ44-3)),IF(OR($BI44=1,$BL44=1,$BH44&gt;0),"–",""))</f>
        <v/>
      </c>
      <c r="AI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f>IF($BJ45&gt;0,IF(INDEX('Final Calculation Sheet'!$AE$4:$AE$40,$BJ45-3)="","",INDEX('Final Calculation Sheet'!$AE$4:$AE$40,$BJ45-3)),IF(OR($BI45=1,$BL45=1,$BH45&gt;0),"–",""))</f>
        <v/>
      </c>
      <c r="AG46" s="74">
        <f>IF($BJ45&gt;0,IF(INDEX('Final Calculation Sheet'!$AF$4:$AF$40,$BJ45-3)="","",INDEX('Final Calculation Sheet'!$AF$4:$AF$40,$BJ45-3)),IF(OR($BI45=1,$BL45=1,$BH45&gt;0),"–",""))</f>
        <v/>
      </c>
      <c r="AH46" s="70">
        <f>IF($BJ45&gt;0,IF(INDEX('Final Calculation Sheet'!$AG$4:$AG$40,$BJ45-3)="","",INDEX('Final Calculation Sheet'!$AG$4:$AG$40,$BJ45-3)),IF(OR($BI45=1,$BL45=1,$BH45&gt;0),"–",""))</f>
        <v/>
      </c>
      <c r="AI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f>IF($BJ46&gt;0,IF(INDEX('Final Calculation Sheet'!$AE$4:$AE$40,$BJ46-3)="","",INDEX('Final Calculation Sheet'!$AE$4:$AE$40,$BJ46-3)),IF(OR($BI46=1,$BL46=1,$BH46&gt;0),"–",""))</f>
        <v/>
      </c>
      <c r="AG47" s="74">
        <f>IF($BJ46&gt;0,IF(INDEX('Final Calculation Sheet'!$AF$4:$AF$40,$BJ46-3)="","",INDEX('Final Calculation Sheet'!$AF$4:$AF$40,$BJ46-3)),IF(OR($BI46=1,$BL46=1,$BH46&gt;0),"–",""))</f>
        <v/>
      </c>
      <c r="AH47" s="70">
        <f>IF($BJ46&gt;0,IF(INDEX('Final Calculation Sheet'!$AG$4:$AG$40,$BJ46-3)="","",INDEX('Final Calculation Sheet'!$AG$4:$AG$40,$BJ46-3)),IF(OR($BI46=1,$BL46=1,$BH46&gt;0),"–",""))</f>
        <v/>
      </c>
      <c r="AI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f>IF($BJ47&gt;0,IF(INDEX('Final Calculation Sheet'!$AE$4:$AE$40,$BJ47-3)="","",INDEX('Final Calculation Sheet'!$AE$4:$AE$40,$BJ47-3)),IF(OR($BI47=1,$BL47=1,$BH47&gt;0),"–",""))</f>
        <v/>
      </c>
      <c r="AG48" s="74">
        <f>IF($BJ47&gt;0,IF(INDEX('Final Calculation Sheet'!$AF$4:$AF$40,$BJ47-3)="","",INDEX('Final Calculation Sheet'!$AF$4:$AF$40,$BJ47-3)),IF(OR($BI47=1,$BL47=1,$BH47&gt;0),"–",""))</f>
        <v/>
      </c>
      <c r="AH48" s="70">
        <f>IF($BJ47&gt;0,IF(INDEX('Final Calculation Sheet'!$AG$4:$AG$40,$BJ47-3)="","",INDEX('Final Calculation Sheet'!$AG$4:$AG$40,$BJ47-3)),IF(OR($BI47=1,$BL47=1,$BH47&gt;0),"–",""))</f>
        <v/>
      </c>
      <c r="AI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f>IF($BJ48&gt;0,IF(INDEX('Final Calculation Sheet'!$AE$4:$AE$40,$BJ48-3)="","",INDEX('Final Calculation Sheet'!$AE$4:$AE$40,$BJ48-3)),IF(OR($BI48=1,$BL48=1,$BH48&gt;0),"–",""))</f>
        <v/>
      </c>
      <c r="AG49" s="74">
        <f>IF($BJ48&gt;0,IF(INDEX('Final Calculation Sheet'!$AF$4:$AF$40,$BJ48-3)="","",INDEX('Final Calculation Sheet'!$AF$4:$AF$40,$BJ48-3)),IF(OR($BI48=1,$BL48=1,$BH48&gt;0),"–",""))</f>
        <v/>
      </c>
      <c r="AH49" s="70">
        <f>IF($BJ48&gt;0,IF(INDEX('Final Calculation Sheet'!$AG$4:$AG$40,$BJ48-3)="","",INDEX('Final Calculation Sheet'!$AG$4:$AG$40,$BJ48-3)),IF(OR($BI48=1,$BL48=1,$BH48&gt;0),"–",""))</f>
        <v/>
      </c>
      <c r="AI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f>IF($BJ49&gt;0,IF(INDEX('Final Calculation Sheet'!$AE$4:$AE$40,$BJ49-3)="","",INDEX('Final Calculation Sheet'!$AE$4:$AE$40,$BJ49-3)),IF(OR($BI49=1,$BL49=1,$BH49&gt;0),"–",""))</f>
        <v/>
      </c>
      <c r="AG50" s="74">
        <f>IF($BJ49&gt;0,IF(INDEX('Final Calculation Sheet'!$AF$4:$AF$40,$BJ49-3)="","",INDEX('Final Calculation Sheet'!$AF$4:$AF$40,$BJ49-3)),IF(OR($BI49=1,$BL49=1,$BH49&gt;0),"–",""))</f>
        <v/>
      </c>
      <c r="AH50" s="70">
        <f>IF($BJ49&gt;0,IF(INDEX('Final Calculation Sheet'!$AG$4:$AG$40,$BJ49-3)="","",INDEX('Final Calculation Sheet'!$AG$4:$AG$40,$BJ49-3)),IF(OR($BI49=1,$BL49=1,$BH49&gt;0),"–",""))</f>
        <v/>
      </c>
      <c r="AI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f>IF($BJ50&gt;0,IF(INDEX('Final Calculation Sheet'!$AE$4:$AE$40,$BJ50-3)="","",INDEX('Final Calculation Sheet'!$AE$4:$AE$40,$BJ50-3)),IF(OR($BI50=1,$BL50=1,$BH50&gt;0),"–",""))</f>
        <v/>
      </c>
      <c r="AG51" s="74">
        <f>IF($BJ50&gt;0,IF(INDEX('Final Calculation Sheet'!$AF$4:$AF$40,$BJ50-3)="","",INDEX('Final Calculation Sheet'!$AF$4:$AF$40,$BJ50-3)),IF(OR($BI50=1,$BL50=1,$BH50&gt;0),"–",""))</f>
        <v/>
      </c>
      <c r="AH51" s="70">
        <f>IF($BJ50&gt;0,IF(INDEX('Final Calculation Sheet'!$AG$4:$AG$40,$BJ50-3)="","",INDEX('Final Calculation Sheet'!$AG$4:$AG$40,$BJ50-3)),IF(OR($BI50=1,$BL50=1,$BH50&gt;0),"–",""))</f>
        <v/>
      </c>
      <c r="AI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f>IF($BJ51&gt;0,IF(INDEX('Final Calculation Sheet'!$AE$4:$AE$40,$BJ51-3)="","",INDEX('Final Calculation Sheet'!$AE$4:$AE$40,$BJ51-3)),IF(OR($BI51=1,$BL51=1,$BH51&gt;0),"–",""))</f>
        <v/>
      </c>
      <c r="AG52" s="74">
        <f>IF($BJ51&gt;0,IF(INDEX('Final Calculation Sheet'!$AF$4:$AF$40,$BJ51-3)="","",INDEX('Final Calculation Sheet'!$AF$4:$AF$40,$BJ51-3)),IF(OR($BI51=1,$BL51=1,$BH51&gt;0),"–",""))</f>
        <v/>
      </c>
      <c r="AH52" s="70">
        <f>IF($BJ51&gt;0,IF(INDEX('Final Calculation Sheet'!$AG$4:$AG$40,$BJ51-3)="","",INDEX('Final Calculation Sheet'!$AG$4:$AG$40,$BJ51-3)),IF(OR($BI51=1,$BL51=1,$BH51&gt;0),"–",""))</f>
        <v/>
      </c>
      <c r="AI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f>IF($BJ52&gt;0,IF(INDEX('Final Calculation Sheet'!$AE$4:$AE$40,$BJ52-3)="","",INDEX('Final Calculation Sheet'!$AE$4:$AE$40,$BJ52-3)),IF(OR($BI52=1,$BL52=1,$BH52&gt;0),"–",""))</f>
        <v/>
      </c>
      <c r="AG53" s="74">
        <f>IF($BJ52&gt;0,IF(INDEX('Final Calculation Sheet'!$AF$4:$AF$40,$BJ52-3)="","",INDEX('Final Calculation Sheet'!$AF$4:$AF$40,$BJ52-3)),IF(OR($BI52=1,$BL52=1,$BH52&gt;0),"–",""))</f>
        <v/>
      </c>
      <c r="AH53" s="70">
        <f>IF($BJ52&gt;0,IF(INDEX('Final Calculation Sheet'!$AG$4:$AG$40,$BJ52-3)="","",INDEX('Final Calculation Sheet'!$AG$4:$AG$40,$BJ52-3)),IF(OR($BI52=1,$BL52=1,$BH52&gt;0),"–",""))</f>
        <v/>
      </c>
      <c r="AI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f>IF($BJ53&gt;0,IF(INDEX('Final Calculation Sheet'!$AE$4:$AE$40,$BJ53-3)="","",INDEX('Final Calculation Sheet'!$AE$4:$AE$40,$BJ53-3)),IF(OR($BI53=1,$BL53=1,$BH53&gt;0),"–",""))</f>
        <v/>
      </c>
      <c r="AG54" s="74">
        <f>IF($BJ53&gt;0,IF(INDEX('Final Calculation Sheet'!$AF$4:$AF$40,$BJ53-3)="","",INDEX('Final Calculation Sheet'!$AF$4:$AF$40,$BJ53-3)),IF(OR($BI53=1,$BL53=1,$BH53&gt;0),"–",""))</f>
        <v/>
      </c>
      <c r="AH54" s="70">
        <f>IF($BJ53&gt;0,IF(INDEX('Final Calculation Sheet'!$AG$4:$AG$40,$BJ53-3)="","",INDEX('Final Calculation Sheet'!$AG$4:$AG$40,$BJ53-3)),IF(OR($BI53=1,$BL53=1,$BH53&gt;0),"–",""))</f>
        <v/>
      </c>
      <c r="AI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width="13.42578125" customWidth="1" style="137" min="17" max="19"/>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J:N to expand/collapse GST through Service Charge to MSTC.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IF(AND(Lists!$FI$4&lt;&gt;"",ISNUMBER(SEARCH($AF$4,Lists!$FI$4))),1,0)</f>
        <v/>
      </c>
      <c r="CV4">
        <f>IF(ROW()-3&gt;MAX($CU$4:$CU$42),"",INDEX(Lists!$FI$4:$FI$42,MATCH(ROW()-3,$CU$4:$CU$42,0)))</f>
        <v/>
      </c>
      <c r="CW4">
        <f>IF(AND(Lists!$FN$4&lt;&gt;"",ISNUMBER(SEARCH($AG$4,Lists!$FN$4))),1,0)</f>
        <v/>
      </c>
      <c r="CX4">
        <f>IF(ROW()-3&gt;MAX($CW$4:$CW$42),"",INDEX(Lists!$FN$4:$FN$42,MATCH(ROW()-3,$CW$4:$CW$42,0)))</f>
        <v/>
      </c>
      <c r="CY4">
        <f>IF(AND(Lists!$FS$4&lt;&gt;"",ISNUMBER(SEARCH($AH$4,Lists!$FS$4))),1,0)</f>
        <v/>
      </c>
      <c r="CZ4">
        <f>IF(ROW()-3&gt;MAX($CY$4:$CY$42),"",INDEX(Lists!$FS$4:$FS$42,MATCH(ROW()-3,$CY$4:$CY$42,0)))</f>
        <v/>
      </c>
      <c r="DA4">
        <f>IF(AND(Lists!$FX$4&lt;&gt;"",ISNUMBER(SEARCH($AI$4,Lists!$FX$4))),1,0)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CU4+IF(AND(Lists!$FI$5&lt;&gt;"",ISNUMBER(SEARCH($AF$4,Lists!$FI$5))),1,0)</f>
        <v/>
      </c>
      <c r="CV5">
        <f>IF(ROW()-3&gt;MAX($CU$4:$CU$42),"",INDEX(Lists!$FI$4:$FI$42,MATCH(ROW()-3,$CU$4:$CU$42,0)))</f>
        <v/>
      </c>
      <c r="CW5">
        <f>CW4+IF(AND(Lists!$FN$5&lt;&gt;"",ISNUMBER(SEARCH($AG$4,Lists!$FN$5))),1,0)</f>
        <v/>
      </c>
      <c r="CX5">
        <f>IF(ROW()-3&gt;MAX($CW$4:$CW$42),"",INDEX(Lists!$FN$4:$FN$42,MATCH(ROW()-3,$CW$4:$CW$42,0)))</f>
        <v/>
      </c>
      <c r="CY5">
        <f>CY4+IF(AND(Lists!$FS$5&lt;&gt;"",ISNUMBER(SEARCH($AH$4,Lists!$FS$5))),1,0)</f>
        <v/>
      </c>
      <c r="CZ5">
        <f>IF(ROW()-3&gt;MAX($CY$4:$CY$42),"",INDEX(Lists!$FS$4:$FS$42,MATCH(ROW()-3,$CY$4:$CY$42,0)))</f>
        <v/>
      </c>
      <c r="DA5">
        <f>DA4+IF(AND(Lists!$FX$5&lt;&gt;"",ISNUMBER(SEARCH($AI$4,Lists!$FX$5))),1,0)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0">
        <f>IF('Final Calculation Sheet'!$AE$4="","",'Final Calculation Sheet'!$AE$4)</f>
        <v/>
      </c>
      <c r="AG6" s="74">
        <f>IF('Final Calculation Sheet'!$AF$4="","",'Final Calculation Sheet'!$AF$4)</f>
        <v/>
      </c>
      <c r="AH6" s="70">
        <f>IF('Final Calculation Sheet'!$AG$4="","",'Final Calculation Sheet'!$AG$4)</f>
        <v/>
      </c>
      <c r="AI6" s="75">
        <f>IF('Final Calculation Sheet'!$AD$4="","",IF('Final Calculation Sheet'!$AD$4&lt;=5,"SETTLED","OUTSTANDING"))</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CU5+IF(AND(Lists!$FI$6&lt;&gt;"",ISNUMBER(SEARCH($AF$4,Lists!$FI$6))),1,0)</f>
        <v/>
      </c>
      <c r="CV6">
        <f>IF(ROW()-3&gt;MAX($CU$4:$CU$42),"",INDEX(Lists!$FI$4:$FI$42,MATCH(ROW()-3,$CU$4:$CU$42,0)))</f>
        <v/>
      </c>
      <c r="CW6">
        <f>CW5+IF(AND(Lists!$FN$6&lt;&gt;"",ISNUMBER(SEARCH($AG$4,Lists!$FN$6))),1,0)</f>
        <v/>
      </c>
      <c r="CX6">
        <f>IF(ROW()-3&gt;MAX($CW$4:$CW$42),"",INDEX(Lists!$FN$4:$FN$42,MATCH(ROW()-3,$CW$4:$CW$42,0)))</f>
        <v/>
      </c>
      <c r="CY6">
        <f>CY5+IF(AND(Lists!$FS$6&lt;&gt;"",ISNUMBER(SEARCH($AH$4,Lists!$FS$6))),1,0)</f>
        <v/>
      </c>
      <c r="CZ6">
        <f>IF(ROW()-3&gt;MAX($CY$4:$CY$42),"",INDEX(Lists!$FS$4:$FS$42,MATCH(ROW()-3,$CY$4:$CY$42,0)))</f>
        <v/>
      </c>
      <c r="DA6">
        <f>DA5+IF(AND(Lists!$FX$6&lt;&gt;"",ISNUMBER(SEARCH($AI$4,Lists!$FX$6))),1,0)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4" t="inlineStr">
        <is>
          <t>–</t>
        </is>
      </c>
      <c r="AG7" s="88" t="inlineStr">
        <is>
          <t>–</t>
        </is>
      </c>
      <c r="AH7" s="84" t="inlineStr">
        <is>
          <t>–</t>
        </is>
      </c>
      <c r="AI7" s="89">
        <f>IF(AE7&lt;=5,"SETTLED","OUTSTANDING")</f>
        <v/>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CU6+IF(AND(Lists!$FI$7&lt;&gt;"",ISNUMBER(SEARCH($AF$4,Lists!$FI$7))),1,0)</f>
        <v/>
      </c>
      <c r="CV7">
        <f>IF(ROW()-3&gt;MAX($CU$4:$CU$42),"",INDEX(Lists!$FI$4:$FI$42,MATCH(ROW()-3,$CU$4:$CU$42,0)))</f>
        <v/>
      </c>
      <c r="CW7">
        <f>CW6+IF(AND(Lists!$FN$7&lt;&gt;"",ISNUMBER(SEARCH($AG$4,Lists!$FN$7))),1,0)</f>
        <v/>
      </c>
      <c r="CX7">
        <f>IF(ROW()-3&gt;MAX($CW$4:$CW$42),"",INDEX(Lists!$FN$4:$FN$42,MATCH(ROW()-3,$CW$4:$CW$42,0)))</f>
        <v/>
      </c>
      <c r="CY7">
        <f>CY6+IF(AND(Lists!$FS$7&lt;&gt;"",ISNUMBER(SEARCH($AH$4,Lists!$FS$7))),1,0)</f>
        <v/>
      </c>
      <c r="CZ7">
        <f>IF(ROW()-3&gt;MAX($CY$4:$CY$42),"",INDEX(Lists!$FS$4:$FS$42,MATCH(ROW()-3,$CY$4:$CY$42,0)))</f>
        <v/>
      </c>
      <c r="DA7">
        <f>DA6+IF(AND(Lists!$FX$7&lt;&gt;"",ISNUMBER(SEARCH($AI$4,Lists!$FX$7))),1,0)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0">
        <f>IF('Final Calculation Sheet'!$AE$6="","",'Final Calculation Sheet'!$AE$6)</f>
        <v/>
      </c>
      <c r="AG8" s="74">
        <f>IF('Final Calculation Sheet'!$AF$6="","",'Final Calculation Sheet'!$AF$6)</f>
        <v/>
      </c>
      <c r="AH8" s="70">
        <f>IF('Final Calculation Sheet'!$AG$6="","",'Final Calculation Sheet'!$AG$6)</f>
        <v/>
      </c>
      <c r="AI8" s="75">
        <f>IF('Final Calculation Sheet'!$AD$6="","",IF('Final Calculation Sheet'!$AD$6&lt;=5,"SETTLED","OUTSTANDING"))</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CU7+IF(AND(Lists!$FI$8&lt;&gt;"",ISNUMBER(SEARCH($AF$4,Lists!$FI$8))),1,0)</f>
        <v/>
      </c>
      <c r="CV8">
        <f>IF(ROW()-3&gt;MAX($CU$4:$CU$42),"",INDEX(Lists!$FI$4:$FI$42,MATCH(ROW()-3,$CU$4:$CU$42,0)))</f>
        <v/>
      </c>
      <c r="CW8">
        <f>CW7+IF(AND(Lists!$FN$8&lt;&gt;"",ISNUMBER(SEARCH($AG$4,Lists!$FN$8))),1,0)</f>
        <v/>
      </c>
      <c r="CX8">
        <f>IF(ROW()-3&gt;MAX($CW$4:$CW$42),"",INDEX(Lists!$FN$4:$FN$42,MATCH(ROW()-3,$CW$4:$CW$42,0)))</f>
        <v/>
      </c>
      <c r="CY8">
        <f>CY7+IF(AND(Lists!$FS$8&lt;&gt;"",ISNUMBER(SEARCH($AH$4,Lists!$FS$8))),1,0)</f>
        <v/>
      </c>
      <c r="CZ8">
        <f>IF(ROW()-3&gt;MAX($CY$4:$CY$42),"",INDEX(Lists!$FS$4:$FS$42,MATCH(ROW()-3,$CY$4:$CY$42,0)))</f>
        <v/>
      </c>
      <c r="DA8">
        <f>DA7+IF(AND(Lists!$FX$8&lt;&gt;"",ISNUMBER(SEARCH($AI$4,Lists!$FX$8))),1,0)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95">
        <f>IF('Final Calculation Sheet'!$AE$7="","",'Final Calculation Sheet'!$AE$7)</f>
        <v/>
      </c>
      <c r="AG9" s="99">
        <f>IF('Final Calculation Sheet'!$AF$7="","",'Final Calculation Sheet'!$AF$7)</f>
        <v/>
      </c>
      <c r="AH9" s="95">
        <f>IF('Final Calculation Sheet'!$AG$7="","",'Final Calculation Sheet'!$AG$7)</f>
        <v/>
      </c>
      <c r="AI9" s="100">
        <f>IF('Final Calculation Sheet'!$AD$7="","",IF('Final Calculation Sheet'!$AD$7&lt;=5,"SETTLED","OUTSTANDING"))</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CU8+IF(AND(Lists!$FI$9&lt;&gt;"",ISNUMBER(SEARCH($AF$4,Lists!$FI$9))),1,0)</f>
        <v/>
      </c>
      <c r="CV9">
        <f>IF(ROW()-3&gt;MAX($CU$4:$CU$42),"",INDEX(Lists!$FI$4:$FI$42,MATCH(ROW()-3,$CU$4:$CU$42,0)))</f>
        <v/>
      </c>
      <c r="CW9">
        <f>CW8+IF(AND(Lists!$FN$9&lt;&gt;"",ISNUMBER(SEARCH($AG$4,Lists!$FN$9))),1,0)</f>
        <v/>
      </c>
      <c r="CX9">
        <f>IF(ROW()-3&gt;MAX($CW$4:$CW$42),"",INDEX(Lists!$FN$4:$FN$42,MATCH(ROW()-3,$CW$4:$CW$42,0)))</f>
        <v/>
      </c>
      <c r="CY9">
        <f>CY8+IF(AND(Lists!$FS$9&lt;&gt;"",ISNUMBER(SEARCH($AH$4,Lists!$FS$9))),1,0)</f>
        <v/>
      </c>
      <c r="CZ9">
        <f>IF(ROW()-3&gt;MAX($CY$4:$CY$42),"",INDEX(Lists!$FS$4:$FS$42,MATCH(ROW()-3,$CY$4:$CY$42,0)))</f>
        <v/>
      </c>
      <c r="DA9">
        <f>DA8+IF(AND(Lists!$FX$9&lt;&gt;"",ISNUMBER(SEARCH($AI$4,Lists!$FX$9))),1,0)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4" t="inlineStr">
        <is>
          <t>–</t>
        </is>
      </c>
      <c r="AG10" s="88" t="inlineStr">
        <is>
          <t>–</t>
        </is>
      </c>
      <c r="AH10" s="84" t="inlineStr">
        <is>
          <t>–</t>
        </is>
      </c>
      <c r="AI10" s="89">
        <f>IF(AE10&lt;=5,"SETTLED","OUTSTANDING")</f>
        <v/>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CU9+IF(AND(Lists!$FI$10&lt;&gt;"",ISNUMBER(SEARCH($AF$4,Lists!$FI$10))),1,0)</f>
        <v/>
      </c>
      <c r="CV10">
        <f>IF(ROW()-3&gt;MAX($CU$4:$CU$42),"",INDEX(Lists!$FI$4:$FI$42,MATCH(ROW()-3,$CU$4:$CU$42,0)))</f>
        <v/>
      </c>
      <c r="CW10">
        <f>CW9+IF(AND(Lists!$FN$10&lt;&gt;"",ISNUMBER(SEARCH($AG$4,Lists!$FN$10))),1,0)</f>
        <v/>
      </c>
      <c r="CX10">
        <f>IF(ROW()-3&gt;MAX($CW$4:$CW$42),"",INDEX(Lists!$FN$4:$FN$42,MATCH(ROW()-3,$CW$4:$CW$42,0)))</f>
        <v/>
      </c>
      <c r="CY10">
        <f>CY9+IF(AND(Lists!$FS$10&lt;&gt;"",ISNUMBER(SEARCH($AH$4,Lists!$FS$10))),1,0)</f>
        <v/>
      </c>
      <c r="CZ10">
        <f>IF(ROW()-3&gt;MAX($CY$4:$CY$42),"",INDEX(Lists!$FS$4:$FS$42,MATCH(ROW()-3,$CY$4:$CY$42,0)))</f>
        <v/>
      </c>
      <c r="DA10">
        <f>DA9+IF(AND(Lists!$FX$10&lt;&gt;"",ISNUMBER(SEARCH($AI$4,Lists!$FX$10))),1,0)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0">
        <f>IF('Final Calculation Sheet'!$AE$15="","",'Final Calculation Sheet'!$AE$15)</f>
        <v/>
      </c>
      <c r="AG11" s="74">
        <f>IF('Final Calculation Sheet'!$AF$15="","",'Final Calculation Sheet'!$AF$15)</f>
        <v/>
      </c>
      <c r="AH11" s="70">
        <f>IF('Final Calculation Sheet'!$AG$15="","",'Final Calculation Sheet'!$AG$15)</f>
        <v/>
      </c>
      <c r="AI11" s="75">
        <f>IF('Final Calculation Sheet'!$AD$15="","",IF('Final Calculation Sheet'!$AD$15&lt;=5,"SETTLED","OUTSTANDING"))</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CU10+IF(AND(Lists!$FI$11&lt;&gt;"",ISNUMBER(SEARCH($AF$4,Lists!$FI$11))),1,0)</f>
        <v/>
      </c>
      <c r="CV11">
        <f>IF(ROW()-3&gt;MAX($CU$4:$CU$42),"",INDEX(Lists!$FI$4:$FI$42,MATCH(ROW()-3,$CU$4:$CU$42,0)))</f>
        <v/>
      </c>
      <c r="CW11">
        <f>CW10+IF(AND(Lists!$FN$11&lt;&gt;"",ISNUMBER(SEARCH($AG$4,Lists!$FN$11))),1,0)</f>
        <v/>
      </c>
      <c r="CX11">
        <f>IF(ROW()-3&gt;MAX($CW$4:$CW$42),"",INDEX(Lists!$FN$4:$FN$42,MATCH(ROW()-3,$CW$4:$CW$42,0)))</f>
        <v/>
      </c>
      <c r="CY11">
        <f>CY10+IF(AND(Lists!$FS$11&lt;&gt;"",ISNUMBER(SEARCH($AH$4,Lists!$FS$11))),1,0)</f>
        <v/>
      </c>
      <c r="CZ11">
        <f>IF(ROW()-3&gt;MAX($CY$4:$CY$42),"",INDEX(Lists!$FS$4:$FS$42,MATCH(ROW()-3,$CY$4:$CY$42,0)))</f>
        <v/>
      </c>
      <c r="DA11">
        <f>DA10+IF(AND(Lists!$FX$11&lt;&gt;"",ISNUMBER(SEARCH($AI$4,Lists!$FX$11))),1,0)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4" t="inlineStr">
        <is>
          <t>–</t>
        </is>
      </c>
      <c r="AG12" s="88" t="inlineStr">
        <is>
          <t>–</t>
        </is>
      </c>
      <c r="AH12" s="84" t="inlineStr">
        <is>
          <t>–</t>
        </is>
      </c>
      <c r="AI12" s="89">
        <f>IF(AE12&lt;=5,"SETTLED","OUTSTANDING")</f>
        <v/>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CU11+IF(AND(Lists!$FI$12&lt;&gt;"",ISNUMBER(SEARCH($AF$4,Lists!$FI$12))),1,0)</f>
        <v/>
      </c>
      <c r="CV12">
        <f>IF(ROW()-3&gt;MAX($CU$4:$CU$42),"",INDEX(Lists!$FI$4:$FI$42,MATCH(ROW()-3,$CU$4:$CU$42,0)))</f>
        <v/>
      </c>
      <c r="CW12">
        <f>CW11+IF(AND(Lists!$FN$12&lt;&gt;"",ISNUMBER(SEARCH($AG$4,Lists!$FN$12))),1,0)</f>
        <v/>
      </c>
      <c r="CX12">
        <f>IF(ROW()-3&gt;MAX($CW$4:$CW$42),"",INDEX(Lists!$FN$4:$FN$42,MATCH(ROW()-3,$CW$4:$CW$42,0)))</f>
        <v/>
      </c>
      <c r="CY12">
        <f>CY11+IF(AND(Lists!$FS$12&lt;&gt;"",ISNUMBER(SEARCH($AH$4,Lists!$FS$12))),1,0)</f>
        <v/>
      </c>
      <c r="CZ12">
        <f>IF(ROW()-3&gt;MAX($CY$4:$CY$42),"",INDEX(Lists!$FS$4:$FS$42,MATCH(ROW()-3,$CY$4:$CY$42,0)))</f>
        <v/>
      </c>
      <c r="DA12">
        <f>DA11+IF(AND(Lists!$FX$12&lt;&gt;"",ISNUMBER(SEARCH($AI$4,Lists!$FX$12))),1,0)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0">
        <f>IF('Final Calculation Sheet'!$AE$38="","",'Final Calculation Sheet'!$AE$38)</f>
        <v/>
      </c>
      <c r="AG13" s="74">
        <f>IF('Final Calculation Sheet'!$AF$38="","",'Final Calculation Sheet'!$AF$38)</f>
        <v/>
      </c>
      <c r="AH13" s="70">
        <f>IF('Final Calculation Sheet'!$AG$38="","",'Final Calculation Sheet'!$AG$38)</f>
        <v/>
      </c>
      <c r="AI13" s="75">
        <f>IF('Final Calculation Sheet'!$AD$38="","",IF('Final Calculation Sheet'!$AD$38&lt;=5,"SETTLED","OUTSTANDING"))</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CU12+IF(AND(Lists!$FI$13&lt;&gt;"",ISNUMBER(SEARCH($AF$4,Lists!$FI$13))),1,0)</f>
        <v/>
      </c>
      <c r="CV13">
        <f>IF(ROW()-3&gt;MAX($CU$4:$CU$42),"",INDEX(Lists!$FI$4:$FI$42,MATCH(ROW()-3,$CU$4:$CU$42,0)))</f>
        <v/>
      </c>
      <c r="CW13">
        <f>CW12+IF(AND(Lists!$FN$13&lt;&gt;"",ISNUMBER(SEARCH($AG$4,Lists!$FN$13))),1,0)</f>
        <v/>
      </c>
      <c r="CX13">
        <f>IF(ROW()-3&gt;MAX($CW$4:$CW$42),"",INDEX(Lists!$FN$4:$FN$42,MATCH(ROW()-3,$CW$4:$CW$42,0)))</f>
        <v/>
      </c>
      <c r="CY13">
        <f>CY12+IF(AND(Lists!$FS$13&lt;&gt;"",ISNUMBER(SEARCH($AH$4,Lists!$FS$13))),1,0)</f>
        <v/>
      </c>
      <c r="CZ13">
        <f>IF(ROW()-3&gt;MAX($CY$4:$CY$42),"",INDEX(Lists!$FS$4:$FS$42,MATCH(ROW()-3,$CY$4:$CY$42,0)))</f>
        <v/>
      </c>
      <c r="DA13">
        <f>DA12+IF(AND(Lists!$FX$13&lt;&gt;"",ISNUMBER(SEARCH($AI$4,Lists!$FX$13))),1,0)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4" t="inlineStr">
        <is>
          <t>–</t>
        </is>
      </c>
      <c r="AG14" s="88" t="inlineStr">
        <is>
          <t>–</t>
        </is>
      </c>
      <c r="AH14" s="84" t="inlineStr">
        <is>
          <t>–</t>
        </is>
      </c>
      <c r="AI14" s="89">
        <f>IF(AE14&lt;=5,"SETTLED","OUTSTANDING")</f>
        <v/>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CU13+IF(AND(Lists!$FI$14&lt;&gt;"",ISNUMBER(SEARCH($AF$4,Lists!$FI$14))),1,0)</f>
        <v/>
      </c>
      <c r="CV14">
        <f>IF(ROW()-3&gt;MAX($CU$4:$CU$42),"",INDEX(Lists!$FI$4:$FI$42,MATCH(ROW()-3,$CU$4:$CU$42,0)))</f>
        <v/>
      </c>
      <c r="CW14">
        <f>CW13+IF(AND(Lists!$FN$14&lt;&gt;"",ISNUMBER(SEARCH($AG$4,Lists!$FN$14))),1,0)</f>
        <v/>
      </c>
      <c r="CX14">
        <f>IF(ROW()-3&gt;MAX($CW$4:$CW$42),"",INDEX(Lists!$FN$4:$FN$42,MATCH(ROW()-3,$CW$4:$CW$42,0)))</f>
        <v/>
      </c>
      <c r="CY14">
        <f>CY13+IF(AND(Lists!$FS$14&lt;&gt;"",ISNUMBER(SEARCH($AH$4,Lists!$FS$14))),1,0)</f>
        <v/>
      </c>
      <c r="CZ14">
        <f>IF(ROW()-3&gt;MAX($CY$4:$CY$42),"",INDEX(Lists!$FS$4:$FS$42,MATCH(ROW()-3,$CY$4:$CY$42,0)))</f>
        <v/>
      </c>
      <c r="DA14">
        <f>DA13+IF(AND(Lists!$FX$14&lt;&gt;"",ISNUMBER(SEARCH($AI$4,Lists!$FX$14))),1,0)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0">
        <f>IF('Final Calculation Sheet'!$AE$27="","",'Final Calculation Sheet'!$AE$27)</f>
        <v/>
      </c>
      <c r="AG15" s="74">
        <f>IF('Final Calculation Sheet'!$AF$27="","",'Final Calculation Sheet'!$AF$27)</f>
        <v/>
      </c>
      <c r="AH15" s="70">
        <f>IF('Final Calculation Sheet'!$AG$27="","",'Final Calculation Sheet'!$AG$27)</f>
        <v/>
      </c>
      <c r="AI15" s="75">
        <f>IF('Final Calculation Sheet'!$AD$27="","",IF('Final Calculation Sheet'!$AD$27&lt;=5,"SETTLED","OUTSTANDING"))</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CU14+IF(AND(Lists!$FI$15&lt;&gt;"",ISNUMBER(SEARCH($AF$4,Lists!$FI$15))),1,0)</f>
        <v/>
      </c>
      <c r="CV15">
        <f>IF(ROW()-3&gt;MAX($CU$4:$CU$42),"",INDEX(Lists!$FI$4:$FI$42,MATCH(ROW()-3,$CU$4:$CU$42,0)))</f>
        <v/>
      </c>
      <c r="CW15">
        <f>CW14+IF(AND(Lists!$FN$15&lt;&gt;"",ISNUMBER(SEARCH($AG$4,Lists!$FN$15))),1,0)</f>
        <v/>
      </c>
      <c r="CX15">
        <f>IF(ROW()-3&gt;MAX($CW$4:$CW$42),"",INDEX(Lists!$FN$4:$FN$42,MATCH(ROW()-3,$CW$4:$CW$42,0)))</f>
        <v/>
      </c>
      <c r="CY15">
        <f>CY14+IF(AND(Lists!$FS$15&lt;&gt;"",ISNUMBER(SEARCH($AH$4,Lists!$FS$15))),1,0)</f>
        <v/>
      </c>
      <c r="CZ15">
        <f>IF(ROW()-3&gt;MAX($CY$4:$CY$42),"",INDEX(Lists!$FS$4:$FS$42,MATCH(ROW()-3,$CY$4:$CY$42,0)))</f>
        <v/>
      </c>
      <c r="DA15">
        <f>DA14+IF(AND(Lists!$FX$15&lt;&gt;"",ISNUMBER(SEARCH($AI$4,Lists!$FX$15))),1,0)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4" t="inlineStr">
        <is>
          <t>–</t>
        </is>
      </c>
      <c r="AG16" s="88" t="inlineStr">
        <is>
          <t>–</t>
        </is>
      </c>
      <c r="AH16" s="84" t="inlineStr">
        <is>
          <t>–</t>
        </is>
      </c>
      <c r="AI16" s="89">
        <f>IF(AE16&lt;=5,"SETTLED","OUTSTANDING")</f>
        <v/>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CU15+IF(AND(Lists!$FI$16&lt;&gt;"",ISNUMBER(SEARCH($AF$4,Lists!$FI$16))),1,0)</f>
        <v/>
      </c>
      <c r="CV16">
        <f>IF(ROW()-3&gt;MAX($CU$4:$CU$42),"",INDEX(Lists!$FI$4:$FI$42,MATCH(ROW()-3,$CU$4:$CU$42,0)))</f>
        <v/>
      </c>
      <c r="CW16">
        <f>CW15+IF(AND(Lists!$FN$16&lt;&gt;"",ISNUMBER(SEARCH($AG$4,Lists!$FN$16))),1,0)</f>
        <v/>
      </c>
      <c r="CX16">
        <f>IF(ROW()-3&gt;MAX($CW$4:$CW$42),"",INDEX(Lists!$FN$4:$FN$42,MATCH(ROW()-3,$CW$4:$CW$42,0)))</f>
        <v/>
      </c>
      <c r="CY16">
        <f>CY15+IF(AND(Lists!$FS$16&lt;&gt;"",ISNUMBER(SEARCH($AH$4,Lists!$FS$16))),1,0)</f>
        <v/>
      </c>
      <c r="CZ16">
        <f>IF(ROW()-3&gt;MAX($CY$4:$CY$42),"",INDEX(Lists!$FS$4:$FS$42,MATCH(ROW()-3,$CY$4:$CY$42,0)))</f>
        <v/>
      </c>
      <c r="DA16">
        <f>DA15+IF(AND(Lists!$FX$16&lt;&gt;"",ISNUMBER(SEARCH($AI$4,Lists!$FX$16))),1,0)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0">
        <f>IF('Final Calculation Sheet'!$AE$5="","",'Final Calculation Sheet'!$AE$5)</f>
        <v/>
      </c>
      <c r="AG17" s="74">
        <f>IF('Final Calculation Sheet'!$AF$5="","",'Final Calculation Sheet'!$AF$5)</f>
        <v/>
      </c>
      <c r="AH17" s="70">
        <f>IF('Final Calculation Sheet'!$AG$5="","",'Final Calculation Sheet'!$AG$5)</f>
        <v/>
      </c>
      <c r="AI17" s="75">
        <f>IF('Final Calculation Sheet'!$AD$5="","",IF('Final Calculation Sheet'!$AD$5&lt;=5,"SETTLED","OUTSTANDING"))</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CU16+IF(AND(Lists!$FI$17&lt;&gt;"",ISNUMBER(SEARCH($AF$4,Lists!$FI$17))),1,0)</f>
        <v/>
      </c>
      <c r="CV17">
        <f>IF(ROW()-3&gt;MAX($CU$4:$CU$42),"",INDEX(Lists!$FI$4:$FI$42,MATCH(ROW()-3,$CU$4:$CU$42,0)))</f>
        <v/>
      </c>
      <c r="CW17">
        <f>CW16+IF(AND(Lists!$FN$17&lt;&gt;"",ISNUMBER(SEARCH($AG$4,Lists!$FN$17))),1,0)</f>
        <v/>
      </c>
      <c r="CX17">
        <f>IF(ROW()-3&gt;MAX($CW$4:$CW$42),"",INDEX(Lists!$FN$4:$FN$42,MATCH(ROW()-3,$CW$4:$CW$42,0)))</f>
        <v/>
      </c>
      <c r="CY17">
        <f>CY16+IF(AND(Lists!$FS$17&lt;&gt;"",ISNUMBER(SEARCH($AH$4,Lists!$FS$17))),1,0)</f>
        <v/>
      </c>
      <c r="CZ17">
        <f>IF(ROW()-3&gt;MAX($CY$4:$CY$42),"",INDEX(Lists!$FS$4:$FS$42,MATCH(ROW()-3,$CY$4:$CY$42,0)))</f>
        <v/>
      </c>
      <c r="DA17">
        <f>DA16+IF(AND(Lists!$FX$17&lt;&gt;"",ISNUMBER(SEARCH($AI$4,Lists!$FX$17))),1,0)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95">
        <f>IF('Final Calculation Sheet'!$AE$10="","",'Final Calculation Sheet'!$AE$10)</f>
        <v/>
      </c>
      <c r="AG18" s="99">
        <f>IF('Final Calculation Sheet'!$AF$10="","",'Final Calculation Sheet'!$AF$10)</f>
        <v/>
      </c>
      <c r="AH18" s="95">
        <f>IF('Final Calculation Sheet'!$AG$10="","",'Final Calculation Sheet'!$AG$10)</f>
        <v/>
      </c>
      <c r="AI18" s="100">
        <f>IF('Final Calculation Sheet'!$AD$10="","",IF('Final Calculation Sheet'!$AD$10&lt;=5,"SETTLED","OUTSTANDING"))</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CU17+IF(AND(Lists!$FI$18&lt;&gt;"",ISNUMBER(SEARCH($AF$4,Lists!$FI$18))),1,0)</f>
        <v/>
      </c>
      <c r="CV18">
        <f>IF(ROW()-3&gt;MAX($CU$4:$CU$42),"",INDEX(Lists!$FI$4:$FI$42,MATCH(ROW()-3,$CU$4:$CU$42,0)))</f>
        <v/>
      </c>
      <c r="CW18">
        <f>CW17+IF(AND(Lists!$FN$18&lt;&gt;"",ISNUMBER(SEARCH($AG$4,Lists!$FN$18))),1,0)</f>
        <v/>
      </c>
      <c r="CX18">
        <f>IF(ROW()-3&gt;MAX($CW$4:$CW$42),"",INDEX(Lists!$FN$4:$FN$42,MATCH(ROW()-3,$CW$4:$CW$42,0)))</f>
        <v/>
      </c>
      <c r="CY18">
        <f>CY17+IF(AND(Lists!$FS$18&lt;&gt;"",ISNUMBER(SEARCH($AH$4,Lists!$FS$18))),1,0)</f>
        <v/>
      </c>
      <c r="CZ18">
        <f>IF(ROW()-3&gt;MAX($CY$4:$CY$42),"",INDEX(Lists!$FS$4:$FS$42,MATCH(ROW()-3,$CY$4:$CY$42,0)))</f>
        <v/>
      </c>
      <c r="DA18">
        <f>DA17+IF(AND(Lists!$FX$18&lt;&gt;"",ISNUMBER(SEARCH($AI$4,Lists!$FX$18))),1,0)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0">
        <f>IF('Final Calculation Sheet'!$AE$11="","",'Final Calculation Sheet'!$AE$11)</f>
        <v/>
      </c>
      <c r="AG19" s="74">
        <f>IF('Final Calculation Sheet'!$AF$11="","",'Final Calculation Sheet'!$AF$11)</f>
        <v/>
      </c>
      <c r="AH19" s="70">
        <f>IF('Final Calculation Sheet'!$AG$11="","",'Final Calculation Sheet'!$AG$11)</f>
        <v/>
      </c>
      <c r="AI19" s="75">
        <f>IF('Final Calculation Sheet'!$AD$11="","",IF('Final Calculation Sheet'!$AD$11&lt;=5,"SETTLED","OUTSTANDING"))</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CU18+IF(AND(Lists!$FI$19&lt;&gt;"",ISNUMBER(SEARCH($AF$4,Lists!$FI$19))),1,0)</f>
        <v/>
      </c>
      <c r="CV19">
        <f>IF(ROW()-3&gt;MAX($CU$4:$CU$42),"",INDEX(Lists!$FI$4:$FI$42,MATCH(ROW()-3,$CU$4:$CU$42,0)))</f>
        <v/>
      </c>
      <c r="CW19">
        <f>CW18+IF(AND(Lists!$FN$19&lt;&gt;"",ISNUMBER(SEARCH($AG$4,Lists!$FN$19))),1,0)</f>
        <v/>
      </c>
      <c r="CX19">
        <f>IF(ROW()-3&gt;MAX($CW$4:$CW$42),"",INDEX(Lists!$FN$4:$FN$42,MATCH(ROW()-3,$CW$4:$CW$42,0)))</f>
        <v/>
      </c>
      <c r="CY19">
        <f>CY18+IF(AND(Lists!$FS$19&lt;&gt;"",ISNUMBER(SEARCH($AH$4,Lists!$FS$19))),1,0)</f>
        <v/>
      </c>
      <c r="CZ19">
        <f>IF(ROW()-3&gt;MAX($CY$4:$CY$42),"",INDEX(Lists!$FS$4:$FS$42,MATCH(ROW()-3,$CY$4:$CY$42,0)))</f>
        <v/>
      </c>
      <c r="DA19">
        <f>DA18+IF(AND(Lists!$FX$19&lt;&gt;"",ISNUMBER(SEARCH($AI$4,Lists!$FX$19))),1,0)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95">
        <f>IF('Final Calculation Sheet'!$AE$12="","",'Final Calculation Sheet'!$AE$12)</f>
        <v/>
      </c>
      <c r="AG20" s="99">
        <f>IF('Final Calculation Sheet'!$AF$12="","",'Final Calculation Sheet'!$AF$12)</f>
        <v/>
      </c>
      <c r="AH20" s="95">
        <f>IF('Final Calculation Sheet'!$AG$12="","",'Final Calculation Sheet'!$AG$12)</f>
        <v/>
      </c>
      <c r="AI20" s="100">
        <f>IF('Final Calculation Sheet'!$AD$12="","",IF('Final Calculation Sheet'!$AD$12&lt;=5,"SETTLED","OUTSTANDING"))</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CU19+IF(AND(Lists!$FI$20&lt;&gt;"",ISNUMBER(SEARCH($AF$4,Lists!$FI$20))),1,0)</f>
        <v/>
      </c>
      <c r="CV20">
        <f>IF(ROW()-3&gt;MAX($CU$4:$CU$42),"",INDEX(Lists!$FI$4:$FI$42,MATCH(ROW()-3,$CU$4:$CU$42,0)))</f>
        <v/>
      </c>
      <c r="CW20">
        <f>CW19+IF(AND(Lists!$FN$20&lt;&gt;"",ISNUMBER(SEARCH($AG$4,Lists!$FN$20))),1,0)</f>
        <v/>
      </c>
      <c r="CX20">
        <f>IF(ROW()-3&gt;MAX($CW$4:$CW$42),"",INDEX(Lists!$FN$4:$FN$42,MATCH(ROW()-3,$CW$4:$CW$42,0)))</f>
        <v/>
      </c>
      <c r="CY20">
        <f>CY19+IF(AND(Lists!$FS$20&lt;&gt;"",ISNUMBER(SEARCH($AH$4,Lists!$FS$20))),1,0)</f>
        <v/>
      </c>
      <c r="CZ20">
        <f>IF(ROW()-3&gt;MAX($CY$4:$CY$42),"",INDEX(Lists!$FS$4:$FS$42,MATCH(ROW()-3,$CY$4:$CY$42,0)))</f>
        <v/>
      </c>
      <c r="DA20">
        <f>DA19+IF(AND(Lists!$FX$20&lt;&gt;"",ISNUMBER(SEARCH($AI$4,Lists!$FX$20))),1,0)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0">
        <f>IF('Final Calculation Sheet'!$AE$18="","",'Final Calculation Sheet'!$AE$18)</f>
        <v/>
      </c>
      <c r="AG21" s="74">
        <f>IF('Final Calculation Sheet'!$AF$18="","",'Final Calculation Sheet'!$AF$18)</f>
        <v/>
      </c>
      <c r="AH21" s="70">
        <f>IF('Final Calculation Sheet'!$AG$18="","",'Final Calculation Sheet'!$AG$18)</f>
        <v/>
      </c>
      <c r="AI21" s="75">
        <f>IF('Final Calculation Sheet'!$AD$18="","",IF('Final Calculation Sheet'!$AD$18&lt;=5,"SETTLED","OUTSTANDING"))</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CU20+IF(AND(Lists!$FI$21&lt;&gt;"",ISNUMBER(SEARCH($AF$4,Lists!$FI$21))),1,0)</f>
        <v/>
      </c>
      <c r="CV21">
        <f>IF(ROW()-3&gt;MAX($CU$4:$CU$42),"",INDEX(Lists!$FI$4:$FI$42,MATCH(ROW()-3,$CU$4:$CU$42,0)))</f>
        <v/>
      </c>
      <c r="CW21">
        <f>CW20+IF(AND(Lists!$FN$21&lt;&gt;"",ISNUMBER(SEARCH($AG$4,Lists!$FN$21))),1,0)</f>
        <v/>
      </c>
      <c r="CX21">
        <f>IF(ROW()-3&gt;MAX($CW$4:$CW$42),"",INDEX(Lists!$FN$4:$FN$42,MATCH(ROW()-3,$CW$4:$CW$42,0)))</f>
        <v/>
      </c>
      <c r="CY21">
        <f>CY20+IF(AND(Lists!$FS$21&lt;&gt;"",ISNUMBER(SEARCH($AH$4,Lists!$FS$21))),1,0)</f>
        <v/>
      </c>
      <c r="CZ21">
        <f>IF(ROW()-3&gt;MAX($CY$4:$CY$42),"",INDEX(Lists!$FS$4:$FS$42,MATCH(ROW()-3,$CY$4:$CY$42,0)))</f>
        <v/>
      </c>
      <c r="DA21">
        <f>DA20+IF(AND(Lists!$FX$21&lt;&gt;"",ISNUMBER(SEARCH($AI$4,Lists!$FX$21))),1,0)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95">
        <f>IF('Final Calculation Sheet'!$AE$19="","",'Final Calculation Sheet'!$AE$19)</f>
        <v/>
      </c>
      <c r="AG22" s="99">
        <f>IF('Final Calculation Sheet'!$AF$19="","",'Final Calculation Sheet'!$AF$19)</f>
        <v/>
      </c>
      <c r="AH22" s="95">
        <f>IF('Final Calculation Sheet'!$AG$19="","",'Final Calculation Sheet'!$AG$19)</f>
        <v/>
      </c>
      <c r="AI22" s="100">
        <f>IF('Final Calculation Sheet'!$AD$19="","",IF('Final Calculation Sheet'!$AD$19&lt;=5,"SETTLED","OUTSTANDING"))</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CU21+IF(AND(Lists!$FI$22&lt;&gt;"",ISNUMBER(SEARCH($AF$4,Lists!$FI$22))),1,0)</f>
        <v/>
      </c>
      <c r="CV22">
        <f>IF(ROW()-3&gt;MAX($CU$4:$CU$42),"",INDEX(Lists!$FI$4:$FI$42,MATCH(ROW()-3,$CU$4:$CU$42,0)))</f>
        <v/>
      </c>
      <c r="CW22">
        <f>CW21+IF(AND(Lists!$FN$22&lt;&gt;"",ISNUMBER(SEARCH($AG$4,Lists!$FN$22))),1,0)</f>
        <v/>
      </c>
      <c r="CX22">
        <f>IF(ROW()-3&gt;MAX($CW$4:$CW$42),"",INDEX(Lists!$FN$4:$FN$42,MATCH(ROW()-3,$CW$4:$CW$42,0)))</f>
        <v/>
      </c>
      <c r="CY22">
        <f>CY21+IF(AND(Lists!$FS$22&lt;&gt;"",ISNUMBER(SEARCH($AH$4,Lists!$FS$22))),1,0)</f>
        <v/>
      </c>
      <c r="CZ22">
        <f>IF(ROW()-3&gt;MAX($CY$4:$CY$42),"",INDEX(Lists!$FS$4:$FS$42,MATCH(ROW()-3,$CY$4:$CY$42,0)))</f>
        <v/>
      </c>
      <c r="DA22">
        <f>DA21+IF(AND(Lists!$FX$22&lt;&gt;"",ISNUMBER(SEARCH($AI$4,Lists!$FX$22))),1,0)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0">
        <f>IF('Final Calculation Sheet'!$AE$22="","",'Final Calculation Sheet'!$AE$22)</f>
        <v/>
      </c>
      <c r="AG23" s="74">
        <f>IF('Final Calculation Sheet'!$AF$22="","",'Final Calculation Sheet'!$AF$22)</f>
        <v/>
      </c>
      <c r="AH23" s="70">
        <f>IF('Final Calculation Sheet'!$AG$22="","",'Final Calculation Sheet'!$AG$22)</f>
        <v/>
      </c>
      <c r="AI23" s="75">
        <f>IF('Final Calculation Sheet'!$AD$22="","",IF('Final Calculation Sheet'!$AD$22&lt;=5,"SETTLED","OUTSTANDING"))</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CU22+IF(AND(Lists!$FI$23&lt;&gt;"",ISNUMBER(SEARCH($AF$4,Lists!$FI$23))),1,0)</f>
        <v/>
      </c>
      <c r="CV23">
        <f>IF(ROW()-3&gt;MAX($CU$4:$CU$42),"",INDEX(Lists!$FI$4:$FI$42,MATCH(ROW()-3,$CU$4:$CU$42,0)))</f>
        <v/>
      </c>
      <c r="CW23">
        <f>CW22+IF(AND(Lists!$FN$23&lt;&gt;"",ISNUMBER(SEARCH($AG$4,Lists!$FN$23))),1,0)</f>
        <v/>
      </c>
      <c r="CX23">
        <f>IF(ROW()-3&gt;MAX($CW$4:$CW$42),"",INDEX(Lists!$FN$4:$FN$42,MATCH(ROW()-3,$CW$4:$CW$42,0)))</f>
        <v/>
      </c>
      <c r="CY23">
        <f>CY22+IF(AND(Lists!$FS$23&lt;&gt;"",ISNUMBER(SEARCH($AH$4,Lists!$FS$23))),1,0)</f>
        <v/>
      </c>
      <c r="CZ23">
        <f>IF(ROW()-3&gt;MAX($CY$4:$CY$42),"",INDEX(Lists!$FS$4:$FS$42,MATCH(ROW()-3,$CY$4:$CY$42,0)))</f>
        <v/>
      </c>
      <c r="DA23">
        <f>DA22+IF(AND(Lists!$FX$23&lt;&gt;"",ISNUMBER(SEARCH($AI$4,Lists!$FX$23))),1,0)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95">
        <f>IF('Final Calculation Sheet'!$AE$24="","",'Final Calculation Sheet'!$AE$24)</f>
        <v/>
      </c>
      <c r="AG24" s="99">
        <f>IF('Final Calculation Sheet'!$AF$24="","",'Final Calculation Sheet'!$AF$24)</f>
        <v/>
      </c>
      <c r="AH24" s="95">
        <f>IF('Final Calculation Sheet'!$AG$24="","",'Final Calculation Sheet'!$AG$24)</f>
        <v/>
      </c>
      <c r="AI24" s="100">
        <f>IF('Final Calculation Sheet'!$AD$24="","",IF('Final Calculation Sheet'!$AD$24&lt;=5,"SETTLED","OUTSTANDING"))</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CU23+IF(AND(Lists!$FI$24&lt;&gt;"",ISNUMBER(SEARCH($AF$4,Lists!$FI$24))),1,0)</f>
        <v/>
      </c>
      <c r="CV24">
        <f>IF(ROW()-3&gt;MAX($CU$4:$CU$42),"",INDEX(Lists!$FI$4:$FI$42,MATCH(ROW()-3,$CU$4:$CU$42,0)))</f>
        <v/>
      </c>
      <c r="CW24">
        <f>CW23+IF(AND(Lists!$FN$24&lt;&gt;"",ISNUMBER(SEARCH($AG$4,Lists!$FN$24))),1,0)</f>
        <v/>
      </c>
      <c r="CX24">
        <f>IF(ROW()-3&gt;MAX($CW$4:$CW$42),"",INDEX(Lists!$FN$4:$FN$42,MATCH(ROW()-3,$CW$4:$CW$42,0)))</f>
        <v/>
      </c>
      <c r="CY24">
        <f>CY23+IF(AND(Lists!$FS$24&lt;&gt;"",ISNUMBER(SEARCH($AH$4,Lists!$FS$24))),1,0)</f>
        <v/>
      </c>
      <c r="CZ24">
        <f>IF(ROW()-3&gt;MAX($CY$4:$CY$42),"",INDEX(Lists!$FS$4:$FS$42,MATCH(ROW()-3,$CY$4:$CY$42,0)))</f>
        <v/>
      </c>
      <c r="DA24">
        <f>DA23+IF(AND(Lists!$FX$24&lt;&gt;"",ISNUMBER(SEARCH($AI$4,Lists!$FX$24))),1,0)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0">
        <f>IF('Final Calculation Sheet'!$AE$26="","",'Final Calculation Sheet'!$AE$26)</f>
        <v/>
      </c>
      <c r="AG25" s="74">
        <f>IF('Final Calculation Sheet'!$AF$26="","",'Final Calculation Sheet'!$AF$26)</f>
        <v/>
      </c>
      <c r="AH25" s="70">
        <f>IF('Final Calculation Sheet'!$AG$26="","",'Final Calculation Sheet'!$AG$26)</f>
        <v/>
      </c>
      <c r="AI25" s="75">
        <f>IF('Final Calculation Sheet'!$AD$26="","",IF('Final Calculation Sheet'!$AD$26&lt;=5,"SETTLED","OUTSTANDING"))</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CU24+IF(AND(Lists!$FI$25&lt;&gt;"",ISNUMBER(SEARCH($AF$4,Lists!$FI$25))),1,0)</f>
        <v/>
      </c>
      <c r="CV25">
        <f>IF(ROW()-3&gt;MAX($CU$4:$CU$42),"",INDEX(Lists!$FI$4:$FI$42,MATCH(ROW()-3,$CU$4:$CU$42,0)))</f>
        <v/>
      </c>
      <c r="CW25">
        <f>CW24+IF(AND(Lists!$FN$25&lt;&gt;"",ISNUMBER(SEARCH($AG$4,Lists!$FN$25))),1,0)</f>
        <v/>
      </c>
      <c r="CX25">
        <f>IF(ROW()-3&gt;MAX($CW$4:$CW$42),"",INDEX(Lists!$FN$4:$FN$42,MATCH(ROW()-3,$CW$4:$CW$42,0)))</f>
        <v/>
      </c>
      <c r="CY25">
        <f>CY24+IF(AND(Lists!$FS$25&lt;&gt;"",ISNUMBER(SEARCH($AH$4,Lists!$FS$25))),1,0)</f>
        <v/>
      </c>
      <c r="CZ25">
        <f>IF(ROW()-3&gt;MAX($CY$4:$CY$42),"",INDEX(Lists!$FS$4:$FS$42,MATCH(ROW()-3,$CY$4:$CY$42,0)))</f>
        <v/>
      </c>
      <c r="DA25">
        <f>DA24+IF(AND(Lists!$FX$25&lt;&gt;"",ISNUMBER(SEARCH($AI$4,Lists!$FX$25))),1,0)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95">
        <f>IF('Final Calculation Sheet'!$AE$30="","",'Final Calculation Sheet'!$AE$30)</f>
        <v/>
      </c>
      <c r="AG26" s="99">
        <f>IF('Final Calculation Sheet'!$AF$30="","",'Final Calculation Sheet'!$AF$30)</f>
        <v/>
      </c>
      <c r="AH26" s="95">
        <f>IF('Final Calculation Sheet'!$AG$30="","",'Final Calculation Sheet'!$AG$30)</f>
        <v/>
      </c>
      <c r="AI26" s="100">
        <f>IF('Final Calculation Sheet'!$AD$30="","",IF('Final Calculation Sheet'!$AD$30&lt;=5,"SETTLED","OUTSTANDING"))</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CU25+IF(AND(Lists!$FI$26&lt;&gt;"",ISNUMBER(SEARCH($AF$4,Lists!$FI$26))),1,0)</f>
        <v/>
      </c>
      <c r="CV26">
        <f>IF(ROW()-3&gt;MAX($CU$4:$CU$42),"",INDEX(Lists!$FI$4:$FI$42,MATCH(ROW()-3,$CU$4:$CU$42,0)))</f>
        <v/>
      </c>
      <c r="CW26">
        <f>CW25+IF(AND(Lists!$FN$26&lt;&gt;"",ISNUMBER(SEARCH($AG$4,Lists!$FN$26))),1,0)</f>
        <v/>
      </c>
      <c r="CX26">
        <f>IF(ROW()-3&gt;MAX($CW$4:$CW$42),"",INDEX(Lists!$FN$4:$FN$42,MATCH(ROW()-3,$CW$4:$CW$42,0)))</f>
        <v/>
      </c>
      <c r="CY26">
        <f>CY25+IF(AND(Lists!$FS$26&lt;&gt;"",ISNUMBER(SEARCH($AH$4,Lists!$FS$26))),1,0)</f>
        <v/>
      </c>
      <c r="CZ26">
        <f>IF(ROW()-3&gt;MAX($CY$4:$CY$42),"",INDEX(Lists!$FS$4:$FS$42,MATCH(ROW()-3,$CY$4:$CY$42,0)))</f>
        <v/>
      </c>
      <c r="DA26">
        <f>DA25+IF(AND(Lists!$FX$26&lt;&gt;"",ISNUMBER(SEARCH($AI$4,Lists!$FX$26))),1,0)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0">
        <f>IF('Final Calculation Sheet'!$AE$32="","",'Final Calculation Sheet'!$AE$32)</f>
        <v/>
      </c>
      <c r="AG27" s="74">
        <f>IF('Final Calculation Sheet'!$AF$32="","",'Final Calculation Sheet'!$AF$32)</f>
        <v/>
      </c>
      <c r="AH27" s="70">
        <f>IF('Final Calculation Sheet'!$AG$32="","",'Final Calculation Sheet'!$AG$32)</f>
        <v/>
      </c>
      <c r="AI27" s="75">
        <f>IF('Final Calculation Sheet'!$AD$32="","",IF('Final Calculation Sheet'!$AD$32&lt;=5,"SETTLED","OUTSTANDING"))</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CU26+IF(AND(Lists!$FI$27&lt;&gt;"",ISNUMBER(SEARCH($AF$4,Lists!$FI$27))),1,0)</f>
        <v/>
      </c>
      <c r="CV27">
        <f>IF(ROW()-3&gt;MAX($CU$4:$CU$42),"",INDEX(Lists!$FI$4:$FI$42,MATCH(ROW()-3,$CU$4:$CU$42,0)))</f>
        <v/>
      </c>
      <c r="CW27">
        <f>CW26+IF(AND(Lists!$FN$27&lt;&gt;"",ISNUMBER(SEARCH($AG$4,Lists!$FN$27))),1,0)</f>
        <v/>
      </c>
      <c r="CX27">
        <f>IF(ROW()-3&gt;MAX($CW$4:$CW$42),"",INDEX(Lists!$FN$4:$FN$42,MATCH(ROW()-3,$CW$4:$CW$42,0)))</f>
        <v/>
      </c>
      <c r="CY27">
        <f>CY26+IF(AND(Lists!$FS$27&lt;&gt;"",ISNUMBER(SEARCH($AH$4,Lists!$FS$27))),1,0)</f>
        <v/>
      </c>
      <c r="CZ27">
        <f>IF(ROW()-3&gt;MAX($CY$4:$CY$42),"",INDEX(Lists!$FS$4:$FS$42,MATCH(ROW()-3,$CY$4:$CY$42,0)))</f>
        <v/>
      </c>
      <c r="DA27">
        <f>DA26+IF(AND(Lists!$FX$27&lt;&gt;"",ISNUMBER(SEARCH($AI$4,Lists!$FX$27))),1,0)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95">
        <f>IF('Final Calculation Sheet'!$AE$33="","",'Final Calculation Sheet'!$AE$33)</f>
        <v/>
      </c>
      <c r="AG28" s="99">
        <f>IF('Final Calculation Sheet'!$AF$33="","",'Final Calculation Sheet'!$AF$33)</f>
        <v/>
      </c>
      <c r="AH28" s="95">
        <f>IF('Final Calculation Sheet'!$AG$33="","",'Final Calculation Sheet'!$AG$33)</f>
        <v/>
      </c>
      <c r="AI28" s="100">
        <f>IF('Final Calculation Sheet'!$AD$33="","",IF('Final Calculation Sheet'!$AD$33&lt;=5,"SETTLED","OUTSTANDING"))</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CU27+IF(AND(Lists!$FI$28&lt;&gt;"",ISNUMBER(SEARCH($AF$4,Lists!$FI$28))),1,0)</f>
        <v/>
      </c>
      <c r="CV28">
        <f>IF(ROW()-3&gt;MAX($CU$4:$CU$42),"",INDEX(Lists!$FI$4:$FI$42,MATCH(ROW()-3,$CU$4:$CU$42,0)))</f>
        <v/>
      </c>
      <c r="CW28">
        <f>CW27+IF(AND(Lists!$FN$28&lt;&gt;"",ISNUMBER(SEARCH($AG$4,Lists!$FN$28))),1,0)</f>
        <v/>
      </c>
      <c r="CX28">
        <f>IF(ROW()-3&gt;MAX($CW$4:$CW$42),"",INDEX(Lists!$FN$4:$FN$42,MATCH(ROW()-3,$CW$4:$CW$42,0)))</f>
        <v/>
      </c>
      <c r="CY28">
        <f>CY27+IF(AND(Lists!$FS$28&lt;&gt;"",ISNUMBER(SEARCH($AH$4,Lists!$FS$28))),1,0)</f>
        <v/>
      </c>
      <c r="CZ28">
        <f>IF(ROW()-3&gt;MAX($CY$4:$CY$42),"",INDEX(Lists!$FS$4:$FS$42,MATCH(ROW()-3,$CY$4:$CY$42,0)))</f>
        <v/>
      </c>
      <c r="DA28">
        <f>DA27+IF(AND(Lists!$FX$28&lt;&gt;"",ISNUMBER(SEARCH($AI$4,Lists!$FX$28))),1,0)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0">
        <f>IF('Final Calculation Sheet'!$AE$37="","",'Final Calculation Sheet'!$AE$37)</f>
        <v/>
      </c>
      <c r="AG29" s="74">
        <f>IF('Final Calculation Sheet'!$AF$37="","",'Final Calculation Sheet'!$AF$37)</f>
        <v/>
      </c>
      <c r="AH29" s="70">
        <f>IF('Final Calculation Sheet'!$AG$37="","",'Final Calculation Sheet'!$AG$37)</f>
        <v/>
      </c>
      <c r="AI29" s="75">
        <f>IF('Final Calculation Sheet'!$AD$37="","",IF('Final Calculation Sheet'!$AD$37&lt;=5,"SETTLED","OUTSTANDING"))</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CU28+IF(AND(Lists!$FI$29&lt;&gt;"",ISNUMBER(SEARCH($AF$4,Lists!$FI$29))),1,0)</f>
        <v/>
      </c>
      <c r="CV29">
        <f>IF(ROW()-3&gt;MAX($CU$4:$CU$42),"",INDEX(Lists!$FI$4:$FI$42,MATCH(ROW()-3,$CU$4:$CU$42,0)))</f>
        <v/>
      </c>
      <c r="CW29">
        <f>CW28+IF(AND(Lists!$FN$29&lt;&gt;"",ISNUMBER(SEARCH($AG$4,Lists!$FN$29))),1,0)</f>
        <v/>
      </c>
      <c r="CX29">
        <f>IF(ROW()-3&gt;MAX($CW$4:$CW$42),"",INDEX(Lists!$FN$4:$FN$42,MATCH(ROW()-3,$CW$4:$CW$42,0)))</f>
        <v/>
      </c>
      <c r="CY29">
        <f>CY28+IF(AND(Lists!$FS$29&lt;&gt;"",ISNUMBER(SEARCH($AH$4,Lists!$FS$29))),1,0)</f>
        <v/>
      </c>
      <c r="CZ29">
        <f>IF(ROW()-3&gt;MAX($CY$4:$CY$42),"",INDEX(Lists!$FS$4:$FS$42,MATCH(ROW()-3,$CY$4:$CY$42,0)))</f>
        <v/>
      </c>
      <c r="DA29">
        <f>DA28+IF(AND(Lists!$FX$29&lt;&gt;"",ISNUMBER(SEARCH($AI$4,Lists!$FX$29))),1,0)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4" t="inlineStr">
        <is>
          <t>–</t>
        </is>
      </c>
      <c r="AG30" s="88" t="inlineStr">
        <is>
          <t>–</t>
        </is>
      </c>
      <c r="AH30" s="84" t="inlineStr">
        <is>
          <t>–</t>
        </is>
      </c>
      <c r="AI30" s="89">
        <f>IF(AE30&lt;=5,"SETTLED","OUTSTANDING")</f>
        <v/>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CU29+IF(AND(Lists!$FI$30&lt;&gt;"",ISNUMBER(SEARCH($AF$4,Lists!$FI$30))),1,0)</f>
        <v/>
      </c>
      <c r="CV30">
        <f>IF(ROW()-3&gt;MAX($CU$4:$CU$42),"",INDEX(Lists!$FI$4:$FI$42,MATCH(ROW()-3,$CU$4:$CU$42,0)))</f>
        <v/>
      </c>
      <c r="CW30">
        <f>CW29+IF(AND(Lists!$FN$30&lt;&gt;"",ISNUMBER(SEARCH($AG$4,Lists!$FN$30))),1,0)</f>
        <v/>
      </c>
      <c r="CX30">
        <f>IF(ROW()-3&gt;MAX($CW$4:$CW$42),"",INDEX(Lists!$FN$4:$FN$42,MATCH(ROW()-3,$CW$4:$CW$42,0)))</f>
        <v/>
      </c>
      <c r="CY30">
        <f>CY29+IF(AND(Lists!$FS$30&lt;&gt;"",ISNUMBER(SEARCH($AH$4,Lists!$FS$30))),1,0)</f>
        <v/>
      </c>
      <c r="CZ30">
        <f>IF(ROW()-3&gt;MAX($CY$4:$CY$42),"",INDEX(Lists!$FS$4:$FS$42,MATCH(ROW()-3,$CY$4:$CY$42,0)))</f>
        <v/>
      </c>
      <c r="DA30">
        <f>DA29+IF(AND(Lists!$FX$30&lt;&gt;"",ISNUMBER(SEARCH($AI$4,Lists!$FX$30))),1,0)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0">
        <f>IF('Final Calculation Sheet'!$AE$21="","",'Final Calculation Sheet'!$AE$21)</f>
        <v/>
      </c>
      <c r="AG31" s="74">
        <f>IF('Final Calculation Sheet'!$AF$21="","",'Final Calculation Sheet'!$AF$21)</f>
        <v/>
      </c>
      <c r="AH31" s="70">
        <f>IF('Final Calculation Sheet'!$AG$21="","",'Final Calculation Sheet'!$AG$21)</f>
        <v/>
      </c>
      <c r="AI31" s="75">
        <f>IF('Final Calculation Sheet'!$AD$21="","",IF('Final Calculation Sheet'!$AD$21&lt;=5,"SETTLED","OUTSTANDING"))</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CU30+IF(AND(Lists!$FI$31&lt;&gt;"",ISNUMBER(SEARCH($AF$4,Lists!$FI$31))),1,0)</f>
        <v/>
      </c>
      <c r="CV31">
        <f>IF(ROW()-3&gt;MAX($CU$4:$CU$42),"",INDEX(Lists!$FI$4:$FI$42,MATCH(ROW()-3,$CU$4:$CU$42,0)))</f>
        <v/>
      </c>
      <c r="CW31">
        <f>CW30+IF(AND(Lists!$FN$31&lt;&gt;"",ISNUMBER(SEARCH($AG$4,Lists!$FN$31))),1,0)</f>
        <v/>
      </c>
      <c r="CX31">
        <f>IF(ROW()-3&gt;MAX($CW$4:$CW$42),"",INDEX(Lists!$FN$4:$FN$42,MATCH(ROW()-3,$CW$4:$CW$42,0)))</f>
        <v/>
      </c>
      <c r="CY31">
        <f>CY30+IF(AND(Lists!$FS$31&lt;&gt;"",ISNUMBER(SEARCH($AH$4,Lists!$FS$31))),1,0)</f>
        <v/>
      </c>
      <c r="CZ31">
        <f>IF(ROW()-3&gt;MAX($CY$4:$CY$42),"",INDEX(Lists!$FS$4:$FS$42,MATCH(ROW()-3,$CY$4:$CY$42,0)))</f>
        <v/>
      </c>
      <c r="DA31">
        <f>DA30+IF(AND(Lists!$FX$31&lt;&gt;"",ISNUMBER(SEARCH($AI$4,Lists!$FX$31))),1,0)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4" t="inlineStr">
        <is>
          <t>–</t>
        </is>
      </c>
      <c r="AG32" s="88" t="inlineStr">
        <is>
          <t>–</t>
        </is>
      </c>
      <c r="AH32" s="84" t="inlineStr">
        <is>
          <t>–</t>
        </is>
      </c>
      <c r="AI32" s="89">
        <f>IF(AE32&lt;=5,"SETTLED","OUTSTANDING")</f>
        <v/>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CU31+IF(AND(Lists!$FI$32&lt;&gt;"",ISNUMBER(SEARCH($AF$4,Lists!$FI$32))),1,0)</f>
        <v/>
      </c>
      <c r="CV32">
        <f>IF(ROW()-3&gt;MAX($CU$4:$CU$42),"",INDEX(Lists!$FI$4:$FI$42,MATCH(ROW()-3,$CU$4:$CU$42,0)))</f>
        <v/>
      </c>
      <c r="CW32">
        <f>CW31+IF(AND(Lists!$FN$32&lt;&gt;"",ISNUMBER(SEARCH($AG$4,Lists!$FN$32))),1,0)</f>
        <v/>
      </c>
      <c r="CX32">
        <f>IF(ROW()-3&gt;MAX($CW$4:$CW$42),"",INDEX(Lists!$FN$4:$FN$42,MATCH(ROW()-3,$CW$4:$CW$42,0)))</f>
        <v/>
      </c>
      <c r="CY32">
        <f>CY31+IF(AND(Lists!$FS$32&lt;&gt;"",ISNUMBER(SEARCH($AH$4,Lists!$FS$32))),1,0)</f>
        <v/>
      </c>
      <c r="CZ32">
        <f>IF(ROW()-3&gt;MAX($CY$4:$CY$42),"",INDEX(Lists!$FS$4:$FS$42,MATCH(ROW()-3,$CY$4:$CY$42,0)))</f>
        <v/>
      </c>
      <c r="DA32">
        <f>DA31+IF(AND(Lists!$FX$32&lt;&gt;"",ISNUMBER(SEARCH($AI$4,Lists!$FX$32))),1,0)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0">
        <f>IF('Final Calculation Sheet'!$AE$8="","",'Final Calculation Sheet'!$AE$8)</f>
        <v/>
      </c>
      <c r="AG33" s="74">
        <f>IF('Final Calculation Sheet'!$AF$8="","",'Final Calculation Sheet'!$AF$8)</f>
        <v/>
      </c>
      <c r="AH33" s="70">
        <f>IF('Final Calculation Sheet'!$AG$8="","",'Final Calculation Sheet'!$AG$8)</f>
        <v/>
      </c>
      <c r="AI33" s="75">
        <f>IF('Final Calculation Sheet'!$AD$8="","",IF('Final Calculation Sheet'!$AD$8&lt;=5,"SETTLED","OUTSTANDING"))</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CU32+IF(AND(Lists!$FI$33&lt;&gt;"",ISNUMBER(SEARCH($AF$4,Lists!$FI$33))),1,0)</f>
        <v/>
      </c>
      <c r="CV33">
        <f>IF(ROW()-3&gt;MAX($CU$4:$CU$42),"",INDEX(Lists!$FI$4:$FI$42,MATCH(ROW()-3,$CU$4:$CU$42,0)))</f>
        <v/>
      </c>
      <c r="CW33">
        <f>CW32+IF(AND(Lists!$FN$33&lt;&gt;"",ISNUMBER(SEARCH($AG$4,Lists!$FN$33))),1,0)</f>
        <v/>
      </c>
      <c r="CX33">
        <f>IF(ROW()-3&gt;MAX($CW$4:$CW$42),"",INDEX(Lists!$FN$4:$FN$42,MATCH(ROW()-3,$CW$4:$CW$42,0)))</f>
        <v/>
      </c>
      <c r="CY33">
        <f>CY32+IF(AND(Lists!$FS$33&lt;&gt;"",ISNUMBER(SEARCH($AH$4,Lists!$FS$33))),1,0)</f>
        <v/>
      </c>
      <c r="CZ33">
        <f>IF(ROW()-3&gt;MAX($CY$4:$CY$42),"",INDEX(Lists!$FS$4:$FS$42,MATCH(ROW()-3,$CY$4:$CY$42,0)))</f>
        <v/>
      </c>
      <c r="DA33">
        <f>DA32+IF(AND(Lists!$FX$33&lt;&gt;"",ISNUMBER(SEARCH($AI$4,Lists!$FX$33))),1,0)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95">
        <f>IF('Final Calculation Sheet'!$AE$20="","",'Final Calculation Sheet'!$AE$20)</f>
        <v/>
      </c>
      <c r="AG34" s="99">
        <f>IF('Final Calculation Sheet'!$AF$20="","",'Final Calculation Sheet'!$AF$20)</f>
        <v/>
      </c>
      <c r="AH34" s="95">
        <f>IF('Final Calculation Sheet'!$AG$20="","",'Final Calculation Sheet'!$AG$20)</f>
        <v/>
      </c>
      <c r="AI34" s="100">
        <f>IF('Final Calculation Sheet'!$AD$20="","",IF('Final Calculation Sheet'!$AD$20&lt;=5,"SETTLED","OUTSTANDING"))</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CU33+IF(AND(Lists!$FI$34&lt;&gt;"",ISNUMBER(SEARCH($AF$4,Lists!$FI$34))),1,0)</f>
        <v/>
      </c>
      <c r="CV34">
        <f>IF(ROW()-3&gt;MAX($CU$4:$CU$42),"",INDEX(Lists!$FI$4:$FI$42,MATCH(ROW()-3,$CU$4:$CU$42,0)))</f>
        <v/>
      </c>
      <c r="CW34">
        <f>CW33+IF(AND(Lists!$FN$34&lt;&gt;"",ISNUMBER(SEARCH($AG$4,Lists!$FN$34))),1,0)</f>
        <v/>
      </c>
      <c r="CX34">
        <f>IF(ROW()-3&gt;MAX($CW$4:$CW$42),"",INDEX(Lists!$FN$4:$FN$42,MATCH(ROW()-3,$CW$4:$CW$42,0)))</f>
        <v/>
      </c>
      <c r="CY34">
        <f>CY33+IF(AND(Lists!$FS$34&lt;&gt;"",ISNUMBER(SEARCH($AH$4,Lists!$FS$34))),1,0)</f>
        <v/>
      </c>
      <c r="CZ34">
        <f>IF(ROW()-3&gt;MAX($CY$4:$CY$42),"",INDEX(Lists!$FS$4:$FS$42,MATCH(ROW()-3,$CY$4:$CY$42,0)))</f>
        <v/>
      </c>
      <c r="DA34">
        <f>DA33+IF(AND(Lists!$FX$34&lt;&gt;"",ISNUMBER(SEARCH($AI$4,Lists!$FX$34))),1,0)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4" t="inlineStr">
        <is>
          <t>–</t>
        </is>
      </c>
      <c r="AG35" s="88" t="inlineStr">
        <is>
          <t>–</t>
        </is>
      </c>
      <c r="AH35" s="84" t="inlineStr">
        <is>
          <t>–</t>
        </is>
      </c>
      <c r="AI35" s="89">
        <f>IF(AE35&lt;=5,"SETTLED","OUTSTANDING")</f>
        <v/>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CU34+IF(AND(Lists!$FI$35&lt;&gt;"",ISNUMBER(SEARCH($AF$4,Lists!$FI$35))),1,0)</f>
        <v/>
      </c>
      <c r="CV35">
        <f>IF(ROW()-3&gt;MAX($CU$4:$CU$42),"",INDEX(Lists!$FI$4:$FI$42,MATCH(ROW()-3,$CU$4:$CU$42,0)))</f>
        <v/>
      </c>
      <c r="CW35">
        <f>CW34+IF(AND(Lists!$FN$35&lt;&gt;"",ISNUMBER(SEARCH($AG$4,Lists!$FN$35))),1,0)</f>
        <v/>
      </c>
      <c r="CX35">
        <f>IF(ROW()-3&gt;MAX($CW$4:$CW$42),"",INDEX(Lists!$FN$4:$FN$42,MATCH(ROW()-3,$CW$4:$CW$42,0)))</f>
        <v/>
      </c>
      <c r="CY35">
        <f>CY34+IF(AND(Lists!$FS$35&lt;&gt;"",ISNUMBER(SEARCH($AH$4,Lists!$FS$35))),1,0)</f>
        <v/>
      </c>
      <c r="CZ35">
        <f>IF(ROW()-3&gt;MAX($CY$4:$CY$42),"",INDEX(Lists!$FS$4:$FS$42,MATCH(ROW()-3,$CY$4:$CY$42,0)))</f>
        <v/>
      </c>
      <c r="DA35">
        <f>DA34+IF(AND(Lists!$FX$35&lt;&gt;"",ISNUMBER(SEARCH($AI$4,Lists!$FX$35))),1,0)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0">
        <f>IF('Final Calculation Sheet'!$AE$39="","",'Final Calculation Sheet'!$AE$39)</f>
        <v/>
      </c>
      <c r="AG36" s="74">
        <f>IF('Final Calculation Sheet'!$AF$39="","",'Final Calculation Sheet'!$AF$39)</f>
        <v/>
      </c>
      <c r="AH36" s="70">
        <f>IF('Final Calculation Sheet'!$AG$39="","",'Final Calculation Sheet'!$AG$39)</f>
        <v/>
      </c>
      <c r="AI36" s="75">
        <f>IF('Final Calculation Sheet'!$AD$39="","",IF('Final Calculation Sheet'!$AD$39&lt;=5,"SETTLED","OUTSTANDING"))</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CU35+IF(AND(Lists!$FI$36&lt;&gt;"",ISNUMBER(SEARCH($AF$4,Lists!$FI$36))),1,0)</f>
        <v/>
      </c>
      <c r="CV36">
        <f>IF(ROW()-3&gt;MAX($CU$4:$CU$42),"",INDEX(Lists!$FI$4:$FI$42,MATCH(ROW()-3,$CU$4:$CU$42,0)))</f>
        <v/>
      </c>
      <c r="CW36">
        <f>CW35+IF(AND(Lists!$FN$36&lt;&gt;"",ISNUMBER(SEARCH($AG$4,Lists!$FN$36))),1,0)</f>
        <v/>
      </c>
      <c r="CX36">
        <f>IF(ROW()-3&gt;MAX($CW$4:$CW$42),"",INDEX(Lists!$FN$4:$FN$42,MATCH(ROW()-3,$CW$4:$CW$42,0)))</f>
        <v/>
      </c>
      <c r="CY36">
        <f>CY35+IF(AND(Lists!$FS$36&lt;&gt;"",ISNUMBER(SEARCH($AH$4,Lists!$FS$36))),1,0)</f>
        <v/>
      </c>
      <c r="CZ36">
        <f>IF(ROW()-3&gt;MAX($CY$4:$CY$42),"",INDEX(Lists!$FS$4:$FS$42,MATCH(ROW()-3,$CY$4:$CY$42,0)))</f>
        <v/>
      </c>
      <c r="DA36">
        <f>DA35+IF(AND(Lists!$FX$36&lt;&gt;"",ISNUMBER(SEARCH($AI$4,Lists!$FX$36))),1,0)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95">
        <f>IF('Final Calculation Sheet'!$AE$40="","",'Final Calculation Sheet'!$AE$40)</f>
        <v/>
      </c>
      <c r="AG37" s="99">
        <f>IF('Final Calculation Sheet'!$AF$40="","",'Final Calculation Sheet'!$AF$40)</f>
        <v/>
      </c>
      <c r="AH37" s="95">
        <f>IF('Final Calculation Sheet'!$AG$40="","",'Final Calculation Sheet'!$AG$40)</f>
        <v/>
      </c>
      <c r="AI37" s="100">
        <f>IF('Final Calculation Sheet'!$AD$40="","",IF('Final Calculation Sheet'!$AD$40&lt;=5,"SETTLED","OUTSTANDING"))</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CU36+IF(AND(Lists!$FI$37&lt;&gt;"",ISNUMBER(SEARCH($AF$4,Lists!$FI$37))),1,0)</f>
        <v/>
      </c>
      <c r="CV37">
        <f>IF(ROW()-3&gt;MAX($CU$4:$CU$42),"",INDEX(Lists!$FI$4:$FI$42,MATCH(ROW()-3,$CU$4:$CU$42,0)))</f>
        <v/>
      </c>
      <c r="CW37">
        <f>CW36+IF(AND(Lists!$FN$37&lt;&gt;"",ISNUMBER(SEARCH($AG$4,Lists!$FN$37))),1,0)</f>
        <v/>
      </c>
      <c r="CX37">
        <f>IF(ROW()-3&gt;MAX($CW$4:$CW$42),"",INDEX(Lists!$FN$4:$FN$42,MATCH(ROW()-3,$CW$4:$CW$42,0)))</f>
        <v/>
      </c>
      <c r="CY37">
        <f>CY36+IF(AND(Lists!$FS$37&lt;&gt;"",ISNUMBER(SEARCH($AH$4,Lists!$FS$37))),1,0)</f>
        <v/>
      </c>
      <c r="CZ37">
        <f>IF(ROW()-3&gt;MAX($CY$4:$CY$42),"",INDEX(Lists!$FS$4:$FS$42,MATCH(ROW()-3,$CY$4:$CY$42,0)))</f>
        <v/>
      </c>
      <c r="DA37">
        <f>DA36+IF(AND(Lists!$FX$37&lt;&gt;"",ISNUMBER(SEARCH($AI$4,Lists!$FX$37))),1,0)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4" t="inlineStr">
        <is>
          <t>–</t>
        </is>
      </c>
      <c r="AG38" s="88" t="inlineStr">
        <is>
          <t>–</t>
        </is>
      </c>
      <c r="AH38" s="84" t="inlineStr">
        <is>
          <t>–</t>
        </is>
      </c>
      <c r="AI38" s="89">
        <f>IF(AE38&lt;=5,"SETTLED","OUTSTANDING")</f>
        <v/>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CU37+IF(AND(Lists!$FI$38&lt;&gt;"",ISNUMBER(SEARCH($AF$4,Lists!$FI$38))),1,0)</f>
        <v/>
      </c>
      <c r="CV38">
        <f>IF(ROW()-3&gt;MAX($CU$4:$CU$42),"",INDEX(Lists!$FI$4:$FI$42,MATCH(ROW()-3,$CU$4:$CU$42,0)))</f>
        <v/>
      </c>
      <c r="CW38">
        <f>CW37+IF(AND(Lists!$FN$38&lt;&gt;"",ISNUMBER(SEARCH($AG$4,Lists!$FN$38))),1,0)</f>
        <v/>
      </c>
      <c r="CX38">
        <f>IF(ROW()-3&gt;MAX($CW$4:$CW$42),"",INDEX(Lists!$FN$4:$FN$42,MATCH(ROW()-3,$CW$4:$CW$42,0)))</f>
        <v/>
      </c>
      <c r="CY38">
        <f>CY37+IF(AND(Lists!$FS$38&lt;&gt;"",ISNUMBER(SEARCH($AH$4,Lists!$FS$38))),1,0)</f>
        <v/>
      </c>
      <c r="CZ38">
        <f>IF(ROW()-3&gt;MAX($CY$4:$CY$42),"",INDEX(Lists!$FS$4:$FS$42,MATCH(ROW()-3,$CY$4:$CY$42,0)))</f>
        <v/>
      </c>
      <c r="DA38">
        <f>DA37+IF(AND(Lists!$FX$38&lt;&gt;"",ISNUMBER(SEARCH($AI$4,Lists!$FX$38))),1,0)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0">
        <f>IF('Final Calculation Sheet'!$AE$31="","",'Final Calculation Sheet'!$AE$31)</f>
        <v/>
      </c>
      <c r="AG39" s="74">
        <f>IF('Final Calculation Sheet'!$AF$31="","",'Final Calculation Sheet'!$AF$31)</f>
        <v/>
      </c>
      <c r="AH39" s="70">
        <f>IF('Final Calculation Sheet'!$AG$31="","",'Final Calculation Sheet'!$AG$31)</f>
        <v/>
      </c>
      <c r="AI39" s="75">
        <f>IF('Final Calculation Sheet'!$AD$31="","",IF('Final Calculation Sheet'!$AD$31&lt;=5,"SETTLED","OUTSTANDING"))</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CU38+IF(AND(Lists!$FI$39&lt;&gt;"",ISNUMBER(SEARCH($AF$4,Lists!$FI$39))),1,0)</f>
        <v/>
      </c>
      <c r="CV39">
        <f>IF(ROW()-3&gt;MAX($CU$4:$CU$42),"",INDEX(Lists!$FI$4:$FI$42,MATCH(ROW()-3,$CU$4:$CU$42,0)))</f>
        <v/>
      </c>
      <c r="CW39">
        <f>CW38+IF(AND(Lists!$FN$39&lt;&gt;"",ISNUMBER(SEARCH($AG$4,Lists!$FN$39))),1,0)</f>
        <v/>
      </c>
      <c r="CX39">
        <f>IF(ROW()-3&gt;MAX($CW$4:$CW$42),"",INDEX(Lists!$FN$4:$FN$42,MATCH(ROW()-3,$CW$4:$CW$42,0)))</f>
        <v/>
      </c>
      <c r="CY39">
        <f>CY38+IF(AND(Lists!$FS$39&lt;&gt;"",ISNUMBER(SEARCH($AH$4,Lists!$FS$39))),1,0)</f>
        <v/>
      </c>
      <c r="CZ39">
        <f>IF(ROW()-3&gt;MAX($CY$4:$CY$42),"",INDEX(Lists!$FS$4:$FS$42,MATCH(ROW()-3,$CY$4:$CY$42,0)))</f>
        <v/>
      </c>
      <c r="DA39">
        <f>DA38+IF(AND(Lists!$FX$39&lt;&gt;"",ISNUMBER(SEARCH($AI$4,Lists!$FX$39))),1,0)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4" t="inlineStr">
        <is>
          <t>–</t>
        </is>
      </c>
      <c r="AG40" s="88" t="inlineStr">
        <is>
          <t>–</t>
        </is>
      </c>
      <c r="AH40" s="84" t="inlineStr">
        <is>
          <t>–</t>
        </is>
      </c>
      <c r="AI40" s="89">
        <f>IF(AE40&lt;=5,"SETTLED","OUTSTANDING")</f>
        <v/>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CU39+IF(AND(Lists!$FI$40&lt;&gt;"",ISNUMBER(SEARCH($AF$4,Lists!$FI$40))),1,0)</f>
        <v/>
      </c>
      <c r="CV40">
        <f>IF(ROW()-3&gt;MAX($CU$4:$CU$42),"",INDEX(Lists!$FI$4:$FI$42,MATCH(ROW()-3,$CU$4:$CU$42,0)))</f>
        <v/>
      </c>
      <c r="CW40">
        <f>CW39+IF(AND(Lists!$FN$40&lt;&gt;"",ISNUMBER(SEARCH($AG$4,Lists!$FN$40))),1,0)</f>
        <v/>
      </c>
      <c r="CX40">
        <f>IF(ROW()-3&gt;MAX($CW$4:$CW$42),"",INDEX(Lists!$FN$4:$FN$42,MATCH(ROW()-3,$CW$4:$CW$42,0)))</f>
        <v/>
      </c>
      <c r="CY40">
        <f>CY39+IF(AND(Lists!$FS$40&lt;&gt;"",ISNUMBER(SEARCH($AH$4,Lists!$FS$40))),1,0)</f>
        <v/>
      </c>
      <c r="CZ40">
        <f>IF(ROW()-3&gt;MAX($CY$4:$CY$42),"",INDEX(Lists!$FS$4:$FS$42,MATCH(ROW()-3,$CY$4:$CY$42,0)))</f>
        <v/>
      </c>
      <c r="DA40">
        <f>DA39+IF(AND(Lists!$FX$40&lt;&gt;"",ISNUMBER(SEARCH($AI$4,Lists!$FX$40))),1,0)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0">
        <f>IF('Final Calculation Sheet'!$AE$9="","",'Final Calculation Sheet'!$AE$9)</f>
        <v/>
      </c>
      <c r="AG41" s="74">
        <f>IF('Final Calculation Sheet'!$AF$9="","",'Final Calculation Sheet'!$AF$9)</f>
        <v/>
      </c>
      <c r="AH41" s="70">
        <f>IF('Final Calculation Sheet'!$AG$9="","",'Final Calculation Sheet'!$AG$9)</f>
        <v/>
      </c>
      <c r="AI41" s="75">
        <f>IF('Final Calculation Sheet'!$AD$9="","",IF('Final Calculation Sheet'!$AD$9&lt;=5,"SETTLED","OUTSTANDING"))</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CU40+IF(AND(Lists!$FI$41&lt;&gt;"",ISNUMBER(SEARCH($AF$4,Lists!$FI$41))),1,0)</f>
        <v/>
      </c>
      <c r="CV41">
        <f>IF(ROW()-3&gt;MAX($CU$4:$CU$42),"",INDEX(Lists!$FI$4:$FI$42,MATCH(ROW()-3,$CU$4:$CU$42,0)))</f>
        <v/>
      </c>
      <c r="CW41">
        <f>CW40+IF(AND(Lists!$FN$41&lt;&gt;"",ISNUMBER(SEARCH($AG$4,Lists!$FN$41))),1,0)</f>
        <v/>
      </c>
      <c r="CX41">
        <f>IF(ROW()-3&gt;MAX($CW$4:$CW$42),"",INDEX(Lists!$FN$4:$FN$42,MATCH(ROW()-3,$CW$4:$CW$42,0)))</f>
        <v/>
      </c>
      <c r="CY41">
        <f>CY40+IF(AND(Lists!$FS$41&lt;&gt;"",ISNUMBER(SEARCH($AH$4,Lists!$FS$41))),1,0)</f>
        <v/>
      </c>
      <c r="CZ41">
        <f>IF(ROW()-3&gt;MAX($CY$4:$CY$42),"",INDEX(Lists!$FS$4:$FS$42,MATCH(ROW()-3,$CY$4:$CY$42,0)))</f>
        <v/>
      </c>
      <c r="DA41">
        <f>DA40+IF(AND(Lists!$FX$41&lt;&gt;"",ISNUMBER(SEARCH($AI$4,Lists!$FX$41))),1,0)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95">
        <f>IF('Final Calculation Sheet'!$AE$14="","",'Final Calculation Sheet'!$AE$14)</f>
        <v/>
      </c>
      <c r="AG42" s="99">
        <f>IF('Final Calculation Sheet'!$AF$14="","",'Final Calculation Sheet'!$AF$14)</f>
        <v/>
      </c>
      <c r="AH42" s="95">
        <f>IF('Final Calculation Sheet'!$AG$14="","",'Final Calculation Sheet'!$AG$14)</f>
        <v/>
      </c>
      <c r="AI42" s="100">
        <f>IF('Final Calculation Sheet'!$AD$14="","",IF('Final Calculation Sheet'!$AD$14&lt;=5,"SETTLED","OUTSTANDING"))</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CU41+IF(AND(Lists!$FI$42&lt;&gt;"",ISNUMBER(SEARCH($AF$4,Lists!$FI$42))),1,0)</f>
        <v/>
      </c>
      <c r="CV42">
        <f>IF(ROW()-3&gt;MAX($CU$4:$CU$42),"",INDEX(Lists!$FI$4:$FI$42,MATCH(ROW()-3,$CU$4:$CU$42,0)))</f>
        <v/>
      </c>
      <c r="CW42">
        <f>CW41+IF(AND(Lists!$FN$42&lt;&gt;"",ISNUMBER(SEARCH($AG$4,Lists!$FN$42))),1,0)</f>
        <v/>
      </c>
      <c r="CX42">
        <f>IF(ROW()-3&gt;MAX($CW$4:$CW$42),"",INDEX(Lists!$FN$4:$FN$42,MATCH(ROW()-3,$CW$4:$CW$42,0)))</f>
        <v/>
      </c>
      <c r="CY42">
        <f>CY41+IF(AND(Lists!$FS$42&lt;&gt;"",ISNUMBER(SEARCH($AH$4,Lists!$FS$42))),1,0)</f>
        <v/>
      </c>
      <c r="CZ42">
        <f>IF(ROW()-3&gt;MAX($CY$4:$CY$42),"",INDEX(Lists!$FS$4:$FS$42,MATCH(ROW()-3,$CY$4:$CY$42,0)))</f>
        <v/>
      </c>
      <c r="DA42">
        <f>DA41+IF(AND(Lists!$FX$42&lt;&gt;"",ISNUMBER(SEARCH($AI$4,Lists!$FX$42))),1,0)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4" t="inlineStr">
        <is>
          <t>–</t>
        </is>
      </c>
      <c r="AG43" s="88" t="inlineStr">
        <is>
          <t>–</t>
        </is>
      </c>
      <c r="AH43" s="84" t="inlineStr">
        <is>
          <t>–</t>
        </is>
      </c>
      <c r="AI43" s="89">
        <f>IF(AE43&lt;=5,"SETTLED","OUTSTANDING")</f>
        <v/>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0">
        <f>IF('Final Calculation Sheet'!$AE$13="","",'Final Calculation Sheet'!$AE$13)</f>
        <v/>
      </c>
      <c r="AG44" s="74">
        <f>IF('Final Calculation Sheet'!$AF$13="","",'Final Calculation Sheet'!$AF$13)</f>
        <v/>
      </c>
      <c r="AH44" s="70">
        <f>IF('Final Calculation Sheet'!$AG$13="","",'Final Calculation Sheet'!$AG$13)</f>
        <v/>
      </c>
      <c r="AI44" s="75">
        <f>IF('Final Calculation Sheet'!$AD$13="","",IF('Final Calculation Sheet'!$AD$13&lt;=5,"SETTLED","OUTSTANDING"))</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95">
        <f>IF('Final Calculation Sheet'!$AE$16="","",'Final Calculation Sheet'!$AE$16)</f>
        <v/>
      </c>
      <c r="AG45" s="99">
        <f>IF('Final Calculation Sheet'!$AF$16="","",'Final Calculation Sheet'!$AF$16)</f>
        <v/>
      </c>
      <c r="AH45" s="95">
        <f>IF('Final Calculation Sheet'!$AG$16="","",'Final Calculation Sheet'!$AG$16)</f>
        <v/>
      </c>
      <c r="AI45" s="100">
        <f>IF('Final Calculation Sheet'!$AD$16="","",IF('Final Calculation Sheet'!$AD$16&lt;=5,"SETTLED","OUTSTANDING"))</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0">
        <f>IF('Final Calculation Sheet'!$AE$17="","",'Final Calculation Sheet'!$AE$17)</f>
        <v/>
      </c>
      <c r="AG46" s="74">
        <f>IF('Final Calculation Sheet'!$AF$17="","",'Final Calculation Sheet'!$AF$17)</f>
        <v/>
      </c>
      <c r="AH46" s="70">
        <f>IF('Final Calculation Sheet'!$AG$17="","",'Final Calculation Sheet'!$AG$17)</f>
        <v/>
      </c>
      <c r="AI46" s="75">
        <f>IF('Final Calculation Sheet'!$AD$17="","",IF('Final Calculation Sheet'!$AD$17&lt;=5,"SETTLED","OUTSTANDING"))</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95">
        <f>IF('Final Calculation Sheet'!$AE$23="","",'Final Calculation Sheet'!$AE$23)</f>
        <v/>
      </c>
      <c r="AG47" s="99">
        <f>IF('Final Calculation Sheet'!$AF$23="","",'Final Calculation Sheet'!$AF$23)</f>
        <v/>
      </c>
      <c r="AH47" s="95">
        <f>IF('Final Calculation Sheet'!$AG$23="","",'Final Calculation Sheet'!$AG$23)</f>
        <v/>
      </c>
      <c r="AI47" s="100">
        <f>IF('Final Calculation Sheet'!$AD$23="","",IF('Final Calculation Sheet'!$AD$23&lt;=5,"SETTLED","OUTSTANDING"))</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0">
        <f>IF('Final Calculation Sheet'!$AE$29="","",'Final Calculation Sheet'!$AE$29)</f>
        <v/>
      </c>
      <c r="AG48" s="74">
        <f>IF('Final Calculation Sheet'!$AF$29="","",'Final Calculation Sheet'!$AF$29)</f>
        <v/>
      </c>
      <c r="AH48" s="70">
        <f>IF('Final Calculation Sheet'!$AG$29="","",'Final Calculation Sheet'!$AG$29)</f>
        <v/>
      </c>
      <c r="AI48" s="75">
        <f>IF('Final Calculation Sheet'!$AD$29="","",IF('Final Calculation Sheet'!$AD$29&lt;=5,"SETTLED","OUTSTANDING"))</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95">
        <f>IF('Final Calculation Sheet'!$AE$34="","",'Final Calculation Sheet'!$AE$34)</f>
        <v/>
      </c>
      <c r="AG49" s="99">
        <f>IF('Final Calculation Sheet'!$AF$34="","",'Final Calculation Sheet'!$AF$34)</f>
        <v/>
      </c>
      <c r="AH49" s="95">
        <f>IF('Final Calculation Sheet'!$AG$34="","",'Final Calculation Sheet'!$AG$34)</f>
        <v/>
      </c>
      <c r="AI49" s="100">
        <f>IF('Final Calculation Sheet'!$AD$34="","",IF('Final Calculation Sheet'!$AD$34&lt;=5,"SETTLED","OUTSTANDING"))</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0">
        <f>IF('Final Calculation Sheet'!$AE$36="","",'Final Calculation Sheet'!$AE$36)</f>
        <v/>
      </c>
      <c r="AG50" s="74">
        <f>IF('Final Calculation Sheet'!$AF$36="","",'Final Calculation Sheet'!$AF$36)</f>
        <v/>
      </c>
      <c r="AH50" s="70">
        <f>IF('Final Calculation Sheet'!$AG$36="","",'Final Calculation Sheet'!$AG$36)</f>
        <v/>
      </c>
      <c r="AI50" s="75">
        <f>IF('Final Calculation Sheet'!$AD$36="","",IF('Final Calculation Sheet'!$AD$36&lt;=5,"SETTLED","OUTSTANDING"))</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4" t="inlineStr">
        <is>
          <t>–</t>
        </is>
      </c>
      <c r="AG51" s="88" t="inlineStr">
        <is>
          <t>–</t>
        </is>
      </c>
      <c r="AH51" s="84" t="inlineStr">
        <is>
          <t>–</t>
        </is>
      </c>
      <c r="AI51" s="89">
        <f>IF(AE51&lt;=5,"SETTLED","OUTSTANDING")</f>
        <v/>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0">
        <f>IF('Final Calculation Sheet'!$AE$25="","",'Final Calculation Sheet'!$AE$25)</f>
        <v/>
      </c>
      <c r="AG52" s="74">
        <f>IF('Final Calculation Sheet'!$AF$25="","",'Final Calculation Sheet'!$AF$25)</f>
        <v/>
      </c>
      <c r="AH52" s="70">
        <f>IF('Final Calculation Sheet'!$AG$25="","",'Final Calculation Sheet'!$AG$25)</f>
        <v/>
      </c>
      <c r="AI52" s="75">
        <f>IF('Final Calculation Sheet'!$AD$25="","",IF('Final Calculation Sheet'!$AD$25&lt;=5,"SETTLED","OUTSTANDING"))</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95">
        <f>IF('Final Calculation Sheet'!$AE$28="","",'Final Calculation Sheet'!$AE$28)</f>
        <v/>
      </c>
      <c r="AG53" s="99">
        <f>IF('Final Calculation Sheet'!$AF$28="","",'Final Calculation Sheet'!$AF$28)</f>
        <v/>
      </c>
      <c r="AH53" s="95">
        <f>IF('Final Calculation Sheet'!$AG$28="","",'Final Calculation Sheet'!$AG$28)</f>
        <v/>
      </c>
      <c r="AI53" s="100">
        <f>IF('Final Calculation Sheet'!$AD$28="","",IF('Final Calculation Sheet'!$AD$28&lt;=5,"SETTLED","OUTSTANDING"))</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0">
        <f>IF('Final Calculation Sheet'!$AE$35="","",'Final Calculation Sheet'!$AE$35)</f>
        <v/>
      </c>
      <c r="AG54" s="74">
        <f>IF('Final Calculation Sheet'!$AF$35="","",'Final Calculation Sheet'!$AF$35)</f>
        <v/>
      </c>
      <c r="AH54" s="70">
        <f>IF('Final Calculation Sheet'!$AG$35="","",'Final Calculation Sheet'!$AG$35)</f>
        <v/>
      </c>
      <c r="AI54" s="75">
        <f>IF('Final Calculation Sheet'!$AD$35="","",IF('Final Calculation Sheet'!$AD$35&lt;=5,"SETTLED","OUTSTANDING"))</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4" t="inlineStr">
        <is>
          <t>–</t>
        </is>
      </c>
      <c r="AG55" s="88" t="inlineStr">
        <is>
          <t>–</t>
        </is>
      </c>
      <c r="AH55" s="84" t="inlineStr">
        <is>
          <t>–</t>
        </is>
      </c>
      <c r="AI55" s="89">
        <f>IF(AE55&lt;=5,"SETTLED","OUTSTANDING")</f>
        <v/>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3" t="inlineStr">
        <is>
          <t>–</t>
        </is>
      </c>
      <c r="AG56" s="107" t="inlineStr">
        <is>
          <t>–</t>
        </is>
      </c>
      <c r="AH56" s="103" t="inlineStr">
        <is>
          <t>–</t>
        </is>
      </c>
      <c r="AI56" s="108">
        <f>IF(AE56&lt;=5,"SETTLED","OUTSTANDING")</f>
        <v/>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1" t="inlineStr">
        <is>
          <t>–</t>
        </is>
      </c>
      <c r="AG57" s="115" t="inlineStr">
        <is>
          <t>–</t>
        </is>
      </c>
      <c r="AH57" s="111" t="inlineStr">
        <is>
          <t>–</t>
        </is>
      </c>
      <c r="AI57" s="116">
        <f>IF(AE57&lt;=5,"SETTLED","OUTSTANDING")</f>
        <v/>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2">
        <f>IF($AL$60="","",IF(INDEX('Final Calculation Sheet'!$AE$4:$AE$40,$AL$60)="","",INDEX('Final Calculation Sheet'!$AE$4:$AE$40,$AL$60)))</f>
        <v/>
      </c>
      <c r="AG60" s="126">
        <f>IF($AL$60="","",IF(INDEX('Final Calculation Sheet'!$AF$4:$AF$40,$AL$60)="","",INDEX('Final Calculation Sheet'!$AF$4:$AF$40,$AL$60)))</f>
        <v/>
      </c>
      <c r="AH60" s="122">
        <f>IF($AL$60="","",IF(INDEX('Final Calculation Sheet'!$AG$4:$AG$40,$AL$60)="","",INDEX('Final Calculation Sheet'!$AG$4:$AG$40,$AL$60)))</f>
        <v/>
      </c>
      <c r="AI60" s="127">
        <f>IF($AL$60="","",IF(INDEX('Final Calculation Sheet'!$AD$4:$AD$40,$AL$60)&lt;=5,"SETTLED","OUTSTANDING"))</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1">
        <f>IF($AL$61="","",IF(INDEX('Final Calculation Sheet'!$AE$4:$AE$40,$AL$61)="","",INDEX('Final Calculation Sheet'!$AE$4:$AE$40,$AL$61)))</f>
        <v/>
      </c>
      <c r="AG61" s="135">
        <f>IF($AL$61="","",IF(INDEX('Final Calculation Sheet'!$AF$4:$AF$40,$AL$61)="","",INDEX('Final Calculation Sheet'!$AF$4:$AF$40,$AL$61)))</f>
        <v/>
      </c>
      <c r="AH61" s="131">
        <f>IF($AL$61="","",IF(INDEX('Final Calculation Sheet'!$AG$4:$AG$40,$AL$61)="","",INDEX('Final Calculation Sheet'!$AG$4:$AG$40,$AL$61)))</f>
        <v/>
      </c>
      <c r="AI61" s="136">
        <f>IF($AL$61="","",IF(INDEX('Final Calculation Sheet'!$AD$4:$AD$40,$AL$61)&lt;=5,"SETTLED","OUTSTANDING"))</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2">
        <f>IF($AL$62="","",IF(INDEX('Final Calculation Sheet'!$AE$4:$AE$40,$AL$62)="","",INDEX('Final Calculation Sheet'!$AE$4:$AE$40,$AL$62)))</f>
        <v/>
      </c>
      <c r="AG62" s="126">
        <f>IF($AL$62="","",IF(INDEX('Final Calculation Sheet'!$AF$4:$AF$40,$AL$62)="","",INDEX('Final Calculation Sheet'!$AF$4:$AF$40,$AL$62)))</f>
        <v/>
      </c>
      <c r="AH62" s="122">
        <f>IF($AL$62="","",IF(INDEX('Final Calculation Sheet'!$AG$4:$AG$40,$AL$62)="","",INDEX('Final Calculation Sheet'!$AG$4:$AG$40,$AL$62)))</f>
        <v/>
      </c>
      <c r="AI62" s="127">
        <f>IF($AL$62="","",IF(INDEX('Final Calculation Sheet'!$AD$4:$AD$40,$AL$62)&lt;=5,"SETTLED","OUTSTANDING"))</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1">
        <f>IF($AL$63="","",IF(INDEX('Final Calculation Sheet'!$AE$4:$AE$40,$AL$63)="","",INDEX('Final Calculation Sheet'!$AE$4:$AE$40,$AL$63)))</f>
        <v/>
      </c>
      <c r="AG63" s="135">
        <f>IF($AL$63="","",IF(INDEX('Final Calculation Sheet'!$AF$4:$AF$40,$AL$63)="","",INDEX('Final Calculation Sheet'!$AF$4:$AF$40,$AL$63)))</f>
        <v/>
      </c>
      <c r="AH63" s="131">
        <f>IF($AL$63="","",IF(INDEX('Final Calculation Sheet'!$AG$4:$AG$40,$AL$63)="","",INDEX('Final Calculation Sheet'!$AG$4:$AG$40,$AL$63)))</f>
        <v/>
      </c>
      <c r="AI63" s="136">
        <f>IF($AL$63="","",IF(INDEX('Final Calculation Sheet'!$AD$4:$AD$40,$AL$63)&lt;=5,"SETTLED","OUTSTANDING"))</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2">
        <f>IF($AL$64="","",IF(INDEX('Final Calculation Sheet'!$AE$4:$AE$40,$AL$64)="","",INDEX('Final Calculation Sheet'!$AE$4:$AE$40,$AL$64)))</f>
        <v/>
      </c>
      <c r="AG64" s="126">
        <f>IF($AL$64="","",IF(INDEX('Final Calculation Sheet'!$AF$4:$AF$40,$AL$64)="","",INDEX('Final Calculation Sheet'!$AF$4:$AF$40,$AL$64)))</f>
        <v/>
      </c>
      <c r="AH64" s="122">
        <f>IF($AL$64="","",IF(INDEX('Final Calculation Sheet'!$AG$4:$AG$40,$AL$64)="","",INDEX('Final Calculation Sheet'!$AG$4:$AG$40,$AL$64)))</f>
        <v/>
      </c>
      <c r="AI64" s="127">
        <f>IF($AL$64="","",IF(INDEX('Final Calculation Sheet'!$AD$4:$AD$40,$AL$64)&lt;=5,"SETTLED","OUTSTANDING"))</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1">
        <f>IF($AL$65="","",IF(INDEX('Final Calculation Sheet'!$AE$4:$AE$40,$AL$65)="","",INDEX('Final Calculation Sheet'!$AE$4:$AE$40,$AL$65)))</f>
        <v/>
      </c>
      <c r="AG65" s="135">
        <f>IF($AL$65="","",IF(INDEX('Final Calculation Sheet'!$AF$4:$AF$40,$AL$65)="","",INDEX('Final Calculation Sheet'!$AF$4:$AF$40,$AL$65)))</f>
        <v/>
      </c>
      <c r="AH65" s="131">
        <f>IF($AL$65="","",IF(INDEX('Final Calculation Sheet'!$AG$4:$AG$40,$AL$65)="","",INDEX('Final Calculation Sheet'!$AG$4:$AG$40,$AL$65)))</f>
        <v/>
      </c>
      <c r="AI65" s="136">
        <f>IF($AL$65="","",IF(INDEX('Final Calculation Sheet'!$AD$4:$AD$40,$AL$65)&lt;=5,"SETTLED","OUTSTANDING"))</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2">
        <f>IF($AL$66="","",IF(INDEX('Final Calculation Sheet'!$AE$4:$AE$40,$AL$66)="","",INDEX('Final Calculation Sheet'!$AE$4:$AE$40,$AL$66)))</f>
        <v/>
      </c>
      <c r="AG66" s="126">
        <f>IF($AL$66="","",IF(INDEX('Final Calculation Sheet'!$AF$4:$AF$40,$AL$66)="","",INDEX('Final Calculation Sheet'!$AF$4:$AF$40,$AL$66)))</f>
        <v/>
      </c>
      <c r="AH66" s="122">
        <f>IF($AL$66="","",IF(INDEX('Final Calculation Sheet'!$AG$4:$AG$40,$AL$66)="","",INDEX('Final Calculation Sheet'!$AG$4:$AG$40,$AL$66)))</f>
        <v/>
      </c>
      <c r="AI66" s="127">
        <f>IF($AL$66="","",IF(INDEX('Final Calculation Sheet'!$AD$4:$AD$40,$AL$66)&lt;=5,"SETTLED","OUTSTANDING"))</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1">
        <f>IF($AL$67="","",IF(INDEX('Final Calculation Sheet'!$AE$4:$AE$40,$AL$67)="","",INDEX('Final Calculation Sheet'!$AE$4:$AE$40,$AL$67)))</f>
        <v/>
      </c>
      <c r="AG67" s="135">
        <f>IF($AL$67="","",IF(INDEX('Final Calculation Sheet'!$AF$4:$AF$40,$AL$67)="","",INDEX('Final Calculation Sheet'!$AF$4:$AF$40,$AL$67)))</f>
        <v/>
      </c>
      <c r="AH67" s="131">
        <f>IF($AL$67="","",IF(INDEX('Final Calculation Sheet'!$AG$4:$AG$40,$AL$67)="","",INDEX('Final Calculation Sheet'!$AG$4:$AG$40,$AL$67)))</f>
        <v/>
      </c>
      <c r="AI67" s="136">
        <f>IF($AL$67="","",IF(INDEX('Final Calculation Sheet'!$AD$4:$AD$40,$AL$67)&lt;=5,"SETTLED","OUTSTANDING"))</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2">
        <f>IF($AL$68="","",IF(INDEX('Final Calculation Sheet'!$AE$4:$AE$40,$AL$68)="","",INDEX('Final Calculation Sheet'!$AE$4:$AE$40,$AL$68)))</f>
        <v/>
      </c>
      <c r="AG68" s="126">
        <f>IF($AL$68="","",IF(INDEX('Final Calculation Sheet'!$AF$4:$AF$40,$AL$68)="","",INDEX('Final Calculation Sheet'!$AF$4:$AF$40,$AL$68)))</f>
        <v/>
      </c>
      <c r="AH68" s="122">
        <f>IF($AL$68="","",IF(INDEX('Final Calculation Sheet'!$AG$4:$AG$40,$AL$68)="","",INDEX('Final Calculation Sheet'!$AG$4:$AG$40,$AL$68)))</f>
        <v/>
      </c>
      <c r="AI68" s="127">
        <f>IF($AL$68="","",IF(INDEX('Final Calculation Sheet'!$AD$4:$AD$40,$AL$68)&lt;=5,"SETTLED","OUTSTANDING"))</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1">
        <f>IF($AL$69="","",IF(INDEX('Final Calculation Sheet'!$AE$4:$AE$40,$AL$69)="","",INDEX('Final Calculation Sheet'!$AE$4:$AE$40,$AL$69)))</f>
        <v/>
      </c>
      <c r="AG69" s="135">
        <f>IF($AL$69="","",IF(INDEX('Final Calculation Sheet'!$AF$4:$AF$40,$AL$69)="","",INDEX('Final Calculation Sheet'!$AF$4:$AF$40,$AL$69)))</f>
        <v/>
      </c>
      <c r="AH69" s="131">
        <f>IF($AL$69="","",IF(INDEX('Final Calculation Sheet'!$AG$4:$AG$40,$AL$69)="","",INDEX('Final Calculation Sheet'!$AG$4:$AG$40,$AL$69)))</f>
        <v/>
      </c>
      <c r="AI69" s="136">
        <f>IF($AL$69="","",IF(INDEX('Final Calculation Sheet'!$AD$4:$AD$40,$AL$69)&lt;=5,"SETTLED","OUTSTANDING"))</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2">
        <f>IF($AL$70="","",IF(INDEX('Final Calculation Sheet'!$AE$4:$AE$40,$AL$70)="","",INDEX('Final Calculation Sheet'!$AE$4:$AE$40,$AL$70)))</f>
        <v/>
      </c>
      <c r="AG70" s="126">
        <f>IF($AL$70="","",IF(INDEX('Final Calculation Sheet'!$AF$4:$AF$40,$AL$70)="","",INDEX('Final Calculation Sheet'!$AF$4:$AF$40,$AL$70)))</f>
        <v/>
      </c>
      <c r="AH70" s="122">
        <f>IF($AL$70="","",IF(INDEX('Final Calculation Sheet'!$AG$4:$AG$40,$AL$70)="","",INDEX('Final Calculation Sheet'!$AG$4:$AG$40,$AL$70)))</f>
        <v/>
      </c>
      <c r="AI70" s="127">
        <f>IF($AL$70="","",IF(INDEX('Final Calculation Sheet'!$AD$4:$AD$40,$AL$70)&lt;=5,"SETTLED","OUTSTANDING"))</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1">
        <f>IF($AL$71="","",IF(INDEX('Final Calculation Sheet'!$AE$4:$AE$40,$AL$71)="","",INDEX('Final Calculation Sheet'!$AE$4:$AE$40,$AL$71)))</f>
        <v/>
      </c>
      <c r="AG71" s="135">
        <f>IF($AL$71="","",IF(INDEX('Final Calculation Sheet'!$AF$4:$AF$40,$AL$71)="","",INDEX('Final Calculation Sheet'!$AF$4:$AF$40,$AL$71)))</f>
        <v/>
      </c>
      <c r="AH71" s="131">
        <f>IF($AL$71="","",IF(INDEX('Final Calculation Sheet'!$AG$4:$AG$40,$AL$71)="","",INDEX('Final Calculation Sheet'!$AG$4:$AG$40,$AL$71)))</f>
        <v/>
      </c>
      <c r="AI71" s="136">
        <f>IF($AL$71="","",IF(INDEX('Final Calculation Sheet'!$AD$4:$AD$40,$AL$71)&lt;=5,"SETTLED","OUTSTANDING"))</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2">
        <f>IF($AL$72="","",IF(INDEX('Final Calculation Sheet'!$AE$4:$AE$40,$AL$72)="","",INDEX('Final Calculation Sheet'!$AE$4:$AE$40,$AL$72)))</f>
        <v/>
      </c>
      <c r="AG72" s="126">
        <f>IF($AL$72="","",IF(INDEX('Final Calculation Sheet'!$AF$4:$AF$40,$AL$72)="","",INDEX('Final Calculation Sheet'!$AF$4:$AF$40,$AL$72)))</f>
        <v/>
      </c>
      <c r="AH72" s="122">
        <f>IF($AL$72="","",IF(INDEX('Final Calculation Sheet'!$AG$4:$AG$40,$AL$72)="","",INDEX('Final Calculation Sheet'!$AG$4:$AG$40,$AL$72)))</f>
        <v/>
      </c>
      <c r="AI72" s="127">
        <f>IF($AL$72="","",IF(INDEX('Final Calculation Sheet'!$AD$4:$AD$40,$AL$72)&lt;=5,"SETTLED","OUTSTANDING"))</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1">
        <f>IF($AL$73="","",IF(INDEX('Final Calculation Sheet'!$AE$4:$AE$40,$AL$73)="","",INDEX('Final Calculation Sheet'!$AE$4:$AE$40,$AL$73)))</f>
        <v/>
      </c>
      <c r="AG73" s="135">
        <f>IF($AL$73="","",IF(INDEX('Final Calculation Sheet'!$AF$4:$AF$40,$AL$73)="","",INDEX('Final Calculation Sheet'!$AF$4:$AF$40,$AL$73)))</f>
        <v/>
      </c>
      <c r="AH73" s="131">
        <f>IF($AL$73="","",IF(INDEX('Final Calculation Sheet'!$AG$4:$AG$40,$AL$73)="","",INDEX('Final Calculation Sheet'!$AG$4:$AG$40,$AL$73)))</f>
        <v/>
      </c>
      <c r="AI73" s="136">
        <f>IF($AL$73="","",IF(INDEX('Final Calculation Sheet'!$AD$4:$AD$40,$AL$73)&lt;=5,"SETTLED","OUTSTANDING"))</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2">
        <f>IF($AL$74="","",IF(INDEX('Final Calculation Sheet'!$AE$4:$AE$40,$AL$74)="","",INDEX('Final Calculation Sheet'!$AE$4:$AE$40,$AL$74)))</f>
        <v/>
      </c>
      <c r="AG74" s="126">
        <f>IF($AL$74="","",IF(INDEX('Final Calculation Sheet'!$AF$4:$AF$40,$AL$74)="","",INDEX('Final Calculation Sheet'!$AF$4:$AF$40,$AL$74)))</f>
        <v/>
      </c>
      <c r="AH74" s="122">
        <f>IF($AL$74="","",IF(INDEX('Final Calculation Sheet'!$AG$4:$AG$40,$AL$74)="","",INDEX('Final Calculation Sheet'!$AG$4:$AG$40,$AL$74)))</f>
        <v/>
      </c>
      <c r="AI74" s="127">
        <f>IF($AL$74="","",IF(INDEX('Final Calculation Sheet'!$AD$4:$AD$40,$AL$74)&lt;=5,"SETTLED","OUTSTANDING"))</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1">
        <f>IF($AL$75="","",IF(INDEX('Final Calculation Sheet'!$AE$4:$AE$40,$AL$75)="","",INDEX('Final Calculation Sheet'!$AE$4:$AE$40,$AL$75)))</f>
        <v/>
      </c>
      <c r="AG75" s="135">
        <f>IF($AL$75="","",IF(INDEX('Final Calculation Sheet'!$AF$4:$AF$40,$AL$75)="","",INDEX('Final Calculation Sheet'!$AF$4:$AF$40,$AL$75)))</f>
        <v/>
      </c>
      <c r="AH75" s="131">
        <f>IF($AL$75="","",IF(INDEX('Final Calculation Sheet'!$AG$4:$AG$40,$AL$75)="","",INDEX('Final Calculation Sheet'!$AG$4:$AG$40,$AL$75)))</f>
        <v/>
      </c>
      <c r="AI75" s="136">
        <f>IF($AL$75="","",IF(INDEX('Final Calculation Sheet'!$AD$4:$AD$40,$AL$75)&lt;=5,"SETTLED","OUTSTANDING"))</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2">
        <f>IF($AL$76="","",IF(INDEX('Final Calculation Sheet'!$AE$4:$AE$40,$AL$76)="","",INDEX('Final Calculation Sheet'!$AE$4:$AE$40,$AL$76)))</f>
        <v/>
      </c>
      <c r="AG76" s="126">
        <f>IF($AL$76="","",IF(INDEX('Final Calculation Sheet'!$AF$4:$AF$40,$AL$76)="","",INDEX('Final Calculation Sheet'!$AF$4:$AF$40,$AL$76)))</f>
        <v/>
      </c>
      <c r="AH76" s="122">
        <f>IF($AL$76="","",IF(INDEX('Final Calculation Sheet'!$AG$4:$AG$40,$AL$76)="","",INDEX('Final Calculation Sheet'!$AG$4:$AG$40,$AL$76)))</f>
        <v/>
      </c>
      <c r="AI76" s="127">
        <f>IF($AL$76="","",IF(INDEX('Final Calculation Sheet'!$AD$4:$AD$40,$AL$76)&lt;=5,"SETTLED","OUTSTANDING"))</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1">
        <f>IF($AL$77="","",IF(INDEX('Final Calculation Sheet'!$AE$4:$AE$40,$AL$77)="","",INDEX('Final Calculation Sheet'!$AE$4:$AE$40,$AL$77)))</f>
        <v/>
      </c>
      <c r="AG77" s="135">
        <f>IF($AL$77="","",IF(INDEX('Final Calculation Sheet'!$AF$4:$AF$40,$AL$77)="","",INDEX('Final Calculation Sheet'!$AF$4:$AF$40,$AL$77)))</f>
        <v/>
      </c>
      <c r="AH77" s="131">
        <f>IF($AL$77="","",IF(INDEX('Final Calculation Sheet'!$AG$4:$AG$40,$AL$77)="","",INDEX('Final Calculation Sheet'!$AG$4:$AG$40,$AL$77)))</f>
        <v/>
      </c>
      <c r="AI77" s="136">
        <f>IF($AL$77="","",IF(INDEX('Final Calculation Sheet'!$AD$4:$AD$40,$AL$77)&lt;=5,"SETTLED","OUTSTANDING"))</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2">
        <f>IF($AL$78="","",IF(INDEX('Final Calculation Sheet'!$AE$4:$AE$40,$AL$78)="","",INDEX('Final Calculation Sheet'!$AE$4:$AE$40,$AL$78)))</f>
        <v/>
      </c>
      <c r="AG78" s="126">
        <f>IF($AL$78="","",IF(INDEX('Final Calculation Sheet'!$AF$4:$AF$40,$AL$78)="","",INDEX('Final Calculation Sheet'!$AF$4:$AF$40,$AL$78)))</f>
        <v/>
      </c>
      <c r="AH78" s="122">
        <f>IF($AL$78="","",IF(INDEX('Final Calculation Sheet'!$AG$4:$AG$40,$AL$78)="","",INDEX('Final Calculation Sheet'!$AG$4:$AG$40,$AL$78)))</f>
        <v/>
      </c>
      <c r="AI78" s="127">
        <f>IF($AL$78="","",IF(INDEX('Final Calculation Sheet'!$AD$4:$AD$40,$AL$78)&lt;=5,"SETTLED","OUTSTANDING"))</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1">
        <f>IF($AL$79="","",IF(INDEX('Final Calculation Sheet'!$AE$4:$AE$40,$AL$79)="","",INDEX('Final Calculation Sheet'!$AE$4:$AE$40,$AL$79)))</f>
        <v/>
      </c>
      <c r="AG79" s="135">
        <f>IF($AL$79="","",IF(INDEX('Final Calculation Sheet'!$AF$4:$AF$40,$AL$79)="","",INDEX('Final Calculation Sheet'!$AF$4:$AF$40,$AL$79)))</f>
        <v/>
      </c>
      <c r="AH79" s="131">
        <f>IF($AL$79="","",IF(INDEX('Final Calculation Sheet'!$AG$4:$AG$40,$AL$79)="","",INDEX('Final Calculation Sheet'!$AG$4:$AG$40,$AL$79)))</f>
        <v/>
      </c>
      <c r="AI79" s="136">
        <f>IF($AL$79="","",IF(INDEX('Final Calculation Sheet'!$AD$4:$AD$40,$AL$79)&lt;=5,"SETTLED","OUTSTANDING"))</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2">
        <f>IF($AL$80="","",IF(INDEX('Final Calculation Sheet'!$AE$4:$AE$40,$AL$80)="","",INDEX('Final Calculation Sheet'!$AE$4:$AE$40,$AL$80)))</f>
        <v/>
      </c>
      <c r="AG80" s="126">
        <f>IF($AL$80="","",IF(INDEX('Final Calculation Sheet'!$AF$4:$AF$40,$AL$80)="","",INDEX('Final Calculation Sheet'!$AF$4:$AF$40,$AL$80)))</f>
        <v/>
      </c>
      <c r="AH80" s="122">
        <f>IF($AL$80="","",IF(INDEX('Final Calculation Sheet'!$AG$4:$AG$40,$AL$80)="","",INDEX('Final Calculation Sheet'!$AG$4:$AG$40,$AL$80)))</f>
        <v/>
      </c>
      <c r="AI80" s="127">
        <f>IF($AL$80="","",IF(INDEX('Final Calculation Sheet'!$AD$4:$AD$40,$AL$80)&lt;=5,"SETTLED","OUTSTANDING"))</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1">
        <f>IF($AL$81="","",IF(INDEX('Final Calculation Sheet'!$AE$4:$AE$40,$AL$81)="","",INDEX('Final Calculation Sheet'!$AE$4:$AE$40,$AL$81)))</f>
        <v/>
      </c>
      <c r="AG81" s="135">
        <f>IF($AL$81="","",IF(INDEX('Final Calculation Sheet'!$AF$4:$AF$40,$AL$81)="","",INDEX('Final Calculation Sheet'!$AF$4:$AF$40,$AL$81)))</f>
        <v/>
      </c>
      <c r="AH81" s="131">
        <f>IF($AL$81="","",IF(INDEX('Final Calculation Sheet'!$AG$4:$AG$40,$AL$81)="","",INDEX('Final Calculation Sheet'!$AG$4:$AG$40,$AL$81)))</f>
        <v/>
      </c>
      <c r="AI81" s="136">
        <f>IF($AL$81="","",IF(INDEX('Final Calculation Sheet'!$AD$4:$AD$40,$AL$81)&lt;=5,"SETTLED","OUTSTANDING"))</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2">
        <f>IF($AL$82="","",IF(INDEX('Final Calculation Sheet'!$AE$4:$AE$40,$AL$82)="","",INDEX('Final Calculation Sheet'!$AE$4:$AE$40,$AL$82)))</f>
        <v/>
      </c>
      <c r="AG82" s="126">
        <f>IF($AL$82="","",IF(INDEX('Final Calculation Sheet'!$AF$4:$AF$40,$AL$82)="","",INDEX('Final Calculation Sheet'!$AF$4:$AF$40,$AL$82)))</f>
        <v/>
      </c>
      <c r="AH82" s="122">
        <f>IF($AL$82="","",IF(INDEX('Final Calculation Sheet'!$AG$4:$AG$40,$AL$82)="","",INDEX('Final Calculation Sheet'!$AG$4:$AG$40,$AL$82)))</f>
        <v/>
      </c>
      <c r="AI82" s="127">
        <f>IF($AL$82="","",IF(INDEX('Final Calculation Sheet'!$AD$4:$AD$40,$AL$82)&lt;=5,"SETTLED","OUTSTANDING"))</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1">
        <f>IF($AL$83="","",IF(INDEX('Final Calculation Sheet'!$AE$4:$AE$40,$AL$83)="","",INDEX('Final Calculation Sheet'!$AE$4:$AE$40,$AL$83)))</f>
        <v/>
      </c>
      <c r="AG83" s="135">
        <f>IF($AL$83="","",IF(INDEX('Final Calculation Sheet'!$AF$4:$AF$40,$AL$83)="","",INDEX('Final Calculation Sheet'!$AF$4:$AF$40,$AL$83)))</f>
        <v/>
      </c>
      <c r="AH83" s="131">
        <f>IF($AL$83="","",IF(INDEX('Final Calculation Sheet'!$AG$4:$AG$40,$AL$83)="","",INDEX('Final Calculation Sheet'!$AG$4:$AG$40,$AL$83)))</f>
        <v/>
      </c>
      <c r="AI83" s="136">
        <f>IF($AL$83="","",IF(INDEX('Final Calculation Sheet'!$AD$4:$AD$40,$AL$83)&lt;=5,"SETTLED","OUTSTANDING"))</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2">
        <f>IF($AL$84="","",IF(INDEX('Final Calculation Sheet'!$AE$4:$AE$40,$AL$84)="","",INDEX('Final Calculation Sheet'!$AE$4:$AE$40,$AL$84)))</f>
        <v/>
      </c>
      <c r="AG84" s="126">
        <f>IF($AL$84="","",IF(INDEX('Final Calculation Sheet'!$AF$4:$AF$40,$AL$84)="","",INDEX('Final Calculation Sheet'!$AF$4:$AF$40,$AL$84)))</f>
        <v/>
      </c>
      <c r="AH84" s="122">
        <f>IF($AL$84="","",IF(INDEX('Final Calculation Sheet'!$AG$4:$AG$40,$AL$84)="","",INDEX('Final Calculation Sheet'!$AG$4:$AG$40,$AL$84)))</f>
        <v/>
      </c>
      <c r="AI84" s="127">
        <f>IF($AL$84="","",IF(INDEX('Final Calculation Sheet'!$AD$4:$AD$40,$AL$84)&lt;=5,"SETTLED","OUTSTANDING"))</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1">
        <f>IF($AL$85="","",IF(INDEX('Final Calculation Sheet'!$AE$4:$AE$40,$AL$85)="","",INDEX('Final Calculation Sheet'!$AE$4:$AE$40,$AL$85)))</f>
        <v/>
      </c>
      <c r="AG85" s="135">
        <f>IF($AL$85="","",IF(INDEX('Final Calculation Sheet'!$AF$4:$AF$40,$AL$85)="","",INDEX('Final Calculation Sheet'!$AF$4:$AF$40,$AL$85)))</f>
        <v/>
      </c>
      <c r="AH85" s="131">
        <f>IF($AL$85="","",IF(INDEX('Final Calculation Sheet'!$AG$4:$AG$40,$AL$85)="","",INDEX('Final Calculation Sheet'!$AG$4:$AG$40,$AL$85)))</f>
        <v/>
      </c>
      <c r="AI85" s="136">
        <f>IF($AL$85="","",IF(INDEX('Final Calculation Sheet'!$AD$4:$AD$40,$AL$85)&lt;=5,"SETTLED","OUTSTANDING"))</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2">
        <f>IF($AL$86="","",IF(INDEX('Final Calculation Sheet'!$AE$4:$AE$40,$AL$86)="","",INDEX('Final Calculation Sheet'!$AE$4:$AE$40,$AL$86)))</f>
        <v/>
      </c>
      <c r="AG86" s="126">
        <f>IF($AL$86="","",IF(INDEX('Final Calculation Sheet'!$AF$4:$AF$40,$AL$86)="","",INDEX('Final Calculation Sheet'!$AF$4:$AF$40,$AL$86)))</f>
        <v/>
      </c>
      <c r="AH86" s="122">
        <f>IF($AL$86="","",IF(INDEX('Final Calculation Sheet'!$AG$4:$AG$40,$AL$86)="","",INDEX('Final Calculation Sheet'!$AG$4:$AG$40,$AL$86)))</f>
        <v/>
      </c>
      <c r="AI86" s="127">
        <f>IF($AL$86="","",IF(INDEX('Final Calculation Sheet'!$AD$4:$AD$40,$AL$86)&lt;=5,"SETTLED","OUTSTANDING"))</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1">
        <f>IF($AL$87="","",IF(INDEX('Final Calculation Sheet'!$AE$4:$AE$40,$AL$87)="","",INDEX('Final Calculation Sheet'!$AE$4:$AE$40,$AL$87)))</f>
        <v/>
      </c>
      <c r="AG87" s="135">
        <f>IF($AL$87="","",IF(INDEX('Final Calculation Sheet'!$AF$4:$AF$40,$AL$87)="","",INDEX('Final Calculation Sheet'!$AF$4:$AF$40,$AL$87)))</f>
        <v/>
      </c>
      <c r="AH87" s="131">
        <f>IF($AL$87="","",IF(INDEX('Final Calculation Sheet'!$AG$4:$AG$40,$AL$87)="","",INDEX('Final Calculation Sheet'!$AG$4:$AG$40,$AL$87)))</f>
        <v/>
      </c>
      <c r="AI87" s="136">
        <f>IF($AL$87="","",IF(INDEX('Final Calculation Sheet'!$AD$4:$AD$40,$AL$87)&lt;=5,"SETTLED","OUTSTANDING"))</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2">
        <f>IF($AL$88="","",IF(INDEX('Final Calculation Sheet'!$AE$4:$AE$40,$AL$88)="","",INDEX('Final Calculation Sheet'!$AE$4:$AE$40,$AL$88)))</f>
        <v/>
      </c>
      <c r="AG88" s="126">
        <f>IF($AL$88="","",IF(INDEX('Final Calculation Sheet'!$AF$4:$AF$40,$AL$88)="","",INDEX('Final Calculation Sheet'!$AF$4:$AF$40,$AL$88)))</f>
        <v/>
      </c>
      <c r="AH88" s="122">
        <f>IF($AL$88="","",IF(INDEX('Final Calculation Sheet'!$AG$4:$AG$40,$AL$88)="","",INDEX('Final Calculation Sheet'!$AG$4:$AG$40,$AL$88)))</f>
        <v/>
      </c>
      <c r="AI88" s="127">
        <f>IF($AL$88="","",IF(INDEX('Final Calculation Sheet'!$AD$4:$AD$40,$AL$88)&lt;=5,"SETTLED","OUTSTANDING"))</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1">
        <f>IF($AL$89="","",IF(INDEX('Final Calculation Sheet'!$AE$4:$AE$40,$AL$89)="","",INDEX('Final Calculation Sheet'!$AE$4:$AE$40,$AL$89)))</f>
        <v/>
      </c>
      <c r="AG89" s="135">
        <f>IF($AL$89="","",IF(INDEX('Final Calculation Sheet'!$AF$4:$AF$40,$AL$89)="","",INDEX('Final Calculation Sheet'!$AF$4:$AF$40,$AL$89)))</f>
        <v/>
      </c>
      <c r="AH89" s="131">
        <f>IF($AL$89="","",IF(INDEX('Final Calculation Sheet'!$AG$4:$AG$40,$AL$89)="","",INDEX('Final Calculation Sheet'!$AG$4:$AG$40,$AL$89)))</f>
        <v/>
      </c>
      <c r="AI89" s="136">
        <f>IF($AL$89="","",IF(INDEX('Final Calculation Sheet'!$AD$4:$AD$40,$AL$89)&lt;=5,"SETTLED","OUTSTANDING"))</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2">
        <f>IF($AL$90="","",IF(INDEX('Final Calculation Sheet'!$AE$4:$AE$40,$AL$90)="","",INDEX('Final Calculation Sheet'!$AE$4:$AE$40,$AL$90)))</f>
        <v/>
      </c>
      <c r="AG90" s="126">
        <f>IF($AL$90="","",IF(INDEX('Final Calculation Sheet'!$AF$4:$AF$40,$AL$90)="","",INDEX('Final Calculation Sheet'!$AF$4:$AF$40,$AL$90)))</f>
        <v/>
      </c>
      <c r="AH90" s="122">
        <f>IF($AL$90="","",IF(INDEX('Final Calculation Sheet'!$AG$4:$AG$40,$AL$90)="","",INDEX('Final Calculation Sheet'!$AG$4:$AG$40,$AL$90)))</f>
        <v/>
      </c>
      <c r="AI90" s="127">
        <f>IF($AL$90="","",IF(INDEX('Final Calculation Sheet'!$AD$4:$AD$40,$AL$90)&lt;=5,"SETTLED","OUTSTANDING"))</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1">
        <f>IF($AL$91="","",IF(INDEX('Final Calculation Sheet'!$AE$4:$AE$40,$AL$91)="","",INDEX('Final Calculation Sheet'!$AE$4:$AE$40,$AL$91)))</f>
        <v/>
      </c>
      <c r="AG91" s="135">
        <f>IF($AL$91="","",IF(INDEX('Final Calculation Sheet'!$AF$4:$AF$40,$AL$91)="","",INDEX('Final Calculation Sheet'!$AF$4:$AF$40,$AL$91)))</f>
        <v/>
      </c>
      <c r="AH91" s="131">
        <f>IF($AL$91="","",IF(INDEX('Final Calculation Sheet'!$AG$4:$AG$40,$AL$91)="","",INDEX('Final Calculation Sheet'!$AG$4:$AG$40,$AL$91)))</f>
        <v/>
      </c>
      <c r="AI91" s="136">
        <f>IF($AL$91="","",IF(INDEX('Final Calculation Sheet'!$AD$4:$AD$40,$AL$91)&lt;=5,"SETTLED","OUTSTANDING"))</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2">
        <f>IF($AL$92="","",IF(INDEX('Final Calculation Sheet'!$AE$4:$AE$40,$AL$92)="","",INDEX('Final Calculation Sheet'!$AE$4:$AE$40,$AL$92)))</f>
        <v/>
      </c>
      <c r="AG92" s="126">
        <f>IF($AL$92="","",IF(INDEX('Final Calculation Sheet'!$AF$4:$AF$40,$AL$92)="","",INDEX('Final Calculation Sheet'!$AF$4:$AF$40,$AL$92)))</f>
        <v/>
      </c>
      <c r="AH92" s="122">
        <f>IF($AL$92="","",IF(INDEX('Final Calculation Sheet'!$AG$4:$AG$40,$AL$92)="","",INDEX('Final Calculation Sheet'!$AG$4:$AG$40,$AL$92)))</f>
        <v/>
      </c>
      <c r="AI92" s="127">
        <f>IF($AL$92="","",IF(INDEX('Final Calculation Sheet'!$AD$4:$AD$40,$AL$92)&lt;=5,"SETTLED","OUTSTANDING"))</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1">
        <f>IF($AL$93="","",IF(INDEX('Final Calculation Sheet'!$AE$4:$AE$40,$AL$93)="","",INDEX('Final Calculation Sheet'!$AE$4:$AE$40,$AL$93)))</f>
        <v/>
      </c>
      <c r="AG93" s="135">
        <f>IF($AL$93="","",IF(INDEX('Final Calculation Sheet'!$AF$4:$AF$40,$AL$93)="","",INDEX('Final Calculation Sheet'!$AF$4:$AF$40,$AL$93)))</f>
        <v/>
      </c>
      <c r="AH93" s="131">
        <f>IF($AL$93="","",IF(INDEX('Final Calculation Sheet'!$AG$4:$AG$40,$AL$93)="","",INDEX('Final Calculation Sheet'!$AG$4:$AG$40,$AL$93)))</f>
        <v/>
      </c>
      <c r="AI93" s="136">
        <f>IF($AL$93="","",IF(INDEX('Final Calculation Sheet'!$AD$4:$AD$40,$AL$93)&lt;=5,"SETTLED","OUTSTANDING"))</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2">
        <f>IF($AL$94="","",IF(INDEX('Final Calculation Sheet'!$AE$4:$AE$40,$AL$94)="","",INDEX('Final Calculation Sheet'!$AE$4:$AE$40,$AL$94)))</f>
        <v/>
      </c>
      <c r="AG94" s="126">
        <f>IF($AL$94="","",IF(INDEX('Final Calculation Sheet'!$AF$4:$AF$40,$AL$94)="","",INDEX('Final Calculation Sheet'!$AF$4:$AF$40,$AL$94)))</f>
        <v/>
      </c>
      <c r="AH94" s="122">
        <f>IF($AL$94="","",IF(INDEX('Final Calculation Sheet'!$AG$4:$AG$40,$AL$94)="","",INDEX('Final Calculation Sheet'!$AG$4:$AG$40,$AL$94)))</f>
        <v/>
      </c>
      <c r="AI94" s="127">
        <f>IF($AL$94="","",IF(INDEX('Final Calculation Sheet'!$AD$4:$AD$40,$AL$94)&lt;=5,"SETTLED","OUTSTANDING"))</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1">
        <f>IF($AL$95="","",IF(INDEX('Final Calculation Sheet'!$AE$4:$AE$40,$AL$95)="","",INDEX('Final Calculation Sheet'!$AE$4:$AE$40,$AL$95)))</f>
        <v/>
      </c>
      <c r="AG95" s="135">
        <f>IF($AL$95="","",IF(INDEX('Final Calculation Sheet'!$AF$4:$AF$40,$AL$95)="","",INDEX('Final Calculation Sheet'!$AF$4:$AF$40,$AL$95)))</f>
        <v/>
      </c>
      <c r="AH95" s="131">
        <f>IF($AL$95="","",IF(INDEX('Final Calculation Sheet'!$AG$4:$AG$40,$AL$95)="","",INDEX('Final Calculation Sheet'!$AG$4:$AG$40,$AL$95)))</f>
        <v/>
      </c>
      <c r="AI95" s="136">
        <f>IF($AL$95="","",IF(INDEX('Final Calculation Sheet'!$AD$4:$AD$40,$AL$95)&lt;=5,"SETTLED","OUTSTANDING"))</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2">
        <f>IF($AL$96="","",IF(INDEX('Final Calculation Sheet'!$AE$4:$AE$40,$AL$96)="","",INDEX('Final Calculation Sheet'!$AE$4:$AE$40,$AL$96)))</f>
        <v/>
      </c>
      <c r="AG96" s="126">
        <f>IF($AL$96="","",IF(INDEX('Final Calculation Sheet'!$AF$4:$AF$40,$AL$96)="","",INDEX('Final Calculation Sheet'!$AF$4:$AF$40,$AL$96)))</f>
        <v/>
      </c>
      <c r="AH96" s="122">
        <f>IF($AL$96="","",IF(INDEX('Final Calculation Sheet'!$AG$4:$AG$40,$AL$96)="","",INDEX('Final Calculation Sheet'!$AG$4:$AG$40,$AL$96)))</f>
        <v/>
      </c>
      <c r="AI96" s="127">
        <f>IF($AL$96="","",IF(INDEX('Final Calculation Sheet'!$AD$4:$AD$40,$AL$96)&lt;=5,"SETTLED","OUTSTANDING"))</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Sheet'!$AE$4="","",'Final Calculation Sheet'!$AE$4)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Sheet'!$AF$4="","",'Final Calculation Sheet'!$AF$4)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Sheet'!$AG$4="","",'Final Calculation Sheet'!$AG$4)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Sheet'!$AE$5="","",'Final Calculation Sheet'!$AE$5)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Sheet'!$AF$5="","",'Final Calculation Sheet'!$AF$5)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Sheet'!$AG$5="","",'Final Calculation Sheet'!$AG$5)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Sheet'!$AE$6="","",'Final Calculation Sheet'!$AE$6)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Sheet'!$AF$6="","",'Final Calculation Sheet'!$AF$6)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Sheet'!$AG$6="","",'Final Calculation Sheet'!$AG$6)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Sheet'!$AE$7="","",'Final Calculation Sheet'!$AE$7)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Sheet'!$AF$7="","",'Final Calculation Sheet'!$AF$7)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Sheet'!$AG$7="","",'Final Calculation Sheet'!$AG$7)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Sheet'!$AE$8="","",'Final Calculation Sheet'!$AE$8)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Sheet'!$AF$8="","",'Final Calculation Sheet'!$AF$8)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Sheet'!$AG$8="","",'Final Calculation Sheet'!$AG$8)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Sheet'!$AE$9="","",'Final Calculation Sheet'!$AE$9)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Sheet'!$AF$9="","",'Final Calculation Sheet'!$AF$9)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Sheet'!$AG$9="","",'Final Calculation Sheet'!$AG$9)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Sheet'!$AE$10="","",'Final Calculation Sheet'!$AE$10)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Sheet'!$AF$10="","",'Final Calculation Sheet'!$AF$10)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Sheet'!$AG$10="","",'Final Calculation Sheet'!$AG$10)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Sheet'!$AE$11="","",'Final Calculation Sheet'!$AE$11)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Sheet'!$AF$11="","",'Final Calculation Sheet'!$AF$11)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Sheet'!$AG$11="","",'Final Calculation Sheet'!$AG$11)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Sheet'!$AE$12="","",'Final Calculation Sheet'!$AE$12)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Sheet'!$AF$12="","",'Final Calculation Sheet'!$AF$12)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Sheet'!$AG$12="","",'Final Calculation Sheet'!$AG$12)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Sheet'!$AE$13="","",'Final Calculation Sheet'!$AE$13)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Sheet'!$AF$13="","",'Final Calculation Sheet'!$AF$13)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Sheet'!$AG$13="","",'Final Calculation Sheet'!$AG$13)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Sheet'!$AE$14="","",'Final Calculation Sheet'!$AE$14)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Sheet'!$AF$14="","",'Final Calculation Sheet'!$AF$14)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Sheet'!$AG$14="","",'Final Calculation Sheet'!$AG$14)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Sheet'!$AE$15="","",'Final Calculation Sheet'!$AE$15)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Sheet'!$AF$15="","",'Final Calculation Sheet'!$AF$15)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Sheet'!$AG$15="","",'Final Calculation Sheet'!$AG$15)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Sheet'!$AE$16="","",'Final Calculation Sheet'!$AE$16)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Sheet'!$AF$16="","",'Final Calculation Sheet'!$AF$16)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Sheet'!$AG$16="","",'Final Calculation Sheet'!$AG$16)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Sheet'!$AE$17="","",'Final Calculation Sheet'!$AE$17)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Sheet'!$AF$17="","",'Final Calculation Sheet'!$AF$17)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Sheet'!$AG$17="","",'Final Calculation Sheet'!$AG$17)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Sheet'!$AE$18="","",'Final Calculation Sheet'!$AE$18)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Sheet'!$AF$18="","",'Final Calculation Sheet'!$AF$18)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Sheet'!$AG$18="","",'Final Calculation Sheet'!$AG$18)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Sheet'!$AE$19="","",'Final Calculation Sheet'!$AE$19)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Sheet'!$AF$19="","",'Final Calculation Sheet'!$AF$19)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Sheet'!$AG$19="","",'Final Calculation Sheet'!$AG$19)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Sheet'!$AE$20="","",'Final Calculation Sheet'!$AE$20)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Sheet'!$AF$20="","",'Final Calculation Sheet'!$AF$20)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Sheet'!$AG$20="","",'Final Calculation Sheet'!$AG$20)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Sheet'!$AE$21="","",'Final Calculation Sheet'!$AE$21)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Sheet'!$AF$21="","",'Final Calculation Sheet'!$AF$21)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Sheet'!$AG$21="","",'Final Calculation Sheet'!$AG$21)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Sheet'!$AE$22="","",'Final Calculation Sheet'!$AE$22)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Sheet'!$AF$22="","",'Final Calculation Sheet'!$AF$22)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Sheet'!$AG$22="","",'Final Calculation Sheet'!$AG$22)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Sheet'!$AE$23="","",'Final Calculation Sheet'!$AE$23)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Sheet'!$AF$23="","",'Final Calculation Sheet'!$AF$23)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Sheet'!$AG$23="","",'Final Calculation Sheet'!$AG$23)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Sheet'!$AE$24="","",'Final Calculation Sheet'!$AE$24)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Sheet'!$AF$24="","",'Final Calculation Sheet'!$AF$24)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Sheet'!$AG$24="","",'Final Calculation Sheet'!$AG$24)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Sheet'!$AE$25="","",'Final Calculation Sheet'!$AE$25)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Sheet'!$AF$25="","",'Final Calculation Sheet'!$AF$25)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Sheet'!$AG$25="","",'Final Calculation Sheet'!$AG$25)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Sheet'!$AE$26="","",'Final Calculation Sheet'!$AE$26)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Sheet'!$AF$26="","",'Final Calculation Sheet'!$AF$26)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Sheet'!$AG$26="","",'Final Calculation Sheet'!$AG$26)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Sheet'!$AE$27="","",'Final Calculation Sheet'!$AE$27)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Sheet'!$AF$27="","",'Final Calculation Sheet'!$AF$27)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Sheet'!$AG$27="","",'Final Calculation Sheet'!$AG$27)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Sheet'!$AE$28="","",'Final Calculation Sheet'!$AE$28)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Sheet'!$AF$28="","",'Final Calculation Sheet'!$AF$28)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Sheet'!$AG$28="","",'Final Calculation Sheet'!$AG$28)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Sheet'!$AE$29="","",'Final Calculation Sheet'!$AE$29)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Sheet'!$AF$29="","",'Final Calculation Sheet'!$AF$29)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Sheet'!$AG$29="","",'Final Calculation Sheet'!$AG$29)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Sheet'!$AE$30="","",'Final Calculation Sheet'!$AE$30)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Sheet'!$AF$30="","",'Final Calculation Sheet'!$AF$30)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Sheet'!$AG$30="","",'Final Calculation Sheet'!$AG$30)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Sheet'!$AE$31="","",'Final Calculation Sheet'!$AE$31)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Sheet'!$AF$31="","",'Final Calculation Sheet'!$AF$31)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Sheet'!$AG$31="","",'Final Calculation Sheet'!$AG$31)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Sheet'!$AE$32="","",'Final Calculation Sheet'!$AE$32)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Sheet'!$AF$32="","",'Final Calculation Sheet'!$AF$32)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Sheet'!$AG$32="","",'Final Calculation Sheet'!$AG$32)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Sheet'!$AE$33="","",'Final Calculation Sheet'!$AE$33)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Sheet'!$AF$33="","",'Final Calculation Sheet'!$AF$33)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Sheet'!$AG$33="","",'Final Calculation Sheet'!$AG$33)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Sheet'!$AE$34="","",'Final Calculation Sheet'!$AE$34)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Sheet'!$AF$34="","",'Final Calculation Sheet'!$AF$34)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Sheet'!$AG$34="","",'Final Calculation Sheet'!$AG$34)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Sheet'!$AE$35="","",'Final Calculation Sheet'!$AE$35)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Sheet'!$AF$35="","",'Final Calculation Sheet'!$AF$35)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Sheet'!$AG$35="","",'Final Calculation Sheet'!$AG$35)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Sheet'!$AE$36="","",'Final Calculation Sheet'!$AE$36)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Sheet'!$AF$36="","",'Final Calculation Sheet'!$AF$36)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Sheet'!$AG$36="","",'Final Calculation Sheet'!$AG$36)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Sheet'!$AE$37="","",'Final Calculation Sheet'!$AE$37)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Sheet'!$AF$37="","",'Final Calculation Sheet'!$AF$37)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Sheet'!$AG$37="","",'Final Calculation Sheet'!$AG$37)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Sheet'!$AE$38="","",'Final Calculation Sheet'!$AE$38)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Sheet'!$AF$38="","",'Final Calculation Sheet'!$AF$38)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Sheet'!$AG$38="","",'Final Calculation Sheet'!$AG$38)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Sheet'!$AE$39="","",'Final Calculation Sheet'!$AE$39)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Sheet'!$AF$39="","",'Final Calculation Sheet'!$AF$39)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Sheet'!$AG$39="","",'Final Calculation Sheet'!$AG$39)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Sheet'!$AE$40="","",'Final Calculation Sheet'!$AE$40)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Sheet'!$AF$40="","",'Final Calculation Sheet'!$AF$40)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Sheet'!$AG$40="","",'Final Calculation Sheet'!$AG$40)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Sheet'!$AE$4:$AE$40,$BJ5-3)="","",INDEX('Final Calculation Sheet'!$AE$4:$AE$40,$BJ5-3)),IF(OR($BI5=1,$BL5=1,$BH5&gt;0),"–",""))</f>
        <v/>
      </c>
      <c r="AG2">
        <f>IF($BJ5&gt;0,IF(INDEX('Final Calculation Sheet'!$AF$4:$AF$40,$BJ5-3)="","",INDEX('Final Calculation Sheet'!$AF$4:$AF$40,$BJ5-3)),IF(OR($BI5=1,$BL5=1,$BH5&gt;0),"–",""))</f>
        <v/>
      </c>
      <c r="AH2">
        <f>IF($BJ5&gt;0,IF(INDEX('Final Calculation Sheet'!$AG$4:$AG$40,$BJ5-3)="","",INDEX('Final Calculation Sheet'!$AG$4:$AG$40,$BJ5-3)),IF(OR($BI5=1,$BL5=1,$BH5&gt;0),"–",""))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Sheet'!$AE$4:$AE$40,$BJ6-3)="","",INDEX('Final Calculation Sheet'!$AE$4:$AE$40,$BJ6-3)),IF(OR($BI6=1,$BL6=1,$BH6&gt;0),"–",""))</f>
        <v/>
      </c>
      <c r="AG3">
        <f>IF($BJ6&gt;0,IF(INDEX('Final Calculation Sheet'!$AF$4:$AF$40,$BJ6-3)="","",INDEX('Final Calculation Sheet'!$AF$4:$AF$40,$BJ6-3)),IF(OR($BI6=1,$BL6=1,$BH6&gt;0),"–",""))</f>
        <v/>
      </c>
      <c r="AH3">
        <f>IF($BJ6&gt;0,IF(INDEX('Final Calculation Sheet'!$AG$4:$AG$40,$BJ6-3)="","",INDEX('Final Calculation Sheet'!$AG$4:$AG$40,$BJ6-3)),IF(OR($BI6=1,$BL6=1,$BH6&gt;0),"–",""))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Sheet'!$AE$4:$AE$40,$BJ7-3)="","",INDEX('Final Calculation Sheet'!$AE$4:$AE$40,$BJ7-3)),IF(OR($BI7=1,$BL7=1,$BH7&gt;0),"–",""))</f>
        <v/>
      </c>
      <c r="AG4">
        <f>IF($BJ7&gt;0,IF(INDEX('Final Calculation Sheet'!$AF$4:$AF$40,$BJ7-3)="","",INDEX('Final Calculation Sheet'!$AF$4:$AF$40,$BJ7-3)),IF(OR($BI7=1,$BL7=1,$BH7&gt;0),"–",""))</f>
        <v/>
      </c>
      <c r="AH4">
        <f>IF($BJ7&gt;0,IF(INDEX('Final Calculation Sheet'!$AG$4:$AG$40,$BJ7-3)="","",INDEX('Final Calculation Sheet'!$AG$4:$AG$40,$BJ7-3)),IF(OR($BI7=1,$BL7=1,$BH7&gt;0),"–",""))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Sheet'!$AE$4:$AE$40,$BJ8-3)="","",INDEX('Final Calculation Sheet'!$AE$4:$AE$40,$BJ8-3)),IF(OR($BI8=1,$BL8=1,$BH8&gt;0),"–",""))</f>
        <v/>
      </c>
      <c r="AG5">
        <f>IF($BJ8&gt;0,IF(INDEX('Final Calculation Sheet'!$AF$4:$AF$40,$BJ8-3)="","",INDEX('Final Calculation Sheet'!$AF$4:$AF$40,$BJ8-3)),IF(OR($BI8=1,$BL8=1,$BH8&gt;0),"–",""))</f>
        <v/>
      </c>
      <c r="AH5">
        <f>IF($BJ8&gt;0,IF(INDEX('Final Calculation Sheet'!$AG$4:$AG$40,$BJ8-3)="","",INDEX('Final Calculation Sheet'!$AG$4:$AG$40,$BJ8-3)),IF(OR($BI8=1,$BL8=1,$BH8&gt;0),"–",""))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Sheet'!$AE$4:$AE$40,$BJ9-3)="","",INDEX('Final Calculation Sheet'!$AE$4:$AE$40,$BJ9-3)),IF(OR($BI9=1,$BL9=1,$BH9&gt;0),"–",""))</f>
        <v/>
      </c>
      <c r="AG6">
        <f>IF($BJ9&gt;0,IF(INDEX('Final Calculation Sheet'!$AF$4:$AF$40,$BJ9-3)="","",INDEX('Final Calculation Sheet'!$AF$4:$AF$40,$BJ9-3)),IF(OR($BI9=1,$BL9=1,$BH9&gt;0),"–",""))</f>
        <v/>
      </c>
      <c r="AH6">
        <f>IF($BJ9&gt;0,IF(INDEX('Final Calculation Sheet'!$AG$4:$AG$40,$BJ9-3)="","",INDEX('Final Calculation Sheet'!$AG$4:$AG$40,$BJ9-3)),IF(OR($BI9=1,$BL9=1,$BH9&gt;0),"–",""))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Sheet'!$AE$4:$AE$40,$BJ10-3)="","",INDEX('Final Calculation Sheet'!$AE$4:$AE$40,$BJ10-3)),IF(OR($BI10=1,$BL10=1,$BH10&gt;0),"–",""))</f>
        <v/>
      </c>
      <c r="AG7">
        <f>IF($BJ10&gt;0,IF(INDEX('Final Calculation Sheet'!$AF$4:$AF$40,$BJ10-3)="","",INDEX('Final Calculation Sheet'!$AF$4:$AF$40,$BJ10-3)),IF(OR($BI10=1,$BL10=1,$BH10&gt;0),"–",""))</f>
        <v/>
      </c>
      <c r="AH7">
        <f>IF($BJ10&gt;0,IF(INDEX('Final Calculation Sheet'!$AG$4:$AG$40,$BJ10-3)="","",INDEX('Final Calculation Sheet'!$AG$4:$AG$40,$BJ10-3)),IF(OR($BI10=1,$BL10=1,$BH10&gt;0),"–",""))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Sheet'!$AE$4:$AE$40,$BJ11-3)="","",INDEX('Final Calculation Sheet'!$AE$4:$AE$40,$BJ11-3)),IF(OR($BI11=1,$BL11=1,$BH11&gt;0),"–",""))</f>
        <v/>
      </c>
      <c r="AG8">
        <f>IF($BJ11&gt;0,IF(INDEX('Final Calculation Sheet'!$AF$4:$AF$40,$BJ11-3)="","",INDEX('Final Calculation Sheet'!$AF$4:$AF$40,$BJ11-3)),IF(OR($BI11=1,$BL11=1,$BH11&gt;0),"–",""))</f>
        <v/>
      </c>
      <c r="AH8">
        <f>IF($BJ11&gt;0,IF(INDEX('Final Calculation Sheet'!$AG$4:$AG$40,$BJ11-3)="","",INDEX('Final Calculation Sheet'!$AG$4:$AG$40,$BJ11-3)),IF(OR($BI11=1,$BL11=1,$BH11&gt;0),"–",""))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Sheet'!$AE$4:$AE$40,$BJ12-3)="","",INDEX('Final Calculation Sheet'!$AE$4:$AE$40,$BJ12-3)),IF(OR($BI12=1,$BL12=1,$BH12&gt;0),"–",""))</f>
        <v/>
      </c>
      <c r="AG9">
        <f>IF($BJ12&gt;0,IF(INDEX('Final Calculation Sheet'!$AF$4:$AF$40,$BJ12-3)="","",INDEX('Final Calculation Sheet'!$AF$4:$AF$40,$BJ12-3)),IF(OR($BI12=1,$BL12=1,$BH12&gt;0),"–",""))</f>
        <v/>
      </c>
      <c r="AH9">
        <f>IF($BJ12&gt;0,IF(INDEX('Final Calculation Sheet'!$AG$4:$AG$40,$BJ12-3)="","",INDEX('Final Calculation Sheet'!$AG$4:$AG$40,$BJ12-3)),IF(OR($BI12=1,$BL12=1,$BH12&gt;0),"–",""))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Sheet'!$AE$4:$AE$40,$BJ13-3)="","",INDEX('Final Calculation Sheet'!$AE$4:$AE$40,$BJ13-3)),IF(OR($BI13=1,$BL13=1,$BH13&gt;0),"–",""))</f>
        <v/>
      </c>
      <c r="AG10">
        <f>IF($BJ13&gt;0,IF(INDEX('Final Calculation Sheet'!$AF$4:$AF$40,$BJ13-3)="","",INDEX('Final Calculation Sheet'!$AF$4:$AF$40,$BJ13-3)),IF(OR($BI13=1,$BL13=1,$BH13&gt;0),"–",""))</f>
        <v/>
      </c>
      <c r="AH10">
        <f>IF($BJ13&gt;0,IF(INDEX('Final Calculation Sheet'!$AG$4:$AG$40,$BJ13-3)="","",INDEX('Final Calculation Sheet'!$AG$4:$AG$40,$BJ13-3)),IF(OR($BI13=1,$BL13=1,$BH13&gt;0),"–",""))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Sheet'!$AE$4:$AE$40,$BJ14-3)="","",INDEX('Final Calculation Sheet'!$AE$4:$AE$40,$BJ14-3)),IF(OR($BI14=1,$BL14=1,$BH14&gt;0),"–",""))</f>
        <v/>
      </c>
      <c r="AG11">
        <f>IF($BJ14&gt;0,IF(INDEX('Final Calculation Sheet'!$AF$4:$AF$40,$BJ14-3)="","",INDEX('Final Calculation Sheet'!$AF$4:$AF$40,$BJ14-3)),IF(OR($BI14=1,$BL14=1,$BH14&gt;0),"–",""))</f>
        <v/>
      </c>
      <c r="AH11">
        <f>IF($BJ14&gt;0,IF(INDEX('Final Calculation Sheet'!$AG$4:$AG$40,$BJ14-3)="","",INDEX('Final Calculation Sheet'!$AG$4:$AG$40,$BJ14-3)),IF(OR($BI14=1,$BL14=1,$BH14&gt;0),"–",""))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Sheet'!$AE$4:$AE$40,$BJ15-3)="","",INDEX('Final Calculation Sheet'!$AE$4:$AE$40,$BJ15-3)),IF(OR($BI15=1,$BL15=1,$BH15&gt;0),"–",""))</f>
        <v/>
      </c>
      <c r="AG12">
        <f>IF($BJ15&gt;0,IF(INDEX('Final Calculation Sheet'!$AF$4:$AF$40,$BJ15-3)="","",INDEX('Final Calculation Sheet'!$AF$4:$AF$40,$BJ15-3)),IF(OR($BI15=1,$BL15=1,$BH15&gt;0),"–",""))</f>
        <v/>
      </c>
      <c r="AH12">
        <f>IF($BJ15&gt;0,IF(INDEX('Final Calculation Sheet'!$AG$4:$AG$40,$BJ15-3)="","",INDEX('Final Calculation Sheet'!$AG$4:$AG$40,$BJ15-3)),IF(OR($BI15=1,$BL15=1,$BH15&gt;0),"–",""))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Sheet'!$AE$4:$AE$40,$BJ16-3)="","",INDEX('Final Calculation Sheet'!$AE$4:$AE$40,$BJ16-3)),IF(OR($BI16=1,$BL16=1,$BH16&gt;0),"–",""))</f>
        <v/>
      </c>
      <c r="AG13">
        <f>IF($BJ16&gt;0,IF(INDEX('Final Calculation Sheet'!$AF$4:$AF$40,$BJ16-3)="","",INDEX('Final Calculation Sheet'!$AF$4:$AF$40,$BJ16-3)),IF(OR($BI16=1,$BL16=1,$BH16&gt;0),"–",""))</f>
        <v/>
      </c>
      <c r="AH13">
        <f>IF($BJ16&gt;0,IF(INDEX('Final Calculation Sheet'!$AG$4:$AG$40,$BJ16-3)="","",INDEX('Final Calculation Sheet'!$AG$4:$AG$40,$BJ16-3)),IF(OR($BI16=1,$BL16=1,$BH16&gt;0),"–",""))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Sheet'!$AE$4:$AE$40,$BJ17-3)="","",INDEX('Final Calculation Sheet'!$AE$4:$AE$40,$BJ17-3)),IF(OR($BI17=1,$BL17=1,$BH17&gt;0),"–",""))</f>
        <v/>
      </c>
      <c r="AG14">
        <f>IF($BJ17&gt;0,IF(INDEX('Final Calculation Sheet'!$AF$4:$AF$40,$BJ17-3)="","",INDEX('Final Calculation Sheet'!$AF$4:$AF$40,$BJ17-3)),IF(OR($BI17=1,$BL17=1,$BH17&gt;0),"–",""))</f>
        <v/>
      </c>
      <c r="AH14">
        <f>IF($BJ17&gt;0,IF(INDEX('Final Calculation Sheet'!$AG$4:$AG$40,$BJ17-3)="","",INDEX('Final Calculation Sheet'!$AG$4:$AG$40,$BJ17-3)),IF(OR($BI17=1,$BL17=1,$BH17&gt;0),"–",""))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Sheet'!$AE$4:$AE$40,$BJ18-3)="","",INDEX('Final Calculation Sheet'!$AE$4:$AE$40,$BJ18-3)),IF(OR($BI18=1,$BL18=1,$BH18&gt;0),"–",""))</f>
        <v/>
      </c>
      <c r="AG15">
        <f>IF($BJ18&gt;0,IF(INDEX('Final Calculation Sheet'!$AF$4:$AF$40,$BJ18-3)="","",INDEX('Final Calculation Sheet'!$AF$4:$AF$40,$BJ18-3)),IF(OR($BI18=1,$BL18=1,$BH18&gt;0),"–",""))</f>
        <v/>
      </c>
      <c r="AH15">
        <f>IF($BJ18&gt;0,IF(INDEX('Final Calculation Sheet'!$AG$4:$AG$40,$BJ18-3)="","",INDEX('Final Calculation Sheet'!$AG$4:$AG$40,$BJ18-3)),IF(OR($BI18=1,$BL18=1,$BH18&gt;0),"–",""))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Sheet'!$AE$4:$AE$40,$BJ19-3)="","",INDEX('Final Calculation Sheet'!$AE$4:$AE$40,$BJ19-3)),IF(OR($BI19=1,$BL19=1,$BH19&gt;0),"–",""))</f>
        <v/>
      </c>
      <c r="AG16">
        <f>IF($BJ19&gt;0,IF(INDEX('Final Calculation Sheet'!$AF$4:$AF$40,$BJ19-3)="","",INDEX('Final Calculation Sheet'!$AF$4:$AF$40,$BJ19-3)),IF(OR($BI19=1,$BL19=1,$BH19&gt;0),"–",""))</f>
        <v/>
      </c>
      <c r="AH16">
        <f>IF($BJ19&gt;0,IF(INDEX('Final Calculation Sheet'!$AG$4:$AG$40,$BJ19-3)="","",INDEX('Final Calculation Sheet'!$AG$4:$AG$40,$BJ19-3)),IF(OR($BI19=1,$BL19=1,$BH19&gt;0),"–",""))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Sheet'!$AE$4:$AE$40,$BJ20-3)="","",INDEX('Final Calculation Sheet'!$AE$4:$AE$40,$BJ20-3)),IF(OR($BI20=1,$BL20=1,$BH20&gt;0),"–",""))</f>
        <v/>
      </c>
      <c r="AG17">
        <f>IF($BJ20&gt;0,IF(INDEX('Final Calculation Sheet'!$AF$4:$AF$40,$BJ20-3)="","",INDEX('Final Calculation Sheet'!$AF$4:$AF$40,$BJ20-3)),IF(OR($BI20=1,$BL20=1,$BH20&gt;0),"–",""))</f>
        <v/>
      </c>
      <c r="AH17">
        <f>IF($BJ20&gt;0,IF(INDEX('Final Calculation Sheet'!$AG$4:$AG$40,$BJ20-3)="","",INDEX('Final Calculation Sheet'!$AG$4:$AG$40,$BJ20-3)),IF(OR($BI20=1,$BL20=1,$BH20&gt;0),"–",""))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Sheet'!$AE$4:$AE$40,$BJ21-3)="","",INDEX('Final Calculation Sheet'!$AE$4:$AE$40,$BJ21-3)),IF(OR($BI21=1,$BL21=1,$BH21&gt;0),"–",""))</f>
        <v/>
      </c>
      <c r="AG18">
        <f>IF($BJ21&gt;0,IF(INDEX('Final Calculation Sheet'!$AF$4:$AF$40,$BJ21-3)="","",INDEX('Final Calculation Sheet'!$AF$4:$AF$40,$BJ21-3)),IF(OR($BI21=1,$BL21=1,$BH21&gt;0),"–",""))</f>
        <v/>
      </c>
      <c r="AH18">
        <f>IF($BJ21&gt;0,IF(INDEX('Final Calculation Sheet'!$AG$4:$AG$40,$BJ21-3)="","",INDEX('Final Calculation Sheet'!$AG$4:$AG$40,$BJ21-3)),IF(OR($BI21=1,$BL21=1,$BH21&gt;0),"–",""))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Sheet'!$AE$4:$AE$40,$BJ22-3)="","",INDEX('Final Calculation Sheet'!$AE$4:$AE$40,$BJ22-3)),IF(OR($BI22=1,$BL22=1,$BH22&gt;0),"–",""))</f>
        <v/>
      </c>
      <c r="AG19">
        <f>IF($BJ22&gt;0,IF(INDEX('Final Calculation Sheet'!$AF$4:$AF$40,$BJ22-3)="","",INDEX('Final Calculation Sheet'!$AF$4:$AF$40,$BJ22-3)),IF(OR($BI22=1,$BL22=1,$BH22&gt;0),"–",""))</f>
        <v/>
      </c>
      <c r="AH19">
        <f>IF($BJ22&gt;0,IF(INDEX('Final Calculation Sheet'!$AG$4:$AG$40,$BJ22-3)="","",INDEX('Final Calculation Sheet'!$AG$4:$AG$40,$BJ22-3)),IF(OR($BI22=1,$BL22=1,$BH22&gt;0),"–",""))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Sheet'!$AE$4:$AE$40,$BJ23-3)="","",INDEX('Final Calculation Sheet'!$AE$4:$AE$40,$BJ23-3)),IF(OR($BI23=1,$BL23=1,$BH23&gt;0),"–",""))</f>
        <v/>
      </c>
      <c r="AG20">
        <f>IF($BJ23&gt;0,IF(INDEX('Final Calculation Sheet'!$AF$4:$AF$40,$BJ23-3)="","",INDEX('Final Calculation Sheet'!$AF$4:$AF$40,$BJ23-3)),IF(OR($BI23=1,$BL23=1,$BH23&gt;0),"–",""))</f>
        <v/>
      </c>
      <c r="AH20">
        <f>IF($BJ23&gt;0,IF(INDEX('Final Calculation Sheet'!$AG$4:$AG$40,$BJ23-3)="","",INDEX('Final Calculation Sheet'!$AG$4:$AG$40,$BJ23-3)),IF(OR($BI23=1,$BL23=1,$BH23&gt;0),"–",""))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Sheet'!$AE$4:$AE$40,$BJ24-3)="","",INDEX('Final Calculation Sheet'!$AE$4:$AE$40,$BJ24-3)),IF(OR($BI24=1,$BL24=1,$BH24&gt;0),"–",""))</f>
        <v/>
      </c>
      <c r="AG21">
        <f>IF($BJ24&gt;0,IF(INDEX('Final Calculation Sheet'!$AF$4:$AF$40,$BJ24-3)="","",INDEX('Final Calculation Sheet'!$AF$4:$AF$40,$BJ24-3)),IF(OR($BI24=1,$BL24=1,$BH24&gt;0),"–",""))</f>
        <v/>
      </c>
      <c r="AH21">
        <f>IF($BJ24&gt;0,IF(INDEX('Final Calculation Sheet'!$AG$4:$AG$40,$BJ24-3)="","",INDEX('Final Calculation Sheet'!$AG$4:$AG$40,$BJ24-3)),IF(OR($BI24=1,$BL24=1,$BH24&gt;0),"–",""))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Sheet'!$AE$4:$AE$40,$BJ25-3)="","",INDEX('Final Calculation Sheet'!$AE$4:$AE$40,$BJ25-3)),IF(OR($BI25=1,$BL25=1,$BH25&gt;0),"–",""))</f>
        <v/>
      </c>
      <c r="AG22">
        <f>IF($BJ25&gt;0,IF(INDEX('Final Calculation Sheet'!$AF$4:$AF$40,$BJ25-3)="","",INDEX('Final Calculation Sheet'!$AF$4:$AF$40,$BJ25-3)),IF(OR($BI25=1,$BL25=1,$BH25&gt;0),"–",""))</f>
        <v/>
      </c>
      <c r="AH22">
        <f>IF($BJ25&gt;0,IF(INDEX('Final Calculation Sheet'!$AG$4:$AG$40,$BJ25-3)="","",INDEX('Final Calculation Sheet'!$AG$4:$AG$40,$BJ25-3)),IF(OR($BI25=1,$BL25=1,$BH25&gt;0),"–",""))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Sheet'!$AE$4:$AE$40,$BJ26-3)="","",INDEX('Final Calculation Sheet'!$AE$4:$AE$40,$BJ26-3)),IF(OR($BI26=1,$BL26=1,$BH26&gt;0),"–",""))</f>
        <v/>
      </c>
      <c r="AG23">
        <f>IF($BJ26&gt;0,IF(INDEX('Final Calculation Sheet'!$AF$4:$AF$40,$BJ26-3)="","",INDEX('Final Calculation Sheet'!$AF$4:$AF$40,$BJ26-3)),IF(OR($BI26=1,$BL26=1,$BH26&gt;0),"–",""))</f>
        <v/>
      </c>
      <c r="AH23">
        <f>IF($BJ26&gt;0,IF(INDEX('Final Calculation Sheet'!$AG$4:$AG$40,$BJ26-3)="","",INDEX('Final Calculation Sheet'!$AG$4:$AG$40,$BJ26-3)),IF(OR($BI26=1,$BL26=1,$BH26&gt;0),"–",""))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Sheet'!$AE$4:$AE$40,$BJ27-3)="","",INDEX('Final Calculation Sheet'!$AE$4:$AE$40,$BJ27-3)),IF(OR($BI27=1,$BL27=1,$BH27&gt;0),"–",""))</f>
        <v/>
      </c>
      <c r="AG24">
        <f>IF($BJ27&gt;0,IF(INDEX('Final Calculation Sheet'!$AF$4:$AF$40,$BJ27-3)="","",INDEX('Final Calculation Sheet'!$AF$4:$AF$40,$BJ27-3)),IF(OR($BI27=1,$BL27=1,$BH27&gt;0),"–",""))</f>
        <v/>
      </c>
      <c r="AH24">
        <f>IF($BJ27&gt;0,IF(INDEX('Final Calculation Sheet'!$AG$4:$AG$40,$BJ27-3)="","",INDEX('Final Calculation Sheet'!$AG$4:$AG$40,$BJ27-3)),IF(OR($BI27=1,$BL27=1,$BH27&gt;0),"–",""))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Sheet'!$AE$4:$AE$40,$BJ28-3)="","",INDEX('Final Calculation Sheet'!$AE$4:$AE$40,$BJ28-3)),IF(OR($BI28=1,$BL28=1,$BH28&gt;0),"–",""))</f>
        <v/>
      </c>
      <c r="AG25">
        <f>IF($BJ28&gt;0,IF(INDEX('Final Calculation Sheet'!$AF$4:$AF$40,$BJ28-3)="","",INDEX('Final Calculation Sheet'!$AF$4:$AF$40,$BJ28-3)),IF(OR($BI28=1,$BL28=1,$BH28&gt;0),"–",""))</f>
        <v/>
      </c>
      <c r="AH25">
        <f>IF($BJ28&gt;0,IF(INDEX('Final Calculation Sheet'!$AG$4:$AG$40,$BJ28-3)="","",INDEX('Final Calculation Sheet'!$AG$4:$AG$40,$BJ28-3)),IF(OR($BI28=1,$BL28=1,$BH28&gt;0),"–",""))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Sheet'!$AE$4:$AE$40,$BJ29-3)="","",INDEX('Final Calculation Sheet'!$AE$4:$AE$40,$BJ29-3)),IF(OR($BI29=1,$BL29=1,$BH29&gt;0),"–",""))</f>
        <v/>
      </c>
      <c r="AG26">
        <f>IF($BJ29&gt;0,IF(INDEX('Final Calculation Sheet'!$AF$4:$AF$40,$BJ29-3)="","",INDEX('Final Calculation Sheet'!$AF$4:$AF$40,$BJ29-3)),IF(OR($BI29=1,$BL29=1,$BH29&gt;0),"–",""))</f>
        <v/>
      </c>
      <c r="AH26">
        <f>IF($BJ29&gt;0,IF(INDEX('Final Calculation Sheet'!$AG$4:$AG$40,$BJ29-3)="","",INDEX('Final Calculation Sheet'!$AG$4:$AG$40,$BJ29-3)),IF(OR($BI29=1,$BL29=1,$BH29&gt;0),"–",""))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Sheet'!$AE$4:$AE$40,$BJ30-3)="","",INDEX('Final Calculation Sheet'!$AE$4:$AE$40,$BJ30-3)),IF(OR($BI30=1,$BL30=1,$BH30&gt;0),"–",""))</f>
        <v/>
      </c>
      <c r="AG27">
        <f>IF($BJ30&gt;0,IF(INDEX('Final Calculation Sheet'!$AF$4:$AF$40,$BJ30-3)="","",INDEX('Final Calculation Sheet'!$AF$4:$AF$40,$BJ30-3)),IF(OR($BI30=1,$BL30=1,$BH30&gt;0),"–",""))</f>
        <v/>
      </c>
      <c r="AH27">
        <f>IF($BJ30&gt;0,IF(INDEX('Final Calculation Sheet'!$AG$4:$AG$40,$BJ30-3)="","",INDEX('Final Calculation Sheet'!$AG$4:$AG$40,$BJ30-3)),IF(OR($BI30=1,$BL30=1,$BH30&gt;0),"–",""))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Sheet'!$AE$4:$AE$40,$BJ31-3)="","",INDEX('Final Calculation Sheet'!$AE$4:$AE$40,$BJ31-3)),IF(OR($BI31=1,$BL31=1,$BH31&gt;0),"–",""))</f>
        <v/>
      </c>
      <c r="AG28">
        <f>IF($BJ31&gt;0,IF(INDEX('Final Calculation Sheet'!$AF$4:$AF$40,$BJ31-3)="","",INDEX('Final Calculation Sheet'!$AF$4:$AF$40,$BJ31-3)),IF(OR($BI31=1,$BL31=1,$BH31&gt;0),"–",""))</f>
        <v/>
      </c>
      <c r="AH28">
        <f>IF($BJ31&gt;0,IF(INDEX('Final Calculation Sheet'!$AG$4:$AG$40,$BJ31-3)="","",INDEX('Final Calculation Sheet'!$AG$4:$AG$40,$BJ31-3)),IF(OR($BI31=1,$BL31=1,$BH31&gt;0),"–",""))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Sheet'!$AE$4:$AE$40,$BJ32-3)="","",INDEX('Final Calculation Sheet'!$AE$4:$AE$40,$BJ32-3)),IF(OR($BI32=1,$BL32=1,$BH32&gt;0),"–",""))</f>
        <v/>
      </c>
      <c r="AG29">
        <f>IF($BJ32&gt;0,IF(INDEX('Final Calculation Sheet'!$AF$4:$AF$40,$BJ32-3)="","",INDEX('Final Calculation Sheet'!$AF$4:$AF$40,$BJ32-3)),IF(OR($BI32=1,$BL32=1,$BH32&gt;0),"–",""))</f>
        <v/>
      </c>
      <c r="AH29">
        <f>IF($BJ32&gt;0,IF(INDEX('Final Calculation Sheet'!$AG$4:$AG$40,$BJ32-3)="","",INDEX('Final Calculation Sheet'!$AG$4:$AG$40,$BJ32-3)),IF(OR($BI32=1,$BL32=1,$BH32&gt;0),"–",""))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Sheet'!$AE$4:$AE$40,$BJ33-3)="","",INDEX('Final Calculation Sheet'!$AE$4:$AE$40,$BJ33-3)),IF(OR($BI33=1,$BL33=1,$BH33&gt;0),"–",""))</f>
        <v/>
      </c>
      <c r="AG30">
        <f>IF($BJ33&gt;0,IF(INDEX('Final Calculation Sheet'!$AF$4:$AF$40,$BJ33-3)="","",INDEX('Final Calculation Sheet'!$AF$4:$AF$40,$BJ33-3)),IF(OR($BI33=1,$BL33=1,$BH33&gt;0),"–",""))</f>
        <v/>
      </c>
      <c r="AH30">
        <f>IF($BJ33&gt;0,IF(INDEX('Final Calculation Sheet'!$AG$4:$AG$40,$BJ33-3)="","",INDEX('Final Calculation Sheet'!$AG$4:$AG$40,$BJ33-3)),IF(OR($BI33=1,$BL33=1,$BH33&gt;0),"–",""))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Sheet'!$AE$4:$AE$40,$BJ34-3)="","",INDEX('Final Calculation Sheet'!$AE$4:$AE$40,$BJ34-3)),IF(OR($BI34=1,$BL34=1,$BH34&gt;0),"–",""))</f>
        <v/>
      </c>
      <c r="AG31">
        <f>IF($BJ34&gt;0,IF(INDEX('Final Calculation Sheet'!$AF$4:$AF$40,$BJ34-3)="","",INDEX('Final Calculation Sheet'!$AF$4:$AF$40,$BJ34-3)),IF(OR($BI34=1,$BL34=1,$BH34&gt;0),"–",""))</f>
        <v/>
      </c>
      <c r="AH31">
        <f>IF($BJ34&gt;0,IF(INDEX('Final Calculation Sheet'!$AG$4:$AG$40,$BJ34-3)="","",INDEX('Final Calculation Sheet'!$AG$4:$AG$40,$BJ34-3)),IF(OR($BI34=1,$BL34=1,$BH34&gt;0),"–",""))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Sheet'!$AE$4:$AE$40,$BJ35-3)="","",INDEX('Final Calculation Sheet'!$AE$4:$AE$40,$BJ35-3)),IF(OR($BI35=1,$BL35=1,$BH35&gt;0),"–",""))</f>
        <v/>
      </c>
      <c r="AG32">
        <f>IF($BJ35&gt;0,IF(INDEX('Final Calculation Sheet'!$AF$4:$AF$40,$BJ35-3)="","",INDEX('Final Calculation Sheet'!$AF$4:$AF$40,$BJ35-3)),IF(OR($BI35=1,$BL35=1,$BH35&gt;0),"–",""))</f>
        <v/>
      </c>
      <c r="AH32">
        <f>IF($BJ35&gt;0,IF(INDEX('Final Calculation Sheet'!$AG$4:$AG$40,$BJ35-3)="","",INDEX('Final Calculation Sheet'!$AG$4:$AG$40,$BJ35-3)),IF(OR($BI35=1,$BL35=1,$BH35&gt;0),"–",""))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Sheet'!$AE$4:$AE$40,$BJ36-3)="","",INDEX('Final Calculation Sheet'!$AE$4:$AE$40,$BJ36-3)),IF(OR($BI36=1,$BL36=1,$BH36&gt;0),"–",""))</f>
        <v/>
      </c>
      <c r="AG33">
        <f>IF($BJ36&gt;0,IF(INDEX('Final Calculation Sheet'!$AF$4:$AF$40,$BJ36-3)="","",INDEX('Final Calculation Sheet'!$AF$4:$AF$40,$BJ36-3)),IF(OR($BI36=1,$BL36=1,$BH36&gt;0),"–",""))</f>
        <v/>
      </c>
      <c r="AH33">
        <f>IF($BJ36&gt;0,IF(INDEX('Final Calculation Sheet'!$AG$4:$AG$40,$BJ36-3)="","",INDEX('Final Calculation Sheet'!$AG$4:$AG$40,$BJ36-3)),IF(OR($BI36=1,$BL36=1,$BH36&gt;0),"–",""))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Sheet'!$AE$4:$AE$40,$BJ37-3)="","",INDEX('Final Calculation Sheet'!$AE$4:$AE$40,$BJ37-3)),IF(OR($BI37=1,$BL37=1,$BH37&gt;0),"–",""))</f>
        <v/>
      </c>
      <c r="AG34">
        <f>IF($BJ37&gt;0,IF(INDEX('Final Calculation Sheet'!$AF$4:$AF$40,$BJ37-3)="","",INDEX('Final Calculation Sheet'!$AF$4:$AF$40,$BJ37-3)),IF(OR($BI37=1,$BL37=1,$BH37&gt;0),"–",""))</f>
        <v/>
      </c>
      <c r="AH34">
        <f>IF($BJ37&gt;0,IF(INDEX('Final Calculation Sheet'!$AG$4:$AG$40,$BJ37-3)="","",INDEX('Final Calculation Sheet'!$AG$4:$AG$40,$BJ37-3)),IF(OR($BI37=1,$BL37=1,$BH37&gt;0),"–",""))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Sheet'!$AE$4:$AE$40,$BJ38-3)="","",INDEX('Final Calculation Sheet'!$AE$4:$AE$40,$BJ38-3)),IF(OR($BI38=1,$BL38=1,$BH38&gt;0),"–",""))</f>
        <v/>
      </c>
      <c r="AG35">
        <f>IF($BJ38&gt;0,IF(INDEX('Final Calculation Sheet'!$AF$4:$AF$40,$BJ38-3)="","",INDEX('Final Calculation Sheet'!$AF$4:$AF$40,$BJ38-3)),IF(OR($BI38=1,$BL38=1,$BH38&gt;0),"–",""))</f>
        <v/>
      </c>
      <c r="AH35">
        <f>IF($BJ38&gt;0,IF(INDEX('Final Calculation Sheet'!$AG$4:$AG$40,$BJ38-3)="","",INDEX('Final Calculation Sheet'!$AG$4:$AG$40,$BJ38-3)),IF(OR($BI38=1,$BL38=1,$BH38&gt;0),"–",""))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Sheet'!$AE$4:$AE$40,$BJ39-3)="","",INDEX('Final Calculation Sheet'!$AE$4:$AE$40,$BJ39-3)),IF(OR($BI39=1,$BL39=1,$BH39&gt;0),"–",""))</f>
        <v/>
      </c>
      <c r="AG36">
        <f>IF($BJ39&gt;0,IF(INDEX('Final Calculation Sheet'!$AF$4:$AF$40,$BJ39-3)="","",INDEX('Final Calculation Sheet'!$AF$4:$AF$40,$BJ39-3)),IF(OR($BI39=1,$BL39=1,$BH39&gt;0),"–",""))</f>
        <v/>
      </c>
      <c r="AH36">
        <f>IF($BJ39&gt;0,IF(INDEX('Final Calculation Sheet'!$AG$4:$AG$40,$BJ39-3)="","",INDEX('Final Calculation Sheet'!$AG$4:$AG$40,$BJ39-3)),IF(OR($BI39=1,$BL39=1,$BH39&gt;0),"–",""))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Sheet'!$AE$4:$AE$40,$BJ40-3)="","",INDEX('Final Calculation Sheet'!$AE$4:$AE$40,$BJ40-3)),IF(OR($BI40=1,$BL40=1,$BH40&gt;0),"–",""))</f>
        <v/>
      </c>
      <c r="AG37">
        <f>IF($BJ40&gt;0,IF(INDEX('Final Calculation Sheet'!$AF$4:$AF$40,$BJ40-3)="","",INDEX('Final Calculation Sheet'!$AF$4:$AF$40,$BJ40-3)),IF(OR($BI40=1,$BL40=1,$BH40&gt;0),"–",""))</f>
        <v/>
      </c>
      <c r="AH37">
        <f>IF($BJ40&gt;0,IF(INDEX('Final Calculation Sheet'!$AG$4:$AG$40,$BJ40-3)="","",INDEX('Final Calculation Sheet'!$AG$4:$AG$40,$BJ40-3)),IF(OR($BI40=1,$BL40=1,$BH40&gt;0),"–",""))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Sheet'!$AE$4:$AE$40,$BJ41-3)="","",INDEX('Final Calculation Sheet'!$AE$4:$AE$40,$BJ41-3)),IF(OR($BI41=1,$BL41=1,$BH41&gt;0),"–",""))</f>
        <v/>
      </c>
      <c r="AG38">
        <f>IF($BJ41&gt;0,IF(INDEX('Final Calculation Sheet'!$AF$4:$AF$40,$BJ41-3)="","",INDEX('Final Calculation Sheet'!$AF$4:$AF$40,$BJ41-3)),IF(OR($BI41=1,$BL41=1,$BH41&gt;0),"–",""))</f>
        <v/>
      </c>
      <c r="AH38">
        <f>IF($BJ41&gt;0,IF(INDEX('Final Calculation Sheet'!$AG$4:$AG$40,$BJ41-3)="","",INDEX('Final Calculation Sheet'!$AG$4:$AG$40,$BJ41-3)),IF(OR($BI41=1,$BL41=1,$BH41&gt;0),"–",""))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A1:GT42"/>
  <sheetViews>
    <sheetView workbookViewId="0">
      <selection activeCell="A1" sqref="A1"/>
    </sheetView>
  </sheetViews>
  <sheetFormatPr baseColWidth="8" defaultRowHeight="15"/>
  <sheetData>
    <row r="1">
      <c r="A1" t="inlineStr">
        <is>
          <t>Dependent-dropdown engine — live from Final Calculation Sheet + Live Search row 4. Do not edit.</t>
        </is>
      </c>
      <c r="B1" t="inlineStr">
        <is>
          <t>A # — EXCLUDED (display position, not a row attribute)</t>
        </is>
      </c>
      <c r="C1" t="inlineStr">
        <is>
          <t>B · Lot No.</t>
        </is>
      </c>
      <c r="D1" t="inlineStr">
        <is>
          <t>C · Buyer</t>
        </is>
      </c>
      <c r="E1" t="inlineStr">
        <is>
          <t>D · Lot Name</t>
        </is>
      </c>
      <c r="F1" t="inlineStr">
        <is>
          <t>E · Bid Sheet</t>
        </is>
      </c>
      <c r="G1" t="inlineStr">
        <is>
          <t>F · Quantity</t>
        </is>
      </c>
      <c r="H1" t="inlineStr">
        <is>
          <t>G · Unit</t>
        </is>
      </c>
      <c r="I1" t="inlineStr">
        <is>
          <t>H · Rate</t>
        </is>
      </c>
      <c r="J1" t="inlineStr">
        <is>
          <t>I · Mat. Value</t>
        </is>
      </c>
      <c r="K1" t="inlineStr">
        <is>
          <t>J · GST</t>
        </is>
      </c>
      <c r="L1" t="inlineStr">
        <is>
          <t>K · Mat. Value + GST</t>
        </is>
      </c>
      <c r="M1" t="inlineStr">
        <is>
          <t>L · TCS</t>
        </is>
      </c>
      <c r="N1" t="inlineStr">
        <is>
          <t>M · TDS u/s 194(O)</t>
        </is>
      </c>
      <c r="O1" t="inlineStr">
        <is>
          <t>N · Service Charge to MSTC</t>
        </is>
      </c>
      <c r="P1" t="inlineStr">
        <is>
          <t>O · TDS u/s 194(H)</t>
        </is>
      </c>
      <c r="Q1" t="inlineStr">
        <is>
          <t>P · Net Service Charge (post TDS 194H)</t>
        </is>
      </c>
      <c r="R1" t="inlineStr">
        <is>
          <t>Q · Service charge to MSTC</t>
        </is>
      </c>
      <c r="S1" t="inlineStr">
        <is>
          <t>R · GST TDS Rate</t>
        </is>
      </c>
      <c r="T1" t="inlineStr">
        <is>
          <t>S · GST TDS</t>
        </is>
      </c>
      <c r="U1" t="inlineStr">
        <is>
          <t>T · Total Receivables in Cash</t>
        </is>
      </c>
      <c r="V1" t="inlineStr">
        <is>
          <t>U · Security Deposit (Expected)</t>
        </is>
      </c>
      <c r="W1" t="inlineStr">
        <is>
          <t>V · Security Deposit (Received)</t>
        </is>
      </c>
      <c r="X1" t="inlineStr">
        <is>
          <t>W · Date of Receipt (col V)</t>
        </is>
      </c>
      <c r="Y1" t="inlineStr">
        <is>
          <t>X · Final Payment (Expected)</t>
        </is>
      </c>
      <c r="Z1" t="inlineStr">
        <is>
          <t>Y · Final Payment (Received)</t>
        </is>
      </c>
      <c r="AA1" t="inlineStr">
        <is>
          <t>Z · Date of Receipt (col Y)</t>
        </is>
      </c>
      <c r="AB1" t="inlineStr">
        <is>
          <t>AA · LPP Expected</t>
        </is>
      </c>
      <c r="AC1" t="inlineStr">
        <is>
          <t>AB · LPP Received</t>
        </is>
      </c>
      <c r="AD1" t="inlineStr">
        <is>
          <t>AC · Date of Recepit of LPP</t>
        </is>
      </c>
      <c r="AE1" t="inlineStr">
        <is>
          <t>AD · Total Received</t>
        </is>
      </c>
      <c r="AF1" t="inlineStr">
        <is>
          <t>AE · Outstanding</t>
        </is>
      </c>
      <c r="AG1" t="inlineStr">
        <is>
          <t>AF · Invoice No.</t>
        </is>
      </c>
      <c r="AH1" t="inlineStr">
        <is>
          <t>AG · SAP Document</t>
        </is>
      </c>
      <c r="AI1" t="inlineStr">
        <is>
          <t>AH · Doc./Invoice Date</t>
        </is>
      </c>
      <c r="AJ1" t="inlineStr">
        <is>
          <t>AI · Payment Status</t>
        </is>
      </c>
      <c r="AL1" t="inlineStr">
        <is>
          <t>B (Lot No.) — FILTERED list (Final F)</t>
        </is>
      </c>
      <c r="AQ1" t="inlineStr">
        <is>
          <t>C (Buyer) — FILTERED list (Final G)</t>
        </is>
      </c>
      <c r="AV1" t="inlineStr">
        <is>
          <t>D (Lot Name) — FILTERED list (Final B)</t>
        </is>
      </c>
      <c r="BA1" t="inlineStr">
        <is>
          <t>E (Bid Sheet) — FILTERED list (Final D)</t>
        </is>
      </c>
      <c r="BF1" t="inlineStr">
        <is>
          <t>F (Quantity) — FILTERED list (Final A)</t>
        </is>
      </c>
      <c r="BK1" t="inlineStr">
        <is>
          <t>G (Unit) — FILTERED list (Final E)</t>
        </is>
      </c>
      <c r="BP1" t="inlineStr">
        <is>
          <t>H (Rate) — FILTERED list (Final C)</t>
        </is>
      </c>
      <c r="BU1" t="inlineStr">
        <is>
          <t>I (Mat. Value) — FILTERED list (Final H)</t>
        </is>
      </c>
      <c r="BZ1" t="inlineStr">
        <is>
          <t>J (GST) — FILTERED list (Final I)</t>
        </is>
      </c>
      <c r="CE1" t="inlineStr">
        <is>
          <t>K (Mat. Value + GST) — FILTERED list (Final J)</t>
        </is>
      </c>
      <c r="CJ1" t="inlineStr">
        <is>
          <t>L (TCS) — FILTERED list (Final K)</t>
        </is>
      </c>
      <c r="CO1" t="inlineStr">
        <is>
          <t>M (TDS u/s 194(O)) — FILTERED list (Final L)</t>
        </is>
      </c>
      <c r="CT1" t="inlineStr">
        <is>
          <t>N (Service Charge to MSTC) — FILTERED list (Final M)</t>
        </is>
      </c>
      <c r="CY1" t="inlineStr">
        <is>
          <t>O (TDS u/s 194(H)) — FILTERED list (Final N)</t>
        </is>
      </c>
      <c r="DD1" t="inlineStr">
        <is>
          <t>P (Net Service Charge (post TDS 194H)) — FILTERED list (Final O)</t>
        </is>
      </c>
      <c r="DI1" t="inlineStr">
        <is>
          <t>Q (Service charge to MSTC) — FILTERED list (Final P)</t>
        </is>
      </c>
      <c r="DN1" t="inlineStr">
        <is>
          <t>R (GST TDS Rate) — FILTERED list (Final Q)</t>
        </is>
      </c>
      <c r="DS1" t="inlineStr">
        <is>
          <t>S (GST TDS) — FILTERED list (Final R)</t>
        </is>
      </c>
      <c r="DX1" t="inlineStr">
        <is>
          <t>T (Total Receivables in Cash) — FILTERED list (Final S)</t>
        </is>
      </c>
      <c r="EC1" t="inlineStr">
        <is>
          <t>U (Security Deposit (Expected)) — FILTERED list (Final T)</t>
        </is>
      </c>
      <c r="EH1" t="inlineStr">
        <is>
          <t>V (Security Deposit (Received)) — FILTERED list (Final U)</t>
        </is>
      </c>
      <c r="EM1" t="inlineStr">
        <is>
          <t>W (Date of Receipt (col V)) — FILTERED list (Final V)</t>
        </is>
      </c>
      <c r="ER1" t="inlineStr">
        <is>
          <t>X (Final Payment (Expected)) — FILTERED list (Final W)</t>
        </is>
      </c>
      <c r="EW1" t="inlineStr">
        <is>
          <t>Y (Final Payment (Received)) — FILTERED list (Final X)</t>
        </is>
      </c>
      <c r="FB1" t="inlineStr">
        <is>
          <t>Z (Date of Receipt (col Y)) — FILTERED list (Final Y)</t>
        </is>
      </c>
      <c r="FG1" t="inlineStr">
        <is>
          <t>AA (LPP Expected) — FILTERED list (Final Z)</t>
        </is>
      </c>
      <c r="FL1" t="inlineStr">
        <is>
          <t>AB (LPP Received) — FILTERED list (Final AA)</t>
        </is>
      </c>
      <c r="FQ1" t="inlineStr">
        <is>
          <t>AC (Date of Recepit of LPP) — FILTERED list (Final AB)</t>
        </is>
      </c>
      <c r="FV1" t="inlineStr">
        <is>
          <t>AD (Total Received) — FILTERED list (Final AC)</t>
        </is>
      </c>
      <c r="GA1" t="inlineStr">
        <is>
          <t>AE (Outstanding) — FILTERED list (Final AD)</t>
        </is>
      </c>
      <c r="GF1" t="inlineStr">
        <is>
          <t>AF (Invoice No.) — FILTERED list (Final AE)</t>
        </is>
      </c>
      <c r="GK1" t="inlineStr">
        <is>
          <t>AG (SAP Document) — FILTERED list (Final AF)</t>
        </is>
      </c>
      <c r="GP1" t="inlineStr">
        <is>
          <t>AH (Doc./Invoice Date) — FILTERED list (Final AG)</t>
        </is>
      </c>
    </row>
    <row r="2">
      <c r="A2" t="inlineStr">
        <is>
          <t>Search value (Live Search row 4)</t>
        </is>
      </c>
      <c r="B2" t="inlineStr">
        <is>
          <t>— excluded —</t>
        </is>
      </c>
      <c r="C2">
        <f>'Live Search'!$B$4</f>
        <v/>
      </c>
      <c r="D2">
        <f>'Live Search'!$C$4</f>
        <v/>
      </c>
      <c r="E2">
        <f>'Live Search'!$D$4</f>
        <v/>
      </c>
      <c r="F2">
        <f>'Live Search'!$E$4</f>
        <v/>
      </c>
      <c r="G2">
        <f>'Live Search'!$F$4</f>
        <v/>
      </c>
      <c r="H2">
        <f>'Live Search'!$G$4</f>
        <v/>
      </c>
      <c r="I2">
        <f>'Live Search'!$H$4</f>
        <v/>
      </c>
      <c r="J2">
        <f>'Live Search'!$I$4</f>
        <v/>
      </c>
      <c r="K2">
        <f>'Live Search'!$J$4</f>
        <v/>
      </c>
      <c r="L2">
        <f>'Live Search'!$K$4</f>
        <v/>
      </c>
      <c r="M2">
        <f>'Live Search'!$L$4</f>
        <v/>
      </c>
      <c r="N2">
        <f>'Live Search'!$M$4</f>
        <v/>
      </c>
      <c r="O2">
        <f>'Live Search'!$N$4</f>
        <v/>
      </c>
      <c r="P2">
        <f>'Live Search'!$O$4</f>
        <v/>
      </c>
      <c r="Q2">
        <f>'Live Search'!$P$4</f>
        <v/>
      </c>
      <c r="R2">
        <f>'Live Search'!$Q$4</f>
        <v/>
      </c>
      <c r="S2">
        <f>'Live Search'!$R$4</f>
        <v/>
      </c>
      <c r="T2">
        <f>'Live Search'!$S$4</f>
        <v/>
      </c>
      <c r="U2">
        <f>'Live Search'!$T$4</f>
        <v/>
      </c>
      <c r="V2">
        <f>'Live Search'!$U$4</f>
        <v/>
      </c>
      <c r="W2">
        <f>'Live Search'!$V$4</f>
        <v/>
      </c>
      <c r="X2">
        <f>'Live Search'!$W$4</f>
        <v/>
      </c>
      <c r="Y2">
        <f>'Live Search'!$X$4</f>
        <v/>
      </c>
      <c r="Z2">
        <f>'Live Search'!$Y$4</f>
        <v/>
      </c>
      <c r="AA2">
        <f>'Live Search'!$Z$4</f>
        <v/>
      </c>
      <c r="AB2">
        <f>'Live Search'!$AA$4</f>
        <v/>
      </c>
      <c r="AC2">
        <f>'Live Search'!$AB$4</f>
        <v/>
      </c>
      <c r="AD2">
        <f>'Live Search'!$AC$4</f>
        <v/>
      </c>
      <c r="AE2">
        <f>'Live Search'!$AD$4</f>
        <v/>
      </c>
      <c r="AF2">
        <f>'Live Search'!$AE$4</f>
        <v/>
      </c>
      <c r="AG2">
        <f>'Live Search'!$AF$4</f>
        <v/>
      </c>
      <c r="AH2">
        <f>'Live Search'!$AG$4</f>
        <v/>
      </c>
      <c r="AI2">
        <f>'Live Search'!$AH$4</f>
        <v/>
      </c>
      <c r="AJ2">
        <f>'Live Search'!$AI$4</f>
        <v/>
      </c>
    </row>
    <row r="3">
      <c r="A3" t="inlineStr">
        <is>
          <t>Single exact pick? (narrows the OTHER lists)</t>
        </is>
      </c>
      <c r="B3" t="b">
        <v>0</v>
      </c>
      <c r="C3">
        <f>AND($C$2&lt;&gt;"",OR(OR(UPPER(TRIM($C$2))="(BLANK)",UPPER(TRIM($C$2))="BLANK",AND($C$2&lt;&gt;"",TRIM($C$2)="")),OR(UPPER(TRIM($C$2))="(NONBLANK)",UPPER(TRIM($C$2))="NONBLANK",TRIM($C$2)="&lt;&gt;"),SUMPRODUCT(--(UPPER(TRIM(Lists!K$4:K$40&amp;""))=UPPER(TRIM($C$2&amp;""))))&gt;0))</f>
        <v/>
      </c>
      <c r="D3">
        <f>AND($D$2&lt;&gt;"",OR(OR(UPPER(TRIM($D$2))="(BLANK)",UPPER(TRIM($D$2))="BLANK",AND($D$2&lt;&gt;"",TRIM($D$2)="")),OR(UPPER(TRIM($D$2))="(NONBLANK)",UPPER(TRIM($D$2))="NONBLANK",TRIM($D$2)="&lt;&gt;"),SUMPRODUCT(--(UPPER(TRIM(Lists!P$4:P$40&amp;""))=UPPER(TRIM($D$2&amp;""))))&gt;0))</f>
        <v/>
      </c>
      <c r="E3">
        <f>AND($E$2&lt;&gt;"",OR(OR(UPPER(TRIM($E$2))="(BLANK)",UPPER(TRIM($E$2))="BLANK",AND($E$2&lt;&gt;"",TRIM($E$2)="")),OR(UPPER(TRIM($E$2))="(NONBLANK)",UPPER(TRIM($E$2))="NONBLANK",TRIM($E$2)="&lt;&gt;"),SUMPRODUCT(--(UPPER(TRIM(Lists!U$4:U$40&amp;""))=UPPER(TRIM($E$2&amp;""))))&gt;0))</f>
        <v/>
      </c>
      <c r="F3">
        <f>AND($F$2&lt;&gt;"",OR(OR(UPPER(TRIM($F$2))="(BLANK)",UPPER(TRIM($F$2))="BLANK",AND($F$2&lt;&gt;"",TRIM($F$2)="")),OR(UPPER(TRIM($F$2))="(NONBLANK)",UPPER(TRIM($F$2))="NONBLANK",TRIM($F$2)="&lt;&gt;"),SUMPRODUCT(--(UPPER(TRIM(Lists!Z$4:Z$40&amp;""))=UPPER(TRIM($F$2&amp;""))))&gt;0))</f>
        <v/>
      </c>
      <c r="G3">
        <f>AND($G$2&lt;&gt;"",OR(OR(UPPER(TRIM($G$2))="(BLANK)",UPPER(TRIM($G$2))="BLANK",AND($G$2&lt;&gt;"",TRIM($G$2)="")),OR(UPPER(TRIM($G$2))="(NONBLANK)",UPPER(TRIM($G$2))="NONBLANK",TRIM($G$2)="&lt;&gt;"),SUMPRODUCT(--(UPPER(TRIM(Lists!AE$4:AE$40&amp;""))=UPPER(TRIM($G$2&amp;""))))&gt;0))</f>
        <v/>
      </c>
      <c r="H3">
        <f>AND($H$2&lt;&gt;"",OR(OR(UPPER(TRIM($H$2))="(BLANK)",UPPER(TRIM($H$2))="BLANK",AND($H$2&lt;&gt;"",TRIM($H$2)="")),OR(UPPER(TRIM($H$2))="(NONBLANK)",UPPER(TRIM($H$2))="NONBLANK",TRIM($H$2)="&lt;&gt;"),SUMPRODUCT(--(UPPER(TRIM(Lists!AJ$4:AJ$40&amp;""))=UPPER(TRIM($H$2&amp;""))))&gt;0))</f>
        <v/>
      </c>
      <c r="I3">
        <f>AND($I$2&lt;&gt;"",OR(OR(UPPER(TRIM($I$2))="(BLANK)",UPPER(TRIM($I$2))="BLANK",AND($I$2&lt;&gt;"",TRIM($I$2)="")),OR(UPPER(TRIM($I$2))="(NONBLANK)",UPPER(TRIM($I$2))="NONBLANK",TRIM($I$2)="&lt;&gt;"),SUMPRODUCT(--(UPPER(TRIM(Lists!AO$4:AO$40&amp;""))=UPPER(TRIM($I$2&amp;""))))&gt;0))</f>
        <v/>
      </c>
      <c r="J3">
        <f>AND($J$2&lt;&gt;"",OR(OR(UPPER(TRIM($J$2))="(BLANK)",UPPER(TRIM($J$2))="BLANK",AND($J$2&lt;&gt;"",TRIM($J$2)="")),OR(UPPER(TRIM($J$2))="(NONBLANK)",UPPER(TRIM($J$2))="NONBLANK",TRIM($J$2)="&lt;&gt;"),SUMPRODUCT(--(UPPER(TRIM(Lists!AT$4:AT$40&amp;""))=UPPER(TRIM($J$2&amp;""))))&gt;0))</f>
        <v/>
      </c>
      <c r="K3">
        <f>AND($K$2&lt;&gt;"",OR(OR(UPPER(TRIM($K$2))="(BLANK)",UPPER(TRIM($K$2))="BLANK",AND($K$2&lt;&gt;"",TRIM($K$2)="")),OR(UPPER(TRIM($K$2))="(NONBLANK)",UPPER(TRIM($K$2))="NONBLANK",TRIM($K$2)="&lt;&gt;"),SUMPRODUCT(--(UPPER(TRIM(Lists!AY$4:AY$40&amp;""))=UPPER(TRIM($K$2&amp;""))))&gt;0))</f>
        <v/>
      </c>
      <c r="L3">
        <f>AND($L$2&lt;&gt;"",OR(OR(UPPER(TRIM($L$2))="(BLANK)",UPPER(TRIM($L$2))="BLANK",AND($L$2&lt;&gt;"",TRIM($L$2)="")),OR(UPPER(TRIM($L$2))="(NONBLANK)",UPPER(TRIM($L$2))="NONBLANK",TRIM($L$2)="&lt;&gt;"),SUMPRODUCT(--(UPPER(TRIM(Lists!BD$4:BD$40&amp;""))=UPPER(TRIM($L$2&amp;""))))&gt;0))</f>
        <v/>
      </c>
      <c r="M3">
        <f>AND($M$2&lt;&gt;"",OR(OR(UPPER(TRIM($M$2))="(BLANK)",UPPER(TRIM($M$2))="BLANK",AND($M$2&lt;&gt;"",TRIM($M$2)="")),OR(UPPER(TRIM($M$2))="(NONBLANK)",UPPER(TRIM($M$2))="NONBLANK",TRIM($M$2)="&lt;&gt;"),SUMPRODUCT(--(UPPER(TRIM(Lists!BI$4:BI$40&amp;""))=UPPER(TRIM($M$2&amp;""))))&gt;0))</f>
        <v/>
      </c>
      <c r="N3">
        <f>AND($N$2&lt;&gt;"",OR(OR(UPPER(TRIM($N$2))="(BLANK)",UPPER(TRIM($N$2))="BLANK",AND($N$2&lt;&gt;"",TRIM($N$2)="")),OR(UPPER(TRIM($N$2))="(NONBLANK)",UPPER(TRIM($N$2))="NONBLANK",TRIM($N$2)="&lt;&gt;"),SUMPRODUCT(--(UPPER(TRIM(Lists!BN$4:BN$40&amp;""))=UPPER(TRIM($N$2&amp;""))))&gt;0))</f>
        <v/>
      </c>
      <c r="O3">
        <f>AND($O$2&lt;&gt;"",OR(OR(UPPER(TRIM($O$2))="(BLANK)",UPPER(TRIM($O$2))="BLANK",AND($O$2&lt;&gt;"",TRIM($O$2)="")),OR(UPPER(TRIM($O$2))="(NONBLANK)",UPPER(TRIM($O$2))="NONBLANK",TRIM($O$2)="&lt;&gt;"),SUMPRODUCT(--(UPPER(TRIM(Lists!BS$4:BS$40&amp;""))=UPPER(TRIM($O$2&amp;""))))&gt;0))</f>
        <v/>
      </c>
      <c r="P3">
        <f>AND($P$2&lt;&gt;"",OR(OR(UPPER(TRIM($P$2))="(BLANK)",UPPER(TRIM($P$2))="BLANK",AND($P$2&lt;&gt;"",TRIM($P$2)="")),OR(UPPER(TRIM($P$2))="(NONBLANK)",UPPER(TRIM($P$2))="NONBLANK",TRIM($P$2)="&lt;&gt;"),SUMPRODUCT(--(UPPER(TRIM(Lists!BX$4:BX$40&amp;""))=UPPER(TRIM($P$2&amp;""))))&gt;0))</f>
        <v/>
      </c>
      <c r="Q3">
        <f>AND($Q$2&lt;&gt;"",OR(OR(UPPER(TRIM($Q$2))="(BLANK)",UPPER(TRIM($Q$2))="BLANK",AND($Q$2&lt;&gt;"",TRIM($Q$2)="")),OR(UPPER(TRIM($Q$2))="(NONBLANK)",UPPER(TRIM($Q$2))="NONBLANK",TRIM($Q$2)="&lt;&gt;"),SUMPRODUCT(--(UPPER(TRIM(Lists!CC$4:CC$40&amp;""))=UPPER(TRIM($Q$2&amp;""))))&gt;0))</f>
        <v/>
      </c>
      <c r="R3">
        <f>AND($R$2&lt;&gt;"",OR(OR(UPPER(TRIM($R$2))="(BLANK)",UPPER(TRIM($R$2))="BLANK",AND($R$2&lt;&gt;"",TRIM($R$2)="")),OR(UPPER(TRIM($R$2))="(NONBLANK)",UPPER(TRIM($R$2))="NONBLANK",TRIM($R$2)="&lt;&gt;"),SUMPRODUCT(--(UPPER(TRIM(Lists!CH$4:CH$40&amp;""))=UPPER(TRIM($R$2&amp;""))))&gt;0))</f>
        <v/>
      </c>
      <c r="S3">
        <f>AND($S$2&lt;&gt;"",OR(OR(UPPER(TRIM($S$2))="(BLANK)",UPPER(TRIM($S$2))="BLANK",AND($S$2&lt;&gt;"",TRIM($S$2)="")),OR(UPPER(TRIM($S$2))="(NONBLANK)",UPPER(TRIM($S$2))="NONBLANK",TRIM($S$2)="&lt;&gt;"),SUMPRODUCT(--(UPPER(TRIM(Lists!CM$4:CM$40&amp;""))=UPPER(TRIM($S$2&amp;""))))&gt;0))</f>
        <v/>
      </c>
      <c r="T3">
        <f>AND($T$2&lt;&gt;"",OR(OR(UPPER(TRIM($T$2))="(BLANK)",UPPER(TRIM($T$2))="BLANK",AND($T$2&lt;&gt;"",TRIM($T$2)="")),OR(UPPER(TRIM($T$2))="(NONBLANK)",UPPER(TRIM($T$2))="NONBLANK",TRIM($T$2)="&lt;&gt;"),SUMPRODUCT(--(UPPER(TRIM(Lists!CR$4:CR$40&amp;""))=UPPER(TRIM($T$2&amp;""))))&gt;0))</f>
        <v/>
      </c>
      <c r="U3">
        <f>AND($U$2&lt;&gt;"",OR(OR(UPPER(TRIM($U$2))="(BLANK)",UPPER(TRIM($U$2))="BLANK",AND($U$2&lt;&gt;"",TRIM($U$2)="")),OR(UPPER(TRIM($U$2))="(NONBLANK)",UPPER(TRIM($U$2))="NONBLANK",TRIM($U$2)="&lt;&gt;"),SUMPRODUCT(--(UPPER(TRIM(Lists!CW$4:CW$40&amp;""))=UPPER(TRIM($U$2&amp;""))))&gt;0))</f>
        <v/>
      </c>
      <c r="V3">
        <f>AND($V$2&lt;&gt;"",OR(OR(UPPER(TRIM($V$2))="(BLANK)",UPPER(TRIM($V$2))="BLANK",AND($V$2&lt;&gt;"",TRIM($V$2)="")),OR(UPPER(TRIM($V$2))="(NONBLANK)",UPPER(TRIM($V$2))="NONBLANK",TRIM($V$2)="&lt;&gt;"),SUMPRODUCT(--(UPPER(TRIM(Lists!DB$4:DB$40&amp;""))=UPPER(TRIM($V$2&amp;""))))&gt;0))</f>
        <v/>
      </c>
      <c r="W3">
        <f>AND($W$2&lt;&gt;"",OR(OR(UPPER(TRIM($W$2))="(BLANK)",UPPER(TRIM($W$2))="BLANK",AND($W$2&lt;&gt;"",TRIM($W$2)="")),OR(UPPER(TRIM($W$2))="(NONBLANK)",UPPER(TRIM($W$2))="NONBLANK",TRIM($W$2)="&lt;&gt;"),SUMPRODUCT(--(UPPER(TRIM(Lists!DG$4:DG$40&amp;""))=UPPER(TRIM($W$2&amp;""))))&gt;0))</f>
        <v/>
      </c>
      <c r="X3">
        <f>AND($X$2&lt;&gt;"",OR(OR(UPPER(TRIM($X$2))="(BLANK)",UPPER(TRIM($X$2))="BLANK",AND($X$2&lt;&gt;"",TRIM($X$2)="")),OR(UPPER(TRIM($X$2))="(NONBLANK)",UPPER(TRIM($X$2))="NONBLANK",TRIM($X$2)="&lt;&gt;"),SUMPRODUCT(--(UPPER(TRIM(Lists!DL$4:DL$40&amp;""))=UPPER(TRIM($X$2&amp;""))))&gt;0))</f>
        <v/>
      </c>
      <c r="Y3">
        <f>AND($Y$2&lt;&gt;"",OR(OR(UPPER(TRIM($Y$2))="(BLANK)",UPPER(TRIM($Y$2))="BLANK",AND($Y$2&lt;&gt;"",TRIM($Y$2)="")),OR(UPPER(TRIM($Y$2))="(NONBLANK)",UPPER(TRIM($Y$2))="NONBLANK",TRIM($Y$2)="&lt;&gt;"),SUMPRODUCT(--(UPPER(TRIM(Lists!DQ$4:DQ$40&amp;""))=UPPER(TRIM($Y$2&amp;""))))&gt;0))</f>
        <v/>
      </c>
      <c r="Z3">
        <f>AND($Z$2&lt;&gt;"",OR(OR(UPPER(TRIM($Z$2))="(BLANK)",UPPER(TRIM($Z$2))="BLANK",AND($Z$2&lt;&gt;"",TRIM($Z$2)="")),OR(UPPER(TRIM($Z$2))="(NONBLANK)",UPPER(TRIM($Z$2))="NONBLANK",TRIM($Z$2)="&lt;&gt;"),SUMPRODUCT(--(UPPER(TRIM(Lists!DV$4:DV$40&amp;""))=UPPER(TRIM($Z$2&amp;""))))&gt;0))</f>
        <v/>
      </c>
      <c r="AA3">
        <f>AND($AA$2&lt;&gt;"",OR(OR(UPPER(TRIM($AA$2))="(BLANK)",UPPER(TRIM($AA$2))="BLANK",AND($AA$2&lt;&gt;"",TRIM($AA$2)="")),OR(UPPER(TRIM($AA$2))="(NONBLANK)",UPPER(TRIM($AA$2))="NONBLANK",TRIM($AA$2)="&lt;&gt;"),SUMPRODUCT(--(UPPER(TRIM(Lists!EA$4:EA$40&amp;""))=UPPER(TRIM($AA$2&amp;""))))&gt;0))</f>
        <v/>
      </c>
      <c r="AB3">
        <f>AND($AB$2&lt;&gt;"",OR(OR(UPPER(TRIM($AB$2))="(BLANK)",UPPER(TRIM($AB$2))="BLANK",AND($AB$2&lt;&gt;"",TRIM($AB$2)="")),OR(UPPER(TRIM($AB$2))="(NONBLANK)",UPPER(TRIM($AB$2))="NONBLANK",TRIM($AB$2)="&lt;&gt;"),SUMPRODUCT(--(UPPER(TRIM(Lists!EF$4:EF$40&amp;""))=UPPER(TRIM($AB$2&amp;""))))&gt;0))</f>
        <v/>
      </c>
      <c r="AC3">
        <f>AND($AC$2&lt;&gt;"",OR(OR(UPPER(TRIM($AC$2))="(BLANK)",UPPER(TRIM($AC$2))="BLANK",AND($AC$2&lt;&gt;"",TRIM($AC$2)="")),OR(UPPER(TRIM($AC$2))="(NONBLANK)",UPPER(TRIM($AC$2))="NONBLANK",TRIM($AC$2)="&lt;&gt;"),SUMPRODUCT(--(UPPER(TRIM(Lists!EK$4:EK$40&amp;""))=UPPER(TRIM($AC$2&amp;""))))&gt;0))</f>
        <v/>
      </c>
      <c r="AD3">
        <f>AND($AD$2&lt;&gt;"",OR(OR(UPPER(TRIM($AD$2))="(BLANK)",UPPER(TRIM($AD$2))="BLANK",AND($AD$2&lt;&gt;"",TRIM($AD$2)="")),OR(UPPER(TRIM($AD$2))="(NONBLANK)",UPPER(TRIM($AD$2))="NONBLANK",TRIM($AD$2)="&lt;&gt;"),SUMPRODUCT(--(UPPER(TRIM(Lists!EP$4:EP$40&amp;""))=UPPER(TRIM($AD$2&amp;""))))&gt;0))</f>
        <v/>
      </c>
      <c r="AE3">
        <f>AND($AE$2&lt;&gt;"",OR(OR(UPPER(TRIM($AE$2))="(BLANK)",UPPER(TRIM($AE$2))="BLANK",AND($AE$2&lt;&gt;"",TRIM($AE$2)="")),OR(UPPER(TRIM($AE$2))="(NONBLANK)",UPPER(TRIM($AE$2))="NONBLANK",TRIM($AE$2)="&lt;&gt;"),SUMPRODUCT(--(UPPER(TRIM(Lists!EU$4:EU$40&amp;""))=UPPER(TRIM($AE$2&amp;""))))&gt;0))</f>
        <v/>
      </c>
      <c r="AF3">
        <f>AND($AF$2&lt;&gt;"",OR(OR(UPPER(TRIM($AF$2))="(BLANK)",UPPER(TRIM($AF$2))="BLANK",AND($AF$2&lt;&gt;"",TRIM($AF$2)="")),OR(UPPER(TRIM($AF$2))="(NONBLANK)",UPPER(TRIM($AF$2))="NONBLANK",TRIM($AF$2)="&lt;&gt;"),SUMPRODUCT(--(UPPER(TRIM(Lists!EZ$4:EZ$40&amp;""))=UPPER(TRIM($AF$2&amp;""))))&gt;0))</f>
        <v/>
      </c>
      <c r="AG3">
        <f>AND($AG$2&lt;&gt;"",OR(OR(UPPER(TRIM($AG$2))="(BLANK)",UPPER(TRIM($AG$2))="BLANK",AND($AG$2&lt;&gt;"",TRIM($AG$2)="")),OR(UPPER(TRIM($AG$2))="(NONBLANK)",UPPER(TRIM($AG$2))="NONBLANK",TRIM($AG$2)="&lt;&gt;"),SUMPRODUCT(--(UPPER(TRIM(Lists!FE$4:FE$40&amp;""))=UPPER(TRIM($AG$2&amp;""))))&gt;0))</f>
        <v/>
      </c>
      <c r="AH3">
        <f>AND($AH$2&lt;&gt;"",OR(OR(UPPER(TRIM($AH$2))="(BLANK)",UPPER(TRIM($AH$2))="BLANK",AND($AH$2&lt;&gt;"",TRIM($AH$2)="")),OR(UPPER(TRIM($AH$2))="(NONBLANK)",UPPER(TRIM($AH$2))="NONBLANK",TRIM($AH$2)="&lt;&gt;"),SUMPRODUCT(--(UPPER(TRIM(Lists!FJ$4:FJ$40&amp;""))=UPPER(TRIM($AH$2&amp;""))))&gt;0))</f>
        <v/>
      </c>
      <c r="AI3">
        <f>AND($AI$2&lt;&gt;"",OR(OR(UPPER(TRIM($AI$2))="(BLANK)",UPPER(TRIM($AI$2))="BLANK",AND($AI$2&lt;&gt;"",TRIM($AI$2)="")),OR(UPPER(TRIM($AI$2))="(NONBLANK)",UPPER(TRIM($AI$2))="NONBLANK",TRIM($AI$2)="&lt;&gt;"),SUMPRODUCT(--(UPPER(TRIM(Lists!FO$4:FO$40&amp;""))=UPPER(TRIM($AI$2&amp;""))))&gt;0))</f>
        <v/>
      </c>
      <c r="AJ3">
        <f>AND($AJ$2&lt;&gt;"",OR(OR(UPPER(TRIM($AJ$2))="(BLANK)",UPPER(TRIM($AJ$2))="BLANK",AND($AJ$2&lt;&gt;"",TRIM($AJ$2)="")),OR(UPPER(TRIM($AJ$2))="(NONBLANK)",UPPER(TRIM($AJ$2))="NONBLANK",TRIM($AJ$2)="&lt;&gt;"),SUMPRODUCT(--(UPPER(TRIM(Lists!FT$4:FT$40&amp;""))=UPPER(TRIM($AJ$2&amp;""))))&gt;0))</f>
        <v/>
      </c>
    </row>
    <row r="4">
      <c r="A4" t="inlineStr">
        <is>
          <t>Final row 4</t>
        </is>
      </c>
      <c r="B4" t="b">
        <v>1</v>
      </c>
      <c r="C4">
        <f>IF($C$3=FALSE,TRUE,IF(OR(UPPER(TRIM($C$2))="(BLANK)",UPPER(TRIM($C$2))="BLANK",AND($C$2&lt;&gt;"",TRIM($C$2)="")),(IF('Final Calculation Sheet'!$F$4="","",'Final Calculation Sheet'!$F$4))="",IF(OR(UPPER(TRIM($C$2))="(NONBLANK)",UPPER(TRIM($C$2))="NONBLANK",TRIM($C$2)="&lt;&gt;"),(IF('Final Calculation Sheet'!$F$4="","",'Final Calculation Sheet'!$F$4))&lt;&gt;"",UPPER(TRIM((IF('Final Calculation Sheet'!$F$4="","",'Final Calculation Sheet'!$F$4))&amp;""))=UPPER(TRIM($C$2&amp;"")))))</f>
        <v/>
      </c>
      <c r="D4">
        <f>IF($D$3=FALSE,TRUE,IF(OR(UPPER(TRIM($D$2))="(BLANK)",UPPER(TRIM($D$2))="BLANK",AND($D$2&lt;&gt;"",TRIM($D$2)="")),(IF('Final Calculation Sheet'!$G$4="","",'Final Calculation Sheet'!$G$4))="",IF(OR(UPPER(TRIM($D$2))="(NONBLANK)",UPPER(TRIM($D$2))="NONBLANK",TRIM($D$2)="&lt;&gt;"),(IF('Final Calculation Sheet'!$G$4="","",'Final Calculation Sheet'!$G$4))&lt;&gt;"",UPPER(TRIM((IF('Final Calculation Sheet'!$G$4="","",'Final Calculation Sheet'!$G$4))&amp;""))=UPPER(TRIM($D$2&amp;"")))))</f>
        <v/>
      </c>
      <c r="E4">
        <f>IF($E$3=FALSE,TRUE,IF(OR(UPPER(TRIM($E$2))="(BLANK)",UPPER(TRIM($E$2))="BLANK",AND($E$2&lt;&gt;"",TRIM($E$2)="")),(IF('Final Calculation Sheet'!$B$4="","",'Final Calculation Sheet'!$B$4))="",IF(OR(UPPER(TRIM($E$2))="(NONBLANK)",UPPER(TRIM($E$2))="NONBLANK",TRIM($E$2)="&lt;&gt;"),(IF('Final Calculation Sheet'!$B$4="","",'Final Calculation Sheet'!$B$4))&lt;&gt;"",UPPER(TRIM((IF('Final Calculation Sheet'!$B$4="","",'Final Calculation Sheet'!$B$4))&amp;""))=UPPER(TRIM($E$2&amp;"")))))</f>
        <v/>
      </c>
      <c r="F4">
        <f>IF($F$3=FALSE,TRUE,IF(OR(UPPER(TRIM($F$2))="(BLANK)",UPPER(TRIM($F$2))="BLANK",AND($F$2&lt;&gt;"",TRIM($F$2)="")),(IF('Final Calculation Sheet'!$D$4="","",'Final Calculation Sheet'!$D$4))="",IF(OR(UPPER(TRIM($F$2))="(NONBLANK)",UPPER(TRIM($F$2))="NONBLANK",TRIM($F$2)="&lt;&gt;"),(IF('Final Calculation Sheet'!$D$4="","",'Final Calculation Sheet'!$D$4))&lt;&gt;"",UPPER(TRIM((IF('Final Calculation Sheet'!$D$4="","",'Final Calculation Sheet'!$D$4))&amp;""))=UPPER(TRIM($F$2&amp;"")))))</f>
        <v/>
      </c>
      <c r="G4">
        <f>IF($G$3=FALSE,TRUE,IF(OR(UPPER(TRIM($G$2))="(BLANK)",UPPER(TRIM($G$2))="BLANK",AND($G$2&lt;&gt;"",TRIM($G$2)="")),(IF('Final Calculation Sheet'!$A$4="","",'Final Calculation Sheet'!$A$4))="",IF(OR(UPPER(TRIM($G$2))="(NONBLANK)",UPPER(TRIM($G$2))="NONBLANK",TRIM($G$2)="&lt;&gt;"),(IF('Final Calculation Sheet'!$A$4="","",'Final Calculation Sheet'!$A$4))&lt;&gt;"",UPPER(TRIM((IF('Final Calculation Sheet'!$A$4="","",'Final Calculation Sheet'!$A$4))&amp;""))=UPPER(TRIM($G$2&amp;"")))))</f>
        <v/>
      </c>
      <c r="H4">
        <f>IF($H$3=FALSE,TRUE,IF(OR(UPPER(TRIM($H$2))="(BLANK)",UPPER(TRIM($H$2))="BLANK",AND($H$2&lt;&gt;"",TRIM($H$2)="")),(IF('Final Calculation Sheet'!$E$4="","",'Final Calculation Sheet'!$E$4))="",IF(OR(UPPER(TRIM($H$2))="(NONBLANK)",UPPER(TRIM($H$2))="NONBLANK",TRIM($H$2)="&lt;&gt;"),(IF('Final Calculation Sheet'!$E$4="","",'Final Calculation Sheet'!$E$4))&lt;&gt;"",UPPER(TRIM((IF('Final Calculation Sheet'!$E$4="","",'Final Calculation Sheet'!$E$4))&amp;""))=UPPER(TRIM($H$2&amp;"")))))</f>
        <v/>
      </c>
      <c r="I4">
        <f>IF($I$3=FALSE,TRUE,IF(OR(UPPER(TRIM($I$2))="(BLANK)",UPPER(TRIM($I$2))="BLANK",AND($I$2&lt;&gt;"",TRIM($I$2)="")),(IF('Final Calculation Sheet'!$C$4="","",'Final Calculation Sheet'!$C$4))="",IF(OR(UPPER(TRIM($I$2))="(NONBLANK)",UPPER(TRIM($I$2))="NONBLANK",TRIM($I$2)="&lt;&gt;"),(IF('Final Calculation Sheet'!$C$4="","",'Final Calculation Sheet'!$C$4))&lt;&gt;"",UPPER(TRIM((IF('Final Calculation Sheet'!$C$4="","",'Final Calculation Sheet'!$C$4))&amp;""))=UPPER(TRIM($I$2&amp;"")))))</f>
        <v/>
      </c>
      <c r="J4">
        <f>IF($J$3=FALSE,TRUE,IF(OR(UPPER(TRIM($J$2))="(BLANK)",UPPER(TRIM($J$2))="BLANK",AND($J$2&lt;&gt;"",TRIM($J$2)="")),(IF('Final Calculation Sheet'!$H$4="","",'Final Calculation Sheet'!$H$4))="",IF(OR(UPPER(TRIM($J$2))="(NONBLANK)",UPPER(TRIM($J$2))="NONBLANK",TRIM($J$2)="&lt;&gt;"),(IF('Final Calculation Sheet'!$H$4="","",'Final Calculation Sheet'!$H$4))&lt;&gt;"",UPPER(TRIM((IF('Final Calculation Sheet'!$H$4="","",'Final Calculation Sheet'!$H$4))&amp;""))=UPPER(TRIM($J$2&amp;"")))))</f>
        <v/>
      </c>
      <c r="K4">
        <f>IF($K$3=FALSE,TRUE,IF(OR(UPPER(TRIM($K$2))="(BLANK)",UPPER(TRIM($K$2))="BLANK",AND($K$2&lt;&gt;"",TRIM($K$2)="")),(IF('Final Calculation Sheet'!$I$4="","",'Final Calculation Sheet'!$I$4))="",IF(OR(UPPER(TRIM($K$2))="(NONBLANK)",UPPER(TRIM($K$2))="NONBLANK",TRIM($K$2)="&lt;&gt;"),(IF('Final Calculation Sheet'!$I$4="","",'Final Calculation Sheet'!$I$4))&lt;&gt;"",UPPER(TRIM((IF('Final Calculation Sheet'!$I$4="","",'Final Calculation Sheet'!$I$4))&amp;""))=UPPER(TRIM($K$2&amp;"")))))</f>
        <v/>
      </c>
      <c r="L4">
        <f>IF($L$3=FALSE,TRUE,IF(OR(UPPER(TRIM($L$2))="(BLANK)",UPPER(TRIM($L$2))="BLANK",AND($L$2&lt;&gt;"",TRIM($L$2)="")),(IF('Final Calculation Sheet'!$J$4="","",'Final Calculation Sheet'!$J$4))="",IF(OR(UPPER(TRIM($L$2))="(NONBLANK)",UPPER(TRIM($L$2))="NONBLANK",TRIM($L$2)="&lt;&gt;"),(IF('Final Calculation Sheet'!$J$4="","",'Final Calculation Sheet'!$J$4))&lt;&gt;"",UPPER(TRIM((IF('Final Calculation Sheet'!$J$4="","",'Final Calculation Sheet'!$J$4))&amp;""))=UPPER(TRIM($L$2&amp;"")))))</f>
        <v/>
      </c>
      <c r="M4">
        <f>IF($M$3=FALSE,TRUE,IF(OR(UPPER(TRIM($M$2))="(BLANK)",UPPER(TRIM($M$2))="BLANK",AND($M$2&lt;&gt;"",TRIM($M$2)="")),(IF('Final Calculation Sheet'!$K$4="","",'Final Calculation Sheet'!$K$4))="",IF(OR(UPPER(TRIM($M$2))="(NONBLANK)",UPPER(TRIM($M$2))="NONBLANK",TRIM($M$2)="&lt;&gt;"),(IF('Final Calculation Sheet'!$K$4="","",'Final Calculation Sheet'!$K$4))&lt;&gt;"",UPPER(TRIM((IF('Final Calculation Sheet'!$K$4="","",'Final Calculation Sheet'!$K$4))&amp;""))=UPPER(TRIM($M$2&amp;"")))))</f>
        <v/>
      </c>
      <c r="N4">
        <f>IF($N$3=FALSE,TRUE,IF(OR(UPPER(TRIM($N$2))="(BLANK)",UPPER(TRIM($N$2))="BLANK",AND($N$2&lt;&gt;"",TRIM($N$2)="")),(IF('Final Calculation Sheet'!$L$4="","",'Final Calculation Sheet'!$L$4))="",IF(OR(UPPER(TRIM($N$2))="(NONBLANK)",UPPER(TRIM($N$2))="NONBLANK",TRIM($N$2)="&lt;&gt;"),(IF('Final Calculation Sheet'!$L$4="","",'Final Calculation Sheet'!$L$4))&lt;&gt;"",UPPER(TRIM((IF('Final Calculation Sheet'!$L$4="","",'Final Calculation Sheet'!$L$4))&amp;""))=UPPER(TRIM($N$2&amp;"")))))</f>
        <v/>
      </c>
      <c r="O4">
        <f>IF($O$3=FALSE,TRUE,IF(OR(UPPER(TRIM($O$2))="(BLANK)",UPPER(TRIM($O$2))="BLANK",AND($O$2&lt;&gt;"",TRIM($O$2)="")),(IF('Final Calculation Sheet'!$M$4="","",'Final Calculation Sheet'!$M$4))="",IF(OR(UPPER(TRIM($O$2))="(NONBLANK)",UPPER(TRIM($O$2))="NONBLANK",TRIM($O$2)="&lt;&gt;"),(IF('Final Calculation Sheet'!$M$4="","",'Final Calculation Sheet'!$M$4))&lt;&gt;"",UPPER(TRIM((IF('Final Calculation Sheet'!$M$4="","",'Final Calculation Sheet'!$M$4))&amp;""))=UPPER(TRIM($O$2&amp;"")))))</f>
        <v/>
      </c>
      <c r="P4">
        <f>IF($P$3=FALSE,TRUE,IF(OR(UPPER(TRIM($P$2))="(BLANK)",UPPER(TRIM($P$2))="BLANK",AND($P$2&lt;&gt;"",TRIM($P$2)="")),(IF('Final Calculation Sheet'!$N$4="","",'Final Calculation Sheet'!$N$4))="",IF(OR(UPPER(TRIM($P$2))="(NONBLANK)",UPPER(TRIM($P$2))="NONBLANK",TRIM($P$2)="&lt;&gt;"),(IF('Final Calculation Sheet'!$N$4="","",'Final Calculation Sheet'!$N$4))&lt;&gt;"",UPPER(TRIM((IF('Final Calculation Sheet'!$N$4="","",'Final Calculation Sheet'!$N$4))&amp;""))=UPPER(TRIM($P$2&amp;"")))))</f>
        <v/>
      </c>
      <c r="Q4">
        <f>IF($Q$3=FALSE,TRUE,IF(OR(UPPER(TRIM($Q$2))="(BLANK)",UPPER(TRIM($Q$2))="BLANK",AND($Q$2&lt;&gt;"",TRIM($Q$2)="")),(IF('Final Calculation Sheet'!$O$4="","",'Final Calculation Sheet'!$O$4))="",IF(OR(UPPER(TRIM($Q$2))="(NONBLANK)",UPPER(TRIM($Q$2))="NONBLANK",TRIM($Q$2)="&lt;&gt;"),(IF('Final Calculation Sheet'!$O$4="","",'Final Calculation Sheet'!$O$4))&lt;&gt;"",UPPER(TRIM((IF('Final Calculation Sheet'!$O$4="","",'Final Calculation Sheet'!$O$4))&amp;""))=UPPER(TRIM($Q$2&amp;"")))))</f>
        <v/>
      </c>
      <c r="R4">
        <f>IF($R$3=FALSE,TRUE,IF(OR(UPPER(TRIM($R$2))="(BLANK)",UPPER(TRIM($R$2))="BLANK",AND($R$2&lt;&gt;"",TRIM($R$2)="")),(IF('Final Calculation Sheet'!$P$4="","",'Final Calculation Sheet'!$P$4))="",IF(OR(UPPER(TRIM($R$2))="(NONBLANK)",UPPER(TRIM($R$2))="NONBLANK",TRIM($R$2)="&lt;&gt;"),(IF('Final Calculation Sheet'!$P$4="","",'Final Calculation Sheet'!$P$4))&lt;&gt;"",UPPER(TRIM((IF('Final Calculation Sheet'!$P$4="","",'Final Calculation Sheet'!$P$4))&amp;""))=UPPER(TRIM($R$2&amp;"")))))</f>
        <v/>
      </c>
      <c r="S4">
        <f>IF($S$3=FALSE,TRUE,IF(OR(UPPER(TRIM($S$2))="(BLANK)",UPPER(TRIM($S$2))="BLANK",AND($S$2&lt;&gt;"",TRIM($S$2)="")),(IF('Final Calculation Sheet'!$Q$4="","",'Final Calculation Sheet'!$Q$4))="",IF(OR(UPPER(TRIM($S$2))="(NONBLANK)",UPPER(TRIM($S$2))="NONBLANK",TRIM($S$2)="&lt;&gt;"),(IF('Final Calculation Sheet'!$Q$4="","",'Final Calculation Sheet'!$Q$4))&lt;&gt;"",UPPER(TRIM((IF('Final Calculation Sheet'!$Q$4="","",'Final Calculation Sheet'!$Q$4))&amp;""))=UPPER(TRIM($S$2&amp;"")))))</f>
        <v/>
      </c>
      <c r="T4">
        <f>IF($T$3=FALSE,TRUE,IF(OR(UPPER(TRIM($T$2))="(BLANK)",UPPER(TRIM($T$2))="BLANK",AND($T$2&lt;&gt;"",TRIM($T$2)="")),(IF('Final Calculation Sheet'!$R$4="","",'Final Calculation Sheet'!$R$4))="",IF(OR(UPPER(TRIM($T$2))="(NONBLANK)",UPPER(TRIM($T$2))="NONBLANK",TRIM($T$2)="&lt;&gt;"),(IF('Final Calculation Sheet'!$R$4="","",'Final Calculation Sheet'!$R$4))&lt;&gt;"",UPPER(TRIM((IF('Final Calculation Sheet'!$R$4="","",'Final Calculation Sheet'!$R$4))&amp;""))=UPPER(TRIM($T$2&amp;"")))))</f>
        <v/>
      </c>
      <c r="U4">
        <f>IF($U$3=FALSE,TRUE,IF(OR(UPPER(TRIM($U$2))="(BLANK)",UPPER(TRIM($U$2))="BLANK",AND($U$2&lt;&gt;"",TRIM($U$2)="")),(IF('Final Calculation Sheet'!$S$4="","",'Final Calculation Sheet'!$S$4))="",IF(OR(UPPER(TRIM($U$2))="(NONBLANK)",UPPER(TRIM($U$2))="NONBLANK",TRIM($U$2)="&lt;&gt;"),(IF('Final Calculation Sheet'!$S$4="","",'Final Calculation Sheet'!$S$4))&lt;&gt;"",UPPER(TRIM((IF('Final Calculation Sheet'!$S$4="","",'Final Calculation Sheet'!$S$4))&amp;""))=UPPER(TRIM($U$2&amp;"")))))</f>
        <v/>
      </c>
      <c r="V4">
        <f>IF($V$3=FALSE,TRUE,IF(OR(UPPER(TRIM($V$2))="(BLANK)",UPPER(TRIM($V$2))="BLANK",AND($V$2&lt;&gt;"",TRIM($V$2)="")),(IF('Final Calculation Sheet'!$T$4="","",'Final Calculation Sheet'!$T$4))="",IF(OR(UPPER(TRIM($V$2))="(NONBLANK)",UPPER(TRIM($V$2))="NONBLANK",TRIM($V$2)="&lt;&gt;"),(IF('Final Calculation Sheet'!$T$4="","",'Final Calculation Sheet'!$T$4))&lt;&gt;"",UPPER(TRIM((IF('Final Calculation Sheet'!$T$4="","",'Final Calculation Sheet'!$T$4))&amp;""))=UPPER(TRIM($V$2&amp;"")))))</f>
        <v/>
      </c>
      <c r="W4">
        <f>IF($W$3=FALSE,TRUE,IF(OR(UPPER(TRIM($W$2))="(BLANK)",UPPER(TRIM($W$2))="BLANK",AND($W$2&lt;&gt;"",TRIM($W$2)="")),(IF('Final Calculation Sheet'!$U$4="","",'Final Calculation Sheet'!$U$4))="",IF(OR(UPPER(TRIM($W$2))="(NONBLANK)",UPPER(TRIM($W$2))="NONBLANK",TRIM($W$2)="&lt;&gt;"),(IF('Final Calculation Sheet'!$U$4="","",'Final Calculation Sheet'!$U$4))&lt;&gt;"",UPPER(TRIM((IF('Final Calculation Sheet'!$U$4="","",'Final Calculation Sheet'!$U$4))&amp;""))=UPPER(TRIM($W$2&amp;"")))))</f>
        <v/>
      </c>
      <c r="X4">
        <f>IF($X$3=FALSE,TRUE,IF(OR(UPPER(TRIM($X$2))="(BLANK)",UPPER(TRIM($X$2))="BLANK",AND($X$2&lt;&gt;"",TRIM($X$2)="")),(IF('Final Calculation Sheet'!$V$4="","",'Final Calculation Sheet'!$V$4))="",IF(OR(UPPER(TRIM($X$2))="(NONBLANK)",UPPER(TRIM($X$2))="NONBLANK",TRIM($X$2)="&lt;&gt;"),(IF('Final Calculation Sheet'!$V$4="","",'Final Calculation Sheet'!$V$4))&lt;&gt;"",UPPER(TRIM((IF('Final Calculation Sheet'!$V$4="","",'Final Calculation Sheet'!$V$4))&amp;""))=UPPER(TRIM($X$2&amp;"")))))</f>
        <v/>
      </c>
      <c r="Y4">
        <f>IF($Y$3=FALSE,TRUE,IF(OR(UPPER(TRIM($Y$2))="(BLANK)",UPPER(TRIM($Y$2))="BLANK",AND($Y$2&lt;&gt;"",TRIM($Y$2)="")),(IF('Final Calculation Sheet'!$W$4="","",'Final Calculation Sheet'!$W$4))="",IF(OR(UPPER(TRIM($Y$2))="(NONBLANK)",UPPER(TRIM($Y$2))="NONBLANK",TRIM($Y$2)="&lt;&gt;"),(IF('Final Calculation Sheet'!$W$4="","",'Final Calculation Sheet'!$W$4))&lt;&gt;"",UPPER(TRIM((IF('Final Calculation Sheet'!$W$4="","",'Final Calculation Sheet'!$W$4))&amp;""))=UPPER(TRIM($Y$2&amp;"")))))</f>
        <v/>
      </c>
      <c r="Z4">
        <f>IF($Z$3=FALSE,TRUE,IF(OR(UPPER(TRIM($Z$2))="(BLANK)",UPPER(TRIM($Z$2))="BLANK",AND($Z$2&lt;&gt;"",TRIM($Z$2)="")),(IF('Final Calculation Sheet'!$X$4="","",'Final Calculation Sheet'!$X$4))="",IF(OR(UPPER(TRIM($Z$2))="(NONBLANK)",UPPER(TRIM($Z$2))="NONBLANK",TRIM($Z$2)="&lt;&gt;"),(IF('Final Calculation Sheet'!$X$4="","",'Final Calculation Sheet'!$X$4))&lt;&gt;"",UPPER(TRIM((IF('Final Calculation Sheet'!$X$4="","",'Final Calculation Sheet'!$X$4))&amp;""))=UPPER(TRIM($Z$2&amp;"")))))</f>
        <v/>
      </c>
      <c r="AA4">
        <f>IF($AA$3=FALSE,TRUE,IF(OR(UPPER(TRIM($AA$2))="(BLANK)",UPPER(TRIM($AA$2))="BLANK",AND($AA$2&lt;&gt;"",TRIM($AA$2)="")),(IF('Final Calculation Sheet'!$Y$4="","",'Final Calculation Sheet'!$Y$4))="",IF(OR(UPPER(TRIM($AA$2))="(NONBLANK)",UPPER(TRIM($AA$2))="NONBLANK",TRIM($AA$2)="&lt;&gt;"),(IF('Final Calculation Sheet'!$Y$4="","",'Final Calculation Sheet'!$Y$4))&lt;&gt;"",UPPER(TRIM((IF('Final Calculation Sheet'!$Y$4="","",'Final Calculation Sheet'!$Y$4))&amp;""))=UPPER(TRIM($AA$2&amp;"")))))</f>
        <v/>
      </c>
      <c r="AB4">
        <f>IF($AB$3=FALSE,TRUE,IF(OR(UPPER(TRIM($AB$2))="(BLANK)",UPPER(TRIM($AB$2))="BLANK",AND($AB$2&lt;&gt;"",TRIM($AB$2)="")),(IF('Final Calculation Sheet'!$Z$4="","",'Final Calculation Sheet'!$Z$4))="",IF(OR(UPPER(TRIM($AB$2))="(NONBLANK)",UPPER(TRIM($AB$2))="NONBLANK",TRIM($AB$2)="&lt;&gt;"),(IF('Final Calculation Sheet'!$Z$4="","",'Final Calculation Sheet'!$Z$4))&lt;&gt;"",UPPER(TRIM((IF('Final Calculation Sheet'!$Z$4="","",'Final Calculation Sheet'!$Z$4))&amp;""))=UPPER(TRIM($AB$2&amp;"")))))</f>
        <v/>
      </c>
      <c r="AC4">
        <f>IF($AC$3=FALSE,TRUE,IF(OR(UPPER(TRIM($AC$2))="(BLANK)",UPPER(TRIM($AC$2))="BLANK",AND($AC$2&lt;&gt;"",TRIM($AC$2)="")),(IF('Final Calculation Sheet'!$AA$4="","",'Final Calculation Sheet'!$AA$4))="",IF(OR(UPPER(TRIM($AC$2))="(NONBLANK)",UPPER(TRIM($AC$2))="NONBLANK",TRIM($AC$2)="&lt;&gt;"),(IF('Final Calculation Sheet'!$AA$4="","",'Final Calculation Sheet'!$AA$4))&lt;&gt;"",UPPER(TRIM((IF('Final Calculation Sheet'!$AA$4="","",'Final Calculation Sheet'!$AA$4))&amp;""))=UPPER(TRIM($AC$2&amp;"")))))</f>
        <v/>
      </c>
      <c r="AD4">
        <f>IF($AD$3=FALSE,TRUE,IF(OR(UPPER(TRIM($AD$2))="(BLANK)",UPPER(TRIM($AD$2))="BLANK",AND($AD$2&lt;&gt;"",TRIM($AD$2)="")),(IF('Final Calculation Sheet'!$AB$4="","",'Final Calculation Sheet'!$AB$4))="",IF(OR(UPPER(TRIM($AD$2))="(NONBLANK)",UPPER(TRIM($AD$2))="NONBLANK",TRIM($AD$2)="&lt;&gt;"),(IF('Final Calculation Sheet'!$AB$4="","",'Final Calculation Sheet'!$AB$4))&lt;&gt;"",UPPER(TRIM((IF('Final Calculation Sheet'!$AB$4="","",'Final Calculation Sheet'!$AB$4))&amp;""))=UPPER(TRIM($AD$2&amp;"")))))</f>
        <v/>
      </c>
      <c r="AE4">
        <f>IF($AE$3=FALSE,TRUE,IF(OR(UPPER(TRIM($AE$2))="(BLANK)",UPPER(TRIM($AE$2))="BLANK",AND($AE$2&lt;&gt;"",TRIM($AE$2)="")),(IF('Final Calculation Sheet'!$AC$4="","",'Final Calculation Sheet'!$AC$4))="",IF(OR(UPPER(TRIM($AE$2))="(NONBLANK)",UPPER(TRIM($AE$2))="NONBLANK",TRIM($AE$2)="&lt;&gt;"),(IF('Final Calculation Sheet'!$AC$4="","",'Final Calculation Sheet'!$AC$4))&lt;&gt;"",UPPER(TRIM((IF('Final Calculation Sheet'!$AC$4="","",'Final Calculation Sheet'!$AC$4))&amp;""))=UPPER(TRIM($AE$2&amp;"")))))</f>
        <v/>
      </c>
      <c r="AF4">
        <f>IF($AF$3=FALSE,TRUE,IF(OR(UPPER(TRIM($AF$2))="(BLANK)",UPPER(TRIM($AF$2))="BLANK",AND($AF$2&lt;&gt;"",TRIM($AF$2)="")),(IF('Final Calculation Sheet'!$AD$4="","",'Final Calculation Sheet'!$AD$4))="",IF(OR(UPPER(TRIM($AF$2))="(NONBLANK)",UPPER(TRIM($AF$2))="NONBLANK",TRIM($AF$2)="&lt;&gt;"),(IF('Final Calculation Sheet'!$AD$4="","",'Final Calculation Sheet'!$AD$4))&lt;&gt;"",UPPER(TRIM((IF('Final Calculation Sheet'!$AD$4="","",'Final Calculation Sheet'!$AD$4))&amp;""))=UPPER(TRIM($AF$2&amp;"")))))</f>
        <v/>
      </c>
      <c r="AG4">
        <f>IF($AG$3=FALSE,TRUE,IF(OR(UPPER(TRIM($AG$2))="(BLANK)",UPPER(TRIM($AG$2))="BLANK",AND($AG$2&lt;&gt;"",TRIM($AG$2)="")),(IF('Final Calculation Sheet'!$AE$4="","",'Final Calculation Sheet'!$AE$4))="",IF(OR(UPPER(TRIM($AG$2))="(NONBLANK)",UPPER(TRIM($AG$2))="NONBLANK",TRIM($AG$2)="&lt;&gt;"),(IF('Final Calculation Sheet'!$AE$4="","",'Final Calculation Sheet'!$AE$4))&lt;&gt;"",UPPER(TRIM((IF('Final Calculation Sheet'!$AE$4="","",'Final Calculation Sheet'!$AE$4))&amp;""))=UPPER(TRIM($AG$2&amp;"")))))</f>
        <v/>
      </c>
      <c r="AH4">
        <f>IF($AH$3=FALSE,TRUE,IF(OR(UPPER(TRIM($AH$2))="(BLANK)",UPPER(TRIM($AH$2))="BLANK",AND($AH$2&lt;&gt;"",TRIM($AH$2)="")),(IF('Final Calculation Sheet'!$AF$4="","",'Final Calculation Sheet'!$AF$4))="",IF(OR(UPPER(TRIM($AH$2))="(NONBLANK)",UPPER(TRIM($AH$2))="NONBLANK",TRIM($AH$2)="&lt;&gt;"),(IF('Final Calculation Sheet'!$AF$4="","",'Final Calculation Sheet'!$AF$4))&lt;&gt;"",UPPER(TRIM((IF('Final Calculation Sheet'!$AF$4="","",'Final Calculation Sheet'!$AF$4))&amp;""))=UPPER(TRIM($AH$2&amp;"")))))</f>
        <v/>
      </c>
      <c r="AI4">
        <f>IF($AI$3=FALSE,TRUE,IF(OR(UPPER(TRIM($AI$2))="(BLANK)",UPPER(TRIM($AI$2))="BLANK",AND($AI$2&lt;&gt;"",TRIM($AI$2)="")),(IF('Final Calculation Sheet'!$AG$4="","",'Final Calculation Sheet'!$AG$4))="",IF(OR(UPPER(TRIM($AI$2))="(NONBLANK)",UPPER(TRIM($AI$2))="NONBLANK",TRIM($AI$2)="&lt;&gt;"),(IF('Final Calculation Sheet'!$AG$4="","",'Final Calculation Sheet'!$AG$4))&lt;&gt;"",UPPER(TRIM((IF('Final Calculation Sheet'!$AG$4="","",'Final Calculation Sheet'!$AG$4))&amp;""))=UPPER(TRIM($AI$2&amp;"")))))</f>
        <v/>
      </c>
      <c r="AJ4">
        <f>IF($AJ$3=FALSE,TRUE,IF(OR(UPPER(TRIM($AJ$2))="(BLANK)",UPPER(TRIM($AJ$2))="BLANK",AND($AJ$2&lt;&gt;"",TRIM($AJ$2)="")),(IF('Final Calculation Sheet'!$AD$4="","",IF('Final Calculation Sheet'!$AD$4&lt;=5,"SETTLED","OUTSTANDING")))="",IF(OR(UPPER(TRIM($AJ$2))="(NONBLANK)",UPPER(TRIM($AJ$2))="NONBLANK",TRIM($AJ$2)="&lt;&gt;"),(IF('Final Calculation Sheet'!$AD$4="","",IF('Final Calculation Sheet'!$AD$4&lt;=5,"SETTLED","OUTSTANDING")))&lt;&gt;"",UPPER(TRIM((IF('Final Calculation Sheet'!$AD$4="","",IF('Final Calculation Sheet'!$AD$4&lt;=5,"SETTLED","OUTSTANDING")))&amp;""))=UPPER(TRIM($AJ$2&amp;"")))))</f>
        <v/>
      </c>
      <c r="AL4">
        <f>IF(AND($B$4,$D$4:$AJ$4),IF('Final Calculation Sheet'!$F$4="","",'Final Calculation Sheet'!$F$4),"")</f>
        <v/>
      </c>
      <c r="AM4">
        <f>IF(AL4="","",COUNTIFS(AL$4:AL$40,"&lt;"&amp;AL4,AL$4:AL$40,"&lt;&gt;"&amp;"")+COUNTIF(AL$4:AL4,AL4))</f>
        <v/>
      </c>
      <c r="AN4">
        <f>IF(ROW()-3&gt;COUNTIF(AL$4:AL$40,"&lt;&gt;"&amp;""),"",INDEX(AL$4:AL$40,MATCH(ROW()-3,AM$4:AM$40,0)))</f>
        <v/>
      </c>
      <c r="AO4">
        <f>IF(AND(AN4&lt;&gt;"",COUNTIF(AN$4:AN4,AN4)=1),1,0)</f>
        <v/>
      </c>
      <c r="AP4">
        <f>IF(ROW()-3&gt;MAX(AO$4:AO$40),"",INDEX(AN$4:AN$40,MATCH(ROW()-3,AO$4:AO$40,0)))</f>
        <v/>
      </c>
      <c r="AQ4">
        <f>IF(AND($B$4:$C$4,$E$4:$AJ$4),IF('Final Calculation Sheet'!$G$4="","",'Final Calculation Sheet'!$G$4),"")</f>
        <v/>
      </c>
      <c r="AR4">
        <f>IF(AQ4="","",COUNTIFS(AQ$4:AQ$40,"&lt;"&amp;AQ4,AQ$4:AQ$40,"&lt;&gt;"&amp;"")+COUNTIF(AQ$4:AQ4,AQ4))</f>
        <v/>
      </c>
      <c r="AS4">
        <f>IF(ROW()-3&gt;COUNTIF(AQ$4:AQ$40,"&lt;&gt;"&amp;""),"",INDEX(AQ$4:AQ$40,MATCH(ROW()-3,AR$4:AR$40,0)))</f>
        <v/>
      </c>
      <c r="AT4">
        <f>IF(AND(AS4&lt;&gt;"",COUNTIF(AS$4:AS4,AS4)=1),1,0)</f>
        <v/>
      </c>
      <c r="AU4">
        <f>IF(ROW()-3&gt;MAX(AT$4:AT$40),"",INDEX(AS$4:AS$40,MATCH(ROW()-3,AT$4:AT$40,0)))</f>
        <v/>
      </c>
      <c r="AV4">
        <f>IF(AND($B$4:$D$4,$F$4:$AJ$4),IF('Final Calculation Sheet'!$B$4="","",'Final Calculation Sheet'!$B$4),"")</f>
        <v/>
      </c>
      <c r="AW4">
        <f>IF(AV4="","",COUNTIFS(AV$4:AV$40,"&lt;"&amp;AV4,AV$4:AV$40,"&lt;&gt;"&amp;"")+COUNTIF(AV$4:AV4,AV4))</f>
        <v/>
      </c>
      <c r="AX4">
        <f>IF(ROW()-3&gt;COUNTIF(AV$4:AV$40,"&lt;&gt;"&amp;""),"",INDEX(AV$4:AV$40,MATCH(ROW()-3,AW$4:AW$40,0)))</f>
        <v/>
      </c>
      <c r="AY4">
        <f>IF(AND(AX4&lt;&gt;"",COUNTIF(AX$4:AX4,AX4)=1),1,0)</f>
        <v/>
      </c>
      <c r="AZ4">
        <f>IF(ROW()-3&gt;MAX(AY$4:AY$40),"",INDEX(AX$4:AX$40,MATCH(ROW()-3,AY$4:AY$40,0)))</f>
        <v/>
      </c>
      <c r="BA4">
        <f>IF(AND($B$4:$E$4,$G$4:$AJ$4),IF('Final Calculation Sheet'!$D$4="","",'Final Calculation Sheet'!$D$4),"")</f>
        <v/>
      </c>
      <c r="BB4">
        <f>IF(BA4="","",COUNTIFS(BA$4:BA$40,"&lt;"&amp;BA4,BA$4:BA$40,"&lt;&gt;"&amp;"")+COUNTIF(BA$4:BA4,BA4))</f>
        <v/>
      </c>
      <c r="BC4">
        <f>IF(ROW()-3&gt;COUNTIF(BA$4:BA$40,"&lt;&gt;"&amp;""),"",INDEX(BA$4:BA$40,MATCH(ROW()-3,BB$4:BB$40,0)))</f>
        <v/>
      </c>
      <c r="BD4">
        <f>IF(AND(BC4&lt;&gt;"",COUNTIF(BC$4:BC4,BC4)=1),1,0)</f>
        <v/>
      </c>
      <c r="BE4">
        <f>IF(ROW()-3&gt;MAX(BD$4:BD$40),"",INDEX(BC$4:BC$40,MATCH(ROW()-3,BD$4:BD$40,0)))</f>
        <v/>
      </c>
      <c r="BF4">
        <f>IF(AND($B$4:$F$4,$H$4:$AJ$4),IF('Final Calculation Sheet'!$A$4="","",'Final Calculation Sheet'!$A$4),"")</f>
        <v/>
      </c>
      <c r="BG4">
        <f>IF(BF4="","",COUNTIFS(BF$4:BF$40,"&lt;"&amp;BF4,BF$4:BF$40,"&lt;&gt;"&amp;"")+COUNTIF(BF$4:BF4,BF4))</f>
        <v/>
      </c>
      <c r="BH4">
        <f>IF(ROW()-3&gt;COUNTIF(BF$4:BF$40,"&lt;&gt;"&amp;""),"",INDEX(BF$4:BF$40,MATCH(ROW()-3,BG$4:BG$40,0)))</f>
        <v/>
      </c>
      <c r="BI4">
        <f>IF(AND(BH4&lt;&gt;"",COUNTIF(BH$4:BH4,BH4)=1),1,0)</f>
        <v/>
      </c>
      <c r="BJ4">
        <f>IF(ROW()-3&gt;MAX(BI$4:BI$40),"",INDEX(BH$4:BH$40,MATCH(ROW()-3,BI$4:BI$40,0)))</f>
        <v/>
      </c>
      <c r="BK4">
        <f>IF(AND($B$4:$G$4,$I$4:$AJ$4),IF('Final Calculation Sheet'!$E$4="","",'Final Calculation Sheet'!$E$4),"")</f>
        <v/>
      </c>
      <c r="BL4">
        <f>IF(BK4="","",COUNTIFS(BK$4:BK$40,"&lt;"&amp;BK4,BK$4:BK$40,"&lt;&gt;"&amp;"")+COUNTIF(BK$4:BK4,BK4))</f>
        <v/>
      </c>
      <c r="BM4">
        <f>IF(ROW()-3&gt;COUNTIF(BK$4:BK$40,"&lt;&gt;"&amp;""),"",INDEX(BK$4:BK$40,MATCH(ROW()-3,BL$4:BL$40,0)))</f>
        <v/>
      </c>
      <c r="BN4">
        <f>IF(AND(BM4&lt;&gt;"",COUNTIF(BM$4:BM4,BM4)=1),1,0)</f>
        <v/>
      </c>
      <c r="BO4">
        <f>IF(ROW()-3&gt;MAX(BN$4:BN$40),"",INDEX(BM$4:BM$40,MATCH(ROW()-3,BN$4:BN$40,0)))</f>
        <v/>
      </c>
      <c r="BP4" s="55">
        <f>IF(AND($B$4:$H$4,$J$4:$AJ$4),IF('Final Calculation Sheet'!$C$4="","",'Final Calculation Sheet'!$C$4),"")</f>
        <v/>
      </c>
      <c r="BQ4">
        <f>IF(BP4="","",COUNTIFS(BP$4:BP$40,"&lt;"&amp;BP4,BP$4:BP$40,"&lt;&gt;"&amp;"")+COUNTIF(BP$4:BP4,BP4))</f>
        <v/>
      </c>
      <c r="BR4" s="55">
        <f>IF(ROW()-3&gt;COUNTIF(BP$4:BP$40,"&lt;&gt;"&amp;""),"",INDEX(BP$4:BP$40,MATCH(ROW()-3,BQ$4:BQ$40,0)))</f>
        <v/>
      </c>
      <c r="BS4">
        <f>IF(AND(BR4&lt;&gt;"",COUNTIF(BR$4:BR4,BR4)=1),1,0)</f>
        <v/>
      </c>
      <c r="BT4" s="55">
        <f>IF(ROW()-3&gt;MAX(BS$4:BS$40),"",INDEX(BR$4:BR$40,MATCH(ROW()-3,BS$4:BS$40,0)))</f>
        <v/>
      </c>
      <c r="BU4" s="55">
        <f>IF(AND($B$4:$I$4,$K$4:$AJ$4),IF('Final Calculation Sheet'!$H$4="","",'Final Calculation Sheet'!$H$4),"")</f>
        <v/>
      </c>
      <c r="BV4">
        <f>IF(BU4="","",COUNTIFS(BU$4:BU$40,"&lt;"&amp;BU4,BU$4:BU$40,"&lt;&gt;"&amp;"")+COUNTIF(BU$4:BU4,BU4))</f>
        <v/>
      </c>
      <c r="BW4" s="55">
        <f>IF(ROW()-3&gt;COUNTIF(BU$4:BU$40,"&lt;&gt;"&amp;""),"",INDEX(BU$4:BU$40,MATCH(ROW()-3,BV$4:BV$40,0)))</f>
        <v/>
      </c>
      <c r="BX4">
        <f>IF(AND(BW4&lt;&gt;"",COUNTIF(BW$4:BW4,BW4)=1),1,0)</f>
        <v/>
      </c>
      <c r="BY4" s="55">
        <f>IF(ROW()-3&gt;MAX(BX$4:BX$40),"",INDEX(BW$4:BW$40,MATCH(ROW()-3,BX$4:BX$40,0)))</f>
        <v/>
      </c>
      <c r="BZ4" s="55">
        <f>IF(AND($B$4:$J$4,$L$4:$AJ$4),IF('Final Calculation Sheet'!$I$4="","",'Final Calculation Sheet'!$I$4),"")</f>
        <v/>
      </c>
      <c r="CA4">
        <f>IF(BZ4="","",COUNTIFS(BZ$4:BZ$40,"&lt;"&amp;BZ4,BZ$4:BZ$40,"&lt;&gt;"&amp;"")+COUNTIF(BZ$4:BZ4,BZ4))</f>
        <v/>
      </c>
      <c r="CB4" s="55">
        <f>IF(ROW()-3&gt;COUNTIF(BZ$4:BZ$40,"&lt;&gt;"&amp;""),"",INDEX(BZ$4:BZ$40,MATCH(ROW()-3,CA$4:CA$40,0)))</f>
        <v/>
      </c>
      <c r="CC4">
        <f>IF(AND(CB4&lt;&gt;"",COUNTIF(CB$4:CB4,CB4)=1),1,0)</f>
        <v/>
      </c>
      <c r="CD4" s="55">
        <f>IF(ROW()-3&gt;MAX(CC$4:CC$40),"",INDEX(CB$4:CB$40,MATCH(ROW()-3,CC$4:CC$40,0)))</f>
        <v/>
      </c>
      <c r="CE4" s="55">
        <f>IF(AND($B$4:$K$4,$M$4:$AJ$4),IF('Final Calculation Sheet'!$J$4="","",'Final Calculation Sheet'!$J$4),"")</f>
        <v/>
      </c>
      <c r="CF4">
        <f>IF(CE4="","",COUNTIFS(CE$4:CE$40,"&lt;"&amp;CE4,CE$4:CE$40,"&lt;&gt;"&amp;"")+COUNTIF(CE$4:CE4,CE4))</f>
        <v/>
      </c>
      <c r="CG4" s="55">
        <f>IF(ROW()-3&gt;COUNTIF(CE$4:CE$40,"&lt;&gt;"&amp;""),"",INDEX(CE$4:CE$40,MATCH(ROW()-3,CF$4:CF$40,0)))</f>
        <v/>
      </c>
      <c r="CH4">
        <f>IF(AND(CG4&lt;&gt;"",COUNTIF(CG$4:CG4,CG4)=1),1,0)</f>
        <v/>
      </c>
      <c r="CI4" s="55">
        <f>IF(ROW()-3&gt;MAX(CH$4:CH$40),"",INDEX(CG$4:CG$40,MATCH(ROW()-3,CH$4:CH$40,0)))</f>
        <v/>
      </c>
      <c r="CJ4" s="55">
        <f>IF(AND($B$4:$L$4,$N$4:$AJ$4),IF('Final Calculation Sheet'!$K$4="","",'Final Calculation Sheet'!$K$4),"")</f>
        <v/>
      </c>
      <c r="CK4">
        <f>IF(CJ4="","",COUNTIFS(CJ$4:CJ$40,"&lt;"&amp;CJ4,CJ$4:CJ$40,"&lt;&gt;"&amp;"")+COUNTIF(CJ$4:CJ4,CJ4))</f>
        <v/>
      </c>
      <c r="CL4" s="55">
        <f>IF(ROW()-3&gt;COUNTIF(CJ$4:CJ$40,"&lt;&gt;"&amp;""),"",INDEX(CJ$4:CJ$40,MATCH(ROW()-3,CK$4:CK$40,0)))</f>
        <v/>
      </c>
      <c r="CM4">
        <f>IF(AND(CL4&lt;&gt;"",COUNTIF(CL$4:CL4,CL4)=1),1,0)</f>
        <v/>
      </c>
      <c r="CN4" s="55">
        <f>IF(ROW()-3&gt;MAX(CM$4:CM$40),"",INDEX(CL$4:CL$40,MATCH(ROW()-3,CM$4:CM$40,0)))</f>
        <v/>
      </c>
      <c r="CO4" s="55">
        <f>IF(AND($B$4:$M$4,$O$4:$AJ$4),IF('Final Calculation Sheet'!$L$4="","",'Final Calculation Sheet'!$L$4),"")</f>
        <v/>
      </c>
      <c r="CP4">
        <f>IF(CO4="","",COUNTIFS(CO$4:CO$40,"&lt;"&amp;CO4,CO$4:CO$40,"&lt;&gt;"&amp;"")+COUNTIF(CO$4:CO4,CO4))</f>
        <v/>
      </c>
      <c r="CQ4" s="55">
        <f>IF(ROW()-3&gt;COUNTIF(CO$4:CO$40,"&lt;&gt;"&amp;""),"",INDEX(CO$4:CO$40,MATCH(ROW()-3,CP$4:CP$40,0)))</f>
        <v/>
      </c>
      <c r="CR4">
        <f>IF(AND(CQ4&lt;&gt;"",COUNTIF(CQ$4:CQ4,CQ4)=1),1,0)</f>
        <v/>
      </c>
      <c r="CS4" s="55">
        <f>IF(ROW()-3&gt;MAX(CR$4:CR$40),"",INDEX(CQ$4:CQ$40,MATCH(ROW()-3,CR$4:CR$40,0)))</f>
        <v/>
      </c>
      <c r="CT4" s="55">
        <f>IF(AND($B$4:$N$4,$P$4:$AJ$4),IF('Final Calculation Sheet'!$M$4="","",'Final Calculation Sheet'!$M$4),"")</f>
        <v/>
      </c>
      <c r="CU4">
        <f>IF(CT4="","",COUNTIFS(CT$4:CT$40,"&lt;"&amp;CT4,CT$4:CT$40,"&lt;&gt;"&amp;"")+COUNTIF(CT$4:CT4,CT4))</f>
        <v/>
      </c>
      <c r="CV4" s="55">
        <f>IF(ROW()-3&gt;COUNTIF(CT$4:CT$40,"&lt;&gt;"&amp;""),"",INDEX(CT$4:CT$40,MATCH(ROW()-3,CU$4:CU$40,0)))</f>
        <v/>
      </c>
      <c r="CW4">
        <f>IF(AND(CV4&lt;&gt;"",COUNTIF(CV$4:CV4,CV4)=1),1,0)</f>
        <v/>
      </c>
      <c r="CX4" s="55">
        <f>IF(ROW()-3&gt;MAX(CW$4:CW$40),"",INDEX(CV$4:CV$40,MATCH(ROW()-3,CW$4:CW$40,0)))</f>
        <v/>
      </c>
      <c r="CY4" s="138">
        <f>IF(AND($B$4:$O$4,$Q$4:$AJ$4),IF('Final Calculation Sheet'!$N$4="","",'Final Calculation Sheet'!$N$4),"")</f>
        <v/>
      </c>
      <c r="CZ4">
        <f>IF(CY4="","",COUNTIFS(CY$4:CY$40,"&lt;"&amp;CY4,CY$4:CY$40,"&lt;&gt;"&amp;"")+COUNTIF(CY$4:CY4,CY4))</f>
        <v/>
      </c>
      <c r="DA4" s="138">
        <f>IF(ROW()-3&gt;COUNTIF(CY$4:CY$40,"&lt;&gt;"&amp;""),"",INDEX(CY$4:CY$40,MATCH(ROW()-3,CZ$4:CZ$40,0)))</f>
        <v/>
      </c>
      <c r="DB4">
        <f>IF(AND(DA4&lt;&gt;"",COUNTIF(DA$4:DA4,DA4)=1),1,0)</f>
        <v/>
      </c>
      <c r="DC4" s="138">
        <f>IF(ROW()-3&gt;MAX(DB$4:DB$40),"",INDEX(DA$4:DA$40,MATCH(ROW()-3,DB$4:DB$40,0)))</f>
        <v/>
      </c>
      <c r="DD4" s="55">
        <f>IF(AND($B$4:$P$4,$R$4:$AJ$4),IF('Final Calculation Sheet'!$O$4="","",'Final Calculation Sheet'!$O$4),"")</f>
        <v/>
      </c>
      <c r="DE4">
        <f>IF(DD4="","",COUNTIFS(DD$4:DD$40,"&lt;"&amp;DD4,DD$4:DD$40,"&lt;&gt;"&amp;"")+COUNTIF(DD$4:DD4,DD4))</f>
        <v/>
      </c>
      <c r="DF4" s="55">
        <f>IF(ROW()-3&gt;COUNTIF(DD$4:DD$40,"&lt;&gt;"&amp;""),"",INDEX(DD$4:DD$40,MATCH(ROW()-3,DE$4:DE$40,0)))</f>
        <v/>
      </c>
      <c r="DG4">
        <f>IF(AND(DF4&lt;&gt;"",COUNTIF(DF$4:DF4,DF4)=1),1,0)</f>
        <v/>
      </c>
      <c r="DH4" s="55">
        <f>IF(ROW()-3&gt;MAX(DG$4:DG$40),"",INDEX(DF$4:DF$40,MATCH(ROW()-3,DG$4:DG$40,0)))</f>
        <v/>
      </c>
      <c r="DI4" s="55">
        <f>IF(AND($B$4:$Q$4,$S$4:$AJ$4),IF('Final Calculation Sheet'!$P$4="","",'Final Calculation Sheet'!$P$4),"")</f>
        <v/>
      </c>
      <c r="DJ4">
        <f>IF(DI4="","",COUNTIFS(DI$4:DI$40,"&lt;"&amp;DI4,DI$4:DI$40,"&lt;&gt;"&amp;"")+COUNTIF(DI$4:DI4,DI4))</f>
        <v/>
      </c>
      <c r="DK4" s="55">
        <f>IF(ROW()-3&gt;COUNTIF(DI$4:DI$40,"&lt;&gt;"&amp;""),"",INDEX(DI$4:DI$40,MATCH(ROW()-3,DJ$4:DJ$40,0)))</f>
        <v/>
      </c>
      <c r="DL4">
        <f>IF(AND(DK4&lt;&gt;"",COUNTIF(DK$4:DK4,DK4)=1),1,0)</f>
        <v/>
      </c>
      <c r="DM4" s="55">
        <f>IF(ROW()-3&gt;MAX(DL$4:DL$40),"",INDEX(DK$4:DK$40,MATCH(ROW()-3,DL$4:DL$40,0)))</f>
        <v/>
      </c>
      <c r="DN4" s="139">
        <f>IF(AND($B$4:$R$4,$T$4:$AJ$4),IF('Final Calculation Sheet'!$Q$4="","",'Final Calculation Sheet'!$Q$4),"")</f>
        <v/>
      </c>
      <c r="DO4">
        <f>IF(DN4="","",COUNTIFS(DN$4:DN$40,"&lt;"&amp;DN4,DN$4:DN$40,"&lt;&gt;"&amp;"")+COUNTIF(DN$4:DN4,DN4))</f>
        <v/>
      </c>
      <c r="DP4" s="139">
        <f>IF(ROW()-3&gt;COUNTIF(DN$4:DN$40,"&lt;&gt;"&amp;""),"",INDEX(DN$4:DN$40,MATCH(ROW()-3,DO$4:DO$40,0)))</f>
        <v/>
      </c>
      <c r="DQ4">
        <f>IF(AND(DP4&lt;&gt;"",COUNTIF(DP$4:DP4,DP4)=1),1,0)</f>
        <v/>
      </c>
      <c r="DR4" s="139">
        <f>IF(ROW()-3&gt;MAX(DQ$4:DQ$40),"",INDEX(DP$4:DP$40,MATCH(ROW()-3,DQ$4:DQ$40,0)))</f>
        <v/>
      </c>
      <c r="DS4" s="55">
        <f>IF(AND($B$4:$S$4,$U$4:$AJ$4),IF('Final Calculation Sheet'!$R$4="","",'Final Calculation Sheet'!$R$4),"")</f>
        <v/>
      </c>
      <c r="DT4">
        <f>IF(DS4="","",COUNTIFS(DS$4:DS$40,"&lt;"&amp;DS4,DS$4:DS$40,"&lt;&gt;"&amp;"")+COUNTIF(DS$4:DS4,DS4))</f>
        <v/>
      </c>
      <c r="DU4" s="55">
        <f>IF(ROW()-3&gt;COUNTIF(DS$4:DS$40,"&lt;&gt;"&amp;""),"",INDEX(DS$4:DS$40,MATCH(ROW()-3,DT$4:DT$40,0)))</f>
        <v/>
      </c>
      <c r="DV4">
        <f>IF(AND(DU4&lt;&gt;"",COUNTIF(DU$4:DU4,DU4)=1),1,0)</f>
        <v/>
      </c>
      <c r="DW4" s="55">
        <f>IF(ROW()-3&gt;MAX(DV$4:DV$40),"",INDEX(DU$4:DU$40,MATCH(ROW()-3,DV$4:DV$40,0)))</f>
        <v/>
      </c>
      <c r="DX4" s="55">
        <f>IF(AND($B$4:$T$4,$V$4:$AJ$4),IF('Final Calculation Sheet'!$S$4="","",'Final Calculation Sheet'!$S$4),"")</f>
        <v/>
      </c>
      <c r="DY4">
        <f>IF(DX4="","",COUNTIFS(DX$4:DX$40,"&lt;"&amp;DX4,DX$4:DX$40,"&lt;&gt;"&amp;"")+COUNTIF(DX$4:DX4,DX4))</f>
        <v/>
      </c>
      <c r="DZ4" s="55">
        <f>IF(ROW()-3&gt;COUNTIF(DX$4:DX$40,"&lt;&gt;"&amp;""),"",INDEX(DX$4:DX$40,MATCH(ROW()-3,DY$4:DY$40,0)))</f>
        <v/>
      </c>
      <c r="EA4">
        <f>IF(AND(DZ4&lt;&gt;"",COUNTIF(DZ$4:DZ4,DZ4)=1),1,0)</f>
        <v/>
      </c>
      <c r="EB4" s="55">
        <f>IF(ROW()-3&gt;MAX(EA$4:EA$40),"",INDEX(DZ$4:DZ$40,MATCH(ROW()-3,EA$4:EA$40,0)))</f>
        <v/>
      </c>
      <c r="EC4" s="55">
        <f>IF(AND($B$4:$U$4,$W$4:$AJ$4),IF('Final Calculation Sheet'!$T$4="","",'Final Calculation Sheet'!$T$4),"")</f>
        <v/>
      </c>
      <c r="ED4">
        <f>IF(EC4="","",COUNTIFS(EC$4:EC$40,"&lt;"&amp;EC4,EC$4:EC$40,"&lt;&gt;"&amp;"")+COUNTIF(EC$4:EC4,EC4))</f>
        <v/>
      </c>
      <c r="EE4" s="55">
        <f>IF(ROW()-3&gt;COUNTIF(EC$4:EC$40,"&lt;&gt;"&amp;""),"",INDEX(EC$4:EC$40,MATCH(ROW()-3,ED$4:ED$40,0)))</f>
        <v/>
      </c>
      <c r="EF4">
        <f>IF(AND(EE4&lt;&gt;"",COUNTIF(EE$4:EE4,EE4)=1),1,0)</f>
        <v/>
      </c>
      <c r="EG4" s="55">
        <f>IF(ROW()-3&gt;MAX(EF$4:EF$40),"",INDEX(EE$4:EE$40,MATCH(ROW()-3,EF$4:EF$40,0)))</f>
        <v/>
      </c>
      <c r="EH4" s="140">
        <f>IF(AND($B$4:$V$4,$X$4:$AJ$4),IF('Final Calculation Sheet'!$U$4="","",'Final Calculation Sheet'!$U$4),"")</f>
        <v/>
      </c>
      <c r="EI4">
        <f>IF(EH4="","",COUNTIFS(EH$4:EH$40,"&lt;"&amp;EH4,EH$4:EH$40,"&lt;&gt;"&amp;"")+COUNTIF(EH$4:EH4,EH4))</f>
        <v/>
      </c>
      <c r="EJ4" s="140">
        <f>IF(ROW()-3&gt;COUNTIF(EH$4:EH$40,"&lt;&gt;"&amp;""),"",INDEX(EH$4:EH$40,MATCH(ROW()-3,EI$4:EI$40,0)))</f>
        <v/>
      </c>
      <c r="EK4">
        <f>IF(AND(EJ4&lt;&gt;"",COUNTIF(EJ$4:EJ4,EJ4)=1),1,0)</f>
        <v/>
      </c>
      <c r="EL4" s="140">
        <f>IF(ROW()-3&gt;MAX(EK$4:EK$40),"",INDEX(EJ$4:EJ$40,MATCH(ROW()-3,EK$4:EK$40,0)))</f>
        <v/>
      </c>
      <c r="EM4">
        <f>IF(AND($B$4:$W$4,$Y$4:$AJ$4),IF('Final Calculation Sheet'!$V$4="","",'Final Calculation Sheet'!$V$4),"")</f>
        <v/>
      </c>
      <c r="EN4">
        <f>IF(EM4="","",COUNTIFS(EM$4:EM$40,"&lt;"&amp;EM4,EM$4:EM$40,"&lt;&gt;"&amp;"")+COUNTIF(EM$4:EM4,EM4))</f>
        <v/>
      </c>
      <c r="EO4">
        <f>IF(ROW()-3&gt;COUNTIF(EM$4:EM$40,"&lt;&gt;"&amp;""),"",INDEX(EM$4:EM$40,MATCH(ROW()-3,EN$4:EN$40,0)))</f>
        <v/>
      </c>
      <c r="EP4">
        <f>IF(AND(EO4&lt;&gt;"",COUNTIF(EO$4:EO4,EO4)=1),1,0)</f>
        <v/>
      </c>
      <c r="EQ4">
        <f>IF(ROW()-3&gt;MAX(EP$4:EP$40),"",INDEX(EO$4:EO$40,MATCH(ROW()-3,EP$4:EP$40,0)))</f>
        <v/>
      </c>
      <c r="ER4" s="55">
        <f>IF(AND($B$4:$X$4,$Z$4:$AJ$4),IF('Final Calculation Sheet'!$W$4="","",'Final Calculation Sheet'!$W$4),"")</f>
        <v/>
      </c>
      <c r="ES4">
        <f>IF(ER4="","",COUNTIFS(ER$4:ER$40,"&lt;"&amp;ER4,ER$4:ER$40,"&lt;&gt;"&amp;"")+COUNTIF(ER$4:ER4,ER4))</f>
        <v/>
      </c>
      <c r="ET4" s="55">
        <f>IF(ROW()-3&gt;COUNTIF(ER$4:ER$40,"&lt;&gt;"&amp;""),"",INDEX(ER$4:ER$40,MATCH(ROW()-3,ES$4:ES$40,0)))</f>
        <v/>
      </c>
      <c r="EU4">
        <f>IF(AND(ET4&lt;&gt;"",COUNTIF(ET$4:ET4,ET4)=1),1,0)</f>
        <v/>
      </c>
      <c r="EV4" s="55">
        <f>IF(ROW()-3&gt;MAX(EU$4:EU$40),"",INDEX(ET$4:ET$40,MATCH(ROW()-3,EU$4:EU$40,0)))</f>
        <v/>
      </c>
      <c r="EW4" s="55">
        <f>IF(AND($B$4:$Y$4,$AA$4:$AJ$4),IF('Final Calculation Sheet'!$X$4="","",'Final Calculation Sheet'!$X$4),"")</f>
        <v/>
      </c>
      <c r="EX4">
        <f>IF(EW4="","",COUNTIFS(EW$4:EW$40,"&lt;"&amp;EW4,EW$4:EW$40,"&lt;&gt;"&amp;"")+COUNTIF(EW$4:EW4,EW4))</f>
        <v/>
      </c>
      <c r="EY4" s="55">
        <f>IF(ROW()-3&gt;COUNTIF(EW$4:EW$40,"&lt;&gt;"&amp;""),"",INDEX(EW$4:EW$40,MATCH(ROW()-3,EX$4:EX$40,0)))</f>
        <v/>
      </c>
      <c r="EZ4">
        <f>IF(AND(EY4&lt;&gt;"",COUNTIF(EY$4:EY4,EY4)=1),1,0)</f>
        <v/>
      </c>
      <c r="FA4">
        <f>IF(ROW()-3&gt;MAX(EZ$4:EZ$40),"",INDEX(EY$4:EY$40,MATCH(ROW()-3,EZ$4:EZ$40,0)))</f>
        <v/>
      </c>
      <c r="FB4">
        <f>IF(AND($B$4:$Z$4,$AB$4:$AJ$4),IF('Final Calculation Sheet'!$Y$4="","",'Final Calculation Sheet'!$Y$4),"")</f>
        <v/>
      </c>
      <c r="FC4">
        <f>IF(FB4="","",COUNTIFS(FB$4:FB$40,"&lt;"&amp;FB4,FB$4:FB$40,"&lt;&gt;"&amp;"")+COUNTIF(FB$4:FB4,FB4))</f>
        <v/>
      </c>
      <c r="FD4">
        <f>IF(ROW()-3&gt;COUNTIF(FB$4:FB$40,"&lt;&gt;"&amp;""),"",INDEX(FB$4:FB$40,MATCH(ROW()-3,FC$4:FC$40,0)))</f>
        <v/>
      </c>
      <c r="FE4">
        <f>IF(AND(FD4&lt;&gt;"",COUNTIF(FD$4:FD4,FD4)=1),1,0)</f>
        <v/>
      </c>
      <c r="FF4">
        <f>IF(ROW()-3&gt;MAX(FE$4:FE$40),"",INDEX(FD$4:FD$40,MATCH(ROW()-3,FE$4:FE$40,0)))</f>
        <v/>
      </c>
      <c r="FG4" s="55">
        <f>IF(AND($B$4:$AA$4,$AC$4:$AJ$4),IF('Final Calculation Sheet'!$Z$4="","",'Final Calculation Sheet'!$Z$4),"")</f>
        <v/>
      </c>
      <c r="FH4">
        <f>IF(FG4="","",COUNTIFS(FG$4:FG$40,"&lt;"&amp;FG4,FG$4:FG$40,"&lt;&gt;"&amp;"")+COUNTIF(FG$4:FG4,FG4))</f>
        <v/>
      </c>
      <c r="FI4" s="55">
        <f>IF(ROW()-3&gt;COUNTIF(FG$4:FG$40,"&lt;&gt;"&amp;""),"",INDEX(FG$4:FG$40,MATCH(ROW()-3,FH$4:FH$40,0)))</f>
        <v/>
      </c>
      <c r="FJ4">
        <f>IF(AND(FI4&lt;&gt;"",COUNTIF(FI$4:FI4,FI4)=1),1,0)</f>
        <v/>
      </c>
      <c r="FK4" s="55">
        <f>IF(ROW()-3&gt;MAX(FJ$4:FJ$40),"",INDEX(FI$4:FI$40,MATCH(ROW()-3,FJ$4:FJ$40,0)))</f>
        <v/>
      </c>
      <c r="FL4">
        <f>IF(AND($B$4:$AB$4,$AD$4:$AJ$4),IF('Final Calculation Sheet'!$AA$4="","",'Final Calculation Sheet'!$AA$4),"")</f>
        <v/>
      </c>
      <c r="FM4">
        <f>IF(FL4="","",COUNTIFS(FL$4:FL$40,"&lt;"&amp;FL4,FL$4:FL$40,"&lt;&gt;"&amp;"")+COUNTIF(FL$4:FL4,FL4))</f>
        <v/>
      </c>
      <c r="FN4">
        <f>IF(ROW()-3&gt;COUNTIF(FL$4:FL$40,"&lt;&gt;"&amp;""),"",INDEX(FL$4:FL$40,MATCH(ROW()-3,FM$4:FM$40,0)))</f>
        <v/>
      </c>
      <c r="FO4">
        <f>IF(AND(FN4&lt;&gt;"",COUNTIF(FN$4:FN4,FN4)=1),1,0)</f>
        <v/>
      </c>
      <c r="FP4">
        <f>IF(ROW()-3&gt;MAX(FO$4:FO$40),"",INDEX(FN$4:FN$40,MATCH(ROW()-3,FO$4:FO$40,0)))</f>
        <v/>
      </c>
      <c r="FQ4">
        <f>IF(AND($B$4:$AC$4,$AE$4:$AJ$4),IF('Final Calculation Sheet'!$AB$4="","",'Final Calculation Sheet'!$AB$4),"")</f>
        <v/>
      </c>
      <c r="FR4">
        <f>IF(FQ4="","",COUNTIFS(FQ$4:FQ$40,"&lt;"&amp;FQ4,FQ$4:FQ$40,"&lt;&gt;"&amp;"")+COUNTIF(FQ$4:FQ4,FQ4))</f>
        <v/>
      </c>
      <c r="FS4">
        <f>IF(ROW()-3&gt;COUNTIF(FQ$4:FQ$40,"&lt;&gt;"&amp;""),"",INDEX(FQ$4:FQ$40,MATCH(ROW()-3,FR$4:FR$40,0)))</f>
        <v/>
      </c>
      <c r="FT4">
        <f>IF(AND(FS4&lt;&gt;"",COUNTIF(FS$4:FS4,FS4)=1),1,0)</f>
        <v/>
      </c>
      <c r="FU4">
        <f>IF(ROW()-3&gt;MAX(FT$4:FT$40),"",INDEX(FS$4:FS$40,MATCH(ROW()-3,FT$4:FT$40,0)))</f>
        <v/>
      </c>
      <c r="FV4" s="55">
        <f>IF(AND($B$4:$AD$4,$AF$4:$AJ$4),IF('Final Calculation Sheet'!$AC$4="","",'Final Calculation Sheet'!$AC$4),"")</f>
        <v/>
      </c>
      <c r="FW4">
        <f>IF(FV4="","",COUNTIFS(FV$4:FV$40,"&lt;"&amp;FV4,FV$4:FV$40,"&lt;&gt;"&amp;"")+COUNTIF(FV$4:FV4,FV4))</f>
        <v/>
      </c>
      <c r="FX4" s="55">
        <f>IF(ROW()-3&gt;COUNTIF(FV$4:FV$40,"&lt;&gt;"&amp;""),"",INDEX(FV$4:FV$40,MATCH(ROW()-3,FW$4:FW$40,0)))</f>
        <v/>
      </c>
      <c r="FY4">
        <f>IF(AND(FX4&lt;&gt;"",COUNTIF(FX$4:FX4,FX4)=1),1,0)</f>
        <v/>
      </c>
      <c r="FZ4" s="55">
        <f>IF(ROW()-3&gt;MAX(FY$4:FY$40),"",INDEX(FX$4:FX$40,MATCH(ROW()-3,FY$4:FY$40,0)))</f>
        <v/>
      </c>
      <c r="GA4" s="55">
        <f>IF(AND($B$4:$AE$4,$AG$4:$AJ$4),IF('Final Calculation Sheet'!$AD$4="","",'Final Calculation Sheet'!$AD$4),"")</f>
        <v/>
      </c>
      <c r="GB4">
        <f>IF(GA4="","",COUNTIFS(GA$4:GA$40,"&lt;"&amp;GA4,GA$4:GA$40,"&lt;&gt;"&amp;"")+COUNTIF(GA$4:GA4,GA4))</f>
        <v/>
      </c>
      <c r="GC4" s="55">
        <f>IF(ROW()-3&gt;COUNTIF(GA$4:GA$40,"&lt;&gt;"&amp;""),"",INDEX(GA$4:GA$40,MATCH(ROW()-3,GB$4:GB$40,0)))</f>
        <v/>
      </c>
      <c r="GD4">
        <f>IF(AND(GC4&lt;&gt;"",COUNTIF(GC$4:GC4,GC4)=1),1,0)</f>
        <v/>
      </c>
      <c r="GE4" s="55">
        <f>IF(ROW()-3&gt;MAX(GD$4:GD$40),"",INDEX(GC$4:GC$40,MATCH(ROW()-3,GD$4:GD$40,0)))</f>
        <v/>
      </c>
      <c r="GF4">
        <f>IF(AND($B$4:$AF$4,$AH$4:$AJ$4),IF('Final Calculation Sheet'!$AE$4="","",'Final Calculation Sheet'!$AE$4),"")</f>
        <v/>
      </c>
      <c r="GG4">
        <f>IF(GF4="","",COUNTIFS(GF$4:GF$40,"&lt;"&amp;GF4,GF$4:GF$40,"&lt;&gt;"&amp;"")+COUNTIF(GF$4:GF4,GF4))</f>
        <v/>
      </c>
      <c r="GH4">
        <f>IF(ROW()-3&gt;COUNTIF(GF$4:GF$40,"&lt;&gt;"&amp;""),"",INDEX(GF$4:GF$40,MATCH(ROW()-3,GG$4:GG$40,0)))</f>
        <v/>
      </c>
      <c r="GI4">
        <f>IF(AND(GH4&lt;&gt;"",COUNTIF(GH$4:GH4,GH4)=1),1,0)</f>
        <v/>
      </c>
      <c r="GJ4">
        <f>IF(ROW()-3&gt;MAX(GI$4:GI$40),"",INDEX(GH$4:GH$40,MATCH(ROW()-3,GI$4:GI$40,0)))</f>
        <v/>
      </c>
      <c r="GK4" s="141">
        <f>IF(AND($B$4:$AG$4,$AI$4:$AJ$4),IF('Final Calculation Sheet'!$AF$4="","",'Final Calculation Sheet'!$AF$4),"")</f>
        <v/>
      </c>
      <c r="GL4">
        <f>IF(GK4="","",COUNTIFS(GK$4:GK$40,"&lt;"&amp;GK4,GK$4:GK$40,"&lt;&gt;"&amp;"")+COUNTIF(GK$4:GK4,GK4))</f>
        <v/>
      </c>
      <c r="GM4" s="141">
        <f>IF(ROW()-3&gt;COUNTIF(GK$4:GK$40,"&lt;&gt;"&amp;""),"",INDEX(GK$4:GK$40,MATCH(ROW()-3,GL$4:GL$40,0)))</f>
        <v/>
      </c>
      <c r="GN4">
        <f>IF(AND(GM4&lt;&gt;"",COUNTIF(GM$4:GM4,GM4)=1),1,0)</f>
        <v/>
      </c>
      <c r="GO4">
        <f>IF(ROW()-3&gt;MAX(GN$4:GN$40),"",INDEX(GM$4:GM$40,MATCH(ROW()-3,GN$4:GN$40,0)))</f>
        <v/>
      </c>
      <c r="GP4">
        <f>IF(AND($B$4:$AH$4,$AJ$4:$AJ$4),IF('Final Calculation Sheet'!$AG$4="","",'Final Calculation Sheet'!$AG$4),"")</f>
        <v/>
      </c>
      <c r="GQ4">
        <f>IF(GP4="","",COUNTIFS(GP$4:GP$40,"&lt;"&amp;GP4,GP$4:GP$40,"&lt;&gt;"&amp;"")+COUNTIF(GP$4:GP4,GP4))</f>
        <v/>
      </c>
      <c r="GR4">
        <f>IF(ROW()-3&gt;COUNTIF(GP$4:GP$40,"&lt;&gt;"&amp;""),"",INDEX(GP$4:GP$40,MATCH(ROW()-3,GQ$4:GQ$40,0)))</f>
        <v/>
      </c>
      <c r="GS4">
        <f>IF(AND(GR4&lt;&gt;"",COUNTIF(GR$4:GR4,GR4)=1),1,0)</f>
        <v/>
      </c>
      <c r="GT4">
        <f>IF(ROW()-3&gt;MAX(GS$4:GS$40),"",INDEX(GR$4:GR$40,MATCH(ROW()-3,GS$4:GS$40,0)))</f>
        <v/>
      </c>
    </row>
    <row r="5">
      <c r="A5" t="inlineStr">
        <is>
          <t>Final row 5</t>
        </is>
      </c>
      <c r="B5" t="b">
        <v>1</v>
      </c>
      <c r="C5">
        <f>IF($C$3=FALSE,TRUE,IF(OR(UPPER(TRIM($C$2))="(BLANK)",UPPER(TRIM($C$2))="BLANK",AND($C$2&lt;&gt;"",TRIM($C$2)="")),(IF('Final Calculation Sheet'!$F$5="","",'Final Calculation Sheet'!$F$5))="",IF(OR(UPPER(TRIM($C$2))="(NONBLANK)",UPPER(TRIM($C$2))="NONBLANK",TRIM($C$2)="&lt;&gt;"),(IF('Final Calculation Sheet'!$F$5="","",'Final Calculation Sheet'!$F$5))&lt;&gt;"",UPPER(TRIM((IF('Final Calculation Sheet'!$F$5="","",'Final Calculation Sheet'!$F$5))&amp;""))=UPPER(TRIM($C$2&amp;"")))))</f>
        <v/>
      </c>
      <c r="D5">
        <f>IF($D$3=FALSE,TRUE,IF(OR(UPPER(TRIM($D$2))="(BLANK)",UPPER(TRIM($D$2))="BLANK",AND($D$2&lt;&gt;"",TRIM($D$2)="")),(IF('Final Calculation Sheet'!$G$5="","",'Final Calculation Sheet'!$G$5))="",IF(OR(UPPER(TRIM($D$2))="(NONBLANK)",UPPER(TRIM($D$2))="NONBLANK",TRIM($D$2)="&lt;&gt;"),(IF('Final Calculation Sheet'!$G$5="","",'Final Calculation Sheet'!$G$5))&lt;&gt;"",UPPER(TRIM((IF('Final Calculation Sheet'!$G$5="","",'Final Calculation Sheet'!$G$5))&amp;""))=UPPER(TRIM($D$2&amp;"")))))</f>
        <v/>
      </c>
      <c r="E5">
        <f>IF($E$3=FALSE,TRUE,IF(OR(UPPER(TRIM($E$2))="(BLANK)",UPPER(TRIM($E$2))="BLANK",AND($E$2&lt;&gt;"",TRIM($E$2)="")),(IF('Final Calculation Sheet'!$B$5="","",'Final Calculation Sheet'!$B$5))="",IF(OR(UPPER(TRIM($E$2))="(NONBLANK)",UPPER(TRIM($E$2))="NONBLANK",TRIM($E$2)="&lt;&gt;"),(IF('Final Calculation Sheet'!$B$5="","",'Final Calculation Sheet'!$B$5))&lt;&gt;"",UPPER(TRIM((IF('Final Calculation Sheet'!$B$5="","",'Final Calculation Sheet'!$B$5))&amp;""))=UPPER(TRIM($E$2&amp;"")))))</f>
        <v/>
      </c>
      <c r="F5">
        <f>IF($F$3=FALSE,TRUE,IF(OR(UPPER(TRIM($F$2))="(BLANK)",UPPER(TRIM($F$2))="BLANK",AND($F$2&lt;&gt;"",TRIM($F$2)="")),(IF('Final Calculation Sheet'!$D$5="","",'Final Calculation Sheet'!$D$5))="",IF(OR(UPPER(TRIM($F$2))="(NONBLANK)",UPPER(TRIM($F$2))="NONBLANK",TRIM($F$2)="&lt;&gt;"),(IF('Final Calculation Sheet'!$D$5="","",'Final Calculation Sheet'!$D$5))&lt;&gt;"",UPPER(TRIM((IF('Final Calculation Sheet'!$D$5="","",'Final Calculation Sheet'!$D$5))&amp;""))=UPPER(TRIM($F$2&amp;"")))))</f>
        <v/>
      </c>
      <c r="G5">
        <f>IF($G$3=FALSE,TRUE,IF(OR(UPPER(TRIM($G$2))="(BLANK)",UPPER(TRIM($G$2))="BLANK",AND($G$2&lt;&gt;"",TRIM($G$2)="")),(IF('Final Calculation Sheet'!$A$5="","",'Final Calculation Sheet'!$A$5))="",IF(OR(UPPER(TRIM($G$2))="(NONBLANK)",UPPER(TRIM($G$2))="NONBLANK",TRIM($G$2)="&lt;&gt;"),(IF('Final Calculation Sheet'!$A$5="","",'Final Calculation Sheet'!$A$5))&lt;&gt;"",UPPER(TRIM((IF('Final Calculation Sheet'!$A$5="","",'Final Calculation Sheet'!$A$5))&amp;""))=UPPER(TRIM($G$2&amp;"")))))</f>
        <v/>
      </c>
      <c r="H5">
        <f>IF($H$3=FALSE,TRUE,IF(OR(UPPER(TRIM($H$2))="(BLANK)",UPPER(TRIM($H$2))="BLANK",AND($H$2&lt;&gt;"",TRIM($H$2)="")),(IF('Final Calculation Sheet'!$E$5="","",'Final Calculation Sheet'!$E$5))="",IF(OR(UPPER(TRIM($H$2))="(NONBLANK)",UPPER(TRIM($H$2))="NONBLANK",TRIM($H$2)="&lt;&gt;"),(IF('Final Calculation Sheet'!$E$5="","",'Final Calculation Sheet'!$E$5))&lt;&gt;"",UPPER(TRIM((IF('Final Calculation Sheet'!$E$5="","",'Final Calculation Sheet'!$E$5))&amp;""))=UPPER(TRIM($H$2&amp;"")))))</f>
        <v/>
      </c>
      <c r="I5">
        <f>IF($I$3=FALSE,TRUE,IF(OR(UPPER(TRIM($I$2))="(BLANK)",UPPER(TRIM($I$2))="BLANK",AND($I$2&lt;&gt;"",TRIM($I$2)="")),(IF('Final Calculation Sheet'!$C$5="","",'Final Calculation Sheet'!$C$5))="",IF(OR(UPPER(TRIM($I$2))="(NONBLANK)",UPPER(TRIM($I$2))="NONBLANK",TRIM($I$2)="&lt;&gt;"),(IF('Final Calculation Sheet'!$C$5="","",'Final Calculation Sheet'!$C$5))&lt;&gt;"",UPPER(TRIM((IF('Final Calculation Sheet'!$C$5="","",'Final Calculation Sheet'!$C$5))&amp;""))=UPPER(TRIM($I$2&amp;"")))))</f>
        <v/>
      </c>
      <c r="J5">
        <f>IF($J$3=FALSE,TRUE,IF(OR(UPPER(TRIM($J$2))="(BLANK)",UPPER(TRIM($J$2))="BLANK",AND($J$2&lt;&gt;"",TRIM($J$2)="")),(IF('Final Calculation Sheet'!$H$5="","",'Final Calculation Sheet'!$H$5))="",IF(OR(UPPER(TRIM($J$2))="(NONBLANK)",UPPER(TRIM($J$2))="NONBLANK",TRIM($J$2)="&lt;&gt;"),(IF('Final Calculation Sheet'!$H$5="","",'Final Calculation Sheet'!$H$5))&lt;&gt;"",UPPER(TRIM((IF('Final Calculation Sheet'!$H$5="","",'Final Calculation Sheet'!$H$5))&amp;""))=UPPER(TRIM($J$2&amp;"")))))</f>
        <v/>
      </c>
      <c r="K5">
        <f>IF($K$3=FALSE,TRUE,IF(OR(UPPER(TRIM($K$2))="(BLANK)",UPPER(TRIM($K$2))="BLANK",AND($K$2&lt;&gt;"",TRIM($K$2)="")),(IF('Final Calculation Sheet'!$I$5="","",'Final Calculation Sheet'!$I$5))="",IF(OR(UPPER(TRIM($K$2))="(NONBLANK)",UPPER(TRIM($K$2))="NONBLANK",TRIM($K$2)="&lt;&gt;"),(IF('Final Calculation Sheet'!$I$5="","",'Final Calculation Sheet'!$I$5))&lt;&gt;"",UPPER(TRIM((IF('Final Calculation Sheet'!$I$5="","",'Final Calculation Sheet'!$I$5))&amp;""))=UPPER(TRIM($K$2&amp;"")))))</f>
        <v/>
      </c>
      <c r="L5">
        <f>IF($L$3=FALSE,TRUE,IF(OR(UPPER(TRIM($L$2))="(BLANK)",UPPER(TRIM($L$2))="BLANK",AND($L$2&lt;&gt;"",TRIM($L$2)="")),(IF('Final Calculation Sheet'!$J$5="","",'Final Calculation Sheet'!$J$5))="",IF(OR(UPPER(TRIM($L$2))="(NONBLANK)",UPPER(TRIM($L$2))="NONBLANK",TRIM($L$2)="&lt;&gt;"),(IF('Final Calculation Sheet'!$J$5="","",'Final Calculation Sheet'!$J$5))&lt;&gt;"",UPPER(TRIM((IF('Final Calculation Sheet'!$J$5="","",'Final Calculation Sheet'!$J$5))&amp;""))=UPPER(TRIM($L$2&amp;"")))))</f>
        <v/>
      </c>
      <c r="M5">
        <f>IF($M$3=FALSE,TRUE,IF(OR(UPPER(TRIM($M$2))="(BLANK)",UPPER(TRIM($M$2))="BLANK",AND($M$2&lt;&gt;"",TRIM($M$2)="")),(IF('Final Calculation Sheet'!$K$5="","",'Final Calculation Sheet'!$K$5))="",IF(OR(UPPER(TRIM($M$2))="(NONBLANK)",UPPER(TRIM($M$2))="NONBLANK",TRIM($M$2)="&lt;&gt;"),(IF('Final Calculation Sheet'!$K$5="","",'Final Calculation Sheet'!$K$5))&lt;&gt;"",UPPER(TRIM((IF('Final Calculation Sheet'!$K$5="","",'Final Calculation Sheet'!$K$5))&amp;""))=UPPER(TRIM($M$2&amp;"")))))</f>
        <v/>
      </c>
      <c r="N5">
        <f>IF($N$3=FALSE,TRUE,IF(OR(UPPER(TRIM($N$2))="(BLANK)",UPPER(TRIM($N$2))="BLANK",AND($N$2&lt;&gt;"",TRIM($N$2)="")),(IF('Final Calculation Sheet'!$L$5="","",'Final Calculation Sheet'!$L$5))="",IF(OR(UPPER(TRIM($N$2))="(NONBLANK)",UPPER(TRIM($N$2))="NONBLANK",TRIM($N$2)="&lt;&gt;"),(IF('Final Calculation Sheet'!$L$5="","",'Final Calculation Sheet'!$L$5))&lt;&gt;"",UPPER(TRIM((IF('Final Calculation Sheet'!$L$5="","",'Final Calculation Sheet'!$L$5))&amp;""))=UPPER(TRIM($N$2&amp;"")))))</f>
        <v/>
      </c>
      <c r="O5">
        <f>IF($O$3=FALSE,TRUE,IF(OR(UPPER(TRIM($O$2))="(BLANK)",UPPER(TRIM($O$2))="BLANK",AND($O$2&lt;&gt;"",TRIM($O$2)="")),(IF('Final Calculation Sheet'!$M$5="","",'Final Calculation Sheet'!$M$5))="",IF(OR(UPPER(TRIM($O$2))="(NONBLANK)",UPPER(TRIM($O$2))="NONBLANK",TRIM($O$2)="&lt;&gt;"),(IF('Final Calculation Sheet'!$M$5="","",'Final Calculation Sheet'!$M$5))&lt;&gt;"",UPPER(TRIM((IF('Final Calculation Sheet'!$M$5="","",'Final Calculation Sheet'!$M$5))&amp;""))=UPPER(TRIM($O$2&amp;"")))))</f>
        <v/>
      </c>
      <c r="P5">
        <f>IF($P$3=FALSE,TRUE,IF(OR(UPPER(TRIM($P$2))="(BLANK)",UPPER(TRIM($P$2))="BLANK",AND($P$2&lt;&gt;"",TRIM($P$2)="")),(IF('Final Calculation Sheet'!$N$5="","",'Final Calculation Sheet'!$N$5))="",IF(OR(UPPER(TRIM($P$2))="(NONBLANK)",UPPER(TRIM($P$2))="NONBLANK",TRIM($P$2)="&lt;&gt;"),(IF('Final Calculation Sheet'!$N$5="","",'Final Calculation Sheet'!$N$5))&lt;&gt;"",UPPER(TRIM((IF('Final Calculation Sheet'!$N$5="","",'Final Calculation Sheet'!$N$5))&amp;""))=UPPER(TRIM($P$2&amp;"")))))</f>
        <v/>
      </c>
      <c r="Q5">
        <f>IF($Q$3=FALSE,TRUE,IF(OR(UPPER(TRIM($Q$2))="(BLANK)",UPPER(TRIM($Q$2))="BLANK",AND($Q$2&lt;&gt;"",TRIM($Q$2)="")),(IF('Final Calculation Sheet'!$O$5="","",'Final Calculation Sheet'!$O$5))="",IF(OR(UPPER(TRIM($Q$2))="(NONBLANK)",UPPER(TRIM($Q$2))="NONBLANK",TRIM($Q$2)="&lt;&gt;"),(IF('Final Calculation Sheet'!$O$5="","",'Final Calculation Sheet'!$O$5))&lt;&gt;"",UPPER(TRIM((IF('Final Calculation Sheet'!$O$5="","",'Final Calculation Sheet'!$O$5))&amp;""))=UPPER(TRIM($Q$2&amp;"")))))</f>
        <v/>
      </c>
      <c r="R5">
        <f>IF($R$3=FALSE,TRUE,IF(OR(UPPER(TRIM($R$2))="(BLANK)",UPPER(TRIM($R$2))="BLANK",AND($R$2&lt;&gt;"",TRIM($R$2)="")),(IF('Final Calculation Sheet'!$P$5="","",'Final Calculation Sheet'!$P$5))="",IF(OR(UPPER(TRIM($R$2))="(NONBLANK)",UPPER(TRIM($R$2))="NONBLANK",TRIM($R$2)="&lt;&gt;"),(IF('Final Calculation Sheet'!$P$5="","",'Final Calculation Sheet'!$P$5))&lt;&gt;"",UPPER(TRIM((IF('Final Calculation Sheet'!$P$5="","",'Final Calculation Sheet'!$P$5))&amp;""))=UPPER(TRIM($R$2&amp;"")))))</f>
        <v/>
      </c>
      <c r="S5">
        <f>IF($S$3=FALSE,TRUE,IF(OR(UPPER(TRIM($S$2))="(BLANK)",UPPER(TRIM($S$2))="BLANK",AND($S$2&lt;&gt;"",TRIM($S$2)="")),(IF('Final Calculation Sheet'!$Q$5="","",'Final Calculation Sheet'!$Q$5))="",IF(OR(UPPER(TRIM($S$2))="(NONBLANK)",UPPER(TRIM($S$2))="NONBLANK",TRIM($S$2)="&lt;&gt;"),(IF('Final Calculation Sheet'!$Q$5="","",'Final Calculation Sheet'!$Q$5))&lt;&gt;"",UPPER(TRIM((IF('Final Calculation Sheet'!$Q$5="","",'Final Calculation Sheet'!$Q$5))&amp;""))=UPPER(TRIM($S$2&amp;"")))))</f>
        <v/>
      </c>
      <c r="T5">
        <f>IF($T$3=FALSE,TRUE,IF(OR(UPPER(TRIM($T$2))="(BLANK)",UPPER(TRIM($T$2))="BLANK",AND($T$2&lt;&gt;"",TRIM($T$2)="")),(IF('Final Calculation Sheet'!$R$5="","",'Final Calculation Sheet'!$R$5))="",IF(OR(UPPER(TRIM($T$2))="(NONBLANK)",UPPER(TRIM($T$2))="NONBLANK",TRIM($T$2)="&lt;&gt;"),(IF('Final Calculation Sheet'!$R$5="","",'Final Calculation Sheet'!$R$5))&lt;&gt;"",UPPER(TRIM((IF('Final Calculation Sheet'!$R$5="","",'Final Calculation Sheet'!$R$5))&amp;""))=UPPER(TRIM($T$2&amp;"")))))</f>
        <v/>
      </c>
      <c r="U5">
        <f>IF($U$3=FALSE,TRUE,IF(OR(UPPER(TRIM($U$2))="(BLANK)",UPPER(TRIM($U$2))="BLANK",AND($U$2&lt;&gt;"",TRIM($U$2)="")),(IF('Final Calculation Sheet'!$S$5="","",'Final Calculation Sheet'!$S$5))="",IF(OR(UPPER(TRIM($U$2))="(NONBLANK)",UPPER(TRIM($U$2))="NONBLANK",TRIM($U$2)="&lt;&gt;"),(IF('Final Calculation Sheet'!$S$5="","",'Final Calculation Sheet'!$S$5))&lt;&gt;"",UPPER(TRIM((IF('Final Calculation Sheet'!$S$5="","",'Final Calculation Sheet'!$S$5))&amp;""))=UPPER(TRIM($U$2&amp;"")))))</f>
        <v/>
      </c>
      <c r="V5">
        <f>IF($V$3=FALSE,TRUE,IF(OR(UPPER(TRIM($V$2))="(BLANK)",UPPER(TRIM($V$2))="BLANK",AND($V$2&lt;&gt;"",TRIM($V$2)="")),(IF('Final Calculation Sheet'!$T$5="","",'Final Calculation Sheet'!$T$5))="",IF(OR(UPPER(TRIM($V$2))="(NONBLANK)",UPPER(TRIM($V$2))="NONBLANK",TRIM($V$2)="&lt;&gt;"),(IF('Final Calculation Sheet'!$T$5="","",'Final Calculation Sheet'!$T$5))&lt;&gt;"",UPPER(TRIM((IF('Final Calculation Sheet'!$T$5="","",'Final Calculation Sheet'!$T$5))&amp;""))=UPPER(TRIM($V$2&amp;"")))))</f>
        <v/>
      </c>
      <c r="W5">
        <f>IF($W$3=FALSE,TRUE,IF(OR(UPPER(TRIM($W$2))="(BLANK)",UPPER(TRIM($W$2))="BLANK",AND($W$2&lt;&gt;"",TRIM($W$2)="")),(IF('Final Calculation Sheet'!$U$5="","",'Final Calculation Sheet'!$U$5))="",IF(OR(UPPER(TRIM($W$2))="(NONBLANK)",UPPER(TRIM($W$2))="NONBLANK",TRIM($W$2)="&lt;&gt;"),(IF('Final Calculation Sheet'!$U$5="","",'Final Calculation Sheet'!$U$5))&lt;&gt;"",UPPER(TRIM((IF('Final Calculation Sheet'!$U$5="","",'Final Calculation Sheet'!$U$5))&amp;""))=UPPER(TRIM($W$2&amp;"")))))</f>
        <v/>
      </c>
      <c r="X5">
        <f>IF($X$3=FALSE,TRUE,IF(OR(UPPER(TRIM($X$2))="(BLANK)",UPPER(TRIM($X$2))="BLANK",AND($X$2&lt;&gt;"",TRIM($X$2)="")),(IF('Final Calculation Sheet'!$V$5="","",'Final Calculation Sheet'!$V$5))="",IF(OR(UPPER(TRIM($X$2))="(NONBLANK)",UPPER(TRIM($X$2))="NONBLANK",TRIM($X$2)="&lt;&gt;"),(IF('Final Calculation Sheet'!$V$5="","",'Final Calculation Sheet'!$V$5))&lt;&gt;"",UPPER(TRIM((IF('Final Calculation Sheet'!$V$5="","",'Final Calculation Sheet'!$V$5))&amp;""))=UPPER(TRIM($X$2&amp;"")))))</f>
        <v/>
      </c>
      <c r="Y5">
        <f>IF($Y$3=FALSE,TRUE,IF(OR(UPPER(TRIM($Y$2))="(BLANK)",UPPER(TRIM($Y$2))="BLANK",AND($Y$2&lt;&gt;"",TRIM($Y$2)="")),(IF('Final Calculation Sheet'!$W$5="","",'Final Calculation Sheet'!$W$5))="",IF(OR(UPPER(TRIM($Y$2))="(NONBLANK)",UPPER(TRIM($Y$2))="NONBLANK",TRIM($Y$2)="&lt;&gt;"),(IF('Final Calculation Sheet'!$W$5="","",'Final Calculation Sheet'!$W$5))&lt;&gt;"",UPPER(TRIM((IF('Final Calculation Sheet'!$W$5="","",'Final Calculation Sheet'!$W$5))&amp;""))=UPPER(TRIM($Y$2&amp;"")))))</f>
        <v/>
      </c>
      <c r="Z5">
        <f>IF($Z$3=FALSE,TRUE,IF(OR(UPPER(TRIM($Z$2))="(BLANK)",UPPER(TRIM($Z$2))="BLANK",AND($Z$2&lt;&gt;"",TRIM($Z$2)="")),(IF('Final Calculation Sheet'!$X$5="","",'Final Calculation Sheet'!$X$5))="",IF(OR(UPPER(TRIM($Z$2))="(NONBLANK)",UPPER(TRIM($Z$2))="NONBLANK",TRIM($Z$2)="&lt;&gt;"),(IF('Final Calculation Sheet'!$X$5="","",'Final Calculation Sheet'!$X$5))&lt;&gt;"",UPPER(TRIM((IF('Final Calculation Sheet'!$X$5="","",'Final Calculation Sheet'!$X$5))&amp;""))=UPPER(TRIM($Z$2&amp;"")))))</f>
        <v/>
      </c>
      <c r="AA5">
        <f>IF($AA$3=FALSE,TRUE,IF(OR(UPPER(TRIM($AA$2))="(BLANK)",UPPER(TRIM($AA$2))="BLANK",AND($AA$2&lt;&gt;"",TRIM($AA$2)="")),(IF('Final Calculation Sheet'!$Y$5="","",'Final Calculation Sheet'!$Y$5))="",IF(OR(UPPER(TRIM($AA$2))="(NONBLANK)",UPPER(TRIM($AA$2))="NONBLANK",TRIM($AA$2)="&lt;&gt;"),(IF('Final Calculation Sheet'!$Y$5="","",'Final Calculation Sheet'!$Y$5))&lt;&gt;"",UPPER(TRIM((IF('Final Calculation Sheet'!$Y$5="","",'Final Calculation Sheet'!$Y$5))&amp;""))=UPPER(TRIM($AA$2&amp;"")))))</f>
        <v/>
      </c>
      <c r="AB5">
        <f>IF($AB$3=FALSE,TRUE,IF(OR(UPPER(TRIM($AB$2))="(BLANK)",UPPER(TRIM($AB$2))="BLANK",AND($AB$2&lt;&gt;"",TRIM($AB$2)="")),(IF('Final Calculation Sheet'!$Z$5="","",'Final Calculation Sheet'!$Z$5))="",IF(OR(UPPER(TRIM($AB$2))="(NONBLANK)",UPPER(TRIM($AB$2))="NONBLANK",TRIM($AB$2)="&lt;&gt;"),(IF('Final Calculation Sheet'!$Z$5="","",'Final Calculation Sheet'!$Z$5))&lt;&gt;"",UPPER(TRIM((IF('Final Calculation Sheet'!$Z$5="","",'Final Calculation Sheet'!$Z$5))&amp;""))=UPPER(TRIM($AB$2&amp;"")))))</f>
        <v/>
      </c>
      <c r="AC5">
        <f>IF($AC$3=FALSE,TRUE,IF(OR(UPPER(TRIM($AC$2))="(BLANK)",UPPER(TRIM($AC$2))="BLANK",AND($AC$2&lt;&gt;"",TRIM($AC$2)="")),(IF('Final Calculation Sheet'!$AA$5="","",'Final Calculation Sheet'!$AA$5))="",IF(OR(UPPER(TRIM($AC$2))="(NONBLANK)",UPPER(TRIM($AC$2))="NONBLANK",TRIM($AC$2)="&lt;&gt;"),(IF('Final Calculation Sheet'!$AA$5="","",'Final Calculation Sheet'!$AA$5))&lt;&gt;"",UPPER(TRIM((IF('Final Calculation Sheet'!$AA$5="","",'Final Calculation Sheet'!$AA$5))&amp;""))=UPPER(TRIM($AC$2&amp;"")))))</f>
        <v/>
      </c>
      <c r="AD5">
        <f>IF($AD$3=FALSE,TRUE,IF(OR(UPPER(TRIM($AD$2))="(BLANK)",UPPER(TRIM($AD$2))="BLANK",AND($AD$2&lt;&gt;"",TRIM($AD$2)="")),(IF('Final Calculation Sheet'!$AB$5="","",'Final Calculation Sheet'!$AB$5))="",IF(OR(UPPER(TRIM($AD$2))="(NONBLANK)",UPPER(TRIM($AD$2))="NONBLANK",TRIM($AD$2)="&lt;&gt;"),(IF('Final Calculation Sheet'!$AB$5="","",'Final Calculation Sheet'!$AB$5))&lt;&gt;"",UPPER(TRIM((IF('Final Calculation Sheet'!$AB$5="","",'Final Calculation Sheet'!$AB$5))&amp;""))=UPPER(TRIM($AD$2&amp;"")))))</f>
        <v/>
      </c>
      <c r="AE5">
        <f>IF($AE$3=FALSE,TRUE,IF(OR(UPPER(TRIM($AE$2))="(BLANK)",UPPER(TRIM($AE$2))="BLANK",AND($AE$2&lt;&gt;"",TRIM($AE$2)="")),(IF('Final Calculation Sheet'!$AC$5="","",'Final Calculation Sheet'!$AC$5))="",IF(OR(UPPER(TRIM($AE$2))="(NONBLANK)",UPPER(TRIM($AE$2))="NONBLANK",TRIM($AE$2)="&lt;&gt;"),(IF('Final Calculation Sheet'!$AC$5="","",'Final Calculation Sheet'!$AC$5))&lt;&gt;"",UPPER(TRIM((IF('Final Calculation Sheet'!$AC$5="","",'Final Calculation Sheet'!$AC$5))&amp;""))=UPPER(TRIM($AE$2&amp;"")))))</f>
        <v/>
      </c>
      <c r="AF5">
        <f>IF($AF$3=FALSE,TRUE,IF(OR(UPPER(TRIM($AF$2))="(BLANK)",UPPER(TRIM($AF$2))="BLANK",AND($AF$2&lt;&gt;"",TRIM($AF$2)="")),(IF('Final Calculation Sheet'!$AD$5="","",'Final Calculation Sheet'!$AD$5))="",IF(OR(UPPER(TRIM($AF$2))="(NONBLANK)",UPPER(TRIM($AF$2))="NONBLANK",TRIM($AF$2)="&lt;&gt;"),(IF('Final Calculation Sheet'!$AD$5="","",'Final Calculation Sheet'!$AD$5))&lt;&gt;"",UPPER(TRIM((IF('Final Calculation Sheet'!$AD$5="","",'Final Calculation Sheet'!$AD$5))&amp;""))=UPPER(TRIM($AF$2&amp;"")))))</f>
        <v/>
      </c>
      <c r="AG5">
        <f>IF($AG$3=FALSE,TRUE,IF(OR(UPPER(TRIM($AG$2))="(BLANK)",UPPER(TRIM($AG$2))="BLANK",AND($AG$2&lt;&gt;"",TRIM($AG$2)="")),(IF('Final Calculation Sheet'!$AE$5="","",'Final Calculation Sheet'!$AE$5))="",IF(OR(UPPER(TRIM($AG$2))="(NONBLANK)",UPPER(TRIM($AG$2))="NONBLANK",TRIM($AG$2)="&lt;&gt;"),(IF('Final Calculation Sheet'!$AE$5="","",'Final Calculation Sheet'!$AE$5))&lt;&gt;"",UPPER(TRIM((IF('Final Calculation Sheet'!$AE$5="","",'Final Calculation Sheet'!$AE$5))&amp;""))=UPPER(TRIM($AG$2&amp;"")))))</f>
        <v/>
      </c>
      <c r="AH5">
        <f>IF($AH$3=FALSE,TRUE,IF(OR(UPPER(TRIM($AH$2))="(BLANK)",UPPER(TRIM($AH$2))="BLANK",AND($AH$2&lt;&gt;"",TRIM($AH$2)="")),(IF('Final Calculation Sheet'!$AF$5="","",'Final Calculation Sheet'!$AF$5))="",IF(OR(UPPER(TRIM($AH$2))="(NONBLANK)",UPPER(TRIM($AH$2))="NONBLANK",TRIM($AH$2)="&lt;&gt;"),(IF('Final Calculation Sheet'!$AF$5="","",'Final Calculation Sheet'!$AF$5))&lt;&gt;"",UPPER(TRIM((IF('Final Calculation Sheet'!$AF$5="","",'Final Calculation Sheet'!$AF$5))&amp;""))=UPPER(TRIM($AH$2&amp;"")))))</f>
        <v/>
      </c>
      <c r="AI5">
        <f>IF($AI$3=FALSE,TRUE,IF(OR(UPPER(TRIM($AI$2))="(BLANK)",UPPER(TRIM($AI$2))="BLANK",AND($AI$2&lt;&gt;"",TRIM($AI$2)="")),(IF('Final Calculation Sheet'!$AG$5="","",'Final Calculation Sheet'!$AG$5))="",IF(OR(UPPER(TRIM($AI$2))="(NONBLANK)",UPPER(TRIM($AI$2))="NONBLANK",TRIM($AI$2)="&lt;&gt;"),(IF('Final Calculation Sheet'!$AG$5="","",'Final Calculation Sheet'!$AG$5))&lt;&gt;"",UPPER(TRIM((IF('Final Calculation Sheet'!$AG$5="","",'Final Calculation Sheet'!$AG$5))&amp;""))=UPPER(TRIM($AI$2&amp;"")))))</f>
        <v/>
      </c>
      <c r="AJ5">
        <f>IF($AJ$3=FALSE,TRUE,IF(OR(UPPER(TRIM($AJ$2))="(BLANK)",UPPER(TRIM($AJ$2))="BLANK",AND($AJ$2&lt;&gt;"",TRIM($AJ$2)="")),(IF('Final Calculation Sheet'!$AD$5="","",IF('Final Calculation Sheet'!$AD$5&lt;=5,"SETTLED","OUTSTANDING")))="",IF(OR(UPPER(TRIM($AJ$2))="(NONBLANK)",UPPER(TRIM($AJ$2))="NONBLANK",TRIM($AJ$2)="&lt;&gt;"),(IF('Final Calculation Sheet'!$AD$5="","",IF('Final Calculation Sheet'!$AD$5&lt;=5,"SETTLED","OUTSTANDING")))&lt;&gt;"",UPPER(TRIM((IF('Final Calculation Sheet'!$AD$5="","",IF('Final Calculation Sheet'!$AD$5&lt;=5,"SETTLED","OUTSTANDING")))&amp;""))=UPPER(TRIM($AJ$2&amp;"")))))</f>
        <v/>
      </c>
      <c r="AL5">
        <f>IF(AND($B$5,$D$5:$AJ$5),IF('Final Calculation Sheet'!$F$5="","",'Final Calculation Sheet'!$F$5),"")</f>
        <v/>
      </c>
      <c r="AM5">
        <f>IF(AL5="","",COUNTIFS(AL$4:AL$40,"&lt;"&amp;AL5,AL$4:AL$40,"&lt;&gt;"&amp;"")+COUNTIF(AL$4:AL5,AL5))</f>
        <v/>
      </c>
      <c r="AN5">
        <f>IF(ROW()-3&gt;COUNTIF(AL$4:AL$40,"&lt;&gt;"&amp;""),"",INDEX(AL$4:AL$40,MATCH(ROW()-3,AM$4:AM$40,0)))</f>
        <v/>
      </c>
      <c r="AO5">
        <f>AO4+IF(AND(AN5&lt;&gt;"",COUNTIF(AN$4:AN5,AN5)=1),1,0)</f>
        <v/>
      </c>
      <c r="AP5">
        <f>IF(ROW()-3&gt;MAX(AO$4:AO$40),"",INDEX(AN$4:AN$40,MATCH(ROW()-3,AO$4:AO$40,0)))</f>
        <v/>
      </c>
      <c r="AQ5">
        <f>IF(AND($B$5:$C$5,$E$5:$AJ$5),IF('Final Calculation Sheet'!$G$5="","",'Final Calculation Sheet'!$G$5),"")</f>
        <v/>
      </c>
      <c r="AR5">
        <f>IF(AQ5="","",COUNTIFS(AQ$4:AQ$40,"&lt;"&amp;AQ5,AQ$4:AQ$40,"&lt;&gt;"&amp;"")+COUNTIF(AQ$4:AQ5,AQ5))</f>
        <v/>
      </c>
      <c r="AS5">
        <f>IF(ROW()-3&gt;COUNTIF(AQ$4:AQ$40,"&lt;&gt;"&amp;""),"",INDEX(AQ$4:AQ$40,MATCH(ROW()-3,AR$4:AR$40,0)))</f>
        <v/>
      </c>
      <c r="AT5">
        <f>AT4+IF(AND(AS5&lt;&gt;"",COUNTIF(AS$4:AS5,AS5)=1),1,0)</f>
        <v/>
      </c>
      <c r="AU5">
        <f>IF(ROW()-3&gt;MAX(AT$4:AT$40),"",INDEX(AS$4:AS$40,MATCH(ROW()-3,AT$4:AT$40,0)))</f>
        <v/>
      </c>
      <c r="AV5">
        <f>IF(AND($B$5:$D$5,$F$5:$AJ$5),IF('Final Calculation Sheet'!$B$5="","",'Final Calculation Sheet'!$B$5),"")</f>
        <v/>
      </c>
      <c r="AW5">
        <f>IF(AV5="","",COUNTIFS(AV$4:AV$40,"&lt;"&amp;AV5,AV$4:AV$40,"&lt;&gt;"&amp;"")+COUNTIF(AV$4:AV5,AV5))</f>
        <v/>
      </c>
      <c r="AX5">
        <f>IF(ROW()-3&gt;COUNTIF(AV$4:AV$40,"&lt;&gt;"&amp;""),"",INDEX(AV$4:AV$40,MATCH(ROW()-3,AW$4:AW$40,0)))</f>
        <v/>
      </c>
      <c r="AY5">
        <f>AY4+IF(AND(AX5&lt;&gt;"",COUNTIF(AX$4:AX5,AX5)=1),1,0)</f>
        <v/>
      </c>
      <c r="AZ5">
        <f>IF(ROW()-3&gt;MAX(AY$4:AY$40),"",INDEX(AX$4:AX$40,MATCH(ROW()-3,AY$4:AY$40,0)))</f>
        <v/>
      </c>
      <c r="BA5">
        <f>IF(AND($B$5:$E$5,$G$5:$AJ$5),IF('Final Calculation Sheet'!$D$5="","",'Final Calculation Sheet'!$D$5),"")</f>
        <v/>
      </c>
      <c r="BB5">
        <f>IF(BA5="","",COUNTIFS(BA$4:BA$40,"&lt;"&amp;BA5,BA$4:BA$40,"&lt;&gt;"&amp;"")+COUNTIF(BA$4:BA5,BA5))</f>
        <v/>
      </c>
      <c r="BC5">
        <f>IF(ROW()-3&gt;COUNTIF(BA$4:BA$40,"&lt;&gt;"&amp;""),"",INDEX(BA$4:BA$40,MATCH(ROW()-3,BB$4:BB$40,0)))</f>
        <v/>
      </c>
      <c r="BD5">
        <f>BD4+IF(AND(BC5&lt;&gt;"",COUNTIF(BC$4:BC5,BC5)=1),1,0)</f>
        <v/>
      </c>
      <c r="BE5">
        <f>IF(ROW()-3&gt;MAX(BD$4:BD$40),"",INDEX(BC$4:BC$40,MATCH(ROW()-3,BD$4:BD$40,0)))</f>
        <v/>
      </c>
      <c r="BF5">
        <f>IF(AND($B$5:$F$5,$H$5:$AJ$5),IF('Final Calculation Sheet'!$A$5="","",'Final Calculation Sheet'!$A$5),"")</f>
        <v/>
      </c>
      <c r="BG5">
        <f>IF(BF5="","",COUNTIFS(BF$4:BF$40,"&lt;"&amp;BF5,BF$4:BF$40,"&lt;&gt;"&amp;"")+COUNTIF(BF$4:BF5,BF5))</f>
        <v/>
      </c>
      <c r="BH5">
        <f>IF(ROW()-3&gt;COUNTIF(BF$4:BF$40,"&lt;&gt;"&amp;""),"",INDEX(BF$4:BF$40,MATCH(ROW()-3,BG$4:BG$40,0)))</f>
        <v/>
      </c>
      <c r="BI5">
        <f>BI4+IF(AND(BH5&lt;&gt;"",COUNTIF(BH$4:BH5,BH5)=1),1,0)</f>
        <v/>
      </c>
      <c r="BJ5">
        <f>IF(ROW()-3&gt;MAX(BI$4:BI$40),"",INDEX(BH$4:BH$40,MATCH(ROW()-3,BI$4:BI$40,0)))</f>
        <v/>
      </c>
      <c r="BK5">
        <f>IF(AND($B$5:$G$5,$I$5:$AJ$5),IF('Final Calculation Sheet'!$E$5="","",'Final Calculation Sheet'!$E$5),"")</f>
        <v/>
      </c>
      <c r="BL5">
        <f>IF(BK5="","",COUNTIFS(BK$4:BK$40,"&lt;"&amp;BK5,BK$4:BK$40,"&lt;&gt;"&amp;"")+COUNTIF(BK$4:BK5,BK5))</f>
        <v/>
      </c>
      <c r="BM5">
        <f>IF(ROW()-3&gt;COUNTIF(BK$4:BK$40,"&lt;&gt;"&amp;""),"",INDEX(BK$4:BK$40,MATCH(ROW()-3,BL$4:BL$40,0)))</f>
        <v/>
      </c>
      <c r="BN5">
        <f>BN4+IF(AND(BM5&lt;&gt;"",COUNTIF(BM$4:BM5,BM5)=1),1,0)</f>
        <v/>
      </c>
      <c r="BO5">
        <f>IF(ROW()-3&gt;MAX(BN$4:BN$40),"",INDEX(BM$4:BM$40,MATCH(ROW()-3,BN$4:BN$40,0)))</f>
        <v/>
      </c>
      <c r="BP5" s="55">
        <f>IF(AND($B$5:$H$5,$J$5:$AJ$5),IF('Final Calculation Sheet'!$C$5="","",'Final Calculation Sheet'!$C$5),"")</f>
        <v/>
      </c>
      <c r="BQ5">
        <f>IF(BP5="","",COUNTIFS(BP$4:BP$40,"&lt;"&amp;BP5,BP$4:BP$40,"&lt;&gt;"&amp;"")+COUNTIF(BP$4:BP5,BP5))</f>
        <v/>
      </c>
      <c r="BR5" s="55">
        <f>IF(ROW()-3&gt;COUNTIF(BP$4:BP$40,"&lt;&gt;"&amp;""),"",INDEX(BP$4:BP$40,MATCH(ROW()-3,BQ$4:BQ$40,0)))</f>
        <v/>
      </c>
      <c r="BS5">
        <f>BS4+IF(AND(BR5&lt;&gt;"",COUNTIF(BR$4:BR5,BR5)=1),1,0)</f>
        <v/>
      </c>
      <c r="BT5" s="55">
        <f>IF(ROW()-3&gt;MAX(BS$4:BS$40),"",INDEX(BR$4:BR$40,MATCH(ROW()-3,BS$4:BS$40,0)))</f>
        <v/>
      </c>
      <c r="BU5" s="55">
        <f>IF(AND($B$5:$I$5,$K$5:$AJ$5),IF('Final Calculation Sheet'!$H$5="","",'Final Calculation Sheet'!$H$5),"")</f>
        <v/>
      </c>
      <c r="BV5">
        <f>IF(BU5="","",COUNTIFS(BU$4:BU$40,"&lt;"&amp;BU5,BU$4:BU$40,"&lt;&gt;"&amp;"")+COUNTIF(BU$4:BU5,BU5))</f>
        <v/>
      </c>
      <c r="BW5" s="55">
        <f>IF(ROW()-3&gt;COUNTIF(BU$4:BU$40,"&lt;&gt;"&amp;""),"",INDEX(BU$4:BU$40,MATCH(ROW()-3,BV$4:BV$40,0)))</f>
        <v/>
      </c>
      <c r="BX5">
        <f>BX4+IF(AND(BW5&lt;&gt;"",COUNTIF(BW$4:BW5,BW5)=1),1,0)</f>
        <v/>
      </c>
      <c r="BY5" s="55">
        <f>IF(ROW()-3&gt;MAX(BX$4:BX$40),"",INDEX(BW$4:BW$40,MATCH(ROW()-3,BX$4:BX$40,0)))</f>
        <v/>
      </c>
      <c r="BZ5" s="55">
        <f>IF(AND($B$5:$J$5,$L$5:$AJ$5),IF('Final Calculation Sheet'!$I$5="","",'Final Calculation Sheet'!$I$5),"")</f>
        <v/>
      </c>
      <c r="CA5">
        <f>IF(BZ5="","",COUNTIFS(BZ$4:BZ$40,"&lt;"&amp;BZ5,BZ$4:BZ$40,"&lt;&gt;"&amp;"")+COUNTIF(BZ$4:BZ5,BZ5))</f>
        <v/>
      </c>
      <c r="CB5" s="55">
        <f>IF(ROW()-3&gt;COUNTIF(BZ$4:BZ$40,"&lt;&gt;"&amp;""),"",INDEX(BZ$4:BZ$40,MATCH(ROW()-3,CA$4:CA$40,0)))</f>
        <v/>
      </c>
      <c r="CC5">
        <f>CC4+IF(AND(CB5&lt;&gt;"",COUNTIF(CB$4:CB5,CB5)=1),1,0)</f>
        <v/>
      </c>
      <c r="CD5" s="55">
        <f>IF(ROW()-3&gt;MAX(CC$4:CC$40),"",INDEX(CB$4:CB$40,MATCH(ROW()-3,CC$4:CC$40,0)))</f>
        <v/>
      </c>
      <c r="CE5" s="55">
        <f>IF(AND($B$5:$K$5,$M$5:$AJ$5),IF('Final Calculation Sheet'!$J$5="","",'Final Calculation Sheet'!$J$5),"")</f>
        <v/>
      </c>
      <c r="CF5">
        <f>IF(CE5="","",COUNTIFS(CE$4:CE$40,"&lt;"&amp;CE5,CE$4:CE$40,"&lt;&gt;"&amp;"")+COUNTIF(CE$4:CE5,CE5))</f>
        <v/>
      </c>
      <c r="CG5" s="55">
        <f>IF(ROW()-3&gt;COUNTIF(CE$4:CE$40,"&lt;&gt;"&amp;""),"",INDEX(CE$4:CE$40,MATCH(ROW()-3,CF$4:CF$40,0)))</f>
        <v/>
      </c>
      <c r="CH5">
        <f>CH4+IF(AND(CG5&lt;&gt;"",COUNTIF(CG$4:CG5,CG5)=1),1,0)</f>
        <v/>
      </c>
      <c r="CI5" s="55">
        <f>IF(ROW()-3&gt;MAX(CH$4:CH$40),"",INDEX(CG$4:CG$40,MATCH(ROW()-3,CH$4:CH$40,0)))</f>
        <v/>
      </c>
      <c r="CJ5" s="55">
        <f>IF(AND($B$5:$L$5,$N$5:$AJ$5),IF('Final Calculation Sheet'!$K$5="","",'Final Calculation Sheet'!$K$5),"")</f>
        <v/>
      </c>
      <c r="CK5">
        <f>IF(CJ5="","",COUNTIFS(CJ$4:CJ$40,"&lt;"&amp;CJ5,CJ$4:CJ$40,"&lt;&gt;"&amp;"")+COUNTIF(CJ$4:CJ5,CJ5))</f>
        <v/>
      </c>
      <c r="CL5" s="55">
        <f>IF(ROW()-3&gt;COUNTIF(CJ$4:CJ$40,"&lt;&gt;"&amp;""),"",INDEX(CJ$4:CJ$40,MATCH(ROW()-3,CK$4:CK$40,0)))</f>
        <v/>
      </c>
      <c r="CM5">
        <f>CM4+IF(AND(CL5&lt;&gt;"",COUNTIF(CL$4:CL5,CL5)=1),1,0)</f>
        <v/>
      </c>
      <c r="CN5" s="55">
        <f>IF(ROW()-3&gt;MAX(CM$4:CM$40),"",INDEX(CL$4:CL$40,MATCH(ROW()-3,CM$4:CM$40,0)))</f>
        <v/>
      </c>
      <c r="CO5" s="55">
        <f>IF(AND($B$5:$M$5,$O$5:$AJ$5),IF('Final Calculation Sheet'!$L$5="","",'Final Calculation Sheet'!$L$5),"")</f>
        <v/>
      </c>
      <c r="CP5">
        <f>IF(CO5="","",COUNTIFS(CO$4:CO$40,"&lt;"&amp;CO5,CO$4:CO$40,"&lt;&gt;"&amp;"")+COUNTIF(CO$4:CO5,CO5))</f>
        <v/>
      </c>
      <c r="CQ5" s="55">
        <f>IF(ROW()-3&gt;COUNTIF(CO$4:CO$40,"&lt;&gt;"&amp;""),"",INDEX(CO$4:CO$40,MATCH(ROW()-3,CP$4:CP$40,0)))</f>
        <v/>
      </c>
      <c r="CR5">
        <f>CR4+IF(AND(CQ5&lt;&gt;"",COUNTIF(CQ$4:CQ5,CQ5)=1),1,0)</f>
        <v/>
      </c>
      <c r="CS5" s="55">
        <f>IF(ROW()-3&gt;MAX(CR$4:CR$40),"",INDEX(CQ$4:CQ$40,MATCH(ROW()-3,CR$4:CR$40,0)))</f>
        <v/>
      </c>
      <c r="CT5" s="55">
        <f>IF(AND($B$5:$N$5,$P$5:$AJ$5),IF('Final Calculation Sheet'!$M$5="","",'Final Calculation Sheet'!$M$5),"")</f>
        <v/>
      </c>
      <c r="CU5">
        <f>IF(CT5="","",COUNTIFS(CT$4:CT$40,"&lt;"&amp;CT5,CT$4:CT$40,"&lt;&gt;"&amp;"")+COUNTIF(CT$4:CT5,CT5))</f>
        <v/>
      </c>
      <c r="CV5" s="55">
        <f>IF(ROW()-3&gt;COUNTIF(CT$4:CT$40,"&lt;&gt;"&amp;""),"",INDEX(CT$4:CT$40,MATCH(ROW()-3,CU$4:CU$40,0)))</f>
        <v/>
      </c>
      <c r="CW5">
        <f>CW4+IF(AND(CV5&lt;&gt;"",COUNTIF(CV$4:CV5,CV5)=1),1,0)</f>
        <v/>
      </c>
      <c r="CX5" s="55">
        <f>IF(ROW()-3&gt;MAX(CW$4:CW$40),"",INDEX(CV$4:CV$40,MATCH(ROW()-3,CW$4:CW$40,0)))</f>
        <v/>
      </c>
      <c r="CY5" s="138">
        <f>IF(AND($B$5:$O$5,$Q$5:$AJ$5),IF('Final Calculation Sheet'!$N$5="","",'Final Calculation Sheet'!$N$5),"")</f>
        <v/>
      </c>
      <c r="CZ5">
        <f>IF(CY5="","",COUNTIFS(CY$4:CY$40,"&lt;"&amp;CY5,CY$4:CY$40,"&lt;&gt;"&amp;"")+COUNTIF(CY$4:CY5,CY5))</f>
        <v/>
      </c>
      <c r="DA5" s="138">
        <f>IF(ROW()-3&gt;COUNTIF(CY$4:CY$40,"&lt;&gt;"&amp;""),"",INDEX(CY$4:CY$40,MATCH(ROW()-3,CZ$4:CZ$40,0)))</f>
        <v/>
      </c>
      <c r="DB5">
        <f>DB4+IF(AND(DA5&lt;&gt;"",COUNTIF(DA$4:DA5,DA5)=1),1,0)</f>
        <v/>
      </c>
      <c r="DC5" s="138">
        <f>IF(ROW()-3&gt;MAX(DB$4:DB$40),"",INDEX(DA$4:DA$40,MATCH(ROW()-3,DB$4:DB$40,0)))</f>
        <v/>
      </c>
      <c r="DD5" s="55">
        <f>IF(AND($B$5:$P$5,$R$5:$AJ$5),IF('Final Calculation Sheet'!$O$5="","",'Final Calculation Sheet'!$O$5),"")</f>
        <v/>
      </c>
      <c r="DE5">
        <f>IF(DD5="","",COUNTIFS(DD$4:DD$40,"&lt;"&amp;DD5,DD$4:DD$40,"&lt;&gt;"&amp;"")+COUNTIF(DD$4:DD5,DD5))</f>
        <v/>
      </c>
      <c r="DF5" s="55">
        <f>IF(ROW()-3&gt;COUNTIF(DD$4:DD$40,"&lt;&gt;"&amp;""),"",INDEX(DD$4:DD$40,MATCH(ROW()-3,DE$4:DE$40,0)))</f>
        <v/>
      </c>
      <c r="DG5">
        <f>DG4+IF(AND(DF5&lt;&gt;"",COUNTIF(DF$4:DF5,DF5)=1),1,0)</f>
        <v/>
      </c>
      <c r="DH5" s="55">
        <f>IF(ROW()-3&gt;MAX(DG$4:DG$40),"",INDEX(DF$4:DF$40,MATCH(ROW()-3,DG$4:DG$40,0)))</f>
        <v/>
      </c>
      <c r="DI5" s="55">
        <f>IF(AND($B$5:$Q$5,$S$5:$AJ$5),IF('Final Calculation Sheet'!$P$5="","",'Final Calculation Sheet'!$P$5),"")</f>
        <v/>
      </c>
      <c r="DJ5">
        <f>IF(DI5="","",COUNTIFS(DI$4:DI$40,"&lt;"&amp;DI5,DI$4:DI$40,"&lt;&gt;"&amp;"")+COUNTIF(DI$4:DI5,DI5))</f>
        <v/>
      </c>
      <c r="DK5" s="55">
        <f>IF(ROW()-3&gt;COUNTIF(DI$4:DI$40,"&lt;&gt;"&amp;""),"",INDEX(DI$4:DI$40,MATCH(ROW()-3,DJ$4:DJ$40,0)))</f>
        <v/>
      </c>
      <c r="DL5">
        <f>DL4+IF(AND(DK5&lt;&gt;"",COUNTIF(DK$4:DK5,DK5)=1),1,0)</f>
        <v/>
      </c>
      <c r="DM5" s="55">
        <f>IF(ROW()-3&gt;MAX(DL$4:DL$40),"",INDEX(DK$4:DK$40,MATCH(ROW()-3,DL$4:DL$40,0)))</f>
        <v/>
      </c>
      <c r="DN5" s="139">
        <f>IF(AND($B$5:$R$5,$T$5:$AJ$5),IF('Final Calculation Sheet'!$Q$5="","",'Final Calculation Sheet'!$Q$5),"")</f>
        <v/>
      </c>
      <c r="DO5">
        <f>IF(DN5="","",COUNTIFS(DN$4:DN$40,"&lt;"&amp;DN5,DN$4:DN$40,"&lt;&gt;"&amp;"")+COUNTIF(DN$4:DN5,DN5))</f>
        <v/>
      </c>
      <c r="DP5" s="139">
        <f>IF(ROW()-3&gt;COUNTIF(DN$4:DN$40,"&lt;&gt;"&amp;""),"",INDEX(DN$4:DN$40,MATCH(ROW()-3,DO$4:DO$40,0)))</f>
        <v/>
      </c>
      <c r="DQ5">
        <f>DQ4+IF(AND(DP5&lt;&gt;"",COUNTIF(DP$4:DP5,DP5)=1),1,0)</f>
        <v/>
      </c>
      <c r="DR5" s="139">
        <f>IF(ROW()-3&gt;MAX(DQ$4:DQ$40),"",INDEX(DP$4:DP$40,MATCH(ROW()-3,DQ$4:DQ$40,0)))</f>
        <v/>
      </c>
      <c r="DS5" s="55">
        <f>IF(AND($B$5:$S$5,$U$5:$AJ$5),IF('Final Calculation Sheet'!$R$5="","",'Final Calculation Sheet'!$R$5),"")</f>
        <v/>
      </c>
      <c r="DT5">
        <f>IF(DS5="","",COUNTIFS(DS$4:DS$40,"&lt;"&amp;DS5,DS$4:DS$40,"&lt;&gt;"&amp;"")+COUNTIF(DS$4:DS5,DS5))</f>
        <v/>
      </c>
      <c r="DU5" s="55">
        <f>IF(ROW()-3&gt;COUNTIF(DS$4:DS$40,"&lt;&gt;"&amp;""),"",INDEX(DS$4:DS$40,MATCH(ROW()-3,DT$4:DT$40,0)))</f>
        <v/>
      </c>
      <c r="DV5">
        <f>DV4+IF(AND(DU5&lt;&gt;"",COUNTIF(DU$4:DU5,DU5)=1),1,0)</f>
        <v/>
      </c>
      <c r="DW5" s="55">
        <f>IF(ROW()-3&gt;MAX(DV$4:DV$40),"",INDEX(DU$4:DU$40,MATCH(ROW()-3,DV$4:DV$40,0)))</f>
        <v/>
      </c>
      <c r="DX5" s="55">
        <f>IF(AND($B$5:$T$5,$V$5:$AJ$5),IF('Final Calculation Sheet'!$S$5="","",'Final Calculation Sheet'!$S$5),"")</f>
        <v/>
      </c>
      <c r="DY5">
        <f>IF(DX5="","",COUNTIFS(DX$4:DX$40,"&lt;"&amp;DX5,DX$4:DX$40,"&lt;&gt;"&amp;"")+COUNTIF(DX$4:DX5,DX5))</f>
        <v/>
      </c>
      <c r="DZ5" s="55">
        <f>IF(ROW()-3&gt;COUNTIF(DX$4:DX$40,"&lt;&gt;"&amp;""),"",INDEX(DX$4:DX$40,MATCH(ROW()-3,DY$4:DY$40,0)))</f>
        <v/>
      </c>
      <c r="EA5">
        <f>EA4+IF(AND(DZ5&lt;&gt;"",COUNTIF(DZ$4:DZ5,DZ5)=1),1,0)</f>
        <v/>
      </c>
      <c r="EB5" s="55">
        <f>IF(ROW()-3&gt;MAX(EA$4:EA$40),"",INDEX(DZ$4:DZ$40,MATCH(ROW()-3,EA$4:EA$40,0)))</f>
        <v/>
      </c>
      <c r="EC5" s="55">
        <f>IF(AND($B$5:$U$5,$W$5:$AJ$5),IF('Final Calculation Sheet'!$T$5="","",'Final Calculation Sheet'!$T$5),"")</f>
        <v/>
      </c>
      <c r="ED5">
        <f>IF(EC5="","",COUNTIFS(EC$4:EC$40,"&lt;"&amp;EC5,EC$4:EC$40,"&lt;&gt;"&amp;"")+COUNTIF(EC$4:EC5,EC5))</f>
        <v/>
      </c>
      <c r="EE5" s="55">
        <f>IF(ROW()-3&gt;COUNTIF(EC$4:EC$40,"&lt;&gt;"&amp;""),"",INDEX(EC$4:EC$40,MATCH(ROW()-3,ED$4:ED$40,0)))</f>
        <v/>
      </c>
      <c r="EF5">
        <f>EF4+IF(AND(EE5&lt;&gt;"",COUNTIF(EE$4:EE5,EE5)=1),1,0)</f>
        <v/>
      </c>
      <c r="EG5" s="55">
        <f>IF(ROW()-3&gt;MAX(EF$4:EF$40),"",INDEX(EE$4:EE$40,MATCH(ROW()-3,EF$4:EF$40,0)))</f>
        <v/>
      </c>
      <c r="EH5" s="140">
        <f>IF(AND($B$5:$V$5,$X$5:$AJ$5),IF('Final Calculation Sheet'!$U$5="","",'Final Calculation Sheet'!$U$5),"")</f>
        <v/>
      </c>
      <c r="EI5">
        <f>IF(EH5="","",COUNTIFS(EH$4:EH$40,"&lt;"&amp;EH5,EH$4:EH$40,"&lt;&gt;"&amp;"")+COUNTIF(EH$4:EH5,EH5))</f>
        <v/>
      </c>
      <c r="EJ5" s="140">
        <f>IF(ROW()-3&gt;COUNTIF(EH$4:EH$40,"&lt;&gt;"&amp;""),"",INDEX(EH$4:EH$40,MATCH(ROW()-3,EI$4:EI$40,0)))</f>
        <v/>
      </c>
      <c r="EK5">
        <f>EK4+IF(AND(EJ5&lt;&gt;"",COUNTIF(EJ$4:EJ5,EJ5)=1),1,0)</f>
        <v/>
      </c>
      <c r="EL5" s="140">
        <f>IF(ROW()-3&gt;MAX(EK$4:EK$40),"",INDEX(EJ$4:EJ$40,MATCH(ROW()-3,EK$4:EK$40,0)))</f>
        <v/>
      </c>
      <c r="EM5">
        <f>IF(AND($B$5:$W$5,$Y$5:$AJ$5),IF('Final Calculation Sheet'!$V$5="","",'Final Calculation Sheet'!$V$5),"")</f>
        <v/>
      </c>
      <c r="EN5">
        <f>IF(EM5="","",COUNTIFS(EM$4:EM$40,"&lt;"&amp;EM5,EM$4:EM$40,"&lt;&gt;"&amp;"")+COUNTIF(EM$4:EM5,EM5))</f>
        <v/>
      </c>
      <c r="EO5">
        <f>IF(ROW()-3&gt;COUNTIF(EM$4:EM$40,"&lt;&gt;"&amp;""),"",INDEX(EM$4:EM$40,MATCH(ROW()-3,EN$4:EN$40,0)))</f>
        <v/>
      </c>
      <c r="EP5">
        <f>EP4+IF(AND(EO5&lt;&gt;"",COUNTIF(EO$4:EO5,EO5)=1),1,0)</f>
        <v/>
      </c>
      <c r="EQ5">
        <f>IF(ROW()-3&gt;MAX(EP$4:EP$40),"",INDEX(EO$4:EO$40,MATCH(ROW()-3,EP$4:EP$40,0)))</f>
        <v/>
      </c>
      <c r="ER5" s="55">
        <f>IF(AND($B$5:$X$5,$Z$5:$AJ$5),IF('Final Calculation Sheet'!$W$5="","",'Final Calculation Sheet'!$W$5),"")</f>
        <v/>
      </c>
      <c r="ES5">
        <f>IF(ER5="","",COUNTIFS(ER$4:ER$40,"&lt;"&amp;ER5,ER$4:ER$40,"&lt;&gt;"&amp;"")+COUNTIF(ER$4:ER5,ER5))</f>
        <v/>
      </c>
      <c r="ET5" s="55">
        <f>IF(ROW()-3&gt;COUNTIF(ER$4:ER$40,"&lt;&gt;"&amp;""),"",INDEX(ER$4:ER$40,MATCH(ROW()-3,ES$4:ES$40,0)))</f>
        <v/>
      </c>
      <c r="EU5">
        <f>EU4+IF(AND(ET5&lt;&gt;"",COUNTIF(ET$4:ET5,ET5)=1),1,0)</f>
        <v/>
      </c>
      <c r="EV5" s="55">
        <f>IF(ROW()-3&gt;MAX(EU$4:EU$40),"",INDEX(ET$4:ET$40,MATCH(ROW()-3,EU$4:EU$40,0)))</f>
        <v/>
      </c>
      <c r="EW5" s="55">
        <f>IF(AND($B$5:$Y$5,$AA$5:$AJ$5),IF('Final Calculation Sheet'!$X$5="","",'Final Calculation Sheet'!$X$5),"")</f>
        <v/>
      </c>
      <c r="EX5">
        <f>IF(EW5="","",COUNTIFS(EW$4:EW$40,"&lt;"&amp;EW5,EW$4:EW$40,"&lt;&gt;"&amp;"")+COUNTIF(EW$4:EW5,EW5))</f>
        <v/>
      </c>
      <c r="EY5" s="55">
        <f>IF(ROW()-3&gt;COUNTIF(EW$4:EW$40,"&lt;&gt;"&amp;""),"",INDEX(EW$4:EW$40,MATCH(ROW()-3,EX$4:EX$40,0)))</f>
        <v/>
      </c>
      <c r="EZ5">
        <f>EZ4+IF(AND(EY5&lt;&gt;"",COUNTIF(EY$4:EY5,EY5)=1),1,0)</f>
        <v/>
      </c>
      <c r="FA5">
        <f>IF(ROW()-3&gt;MAX(EZ$4:EZ$40),"",INDEX(EY$4:EY$40,MATCH(ROW()-3,EZ$4:EZ$40,0)))</f>
        <v/>
      </c>
      <c r="FB5">
        <f>IF(AND($B$5:$Z$5,$AB$5:$AJ$5),IF('Final Calculation Sheet'!$Y$5="","",'Final Calculation Sheet'!$Y$5),"")</f>
        <v/>
      </c>
      <c r="FC5">
        <f>IF(FB5="","",COUNTIFS(FB$4:FB$40,"&lt;"&amp;FB5,FB$4:FB$40,"&lt;&gt;"&amp;"")+COUNTIF(FB$4:FB5,FB5))</f>
        <v/>
      </c>
      <c r="FD5">
        <f>IF(ROW()-3&gt;COUNTIF(FB$4:FB$40,"&lt;&gt;"&amp;""),"",INDEX(FB$4:FB$40,MATCH(ROW()-3,FC$4:FC$40,0)))</f>
        <v/>
      </c>
      <c r="FE5">
        <f>FE4+IF(AND(FD5&lt;&gt;"",COUNTIF(FD$4:FD5,FD5)=1),1,0)</f>
        <v/>
      </c>
      <c r="FF5">
        <f>IF(ROW()-3&gt;MAX(FE$4:FE$40),"",INDEX(FD$4:FD$40,MATCH(ROW()-3,FE$4:FE$40,0)))</f>
        <v/>
      </c>
      <c r="FG5" s="55">
        <f>IF(AND($B$5:$AA$5,$AC$5:$AJ$5),IF('Final Calculation Sheet'!$Z$5="","",'Final Calculation Sheet'!$Z$5),"")</f>
        <v/>
      </c>
      <c r="FH5">
        <f>IF(FG5="","",COUNTIFS(FG$4:FG$40,"&lt;"&amp;FG5,FG$4:FG$40,"&lt;&gt;"&amp;"")+COUNTIF(FG$4:FG5,FG5))</f>
        <v/>
      </c>
      <c r="FI5" s="55">
        <f>IF(ROW()-3&gt;COUNTIF(FG$4:FG$40,"&lt;&gt;"&amp;""),"",INDEX(FG$4:FG$40,MATCH(ROW()-3,FH$4:FH$40,0)))</f>
        <v/>
      </c>
      <c r="FJ5">
        <f>FJ4+IF(AND(FI5&lt;&gt;"",COUNTIF(FI$4:FI5,FI5)=1),1,0)</f>
        <v/>
      </c>
      <c r="FK5" s="55">
        <f>IF(ROW()-3&gt;MAX(FJ$4:FJ$40),"",INDEX(FI$4:FI$40,MATCH(ROW()-3,FJ$4:FJ$40,0)))</f>
        <v/>
      </c>
      <c r="FL5">
        <f>IF(AND($B$5:$AB$5,$AD$5:$AJ$5),IF('Final Calculation Sheet'!$AA$5="","",'Final Calculation Sheet'!$AA$5),"")</f>
        <v/>
      </c>
      <c r="FM5">
        <f>IF(FL5="","",COUNTIFS(FL$4:FL$40,"&lt;"&amp;FL5,FL$4:FL$40,"&lt;&gt;"&amp;"")+COUNTIF(FL$4:FL5,FL5))</f>
        <v/>
      </c>
      <c r="FN5">
        <f>IF(ROW()-3&gt;COUNTIF(FL$4:FL$40,"&lt;&gt;"&amp;""),"",INDEX(FL$4:FL$40,MATCH(ROW()-3,FM$4:FM$40,0)))</f>
        <v/>
      </c>
      <c r="FO5">
        <f>FO4+IF(AND(FN5&lt;&gt;"",COUNTIF(FN$4:FN5,FN5)=1),1,0)</f>
        <v/>
      </c>
      <c r="FP5">
        <f>IF(ROW()-3&gt;MAX(FO$4:FO$40),"",INDEX(FN$4:FN$40,MATCH(ROW()-3,FO$4:FO$40,0)))</f>
        <v/>
      </c>
      <c r="FQ5">
        <f>IF(AND($B$5:$AC$5,$AE$5:$AJ$5),IF('Final Calculation Sheet'!$AB$5="","",'Final Calculation Sheet'!$AB$5),"")</f>
        <v/>
      </c>
      <c r="FR5">
        <f>IF(FQ5="","",COUNTIFS(FQ$4:FQ$40,"&lt;"&amp;FQ5,FQ$4:FQ$40,"&lt;&gt;"&amp;"")+COUNTIF(FQ$4:FQ5,FQ5))</f>
        <v/>
      </c>
      <c r="FS5">
        <f>IF(ROW()-3&gt;COUNTIF(FQ$4:FQ$40,"&lt;&gt;"&amp;""),"",INDEX(FQ$4:FQ$40,MATCH(ROW()-3,FR$4:FR$40,0)))</f>
        <v/>
      </c>
      <c r="FT5">
        <f>FT4+IF(AND(FS5&lt;&gt;"",COUNTIF(FS$4:FS5,FS5)=1),1,0)</f>
        <v/>
      </c>
      <c r="FU5">
        <f>IF(ROW()-3&gt;MAX(FT$4:FT$40),"",INDEX(FS$4:FS$40,MATCH(ROW()-3,FT$4:FT$40,0)))</f>
        <v/>
      </c>
      <c r="FV5" s="55">
        <f>IF(AND($B$5:$AD$5,$AF$5:$AJ$5),IF('Final Calculation Sheet'!$AC$5="","",'Final Calculation Sheet'!$AC$5),"")</f>
        <v/>
      </c>
      <c r="FW5">
        <f>IF(FV5="","",COUNTIFS(FV$4:FV$40,"&lt;"&amp;FV5,FV$4:FV$40,"&lt;&gt;"&amp;"")+COUNTIF(FV$4:FV5,FV5))</f>
        <v/>
      </c>
      <c r="FX5" s="55">
        <f>IF(ROW()-3&gt;COUNTIF(FV$4:FV$40,"&lt;&gt;"&amp;""),"",INDEX(FV$4:FV$40,MATCH(ROW()-3,FW$4:FW$40,0)))</f>
        <v/>
      </c>
      <c r="FY5">
        <f>FY4+IF(AND(FX5&lt;&gt;"",COUNTIF(FX$4:FX5,FX5)=1),1,0)</f>
        <v/>
      </c>
      <c r="FZ5" s="55">
        <f>IF(ROW()-3&gt;MAX(FY$4:FY$40),"",INDEX(FX$4:FX$40,MATCH(ROW()-3,FY$4:FY$40,0)))</f>
        <v/>
      </c>
      <c r="GA5" s="55">
        <f>IF(AND($B$5:$AE$5,$AG$5:$AJ$5),IF('Final Calculation Sheet'!$AD$5="","",'Final Calculation Sheet'!$AD$5),"")</f>
        <v/>
      </c>
      <c r="GB5">
        <f>IF(GA5="","",COUNTIFS(GA$4:GA$40,"&lt;"&amp;GA5,GA$4:GA$40,"&lt;&gt;"&amp;"")+COUNTIF(GA$4:GA5,GA5))</f>
        <v/>
      </c>
      <c r="GC5" s="55">
        <f>IF(ROW()-3&gt;COUNTIF(GA$4:GA$40,"&lt;&gt;"&amp;""),"",INDEX(GA$4:GA$40,MATCH(ROW()-3,GB$4:GB$40,0)))</f>
        <v/>
      </c>
      <c r="GD5">
        <f>GD4+IF(AND(GC5&lt;&gt;"",COUNTIF(GC$4:GC5,GC5)=1),1,0)</f>
        <v/>
      </c>
      <c r="GE5" s="55">
        <f>IF(ROW()-3&gt;MAX(GD$4:GD$40),"",INDEX(GC$4:GC$40,MATCH(ROW()-3,GD$4:GD$40,0)))</f>
        <v/>
      </c>
      <c r="GF5">
        <f>IF(AND($B$5:$AF$5,$AH$5:$AJ$5),IF('Final Calculation Sheet'!$AE$5="","",'Final Calculation Sheet'!$AE$5),"")</f>
        <v/>
      </c>
      <c r="GG5">
        <f>IF(GF5="","",COUNTIFS(GF$4:GF$40,"&lt;"&amp;GF5,GF$4:GF$40,"&lt;&gt;"&amp;"")+COUNTIF(GF$4:GF5,GF5))</f>
        <v/>
      </c>
      <c r="GH5">
        <f>IF(ROW()-3&gt;COUNTIF(GF$4:GF$40,"&lt;&gt;"&amp;""),"",INDEX(GF$4:GF$40,MATCH(ROW()-3,GG$4:GG$40,0)))</f>
        <v/>
      </c>
      <c r="GI5">
        <f>GI4+IF(AND(GH5&lt;&gt;"",COUNTIF(GH$4:GH5,GH5)=1),1,0)</f>
        <v/>
      </c>
      <c r="GJ5">
        <f>IF(ROW()-3&gt;MAX(GI$4:GI$40),"",INDEX(GH$4:GH$40,MATCH(ROW()-3,GI$4:GI$40,0)))</f>
        <v/>
      </c>
      <c r="GK5" s="141">
        <f>IF(AND($B$5:$AG$5,$AI$5:$AJ$5),IF('Final Calculation Sheet'!$AF$5="","",'Final Calculation Sheet'!$AF$5),"")</f>
        <v/>
      </c>
      <c r="GL5">
        <f>IF(GK5="","",COUNTIFS(GK$4:GK$40,"&lt;"&amp;GK5,GK$4:GK$40,"&lt;&gt;"&amp;"")+COUNTIF(GK$4:GK5,GK5))</f>
        <v/>
      </c>
      <c r="GM5" s="141">
        <f>IF(ROW()-3&gt;COUNTIF(GK$4:GK$40,"&lt;&gt;"&amp;""),"",INDEX(GK$4:GK$40,MATCH(ROW()-3,GL$4:GL$40,0)))</f>
        <v/>
      </c>
      <c r="GN5">
        <f>GN4+IF(AND(GM5&lt;&gt;"",COUNTIF(GM$4:GM5,GM5)=1),1,0)</f>
        <v/>
      </c>
      <c r="GO5">
        <f>IF(ROW()-3&gt;MAX(GN$4:GN$40),"",INDEX(GM$4:GM$40,MATCH(ROW()-3,GN$4:GN$40,0)))</f>
        <v/>
      </c>
      <c r="GP5">
        <f>IF(AND($B$5:$AH$5,$AJ$5:$AJ$5),IF('Final Calculation Sheet'!$AG$5="","",'Final Calculation Sheet'!$AG$5),"")</f>
        <v/>
      </c>
      <c r="GQ5">
        <f>IF(GP5="","",COUNTIFS(GP$4:GP$40,"&lt;"&amp;GP5,GP$4:GP$40,"&lt;&gt;"&amp;"")+COUNTIF(GP$4:GP5,GP5))</f>
        <v/>
      </c>
      <c r="GR5">
        <f>IF(ROW()-3&gt;COUNTIF(GP$4:GP$40,"&lt;&gt;"&amp;""),"",INDEX(GP$4:GP$40,MATCH(ROW()-3,GQ$4:GQ$40,0)))</f>
        <v/>
      </c>
      <c r="GS5">
        <f>GS4+IF(AND(GR5&lt;&gt;"",COUNTIF(GR$4:GR5,GR5)=1),1,0)</f>
        <v/>
      </c>
      <c r="GT5">
        <f>IF(ROW()-3&gt;MAX(GS$4:GS$40),"",INDEX(GR$4:GR$40,MATCH(ROW()-3,GS$4:GS$40,0)))</f>
        <v/>
      </c>
    </row>
    <row r="6">
      <c r="A6" t="inlineStr">
        <is>
          <t>Final row 6</t>
        </is>
      </c>
      <c r="B6" t="b">
        <v>1</v>
      </c>
      <c r="C6">
        <f>IF($C$3=FALSE,TRUE,IF(OR(UPPER(TRIM($C$2))="(BLANK)",UPPER(TRIM($C$2))="BLANK",AND($C$2&lt;&gt;"",TRIM($C$2)="")),(IF('Final Calculation Sheet'!$F$6="","",'Final Calculation Sheet'!$F$6))="",IF(OR(UPPER(TRIM($C$2))="(NONBLANK)",UPPER(TRIM($C$2))="NONBLANK",TRIM($C$2)="&lt;&gt;"),(IF('Final Calculation Sheet'!$F$6="","",'Final Calculation Sheet'!$F$6))&lt;&gt;"",UPPER(TRIM((IF('Final Calculation Sheet'!$F$6="","",'Final Calculation Sheet'!$F$6))&amp;""))=UPPER(TRIM($C$2&amp;"")))))</f>
        <v/>
      </c>
      <c r="D6">
        <f>IF($D$3=FALSE,TRUE,IF(OR(UPPER(TRIM($D$2))="(BLANK)",UPPER(TRIM($D$2))="BLANK",AND($D$2&lt;&gt;"",TRIM($D$2)="")),(IF('Final Calculation Sheet'!$G$6="","",'Final Calculation Sheet'!$G$6))="",IF(OR(UPPER(TRIM($D$2))="(NONBLANK)",UPPER(TRIM($D$2))="NONBLANK",TRIM($D$2)="&lt;&gt;"),(IF('Final Calculation Sheet'!$G$6="","",'Final Calculation Sheet'!$G$6))&lt;&gt;"",UPPER(TRIM((IF('Final Calculation Sheet'!$G$6="","",'Final Calculation Sheet'!$G$6))&amp;""))=UPPER(TRIM($D$2&amp;"")))))</f>
        <v/>
      </c>
      <c r="E6">
        <f>IF($E$3=FALSE,TRUE,IF(OR(UPPER(TRIM($E$2))="(BLANK)",UPPER(TRIM($E$2))="BLANK",AND($E$2&lt;&gt;"",TRIM($E$2)="")),(IF('Final Calculation Sheet'!$B$6="","",'Final Calculation Sheet'!$B$6))="",IF(OR(UPPER(TRIM($E$2))="(NONBLANK)",UPPER(TRIM($E$2))="NONBLANK",TRIM($E$2)="&lt;&gt;"),(IF('Final Calculation Sheet'!$B$6="","",'Final Calculation Sheet'!$B$6))&lt;&gt;"",UPPER(TRIM((IF('Final Calculation Sheet'!$B$6="","",'Final Calculation Sheet'!$B$6))&amp;""))=UPPER(TRIM($E$2&amp;"")))))</f>
        <v/>
      </c>
      <c r="F6">
        <f>IF($F$3=FALSE,TRUE,IF(OR(UPPER(TRIM($F$2))="(BLANK)",UPPER(TRIM($F$2))="BLANK",AND($F$2&lt;&gt;"",TRIM($F$2)="")),(IF('Final Calculation Sheet'!$D$6="","",'Final Calculation Sheet'!$D$6))="",IF(OR(UPPER(TRIM($F$2))="(NONBLANK)",UPPER(TRIM($F$2))="NONBLANK",TRIM($F$2)="&lt;&gt;"),(IF('Final Calculation Sheet'!$D$6="","",'Final Calculation Sheet'!$D$6))&lt;&gt;"",UPPER(TRIM((IF('Final Calculation Sheet'!$D$6="","",'Final Calculation Sheet'!$D$6))&amp;""))=UPPER(TRIM($F$2&amp;"")))))</f>
        <v/>
      </c>
      <c r="G6">
        <f>IF($G$3=FALSE,TRUE,IF(OR(UPPER(TRIM($G$2))="(BLANK)",UPPER(TRIM($G$2))="BLANK",AND($G$2&lt;&gt;"",TRIM($G$2)="")),(IF('Final Calculation Sheet'!$A$6="","",'Final Calculation Sheet'!$A$6))="",IF(OR(UPPER(TRIM($G$2))="(NONBLANK)",UPPER(TRIM($G$2))="NONBLANK",TRIM($G$2)="&lt;&gt;"),(IF('Final Calculation Sheet'!$A$6="","",'Final Calculation Sheet'!$A$6))&lt;&gt;"",UPPER(TRIM((IF('Final Calculation Sheet'!$A$6="","",'Final Calculation Sheet'!$A$6))&amp;""))=UPPER(TRIM($G$2&amp;"")))))</f>
        <v/>
      </c>
      <c r="H6">
        <f>IF($H$3=FALSE,TRUE,IF(OR(UPPER(TRIM($H$2))="(BLANK)",UPPER(TRIM($H$2))="BLANK",AND($H$2&lt;&gt;"",TRIM($H$2)="")),(IF('Final Calculation Sheet'!$E$6="","",'Final Calculation Sheet'!$E$6))="",IF(OR(UPPER(TRIM($H$2))="(NONBLANK)",UPPER(TRIM($H$2))="NONBLANK",TRIM($H$2)="&lt;&gt;"),(IF('Final Calculation Sheet'!$E$6="","",'Final Calculation Sheet'!$E$6))&lt;&gt;"",UPPER(TRIM((IF('Final Calculation Sheet'!$E$6="","",'Final Calculation Sheet'!$E$6))&amp;""))=UPPER(TRIM($H$2&amp;"")))))</f>
        <v/>
      </c>
      <c r="I6">
        <f>IF($I$3=FALSE,TRUE,IF(OR(UPPER(TRIM($I$2))="(BLANK)",UPPER(TRIM($I$2))="BLANK",AND($I$2&lt;&gt;"",TRIM($I$2)="")),(IF('Final Calculation Sheet'!$C$6="","",'Final Calculation Sheet'!$C$6))="",IF(OR(UPPER(TRIM($I$2))="(NONBLANK)",UPPER(TRIM($I$2))="NONBLANK",TRIM($I$2)="&lt;&gt;"),(IF('Final Calculation Sheet'!$C$6="","",'Final Calculation Sheet'!$C$6))&lt;&gt;"",UPPER(TRIM((IF('Final Calculation Sheet'!$C$6="","",'Final Calculation Sheet'!$C$6))&amp;""))=UPPER(TRIM($I$2&amp;"")))))</f>
        <v/>
      </c>
      <c r="J6">
        <f>IF($J$3=FALSE,TRUE,IF(OR(UPPER(TRIM($J$2))="(BLANK)",UPPER(TRIM($J$2))="BLANK",AND($J$2&lt;&gt;"",TRIM($J$2)="")),(IF('Final Calculation Sheet'!$H$6="","",'Final Calculation Sheet'!$H$6))="",IF(OR(UPPER(TRIM($J$2))="(NONBLANK)",UPPER(TRIM($J$2))="NONBLANK",TRIM($J$2)="&lt;&gt;"),(IF('Final Calculation Sheet'!$H$6="","",'Final Calculation Sheet'!$H$6))&lt;&gt;"",UPPER(TRIM((IF('Final Calculation Sheet'!$H$6="","",'Final Calculation Sheet'!$H$6))&amp;""))=UPPER(TRIM($J$2&amp;"")))))</f>
        <v/>
      </c>
      <c r="K6">
        <f>IF($K$3=FALSE,TRUE,IF(OR(UPPER(TRIM($K$2))="(BLANK)",UPPER(TRIM($K$2))="BLANK",AND($K$2&lt;&gt;"",TRIM($K$2)="")),(IF('Final Calculation Sheet'!$I$6="","",'Final Calculation Sheet'!$I$6))="",IF(OR(UPPER(TRIM($K$2))="(NONBLANK)",UPPER(TRIM($K$2))="NONBLANK",TRIM($K$2)="&lt;&gt;"),(IF('Final Calculation Sheet'!$I$6="","",'Final Calculation Sheet'!$I$6))&lt;&gt;"",UPPER(TRIM((IF('Final Calculation Sheet'!$I$6="","",'Final Calculation Sheet'!$I$6))&amp;""))=UPPER(TRIM($K$2&amp;"")))))</f>
        <v/>
      </c>
      <c r="L6">
        <f>IF($L$3=FALSE,TRUE,IF(OR(UPPER(TRIM($L$2))="(BLANK)",UPPER(TRIM($L$2))="BLANK",AND($L$2&lt;&gt;"",TRIM($L$2)="")),(IF('Final Calculation Sheet'!$J$6="","",'Final Calculation Sheet'!$J$6))="",IF(OR(UPPER(TRIM($L$2))="(NONBLANK)",UPPER(TRIM($L$2))="NONBLANK",TRIM($L$2)="&lt;&gt;"),(IF('Final Calculation Sheet'!$J$6="","",'Final Calculation Sheet'!$J$6))&lt;&gt;"",UPPER(TRIM((IF('Final Calculation Sheet'!$J$6="","",'Final Calculation Sheet'!$J$6))&amp;""))=UPPER(TRIM($L$2&amp;"")))))</f>
        <v/>
      </c>
      <c r="M6">
        <f>IF($M$3=FALSE,TRUE,IF(OR(UPPER(TRIM($M$2))="(BLANK)",UPPER(TRIM($M$2))="BLANK",AND($M$2&lt;&gt;"",TRIM($M$2)="")),(IF('Final Calculation Sheet'!$K$6="","",'Final Calculation Sheet'!$K$6))="",IF(OR(UPPER(TRIM($M$2))="(NONBLANK)",UPPER(TRIM($M$2))="NONBLANK",TRIM($M$2)="&lt;&gt;"),(IF('Final Calculation Sheet'!$K$6="","",'Final Calculation Sheet'!$K$6))&lt;&gt;"",UPPER(TRIM((IF('Final Calculation Sheet'!$K$6="","",'Final Calculation Sheet'!$K$6))&amp;""))=UPPER(TRIM($M$2&amp;"")))))</f>
        <v/>
      </c>
      <c r="N6">
        <f>IF($N$3=FALSE,TRUE,IF(OR(UPPER(TRIM($N$2))="(BLANK)",UPPER(TRIM($N$2))="BLANK",AND($N$2&lt;&gt;"",TRIM($N$2)="")),(IF('Final Calculation Sheet'!$L$6="","",'Final Calculation Sheet'!$L$6))="",IF(OR(UPPER(TRIM($N$2))="(NONBLANK)",UPPER(TRIM($N$2))="NONBLANK",TRIM($N$2)="&lt;&gt;"),(IF('Final Calculation Sheet'!$L$6="","",'Final Calculation Sheet'!$L$6))&lt;&gt;"",UPPER(TRIM((IF('Final Calculation Sheet'!$L$6="","",'Final Calculation Sheet'!$L$6))&amp;""))=UPPER(TRIM($N$2&amp;"")))))</f>
        <v/>
      </c>
      <c r="O6">
        <f>IF($O$3=FALSE,TRUE,IF(OR(UPPER(TRIM($O$2))="(BLANK)",UPPER(TRIM($O$2))="BLANK",AND($O$2&lt;&gt;"",TRIM($O$2)="")),(IF('Final Calculation Sheet'!$M$6="","",'Final Calculation Sheet'!$M$6))="",IF(OR(UPPER(TRIM($O$2))="(NONBLANK)",UPPER(TRIM($O$2))="NONBLANK",TRIM($O$2)="&lt;&gt;"),(IF('Final Calculation Sheet'!$M$6="","",'Final Calculation Sheet'!$M$6))&lt;&gt;"",UPPER(TRIM((IF('Final Calculation Sheet'!$M$6="","",'Final Calculation Sheet'!$M$6))&amp;""))=UPPER(TRIM($O$2&amp;"")))))</f>
        <v/>
      </c>
      <c r="P6">
        <f>IF($P$3=FALSE,TRUE,IF(OR(UPPER(TRIM($P$2))="(BLANK)",UPPER(TRIM($P$2))="BLANK",AND($P$2&lt;&gt;"",TRIM($P$2)="")),(IF('Final Calculation Sheet'!$N$6="","",'Final Calculation Sheet'!$N$6))="",IF(OR(UPPER(TRIM($P$2))="(NONBLANK)",UPPER(TRIM($P$2))="NONBLANK",TRIM($P$2)="&lt;&gt;"),(IF('Final Calculation Sheet'!$N$6="","",'Final Calculation Sheet'!$N$6))&lt;&gt;"",UPPER(TRIM((IF('Final Calculation Sheet'!$N$6="","",'Final Calculation Sheet'!$N$6))&amp;""))=UPPER(TRIM($P$2&amp;"")))))</f>
        <v/>
      </c>
      <c r="Q6">
        <f>IF($Q$3=FALSE,TRUE,IF(OR(UPPER(TRIM($Q$2))="(BLANK)",UPPER(TRIM($Q$2))="BLANK",AND($Q$2&lt;&gt;"",TRIM($Q$2)="")),(IF('Final Calculation Sheet'!$O$6="","",'Final Calculation Sheet'!$O$6))="",IF(OR(UPPER(TRIM($Q$2))="(NONBLANK)",UPPER(TRIM($Q$2))="NONBLANK",TRIM($Q$2)="&lt;&gt;"),(IF('Final Calculation Sheet'!$O$6="","",'Final Calculation Sheet'!$O$6))&lt;&gt;"",UPPER(TRIM((IF('Final Calculation Sheet'!$O$6="","",'Final Calculation Sheet'!$O$6))&amp;""))=UPPER(TRIM($Q$2&amp;"")))))</f>
        <v/>
      </c>
      <c r="R6">
        <f>IF($R$3=FALSE,TRUE,IF(OR(UPPER(TRIM($R$2))="(BLANK)",UPPER(TRIM($R$2))="BLANK",AND($R$2&lt;&gt;"",TRIM($R$2)="")),(IF('Final Calculation Sheet'!$P$6="","",'Final Calculation Sheet'!$P$6))="",IF(OR(UPPER(TRIM($R$2))="(NONBLANK)",UPPER(TRIM($R$2))="NONBLANK",TRIM($R$2)="&lt;&gt;"),(IF('Final Calculation Sheet'!$P$6="","",'Final Calculation Sheet'!$P$6))&lt;&gt;"",UPPER(TRIM((IF('Final Calculation Sheet'!$P$6="","",'Final Calculation Sheet'!$P$6))&amp;""))=UPPER(TRIM($R$2&amp;"")))))</f>
        <v/>
      </c>
      <c r="S6">
        <f>IF($S$3=FALSE,TRUE,IF(OR(UPPER(TRIM($S$2))="(BLANK)",UPPER(TRIM($S$2))="BLANK",AND($S$2&lt;&gt;"",TRIM($S$2)="")),(IF('Final Calculation Sheet'!$Q$6="","",'Final Calculation Sheet'!$Q$6))="",IF(OR(UPPER(TRIM($S$2))="(NONBLANK)",UPPER(TRIM($S$2))="NONBLANK",TRIM($S$2)="&lt;&gt;"),(IF('Final Calculation Sheet'!$Q$6="","",'Final Calculation Sheet'!$Q$6))&lt;&gt;"",UPPER(TRIM((IF('Final Calculation Sheet'!$Q$6="","",'Final Calculation Sheet'!$Q$6))&amp;""))=UPPER(TRIM($S$2&amp;"")))))</f>
        <v/>
      </c>
      <c r="T6">
        <f>IF($T$3=FALSE,TRUE,IF(OR(UPPER(TRIM($T$2))="(BLANK)",UPPER(TRIM($T$2))="BLANK",AND($T$2&lt;&gt;"",TRIM($T$2)="")),(IF('Final Calculation Sheet'!$R$6="","",'Final Calculation Sheet'!$R$6))="",IF(OR(UPPER(TRIM($T$2))="(NONBLANK)",UPPER(TRIM($T$2))="NONBLANK",TRIM($T$2)="&lt;&gt;"),(IF('Final Calculation Sheet'!$R$6="","",'Final Calculation Sheet'!$R$6))&lt;&gt;"",UPPER(TRIM((IF('Final Calculation Sheet'!$R$6="","",'Final Calculation Sheet'!$R$6))&amp;""))=UPPER(TRIM($T$2&amp;"")))))</f>
        <v/>
      </c>
      <c r="U6">
        <f>IF($U$3=FALSE,TRUE,IF(OR(UPPER(TRIM($U$2))="(BLANK)",UPPER(TRIM($U$2))="BLANK",AND($U$2&lt;&gt;"",TRIM($U$2)="")),(IF('Final Calculation Sheet'!$S$6="","",'Final Calculation Sheet'!$S$6))="",IF(OR(UPPER(TRIM($U$2))="(NONBLANK)",UPPER(TRIM($U$2))="NONBLANK",TRIM($U$2)="&lt;&gt;"),(IF('Final Calculation Sheet'!$S$6="","",'Final Calculation Sheet'!$S$6))&lt;&gt;"",UPPER(TRIM((IF('Final Calculation Sheet'!$S$6="","",'Final Calculation Sheet'!$S$6))&amp;""))=UPPER(TRIM($U$2&amp;"")))))</f>
        <v/>
      </c>
      <c r="V6">
        <f>IF($V$3=FALSE,TRUE,IF(OR(UPPER(TRIM($V$2))="(BLANK)",UPPER(TRIM($V$2))="BLANK",AND($V$2&lt;&gt;"",TRIM($V$2)="")),(IF('Final Calculation Sheet'!$T$6="","",'Final Calculation Sheet'!$T$6))="",IF(OR(UPPER(TRIM($V$2))="(NONBLANK)",UPPER(TRIM($V$2))="NONBLANK",TRIM($V$2)="&lt;&gt;"),(IF('Final Calculation Sheet'!$T$6="","",'Final Calculation Sheet'!$T$6))&lt;&gt;"",UPPER(TRIM((IF('Final Calculation Sheet'!$T$6="","",'Final Calculation Sheet'!$T$6))&amp;""))=UPPER(TRIM($V$2&amp;"")))))</f>
        <v/>
      </c>
      <c r="W6">
        <f>IF($W$3=FALSE,TRUE,IF(OR(UPPER(TRIM($W$2))="(BLANK)",UPPER(TRIM($W$2))="BLANK",AND($W$2&lt;&gt;"",TRIM($W$2)="")),(IF('Final Calculation Sheet'!$U$6="","",'Final Calculation Sheet'!$U$6))="",IF(OR(UPPER(TRIM($W$2))="(NONBLANK)",UPPER(TRIM($W$2))="NONBLANK",TRIM($W$2)="&lt;&gt;"),(IF('Final Calculation Sheet'!$U$6="","",'Final Calculation Sheet'!$U$6))&lt;&gt;"",UPPER(TRIM((IF('Final Calculation Sheet'!$U$6="","",'Final Calculation Sheet'!$U$6))&amp;""))=UPPER(TRIM($W$2&amp;"")))))</f>
        <v/>
      </c>
      <c r="X6">
        <f>IF($X$3=FALSE,TRUE,IF(OR(UPPER(TRIM($X$2))="(BLANK)",UPPER(TRIM($X$2))="BLANK",AND($X$2&lt;&gt;"",TRIM($X$2)="")),(IF('Final Calculation Sheet'!$V$6="","",'Final Calculation Sheet'!$V$6))="",IF(OR(UPPER(TRIM($X$2))="(NONBLANK)",UPPER(TRIM($X$2))="NONBLANK",TRIM($X$2)="&lt;&gt;"),(IF('Final Calculation Sheet'!$V$6="","",'Final Calculation Sheet'!$V$6))&lt;&gt;"",UPPER(TRIM((IF('Final Calculation Sheet'!$V$6="","",'Final Calculation Sheet'!$V$6))&amp;""))=UPPER(TRIM($X$2&amp;"")))))</f>
        <v/>
      </c>
      <c r="Y6">
        <f>IF($Y$3=FALSE,TRUE,IF(OR(UPPER(TRIM($Y$2))="(BLANK)",UPPER(TRIM($Y$2))="BLANK",AND($Y$2&lt;&gt;"",TRIM($Y$2)="")),(IF('Final Calculation Sheet'!$W$6="","",'Final Calculation Sheet'!$W$6))="",IF(OR(UPPER(TRIM($Y$2))="(NONBLANK)",UPPER(TRIM($Y$2))="NONBLANK",TRIM($Y$2)="&lt;&gt;"),(IF('Final Calculation Sheet'!$W$6="","",'Final Calculation Sheet'!$W$6))&lt;&gt;"",UPPER(TRIM((IF('Final Calculation Sheet'!$W$6="","",'Final Calculation Sheet'!$W$6))&amp;""))=UPPER(TRIM($Y$2&amp;"")))))</f>
        <v/>
      </c>
      <c r="Z6">
        <f>IF($Z$3=FALSE,TRUE,IF(OR(UPPER(TRIM($Z$2))="(BLANK)",UPPER(TRIM($Z$2))="BLANK",AND($Z$2&lt;&gt;"",TRIM($Z$2)="")),(IF('Final Calculation Sheet'!$X$6="","",'Final Calculation Sheet'!$X$6))="",IF(OR(UPPER(TRIM($Z$2))="(NONBLANK)",UPPER(TRIM($Z$2))="NONBLANK",TRIM($Z$2)="&lt;&gt;"),(IF('Final Calculation Sheet'!$X$6="","",'Final Calculation Sheet'!$X$6))&lt;&gt;"",UPPER(TRIM((IF('Final Calculation Sheet'!$X$6="","",'Final Calculation Sheet'!$X$6))&amp;""))=UPPER(TRIM($Z$2&amp;"")))))</f>
        <v/>
      </c>
      <c r="AA6">
        <f>IF($AA$3=FALSE,TRUE,IF(OR(UPPER(TRIM($AA$2))="(BLANK)",UPPER(TRIM($AA$2))="BLANK",AND($AA$2&lt;&gt;"",TRIM($AA$2)="")),(IF('Final Calculation Sheet'!$Y$6="","",'Final Calculation Sheet'!$Y$6))="",IF(OR(UPPER(TRIM($AA$2))="(NONBLANK)",UPPER(TRIM($AA$2))="NONBLANK",TRIM($AA$2)="&lt;&gt;"),(IF('Final Calculation Sheet'!$Y$6="","",'Final Calculation Sheet'!$Y$6))&lt;&gt;"",UPPER(TRIM((IF('Final Calculation Sheet'!$Y$6="","",'Final Calculation Sheet'!$Y$6))&amp;""))=UPPER(TRIM($AA$2&amp;"")))))</f>
        <v/>
      </c>
      <c r="AB6">
        <f>IF($AB$3=FALSE,TRUE,IF(OR(UPPER(TRIM($AB$2))="(BLANK)",UPPER(TRIM($AB$2))="BLANK",AND($AB$2&lt;&gt;"",TRIM($AB$2)="")),(IF('Final Calculation Sheet'!$Z$6="","",'Final Calculation Sheet'!$Z$6))="",IF(OR(UPPER(TRIM($AB$2))="(NONBLANK)",UPPER(TRIM($AB$2))="NONBLANK",TRIM($AB$2)="&lt;&gt;"),(IF('Final Calculation Sheet'!$Z$6="","",'Final Calculation Sheet'!$Z$6))&lt;&gt;"",UPPER(TRIM((IF('Final Calculation Sheet'!$Z$6="","",'Final Calculation Sheet'!$Z$6))&amp;""))=UPPER(TRIM($AB$2&amp;"")))))</f>
        <v/>
      </c>
      <c r="AC6">
        <f>IF($AC$3=FALSE,TRUE,IF(OR(UPPER(TRIM($AC$2))="(BLANK)",UPPER(TRIM($AC$2))="BLANK",AND($AC$2&lt;&gt;"",TRIM($AC$2)="")),(IF('Final Calculation Sheet'!$AA$6="","",'Final Calculation Sheet'!$AA$6))="",IF(OR(UPPER(TRIM($AC$2))="(NONBLANK)",UPPER(TRIM($AC$2))="NONBLANK",TRIM($AC$2)="&lt;&gt;"),(IF('Final Calculation Sheet'!$AA$6="","",'Final Calculation Sheet'!$AA$6))&lt;&gt;"",UPPER(TRIM((IF('Final Calculation Sheet'!$AA$6="","",'Final Calculation Sheet'!$AA$6))&amp;""))=UPPER(TRIM($AC$2&amp;"")))))</f>
        <v/>
      </c>
      <c r="AD6">
        <f>IF($AD$3=FALSE,TRUE,IF(OR(UPPER(TRIM($AD$2))="(BLANK)",UPPER(TRIM($AD$2))="BLANK",AND($AD$2&lt;&gt;"",TRIM($AD$2)="")),(IF('Final Calculation Sheet'!$AB$6="","",'Final Calculation Sheet'!$AB$6))="",IF(OR(UPPER(TRIM($AD$2))="(NONBLANK)",UPPER(TRIM($AD$2))="NONBLANK",TRIM($AD$2)="&lt;&gt;"),(IF('Final Calculation Sheet'!$AB$6="","",'Final Calculation Sheet'!$AB$6))&lt;&gt;"",UPPER(TRIM((IF('Final Calculation Sheet'!$AB$6="","",'Final Calculation Sheet'!$AB$6))&amp;""))=UPPER(TRIM($AD$2&amp;"")))))</f>
        <v/>
      </c>
      <c r="AE6">
        <f>IF($AE$3=FALSE,TRUE,IF(OR(UPPER(TRIM($AE$2))="(BLANK)",UPPER(TRIM($AE$2))="BLANK",AND($AE$2&lt;&gt;"",TRIM($AE$2)="")),(IF('Final Calculation Sheet'!$AC$6="","",'Final Calculation Sheet'!$AC$6))="",IF(OR(UPPER(TRIM($AE$2))="(NONBLANK)",UPPER(TRIM($AE$2))="NONBLANK",TRIM($AE$2)="&lt;&gt;"),(IF('Final Calculation Sheet'!$AC$6="","",'Final Calculation Sheet'!$AC$6))&lt;&gt;"",UPPER(TRIM((IF('Final Calculation Sheet'!$AC$6="","",'Final Calculation Sheet'!$AC$6))&amp;""))=UPPER(TRIM($AE$2&amp;"")))))</f>
        <v/>
      </c>
      <c r="AF6">
        <f>IF($AF$3=FALSE,TRUE,IF(OR(UPPER(TRIM($AF$2))="(BLANK)",UPPER(TRIM($AF$2))="BLANK",AND($AF$2&lt;&gt;"",TRIM($AF$2)="")),(IF('Final Calculation Sheet'!$AD$6="","",'Final Calculation Sheet'!$AD$6))="",IF(OR(UPPER(TRIM($AF$2))="(NONBLANK)",UPPER(TRIM($AF$2))="NONBLANK",TRIM($AF$2)="&lt;&gt;"),(IF('Final Calculation Sheet'!$AD$6="","",'Final Calculation Sheet'!$AD$6))&lt;&gt;"",UPPER(TRIM((IF('Final Calculation Sheet'!$AD$6="","",'Final Calculation Sheet'!$AD$6))&amp;""))=UPPER(TRIM($AF$2&amp;"")))))</f>
        <v/>
      </c>
      <c r="AG6">
        <f>IF($AG$3=FALSE,TRUE,IF(OR(UPPER(TRIM($AG$2))="(BLANK)",UPPER(TRIM($AG$2))="BLANK",AND($AG$2&lt;&gt;"",TRIM($AG$2)="")),(IF('Final Calculation Sheet'!$AE$6="","",'Final Calculation Sheet'!$AE$6))="",IF(OR(UPPER(TRIM($AG$2))="(NONBLANK)",UPPER(TRIM($AG$2))="NONBLANK",TRIM($AG$2)="&lt;&gt;"),(IF('Final Calculation Sheet'!$AE$6="","",'Final Calculation Sheet'!$AE$6))&lt;&gt;"",UPPER(TRIM((IF('Final Calculation Sheet'!$AE$6="","",'Final Calculation Sheet'!$AE$6))&amp;""))=UPPER(TRIM($AG$2&amp;"")))))</f>
        <v/>
      </c>
      <c r="AH6">
        <f>IF($AH$3=FALSE,TRUE,IF(OR(UPPER(TRIM($AH$2))="(BLANK)",UPPER(TRIM($AH$2))="BLANK",AND($AH$2&lt;&gt;"",TRIM($AH$2)="")),(IF('Final Calculation Sheet'!$AF$6="","",'Final Calculation Sheet'!$AF$6))="",IF(OR(UPPER(TRIM($AH$2))="(NONBLANK)",UPPER(TRIM($AH$2))="NONBLANK",TRIM($AH$2)="&lt;&gt;"),(IF('Final Calculation Sheet'!$AF$6="","",'Final Calculation Sheet'!$AF$6))&lt;&gt;"",UPPER(TRIM((IF('Final Calculation Sheet'!$AF$6="","",'Final Calculation Sheet'!$AF$6))&amp;""))=UPPER(TRIM($AH$2&amp;"")))))</f>
        <v/>
      </c>
      <c r="AI6">
        <f>IF($AI$3=FALSE,TRUE,IF(OR(UPPER(TRIM($AI$2))="(BLANK)",UPPER(TRIM($AI$2))="BLANK",AND($AI$2&lt;&gt;"",TRIM($AI$2)="")),(IF('Final Calculation Sheet'!$AG$6="","",'Final Calculation Sheet'!$AG$6))="",IF(OR(UPPER(TRIM($AI$2))="(NONBLANK)",UPPER(TRIM($AI$2))="NONBLANK",TRIM($AI$2)="&lt;&gt;"),(IF('Final Calculation Sheet'!$AG$6="","",'Final Calculation Sheet'!$AG$6))&lt;&gt;"",UPPER(TRIM((IF('Final Calculation Sheet'!$AG$6="","",'Final Calculation Sheet'!$AG$6))&amp;""))=UPPER(TRIM($AI$2&amp;"")))))</f>
        <v/>
      </c>
      <c r="AJ6">
        <f>IF($AJ$3=FALSE,TRUE,IF(OR(UPPER(TRIM($AJ$2))="(BLANK)",UPPER(TRIM($AJ$2))="BLANK",AND($AJ$2&lt;&gt;"",TRIM($AJ$2)="")),(IF('Final Calculation Sheet'!$AD$6="","",IF('Final Calculation Sheet'!$AD$6&lt;=5,"SETTLED","OUTSTANDING")))="",IF(OR(UPPER(TRIM($AJ$2))="(NONBLANK)",UPPER(TRIM($AJ$2))="NONBLANK",TRIM($AJ$2)="&lt;&gt;"),(IF('Final Calculation Sheet'!$AD$6="","",IF('Final Calculation Sheet'!$AD$6&lt;=5,"SETTLED","OUTSTANDING")))&lt;&gt;"",UPPER(TRIM((IF('Final Calculation Sheet'!$AD$6="","",IF('Final Calculation Sheet'!$AD$6&lt;=5,"SETTLED","OUTSTANDING")))&amp;""))=UPPER(TRIM($AJ$2&amp;"")))))</f>
        <v/>
      </c>
      <c r="AL6">
        <f>IF(AND($B$6,$D$6:$AJ$6),IF('Final Calculation Sheet'!$F$6="","",'Final Calculation Sheet'!$F$6),"")</f>
        <v/>
      </c>
      <c r="AM6">
        <f>IF(AL6="","",COUNTIFS(AL$4:AL$40,"&lt;"&amp;AL6,AL$4:AL$40,"&lt;&gt;"&amp;"")+COUNTIF(AL$4:AL6,AL6))</f>
        <v/>
      </c>
      <c r="AN6">
        <f>IF(ROW()-3&gt;COUNTIF(AL$4:AL$40,"&lt;&gt;"&amp;""),"",INDEX(AL$4:AL$40,MATCH(ROW()-3,AM$4:AM$40,0)))</f>
        <v/>
      </c>
      <c r="AO6">
        <f>AO5+IF(AND(AN6&lt;&gt;"",COUNTIF(AN$4:AN6,AN6)=1),1,0)</f>
        <v/>
      </c>
      <c r="AP6">
        <f>IF(ROW()-3&gt;MAX(AO$4:AO$40),"",INDEX(AN$4:AN$40,MATCH(ROW()-3,AO$4:AO$40,0)))</f>
        <v/>
      </c>
      <c r="AQ6">
        <f>IF(AND($B$6:$C$6,$E$6:$AJ$6),IF('Final Calculation Sheet'!$G$6="","",'Final Calculation Sheet'!$G$6),"")</f>
        <v/>
      </c>
      <c r="AR6">
        <f>IF(AQ6="","",COUNTIFS(AQ$4:AQ$40,"&lt;"&amp;AQ6,AQ$4:AQ$40,"&lt;&gt;"&amp;"")+COUNTIF(AQ$4:AQ6,AQ6))</f>
        <v/>
      </c>
      <c r="AS6">
        <f>IF(ROW()-3&gt;COUNTIF(AQ$4:AQ$40,"&lt;&gt;"&amp;""),"",INDEX(AQ$4:AQ$40,MATCH(ROW()-3,AR$4:AR$40,0)))</f>
        <v/>
      </c>
      <c r="AT6">
        <f>AT5+IF(AND(AS6&lt;&gt;"",COUNTIF(AS$4:AS6,AS6)=1),1,0)</f>
        <v/>
      </c>
      <c r="AU6">
        <f>IF(ROW()-3&gt;MAX(AT$4:AT$40),"",INDEX(AS$4:AS$40,MATCH(ROW()-3,AT$4:AT$40,0)))</f>
        <v/>
      </c>
      <c r="AV6">
        <f>IF(AND($B$6:$D$6,$F$6:$AJ$6),IF('Final Calculation Sheet'!$B$6="","",'Final Calculation Sheet'!$B$6),"")</f>
        <v/>
      </c>
      <c r="AW6">
        <f>IF(AV6="","",COUNTIFS(AV$4:AV$40,"&lt;"&amp;AV6,AV$4:AV$40,"&lt;&gt;"&amp;"")+COUNTIF(AV$4:AV6,AV6))</f>
        <v/>
      </c>
      <c r="AX6">
        <f>IF(ROW()-3&gt;COUNTIF(AV$4:AV$40,"&lt;&gt;"&amp;""),"",INDEX(AV$4:AV$40,MATCH(ROW()-3,AW$4:AW$40,0)))</f>
        <v/>
      </c>
      <c r="AY6">
        <f>AY5+IF(AND(AX6&lt;&gt;"",COUNTIF(AX$4:AX6,AX6)=1),1,0)</f>
        <v/>
      </c>
      <c r="AZ6">
        <f>IF(ROW()-3&gt;MAX(AY$4:AY$40),"",INDEX(AX$4:AX$40,MATCH(ROW()-3,AY$4:AY$40,0)))</f>
        <v/>
      </c>
      <c r="BA6">
        <f>IF(AND($B$6:$E$6,$G$6:$AJ$6),IF('Final Calculation Sheet'!$D$6="","",'Final Calculation Sheet'!$D$6),"")</f>
        <v/>
      </c>
      <c r="BB6">
        <f>IF(BA6="","",COUNTIFS(BA$4:BA$40,"&lt;"&amp;BA6,BA$4:BA$40,"&lt;&gt;"&amp;"")+COUNTIF(BA$4:BA6,BA6))</f>
        <v/>
      </c>
      <c r="BC6">
        <f>IF(ROW()-3&gt;COUNTIF(BA$4:BA$40,"&lt;&gt;"&amp;""),"",INDEX(BA$4:BA$40,MATCH(ROW()-3,BB$4:BB$40,0)))</f>
        <v/>
      </c>
      <c r="BD6">
        <f>BD5+IF(AND(BC6&lt;&gt;"",COUNTIF(BC$4:BC6,BC6)=1),1,0)</f>
        <v/>
      </c>
      <c r="BE6">
        <f>IF(ROW()-3&gt;MAX(BD$4:BD$40),"",INDEX(BC$4:BC$40,MATCH(ROW()-3,BD$4:BD$40,0)))</f>
        <v/>
      </c>
      <c r="BF6">
        <f>IF(AND($B$6:$F$6,$H$6:$AJ$6),IF('Final Calculation Sheet'!$A$6="","",'Final Calculation Sheet'!$A$6),"")</f>
        <v/>
      </c>
      <c r="BG6">
        <f>IF(BF6="","",COUNTIFS(BF$4:BF$40,"&lt;"&amp;BF6,BF$4:BF$40,"&lt;&gt;"&amp;"")+COUNTIF(BF$4:BF6,BF6))</f>
        <v/>
      </c>
      <c r="BH6">
        <f>IF(ROW()-3&gt;COUNTIF(BF$4:BF$40,"&lt;&gt;"&amp;""),"",INDEX(BF$4:BF$40,MATCH(ROW()-3,BG$4:BG$40,0)))</f>
        <v/>
      </c>
      <c r="BI6">
        <f>BI5+IF(AND(BH6&lt;&gt;"",COUNTIF(BH$4:BH6,BH6)=1),1,0)</f>
        <v/>
      </c>
      <c r="BJ6">
        <f>IF(ROW()-3&gt;MAX(BI$4:BI$40),"",INDEX(BH$4:BH$40,MATCH(ROW()-3,BI$4:BI$40,0)))</f>
        <v/>
      </c>
      <c r="BK6">
        <f>IF(AND($B$6:$G$6,$I$6:$AJ$6),IF('Final Calculation Sheet'!$E$6="","",'Final Calculation Sheet'!$E$6),"")</f>
        <v/>
      </c>
      <c r="BL6">
        <f>IF(BK6="","",COUNTIFS(BK$4:BK$40,"&lt;"&amp;BK6,BK$4:BK$40,"&lt;&gt;"&amp;"")+COUNTIF(BK$4:BK6,BK6))</f>
        <v/>
      </c>
      <c r="BM6">
        <f>IF(ROW()-3&gt;COUNTIF(BK$4:BK$40,"&lt;&gt;"&amp;""),"",INDEX(BK$4:BK$40,MATCH(ROW()-3,BL$4:BL$40,0)))</f>
        <v/>
      </c>
      <c r="BN6">
        <f>BN5+IF(AND(BM6&lt;&gt;"",COUNTIF(BM$4:BM6,BM6)=1),1,0)</f>
        <v/>
      </c>
      <c r="BO6">
        <f>IF(ROW()-3&gt;MAX(BN$4:BN$40),"",INDEX(BM$4:BM$40,MATCH(ROW()-3,BN$4:BN$40,0)))</f>
        <v/>
      </c>
      <c r="BP6" s="55">
        <f>IF(AND($B$6:$H$6,$J$6:$AJ$6),IF('Final Calculation Sheet'!$C$6="","",'Final Calculation Sheet'!$C$6),"")</f>
        <v/>
      </c>
      <c r="BQ6">
        <f>IF(BP6="","",COUNTIFS(BP$4:BP$40,"&lt;"&amp;BP6,BP$4:BP$40,"&lt;&gt;"&amp;"")+COUNTIF(BP$4:BP6,BP6))</f>
        <v/>
      </c>
      <c r="BR6" s="55">
        <f>IF(ROW()-3&gt;COUNTIF(BP$4:BP$40,"&lt;&gt;"&amp;""),"",INDEX(BP$4:BP$40,MATCH(ROW()-3,BQ$4:BQ$40,0)))</f>
        <v/>
      </c>
      <c r="BS6">
        <f>BS5+IF(AND(BR6&lt;&gt;"",COUNTIF(BR$4:BR6,BR6)=1),1,0)</f>
        <v/>
      </c>
      <c r="BT6" s="55">
        <f>IF(ROW()-3&gt;MAX(BS$4:BS$40),"",INDEX(BR$4:BR$40,MATCH(ROW()-3,BS$4:BS$40,0)))</f>
        <v/>
      </c>
      <c r="BU6" s="55">
        <f>IF(AND($B$6:$I$6,$K$6:$AJ$6),IF('Final Calculation Sheet'!$H$6="","",'Final Calculation Sheet'!$H$6),"")</f>
        <v/>
      </c>
      <c r="BV6">
        <f>IF(BU6="","",COUNTIFS(BU$4:BU$40,"&lt;"&amp;BU6,BU$4:BU$40,"&lt;&gt;"&amp;"")+COUNTIF(BU$4:BU6,BU6))</f>
        <v/>
      </c>
      <c r="BW6" s="55">
        <f>IF(ROW()-3&gt;COUNTIF(BU$4:BU$40,"&lt;&gt;"&amp;""),"",INDEX(BU$4:BU$40,MATCH(ROW()-3,BV$4:BV$40,0)))</f>
        <v/>
      </c>
      <c r="BX6">
        <f>BX5+IF(AND(BW6&lt;&gt;"",COUNTIF(BW$4:BW6,BW6)=1),1,0)</f>
        <v/>
      </c>
      <c r="BY6" s="55">
        <f>IF(ROW()-3&gt;MAX(BX$4:BX$40),"",INDEX(BW$4:BW$40,MATCH(ROW()-3,BX$4:BX$40,0)))</f>
        <v/>
      </c>
      <c r="BZ6" s="55">
        <f>IF(AND($B$6:$J$6,$L$6:$AJ$6),IF('Final Calculation Sheet'!$I$6="","",'Final Calculation Sheet'!$I$6),"")</f>
        <v/>
      </c>
      <c r="CA6">
        <f>IF(BZ6="","",COUNTIFS(BZ$4:BZ$40,"&lt;"&amp;BZ6,BZ$4:BZ$40,"&lt;&gt;"&amp;"")+COUNTIF(BZ$4:BZ6,BZ6))</f>
        <v/>
      </c>
      <c r="CB6" s="55">
        <f>IF(ROW()-3&gt;COUNTIF(BZ$4:BZ$40,"&lt;&gt;"&amp;""),"",INDEX(BZ$4:BZ$40,MATCH(ROW()-3,CA$4:CA$40,0)))</f>
        <v/>
      </c>
      <c r="CC6">
        <f>CC5+IF(AND(CB6&lt;&gt;"",COUNTIF(CB$4:CB6,CB6)=1),1,0)</f>
        <v/>
      </c>
      <c r="CD6" s="55">
        <f>IF(ROW()-3&gt;MAX(CC$4:CC$40),"",INDEX(CB$4:CB$40,MATCH(ROW()-3,CC$4:CC$40,0)))</f>
        <v/>
      </c>
      <c r="CE6" s="55">
        <f>IF(AND($B$6:$K$6,$M$6:$AJ$6),IF('Final Calculation Sheet'!$J$6="","",'Final Calculation Sheet'!$J$6),"")</f>
        <v/>
      </c>
      <c r="CF6">
        <f>IF(CE6="","",COUNTIFS(CE$4:CE$40,"&lt;"&amp;CE6,CE$4:CE$40,"&lt;&gt;"&amp;"")+COUNTIF(CE$4:CE6,CE6))</f>
        <v/>
      </c>
      <c r="CG6" s="55">
        <f>IF(ROW()-3&gt;COUNTIF(CE$4:CE$40,"&lt;&gt;"&amp;""),"",INDEX(CE$4:CE$40,MATCH(ROW()-3,CF$4:CF$40,0)))</f>
        <v/>
      </c>
      <c r="CH6">
        <f>CH5+IF(AND(CG6&lt;&gt;"",COUNTIF(CG$4:CG6,CG6)=1),1,0)</f>
        <v/>
      </c>
      <c r="CI6" s="55">
        <f>IF(ROW()-3&gt;MAX(CH$4:CH$40),"",INDEX(CG$4:CG$40,MATCH(ROW()-3,CH$4:CH$40,0)))</f>
        <v/>
      </c>
      <c r="CJ6" s="55">
        <f>IF(AND($B$6:$L$6,$N$6:$AJ$6),IF('Final Calculation Sheet'!$K$6="","",'Final Calculation Sheet'!$K$6),"")</f>
        <v/>
      </c>
      <c r="CK6">
        <f>IF(CJ6="","",COUNTIFS(CJ$4:CJ$40,"&lt;"&amp;CJ6,CJ$4:CJ$40,"&lt;&gt;"&amp;"")+COUNTIF(CJ$4:CJ6,CJ6))</f>
        <v/>
      </c>
      <c r="CL6" s="55">
        <f>IF(ROW()-3&gt;COUNTIF(CJ$4:CJ$40,"&lt;&gt;"&amp;""),"",INDEX(CJ$4:CJ$40,MATCH(ROW()-3,CK$4:CK$40,0)))</f>
        <v/>
      </c>
      <c r="CM6">
        <f>CM5+IF(AND(CL6&lt;&gt;"",COUNTIF(CL$4:CL6,CL6)=1),1,0)</f>
        <v/>
      </c>
      <c r="CN6" s="55">
        <f>IF(ROW()-3&gt;MAX(CM$4:CM$40),"",INDEX(CL$4:CL$40,MATCH(ROW()-3,CM$4:CM$40,0)))</f>
        <v/>
      </c>
      <c r="CO6" s="55">
        <f>IF(AND($B$6:$M$6,$O$6:$AJ$6),IF('Final Calculation Sheet'!$L$6="","",'Final Calculation Sheet'!$L$6),"")</f>
        <v/>
      </c>
      <c r="CP6">
        <f>IF(CO6="","",COUNTIFS(CO$4:CO$40,"&lt;"&amp;CO6,CO$4:CO$40,"&lt;&gt;"&amp;"")+COUNTIF(CO$4:CO6,CO6))</f>
        <v/>
      </c>
      <c r="CQ6" s="55">
        <f>IF(ROW()-3&gt;COUNTIF(CO$4:CO$40,"&lt;&gt;"&amp;""),"",INDEX(CO$4:CO$40,MATCH(ROW()-3,CP$4:CP$40,0)))</f>
        <v/>
      </c>
      <c r="CR6">
        <f>CR5+IF(AND(CQ6&lt;&gt;"",COUNTIF(CQ$4:CQ6,CQ6)=1),1,0)</f>
        <v/>
      </c>
      <c r="CS6" s="55">
        <f>IF(ROW()-3&gt;MAX(CR$4:CR$40),"",INDEX(CQ$4:CQ$40,MATCH(ROW()-3,CR$4:CR$40,0)))</f>
        <v/>
      </c>
      <c r="CT6" s="55">
        <f>IF(AND($B$6:$N$6,$P$6:$AJ$6),IF('Final Calculation Sheet'!$M$6="","",'Final Calculation Sheet'!$M$6),"")</f>
        <v/>
      </c>
      <c r="CU6">
        <f>IF(CT6="","",COUNTIFS(CT$4:CT$40,"&lt;"&amp;CT6,CT$4:CT$40,"&lt;&gt;"&amp;"")+COUNTIF(CT$4:CT6,CT6))</f>
        <v/>
      </c>
      <c r="CV6" s="55">
        <f>IF(ROW()-3&gt;COUNTIF(CT$4:CT$40,"&lt;&gt;"&amp;""),"",INDEX(CT$4:CT$40,MATCH(ROW()-3,CU$4:CU$40,0)))</f>
        <v/>
      </c>
      <c r="CW6">
        <f>CW5+IF(AND(CV6&lt;&gt;"",COUNTIF(CV$4:CV6,CV6)=1),1,0)</f>
        <v/>
      </c>
      <c r="CX6" s="55">
        <f>IF(ROW()-3&gt;MAX(CW$4:CW$40),"",INDEX(CV$4:CV$40,MATCH(ROW()-3,CW$4:CW$40,0)))</f>
        <v/>
      </c>
      <c r="CY6" s="138">
        <f>IF(AND($B$6:$O$6,$Q$6:$AJ$6),IF('Final Calculation Sheet'!$N$6="","",'Final Calculation Sheet'!$N$6),"")</f>
        <v/>
      </c>
      <c r="CZ6">
        <f>IF(CY6="","",COUNTIFS(CY$4:CY$40,"&lt;"&amp;CY6,CY$4:CY$40,"&lt;&gt;"&amp;"")+COUNTIF(CY$4:CY6,CY6))</f>
        <v/>
      </c>
      <c r="DA6" s="138">
        <f>IF(ROW()-3&gt;COUNTIF(CY$4:CY$40,"&lt;&gt;"&amp;""),"",INDEX(CY$4:CY$40,MATCH(ROW()-3,CZ$4:CZ$40,0)))</f>
        <v/>
      </c>
      <c r="DB6">
        <f>DB5+IF(AND(DA6&lt;&gt;"",COUNTIF(DA$4:DA6,DA6)=1),1,0)</f>
        <v/>
      </c>
      <c r="DC6" s="138">
        <f>IF(ROW()-3&gt;MAX(DB$4:DB$40),"",INDEX(DA$4:DA$40,MATCH(ROW()-3,DB$4:DB$40,0)))</f>
        <v/>
      </c>
      <c r="DD6" s="55">
        <f>IF(AND($B$6:$P$6,$R$6:$AJ$6),IF('Final Calculation Sheet'!$O$6="","",'Final Calculation Sheet'!$O$6),"")</f>
        <v/>
      </c>
      <c r="DE6">
        <f>IF(DD6="","",COUNTIFS(DD$4:DD$40,"&lt;"&amp;DD6,DD$4:DD$40,"&lt;&gt;"&amp;"")+COUNTIF(DD$4:DD6,DD6))</f>
        <v/>
      </c>
      <c r="DF6" s="55">
        <f>IF(ROW()-3&gt;COUNTIF(DD$4:DD$40,"&lt;&gt;"&amp;""),"",INDEX(DD$4:DD$40,MATCH(ROW()-3,DE$4:DE$40,0)))</f>
        <v/>
      </c>
      <c r="DG6">
        <f>DG5+IF(AND(DF6&lt;&gt;"",COUNTIF(DF$4:DF6,DF6)=1),1,0)</f>
        <v/>
      </c>
      <c r="DH6" s="55">
        <f>IF(ROW()-3&gt;MAX(DG$4:DG$40),"",INDEX(DF$4:DF$40,MATCH(ROW()-3,DG$4:DG$40,0)))</f>
        <v/>
      </c>
      <c r="DI6" s="55">
        <f>IF(AND($B$6:$Q$6,$S$6:$AJ$6),IF('Final Calculation Sheet'!$P$6="","",'Final Calculation Sheet'!$P$6),"")</f>
        <v/>
      </c>
      <c r="DJ6">
        <f>IF(DI6="","",COUNTIFS(DI$4:DI$40,"&lt;"&amp;DI6,DI$4:DI$40,"&lt;&gt;"&amp;"")+COUNTIF(DI$4:DI6,DI6))</f>
        <v/>
      </c>
      <c r="DK6" s="55">
        <f>IF(ROW()-3&gt;COUNTIF(DI$4:DI$40,"&lt;&gt;"&amp;""),"",INDEX(DI$4:DI$40,MATCH(ROW()-3,DJ$4:DJ$40,0)))</f>
        <v/>
      </c>
      <c r="DL6">
        <f>DL5+IF(AND(DK6&lt;&gt;"",COUNTIF(DK$4:DK6,DK6)=1),1,0)</f>
        <v/>
      </c>
      <c r="DM6" s="55">
        <f>IF(ROW()-3&gt;MAX(DL$4:DL$40),"",INDEX(DK$4:DK$40,MATCH(ROW()-3,DL$4:DL$40,0)))</f>
        <v/>
      </c>
      <c r="DN6" s="139">
        <f>IF(AND($B$6:$R$6,$T$6:$AJ$6),IF('Final Calculation Sheet'!$Q$6="","",'Final Calculation Sheet'!$Q$6),"")</f>
        <v/>
      </c>
      <c r="DO6">
        <f>IF(DN6="","",COUNTIFS(DN$4:DN$40,"&lt;"&amp;DN6,DN$4:DN$40,"&lt;&gt;"&amp;"")+COUNTIF(DN$4:DN6,DN6))</f>
        <v/>
      </c>
      <c r="DP6" s="139">
        <f>IF(ROW()-3&gt;COUNTIF(DN$4:DN$40,"&lt;&gt;"&amp;""),"",INDEX(DN$4:DN$40,MATCH(ROW()-3,DO$4:DO$40,0)))</f>
        <v/>
      </c>
      <c r="DQ6">
        <f>DQ5+IF(AND(DP6&lt;&gt;"",COUNTIF(DP$4:DP6,DP6)=1),1,0)</f>
        <v/>
      </c>
      <c r="DR6" s="139">
        <f>IF(ROW()-3&gt;MAX(DQ$4:DQ$40),"",INDEX(DP$4:DP$40,MATCH(ROW()-3,DQ$4:DQ$40,0)))</f>
        <v/>
      </c>
      <c r="DS6" s="55">
        <f>IF(AND($B$6:$S$6,$U$6:$AJ$6),IF('Final Calculation Sheet'!$R$6="","",'Final Calculation Sheet'!$R$6),"")</f>
        <v/>
      </c>
      <c r="DT6">
        <f>IF(DS6="","",COUNTIFS(DS$4:DS$40,"&lt;"&amp;DS6,DS$4:DS$40,"&lt;&gt;"&amp;"")+COUNTIF(DS$4:DS6,DS6))</f>
        <v/>
      </c>
      <c r="DU6" s="55">
        <f>IF(ROW()-3&gt;COUNTIF(DS$4:DS$40,"&lt;&gt;"&amp;""),"",INDEX(DS$4:DS$40,MATCH(ROW()-3,DT$4:DT$40,0)))</f>
        <v/>
      </c>
      <c r="DV6">
        <f>DV5+IF(AND(DU6&lt;&gt;"",COUNTIF(DU$4:DU6,DU6)=1),1,0)</f>
        <v/>
      </c>
      <c r="DW6" s="55">
        <f>IF(ROW()-3&gt;MAX(DV$4:DV$40),"",INDEX(DU$4:DU$40,MATCH(ROW()-3,DV$4:DV$40,0)))</f>
        <v/>
      </c>
      <c r="DX6" s="55">
        <f>IF(AND($B$6:$T$6,$V$6:$AJ$6),IF('Final Calculation Sheet'!$S$6="","",'Final Calculation Sheet'!$S$6),"")</f>
        <v/>
      </c>
      <c r="DY6">
        <f>IF(DX6="","",COUNTIFS(DX$4:DX$40,"&lt;"&amp;DX6,DX$4:DX$40,"&lt;&gt;"&amp;"")+COUNTIF(DX$4:DX6,DX6))</f>
        <v/>
      </c>
      <c r="DZ6" s="55">
        <f>IF(ROW()-3&gt;COUNTIF(DX$4:DX$40,"&lt;&gt;"&amp;""),"",INDEX(DX$4:DX$40,MATCH(ROW()-3,DY$4:DY$40,0)))</f>
        <v/>
      </c>
      <c r="EA6">
        <f>EA5+IF(AND(DZ6&lt;&gt;"",COUNTIF(DZ$4:DZ6,DZ6)=1),1,0)</f>
        <v/>
      </c>
      <c r="EB6" s="55">
        <f>IF(ROW()-3&gt;MAX(EA$4:EA$40),"",INDEX(DZ$4:DZ$40,MATCH(ROW()-3,EA$4:EA$40,0)))</f>
        <v/>
      </c>
      <c r="EC6" s="55">
        <f>IF(AND($B$6:$U$6,$W$6:$AJ$6),IF('Final Calculation Sheet'!$T$6="","",'Final Calculation Sheet'!$T$6),"")</f>
        <v/>
      </c>
      <c r="ED6">
        <f>IF(EC6="","",COUNTIFS(EC$4:EC$40,"&lt;"&amp;EC6,EC$4:EC$40,"&lt;&gt;"&amp;"")+COUNTIF(EC$4:EC6,EC6))</f>
        <v/>
      </c>
      <c r="EE6" s="55">
        <f>IF(ROW()-3&gt;COUNTIF(EC$4:EC$40,"&lt;&gt;"&amp;""),"",INDEX(EC$4:EC$40,MATCH(ROW()-3,ED$4:ED$40,0)))</f>
        <v/>
      </c>
      <c r="EF6">
        <f>EF5+IF(AND(EE6&lt;&gt;"",COUNTIF(EE$4:EE6,EE6)=1),1,0)</f>
        <v/>
      </c>
      <c r="EG6" s="55">
        <f>IF(ROW()-3&gt;MAX(EF$4:EF$40),"",INDEX(EE$4:EE$40,MATCH(ROW()-3,EF$4:EF$40,0)))</f>
        <v/>
      </c>
      <c r="EH6" s="140">
        <f>IF(AND($B$6:$V$6,$X$6:$AJ$6),IF('Final Calculation Sheet'!$U$6="","",'Final Calculation Sheet'!$U$6),"")</f>
        <v/>
      </c>
      <c r="EI6">
        <f>IF(EH6="","",COUNTIFS(EH$4:EH$40,"&lt;"&amp;EH6,EH$4:EH$40,"&lt;&gt;"&amp;"")+COUNTIF(EH$4:EH6,EH6))</f>
        <v/>
      </c>
      <c r="EJ6" s="140">
        <f>IF(ROW()-3&gt;COUNTIF(EH$4:EH$40,"&lt;&gt;"&amp;""),"",INDEX(EH$4:EH$40,MATCH(ROW()-3,EI$4:EI$40,0)))</f>
        <v/>
      </c>
      <c r="EK6">
        <f>EK5+IF(AND(EJ6&lt;&gt;"",COUNTIF(EJ$4:EJ6,EJ6)=1),1,0)</f>
        <v/>
      </c>
      <c r="EL6" s="140">
        <f>IF(ROW()-3&gt;MAX(EK$4:EK$40),"",INDEX(EJ$4:EJ$40,MATCH(ROW()-3,EK$4:EK$40,0)))</f>
        <v/>
      </c>
      <c r="EM6">
        <f>IF(AND($B$6:$W$6,$Y$6:$AJ$6),IF('Final Calculation Sheet'!$V$6="","",'Final Calculation Sheet'!$V$6),"")</f>
        <v/>
      </c>
      <c r="EN6">
        <f>IF(EM6="","",COUNTIFS(EM$4:EM$40,"&lt;"&amp;EM6,EM$4:EM$40,"&lt;&gt;"&amp;"")+COUNTIF(EM$4:EM6,EM6))</f>
        <v/>
      </c>
      <c r="EO6">
        <f>IF(ROW()-3&gt;COUNTIF(EM$4:EM$40,"&lt;&gt;"&amp;""),"",INDEX(EM$4:EM$40,MATCH(ROW()-3,EN$4:EN$40,0)))</f>
        <v/>
      </c>
      <c r="EP6">
        <f>EP5+IF(AND(EO6&lt;&gt;"",COUNTIF(EO$4:EO6,EO6)=1),1,0)</f>
        <v/>
      </c>
      <c r="EQ6">
        <f>IF(ROW()-3&gt;MAX(EP$4:EP$40),"",INDEX(EO$4:EO$40,MATCH(ROW()-3,EP$4:EP$40,0)))</f>
        <v/>
      </c>
      <c r="ER6" s="55">
        <f>IF(AND($B$6:$X$6,$Z$6:$AJ$6),IF('Final Calculation Sheet'!$W$6="","",'Final Calculation Sheet'!$W$6),"")</f>
        <v/>
      </c>
      <c r="ES6">
        <f>IF(ER6="","",COUNTIFS(ER$4:ER$40,"&lt;"&amp;ER6,ER$4:ER$40,"&lt;&gt;"&amp;"")+COUNTIF(ER$4:ER6,ER6))</f>
        <v/>
      </c>
      <c r="ET6" s="55">
        <f>IF(ROW()-3&gt;COUNTIF(ER$4:ER$40,"&lt;&gt;"&amp;""),"",INDEX(ER$4:ER$40,MATCH(ROW()-3,ES$4:ES$40,0)))</f>
        <v/>
      </c>
      <c r="EU6">
        <f>EU5+IF(AND(ET6&lt;&gt;"",COUNTIF(ET$4:ET6,ET6)=1),1,0)</f>
        <v/>
      </c>
      <c r="EV6" s="55">
        <f>IF(ROW()-3&gt;MAX(EU$4:EU$40),"",INDEX(ET$4:ET$40,MATCH(ROW()-3,EU$4:EU$40,0)))</f>
        <v/>
      </c>
      <c r="EW6" s="55">
        <f>IF(AND($B$6:$Y$6,$AA$6:$AJ$6),IF('Final Calculation Sheet'!$X$6="","",'Final Calculation Sheet'!$X$6),"")</f>
        <v/>
      </c>
      <c r="EX6">
        <f>IF(EW6="","",COUNTIFS(EW$4:EW$40,"&lt;"&amp;EW6,EW$4:EW$40,"&lt;&gt;"&amp;"")+COUNTIF(EW$4:EW6,EW6))</f>
        <v/>
      </c>
      <c r="EY6" s="55">
        <f>IF(ROW()-3&gt;COUNTIF(EW$4:EW$40,"&lt;&gt;"&amp;""),"",INDEX(EW$4:EW$40,MATCH(ROW()-3,EX$4:EX$40,0)))</f>
        <v/>
      </c>
      <c r="EZ6">
        <f>EZ5+IF(AND(EY6&lt;&gt;"",COUNTIF(EY$4:EY6,EY6)=1),1,0)</f>
        <v/>
      </c>
      <c r="FA6">
        <f>IF(ROW()-3&gt;MAX(EZ$4:EZ$40),"",INDEX(EY$4:EY$40,MATCH(ROW()-3,EZ$4:EZ$40,0)))</f>
        <v/>
      </c>
      <c r="FB6">
        <f>IF(AND($B$6:$Z$6,$AB$6:$AJ$6),IF('Final Calculation Sheet'!$Y$6="","",'Final Calculation Sheet'!$Y$6),"")</f>
        <v/>
      </c>
      <c r="FC6">
        <f>IF(FB6="","",COUNTIFS(FB$4:FB$40,"&lt;"&amp;FB6,FB$4:FB$40,"&lt;&gt;"&amp;"")+COUNTIF(FB$4:FB6,FB6))</f>
        <v/>
      </c>
      <c r="FD6">
        <f>IF(ROW()-3&gt;COUNTIF(FB$4:FB$40,"&lt;&gt;"&amp;""),"",INDEX(FB$4:FB$40,MATCH(ROW()-3,FC$4:FC$40,0)))</f>
        <v/>
      </c>
      <c r="FE6">
        <f>FE5+IF(AND(FD6&lt;&gt;"",COUNTIF(FD$4:FD6,FD6)=1),1,0)</f>
        <v/>
      </c>
      <c r="FF6">
        <f>IF(ROW()-3&gt;MAX(FE$4:FE$40),"",INDEX(FD$4:FD$40,MATCH(ROW()-3,FE$4:FE$40,0)))</f>
        <v/>
      </c>
      <c r="FG6" s="55">
        <f>IF(AND($B$6:$AA$6,$AC$6:$AJ$6),IF('Final Calculation Sheet'!$Z$6="","",'Final Calculation Sheet'!$Z$6),"")</f>
        <v/>
      </c>
      <c r="FH6">
        <f>IF(FG6="","",COUNTIFS(FG$4:FG$40,"&lt;"&amp;FG6,FG$4:FG$40,"&lt;&gt;"&amp;"")+COUNTIF(FG$4:FG6,FG6))</f>
        <v/>
      </c>
      <c r="FI6" s="55">
        <f>IF(ROW()-3&gt;COUNTIF(FG$4:FG$40,"&lt;&gt;"&amp;""),"",INDEX(FG$4:FG$40,MATCH(ROW()-3,FH$4:FH$40,0)))</f>
        <v/>
      </c>
      <c r="FJ6">
        <f>FJ5+IF(AND(FI6&lt;&gt;"",COUNTIF(FI$4:FI6,FI6)=1),1,0)</f>
        <v/>
      </c>
      <c r="FK6" s="55">
        <f>IF(ROW()-3&gt;MAX(FJ$4:FJ$40),"",INDEX(FI$4:FI$40,MATCH(ROW()-3,FJ$4:FJ$40,0)))</f>
        <v/>
      </c>
      <c r="FL6">
        <f>IF(AND($B$6:$AB$6,$AD$6:$AJ$6),IF('Final Calculation Sheet'!$AA$6="","",'Final Calculation Sheet'!$AA$6),"")</f>
        <v/>
      </c>
      <c r="FM6">
        <f>IF(FL6="","",COUNTIFS(FL$4:FL$40,"&lt;"&amp;FL6,FL$4:FL$40,"&lt;&gt;"&amp;"")+COUNTIF(FL$4:FL6,FL6))</f>
        <v/>
      </c>
      <c r="FN6">
        <f>IF(ROW()-3&gt;COUNTIF(FL$4:FL$40,"&lt;&gt;"&amp;""),"",INDEX(FL$4:FL$40,MATCH(ROW()-3,FM$4:FM$40,0)))</f>
        <v/>
      </c>
      <c r="FO6">
        <f>FO5+IF(AND(FN6&lt;&gt;"",COUNTIF(FN$4:FN6,FN6)=1),1,0)</f>
        <v/>
      </c>
      <c r="FP6">
        <f>IF(ROW()-3&gt;MAX(FO$4:FO$40),"",INDEX(FN$4:FN$40,MATCH(ROW()-3,FO$4:FO$40,0)))</f>
        <v/>
      </c>
      <c r="FQ6">
        <f>IF(AND($B$6:$AC$6,$AE$6:$AJ$6),IF('Final Calculation Sheet'!$AB$6="","",'Final Calculation Sheet'!$AB$6),"")</f>
        <v/>
      </c>
      <c r="FR6">
        <f>IF(FQ6="","",COUNTIFS(FQ$4:FQ$40,"&lt;"&amp;FQ6,FQ$4:FQ$40,"&lt;&gt;"&amp;"")+COUNTIF(FQ$4:FQ6,FQ6))</f>
        <v/>
      </c>
      <c r="FS6">
        <f>IF(ROW()-3&gt;COUNTIF(FQ$4:FQ$40,"&lt;&gt;"&amp;""),"",INDEX(FQ$4:FQ$40,MATCH(ROW()-3,FR$4:FR$40,0)))</f>
        <v/>
      </c>
      <c r="FT6">
        <f>FT5+IF(AND(FS6&lt;&gt;"",COUNTIF(FS$4:FS6,FS6)=1),1,0)</f>
        <v/>
      </c>
      <c r="FU6">
        <f>IF(ROW()-3&gt;MAX(FT$4:FT$40),"",INDEX(FS$4:FS$40,MATCH(ROW()-3,FT$4:FT$40,0)))</f>
        <v/>
      </c>
      <c r="FV6" s="55">
        <f>IF(AND($B$6:$AD$6,$AF$6:$AJ$6),IF('Final Calculation Sheet'!$AC$6="","",'Final Calculation Sheet'!$AC$6),"")</f>
        <v/>
      </c>
      <c r="FW6">
        <f>IF(FV6="","",COUNTIFS(FV$4:FV$40,"&lt;"&amp;FV6,FV$4:FV$40,"&lt;&gt;"&amp;"")+COUNTIF(FV$4:FV6,FV6))</f>
        <v/>
      </c>
      <c r="FX6" s="55">
        <f>IF(ROW()-3&gt;COUNTIF(FV$4:FV$40,"&lt;&gt;"&amp;""),"",INDEX(FV$4:FV$40,MATCH(ROW()-3,FW$4:FW$40,0)))</f>
        <v/>
      </c>
      <c r="FY6">
        <f>FY5+IF(AND(FX6&lt;&gt;"",COUNTIF(FX$4:FX6,FX6)=1),1,0)</f>
        <v/>
      </c>
      <c r="FZ6" s="55">
        <f>IF(ROW()-3&gt;MAX(FY$4:FY$40),"",INDEX(FX$4:FX$40,MATCH(ROW()-3,FY$4:FY$40,0)))</f>
        <v/>
      </c>
      <c r="GA6" s="55">
        <f>IF(AND($B$6:$AE$6,$AG$6:$AJ$6),IF('Final Calculation Sheet'!$AD$6="","",'Final Calculation Sheet'!$AD$6),"")</f>
        <v/>
      </c>
      <c r="GB6">
        <f>IF(GA6="","",COUNTIFS(GA$4:GA$40,"&lt;"&amp;GA6,GA$4:GA$40,"&lt;&gt;"&amp;"")+COUNTIF(GA$4:GA6,GA6))</f>
        <v/>
      </c>
      <c r="GC6" s="55">
        <f>IF(ROW()-3&gt;COUNTIF(GA$4:GA$40,"&lt;&gt;"&amp;""),"",INDEX(GA$4:GA$40,MATCH(ROW()-3,GB$4:GB$40,0)))</f>
        <v/>
      </c>
      <c r="GD6">
        <f>GD5+IF(AND(GC6&lt;&gt;"",COUNTIF(GC$4:GC6,GC6)=1),1,0)</f>
        <v/>
      </c>
      <c r="GE6" s="55">
        <f>IF(ROW()-3&gt;MAX(GD$4:GD$40),"",INDEX(GC$4:GC$40,MATCH(ROW()-3,GD$4:GD$40,0)))</f>
        <v/>
      </c>
      <c r="GF6">
        <f>IF(AND($B$6:$AF$6,$AH$6:$AJ$6),IF('Final Calculation Sheet'!$AE$6="","",'Final Calculation Sheet'!$AE$6),"")</f>
        <v/>
      </c>
      <c r="GG6">
        <f>IF(GF6="","",COUNTIFS(GF$4:GF$40,"&lt;"&amp;GF6,GF$4:GF$40,"&lt;&gt;"&amp;"")+COUNTIF(GF$4:GF6,GF6))</f>
        <v/>
      </c>
      <c r="GH6">
        <f>IF(ROW()-3&gt;COUNTIF(GF$4:GF$40,"&lt;&gt;"&amp;""),"",INDEX(GF$4:GF$40,MATCH(ROW()-3,GG$4:GG$40,0)))</f>
        <v/>
      </c>
      <c r="GI6">
        <f>GI5+IF(AND(GH6&lt;&gt;"",COUNTIF(GH$4:GH6,GH6)=1),1,0)</f>
        <v/>
      </c>
      <c r="GJ6">
        <f>IF(ROW()-3&gt;MAX(GI$4:GI$40),"",INDEX(GH$4:GH$40,MATCH(ROW()-3,GI$4:GI$40,0)))</f>
        <v/>
      </c>
      <c r="GK6" s="141">
        <f>IF(AND($B$6:$AG$6,$AI$6:$AJ$6),IF('Final Calculation Sheet'!$AF$6="","",'Final Calculation Sheet'!$AF$6),"")</f>
        <v/>
      </c>
      <c r="GL6">
        <f>IF(GK6="","",COUNTIFS(GK$4:GK$40,"&lt;"&amp;GK6,GK$4:GK$40,"&lt;&gt;"&amp;"")+COUNTIF(GK$4:GK6,GK6))</f>
        <v/>
      </c>
      <c r="GM6" s="141">
        <f>IF(ROW()-3&gt;COUNTIF(GK$4:GK$40,"&lt;&gt;"&amp;""),"",INDEX(GK$4:GK$40,MATCH(ROW()-3,GL$4:GL$40,0)))</f>
        <v/>
      </c>
      <c r="GN6">
        <f>GN5+IF(AND(GM6&lt;&gt;"",COUNTIF(GM$4:GM6,GM6)=1),1,0)</f>
        <v/>
      </c>
      <c r="GO6">
        <f>IF(ROW()-3&gt;MAX(GN$4:GN$40),"",INDEX(GM$4:GM$40,MATCH(ROW()-3,GN$4:GN$40,0)))</f>
        <v/>
      </c>
      <c r="GP6">
        <f>IF(AND($B$6:$AH$6,$AJ$6:$AJ$6),IF('Final Calculation Sheet'!$AG$6="","",'Final Calculation Sheet'!$AG$6),"")</f>
        <v/>
      </c>
      <c r="GQ6">
        <f>IF(GP6="","",COUNTIFS(GP$4:GP$40,"&lt;"&amp;GP6,GP$4:GP$40,"&lt;&gt;"&amp;"")+COUNTIF(GP$4:GP6,GP6))</f>
        <v/>
      </c>
      <c r="GR6">
        <f>IF(ROW()-3&gt;COUNTIF(GP$4:GP$40,"&lt;&gt;"&amp;""),"",INDEX(GP$4:GP$40,MATCH(ROW()-3,GQ$4:GQ$40,0)))</f>
        <v/>
      </c>
      <c r="GS6">
        <f>GS5+IF(AND(GR6&lt;&gt;"",COUNTIF(GR$4:GR6,GR6)=1),1,0)</f>
        <v/>
      </c>
      <c r="GT6">
        <f>IF(ROW()-3&gt;MAX(GS$4:GS$40),"",INDEX(GR$4:GR$40,MATCH(ROW()-3,GS$4:GS$40,0)))</f>
        <v/>
      </c>
    </row>
    <row r="7">
      <c r="A7" t="inlineStr">
        <is>
          <t>Final row 7</t>
        </is>
      </c>
      <c r="B7" t="b">
        <v>1</v>
      </c>
      <c r="C7">
        <f>IF($C$3=FALSE,TRUE,IF(OR(UPPER(TRIM($C$2))="(BLANK)",UPPER(TRIM($C$2))="BLANK",AND($C$2&lt;&gt;"",TRIM($C$2)="")),(IF('Final Calculation Sheet'!$F$7="","",'Final Calculation Sheet'!$F$7))="",IF(OR(UPPER(TRIM($C$2))="(NONBLANK)",UPPER(TRIM($C$2))="NONBLANK",TRIM($C$2)="&lt;&gt;"),(IF('Final Calculation Sheet'!$F$7="","",'Final Calculation Sheet'!$F$7))&lt;&gt;"",UPPER(TRIM((IF('Final Calculation Sheet'!$F$7="","",'Final Calculation Sheet'!$F$7))&amp;""))=UPPER(TRIM($C$2&amp;"")))))</f>
        <v/>
      </c>
      <c r="D7">
        <f>IF($D$3=FALSE,TRUE,IF(OR(UPPER(TRIM($D$2))="(BLANK)",UPPER(TRIM($D$2))="BLANK",AND($D$2&lt;&gt;"",TRIM($D$2)="")),(IF('Final Calculation Sheet'!$G$7="","",'Final Calculation Sheet'!$G$7))="",IF(OR(UPPER(TRIM($D$2))="(NONBLANK)",UPPER(TRIM($D$2))="NONBLANK",TRIM($D$2)="&lt;&gt;"),(IF('Final Calculation Sheet'!$G$7="","",'Final Calculation Sheet'!$G$7))&lt;&gt;"",UPPER(TRIM((IF('Final Calculation Sheet'!$G$7="","",'Final Calculation Sheet'!$G$7))&amp;""))=UPPER(TRIM($D$2&amp;"")))))</f>
        <v/>
      </c>
      <c r="E7">
        <f>IF($E$3=FALSE,TRUE,IF(OR(UPPER(TRIM($E$2))="(BLANK)",UPPER(TRIM($E$2))="BLANK",AND($E$2&lt;&gt;"",TRIM($E$2)="")),(IF('Final Calculation Sheet'!$B$7="","",'Final Calculation Sheet'!$B$7))="",IF(OR(UPPER(TRIM($E$2))="(NONBLANK)",UPPER(TRIM($E$2))="NONBLANK",TRIM($E$2)="&lt;&gt;"),(IF('Final Calculation Sheet'!$B$7="","",'Final Calculation Sheet'!$B$7))&lt;&gt;"",UPPER(TRIM((IF('Final Calculation Sheet'!$B$7="","",'Final Calculation Sheet'!$B$7))&amp;""))=UPPER(TRIM($E$2&amp;"")))))</f>
        <v/>
      </c>
      <c r="F7">
        <f>IF($F$3=FALSE,TRUE,IF(OR(UPPER(TRIM($F$2))="(BLANK)",UPPER(TRIM($F$2))="BLANK",AND($F$2&lt;&gt;"",TRIM($F$2)="")),(IF('Final Calculation Sheet'!$D$7="","",'Final Calculation Sheet'!$D$7))="",IF(OR(UPPER(TRIM($F$2))="(NONBLANK)",UPPER(TRIM($F$2))="NONBLANK",TRIM($F$2)="&lt;&gt;"),(IF('Final Calculation Sheet'!$D$7="","",'Final Calculation Sheet'!$D$7))&lt;&gt;"",UPPER(TRIM((IF('Final Calculation Sheet'!$D$7="","",'Final Calculation Sheet'!$D$7))&amp;""))=UPPER(TRIM($F$2&amp;"")))))</f>
        <v/>
      </c>
      <c r="G7">
        <f>IF($G$3=FALSE,TRUE,IF(OR(UPPER(TRIM($G$2))="(BLANK)",UPPER(TRIM($G$2))="BLANK",AND($G$2&lt;&gt;"",TRIM($G$2)="")),(IF('Final Calculation Sheet'!$A$7="","",'Final Calculation Sheet'!$A$7))="",IF(OR(UPPER(TRIM($G$2))="(NONBLANK)",UPPER(TRIM($G$2))="NONBLANK",TRIM($G$2)="&lt;&gt;"),(IF('Final Calculation Sheet'!$A$7="","",'Final Calculation Sheet'!$A$7))&lt;&gt;"",UPPER(TRIM((IF('Final Calculation Sheet'!$A$7="","",'Final Calculation Sheet'!$A$7))&amp;""))=UPPER(TRIM($G$2&amp;"")))))</f>
        <v/>
      </c>
      <c r="H7">
        <f>IF($H$3=FALSE,TRUE,IF(OR(UPPER(TRIM($H$2))="(BLANK)",UPPER(TRIM($H$2))="BLANK",AND($H$2&lt;&gt;"",TRIM($H$2)="")),(IF('Final Calculation Sheet'!$E$7="","",'Final Calculation Sheet'!$E$7))="",IF(OR(UPPER(TRIM($H$2))="(NONBLANK)",UPPER(TRIM($H$2))="NONBLANK",TRIM($H$2)="&lt;&gt;"),(IF('Final Calculation Sheet'!$E$7="","",'Final Calculation Sheet'!$E$7))&lt;&gt;"",UPPER(TRIM((IF('Final Calculation Sheet'!$E$7="","",'Final Calculation Sheet'!$E$7))&amp;""))=UPPER(TRIM($H$2&amp;"")))))</f>
        <v/>
      </c>
      <c r="I7">
        <f>IF($I$3=FALSE,TRUE,IF(OR(UPPER(TRIM($I$2))="(BLANK)",UPPER(TRIM($I$2))="BLANK",AND($I$2&lt;&gt;"",TRIM($I$2)="")),(IF('Final Calculation Sheet'!$C$7="","",'Final Calculation Sheet'!$C$7))="",IF(OR(UPPER(TRIM($I$2))="(NONBLANK)",UPPER(TRIM($I$2))="NONBLANK",TRIM($I$2)="&lt;&gt;"),(IF('Final Calculation Sheet'!$C$7="","",'Final Calculation Sheet'!$C$7))&lt;&gt;"",UPPER(TRIM((IF('Final Calculation Sheet'!$C$7="","",'Final Calculation Sheet'!$C$7))&amp;""))=UPPER(TRIM($I$2&amp;"")))))</f>
        <v/>
      </c>
      <c r="J7">
        <f>IF($J$3=FALSE,TRUE,IF(OR(UPPER(TRIM($J$2))="(BLANK)",UPPER(TRIM($J$2))="BLANK",AND($J$2&lt;&gt;"",TRIM($J$2)="")),(IF('Final Calculation Sheet'!$H$7="","",'Final Calculation Sheet'!$H$7))="",IF(OR(UPPER(TRIM($J$2))="(NONBLANK)",UPPER(TRIM($J$2))="NONBLANK",TRIM($J$2)="&lt;&gt;"),(IF('Final Calculation Sheet'!$H$7="","",'Final Calculation Sheet'!$H$7))&lt;&gt;"",UPPER(TRIM((IF('Final Calculation Sheet'!$H$7="","",'Final Calculation Sheet'!$H$7))&amp;""))=UPPER(TRIM($J$2&amp;"")))))</f>
        <v/>
      </c>
      <c r="K7">
        <f>IF($K$3=FALSE,TRUE,IF(OR(UPPER(TRIM($K$2))="(BLANK)",UPPER(TRIM($K$2))="BLANK",AND($K$2&lt;&gt;"",TRIM($K$2)="")),(IF('Final Calculation Sheet'!$I$7="","",'Final Calculation Sheet'!$I$7))="",IF(OR(UPPER(TRIM($K$2))="(NONBLANK)",UPPER(TRIM($K$2))="NONBLANK",TRIM($K$2)="&lt;&gt;"),(IF('Final Calculation Sheet'!$I$7="","",'Final Calculation Sheet'!$I$7))&lt;&gt;"",UPPER(TRIM((IF('Final Calculation Sheet'!$I$7="","",'Final Calculation Sheet'!$I$7))&amp;""))=UPPER(TRIM($K$2&amp;"")))))</f>
        <v/>
      </c>
      <c r="L7">
        <f>IF($L$3=FALSE,TRUE,IF(OR(UPPER(TRIM($L$2))="(BLANK)",UPPER(TRIM($L$2))="BLANK",AND($L$2&lt;&gt;"",TRIM($L$2)="")),(IF('Final Calculation Sheet'!$J$7="","",'Final Calculation Sheet'!$J$7))="",IF(OR(UPPER(TRIM($L$2))="(NONBLANK)",UPPER(TRIM($L$2))="NONBLANK",TRIM($L$2)="&lt;&gt;"),(IF('Final Calculation Sheet'!$J$7="","",'Final Calculation Sheet'!$J$7))&lt;&gt;"",UPPER(TRIM((IF('Final Calculation Sheet'!$J$7="","",'Final Calculation Sheet'!$J$7))&amp;""))=UPPER(TRIM($L$2&amp;"")))))</f>
        <v/>
      </c>
      <c r="M7">
        <f>IF($M$3=FALSE,TRUE,IF(OR(UPPER(TRIM($M$2))="(BLANK)",UPPER(TRIM($M$2))="BLANK",AND($M$2&lt;&gt;"",TRIM($M$2)="")),(IF('Final Calculation Sheet'!$K$7="","",'Final Calculation Sheet'!$K$7))="",IF(OR(UPPER(TRIM($M$2))="(NONBLANK)",UPPER(TRIM($M$2))="NONBLANK",TRIM($M$2)="&lt;&gt;"),(IF('Final Calculation Sheet'!$K$7="","",'Final Calculation Sheet'!$K$7))&lt;&gt;"",UPPER(TRIM((IF('Final Calculation Sheet'!$K$7="","",'Final Calculation Sheet'!$K$7))&amp;""))=UPPER(TRIM($M$2&amp;"")))))</f>
        <v/>
      </c>
      <c r="N7">
        <f>IF($N$3=FALSE,TRUE,IF(OR(UPPER(TRIM($N$2))="(BLANK)",UPPER(TRIM($N$2))="BLANK",AND($N$2&lt;&gt;"",TRIM($N$2)="")),(IF('Final Calculation Sheet'!$L$7="","",'Final Calculation Sheet'!$L$7))="",IF(OR(UPPER(TRIM($N$2))="(NONBLANK)",UPPER(TRIM($N$2))="NONBLANK",TRIM($N$2)="&lt;&gt;"),(IF('Final Calculation Sheet'!$L$7="","",'Final Calculation Sheet'!$L$7))&lt;&gt;"",UPPER(TRIM((IF('Final Calculation Sheet'!$L$7="","",'Final Calculation Sheet'!$L$7))&amp;""))=UPPER(TRIM($N$2&amp;"")))))</f>
        <v/>
      </c>
      <c r="O7">
        <f>IF($O$3=FALSE,TRUE,IF(OR(UPPER(TRIM($O$2))="(BLANK)",UPPER(TRIM($O$2))="BLANK",AND($O$2&lt;&gt;"",TRIM($O$2)="")),(IF('Final Calculation Sheet'!$M$7="","",'Final Calculation Sheet'!$M$7))="",IF(OR(UPPER(TRIM($O$2))="(NONBLANK)",UPPER(TRIM($O$2))="NONBLANK",TRIM($O$2)="&lt;&gt;"),(IF('Final Calculation Sheet'!$M$7="","",'Final Calculation Sheet'!$M$7))&lt;&gt;"",UPPER(TRIM((IF('Final Calculation Sheet'!$M$7="","",'Final Calculation Sheet'!$M$7))&amp;""))=UPPER(TRIM($O$2&amp;"")))))</f>
        <v/>
      </c>
      <c r="P7">
        <f>IF($P$3=FALSE,TRUE,IF(OR(UPPER(TRIM($P$2))="(BLANK)",UPPER(TRIM($P$2))="BLANK",AND($P$2&lt;&gt;"",TRIM($P$2)="")),(IF('Final Calculation Sheet'!$N$7="","",'Final Calculation Sheet'!$N$7))="",IF(OR(UPPER(TRIM($P$2))="(NONBLANK)",UPPER(TRIM($P$2))="NONBLANK",TRIM($P$2)="&lt;&gt;"),(IF('Final Calculation Sheet'!$N$7="","",'Final Calculation Sheet'!$N$7))&lt;&gt;"",UPPER(TRIM((IF('Final Calculation Sheet'!$N$7="","",'Final Calculation Sheet'!$N$7))&amp;""))=UPPER(TRIM($P$2&amp;"")))))</f>
        <v/>
      </c>
      <c r="Q7">
        <f>IF($Q$3=FALSE,TRUE,IF(OR(UPPER(TRIM($Q$2))="(BLANK)",UPPER(TRIM($Q$2))="BLANK",AND($Q$2&lt;&gt;"",TRIM($Q$2)="")),(IF('Final Calculation Sheet'!$O$7="","",'Final Calculation Sheet'!$O$7))="",IF(OR(UPPER(TRIM($Q$2))="(NONBLANK)",UPPER(TRIM($Q$2))="NONBLANK",TRIM($Q$2)="&lt;&gt;"),(IF('Final Calculation Sheet'!$O$7="","",'Final Calculation Sheet'!$O$7))&lt;&gt;"",UPPER(TRIM((IF('Final Calculation Sheet'!$O$7="","",'Final Calculation Sheet'!$O$7))&amp;""))=UPPER(TRIM($Q$2&amp;"")))))</f>
        <v/>
      </c>
      <c r="R7">
        <f>IF($R$3=FALSE,TRUE,IF(OR(UPPER(TRIM($R$2))="(BLANK)",UPPER(TRIM($R$2))="BLANK",AND($R$2&lt;&gt;"",TRIM($R$2)="")),(IF('Final Calculation Sheet'!$P$7="","",'Final Calculation Sheet'!$P$7))="",IF(OR(UPPER(TRIM($R$2))="(NONBLANK)",UPPER(TRIM($R$2))="NONBLANK",TRIM($R$2)="&lt;&gt;"),(IF('Final Calculation Sheet'!$P$7="","",'Final Calculation Sheet'!$P$7))&lt;&gt;"",UPPER(TRIM((IF('Final Calculation Sheet'!$P$7="","",'Final Calculation Sheet'!$P$7))&amp;""))=UPPER(TRIM($R$2&amp;"")))))</f>
        <v/>
      </c>
      <c r="S7">
        <f>IF($S$3=FALSE,TRUE,IF(OR(UPPER(TRIM($S$2))="(BLANK)",UPPER(TRIM($S$2))="BLANK",AND($S$2&lt;&gt;"",TRIM($S$2)="")),(IF('Final Calculation Sheet'!$Q$7="","",'Final Calculation Sheet'!$Q$7))="",IF(OR(UPPER(TRIM($S$2))="(NONBLANK)",UPPER(TRIM($S$2))="NONBLANK",TRIM($S$2)="&lt;&gt;"),(IF('Final Calculation Sheet'!$Q$7="","",'Final Calculation Sheet'!$Q$7))&lt;&gt;"",UPPER(TRIM((IF('Final Calculation Sheet'!$Q$7="","",'Final Calculation Sheet'!$Q$7))&amp;""))=UPPER(TRIM($S$2&amp;"")))))</f>
        <v/>
      </c>
      <c r="T7">
        <f>IF($T$3=FALSE,TRUE,IF(OR(UPPER(TRIM($T$2))="(BLANK)",UPPER(TRIM($T$2))="BLANK",AND($T$2&lt;&gt;"",TRIM($T$2)="")),(IF('Final Calculation Sheet'!$R$7="","",'Final Calculation Sheet'!$R$7))="",IF(OR(UPPER(TRIM($T$2))="(NONBLANK)",UPPER(TRIM($T$2))="NONBLANK",TRIM($T$2)="&lt;&gt;"),(IF('Final Calculation Sheet'!$R$7="","",'Final Calculation Sheet'!$R$7))&lt;&gt;"",UPPER(TRIM((IF('Final Calculation Sheet'!$R$7="","",'Final Calculation Sheet'!$R$7))&amp;""))=UPPER(TRIM($T$2&amp;"")))))</f>
        <v/>
      </c>
      <c r="U7">
        <f>IF($U$3=FALSE,TRUE,IF(OR(UPPER(TRIM($U$2))="(BLANK)",UPPER(TRIM($U$2))="BLANK",AND($U$2&lt;&gt;"",TRIM($U$2)="")),(IF('Final Calculation Sheet'!$S$7="","",'Final Calculation Sheet'!$S$7))="",IF(OR(UPPER(TRIM($U$2))="(NONBLANK)",UPPER(TRIM($U$2))="NONBLANK",TRIM($U$2)="&lt;&gt;"),(IF('Final Calculation Sheet'!$S$7="","",'Final Calculation Sheet'!$S$7))&lt;&gt;"",UPPER(TRIM((IF('Final Calculation Sheet'!$S$7="","",'Final Calculation Sheet'!$S$7))&amp;""))=UPPER(TRIM($U$2&amp;"")))))</f>
        <v/>
      </c>
      <c r="V7">
        <f>IF($V$3=FALSE,TRUE,IF(OR(UPPER(TRIM($V$2))="(BLANK)",UPPER(TRIM($V$2))="BLANK",AND($V$2&lt;&gt;"",TRIM($V$2)="")),(IF('Final Calculation Sheet'!$T$7="","",'Final Calculation Sheet'!$T$7))="",IF(OR(UPPER(TRIM($V$2))="(NONBLANK)",UPPER(TRIM($V$2))="NONBLANK",TRIM($V$2)="&lt;&gt;"),(IF('Final Calculation Sheet'!$T$7="","",'Final Calculation Sheet'!$T$7))&lt;&gt;"",UPPER(TRIM((IF('Final Calculation Sheet'!$T$7="","",'Final Calculation Sheet'!$T$7))&amp;""))=UPPER(TRIM($V$2&amp;"")))))</f>
        <v/>
      </c>
      <c r="W7">
        <f>IF($W$3=FALSE,TRUE,IF(OR(UPPER(TRIM($W$2))="(BLANK)",UPPER(TRIM($W$2))="BLANK",AND($W$2&lt;&gt;"",TRIM($W$2)="")),(IF('Final Calculation Sheet'!$U$7="","",'Final Calculation Sheet'!$U$7))="",IF(OR(UPPER(TRIM($W$2))="(NONBLANK)",UPPER(TRIM($W$2))="NONBLANK",TRIM($W$2)="&lt;&gt;"),(IF('Final Calculation Sheet'!$U$7="","",'Final Calculation Sheet'!$U$7))&lt;&gt;"",UPPER(TRIM((IF('Final Calculation Sheet'!$U$7="","",'Final Calculation Sheet'!$U$7))&amp;""))=UPPER(TRIM($W$2&amp;"")))))</f>
        <v/>
      </c>
      <c r="X7">
        <f>IF($X$3=FALSE,TRUE,IF(OR(UPPER(TRIM($X$2))="(BLANK)",UPPER(TRIM($X$2))="BLANK",AND($X$2&lt;&gt;"",TRIM($X$2)="")),(IF('Final Calculation Sheet'!$V$7="","",'Final Calculation Sheet'!$V$7))="",IF(OR(UPPER(TRIM($X$2))="(NONBLANK)",UPPER(TRIM($X$2))="NONBLANK",TRIM($X$2)="&lt;&gt;"),(IF('Final Calculation Sheet'!$V$7="","",'Final Calculation Sheet'!$V$7))&lt;&gt;"",UPPER(TRIM((IF('Final Calculation Sheet'!$V$7="","",'Final Calculation Sheet'!$V$7))&amp;""))=UPPER(TRIM($X$2&amp;"")))))</f>
        <v/>
      </c>
      <c r="Y7">
        <f>IF($Y$3=FALSE,TRUE,IF(OR(UPPER(TRIM($Y$2))="(BLANK)",UPPER(TRIM($Y$2))="BLANK",AND($Y$2&lt;&gt;"",TRIM($Y$2)="")),(IF('Final Calculation Sheet'!$W$7="","",'Final Calculation Sheet'!$W$7))="",IF(OR(UPPER(TRIM($Y$2))="(NONBLANK)",UPPER(TRIM($Y$2))="NONBLANK",TRIM($Y$2)="&lt;&gt;"),(IF('Final Calculation Sheet'!$W$7="","",'Final Calculation Sheet'!$W$7))&lt;&gt;"",UPPER(TRIM((IF('Final Calculation Sheet'!$W$7="","",'Final Calculation Sheet'!$W$7))&amp;""))=UPPER(TRIM($Y$2&amp;"")))))</f>
        <v/>
      </c>
      <c r="Z7">
        <f>IF($Z$3=FALSE,TRUE,IF(OR(UPPER(TRIM($Z$2))="(BLANK)",UPPER(TRIM($Z$2))="BLANK",AND($Z$2&lt;&gt;"",TRIM($Z$2)="")),(IF('Final Calculation Sheet'!$X$7="","",'Final Calculation Sheet'!$X$7))="",IF(OR(UPPER(TRIM($Z$2))="(NONBLANK)",UPPER(TRIM($Z$2))="NONBLANK",TRIM($Z$2)="&lt;&gt;"),(IF('Final Calculation Sheet'!$X$7="","",'Final Calculation Sheet'!$X$7))&lt;&gt;"",UPPER(TRIM((IF('Final Calculation Sheet'!$X$7="","",'Final Calculation Sheet'!$X$7))&amp;""))=UPPER(TRIM($Z$2&amp;"")))))</f>
        <v/>
      </c>
      <c r="AA7">
        <f>IF($AA$3=FALSE,TRUE,IF(OR(UPPER(TRIM($AA$2))="(BLANK)",UPPER(TRIM($AA$2))="BLANK",AND($AA$2&lt;&gt;"",TRIM($AA$2)="")),(IF('Final Calculation Sheet'!$Y$7="","",'Final Calculation Sheet'!$Y$7))="",IF(OR(UPPER(TRIM($AA$2))="(NONBLANK)",UPPER(TRIM($AA$2))="NONBLANK",TRIM($AA$2)="&lt;&gt;"),(IF('Final Calculation Sheet'!$Y$7="","",'Final Calculation Sheet'!$Y$7))&lt;&gt;"",UPPER(TRIM((IF('Final Calculation Sheet'!$Y$7="","",'Final Calculation Sheet'!$Y$7))&amp;""))=UPPER(TRIM($AA$2&amp;"")))))</f>
        <v/>
      </c>
      <c r="AB7">
        <f>IF($AB$3=FALSE,TRUE,IF(OR(UPPER(TRIM($AB$2))="(BLANK)",UPPER(TRIM($AB$2))="BLANK",AND($AB$2&lt;&gt;"",TRIM($AB$2)="")),(IF('Final Calculation Sheet'!$Z$7="","",'Final Calculation Sheet'!$Z$7))="",IF(OR(UPPER(TRIM($AB$2))="(NONBLANK)",UPPER(TRIM($AB$2))="NONBLANK",TRIM($AB$2)="&lt;&gt;"),(IF('Final Calculation Sheet'!$Z$7="","",'Final Calculation Sheet'!$Z$7))&lt;&gt;"",UPPER(TRIM((IF('Final Calculation Sheet'!$Z$7="","",'Final Calculation Sheet'!$Z$7))&amp;""))=UPPER(TRIM($AB$2&amp;"")))))</f>
        <v/>
      </c>
      <c r="AC7">
        <f>IF($AC$3=FALSE,TRUE,IF(OR(UPPER(TRIM($AC$2))="(BLANK)",UPPER(TRIM($AC$2))="BLANK",AND($AC$2&lt;&gt;"",TRIM($AC$2)="")),(IF('Final Calculation Sheet'!$AA$7="","",'Final Calculation Sheet'!$AA$7))="",IF(OR(UPPER(TRIM($AC$2))="(NONBLANK)",UPPER(TRIM($AC$2))="NONBLANK",TRIM($AC$2)="&lt;&gt;"),(IF('Final Calculation Sheet'!$AA$7="","",'Final Calculation Sheet'!$AA$7))&lt;&gt;"",UPPER(TRIM((IF('Final Calculation Sheet'!$AA$7="","",'Final Calculation Sheet'!$AA$7))&amp;""))=UPPER(TRIM($AC$2&amp;"")))))</f>
        <v/>
      </c>
      <c r="AD7">
        <f>IF($AD$3=FALSE,TRUE,IF(OR(UPPER(TRIM($AD$2))="(BLANK)",UPPER(TRIM($AD$2))="BLANK",AND($AD$2&lt;&gt;"",TRIM($AD$2)="")),(IF('Final Calculation Sheet'!$AB$7="","",'Final Calculation Sheet'!$AB$7))="",IF(OR(UPPER(TRIM($AD$2))="(NONBLANK)",UPPER(TRIM($AD$2))="NONBLANK",TRIM($AD$2)="&lt;&gt;"),(IF('Final Calculation Sheet'!$AB$7="","",'Final Calculation Sheet'!$AB$7))&lt;&gt;"",UPPER(TRIM((IF('Final Calculation Sheet'!$AB$7="","",'Final Calculation Sheet'!$AB$7))&amp;""))=UPPER(TRIM($AD$2&amp;"")))))</f>
        <v/>
      </c>
      <c r="AE7">
        <f>IF($AE$3=FALSE,TRUE,IF(OR(UPPER(TRIM($AE$2))="(BLANK)",UPPER(TRIM($AE$2))="BLANK",AND($AE$2&lt;&gt;"",TRIM($AE$2)="")),(IF('Final Calculation Sheet'!$AC$7="","",'Final Calculation Sheet'!$AC$7))="",IF(OR(UPPER(TRIM($AE$2))="(NONBLANK)",UPPER(TRIM($AE$2))="NONBLANK",TRIM($AE$2)="&lt;&gt;"),(IF('Final Calculation Sheet'!$AC$7="","",'Final Calculation Sheet'!$AC$7))&lt;&gt;"",UPPER(TRIM((IF('Final Calculation Sheet'!$AC$7="","",'Final Calculation Sheet'!$AC$7))&amp;""))=UPPER(TRIM($AE$2&amp;"")))))</f>
        <v/>
      </c>
      <c r="AF7">
        <f>IF($AF$3=FALSE,TRUE,IF(OR(UPPER(TRIM($AF$2))="(BLANK)",UPPER(TRIM($AF$2))="BLANK",AND($AF$2&lt;&gt;"",TRIM($AF$2)="")),(IF('Final Calculation Sheet'!$AD$7="","",'Final Calculation Sheet'!$AD$7))="",IF(OR(UPPER(TRIM($AF$2))="(NONBLANK)",UPPER(TRIM($AF$2))="NONBLANK",TRIM($AF$2)="&lt;&gt;"),(IF('Final Calculation Sheet'!$AD$7="","",'Final Calculation Sheet'!$AD$7))&lt;&gt;"",UPPER(TRIM((IF('Final Calculation Sheet'!$AD$7="","",'Final Calculation Sheet'!$AD$7))&amp;""))=UPPER(TRIM($AF$2&amp;"")))))</f>
        <v/>
      </c>
      <c r="AG7">
        <f>IF($AG$3=FALSE,TRUE,IF(OR(UPPER(TRIM($AG$2))="(BLANK)",UPPER(TRIM($AG$2))="BLANK",AND($AG$2&lt;&gt;"",TRIM($AG$2)="")),(IF('Final Calculation Sheet'!$AE$7="","",'Final Calculation Sheet'!$AE$7))="",IF(OR(UPPER(TRIM($AG$2))="(NONBLANK)",UPPER(TRIM($AG$2))="NONBLANK",TRIM($AG$2)="&lt;&gt;"),(IF('Final Calculation Sheet'!$AE$7="","",'Final Calculation Sheet'!$AE$7))&lt;&gt;"",UPPER(TRIM((IF('Final Calculation Sheet'!$AE$7="","",'Final Calculation Sheet'!$AE$7))&amp;""))=UPPER(TRIM($AG$2&amp;"")))))</f>
        <v/>
      </c>
      <c r="AH7">
        <f>IF($AH$3=FALSE,TRUE,IF(OR(UPPER(TRIM($AH$2))="(BLANK)",UPPER(TRIM($AH$2))="BLANK",AND($AH$2&lt;&gt;"",TRIM($AH$2)="")),(IF('Final Calculation Sheet'!$AF$7="","",'Final Calculation Sheet'!$AF$7))="",IF(OR(UPPER(TRIM($AH$2))="(NONBLANK)",UPPER(TRIM($AH$2))="NONBLANK",TRIM($AH$2)="&lt;&gt;"),(IF('Final Calculation Sheet'!$AF$7="","",'Final Calculation Sheet'!$AF$7))&lt;&gt;"",UPPER(TRIM((IF('Final Calculation Sheet'!$AF$7="","",'Final Calculation Sheet'!$AF$7))&amp;""))=UPPER(TRIM($AH$2&amp;"")))))</f>
        <v/>
      </c>
      <c r="AI7">
        <f>IF($AI$3=FALSE,TRUE,IF(OR(UPPER(TRIM($AI$2))="(BLANK)",UPPER(TRIM($AI$2))="BLANK",AND($AI$2&lt;&gt;"",TRIM($AI$2)="")),(IF('Final Calculation Sheet'!$AG$7="","",'Final Calculation Sheet'!$AG$7))="",IF(OR(UPPER(TRIM($AI$2))="(NONBLANK)",UPPER(TRIM($AI$2))="NONBLANK",TRIM($AI$2)="&lt;&gt;"),(IF('Final Calculation Sheet'!$AG$7="","",'Final Calculation Sheet'!$AG$7))&lt;&gt;"",UPPER(TRIM((IF('Final Calculation Sheet'!$AG$7="","",'Final Calculation Sheet'!$AG$7))&amp;""))=UPPER(TRIM($AI$2&amp;"")))))</f>
        <v/>
      </c>
      <c r="AJ7">
        <f>IF($AJ$3=FALSE,TRUE,IF(OR(UPPER(TRIM($AJ$2))="(BLANK)",UPPER(TRIM($AJ$2))="BLANK",AND($AJ$2&lt;&gt;"",TRIM($AJ$2)="")),(IF('Final Calculation Sheet'!$AD$7="","",IF('Final Calculation Sheet'!$AD$7&lt;=5,"SETTLED","OUTSTANDING")))="",IF(OR(UPPER(TRIM($AJ$2))="(NONBLANK)",UPPER(TRIM($AJ$2))="NONBLANK",TRIM($AJ$2)="&lt;&gt;"),(IF('Final Calculation Sheet'!$AD$7="","",IF('Final Calculation Sheet'!$AD$7&lt;=5,"SETTLED","OUTSTANDING")))&lt;&gt;"",UPPER(TRIM((IF('Final Calculation Sheet'!$AD$7="","",IF('Final Calculation Sheet'!$AD$7&lt;=5,"SETTLED","OUTSTANDING")))&amp;""))=UPPER(TRIM($AJ$2&amp;"")))))</f>
        <v/>
      </c>
      <c r="AL7">
        <f>IF(AND($B$7,$D$7:$AJ$7),IF('Final Calculation Sheet'!$F$7="","",'Final Calculation Sheet'!$F$7),"")</f>
        <v/>
      </c>
      <c r="AM7">
        <f>IF(AL7="","",COUNTIFS(AL$4:AL$40,"&lt;"&amp;AL7,AL$4:AL$40,"&lt;&gt;"&amp;"")+COUNTIF(AL$4:AL7,AL7))</f>
        <v/>
      </c>
      <c r="AN7">
        <f>IF(ROW()-3&gt;COUNTIF(AL$4:AL$40,"&lt;&gt;"&amp;""),"",INDEX(AL$4:AL$40,MATCH(ROW()-3,AM$4:AM$40,0)))</f>
        <v/>
      </c>
      <c r="AO7">
        <f>AO6+IF(AND(AN7&lt;&gt;"",COUNTIF(AN$4:AN7,AN7)=1),1,0)</f>
        <v/>
      </c>
      <c r="AP7">
        <f>IF(ROW()-3&gt;MAX(AO$4:AO$40),"",INDEX(AN$4:AN$40,MATCH(ROW()-3,AO$4:AO$40,0)))</f>
        <v/>
      </c>
      <c r="AQ7">
        <f>IF(AND($B$7:$C$7,$E$7:$AJ$7),IF('Final Calculation Sheet'!$G$7="","",'Final Calculation Sheet'!$G$7),"")</f>
        <v/>
      </c>
      <c r="AR7">
        <f>IF(AQ7="","",COUNTIFS(AQ$4:AQ$40,"&lt;"&amp;AQ7,AQ$4:AQ$40,"&lt;&gt;"&amp;"")+COUNTIF(AQ$4:AQ7,AQ7))</f>
        <v/>
      </c>
      <c r="AS7">
        <f>IF(ROW()-3&gt;COUNTIF(AQ$4:AQ$40,"&lt;&gt;"&amp;""),"",INDEX(AQ$4:AQ$40,MATCH(ROW()-3,AR$4:AR$40,0)))</f>
        <v/>
      </c>
      <c r="AT7">
        <f>AT6+IF(AND(AS7&lt;&gt;"",COUNTIF(AS$4:AS7,AS7)=1),1,0)</f>
        <v/>
      </c>
      <c r="AU7">
        <f>IF(ROW()-3&gt;MAX(AT$4:AT$40),"",INDEX(AS$4:AS$40,MATCH(ROW()-3,AT$4:AT$40,0)))</f>
        <v/>
      </c>
      <c r="AV7">
        <f>IF(AND($B$7:$D$7,$F$7:$AJ$7),IF('Final Calculation Sheet'!$B$7="","",'Final Calculation Sheet'!$B$7),"")</f>
        <v/>
      </c>
      <c r="AW7">
        <f>IF(AV7="","",COUNTIFS(AV$4:AV$40,"&lt;"&amp;AV7,AV$4:AV$40,"&lt;&gt;"&amp;"")+COUNTIF(AV$4:AV7,AV7))</f>
        <v/>
      </c>
      <c r="AX7">
        <f>IF(ROW()-3&gt;COUNTIF(AV$4:AV$40,"&lt;&gt;"&amp;""),"",INDEX(AV$4:AV$40,MATCH(ROW()-3,AW$4:AW$40,0)))</f>
        <v/>
      </c>
      <c r="AY7">
        <f>AY6+IF(AND(AX7&lt;&gt;"",COUNTIF(AX$4:AX7,AX7)=1),1,0)</f>
        <v/>
      </c>
      <c r="AZ7">
        <f>IF(ROW()-3&gt;MAX(AY$4:AY$40),"",INDEX(AX$4:AX$40,MATCH(ROW()-3,AY$4:AY$40,0)))</f>
        <v/>
      </c>
      <c r="BA7">
        <f>IF(AND($B$7:$E$7,$G$7:$AJ$7),IF('Final Calculation Sheet'!$D$7="","",'Final Calculation Sheet'!$D$7),"")</f>
        <v/>
      </c>
      <c r="BB7">
        <f>IF(BA7="","",COUNTIFS(BA$4:BA$40,"&lt;"&amp;BA7,BA$4:BA$40,"&lt;&gt;"&amp;"")+COUNTIF(BA$4:BA7,BA7))</f>
        <v/>
      </c>
      <c r="BC7">
        <f>IF(ROW()-3&gt;COUNTIF(BA$4:BA$40,"&lt;&gt;"&amp;""),"",INDEX(BA$4:BA$40,MATCH(ROW()-3,BB$4:BB$40,0)))</f>
        <v/>
      </c>
      <c r="BD7">
        <f>BD6+IF(AND(BC7&lt;&gt;"",COUNTIF(BC$4:BC7,BC7)=1),1,0)</f>
        <v/>
      </c>
      <c r="BE7">
        <f>IF(ROW()-3&gt;MAX(BD$4:BD$40),"",INDEX(BC$4:BC$40,MATCH(ROW()-3,BD$4:BD$40,0)))</f>
        <v/>
      </c>
      <c r="BF7">
        <f>IF(AND($B$7:$F$7,$H$7:$AJ$7),IF('Final Calculation Sheet'!$A$7="","",'Final Calculation Sheet'!$A$7),"")</f>
        <v/>
      </c>
      <c r="BG7">
        <f>IF(BF7="","",COUNTIFS(BF$4:BF$40,"&lt;"&amp;BF7,BF$4:BF$40,"&lt;&gt;"&amp;"")+COUNTIF(BF$4:BF7,BF7))</f>
        <v/>
      </c>
      <c r="BH7">
        <f>IF(ROW()-3&gt;COUNTIF(BF$4:BF$40,"&lt;&gt;"&amp;""),"",INDEX(BF$4:BF$40,MATCH(ROW()-3,BG$4:BG$40,0)))</f>
        <v/>
      </c>
      <c r="BI7">
        <f>BI6+IF(AND(BH7&lt;&gt;"",COUNTIF(BH$4:BH7,BH7)=1),1,0)</f>
        <v/>
      </c>
      <c r="BJ7">
        <f>IF(ROW()-3&gt;MAX(BI$4:BI$40),"",INDEX(BH$4:BH$40,MATCH(ROW()-3,BI$4:BI$40,0)))</f>
        <v/>
      </c>
      <c r="BK7">
        <f>IF(AND($B$7:$G$7,$I$7:$AJ$7),IF('Final Calculation Sheet'!$E$7="","",'Final Calculation Sheet'!$E$7),"")</f>
        <v/>
      </c>
      <c r="BL7">
        <f>IF(BK7="","",COUNTIFS(BK$4:BK$40,"&lt;"&amp;BK7,BK$4:BK$40,"&lt;&gt;"&amp;"")+COUNTIF(BK$4:BK7,BK7))</f>
        <v/>
      </c>
      <c r="BM7">
        <f>IF(ROW()-3&gt;COUNTIF(BK$4:BK$40,"&lt;&gt;"&amp;""),"",INDEX(BK$4:BK$40,MATCH(ROW()-3,BL$4:BL$40,0)))</f>
        <v/>
      </c>
      <c r="BN7">
        <f>BN6+IF(AND(BM7&lt;&gt;"",COUNTIF(BM$4:BM7,BM7)=1),1,0)</f>
        <v/>
      </c>
      <c r="BO7">
        <f>IF(ROW()-3&gt;MAX(BN$4:BN$40),"",INDEX(BM$4:BM$40,MATCH(ROW()-3,BN$4:BN$40,0)))</f>
        <v/>
      </c>
      <c r="BP7" s="55">
        <f>IF(AND($B$7:$H$7,$J$7:$AJ$7),IF('Final Calculation Sheet'!$C$7="","",'Final Calculation Sheet'!$C$7),"")</f>
        <v/>
      </c>
      <c r="BQ7">
        <f>IF(BP7="","",COUNTIFS(BP$4:BP$40,"&lt;"&amp;BP7,BP$4:BP$40,"&lt;&gt;"&amp;"")+COUNTIF(BP$4:BP7,BP7))</f>
        <v/>
      </c>
      <c r="BR7" s="55">
        <f>IF(ROW()-3&gt;COUNTIF(BP$4:BP$40,"&lt;&gt;"&amp;""),"",INDEX(BP$4:BP$40,MATCH(ROW()-3,BQ$4:BQ$40,0)))</f>
        <v/>
      </c>
      <c r="BS7">
        <f>BS6+IF(AND(BR7&lt;&gt;"",COUNTIF(BR$4:BR7,BR7)=1),1,0)</f>
        <v/>
      </c>
      <c r="BT7" s="55">
        <f>IF(ROW()-3&gt;MAX(BS$4:BS$40),"",INDEX(BR$4:BR$40,MATCH(ROW()-3,BS$4:BS$40,0)))</f>
        <v/>
      </c>
      <c r="BU7" s="55">
        <f>IF(AND($B$7:$I$7,$K$7:$AJ$7),IF('Final Calculation Sheet'!$H$7="","",'Final Calculation Sheet'!$H$7),"")</f>
        <v/>
      </c>
      <c r="BV7">
        <f>IF(BU7="","",COUNTIFS(BU$4:BU$40,"&lt;"&amp;BU7,BU$4:BU$40,"&lt;&gt;"&amp;"")+COUNTIF(BU$4:BU7,BU7))</f>
        <v/>
      </c>
      <c r="BW7" s="55">
        <f>IF(ROW()-3&gt;COUNTIF(BU$4:BU$40,"&lt;&gt;"&amp;""),"",INDEX(BU$4:BU$40,MATCH(ROW()-3,BV$4:BV$40,0)))</f>
        <v/>
      </c>
      <c r="BX7">
        <f>BX6+IF(AND(BW7&lt;&gt;"",COUNTIF(BW$4:BW7,BW7)=1),1,0)</f>
        <v/>
      </c>
      <c r="BY7" s="55">
        <f>IF(ROW()-3&gt;MAX(BX$4:BX$40),"",INDEX(BW$4:BW$40,MATCH(ROW()-3,BX$4:BX$40,0)))</f>
        <v/>
      </c>
      <c r="BZ7" s="55">
        <f>IF(AND($B$7:$J$7,$L$7:$AJ$7),IF('Final Calculation Sheet'!$I$7="","",'Final Calculation Sheet'!$I$7),"")</f>
        <v/>
      </c>
      <c r="CA7">
        <f>IF(BZ7="","",COUNTIFS(BZ$4:BZ$40,"&lt;"&amp;BZ7,BZ$4:BZ$40,"&lt;&gt;"&amp;"")+COUNTIF(BZ$4:BZ7,BZ7))</f>
        <v/>
      </c>
      <c r="CB7" s="55">
        <f>IF(ROW()-3&gt;COUNTIF(BZ$4:BZ$40,"&lt;&gt;"&amp;""),"",INDEX(BZ$4:BZ$40,MATCH(ROW()-3,CA$4:CA$40,0)))</f>
        <v/>
      </c>
      <c r="CC7">
        <f>CC6+IF(AND(CB7&lt;&gt;"",COUNTIF(CB$4:CB7,CB7)=1),1,0)</f>
        <v/>
      </c>
      <c r="CD7" s="55">
        <f>IF(ROW()-3&gt;MAX(CC$4:CC$40),"",INDEX(CB$4:CB$40,MATCH(ROW()-3,CC$4:CC$40,0)))</f>
        <v/>
      </c>
      <c r="CE7" s="55">
        <f>IF(AND($B$7:$K$7,$M$7:$AJ$7),IF('Final Calculation Sheet'!$J$7="","",'Final Calculation Sheet'!$J$7),"")</f>
        <v/>
      </c>
      <c r="CF7">
        <f>IF(CE7="","",COUNTIFS(CE$4:CE$40,"&lt;"&amp;CE7,CE$4:CE$40,"&lt;&gt;"&amp;"")+COUNTIF(CE$4:CE7,CE7))</f>
        <v/>
      </c>
      <c r="CG7" s="55">
        <f>IF(ROW()-3&gt;COUNTIF(CE$4:CE$40,"&lt;&gt;"&amp;""),"",INDEX(CE$4:CE$40,MATCH(ROW()-3,CF$4:CF$40,0)))</f>
        <v/>
      </c>
      <c r="CH7">
        <f>CH6+IF(AND(CG7&lt;&gt;"",COUNTIF(CG$4:CG7,CG7)=1),1,0)</f>
        <v/>
      </c>
      <c r="CI7" s="55">
        <f>IF(ROW()-3&gt;MAX(CH$4:CH$40),"",INDEX(CG$4:CG$40,MATCH(ROW()-3,CH$4:CH$40,0)))</f>
        <v/>
      </c>
      <c r="CJ7" s="55">
        <f>IF(AND($B$7:$L$7,$N$7:$AJ$7),IF('Final Calculation Sheet'!$K$7="","",'Final Calculation Sheet'!$K$7),"")</f>
        <v/>
      </c>
      <c r="CK7">
        <f>IF(CJ7="","",COUNTIFS(CJ$4:CJ$40,"&lt;"&amp;CJ7,CJ$4:CJ$40,"&lt;&gt;"&amp;"")+COUNTIF(CJ$4:CJ7,CJ7))</f>
        <v/>
      </c>
      <c r="CL7" s="55">
        <f>IF(ROW()-3&gt;COUNTIF(CJ$4:CJ$40,"&lt;&gt;"&amp;""),"",INDEX(CJ$4:CJ$40,MATCH(ROW()-3,CK$4:CK$40,0)))</f>
        <v/>
      </c>
      <c r="CM7">
        <f>CM6+IF(AND(CL7&lt;&gt;"",COUNTIF(CL$4:CL7,CL7)=1),1,0)</f>
        <v/>
      </c>
      <c r="CN7" s="55">
        <f>IF(ROW()-3&gt;MAX(CM$4:CM$40),"",INDEX(CL$4:CL$40,MATCH(ROW()-3,CM$4:CM$40,0)))</f>
        <v/>
      </c>
      <c r="CO7" s="55">
        <f>IF(AND($B$7:$M$7,$O$7:$AJ$7),IF('Final Calculation Sheet'!$L$7="","",'Final Calculation Sheet'!$L$7),"")</f>
        <v/>
      </c>
      <c r="CP7">
        <f>IF(CO7="","",COUNTIFS(CO$4:CO$40,"&lt;"&amp;CO7,CO$4:CO$40,"&lt;&gt;"&amp;"")+COUNTIF(CO$4:CO7,CO7))</f>
        <v/>
      </c>
      <c r="CQ7" s="55">
        <f>IF(ROW()-3&gt;COUNTIF(CO$4:CO$40,"&lt;&gt;"&amp;""),"",INDEX(CO$4:CO$40,MATCH(ROW()-3,CP$4:CP$40,0)))</f>
        <v/>
      </c>
      <c r="CR7">
        <f>CR6+IF(AND(CQ7&lt;&gt;"",COUNTIF(CQ$4:CQ7,CQ7)=1),1,0)</f>
        <v/>
      </c>
      <c r="CS7" s="55">
        <f>IF(ROW()-3&gt;MAX(CR$4:CR$40),"",INDEX(CQ$4:CQ$40,MATCH(ROW()-3,CR$4:CR$40,0)))</f>
        <v/>
      </c>
      <c r="CT7" s="55">
        <f>IF(AND($B$7:$N$7,$P$7:$AJ$7),IF('Final Calculation Sheet'!$M$7="","",'Final Calculation Sheet'!$M$7),"")</f>
        <v/>
      </c>
      <c r="CU7">
        <f>IF(CT7="","",COUNTIFS(CT$4:CT$40,"&lt;"&amp;CT7,CT$4:CT$40,"&lt;&gt;"&amp;"")+COUNTIF(CT$4:CT7,CT7))</f>
        <v/>
      </c>
      <c r="CV7" s="55">
        <f>IF(ROW()-3&gt;COUNTIF(CT$4:CT$40,"&lt;&gt;"&amp;""),"",INDEX(CT$4:CT$40,MATCH(ROW()-3,CU$4:CU$40,0)))</f>
        <v/>
      </c>
      <c r="CW7">
        <f>CW6+IF(AND(CV7&lt;&gt;"",COUNTIF(CV$4:CV7,CV7)=1),1,0)</f>
        <v/>
      </c>
      <c r="CX7" s="55">
        <f>IF(ROW()-3&gt;MAX(CW$4:CW$40),"",INDEX(CV$4:CV$40,MATCH(ROW()-3,CW$4:CW$40,0)))</f>
        <v/>
      </c>
      <c r="CY7" s="138">
        <f>IF(AND($B$7:$O$7,$Q$7:$AJ$7),IF('Final Calculation Sheet'!$N$7="","",'Final Calculation Sheet'!$N$7),"")</f>
        <v/>
      </c>
      <c r="CZ7">
        <f>IF(CY7="","",COUNTIFS(CY$4:CY$40,"&lt;"&amp;CY7,CY$4:CY$40,"&lt;&gt;"&amp;"")+COUNTIF(CY$4:CY7,CY7))</f>
        <v/>
      </c>
      <c r="DA7" s="138">
        <f>IF(ROW()-3&gt;COUNTIF(CY$4:CY$40,"&lt;&gt;"&amp;""),"",INDEX(CY$4:CY$40,MATCH(ROW()-3,CZ$4:CZ$40,0)))</f>
        <v/>
      </c>
      <c r="DB7">
        <f>DB6+IF(AND(DA7&lt;&gt;"",COUNTIF(DA$4:DA7,DA7)=1),1,0)</f>
        <v/>
      </c>
      <c r="DC7" s="138">
        <f>IF(ROW()-3&gt;MAX(DB$4:DB$40),"",INDEX(DA$4:DA$40,MATCH(ROW()-3,DB$4:DB$40,0)))</f>
        <v/>
      </c>
      <c r="DD7" s="55">
        <f>IF(AND($B$7:$P$7,$R$7:$AJ$7),IF('Final Calculation Sheet'!$O$7="","",'Final Calculation Sheet'!$O$7),"")</f>
        <v/>
      </c>
      <c r="DE7">
        <f>IF(DD7="","",COUNTIFS(DD$4:DD$40,"&lt;"&amp;DD7,DD$4:DD$40,"&lt;&gt;"&amp;"")+COUNTIF(DD$4:DD7,DD7))</f>
        <v/>
      </c>
      <c r="DF7" s="55">
        <f>IF(ROW()-3&gt;COUNTIF(DD$4:DD$40,"&lt;&gt;"&amp;""),"",INDEX(DD$4:DD$40,MATCH(ROW()-3,DE$4:DE$40,0)))</f>
        <v/>
      </c>
      <c r="DG7">
        <f>DG6+IF(AND(DF7&lt;&gt;"",COUNTIF(DF$4:DF7,DF7)=1),1,0)</f>
        <v/>
      </c>
      <c r="DH7" s="55">
        <f>IF(ROW()-3&gt;MAX(DG$4:DG$40),"",INDEX(DF$4:DF$40,MATCH(ROW()-3,DG$4:DG$40,0)))</f>
        <v/>
      </c>
      <c r="DI7" s="55">
        <f>IF(AND($B$7:$Q$7,$S$7:$AJ$7),IF('Final Calculation Sheet'!$P$7="","",'Final Calculation Sheet'!$P$7),"")</f>
        <v/>
      </c>
      <c r="DJ7">
        <f>IF(DI7="","",COUNTIFS(DI$4:DI$40,"&lt;"&amp;DI7,DI$4:DI$40,"&lt;&gt;"&amp;"")+COUNTIF(DI$4:DI7,DI7))</f>
        <v/>
      </c>
      <c r="DK7" s="55">
        <f>IF(ROW()-3&gt;COUNTIF(DI$4:DI$40,"&lt;&gt;"&amp;""),"",INDEX(DI$4:DI$40,MATCH(ROW()-3,DJ$4:DJ$40,0)))</f>
        <v/>
      </c>
      <c r="DL7">
        <f>DL6+IF(AND(DK7&lt;&gt;"",COUNTIF(DK$4:DK7,DK7)=1),1,0)</f>
        <v/>
      </c>
      <c r="DM7" s="55">
        <f>IF(ROW()-3&gt;MAX(DL$4:DL$40),"",INDEX(DK$4:DK$40,MATCH(ROW()-3,DL$4:DL$40,0)))</f>
        <v/>
      </c>
      <c r="DN7" s="139">
        <f>IF(AND($B$7:$R$7,$T$7:$AJ$7),IF('Final Calculation Sheet'!$Q$7="","",'Final Calculation Sheet'!$Q$7),"")</f>
        <v/>
      </c>
      <c r="DO7">
        <f>IF(DN7="","",COUNTIFS(DN$4:DN$40,"&lt;"&amp;DN7,DN$4:DN$40,"&lt;&gt;"&amp;"")+COUNTIF(DN$4:DN7,DN7))</f>
        <v/>
      </c>
      <c r="DP7" s="139">
        <f>IF(ROW()-3&gt;COUNTIF(DN$4:DN$40,"&lt;&gt;"&amp;""),"",INDEX(DN$4:DN$40,MATCH(ROW()-3,DO$4:DO$40,0)))</f>
        <v/>
      </c>
      <c r="DQ7">
        <f>DQ6+IF(AND(DP7&lt;&gt;"",COUNTIF(DP$4:DP7,DP7)=1),1,0)</f>
        <v/>
      </c>
      <c r="DR7" s="139">
        <f>IF(ROW()-3&gt;MAX(DQ$4:DQ$40),"",INDEX(DP$4:DP$40,MATCH(ROW()-3,DQ$4:DQ$40,0)))</f>
        <v/>
      </c>
      <c r="DS7" s="55">
        <f>IF(AND($B$7:$S$7,$U$7:$AJ$7),IF('Final Calculation Sheet'!$R$7="","",'Final Calculation Sheet'!$R$7),"")</f>
        <v/>
      </c>
      <c r="DT7">
        <f>IF(DS7="","",COUNTIFS(DS$4:DS$40,"&lt;"&amp;DS7,DS$4:DS$40,"&lt;&gt;"&amp;"")+COUNTIF(DS$4:DS7,DS7))</f>
        <v/>
      </c>
      <c r="DU7" s="55">
        <f>IF(ROW()-3&gt;COUNTIF(DS$4:DS$40,"&lt;&gt;"&amp;""),"",INDEX(DS$4:DS$40,MATCH(ROW()-3,DT$4:DT$40,0)))</f>
        <v/>
      </c>
      <c r="DV7">
        <f>DV6+IF(AND(DU7&lt;&gt;"",COUNTIF(DU$4:DU7,DU7)=1),1,0)</f>
        <v/>
      </c>
      <c r="DW7" s="55">
        <f>IF(ROW()-3&gt;MAX(DV$4:DV$40),"",INDEX(DU$4:DU$40,MATCH(ROW()-3,DV$4:DV$40,0)))</f>
        <v/>
      </c>
      <c r="DX7" s="55">
        <f>IF(AND($B$7:$T$7,$V$7:$AJ$7),IF('Final Calculation Sheet'!$S$7="","",'Final Calculation Sheet'!$S$7),"")</f>
        <v/>
      </c>
      <c r="DY7">
        <f>IF(DX7="","",COUNTIFS(DX$4:DX$40,"&lt;"&amp;DX7,DX$4:DX$40,"&lt;&gt;"&amp;"")+COUNTIF(DX$4:DX7,DX7))</f>
        <v/>
      </c>
      <c r="DZ7" s="55">
        <f>IF(ROW()-3&gt;COUNTIF(DX$4:DX$40,"&lt;&gt;"&amp;""),"",INDEX(DX$4:DX$40,MATCH(ROW()-3,DY$4:DY$40,0)))</f>
        <v/>
      </c>
      <c r="EA7">
        <f>EA6+IF(AND(DZ7&lt;&gt;"",COUNTIF(DZ$4:DZ7,DZ7)=1),1,0)</f>
        <v/>
      </c>
      <c r="EB7" s="55">
        <f>IF(ROW()-3&gt;MAX(EA$4:EA$40),"",INDEX(DZ$4:DZ$40,MATCH(ROW()-3,EA$4:EA$40,0)))</f>
        <v/>
      </c>
      <c r="EC7" s="55">
        <f>IF(AND($B$7:$U$7,$W$7:$AJ$7),IF('Final Calculation Sheet'!$T$7="","",'Final Calculation Sheet'!$T$7),"")</f>
        <v/>
      </c>
      <c r="ED7">
        <f>IF(EC7="","",COUNTIFS(EC$4:EC$40,"&lt;"&amp;EC7,EC$4:EC$40,"&lt;&gt;"&amp;"")+COUNTIF(EC$4:EC7,EC7))</f>
        <v/>
      </c>
      <c r="EE7" s="55">
        <f>IF(ROW()-3&gt;COUNTIF(EC$4:EC$40,"&lt;&gt;"&amp;""),"",INDEX(EC$4:EC$40,MATCH(ROW()-3,ED$4:ED$40,0)))</f>
        <v/>
      </c>
      <c r="EF7">
        <f>EF6+IF(AND(EE7&lt;&gt;"",COUNTIF(EE$4:EE7,EE7)=1),1,0)</f>
        <v/>
      </c>
      <c r="EG7" s="55">
        <f>IF(ROW()-3&gt;MAX(EF$4:EF$40),"",INDEX(EE$4:EE$40,MATCH(ROW()-3,EF$4:EF$40,0)))</f>
        <v/>
      </c>
      <c r="EH7" s="140">
        <f>IF(AND($B$7:$V$7,$X$7:$AJ$7),IF('Final Calculation Sheet'!$U$7="","",'Final Calculation Sheet'!$U$7),"")</f>
        <v/>
      </c>
      <c r="EI7">
        <f>IF(EH7="","",COUNTIFS(EH$4:EH$40,"&lt;"&amp;EH7,EH$4:EH$40,"&lt;&gt;"&amp;"")+COUNTIF(EH$4:EH7,EH7))</f>
        <v/>
      </c>
      <c r="EJ7" s="140">
        <f>IF(ROW()-3&gt;COUNTIF(EH$4:EH$40,"&lt;&gt;"&amp;""),"",INDEX(EH$4:EH$40,MATCH(ROW()-3,EI$4:EI$40,0)))</f>
        <v/>
      </c>
      <c r="EK7">
        <f>EK6+IF(AND(EJ7&lt;&gt;"",COUNTIF(EJ$4:EJ7,EJ7)=1),1,0)</f>
        <v/>
      </c>
      <c r="EL7" s="140">
        <f>IF(ROW()-3&gt;MAX(EK$4:EK$40),"",INDEX(EJ$4:EJ$40,MATCH(ROW()-3,EK$4:EK$40,0)))</f>
        <v/>
      </c>
      <c r="EM7">
        <f>IF(AND($B$7:$W$7,$Y$7:$AJ$7),IF('Final Calculation Sheet'!$V$7="","",'Final Calculation Sheet'!$V$7),"")</f>
        <v/>
      </c>
      <c r="EN7">
        <f>IF(EM7="","",COUNTIFS(EM$4:EM$40,"&lt;"&amp;EM7,EM$4:EM$40,"&lt;&gt;"&amp;"")+COUNTIF(EM$4:EM7,EM7))</f>
        <v/>
      </c>
      <c r="EO7">
        <f>IF(ROW()-3&gt;COUNTIF(EM$4:EM$40,"&lt;&gt;"&amp;""),"",INDEX(EM$4:EM$40,MATCH(ROW()-3,EN$4:EN$40,0)))</f>
        <v/>
      </c>
      <c r="EP7">
        <f>EP6+IF(AND(EO7&lt;&gt;"",COUNTIF(EO$4:EO7,EO7)=1),1,0)</f>
        <v/>
      </c>
      <c r="EQ7">
        <f>IF(ROW()-3&gt;MAX(EP$4:EP$40),"",INDEX(EO$4:EO$40,MATCH(ROW()-3,EP$4:EP$40,0)))</f>
        <v/>
      </c>
      <c r="ER7" s="55">
        <f>IF(AND($B$7:$X$7,$Z$7:$AJ$7),IF('Final Calculation Sheet'!$W$7="","",'Final Calculation Sheet'!$W$7),"")</f>
        <v/>
      </c>
      <c r="ES7">
        <f>IF(ER7="","",COUNTIFS(ER$4:ER$40,"&lt;"&amp;ER7,ER$4:ER$40,"&lt;&gt;"&amp;"")+COUNTIF(ER$4:ER7,ER7))</f>
        <v/>
      </c>
      <c r="ET7" s="55">
        <f>IF(ROW()-3&gt;COUNTIF(ER$4:ER$40,"&lt;&gt;"&amp;""),"",INDEX(ER$4:ER$40,MATCH(ROW()-3,ES$4:ES$40,0)))</f>
        <v/>
      </c>
      <c r="EU7">
        <f>EU6+IF(AND(ET7&lt;&gt;"",COUNTIF(ET$4:ET7,ET7)=1),1,0)</f>
        <v/>
      </c>
      <c r="EV7" s="55">
        <f>IF(ROW()-3&gt;MAX(EU$4:EU$40),"",INDEX(ET$4:ET$40,MATCH(ROW()-3,EU$4:EU$40,0)))</f>
        <v/>
      </c>
      <c r="EW7" s="55">
        <f>IF(AND($B$7:$Y$7,$AA$7:$AJ$7),IF('Final Calculation Sheet'!$X$7="","",'Final Calculation Sheet'!$X$7),"")</f>
        <v/>
      </c>
      <c r="EX7">
        <f>IF(EW7="","",COUNTIFS(EW$4:EW$40,"&lt;"&amp;EW7,EW$4:EW$40,"&lt;&gt;"&amp;"")+COUNTIF(EW$4:EW7,EW7))</f>
        <v/>
      </c>
      <c r="EY7" s="55">
        <f>IF(ROW()-3&gt;COUNTIF(EW$4:EW$40,"&lt;&gt;"&amp;""),"",INDEX(EW$4:EW$40,MATCH(ROW()-3,EX$4:EX$40,0)))</f>
        <v/>
      </c>
      <c r="EZ7">
        <f>EZ6+IF(AND(EY7&lt;&gt;"",COUNTIF(EY$4:EY7,EY7)=1),1,0)</f>
        <v/>
      </c>
      <c r="FA7">
        <f>IF(ROW()-3&gt;MAX(EZ$4:EZ$40),"",INDEX(EY$4:EY$40,MATCH(ROW()-3,EZ$4:EZ$40,0)))</f>
        <v/>
      </c>
      <c r="FB7">
        <f>IF(AND($B$7:$Z$7,$AB$7:$AJ$7),IF('Final Calculation Sheet'!$Y$7="","",'Final Calculation Sheet'!$Y$7),"")</f>
        <v/>
      </c>
      <c r="FC7">
        <f>IF(FB7="","",COUNTIFS(FB$4:FB$40,"&lt;"&amp;FB7,FB$4:FB$40,"&lt;&gt;"&amp;"")+COUNTIF(FB$4:FB7,FB7))</f>
        <v/>
      </c>
      <c r="FD7">
        <f>IF(ROW()-3&gt;COUNTIF(FB$4:FB$40,"&lt;&gt;"&amp;""),"",INDEX(FB$4:FB$40,MATCH(ROW()-3,FC$4:FC$40,0)))</f>
        <v/>
      </c>
      <c r="FE7">
        <f>FE6+IF(AND(FD7&lt;&gt;"",COUNTIF(FD$4:FD7,FD7)=1),1,0)</f>
        <v/>
      </c>
      <c r="FF7">
        <f>IF(ROW()-3&gt;MAX(FE$4:FE$40),"",INDEX(FD$4:FD$40,MATCH(ROW()-3,FE$4:FE$40,0)))</f>
        <v/>
      </c>
      <c r="FG7" s="55">
        <f>IF(AND($B$7:$AA$7,$AC$7:$AJ$7),IF('Final Calculation Sheet'!$Z$7="","",'Final Calculation Sheet'!$Z$7),"")</f>
        <v/>
      </c>
      <c r="FH7">
        <f>IF(FG7="","",COUNTIFS(FG$4:FG$40,"&lt;"&amp;FG7,FG$4:FG$40,"&lt;&gt;"&amp;"")+COUNTIF(FG$4:FG7,FG7))</f>
        <v/>
      </c>
      <c r="FI7" s="55">
        <f>IF(ROW()-3&gt;COUNTIF(FG$4:FG$40,"&lt;&gt;"&amp;""),"",INDEX(FG$4:FG$40,MATCH(ROW()-3,FH$4:FH$40,0)))</f>
        <v/>
      </c>
      <c r="FJ7">
        <f>FJ6+IF(AND(FI7&lt;&gt;"",COUNTIF(FI$4:FI7,FI7)=1),1,0)</f>
        <v/>
      </c>
      <c r="FK7" s="55">
        <f>IF(ROW()-3&gt;MAX(FJ$4:FJ$40),"",INDEX(FI$4:FI$40,MATCH(ROW()-3,FJ$4:FJ$40,0)))</f>
        <v/>
      </c>
      <c r="FL7">
        <f>IF(AND($B$7:$AB$7,$AD$7:$AJ$7),IF('Final Calculation Sheet'!$AA$7="","",'Final Calculation Sheet'!$AA$7),"")</f>
        <v/>
      </c>
      <c r="FM7">
        <f>IF(FL7="","",COUNTIFS(FL$4:FL$40,"&lt;"&amp;FL7,FL$4:FL$40,"&lt;&gt;"&amp;"")+COUNTIF(FL$4:FL7,FL7))</f>
        <v/>
      </c>
      <c r="FN7">
        <f>IF(ROW()-3&gt;COUNTIF(FL$4:FL$40,"&lt;&gt;"&amp;""),"",INDEX(FL$4:FL$40,MATCH(ROW()-3,FM$4:FM$40,0)))</f>
        <v/>
      </c>
      <c r="FO7">
        <f>FO6+IF(AND(FN7&lt;&gt;"",COUNTIF(FN$4:FN7,FN7)=1),1,0)</f>
        <v/>
      </c>
      <c r="FP7">
        <f>IF(ROW()-3&gt;MAX(FO$4:FO$40),"",INDEX(FN$4:FN$40,MATCH(ROW()-3,FO$4:FO$40,0)))</f>
        <v/>
      </c>
      <c r="FQ7">
        <f>IF(AND($B$7:$AC$7,$AE$7:$AJ$7),IF('Final Calculation Sheet'!$AB$7="","",'Final Calculation Sheet'!$AB$7),"")</f>
        <v/>
      </c>
      <c r="FR7">
        <f>IF(FQ7="","",COUNTIFS(FQ$4:FQ$40,"&lt;"&amp;FQ7,FQ$4:FQ$40,"&lt;&gt;"&amp;"")+COUNTIF(FQ$4:FQ7,FQ7))</f>
        <v/>
      </c>
      <c r="FS7">
        <f>IF(ROW()-3&gt;COUNTIF(FQ$4:FQ$40,"&lt;&gt;"&amp;""),"",INDEX(FQ$4:FQ$40,MATCH(ROW()-3,FR$4:FR$40,0)))</f>
        <v/>
      </c>
      <c r="FT7">
        <f>FT6+IF(AND(FS7&lt;&gt;"",COUNTIF(FS$4:FS7,FS7)=1),1,0)</f>
        <v/>
      </c>
      <c r="FU7">
        <f>IF(ROW()-3&gt;MAX(FT$4:FT$40),"",INDEX(FS$4:FS$40,MATCH(ROW()-3,FT$4:FT$40,0)))</f>
        <v/>
      </c>
      <c r="FV7" s="55">
        <f>IF(AND($B$7:$AD$7,$AF$7:$AJ$7),IF('Final Calculation Sheet'!$AC$7="","",'Final Calculation Sheet'!$AC$7),"")</f>
        <v/>
      </c>
      <c r="FW7">
        <f>IF(FV7="","",COUNTIFS(FV$4:FV$40,"&lt;"&amp;FV7,FV$4:FV$40,"&lt;&gt;"&amp;"")+COUNTIF(FV$4:FV7,FV7))</f>
        <v/>
      </c>
      <c r="FX7" s="55">
        <f>IF(ROW()-3&gt;COUNTIF(FV$4:FV$40,"&lt;&gt;"&amp;""),"",INDEX(FV$4:FV$40,MATCH(ROW()-3,FW$4:FW$40,0)))</f>
        <v/>
      </c>
      <c r="FY7">
        <f>FY6+IF(AND(FX7&lt;&gt;"",COUNTIF(FX$4:FX7,FX7)=1),1,0)</f>
        <v/>
      </c>
      <c r="FZ7" s="55">
        <f>IF(ROW()-3&gt;MAX(FY$4:FY$40),"",INDEX(FX$4:FX$40,MATCH(ROW()-3,FY$4:FY$40,0)))</f>
        <v/>
      </c>
      <c r="GA7" s="55">
        <f>IF(AND($B$7:$AE$7,$AG$7:$AJ$7),IF('Final Calculation Sheet'!$AD$7="","",'Final Calculation Sheet'!$AD$7),"")</f>
        <v/>
      </c>
      <c r="GB7">
        <f>IF(GA7="","",COUNTIFS(GA$4:GA$40,"&lt;"&amp;GA7,GA$4:GA$40,"&lt;&gt;"&amp;"")+COUNTIF(GA$4:GA7,GA7))</f>
        <v/>
      </c>
      <c r="GC7" s="55">
        <f>IF(ROW()-3&gt;COUNTIF(GA$4:GA$40,"&lt;&gt;"&amp;""),"",INDEX(GA$4:GA$40,MATCH(ROW()-3,GB$4:GB$40,0)))</f>
        <v/>
      </c>
      <c r="GD7">
        <f>GD6+IF(AND(GC7&lt;&gt;"",COUNTIF(GC$4:GC7,GC7)=1),1,0)</f>
        <v/>
      </c>
      <c r="GE7" s="55">
        <f>IF(ROW()-3&gt;MAX(GD$4:GD$40),"",INDEX(GC$4:GC$40,MATCH(ROW()-3,GD$4:GD$40,0)))</f>
        <v/>
      </c>
      <c r="GF7">
        <f>IF(AND($B$7:$AF$7,$AH$7:$AJ$7),IF('Final Calculation Sheet'!$AE$7="","",'Final Calculation Sheet'!$AE$7),"")</f>
        <v/>
      </c>
      <c r="GG7">
        <f>IF(GF7="","",COUNTIFS(GF$4:GF$40,"&lt;"&amp;GF7,GF$4:GF$40,"&lt;&gt;"&amp;"")+COUNTIF(GF$4:GF7,GF7))</f>
        <v/>
      </c>
      <c r="GH7">
        <f>IF(ROW()-3&gt;COUNTIF(GF$4:GF$40,"&lt;&gt;"&amp;""),"",INDEX(GF$4:GF$40,MATCH(ROW()-3,GG$4:GG$40,0)))</f>
        <v/>
      </c>
      <c r="GI7">
        <f>GI6+IF(AND(GH7&lt;&gt;"",COUNTIF(GH$4:GH7,GH7)=1),1,0)</f>
        <v/>
      </c>
      <c r="GJ7">
        <f>IF(ROW()-3&gt;MAX(GI$4:GI$40),"",INDEX(GH$4:GH$40,MATCH(ROW()-3,GI$4:GI$40,0)))</f>
        <v/>
      </c>
      <c r="GK7" s="141">
        <f>IF(AND($B$7:$AG$7,$AI$7:$AJ$7),IF('Final Calculation Sheet'!$AF$7="","",'Final Calculation Sheet'!$AF$7),"")</f>
        <v/>
      </c>
      <c r="GL7">
        <f>IF(GK7="","",COUNTIFS(GK$4:GK$40,"&lt;"&amp;GK7,GK$4:GK$40,"&lt;&gt;"&amp;"")+COUNTIF(GK$4:GK7,GK7))</f>
        <v/>
      </c>
      <c r="GM7" s="141">
        <f>IF(ROW()-3&gt;COUNTIF(GK$4:GK$40,"&lt;&gt;"&amp;""),"",INDEX(GK$4:GK$40,MATCH(ROW()-3,GL$4:GL$40,0)))</f>
        <v/>
      </c>
      <c r="GN7">
        <f>GN6+IF(AND(GM7&lt;&gt;"",COUNTIF(GM$4:GM7,GM7)=1),1,0)</f>
        <v/>
      </c>
      <c r="GO7">
        <f>IF(ROW()-3&gt;MAX(GN$4:GN$40),"",INDEX(GM$4:GM$40,MATCH(ROW()-3,GN$4:GN$40,0)))</f>
        <v/>
      </c>
      <c r="GP7">
        <f>IF(AND($B$7:$AH$7,$AJ$7:$AJ$7),IF('Final Calculation Sheet'!$AG$7="","",'Final Calculation Sheet'!$AG$7),"")</f>
        <v/>
      </c>
      <c r="GQ7">
        <f>IF(GP7="","",COUNTIFS(GP$4:GP$40,"&lt;"&amp;GP7,GP$4:GP$40,"&lt;&gt;"&amp;"")+COUNTIF(GP$4:GP7,GP7))</f>
        <v/>
      </c>
      <c r="GR7">
        <f>IF(ROW()-3&gt;COUNTIF(GP$4:GP$40,"&lt;&gt;"&amp;""),"",INDEX(GP$4:GP$40,MATCH(ROW()-3,GQ$4:GQ$40,0)))</f>
        <v/>
      </c>
      <c r="GS7">
        <f>GS6+IF(AND(GR7&lt;&gt;"",COUNTIF(GR$4:GR7,GR7)=1),1,0)</f>
        <v/>
      </c>
      <c r="GT7">
        <f>IF(ROW()-3&gt;MAX(GS$4:GS$40),"",INDEX(GR$4:GR$40,MATCH(ROW()-3,GS$4:GS$40,0)))</f>
        <v/>
      </c>
    </row>
    <row r="8">
      <c r="A8" t="inlineStr">
        <is>
          <t>Final row 8</t>
        </is>
      </c>
      <c r="B8" t="b">
        <v>1</v>
      </c>
      <c r="C8">
        <f>IF($C$3=FALSE,TRUE,IF(OR(UPPER(TRIM($C$2))="(BLANK)",UPPER(TRIM($C$2))="BLANK",AND($C$2&lt;&gt;"",TRIM($C$2)="")),(IF('Final Calculation Sheet'!$F$8="","",'Final Calculation Sheet'!$F$8))="",IF(OR(UPPER(TRIM($C$2))="(NONBLANK)",UPPER(TRIM($C$2))="NONBLANK",TRIM($C$2)="&lt;&gt;"),(IF('Final Calculation Sheet'!$F$8="","",'Final Calculation Sheet'!$F$8))&lt;&gt;"",UPPER(TRIM((IF('Final Calculation Sheet'!$F$8="","",'Final Calculation Sheet'!$F$8))&amp;""))=UPPER(TRIM($C$2&amp;"")))))</f>
        <v/>
      </c>
      <c r="D8">
        <f>IF($D$3=FALSE,TRUE,IF(OR(UPPER(TRIM($D$2))="(BLANK)",UPPER(TRIM($D$2))="BLANK",AND($D$2&lt;&gt;"",TRIM($D$2)="")),(IF('Final Calculation Sheet'!$G$8="","",'Final Calculation Sheet'!$G$8))="",IF(OR(UPPER(TRIM($D$2))="(NONBLANK)",UPPER(TRIM($D$2))="NONBLANK",TRIM($D$2)="&lt;&gt;"),(IF('Final Calculation Sheet'!$G$8="","",'Final Calculation Sheet'!$G$8))&lt;&gt;"",UPPER(TRIM((IF('Final Calculation Sheet'!$G$8="","",'Final Calculation Sheet'!$G$8))&amp;""))=UPPER(TRIM($D$2&amp;"")))))</f>
        <v/>
      </c>
      <c r="E8">
        <f>IF($E$3=FALSE,TRUE,IF(OR(UPPER(TRIM($E$2))="(BLANK)",UPPER(TRIM($E$2))="BLANK",AND($E$2&lt;&gt;"",TRIM($E$2)="")),(IF('Final Calculation Sheet'!$B$8="","",'Final Calculation Sheet'!$B$8))="",IF(OR(UPPER(TRIM($E$2))="(NONBLANK)",UPPER(TRIM($E$2))="NONBLANK",TRIM($E$2)="&lt;&gt;"),(IF('Final Calculation Sheet'!$B$8="","",'Final Calculation Sheet'!$B$8))&lt;&gt;"",UPPER(TRIM((IF('Final Calculation Sheet'!$B$8="","",'Final Calculation Sheet'!$B$8))&amp;""))=UPPER(TRIM($E$2&amp;"")))))</f>
        <v/>
      </c>
      <c r="F8">
        <f>IF($F$3=FALSE,TRUE,IF(OR(UPPER(TRIM($F$2))="(BLANK)",UPPER(TRIM($F$2))="BLANK",AND($F$2&lt;&gt;"",TRIM($F$2)="")),(IF('Final Calculation Sheet'!$D$8="","",'Final Calculation Sheet'!$D$8))="",IF(OR(UPPER(TRIM($F$2))="(NONBLANK)",UPPER(TRIM($F$2))="NONBLANK",TRIM($F$2)="&lt;&gt;"),(IF('Final Calculation Sheet'!$D$8="","",'Final Calculation Sheet'!$D$8))&lt;&gt;"",UPPER(TRIM((IF('Final Calculation Sheet'!$D$8="","",'Final Calculation Sheet'!$D$8))&amp;""))=UPPER(TRIM($F$2&amp;"")))))</f>
        <v/>
      </c>
      <c r="G8">
        <f>IF($G$3=FALSE,TRUE,IF(OR(UPPER(TRIM($G$2))="(BLANK)",UPPER(TRIM($G$2))="BLANK",AND($G$2&lt;&gt;"",TRIM($G$2)="")),(IF('Final Calculation Sheet'!$A$8="","",'Final Calculation Sheet'!$A$8))="",IF(OR(UPPER(TRIM($G$2))="(NONBLANK)",UPPER(TRIM($G$2))="NONBLANK",TRIM($G$2)="&lt;&gt;"),(IF('Final Calculation Sheet'!$A$8="","",'Final Calculation Sheet'!$A$8))&lt;&gt;"",UPPER(TRIM((IF('Final Calculation Sheet'!$A$8="","",'Final Calculation Sheet'!$A$8))&amp;""))=UPPER(TRIM($G$2&amp;"")))))</f>
        <v/>
      </c>
      <c r="H8">
        <f>IF($H$3=FALSE,TRUE,IF(OR(UPPER(TRIM($H$2))="(BLANK)",UPPER(TRIM($H$2))="BLANK",AND($H$2&lt;&gt;"",TRIM($H$2)="")),(IF('Final Calculation Sheet'!$E$8="","",'Final Calculation Sheet'!$E$8))="",IF(OR(UPPER(TRIM($H$2))="(NONBLANK)",UPPER(TRIM($H$2))="NONBLANK",TRIM($H$2)="&lt;&gt;"),(IF('Final Calculation Sheet'!$E$8="","",'Final Calculation Sheet'!$E$8))&lt;&gt;"",UPPER(TRIM((IF('Final Calculation Sheet'!$E$8="","",'Final Calculation Sheet'!$E$8))&amp;""))=UPPER(TRIM($H$2&amp;"")))))</f>
        <v/>
      </c>
      <c r="I8">
        <f>IF($I$3=FALSE,TRUE,IF(OR(UPPER(TRIM($I$2))="(BLANK)",UPPER(TRIM($I$2))="BLANK",AND($I$2&lt;&gt;"",TRIM($I$2)="")),(IF('Final Calculation Sheet'!$C$8="","",'Final Calculation Sheet'!$C$8))="",IF(OR(UPPER(TRIM($I$2))="(NONBLANK)",UPPER(TRIM($I$2))="NONBLANK",TRIM($I$2)="&lt;&gt;"),(IF('Final Calculation Sheet'!$C$8="","",'Final Calculation Sheet'!$C$8))&lt;&gt;"",UPPER(TRIM((IF('Final Calculation Sheet'!$C$8="","",'Final Calculation Sheet'!$C$8))&amp;""))=UPPER(TRIM($I$2&amp;"")))))</f>
        <v/>
      </c>
      <c r="J8">
        <f>IF($J$3=FALSE,TRUE,IF(OR(UPPER(TRIM($J$2))="(BLANK)",UPPER(TRIM($J$2))="BLANK",AND($J$2&lt;&gt;"",TRIM($J$2)="")),(IF('Final Calculation Sheet'!$H$8="","",'Final Calculation Sheet'!$H$8))="",IF(OR(UPPER(TRIM($J$2))="(NONBLANK)",UPPER(TRIM($J$2))="NONBLANK",TRIM($J$2)="&lt;&gt;"),(IF('Final Calculation Sheet'!$H$8="","",'Final Calculation Sheet'!$H$8))&lt;&gt;"",UPPER(TRIM((IF('Final Calculation Sheet'!$H$8="","",'Final Calculation Sheet'!$H$8))&amp;""))=UPPER(TRIM($J$2&amp;"")))))</f>
        <v/>
      </c>
      <c r="K8">
        <f>IF($K$3=FALSE,TRUE,IF(OR(UPPER(TRIM($K$2))="(BLANK)",UPPER(TRIM($K$2))="BLANK",AND($K$2&lt;&gt;"",TRIM($K$2)="")),(IF('Final Calculation Sheet'!$I$8="","",'Final Calculation Sheet'!$I$8))="",IF(OR(UPPER(TRIM($K$2))="(NONBLANK)",UPPER(TRIM($K$2))="NONBLANK",TRIM($K$2)="&lt;&gt;"),(IF('Final Calculation Sheet'!$I$8="","",'Final Calculation Sheet'!$I$8))&lt;&gt;"",UPPER(TRIM((IF('Final Calculation Sheet'!$I$8="","",'Final Calculation Sheet'!$I$8))&amp;""))=UPPER(TRIM($K$2&amp;"")))))</f>
        <v/>
      </c>
      <c r="L8">
        <f>IF($L$3=FALSE,TRUE,IF(OR(UPPER(TRIM($L$2))="(BLANK)",UPPER(TRIM($L$2))="BLANK",AND($L$2&lt;&gt;"",TRIM($L$2)="")),(IF('Final Calculation Sheet'!$J$8="","",'Final Calculation Sheet'!$J$8))="",IF(OR(UPPER(TRIM($L$2))="(NONBLANK)",UPPER(TRIM($L$2))="NONBLANK",TRIM($L$2)="&lt;&gt;"),(IF('Final Calculation Sheet'!$J$8="","",'Final Calculation Sheet'!$J$8))&lt;&gt;"",UPPER(TRIM((IF('Final Calculation Sheet'!$J$8="","",'Final Calculation Sheet'!$J$8))&amp;""))=UPPER(TRIM($L$2&amp;"")))))</f>
        <v/>
      </c>
      <c r="M8">
        <f>IF($M$3=FALSE,TRUE,IF(OR(UPPER(TRIM($M$2))="(BLANK)",UPPER(TRIM($M$2))="BLANK",AND($M$2&lt;&gt;"",TRIM($M$2)="")),(IF('Final Calculation Sheet'!$K$8="","",'Final Calculation Sheet'!$K$8))="",IF(OR(UPPER(TRIM($M$2))="(NONBLANK)",UPPER(TRIM($M$2))="NONBLANK",TRIM($M$2)="&lt;&gt;"),(IF('Final Calculation Sheet'!$K$8="","",'Final Calculation Sheet'!$K$8))&lt;&gt;"",UPPER(TRIM((IF('Final Calculation Sheet'!$K$8="","",'Final Calculation Sheet'!$K$8))&amp;""))=UPPER(TRIM($M$2&amp;"")))))</f>
        <v/>
      </c>
      <c r="N8">
        <f>IF($N$3=FALSE,TRUE,IF(OR(UPPER(TRIM($N$2))="(BLANK)",UPPER(TRIM($N$2))="BLANK",AND($N$2&lt;&gt;"",TRIM($N$2)="")),(IF('Final Calculation Sheet'!$L$8="","",'Final Calculation Sheet'!$L$8))="",IF(OR(UPPER(TRIM($N$2))="(NONBLANK)",UPPER(TRIM($N$2))="NONBLANK",TRIM($N$2)="&lt;&gt;"),(IF('Final Calculation Sheet'!$L$8="","",'Final Calculation Sheet'!$L$8))&lt;&gt;"",UPPER(TRIM((IF('Final Calculation Sheet'!$L$8="","",'Final Calculation Sheet'!$L$8))&amp;""))=UPPER(TRIM($N$2&amp;"")))))</f>
        <v/>
      </c>
      <c r="O8">
        <f>IF($O$3=FALSE,TRUE,IF(OR(UPPER(TRIM($O$2))="(BLANK)",UPPER(TRIM($O$2))="BLANK",AND($O$2&lt;&gt;"",TRIM($O$2)="")),(IF('Final Calculation Sheet'!$M$8="","",'Final Calculation Sheet'!$M$8))="",IF(OR(UPPER(TRIM($O$2))="(NONBLANK)",UPPER(TRIM($O$2))="NONBLANK",TRIM($O$2)="&lt;&gt;"),(IF('Final Calculation Sheet'!$M$8="","",'Final Calculation Sheet'!$M$8))&lt;&gt;"",UPPER(TRIM((IF('Final Calculation Sheet'!$M$8="","",'Final Calculation Sheet'!$M$8))&amp;""))=UPPER(TRIM($O$2&amp;"")))))</f>
        <v/>
      </c>
      <c r="P8">
        <f>IF($P$3=FALSE,TRUE,IF(OR(UPPER(TRIM($P$2))="(BLANK)",UPPER(TRIM($P$2))="BLANK",AND($P$2&lt;&gt;"",TRIM($P$2)="")),(IF('Final Calculation Sheet'!$N$8="","",'Final Calculation Sheet'!$N$8))="",IF(OR(UPPER(TRIM($P$2))="(NONBLANK)",UPPER(TRIM($P$2))="NONBLANK",TRIM($P$2)="&lt;&gt;"),(IF('Final Calculation Sheet'!$N$8="","",'Final Calculation Sheet'!$N$8))&lt;&gt;"",UPPER(TRIM((IF('Final Calculation Sheet'!$N$8="","",'Final Calculation Sheet'!$N$8))&amp;""))=UPPER(TRIM($P$2&amp;"")))))</f>
        <v/>
      </c>
      <c r="Q8">
        <f>IF($Q$3=FALSE,TRUE,IF(OR(UPPER(TRIM($Q$2))="(BLANK)",UPPER(TRIM($Q$2))="BLANK",AND($Q$2&lt;&gt;"",TRIM($Q$2)="")),(IF('Final Calculation Sheet'!$O$8="","",'Final Calculation Sheet'!$O$8))="",IF(OR(UPPER(TRIM($Q$2))="(NONBLANK)",UPPER(TRIM($Q$2))="NONBLANK",TRIM($Q$2)="&lt;&gt;"),(IF('Final Calculation Sheet'!$O$8="","",'Final Calculation Sheet'!$O$8))&lt;&gt;"",UPPER(TRIM((IF('Final Calculation Sheet'!$O$8="","",'Final Calculation Sheet'!$O$8))&amp;""))=UPPER(TRIM($Q$2&amp;"")))))</f>
        <v/>
      </c>
      <c r="R8">
        <f>IF($R$3=FALSE,TRUE,IF(OR(UPPER(TRIM($R$2))="(BLANK)",UPPER(TRIM($R$2))="BLANK",AND($R$2&lt;&gt;"",TRIM($R$2)="")),(IF('Final Calculation Sheet'!$P$8="","",'Final Calculation Sheet'!$P$8))="",IF(OR(UPPER(TRIM($R$2))="(NONBLANK)",UPPER(TRIM($R$2))="NONBLANK",TRIM($R$2)="&lt;&gt;"),(IF('Final Calculation Sheet'!$P$8="","",'Final Calculation Sheet'!$P$8))&lt;&gt;"",UPPER(TRIM((IF('Final Calculation Sheet'!$P$8="","",'Final Calculation Sheet'!$P$8))&amp;""))=UPPER(TRIM($R$2&amp;"")))))</f>
        <v/>
      </c>
      <c r="S8">
        <f>IF($S$3=FALSE,TRUE,IF(OR(UPPER(TRIM($S$2))="(BLANK)",UPPER(TRIM($S$2))="BLANK",AND($S$2&lt;&gt;"",TRIM($S$2)="")),(IF('Final Calculation Sheet'!$Q$8="","",'Final Calculation Sheet'!$Q$8))="",IF(OR(UPPER(TRIM($S$2))="(NONBLANK)",UPPER(TRIM($S$2))="NONBLANK",TRIM($S$2)="&lt;&gt;"),(IF('Final Calculation Sheet'!$Q$8="","",'Final Calculation Sheet'!$Q$8))&lt;&gt;"",UPPER(TRIM((IF('Final Calculation Sheet'!$Q$8="","",'Final Calculation Sheet'!$Q$8))&amp;""))=UPPER(TRIM($S$2&amp;"")))))</f>
        <v/>
      </c>
      <c r="T8">
        <f>IF($T$3=FALSE,TRUE,IF(OR(UPPER(TRIM($T$2))="(BLANK)",UPPER(TRIM($T$2))="BLANK",AND($T$2&lt;&gt;"",TRIM($T$2)="")),(IF('Final Calculation Sheet'!$R$8="","",'Final Calculation Sheet'!$R$8))="",IF(OR(UPPER(TRIM($T$2))="(NONBLANK)",UPPER(TRIM($T$2))="NONBLANK",TRIM($T$2)="&lt;&gt;"),(IF('Final Calculation Sheet'!$R$8="","",'Final Calculation Sheet'!$R$8))&lt;&gt;"",UPPER(TRIM((IF('Final Calculation Sheet'!$R$8="","",'Final Calculation Sheet'!$R$8))&amp;""))=UPPER(TRIM($T$2&amp;"")))))</f>
        <v/>
      </c>
      <c r="U8">
        <f>IF($U$3=FALSE,TRUE,IF(OR(UPPER(TRIM($U$2))="(BLANK)",UPPER(TRIM($U$2))="BLANK",AND($U$2&lt;&gt;"",TRIM($U$2)="")),(IF('Final Calculation Sheet'!$S$8="","",'Final Calculation Sheet'!$S$8))="",IF(OR(UPPER(TRIM($U$2))="(NONBLANK)",UPPER(TRIM($U$2))="NONBLANK",TRIM($U$2)="&lt;&gt;"),(IF('Final Calculation Sheet'!$S$8="","",'Final Calculation Sheet'!$S$8))&lt;&gt;"",UPPER(TRIM((IF('Final Calculation Sheet'!$S$8="","",'Final Calculation Sheet'!$S$8))&amp;""))=UPPER(TRIM($U$2&amp;"")))))</f>
        <v/>
      </c>
      <c r="V8">
        <f>IF($V$3=FALSE,TRUE,IF(OR(UPPER(TRIM($V$2))="(BLANK)",UPPER(TRIM($V$2))="BLANK",AND($V$2&lt;&gt;"",TRIM($V$2)="")),(IF('Final Calculation Sheet'!$T$8="","",'Final Calculation Sheet'!$T$8))="",IF(OR(UPPER(TRIM($V$2))="(NONBLANK)",UPPER(TRIM($V$2))="NONBLANK",TRIM($V$2)="&lt;&gt;"),(IF('Final Calculation Sheet'!$T$8="","",'Final Calculation Sheet'!$T$8))&lt;&gt;"",UPPER(TRIM((IF('Final Calculation Sheet'!$T$8="","",'Final Calculation Sheet'!$T$8))&amp;""))=UPPER(TRIM($V$2&amp;"")))))</f>
        <v/>
      </c>
      <c r="W8">
        <f>IF($W$3=FALSE,TRUE,IF(OR(UPPER(TRIM($W$2))="(BLANK)",UPPER(TRIM($W$2))="BLANK",AND($W$2&lt;&gt;"",TRIM($W$2)="")),(IF('Final Calculation Sheet'!$U$8="","",'Final Calculation Sheet'!$U$8))="",IF(OR(UPPER(TRIM($W$2))="(NONBLANK)",UPPER(TRIM($W$2))="NONBLANK",TRIM($W$2)="&lt;&gt;"),(IF('Final Calculation Sheet'!$U$8="","",'Final Calculation Sheet'!$U$8))&lt;&gt;"",UPPER(TRIM((IF('Final Calculation Sheet'!$U$8="","",'Final Calculation Sheet'!$U$8))&amp;""))=UPPER(TRIM($W$2&amp;"")))))</f>
        <v/>
      </c>
      <c r="X8">
        <f>IF($X$3=FALSE,TRUE,IF(OR(UPPER(TRIM($X$2))="(BLANK)",UPPER(TRIM($X$2))="BLANK",AND($X$2&lt;&gt;"",TRIM($X$2)="")),(IF('Final Calculation Sheet'!$V$8="","",'Final Calculation Sheet'!$V$8))="",IF(OR(UPPER(TRIM($X$2))="(NONBLANK)",UPPER(TRIM($X$2))="NONBLANK",TRIM($X$2)="&lt;&gt;"),(IF('Final Calculation Sheet'!$V$8="","",'Final Calculation Sheet'!$V$8))&lt;&gt;"",UPPER(TRIM((IF('Final Calculation Sheet'!$V$8="","",'Final Calculation Sheet'!$V$8))&amp;""))=UPPER(TRIM($X$2&amp;"")))))</f>
        <v/>
      </c>
      <c r="Y8">
        <f>IF($Y$3=FALSE,TRUE,IF(OR(UPPER(TRIM($Y$2))="(BLANK)",UPPER(TRIM($Y$2))="BLANK",AND($Y$2&lt;&gt;"",TRIM($Y$2)="")),(IF('Final Calculation Sheet'!$W$8="","",'Final Calculation Sheet'!$W$8))="",IF(OR(UPPER(TRIM($Y$2))="(NONBLANK)",UPPER(TRIM($Y$2))="NONBLANK",TRIM($Y$2)="&lt;&gt;"),(IF('Final Calculation Sheet'!$W$8="","",'Final Calculation Sheet'!$W$8))&lt;&gt;"",UPPER(TRIM((IF('Final Calculation Sheet'!$W$8="","",'Final Calculation Sheet'!$W$8))&amp;""))=UPPER(TRIM($Y$2&amp;"")))))</f>
        <v/>
      </c>
      <c r="Z8">
        <f>IF($Z$3=FALSE,TRUE,IF(OR(UPPER(TRIM($Z$2))="(BLANK)",UPPER(TRIM($Z$2))="BLANK",AND($Z$2&lt;&gt;"",TRIM($Z$2)="")),(IF('Final Calculation Sheet'!$X$8="","",'Final Calculation Sheet'!$X$8))="",IF(OR(UPPER(TRIM($Z$2))="(NONBLANK)",UPPER(TRIM($Z$2))="NONBLANK",TRIM($Z$2)="&lt;&gt;"),(IF('Final Calculation Sheet'!$X$8="","",'Final Calculation Sheet'!$X$8))&lt;&gt;"",UPPER(TRIM((IF('Final Calculation Sheet'!$X$8="","",'Final Calculation Sheet'!$X$8))&amp;""))=UPPER(TRIM($Z$2&amp;"")))))</f>
        <v/>
      </c>
      <c r="AA8">
        <f>IF($AA$3=FALSE,TRUE,IF(OR(UPPER(TRIM($AA$2))="(BLANK)",UPPER(TRIM($AA$2))="BLANK",AND($AA$2&lt;&gt;"",TRIM($AA$2)="")),(IF('Final Calculation Sheet'!$Y$8="","",'Final Calculation Sheet'!$Y$8))="",IF(OR(UPPER(TRIM($AA$2))="(NONBLANK)",UPPER(TRIM($AA$2))="NONBLANK",TRIM($AA$2)="&lt;&gt;"),(IF('Final Calculation Sheet'!$Y$8="","",'Final Calculation Sheet'!$Y$8))&lt;&gt;"",UPPER(TRIM((IF('Final Calculation Sheet'!$Y$8="","",'Final Calculation Sheet'!$Y$8))&amp;""))=UPPER(TRIM($AA$2&amp;"")))))</f>
        <v/>
      </c>
      <c r="AB8">
        <f>IF($AB$3=FALSE,TRUE,IF(OR(UPPER(TRIM($AB$2))="(BLANK)",UPPER(TRIM($AB$2))="BLANK",AND($AB$2&lt;&gt;"",TRIM($AB$2)="")),(IF('Final Calculation Sheet'!$Z$8="","",'Final Calculation Sheet'!$Z$8))="",IF(OR(UPPER(TRIM($AB$2))="(NONBLANK)",UPPER(TRIM($AB$2))="NONBLANK",TRIM($AB$2)="&lt;&gt;"),(IF('Final Calculation Sheet'!$Z$8="","",'Final Calculation Sheet'!$Z$8))&lt;&gt;"",UPPER(TRIM((IF('Final Calculation Sheet'!$Z$8="","",'Final Calculation Sheet'!$Z$8))&amp;""))=UPPER(TRIM($AB$2&amp;"")))))</f>
        <v/>
      </c>
      <c r="AC8">
        <f>IF($AC$3=FALSE,TRUE,IF(OR(UPPER(TRIM($AC$2))="(BLANK)",UPPER(TRIM($AC$2))="BLANK",AND($AC$2&lt;&gt;"",TRIM($AC$2)="")),(IF('Final Calculation Sheet'!$AA$8="","",'Final Calculation Sheet'!$AA$8))="",IF(OR(UPPER(TRIM($AC$2))="(NONBLANK)",UPPER(TRIM($AC$2))="NONBLANK",TRIM($AC$2)="&lt;&gt;"),(IF('Final Calculation Sheet'!$AA$8="","",'Final Calculation Sheet'!$AA$8))&lt;&gt;"",UPPER(TRIM((IF('Final Calculation Sheet'!$AA$8="","",'Final Calculation Sheet'!$AA$8))&amp;""))=UPPER(TRIM($AC$2&amp;"")))))</f>
        <v/>
      </c>
      <c r="AD8">
        <f>IF($AD$3=FALSE,TRUE,IF(OR(UPPER(TRIM($AD$2))="(BLANK)",UPPER(TRIM($AD$2))="BLANK",AND($AD$2&lt;&gt;"",TRIM($AD$2)="")),(IF('Final Calculation Sheet'!$AB$8="","",'Final Calculation Sheet'!$AB$8))="",IF(OR(UPPER(TRIM($AD$2))="(NONBLANK)",UPPER(TRIM($AD$2))="NONBLANK",TRIM($AD$2)="&lt;&gt;"),(IF('Final Calculation Sheet'!$AB$8="","",'Final Calculation Sheet'!$AB$8))&lt;&gt;"",UPPER(TRIM((IF('Final Calculation Sheet'!$AB$8="","",'Final Calculation Sheet'!$AB$8))&amp;""))=UPPER(TRIM($AD$2&amp;"")))))</f>
        <v/>
      </c>
      <c r="AE8">
        <f>IF($AE$3=FALSE,TRUE,IF(OR(UPPER(TRIM($AE$2))="(BLANK)",UPPER(TRIM($AE$2))="BLANK",AND($AE$2&lt;&gt;"",TRIM($AE$2)="")),(IF('Final Calculation Sheet'!$AC$8="","",'Final Calculation Sheet'!$AC$8))="",IF(OR(UPPER(TRIM($AE$2))="(NONBLANK)",UPPER(TRIM($AE$2))="NONBLANK",TRIM($AE$2)="&lt;&gt;"),(IF('Final Calculation Sheet'!$AC$8="","",'Final Calculation Sheet'!$AC$8))&lt;&gt;"",UPPER(TRIM((IF('Final Calculation Sheet'!$AC$8="","",'Final Calculation Sheet'!$AC$8))&amp;""))=UPPER(TRIM($AE$2&amp;"")))))</f>
        <v/>
      </c>
      <c r="AF8">
        <f>IF($AF$3=FALSE,TRUE,IF(OR(UPPER(TRIM($AF$2))="(BLANK)",UPPER(TRIM($AF$2))="BLANK",AND($AF$2&lt;&gt;"",TRIM($AF$2)="")),(IF('Final Calculation Sheet'!$AD$8="","",'Final Calculation Sheet'!$AD$8))="",IF(OR(UPPER(TRIM($AF$2))="(NONBLANK)",UPPER(TRIM($AF$2))="NONBLANK",TRIM($AF$2)="&lt;&gt;"),(IF('Final Calculation Sheet'!$AD$8="","",'Final Calculation Sheet'!$AD$8))&lt;&gt;"",UPPER(TRIM((IF('Final Calculation Sheet'!$AD$8="","",'Final Calculation Sheet'!$AD$8))&amp;""))=UPPER(TRIM($AF$2&amp;"")))))</f>
        <v/>
      </c>
      <c r="AG8">
        <f>IF($AG$3=FALSE,TRUE,IF(OR(UPPER(TRIM($AG$2))="(BLANK)",UPPER(TRIM($AG$2))="BLANK",AND($AG$2&lt;&gt;"",TRIM($AG$2)="")),(IF('Final Calculation Sheet'!$AE$8="","",'Final Calculation Sheet'!$AE$8))="",IF(OR(UPPER(TRIM($AG$2))="(NONBLANK)",UPPER(TRIM($AG$2))="NONBLANK",TRIM($AG$2)="&lt;&gt;"),(IF('Final Calculation Sheet'!$AE$8="","",'Final Calculation Sheet'!$AE$8))&lt;&gt;"",UPPER(TRIM((IF('Final Calculation Sheet'!$AE$8="","",'Final Calculation Sheet'!$AE$8))&amp;""))=UPPER(TRIM($AG$2&amp;"")))))</f>
        <v/>
      </c>
      <c r="AH8">
        <f>IF($AH$3=FALSE,TRUE,IF(OR(UPPER(TRIM($AH$2))="(BLANK)",UPPER(TRIM($AH$2))="BLANK",AND($AH$2&lt;&gt;"",TRIM($AH$2)="")),(IF('Final Calculation Sheet'!$AF$8="","",'Final Calculation Sheet'!$AF$8))="",IF(OR(UPPER(TRIM($AH$2))="(NONBLANK)",UPPER(TRIM($AH$2))="NONBLANK",TRIM($AH$2)="&lt;&gt;"),(IF('Final Calculation Sheet'!$AF$8="","",'Final Calculation Sheet'!$AF$8))&lt;&gt;"",UPPER(TRIM((IF('Final Calculation Sheet'!$AF$8="","",'Final Calculation Sheet'!$AF$8))&amp;""))=UPPER(TRIM($AH$2&amp;"")))))</f>
        <v/>
      </c>
      <c r="AI8">
        <f>IF($AI$3=FALSE,TRUE,IF(OR(UPPER(TRIM($AI$2))="(BLANK)",UPPER(TRIM($AI$2))="BLANK",AND($AI$2&lt;&gt;"",TRIM($AI$2)="")),(IF('Final Calculation Sheet'!$AG$8="","",'Final Calculation Sheet'!$AG$8))="",IF(OR(UPPER(TRIM($AI$2))="(NONBLANK)",UPPER(TRIM($AI$2))="NONBLANK",TRIM($AI$2)="&lt;&gt;"),(IF('Final Calculation Sheet'!$AG$8="","",'Final Calculation Sheet'!$AG$8))&lt;&gt;"",UPPER(TRIM((IF('Final Calculation Sheet'!$AG$8="","",'Final Calculation Sheet'!$AG$8))&amp;""))=UPPER(TRIM($AI$2&amp;"")))))</f>
        <v/>
      </c>
      <c r="AJ8">
        <f>IF($AJ$3=FALSE,TRUE,IF(OR(UPPER(TRIM($AJ$2))="(BLANK)",UPPER(TRIM($AJ$2))="BLANK",AND($AJ$2&lt;&gt;"",TRIM($AJ$2)="")),(IF('Final Calculation Sheet'!$AD$8="","",IF('Final Calculation Sheet'!$AD$8&lt;=5,"SETTLED","OUTSTANDING")))="",IF(OR(UPPER(TRIM($AJ$2))="(NONBLANK)",UPPER(TRIM($AJ$2))="NONBLANK",TRIM($AJ$2)="&lt;&gt;"),(IF('Final Calculation Sheet'!$AD$8="","",IF('Final Calculation Sheet'!$AD$8&lt;=5,"SETTLED","OUTSTANDING")))&lt;&gt;"",UPPER(TRIM((IF('Final Calculation Sheet'!$AD$8="","",IF('Final Calculation Sheet'!$AD$8&lt;=5,"SETTLED","OUTSTANDING")))&amp;""))=UPPER(TRIM($AJ$2&amp;"")))))</f>
        <v/>
      </c>
      <c r="AL8">
        <f>IF(AND($B$8,$D$8:$AJ$8),IF('Final Calculation Sheet'!$F$8="","",'Final Calculation Sheet'!$F$8),"")</f>
        <v/>
      </c>
      <c r="AM8">
        <f>IF(AL8="","",COUNTIFS(AL$4:AL$40,"&lt;"&amp;AL8,AL$4:AL$40,"&lt;&gt;"&amp;"")+COUNTIF(AL$4:AL8,AL8))</f>
        <v/>
      </c>
      <c r="AN8">
        <f>IF(ROW()-3&gt;COUNTIF(AL$4:AL$40,"&lt;&gt;"&amp;""),"",INDEX(AL$4:AL$40,MATCH(ROW()-3,AM$4:AM$40,0)))</f>
        <v/>
      </c>
      <c r="AO8">
        <f>AO7+IF(AND(AN8&lt;&gt;"",COUNTIF(AN$4:AN8,AN8)=1),1,0)</f>
        <v/>
      </c>
      <c r="AP8">
        <f>IF(ROW()-3&gt;MAX(AO$4:AO$40),"",INDEX(AN$4:AN$40,MATCH(ROW()-3,AO$4:AO$40,0)))</f>
        <v/>
      </c>
      <c r="AQ8">
        <f>IF(AND($B$8:$C$8,$E$8:$AJ$8),IF('Final Calculation Sheet'!$G$8="","",'Final Calculation Sheet'!$G$8),"")</f>
        <v/>
      </c>
      <c r="AR8">
        <f>IF(AQ8="","",COUNTIFS(AQ$4:AQ$40,"&lt;"&amp;AQ8,AQ$4:AQ$40,"&lt;&gt;"&amp;"")+COUNTIF(AQ$4:AQ8,AQ8))</f>
        <v/>
      </c>
      <c r="AS8">
        <f>IF(ROW()-3&gt;COUNTIF(AQ$4:AQ$40,"&lt;&gt;"&amp;""),"",INDEX(AQ$4:AQ$40,MATCH(ROW()-3,AR$4:AR$40,0)))</f>
        <v/>
      </c>
      <c r="AT8">
        <f>AT7+IF(AND(AS8&lt;&gt;"",COUNTIF(AS$4:AS8,AS8)=1),1,0)</f>
        <v/>
      </c>
      <c r="AU8">
        <f>IF(ROW()-3&gt;MAX(AT$4:AT$40),"",INDEX(AS$4:AS$40,MATCH(ROW()-3,AT$4:AT$40,0)))</f>
        <v/>
      </c>
      <c r="AV8">
        <f>IF(AND($B$8:$D$8,$F$8:$AJ$8),IF('Final Calculation Sheet'!$B$8="","",'Final Calculation Sheet'!$B$8),"")</f>
        <v/>
      </c>
      <c r="AW8">
        <f>IF(AV8="","",COUNTIFS(AV$4:AV$40,"&lt;"&amp;AV8,AV$4:AV$40,"&lt;&gt;"&amp;"")+COUNTIF(AV$4:AV8,AV8))</f>
        <v/>
      </c>
      <c r="AX8">
        <f>IF(ROW()-3&gt;COUNTIF(AV$4:AV$40,"&lt;&gt;"&amp;""),"",INDEX(AV$4:AV$40,MATCH(ROW()-3,AW$4:AW$40,0)))</f>
        <v/>
      </c>
      <c r="AY8">
        <f>AY7+IF(AND(AX8&lt;&gt;"",COUNTIF(AX$4:AX8,AX8)=1),1,0)</f>
        <v/>
      </c>
      <c r="AZ8">
        <f>IF(ROW()-3&gt;MAX(AY$4:AY$40),"",INDEX(AX$4:AX$40,MATCH(ROW()-3,AY$4:AY$40,0)))</f>
        <v/>
      </c>
      <c r="BA8">
        <f>IF(AND($B$8:$E$8,$G$8:$AJ$8),IF('Final Calculation Sheet'!$D$8="","",'Final Calculation Sheet'!$D$8),"")</f>
        <v/>
      </c>
      <c r="BB8">
        <f>IF(BA8="","",COUNTIFS(BA$4:BA$40,"&lt;"&amp;BA8,BA$4:BA$40,"&lt;&gt;"&amp;"")+COUNTIF(BA$4:BA8,BA8))</f>
        <v/>
      </c>
      <c r="BC8">
        <f>IF(ROW()-3&gt;COUNTIF(BA$4:BA$40,"&lt;&gt;"&amp;""),"",INDEX(BA$4:BA$40,MATCH(ROW()-3,BB$4:BB$40,0)))</f>
        <v/>
      </c>
      <c r="BD8">
        <f>BD7+IF(AND(BC8&lt;&gt;"",COUNTIF(BC$4:BC8,BC8)=1),1,0)</f>
        <v/>
      </c>
      <c r="BE8">
        <f>IF(ROW()-3&gt;MAX(BD$4:BD$40),"",INDEX(BC$4:BC$40,MATCH(ROW()-3,BD$4:BD$40,0)))</f>
        <v/>
      </c>
      <c r="BF8">
        <f>IF(AND($B$8:$F$8,$H$8:$AJ$8),IF('Final Calculation Sheet'!$A$8="","",'Final Calculation Sheet'!$A$8),"")</f>
        <v/>
      </c>
      <c r="BG8">
        <f>IF(BF8="","",COUNTIFS(BF$4:BF$40,"&lt;"&amp;BF8,BF$4:BF$40,"&lt;&gt;"&amp;"")+COUNTIF(BF$4:BF8,BF8))</f>
        <v/>
      </c>
      <c r="BH8">
        <f>IF(ROW()-3&gt;COUNTIF(BF$4:BF$40,"&lt;&gt;"&amp;""),"",INDEX(BF$4:BF$40,MATCH(ROW()-3,BG$4:BG$40,0)))</f>
        <v/>
      </c>
      <c r="BI8">
        <f>BI7+IF(AND(BH8&lt;&gt;"",COUNTIF(BH$4:BH8,BH8)=1),1,0)</f>
        <v/>
      </c>
      <c r="BJ8">
        <f>IF(ROW()-3&gt;MAX(BI$4:BI$40),"",INDEX(BH$4:BH$40,MATCH(ROW()-3,BI$4:BI$40,0)))</f>
        <v/>
      </c>
      <c r="BK8">
        <f>IF(AND($B$8:$G$8,$I$8:$AJ$8),IF('Final Calculation Sheet'!$E$8="","",'Final Calculation Sheet'!$E$8),"")</f>
        <v/>
      </c>
      <c r="BL8">
        <f>IF(BK8="","",COUNTIFS(BK$4:BK$40,"&lt;"&amp;BK8,BK$4:BK$40,"&lt;&gt;"&amp;"")+COUNTIF(BK$4:BK8,BK8))</f>
        <v/>
      </c>
      <c r="BM8">
        <f>IF(ROW()-3&gt;COUNTIF(BK$4:BK$40,"&lt;&gt;"&amp;""),"",INDEX(BK$4:BK$40,MATCH(ROW()-3,BL$4:BL$40,0)))</f>
        <v/>
      </c>
      <c r="BN8">
        <f>BN7+IF(AND(BM8&lt;&gt;"",COUNTIF(BM$4:BM8,BM8)=1),1,0)</f>
        <v/>
      </c>
      <c r="BO8">
        <f>IF(ROW()-3&gt;MAX(BN$4:BN$40),"",INDEX(BM$4:BM$40,MATCH(ROW()-3,BN$4:BN$40,0)))</f>
        <v/>
      </c>
      <c r="BP8" s="55">
        <f>IF(AND($B$8:$H$8,$J$8:$AJ$8),IF('Final Calculation Sheet'!$C$8="","",'Final Calculation Sheet'!$C$8),"")</f>
        <v/>
      </c>
      <c r="BQ8">
        <f>IF(BP8="","",COUNTIFS(BP$4:BP$40,"&lt;"&amp;BP8,BP$4:BP$40,"&lt;&gt;"&amp;"")+COUNTIF(BP$4:BP8,BP8))</f>
        <v/>
      </c>
      <c r="BR8" s="55">
        <f>IF(ROW()-3&gt;COUNTIF(BP$4:BP$40,"&lt;&gt;"&amp;""),"",INDEX(BP$4:BP$40,MATCH(ROW()-3,BQ$4:BQ$40,0)))</f>
        <v/>
      </c>
      <c r="BS8">
        <f>BS7+IF(AND(BR8&lt;&gt;"",COUNTIF(BR$4:BR8,BR8)=1),1,0)</f>
        <v/>
      </c>
      <c r="BT8" s="55">
        <f>IF(ROW()-3&gt;MAX(BS$4:BS$40),"",INDEX(BR$4:BR$40,MATCH(ROW()-3,BS$4:BS$40,0)))</f>
        <v/>
      </c>
      <c r="BU8" s="55">
        <f>IF(AND($B$8:$I$8,$K$8:$AJ$8),IF('Final Calculation Sheet'!$H$8="","",'Final Calculation Sheet'!$H$8),"")</f>
        <v/>
      </c>
      <c r="BV8">
        <f>IF(BU8="","",COUNTIFS(BU$4:BU$40,"&lt;"&amp;BU8,BU$4:BU$40,"&lt;&gt;"&amp;"")+COUNTIF(BU$4:BU8,BU8))</f>
        <v/>
      </c>
      <c r="BW8" s="55">
        <f>IF(ROW()-3&gt;COUNTIF(BU$4:BU$40,"&lt;&gt;"&amp;""),"",INDEX(BU$4:BU$40,MATCH(ROW()-3,BV$4:BV$40,0)))</f>
        <v/>
      </c>
      <c r="BX8">
        <f>BX7+IF(AND(BW8&lt;&gt;"",COUNTIF(BW$4:BW8,BW8)=1),1,0)</f>
        <v/>
      </c>
      <c r="BY8" s="55">
        <f>IF(ROW()-3&gt;MAX(BX$4:BX$40),"",INDEX(BW$4:BW$40,MATCH(ROW()-3,BX$4:BX$40,0)))</f>
        <v/>
      </c>
      <c r="BZ8" s="55">
        <f>IF(AND($B$8:$J$8,$L$8:$AJ$8),IF('Final Calculation Sheet'!$I$8="","",'Final Calculation Sheet'!$I$8),"")</f>
        <v/>
      </c>
      <c r="CA8">
        <f>IF(BZ8="","",COUNTIFS(BZ$4:BZ$40,"&lt;"&amp;BZ8,BZ$4:BZ$40,"&lt;&gt;"&amp;"")+COUNTIF(BZ$4:BZ8,BZ8))</f>
        <v/>
      </c>
      <c r="CB8" s="55">
        <f>IF(ROW()-3&gt;COUNTIF(BZ$4:BZ$40,"&lt;&gt;"&amp;""),"",INDEX(BZ$4:BZ$40,MATCH(ROW()-3,CA$4:CA$40,0)))</f>
        <v/>
      </c>
      <c r="CC8">
        <f>CC7+IF(AND(CB8&lt;&gt;"",COUNTIF(CB$4:CB8,CB8)=1),1,0)</f>
        <v/>
      </c>
      <c r="CD8" s="55">
        <f>IF(ROW()-3&gt;MAX(CC$4:CC$40),"",INDEX(CB$4:CB$40,MATCH(ROW()-3,CC$4:CC$40,0)))</f>
        <v/>
      </c>
      <c r="CE8" s="55">
        <f>IF(AND($B$8:$K$8,$M$8:$AJ$8),IF('Final Calculation Sheet'!$J$8="","",'Final Calculation Sheet'!$J$8),"")</f>
        <v/>
      </c>
      <c r="CF8">
        <f>IF(CE8="","",COUNTIFS(CE$4:CE$40,"&lt;"&amp;CE8,CE$4:CE$40,"&lt;&gt;"&amp;"")+COUNTIF(CE$4:CE8,CE8))</f>
        <v/>
      </c>
      <c r="CG8" s="55">
        <f>IF(ROW()-3&gt;COUNTIF(CE$4:CE$40,"&lt;&gt;"&amp;""),"",INDEX(CE$4:CE$40,MATCH(ROW()-3,CF$4:CF$40,0)))</f>
        <v/>
      </c>
      <c r="CH8">
        <f>CH7+IF(AND(CG8&lt;&gt;"",COUNTIF(CG$4:CG8,CG8)=1),1,0)</f>
        <v/>
      </c>
      <c r="CI8" s="55">
        <f>IF(ROW()-3&gt;MAX(CH$4:CH$40),"",INDEX(CG$4:CG$40,MATCH(ROW()-3,CH$4:CH$40,0)))</f>
        <v/>
      </c>
      <c r="CJ8" s="55">
        <f>IF(AND($B$8:$L$8,$N$8:$AJ$8),IF('Final Calculation Sheet'!$K$8="","",'Final Calculation Sheet'!$K$8),"")</f>
        <v/>
      </c>
      <c r="CK8">
        <f>IF(CJ8="","",COUNTIFS(CJ$4:CJ$40,"&lt;"&amp;CJ8,CJ$4:CJ$40,"&lt;&gt;"&amp;"")+COUNTIF(CJ$4:CJ8,CJ8))</f>
        <v/>
      </c>
      <c r="CL8" s="55">
        <f>IF(ROW()-3&gt;COUNTIF(CJ$4:CJ$40,"&lt;&gt;"&amp;""),"",INDEX(CJ$4:CJ$40,MATCH(ROW()-3,CK$4:CK$40,0)))</f>
        <v/>
      </c>
      <c r="CM8">
        <f>CM7+IF(AND(CL8&lt;&gt;"",COUNTIF(CL$4:CL8,CL8)=1),1,0)</f>
        <v/>
      </c>
      <c r="CN8" s="55">
        <f>IF(ROW()-3&gt;MAX(CM$4:CM$40),"",INDEX(CL$4:CL$40,MATCH(ROW()-3,CM$4:CM$40,0)))</f>
        <v/>
      </c>
      <c r="CO8" s="55">
        <f>IF(AND($B$8:$M$8,$O$8:$AJ$8),IF('Final Calculation Sheet'!$L$8="","",'Final Calculation Sheet'!$L$8),"")</f>
        <v/>
      </c>
      <c r="CP8">
        <f>IF(CO8="","",COUNTIFS(CO$4:CO$40,"&lt;"&amp;CO8,CO$4:CO$40,"&lt;&gt;"&amp;"")+COUNTIF(CO$4:CO8,CO8))</f>
        <v/>
      </c>
      <c r="CQ8" s="55">
        <f>IF(ROW()-3&gt;COUNTIF(CO$4:CO$40,"&lt;&gt;"&amp;""),"",INDEX(CO$4:CO$40,MATCH(ROW()-3,CP$4:CP$40,0)))</f>
        <v/>
      </c>
      <c r="CR8">
        <f>CR7+IF(AND(CQ8&lt;&gt;"",COUNTIF(CQ$4:CQ8,CQ8)=1),1,0)</f>
        <v/>
      </c>
      <c r="CS8" s="55">
        <f>IF(ROW()-3&gt;MAX(CR$4:CR$40),"",INDEX(CQ$4:CQ$40,MATCH(ROW()-3,CR$4:CR$40,0)))</f>
        <v/>
      </c>
      <c r="CT8" s="55">
        <f>IF(AND($B$8:$N$8,$P$8:$AJ$8),IF('Final Calculation Sheet'!$M$8="","",'Final Calculation Sheet'!$M$8),"")</f>
        <v/>
      </c>
      <c r="CU8">
        <f>IF(CT8="","",COUNTIFS(CT$4:CT$40,"&lt;"&amp;CT8,CT$4:CT$40,"&lt;&gt;"&amp;"")+COUNTIF(CT$4:CT8,CT8))</f>
        <v/>
      </c>
      <c r="CV8" s="55">
        <f>IF(ROW()-3&gt;COUNTIF(CT$4:CT$40,"&lt;&gt;"&amp;""),"",INDEX(CT$4:CT$40,MATCH(ROW()-3,CU$4:CU$40,0)))</f>
        <v/>
      </c>
      <c r="CW8">
        <f>CW7+IF(AND(CV8&lt;&gt;"",COUNTIF(CV$4:CV8,CV8)=1),1,0)</f>
        <v/>
      </c>
      <c r="CX8" s="55">
        <f>IF(ROW()-3&gt;MAX(CW$4:CW$40),"",INDEX(CV$4:CV$40,MATCH(ROW()-3,CW$4:CW$40,0)))</f>
        <v/>
      </c>
      <c r="CY8" s="138">
        <f>IF(AND($B$8:$O$8,$Q$8:$AJ$8),IF('Final Calculation Sheet'!$N$8="","",'Final Calculation Sheet'!$N$8),"")</f>
        <v/>
      </c>
      <c r="CZ8">
        <f>IF(CY8="","",COUNTIFS(CY$4:CY$40,"&lt;"&amp;CY8,CY$4:CY$40,"&lt;&gt;"&amp;"")+COUNTIF(CY$4:CY8,CY8))</f>
        <v/>
      </c>
      <c r="DA8" s="138">
        <f>IF(ROW()-3&gt;COUNTIF(CY$4:CY$40,"&lt;&gt;"&amp;""),"",INDEX(CY$4:CY$40,MATCH(ROW()-3,CZ$4:CZ$40,0)))</f>
        <v/>
      </c>
      <c r="DB8">
        <f>DB7+IF(AND(DA8&lt;&gt;"",COUNTIF(DA$4:DA8,DA8)=1),1,0)</f>
        <v/>
      </c>
      <c r="DC8" s="138">
        <f>IF(ROW()-3&gt;MAX(DB$4:DB$40),"",INDEX(DA$4:DA$40,MATCH(ROW()-3,DB$4:DB$40,0)))</f>
        <v/>
      </c>
      <c r="DD8" s="55">
        <f>IF(AND($B$8:$P$8,$R$8:$AJ$8),IF('Final Calculation Sheet'!$O$8="","",'Final Calculation Sheet'!$O$8),"")</f>
        <v/>
      </c>
      <c r="DE8">
        <f>IF(DD8="","",COUNTIFS(DD$4:DD$40,"&lt;"&amp;DD8,DD$4:DD$40,"&lt;&gt;"&amp;"")+COUNTIF(DD$4:DD8,DD8))</f>
        <v/>
      </c>
      <c r="DF8" s="55">
        <f>IF(ROW()-3&gt;COUNTIF(DD$4:DD$40,"&lt;&gt;"&amp;""),"",INDEX(DD$4:DD$40,MATCH(ROW()-3,DE$4:DE$40,0)))</f>
        <v/>
      </c>
      <c r="DG8">
        <f>DG7+IF(AND(DF8&lt;&gt;"",COUNTIF(DF$4:DF8,DF8)=1),1,0)</f>
        <v/>
      </c>
      <c r="DH8" s="55">
        <f>IF(ROW()-3&gt;MAX(DG$4:DG$40),"",INDEX(DF$4:DF$40,MATCH(ROW()-3,DG$4:DG$40,0)))</f>
        <v/>
      </c>
      <c r="DI8" s="55">
        <f>IF(AND($B$8:$Q$8,$S$8:$AJ$8),IF('Final Calculation Sheet'!$P$8="","",'Final Calculation Sheet'!$P$8),"")</f>
        <v/>
      </c>
      <c r="DJ8">
        <f>IF(DI8="","",COUNTIFS(DI$4:DI$40,"&lt;"&amp;DI8,DI$4:DI$40,"&lt;&gt;"&amp;"")+COUNTIF(DI$4:DI8,DI8))</f>
        <v/>
      </c>
      <c r="DK8" s="55">
        <f>IF(ROW()-3&gt;COUNTIF(DI$4:DI$40,"&lt;&gt;"&amp;""),"",INDEX(DI$4:DI$40,MATCH(ROW()-3,DJ$4:DJ$40,0)))</f>
        <v/>
      </c>
      <c r="DL8">
        <f>DL7+IF(AND(DK8&lt;&gt;"",COUNTIF(DK$4:DK8,DK8)=1),1,0)</f>
        <v/>
      </c>
      <c r="DM8" s="55">
        <f>IF(ROW()-3&gt;MAX(DL$4:DL$40),"",INDEX(DK$4:DK$40,MATCH(ROW()-3,DL$4:DL$40,0)))</f>
        <v/>
      </c>
      <c r="DN8" s="139">
        <f>IF(AND($B$8:$R$8,$T$8:$AJ$8),IF('Final Calculation Sheet'!$Q$8="","",'Final Calculation Sheet'!$Q$8),"")</f>
        <v/>
      </c>
      <c r="DO8">
        <f>IF(DN8="","",COUNTIFS(DN$4:DN$40,"&lt;"&amp;DN8,DN$4:DN$40,"&lt;&gt;"&amp;"")+COUNTIF(DN$4:DN8,DN8))</f>
        <v/>
      </c>
      <c r="DP8" s="139">
        <f>IF(ROW()-3&gt;COUNTIF(DN$4:DN$40,"&lt;&gt;"&amp;""),"",INDEX(DN$4:DN$40,MATCH(ROW()-3,DO$4:DO$40,0)))</f>
        <v/>
      </c>
      <c r="DQ8">
        <f>DQ7+IF(AND(DP8&lt;&gt;"",COUNTIF(DP$4:DP8,DP8)=1),1,0)</f>
        <v/>
      </c>
      <c r="DR8" s="139">
        <f>IF(ROW()-3&gt;MAX(DQ$4:DQ$40),"",INDEX(DP$4:DP$40,MATCH(ROW()-3,DQ$4:DQ$40,0)))</f>
        <v/>
      </c>
      <c r="DS8" s="55">
        <f>IF(AND($B$8:$S$8,$U$8:$AJ$8),IF('Final Calculation Sheet'!$R$8="","",'Final Calculation Sheet'!$R$8),"")</f>
        <v/>
      </c>
      <c r="DT8">
        <f>IF(DS8="","",COUNTIFS(DS$4:DS$40,"&lt;"&amp;DS8,DS$4:DS$40,"&lt;&gt;"&amp;"")+COUNTIF(DS$4:DS8,DS8))</f>
        <v/>
      </c>
      <c r="DU8" s="55">
        <f>IF(ROW()-3&gt;COUNTIF(DS$4:DS$40,"&lt;&gt;"&amp;""),"",INDEX(DS$4:DS$40,MATCH(ROW()-3,DT$4:DT$40,0)))</f>
        <v/>
      </c>
      <c r="DV8">
        <f>DV7+IF(AND(DU8&lt;&gt;"",COUNTIF(DU$4:DU8,DU8)=1),1,0)</f>
        <v/>
      </c>
      <c r="DW8" s="55">
        <f>IF(ROW()-3&gt;MAX(DV$4:DV$40),"",INDEX(DU$4:DU$40,MATCH(ROW()-3,DV$4:DV$40,0)))</f>
        <v/>
      </c>
      <c r="DX8" s="55">
        <f>IF(AND($B$8:$T$8,$V$8:$AJ$8),IF('Final Calculation Sheet'!$S$8="","",'Final Calculation Sheet'!$S$8),"")</f>
        <v/>
      </c>
      <c r="DY8">
        <f>IF(DX8="","",COUNTIFS(DX$4:DX$40,"&lt;"&amp;DX8,DX$4:DX$40,"&lt;&gt;"&amp;"")+COUNTIF(DX$4:DX8,DX8))</f>
        <v/>
      </c>
      <c r="DZ8" s="55">
        <f>IF(ROW()-3&gt;COUNTIF(DX$4:DX$40,"&lt;&gt;"&amp;""),"",INDEX(DX$4:DX$40,MATCH(ROW()-3,DY$4:DY$40,0)))</f>
        <v/>
      </c>
      <c r="EA8">
        <f>EA7+IF(AND(DZ8&lt;&gt;"",COUNTIF(DZ$4:DZ8,DZ8)=1),1,0)</f>
        <v/>
      </c>
      <c r="EB8" s="55">
        <f>IF(ROW()-3&gt;MAX(EA$4:EA$40),"",INDEX(DZ$4:DZ$40,MATCH(ROW()-3,EA$4:EA$40,0)))</f>
        <v/>
      </c>
      <c r="EC8" s="55">
        <f>IF(AND($B$8:$U$8,$W$8:$AJ$8),IF('Final Calculation Sheet'!$T$8="","",'Final Calculation Sheet'!$T$8),"")</f>
        <v/>
      </c>
      <c r="ED8">
        <f>IF(EC8="","",COUNTIFS(EC$4:EC$40,"&lt;"&amp;EC8,EC$4:EC$40,"&lt;&gt;"&amp;"")+COUNTIF(EC$4:EC8,EC8))</f>
        <v/>
      </c>
      <c r="EE8" s="55">
        <f>IF(ROW()-3&gt;COUNTIF(EC$4:EC$40,"&lt;&gt;"&amp;""),"",INDEX(EC$4:EC$40,MATCH(ROW()-3,ED$4:ED$40,0)))</f>
        <v/>
      </c>
      <c r="EF8">
        <f>EF7+IF(AND(EE8&lt;&gt;"",COUNTIF(EE$4:EE8,EE8)=1),1,0)</f>
        <v/>
      </c>
      <c r="EG8" s="55">
        <f>IF(ROW()-3&gt;MAX(EF$4:EF$40),"",INDEX(EE$4:EE$40,MATCH(ROW()-3,EF$4:EF$40,0)))</f>
        <v/>
      </c>
      <c r="EH8" s="140">
        <f>IF(AND($B$8:$V$8,$X$8:$AJ$8),IF('Final Calculation Sheet'!$U$8="","",'Final Calculation Sheet'!$U$8),"")</f>
        <v/>
      </c>
      <c r="EI8">
        <f>IF(EH8="","",COUNTIFS(EH$4:EH$40,"&lt;"&amp;EH8,EH$4:EH$40,"&lt;&gt;"&amp;"")+COUNTIF(EH$4:EH8,EH8))</f>
        <v/>
      </c>
      <c r="EJ8" s="140">
        <f>IF(ROW()-3&gt;COUNTIF(EH$4:EH$40,"&lt;&gt;"&amp;""),"",INDEX(EH$4:EH$40,MATCH(ROW()-3,EI$4:EI$40,0)))</f>
        <v/>
      </c>
      <c r="EK8">
        <f>EK7+IF(AND(EJ8&lt;&gt;"",COUNTIF(EJ$4:EJ8,EJ8)=1),1,0)</f>
        <v/>
      </c>
      <c r="EL8" s="140">
        <f>IF(ROW()-3&gt;MAX(EK$4:EK$40),"",INDEX(EJ$4:EJ$40,MATCH(ROW()-3,EK$4:EK$40,0)))</f>
        <v/>
      </c>
      <c r="EM8">
        <f>IF(AND($B$8:$W$8,$Y$8:$AJ$8),IF('Final Calculation Sheet'!$V$8="","",'Final Calculation Sheet'!$V$8),"")</f>
        <v/>
      </c>
      <c r="EN8">
        <f>IF(EM8="","",COUNTIFS(EM$4:EM$40,"&lt;"&amp;EM8,EM$4:EM$40,"&lt;&gt;"&amp;"")+COUNTIF(EM$4:EM8,EM8))</f>
        <v/>
      </c>
      <c r="EO8">
        <f>IF(ROW()-3&gt;COUNTIF(EM$4:EM$40,"&lt;&gt;"&amp;""),"",INDEX(EM$4:EM$40,MATCH(ROW()-3,EN$4:EN$40,0)))</f>
        <v/>
      </c>
      <c r="EP8">
        <f>EP7+IF(AND(EO8&lt;&gt;"",COUNTIF(EO$4:EO8,EO8)=1),1,0)</f>
        <v/>
      </c>
      <c r="EQ8">
        <f>IF(ROW()-3&gt;MAX(EP$4:EP$40),"",INDEX(EO$4:EO$40,MATCH(ROW()-3,EP$4:EP$40,0)))</f>
        <v/>
      </c>
      <c r="ER8" s="55">
        <f>IF(AND($B$8:$X$8,$Z$8:$AJ$8),IF('Final Calculation Sheet'!$W$8="","",'Final Calculation Sheet'!$W$8),"")</f>
        <v/>
      </c>
      <c r="ES8">
        <f>IF(ER8="","",COUNTIFS(ER$4:ER$40,"&lt;"&amp;ER8,ER$4:ER$40,"&lt;&gt;"&amp;"")+COUNTIF(ER$4:ER8,ER8))</f>
        <v/>
      </c>
      <c r="ET8" s="55">
        <f>IF(ROW()-3&gt;COUNTIF(ER$4:ER$40,"&lt;&gt;"&amp;""),"",INDEX(ER$4:ER$40,MATCH(ROW()-3,ES$4:ES$40,0)))</f>
        <v/>
      </c>
      <c r="EU8">
        <f>EU7+IF(AND(ET8&lt;&gt;"",COUNTIF(ET$4:ET8,ET8)=1),1,0)</f>
        <v/>
      </c>
      <c r="EV8" s="55">
        <f>IF(ROW()-3&gt;MAX(EU$4:EU$40),"",INDEX(ET$4:ET$40,MATCH(ROW()-3,EU$4:EU$40,0)))</f>
        <v/>
      </c>
      <c r="EW8" s="55">
        <f>IF(AND($B$8:$Y$8,$AA$8:$AJ$8),IF('Final Calculation Sheet'!$X$8="","",'Final Calculation Sheet'!$X$8),"")</f>
        <v/>
      </c>
      <c r="EX8">
        <f>IF(EW8="","",COUNTIFS(EW$4:EW$40,"&lt;"&amp;EW8,EW$4:EW$40,"&lt;&gt;"&amp;"")+COUNTIF(EW$4:EW8,EW8))</f>
        <v/>
      </c>
      <c r="EY8" s="55">
        <f>IF(ROW()-3&gt;COUNTIF(EW$4:EW$40,"&lt;&gt;"&amp;""),"",INDEX(EW$4:EW$40,MATCH(ROW()-3,EX$4:EX$40,0)))</f>
        <v/>
      </c>
      <c r="EZ8">
        <f>EZ7+IF(AND(EY8&lt;&gt;"",COUNTIF(EY$4:EY8,EY8)=1),1,0)</f>
        <v/>
      </c>
      <c r="FA8">
        <f>IF(ROW()-3&gt;MAX(EZ$4:EZ$40),"",INDEX(EY$4:EY$40,MATCH(ROW()-3,EZ$4:EZ$40,0)))</f>
        <v/>
      </c>
      <c r="FB8">
        <f>IF(AND($B$8:$Z$8,$AB$8:$AJ$8),IF('Final Calculation Sheet'!$Y$8="","",'Final Calculation Sheet'!$Y$8),"")</f>
        <v/>
      </c>
      <c r="FC8">
        <f>IF(FB8="","",COUNTIFS(FB$4:FB$40,"&lt;"&amp;FB8,FB$4:FB$40,"&lt;&gt;"&amp;"")+COUNTIF(FB$4:FB8,FB8))</f>
        <v/>
      </c>
      <c r="FD8">
        <f>IF(ROW()-3&gt;COUNTIF(FB$4:FB$40,"&lt;&gt;"&amp;""),"",INDEX(FB$4:FB$40,MATCH(ROW()-3,FC$4:FC$40,0)))</f>
        <v/>
      </c>
      <c r="FE8">
        <f>FE7+IF(AND(FD8&lt;&gt;"",COUNTIF(FD$4:FD8,FD8)=1),1,0)</f>
        <v/>
      </c>
      <c r="FF8">
        <f>IF(ROW()-3&gt;MAX(FE$4:FE$40),"",INDEX(FD$4:FD$40,MATCH(ROW()-3,FE$4:FE$40,0)))</f>
        <v/>
      </c>
      <c r="FG8" s="55">
        <f>IF(AND($B$8:$AA$8,$AC$8:$AJ$8),IF('Final Calculation Sheet'!$Z$8="","",'Final Calculation Sheet'!$Z$8),"")</f>
        <v/>
      </c>
      <c r="FH8">
        <f>IF(FG8="","",COUNTIFS(FG$4:FG$40,"&lt;"&amp;FG8,FG$4:FG$40,"&lt;&gt;"&amp;"")+COUNTIF(FG$4:FG8,FG8))</f>
        <v/>
      </c>
      <c r="FI8" s="55">
        <f>IF(ROW()-3&gt;COUNTIF(FG$4:FG$40,"&lt;&gt;"&amp;""),"",INDEX(FG$4:FG$40,MATCH(ROW()-3,FH$4:FH$40,0)))</f>
        <v/>
      </c>
      <c r="FJ8">
        <f>FJ7+IF(AND(FI8&lt;&gt;"",COUNTIF(FI$4:FI8,FI8)=1),1,0)</f>
        <v/>
      </c>
      <c r="FK8" s="55">
        <f>IF(ROW()-3&gt;MAX(FJ$4:FJ$40),"",INDEX(FI$4:FI$40,MATCH(ROW()-3,FJ$4:FJ$40,0)))</f>
        <v/>
      </c>
      <c r="FL8">
        <f>IF(AND($B$8:$AB$8,$AD$8:$AJ$8),IF('Final Calculation Sheet'!$AA$8="","",'Final Calculation Sheet'!$AA$8),"")</f>
        <v/>
      </c>
      <c r="FM8">
        <f>IF(FL8="","",COUNTIFS(FL$4:FL$40,"&lt;"&amp;FL8,FL$4:FL$40,"&lt;&gt;"&amp;"")+COUNTIF(FL$4:FL8,FL8))</f>
        <v/>
      </c>
      <c r="FN8">
        <f>IF(ROW()-3&gt;COUNTIF(FL$4:FL$40,"&lt;&gt;"&amp;""),"",INDEX(FL$4:FL$40,MATCH(ROW()-3,FM$4:FM$40,0)))</f>
        <v/>
      </c>
      <c r="FO8">
        <f>FO7+IF(AND(FN8&lt;&gt;"",COUNTIF(FN$4:FN8,FN8)=1),1,0)</f>
        <v/>
      </c>
      <c r="FP8">
        <f>IF(ROW()-3&gt;MAX(FO$4:FO$40),"",INDEX(FN$4:FN$40,MATCH(ROW()-3,FO$4:FO$40,0)))</f>
        <v/>
      </c>
      <c r="FQ8">
        <f>IF(AND($B$8:$AC$8,$AE$8:$AJ$8),IF('Final Calculation Sheet'!$AB$8="","",'Final Calculation Sheet'!$AB$8),"")</f>
        <v/>
      </c>
      <c r="FR8">
        <f>IF(FQ8="","",COUNTIFS(FQ$4:FQ$40,"&lt;"&amp;FQ8,FQ$4:FQ$40,"&lt;&gt;"&amp;"")+COUNTIF(FQ$4:FQ8,FQ8))</f>
        <v/>
      </c>
      <c r="FS8">
        <f>IF(ROW()-3&gt;COUNTIF(FQ$4:FQ$40,"&lt;&gt;"&amp;""),"",INDEX(FQ$4:FQ$40,MATCH(ROW()-3,FR$4:FR$40,0)))</f>
        <v/>
      </c>
      <c r="FT8">
        <f>FT7+IF(AND(FS8&lt;&gt;"",COUNTIF(FS$4:FS8,FS8)=1),1,0)</f>
        <v/>
      </c>
      <c r="FU8">
        <f>IF(ROW()-3&gt;MAX(FT$4:FT$40),"",INDEX(FS$4:FS$40,MATCH(ROW()-3,FT$4:FT$40,0)))</f>
        <v/>
      </c>
      <c r="FV8" s="55">
        <f>IF(AND($B$8:$AD$8,$AF$8:$AJ$8),IF('Final Calculation Sheet'!$AC$8="","",'Final Calculation Sheet'!$AC$8),"")</f>
        <v/>
      </c>
      <c r="FW8">
        <f>IF(FV8="","",COUNTIFS(FV$4:FV$40,"&lt;"&amp;FV8,FV$4:FV$40,"&lt;&gt;"&amp;"")+COUNTIF(FV$4:FV8,FV8))</f>
        <v/>
      </c>
      <c r="FX8" s="55">
        <f>IF(ROW()-3&gt;COUNTIF(FV$4:FV$40,"&lt;&gt;"&amp;""),"",INDEX(FV$4:FV$40,MATCH(ROW()-3,FW$4:FW$40,0)))</f>
        <v/>
      </c>
      <c r="FY8">
        <f>FY7+IF(AND(FX8&lt;&gt;"",COUNTIF(FX$4:FX8,FX8)=1),1,0)</f>
        <v/>
      </c>
      <c r="FZ8" s="55">
        <f>IF(ROW()-3&gt;MAX(FY$4:FY$40),"",INDEX(FX$4:FX$40,MATCH(ROW()-3,FY$4:FY$40,0)))</f>
        <v/>
      </c>
      <c r="GA8" s="55">
        <f>IF(AND($B$8:$AE$8,$AG$8:$AJ$8),IF('Final Calculation Sheet'!$AD$8="","",'Final Calculation Sheet'!$AD$8),"")</f>
        <v/>
      </c>
      <c r="GB8">
        <f>IF(GA8="","",COUNTIFS(GA$4:GA$40,"&lt;"&amp;GA8,GA$4:GA$40,"&lt;&gt;"&amp;"")+COUNTIF(GA$4:GA8,GA8))</f>
        <v/>
      </c>
      <c r="GC8" s="55">
        <f>IF(ROW()-3&gt;COUNTIF(GA$4:GA$40,"&lt;&gt;"&amp;""),"",INDEX(GA$4:GA$40,MATCH(ROW()-3,GB$4:GB$40,0)))</f>
        <v/>
      </c>
      <c r="GD8">
        <f>GD7+IF(AND(GC8&lt;&gt;"",COUNTIF(GC$4:GC8,GC8)=1),1,0)</f>
        <v/>
      </c>
      <c r="GE8" s="55">
        <f>IF(ROW()-3&gt;MAX(GD$4:GD$40),"",INDEX(GC$4:GC$40,MATCH(ROW()-3,GD$4:GD$40,0)))</f>
        <v/>
      </c>
      <c r="GF8">
        <f>IF(AND($B$8:$AF$8,$AH$8:$AJ$8),IF('Final Calculation Sheet'!$AE$8="","",'Final Calculation Sheet'!$AE$8),"")</f>
        <v/>
      </c>
      <c r="GG8">
        <f>IF(GF8="","",COUNTIFS(GF$4:GF$40,"&lt;"&amp;GF8,GF$4:GF$40,"&lt;&gt;"&amp;"")+COUNTIF(GF$4:GF8,GF8))</f>
        <v/>
      </c>
      <c r="GH8">
        <f>IF(ROW()-3&gt;COUNTIF(GF$4:GF$40,"&lt;&gt;"&amp;""),"",INDEX(GF$4:GF$40,MATCH(ROW()-3,GG$4:GG$40,0)))</f>
        <v/>
      </c>
      <c r="GI8">
        <f>GI7+IF(AND(GH8&lt;&gt;"",COUNTIF(GH$4:GH8,GH8)=1),1,0)</f>
        <v/>
      </c>
      <c r="GJ8">
        <f>IF(ROW()-3&gt;MAX(GI$4:GI$40),"",INDEX(GH$4:GH$40,MATCH(ROW()-3,GI$4:GI$40,0)))</f>
        <v/>
      </c>
      <c r="GK8" s="141">
        <f>IF(AND($B$8:$AG$8,$AI$8:$AJ$8),IF('Final Calculation Sheet'!$AF$8="","",'Final Calculation Sheet'!$AF$8),"")</f>
        <v/>
      </c>
      <c r="GL8">
        <f>IF(GK8="","",COUNTIFS(GK$4:GK$40,"&lt;"&amp;GK8,GK$4:GK$40,"&lt;&gt;"&amp;"")+COUNTIF(GK$4:GK8,GK8))</f>
        <v/>
      </c>
      <c r="GM8" s="141">
        <f>IF(ROW()-3&gt;COUNTIF(GK$4:GK$40,"&lt;&gt;"&amp;""),"",INDEX(GK$4:GK$40,MATCH(ROW()-3,GL$4:GL$40,0)))</f>
        <v/>
      </c>
      <c r="GN8">
        <f>GN7+IF(AND(GM8&lt;&gt;"",COUNTIF(GM$4:GM8,GM8)=1),1,0)</f>
        <v/>
      </c>
      <c r="GO8">
        <f>IF(ROW()-3&gt;MAX(GN$4:GN$40),"",INDEX(GM$4:GM$40,MATCH(ROW()-3,GN$4:GN$40,0)))</f>
        <v/>
      </c>
      <c r="GP8">
        <f>IF(AND($B$8:$AH$8,$AJ$8:$AJ$8),IF('Final Calculation Sheet'!$AG$8="","",'Final Calculation Sheet'!$AG$8),"")</f>
        <v/>
      </c>
      <c r="GQ8">
        <f>IF(GP8="","",COUNTIFS(GP$4:GP$40,"&lt;"&amp;GP8,GP$4:GP$40,"&lt;&gt;"&amp;"")+COUNTIF(GP$4:GP8,GP8))</f>
        <v/>
      </c>
      <c r="GR8">
        <f>IF(ROW()-3&gt;COUNTIF(GP$4:GP$40,"&lt;&gt;"&amp;""),"",INDEX(GP$4:GP$40,MATCH(ROW()-3,GQ$4:GQ$40,0)))</f>
        <v/>
      </c>
      <c r="GS8">
        <f>GS7+IF(AND(GR8&lt;&gt;"",COUNTIF(GR$4:GR8,GR8)=1),1,0)</f>
        <v/>
      </c>
      <c r="GT8">
        <f>IF(ROW()-3&gt;MAX(GS$4:GS$40),"",INDEX(GR$4:GR$40,MATCH(ROW()-3,GS$4:GS$40,0)))</f>
        <v/>
      </c>
    </row>
    <row r="9">
      <c r="A9" t="inlineStr">
        <is>
          <t>Final row 9</t>
        </is>
      </c>
      <c r="B9" t="b">
        <v>1</v>
      </c>
      <c r="C9">
        <f>IF($C$3=FALSE,TRUE,IF(OR(UPPER(TRIM($C$2))="(BLANK)",UPPER(TRIM($C$2))="BLANK",AND($C$2&lt;&gt;"",TRIM($C$2)="")),(IF('Final Calculation Sheet'!$F$9="","",'Final Calculation Sheet'!$F$9))="",IF(OR(UPPER(TRIM($C$2))="(NONBLANK)",UPPER(TRIM($C$2))="NONBLANK",TRIM($C$2)="&lt;&gt;"),(IF('Final Calculation Sheet'!$F$9="","",'Final Calculation Sheet'!$F$9))&lt;&gt;"",UPPER(TRIM((IF('Final Calculation Sheet'!$F$9="","",'Final Calculation Sheet'!$F$9))&amp;""))=UPPER(TRIM($C$2&amp;"")))))</f>
        <v/>
      </c>
      <c r="D9">
        <f>IF($D$3=FALSE,TRUE,IF(OR(UPPER(TRIM($D$2))="(BLANK)",UPPER(TRIM($D$2))="BLANK",AND($D$2&lt;&gt;"",TRIM($D$2)="")),(IF('Final Calculation Sheet'!$G$9="","",'Final Calculation Sheet'!$G$9))="",IF(OR(UPPER(TRIM($D$2))="(NONBLANK)",UPPER(TRIM($D$2))="NONBLANK",TRIM($D$2)="&lt;&gt;"),(IF('Final Calculation Sheet'!$G$9="","",'Final Calculation Sheet'!$G$9))&lt;&gt;"",UPPER(TRIM((IF('Final Calculation Sheet'!$G$9="","",'Final Calculation Sheet'!$G$9))&amp;""))=UPPER(TRIM($D$2&amp;"")))))</f>
        <v/>
      </c>
      <c r="E9">
        <f>IF($E$3=FALSE,TRUE,IF(OR(UPPER(TRIM($E$2))="(BLANK)",UPPER(TRIM($E$2))="BLANK",AND($E$2&lt;&gt;"",TRIM($E$2)="")),(IF('Final Calculation Sheet'!$B$9="","",'Final Calculation Sheet'!$B$9))="",IF(OR(UPPER(TRIM($E$2))="(NONBLANK)",UPPER(TRIM($E$2))="NONBLANK",TRIM($E$2)="&lt;&gt;"),(IF('Final Calculation Sheet'!$B$9="","",'Final Calculation Sheet'!$B$9))&lt;&gt;"",UPPER(TRIM((IF('Final Calculation Sheet'!$B$9="","",'Final Calculation Sheet'!$B$9))&amp;""))=UPPER(TRIM($E$2&amp;"")))))</f>
        <v/>
      </c>
      <c r="F9">
        <f>IF($F$3=FALSE,TRUE,IF(OR(UPPER(TRIM($F$2))="(BLANK)",UPPER(TRIM($F$2))="BLANK",AND($F$2&lt;&gt;"",TRIM($F$2)="")),(IF('Final Calculation Sheet'!$D$9="","",'Final Calculation Sheet'!$D$9))="",IF(OR(UPPER(TRIM($F$2))="(NONBLANK)",UPPER(TRIM($F$2))="NONBLANK",TRIM($F$2)="&lt;&gt;"),(IF('Final Calculation Sheet'!$D$9="","",'Final Calculation Sheet'!$D$9))&lt;&gt;"",UPPER(TRIM((IF('Final Calculation Sheet'!$D$9="","",'Final Calculation Sheet'!$D$9))&amp;""))=UPPER(TRIM($F$2&amp;"")))))</f>
        <v/>
      </c>
      <c r="G9">
        <f>IF($G$3=FALSE,TRUE,IF(OR(UPPER(TRIM($G$2))="(BLANK)",UPPER(TRIM($G$2))="BLANK",AND($G$2&lt;&gt;"",TRIM($G$2)="")),(IF('Final Calculation Sheet'!$A$9="","",'Final Calculation Sheet'!$A$9))="",IF(OR(UPPER(TRIM($G$2))="(NONBLANK)",UPPER(TRIM($G$2))="NONBLANK",TRIM($G$2)="&lt;&gt;"),(IF('Final Calculation Sheet'!$A$9="","",'Final Calculation Sheet'!$A$9))&lt;&gt;"",UPPER(TRIM((IF('Final Calculation Sheet'!$A$9="","",'Final Calculation Sheet'!$A$9))&amp;""))=UPPER(TRIM($G$2&amp;"")))))</f>
        <v/>
      </c>
      <c r="H9">
        <f>IF($H$3=FALSE,TRUE,IF(OR(UPPER(TRIM($H$2))="(BLANK)",UPPER(TRIM($H$2))="BLANK",AND($H$2&lt;&gt;"",TRIM($H$2)="")),(IF('Final Calculation Sheet'!$E$9="","",'Final Calculation Sheet'!$E$9))="",IF(OR(UPPER(TRIM($H$2))="(NONBLANK)",UPPER(TRIM($H$2))="NONBLANK",TRIM($H$2)="&lt;&gt;"),(IF('Final Calculation Sheet'!$E$9="","",'Final Calculation Sheet'!$E$9))&lt;&gt;"",UPPER(TRIM((IF('Final Calculation Sheet'!$E$9="","",'Final Calculation Sheet'!$E$9))&amp;""))=UPPER(TRIM($H$2&amp;"")))))</f>
        <v/>
      </c>
      <c r="I9">
        <f>IF($I$3=FALSE,TRUE,IF(OR(UPPER(TRIM($I$2))="(BLANK)",UPPER(TRIM($I$2))="BLANK",AND($I$2&lt;&gt;"",TRIM($I$2)="")),(IF('Final Calculation Sheet'!$C$9="","",'Final Calculation Sheet'!$C$9))="",IF(OR(UPPER(TRIM($I$2))="(NONBLANK)",UPPER(TRIM($I$2))="NONBLANK",TRIM($I$2)="&lt;&gt;"),(IF('Final Calculation Sheet'!$C$9="","",'Final Calculation Sheet'!$C$9))&lt;&gt;"",UPPER(TRIM((IF('Final Calculation Sheet'!$C$9="","",'Final Calculation Sheet'!$C$9))&amp;""))=UPPER(TRIM($I$2&amp;"")))))</f>
        <v/>
      </c>
      <c r="J9">
        <f>IF($J$3=FALSE,TRUE,IF(OR(UPPER(TRIM($J$2))="(BLANK)",UPPER(TRIM($J$2))="BLANK",AND($J$2&lt;&gt;"",TRIM($J$2)="")),(IF('Final Calculation Sheet'!$H$9="","",'Final Calculation Sheet'!$H$9))="",IF(OR(UPPER(TRIM($J$2))="(NONBLANK)",UPPER(TRIM($J$2))="NONBLANK",TRIM($J$2)="&lt;&gt;"),(IF('Final Calculation Sheet'!$H$9="","",'Final Calculation Sheet'!$H$9))&lt;&gt;"",UPPER(TRIM((IF('Final Calculation Sheet'!$H$9="","",'Final Calculation Sheet'!$H$9))&amp;""))=UPPER(TRIM($J$2&amp;"")))))</f>
        <v/>
      </c>
      <c r="K9">
        <f>IF($K$3=FALSE,TRUE,IF(OR(UPPER(TRIM($K$2))="(BLANK)",UPPER(TRIM($K$2))="BLANK",AND($K$2&lt;&gt;"",TRIM($K$2)="")),(IF('Final Calculation Sheet'!$I$9="","",'Final Calculation Sheet'!$I$9))="",IF(OR(UPPER(TRIM($K$2))="(NONBLANK)",UPPER(TRIM($K$2))="NONBLANK",TRIM($K$2)="&lt;&gt;"),(IF('Final Calculation Sheet'!$I$9="","",'Final Calculation Sheet'!$I$9))&lt;&gt;"",UPPER(TRIM((IF('Final Calculation Sheet'!$I$9="","",'Final Calculation Sheet'!$I$9))&amp;""))=UPPER(TRIM($K$2&amp;"")))))</f>
        <v/>
      </c>
      <c r="L9">
        <f>IF($L$3=FALSE,TRUE,IF(OR(UPPER(TRIM($L$2))="(BLANK)",UPPER(TRIM($L$2))="BLANK",AND($L$2&lt;&gt;"",TRIM($L$2)="")),(IF('Final Calculation Sheet'!$J$9="","",'Final Calculation Sheet'!$J$9))="",IF(OR(UPPER(TRIM($L$2))="(NONBLANK)",UPPER(TRIM($L$2))="NONBLANK",TRIM($L$2)="&lt;&gt;"),(IF('Final Calculation Sheet'!$J$9="","",'Final Calculation Sheet'!$J$9))&lt;&gt;"",UPPER(TRIM((IF('Final Calculation Sheet'!$J$9="","",'Final Calculation Sheet'!$J$9))&amp;""))=UPPER(TRIM($L$2&amp;"")))))</f>
        <v/>
      </c>
      <c r="M9">
        <f>IF($M$3=FALSE,TRUE,IF(OR(UPPER(TRIM($M$2))="(BLANK)",UPPER(TRIM($M$2))="BLANK",AND($M$2&lt;&gt;"",TRIM($M$2)="")),(IF('Final Calculation Sheet'!$K$9="","",'Final Calculation Sheet'!$K$9))="",IF(OR(UPPER(TRIM($M$2))="(NONBLANK)",UPPER(TRIM($M$2))="NONBLANK",TRIM($M$2)="&lt;&gt;"),(IF('Final Calculation Sheet'!$K$9="","",'Final Calculation Sheet'!$K$9))&lt;&gt;"",UPPER(TRIM((IF('Final Calculation Sheet'!$K$9="","",'Final Calculation Sheet'!$K$9))&amp;""))=UPPER(TRIM($M$2&amp;"")))))</f>
        <v/>
      </c>
      <c r="N9">
        <f>IF($N$3=FALSE,TRUE,IF(OR(UPPER(TRIM($N$2))="(BLANK)",UPPER(TRIM($N$2))="BLANK",AND($N$2&lt;&gt;"",TRIM($N$2)="")),(IF('Final Calculation Sheet'!$L$9="","",'Final Calculation Sheet'!$L$9))="",IF(OR(UPPER(TRIM($N$2))="(NONBLANK)",UPPER(TRIM($N$2))="NONBLANK",TRIM($N$2)="&lt;&gt;"),(IF('Final Calculation Sheet'!$L$9="","",'Final Calculation Sheet'!$L$9))&lt;&gt;"",UPPER(TRIM((IF('Final Calculation Sheet'!$L$9="","",'Final Calculation Sheet'!$L$9))&amp;""))=UPPER(TRIM($N$2&amp;"")))))</f>
        <v/>
      </c>
      <c r="O9">
        <f>IF($O$3=FALSE,TRUE,IF(OR(UPPER(TRIM($O$2))="(BLANK)",UPPER(TRIM($O$2))="BLANK",AND($O$2&lt;&gt;"",TRIM($O$2)="")),(IF('Final Calculation Sheet'!$M$9="","",'Final Calculation Sheet'!$M$9))="",IF(OR(UPPER(TRIM($O$2))="(NONBLANK)",UPPER(TRIM($O$2))="NONBLANK",TRIM($O$2)="&lt;&gt;"),(IF('Final Calculation Sheet'!$M$9="","",'Final Calculation Sheet'!$M$9))&lt;&gt;"",UPPER(TRIM((IF('Final Calculation Sheet'!$M$9="","",'Final Calculation Sheet'!$M$9))&amp;""))=UPPER(TRIM($O$2&amp;"")))))</f>
        <v/>
      </c>
      <c r="P9">
        <f>IF($P$3=FALSE,TRUE,IF(OR(UPPER(TRIM($P$2))="(BLANK)",UPPER(TRIM($P$2))="BLANK",AND($P$2&lt;&gt;"",TRIM($P$2)="")),(IF('Final Calculation Sheet'!$N$9="","",'Final Calculation Sheet'!$N$9))="",IF(OR(UPPER(TRIM($P$2))="(NONBLANK)",UPPER(TRIM($P$2))="NONBLANK",TRIM($P$2)="&lt;&gt;"),(IF('Final Calculation Sheet'!$N$9="","",'Final Calculation Sheet'!$N$9))&lt;&gt;"",UPPER(TRIM((IF('Final Calculation Sheet'!$N$9="","",'Final Calculation Sheet'!$N$9))&amp;""))=UPPER(TRIM($P$2&amp;"")))))</f>
        <v/>
      </c>
      <c r="Q9">
        <f>IF($Q$3=FALSE,TRUE,IF(OR(UPPER(TRIM($Q$2))="(BLANK)",UPPER(TRIM($Q$2))="BLANK",AND($Q$2&lt;&gt;"",TRIM($Q$2)="")),(IF('Final Calculation Sheet'!$O$9="","",'Final Calculation Sheet'!$O$9))="",IF(OR(UPPER(TRIM($Q$2))="(NONBLANK)",UPPER(TRIM($Q$2))="NONBLANK",TRIM($Q$2)="&lt;&gt;"),(IF('Final Calculation Sheet'!$O$9="","",'Final Calculation Sheet'!$O$9))&lt;&gt;"",UPPER(TRIM((IF('Final Calculation Sheet'!$O$9="","",'Final Calculation Sheet'!$O$9))&amp;""))=UPPER(TRIM($Q$2&amp;"")))))</f>
        <v/>
      </c>
      <c r="R9">
        <f>IF($R$3=FALSE,TRUE,IF(OR(UPPER(TRIM($R$2))="(BLANK)",UPPER(TRIM($R$2))="BLANK",AND($R$2&lt;&gt;"",TRIM($R$2)="")),(IF('Final Calculation Sheet'!$P$9="","",'Final Calculation Sheet'!$P$9))="",IF(OR(UPPER(TRIM($R$2))="(NONBLANK)",UPPER(TRIM($R$2))="NONBLANK",TRIM($R$2)="&lt;&gt;"),(IF('Final Calculation Sheet'!$P$9="","",'Final Calculation Sheet'!$P$9))&lt;&gt;"",UPPER(TRIM((IF('Final Calculation Sheet'!$P$9="","",'Final Calculation Sheet'!$P$9))&amp;""))=UPPER(TRIM($R$2&amp;"")))))</f>
        <v/>
      </c>
      <c r="S9">
        <f>IF($S$3=FALSE,TRUE,IF(OR(UPPER(TRIM($S$2))="(BLANK)",UPPER(TRIM($S$2))="BLANK",AND($S$2&lt;&gt;"",TRIM($S$2)="")),(IF('Final Calculation Sheet'!$Q$9="","",'Final Calculation Sheet'!$Q$9))="",IF(OR(UPPER(TRIM($S$2))="(NONBLANK)",UPPER(TRIM($S$2))="NONBLANK",TRIM($S$2)="&lt;&gt;"),(IF('Final Calculation Sheet'!$Q$9="","",'Final Calculation Sheet'!$Q$9))&lt;&gt;"",UPPER(TRIM((IF('Final Calculation Sheet'!$Q$9="","",'Final Calculation Sheet'!$Q$9))&amp;""))=UPPER(TRIM($S$2&amp;"")))))</f>
        <v/>
      </c>
      <c r="T9">
        <f>IF($T$3=FALSE,TRUE,IF(OR(UPPER(TRIM($T$2))="(BLANK)",UPPER(TRIM($T$2))="BLANK",AND($T$2&lt;&gt;"",TRIM($T$2)="")),(IF('Final Calculation Sheet'!$R$9="","",'Final Calculation Sheet'!$R$9))="",IF(OR(UPPER(TRIM($T$2))="(NONBLANK)",UPPER(TRIM($T$2))="NONBLANK",TRIM($T$2)="&lt;&gt;"),(IF('Final Calculation Sheet'!$R$9="","",'Final Calculation Sheet'!$R$9))&lt;&gt;"",UPPER(TRIM((IF('Final Calculation Sheet'!$R$9="","",'Final Calculation Sheet'!$R$9))&amp;""))=UPPER(TRIM($T$2&amp;"")))))</f>
        <v/>
      </c>
      <c r="U9">
        <f>IF($U$3=FALSE,TRUE,IF(OR(UPPER(TRIM($U$2))="(BLANK)",UPPER(TRIM($U$2))="BLANK",AND($U$2&lt;&gt;"",TRIM($U$2)="")),(IF('Final Calculation Sheet'!$S$9="","",'Final Calculation Sheet'!$S$9))="",IF(OR(UPPER(TRIM($U$2))="(NONBLANK)",UPPER(TRIM($U$2))="NONBLANK",TRIM($U$2)="&lt;&gt;"),(IF('Final Calculation Sheet'!$S$9="","",'Final Calculation Sheet'!$S$9))&lt;&gt;"",UPPER(TRIM((IF('Final Calculation Sheet'!$S$9="","",'Final Calculation Sheet'!$S$9))&amp;""))=UPPER(TRIM($U$2&amp;"")))))</f>
        <v/>
      </c>
      <c r="V9">
        <f>IF($V$3=FALSE,TRUE,IF(OR(UPPER(TRIM($V$2))="(BLANK)",UPPER(TRIM($V$2))="BLANK",AND($V$2&lt;&gt;"",TRIM($V$2)="")),(IF('Final Calculation Sheet'!$T$9="","",'Final Calculation Sheet'!$T$9))="",IF(OR(UPPER(TRIM($V$2))="(NONBLANK)",UPPER(TRIM($V$2))="NONBLANK",TRIM($V$2)="&lt;&gt;"),(IF('Final Calculation Sheet'!$T$9="","",'Final Calculation Sheet'!$T$9))&lt;&gt;"",UPPER(TRIM((IF('Final Calculation Sheet'!$T$9="","",'Final Calculation Sheet'!$T$9))&amp;""))=UPPER(TRIM($V$2&amp;"")))))</f>
        <v/>
      </c>
      <c r="W9">
        <f>IF($W$3=FALSE,TRUE,IF(OR(UPPER(TRIM($W$2))="(BLANK)",UPPER(TRIM($W$2))="BLANK",AND($W$2&lt;&gt;"",TRIM($W$2)="")),(IF('Final Calculation Sheet'!$U$9="","",'Final Calculation Sheet'!$U$9))="",IF(OR(UPPER(TRIM($W$2))="(NONBLANK)",UPPER(TRIM($W$2))="NONBLANK",TRIM($W$2)="&lt;&gt;"),(IF('Final Calculation Sheet'!$U$9="","",'Final Calculation Sheet'!$U$9))&lt;&gt;"",UPPER(TRIM((IF('Final Calculation Sheet'!$U$9="","",'Final Calculation Sheet'!$U$9))&amp;""))=UPPER(TRIM($W$2&amp;"")))))</f>
        <v/>
      </c>
      <c r="X9">
        <f>IF($X$3=FALSE,TRUE,IF(OR(UPPER(TRIM($X$2))="(BLANK)",UPPER(TRIM($X$2))="BLANK",AND($X$2&lt;&gt;"",TRIM($X$2)="")),(IF('Final Calculation Sheet'!$V$9="","",'Final Calculation Sheet'!$V$9))="",IF(OR(UPPER(TRIM($X$2))="(NONBLANK)",UPPER(TRIM($X$2))="NONBLANK",TRIM($X$2)="&lt;&gt;"),(IF('Final Calculation Sheet'!$V$9="","",'Final Calculation Sheet'!$V$9))&lt;&gt;"",UPPER(TRIM((IF('Final Calculation Sheet'!$V$9="","",'Final Calculation Sheet'!$V$9))&amp;""))=UPPER(TRIM($X$2&amp;"")))))</f>
        <v/>
      </c>
      <c r="Y9">
        <f>IF($Y$3=FALSE,TRUE,IF(OR(UPPER(TRIM($Y$2))="(BLANK)",UPPER(TRIM($Y$2))="BLANK",AND($Y$2&lt;&gt;"",TRIM($Y$2)="")),(IF('Final Calculation Sheet'!$W$9="","",'Final Calculation Sheet'!$W$9))="",IF(OR(UPPER(TRIM($Y$2))="(NONBLANK)",UPPER(TRIM($Y$2))="NONBLANK",TRIM($Y$2)="&lt;&gt;"),(IF('Final Calculation Sheet'!$W$9="","",'Final Calculation Sheet'!$W$9))&lt;&gt;"",UPPER(TRIM((IF('Final Calculation Sheet'!$W$9="","",'Final Calculation Sheet'!$W$9))&amp;""))=UPPER(TRIM($Y$2&amp;"")))))</f>
        <v/>
      </c>
      <c r="Z9">
        <f>IF($Z$3=FALSE,TRUE,IF(OR(UPPER(TRIM($Z$2))="(BLANK)",UPPER(TRIM($Z$2))="BLANK",AND($Z$2&lt;&gt;"",TRIM($Z$2)="")),(IF('Final Calculation Sheet'!$X$9="","",'Final Calculation Sheet'!$X$9))="",IF(OR(UPPER(TRIM($Z$2))="(NONBLANK)",UPPER(TRIM($Z$2))="NONBLANK",TRIM($Z$2)="&lt;&gt;"),(IF('Final Calculation Sheet'!$X$9="","",'Final Calculation Sheet'!$X$9))&lt;&gt;"",UPPER(TRIM((IF('Final Calculation Sheet'!$X$9="","",'Final Calculation Sheet'!$X$9))&amp;""))=UPPER(TRIM($Z$2&amp;"")))))</f>
        <v/>
      </c>
      <c r="AA9">
        <f>IF($AA$3=FALSE,TRUE,IF(OR(UPPER(TRIM($AA$2))="(BLANK)",UPPER(TRIM($AA$2))="BLANK",AND($AA$2&lt;&gt;"",TRIM($AA$2)="")),(IF('Final Calculation Sheet'!$Y$9="","",'Final Calculation Sheet'!$Y$9))="",IF(OR(UPPER(TRIM($AA$2))="(NONBLANK)",UPPER(TRIM($AA$2))="NONBLANK",TRIM($AA$2)="&lt;&gt;"),(IF('Final Calculation Sheet'!$Y$9="","",'Final Calculation Sheet'!$Y$9))&lt;&gt;"",UPPER(TRIM((IF('Final Calculation Sheet'!$Y$9="","",'Final Calculation Sheet'!$Y$9))&amp;""))=UPPER(TRIM($AA$2&amp;"")))))</f>
        <v/>
      </c>
      <c r="AB9">
        <f>IF($AB$3=FALSE,TRUE,IF(OR(UPPER(TRIM($AB$2))="(BLANK)",UPPER(TRIM($AB$2))="BLANK",AND($AB$2&lt;&gt;"",TRIM($AB$2)="")),(IF('Final Calculation Sheet'!$Z$9="","",'Final Calculation Sheet'!$Z$9))="",IF(OR(UPPER(TRIM($AB$2))="(NONBLANK)",UPPER(TRIM($AB$2))="NONBLANK",TRIM($AB$2)="&lt;&gt;"),(IF('Final Calculation Sheet'!$Z$9="","",'Final Calculation Sheet'!$Z$9))&lt;&gt;"",UPPER(TRIM((IF('Final Calculation Sheet'!$Z$9="","",'Final Calculation Sheet'!$Z$9))&amp;""))=UPPER(TRIM($AB$2&amp;"")))))</f>
        <v/>
      </c>
      <c r="AC9">
        <f>IF($AC$3=FALSE,TRUE,IF(OR(UPPER(TRIM($AC$2))="(BLANK)",UPPER(TRIM($AC$2))="BLANK",AND($AC$2&lt;&gt;"",TRIM($AC$2)="")),(IF('Final Calculation Sheet'!$AA$9="","",'Final Calculation Sheet'!$AA$9))="",IF(OR(UPPER(TRIM($AC$2))="(NONBLANK)",UPPER(TRIM($AC$2))="NONBLANK",TRIM($AC$2)="&lt;&gt;"),(IF('Final Calculation Sheet'!$AA$9="","",'Final Calculation Sheet'!$AA$9))&lt;&gt;"",UPPER(TRIM((IF('Final Calculation Sheet'!$AA$9="","",'Final Calculation Sheet'!$AA$9))&amp;""))=UPPER(TRIM($AC$2&amp;"")))))</f>
        <v/>
      </c>
      <c r="AD9">
        <f>IF($AD$3=FALSE,TRUE,IF(OR(UPPER(TRIM($AD$2))="(BLANK)",UPPER(TRIM($AD$2))="BLANK",AND($AD$2&lt;&gt;"",TRIM($AD$2)="")),(IF('Final Calculation Sheet'!$AB$9="","",'Final Calculation Sheet'!$AB$9))="",IF(OR(UPPER(TRIM($AD$2))="(NONBLANK)",UPPER(TRIM($AD$2))="NONBLANK",TRIM($AD$2)="&lt;&gt;"),(IF('Final Calculation Sheet'!$AB$9="","",'Final Calculation Sheet'!$AB$9))&lt;&gt;"",UPPER(TRIM((IF('Final Calculation Sheet'!$AB$9="","",'Final Calculation Sheet'!$AB$9))&amp;""))=UPPER(TRIM($AD$2&amp;"")))))</f>
        <v/>
      </c>
      <c r="AE9">
        <f>IF($AE$3=FALSE,TRUE,IF(OR(UPPER(TRIM($AE$2))="(BLANK)",UPPER(TRIM($AE$2))="BLANK",AND($AE$2&lt;&gt;"",TRIM($AE$2)="")),(IF('Final Calculation Sheet'!$AC$9="","",'Final Calculation Sheet'!$AC$9))="",IF(OR(UPPER(TRIM($AE$2))="(NONBLANK)",UPPER(TRIM($AE$2))="NONBLANK",TRIM($AE$2)="&lt;&gt;"),(IF('Final Calculation Sheet'!$AC$9="","",'Final Calculation Sheet'!$AC$9))&lt;&gt;"",UPPER(TRIM((IF('Final Calculation Sheet'!$AC$9="","",'Final Calculation Sheet'!$AC$9))&amp;""))=UPPER(TRIM($AE$2&amp;"")))))</f>
        <v/>
      </c>
      <c r="AF9">
        <f>IF($AF$3=FALSE,TRUE,IF(OR(UPPER(TRIM($AF$2))="(BLANK)",UPPER(TRIM($AF$2))="BLANK",AND($AF$2&lt;&gt;"",TRIM($AF$2)="")),(IF('Final Calculation Sheet'!$AD$9="","",'Final Calculation Sheet'!$AD$9))="",IF(OR(UPPER(TRIM($AF$2))="(NONBLANK)",UPPER(TRIM($AF$2))="NONBLANK",TRIM($AF$2)="&lt;&gt;"),(IF('Final Calculation Sheet'!$AD$9="","",'Final Calculation Sheet'!$AD$9))&lt;&gt;"",UPPER(TRIM((IF('Final Calculation Sheet'!$AD$9="","",'Final Calculation Sheet'!$AD$9))&amp;""))=UPPER(TRIM($AF$2&amp;"")))))</f>
        <v/>
      </c>
      <c r="AG9">
        <f>IF($AG$3=FALSE,TRUE,IF(OR(UPPER(TRIM($AG$2))="(BLANK)",UPPER(TRIM($AG$2))="BLANK",AND($AG$2&lt;&gt;"",TRIM($AG$2)="")),(IF('Final Calculation Sheet'!$AE$9="","",'Final Calculation Sheet'!$AE$9))="",IF(OR(UPPER(TRIM($AG$2))="(NONBLANK)",UPPER(TRIM($AG$2))="NONBLANK",TRIM($AG$2)="&lt;&gt;"),(IF('Final Calculation Sheet'!$AE$9="","",'Final Calculation Sheet'!$AE$9))&lt;&gt;"",UPPER(TRIM((IF('Final Calculation Sheet'!$AE$9="","",'Final Calculation Sheet'!$AE$9))&amp;""))=UPPER(TRIM($AG$2&amp;"")))))</f>
        <v/>
      </c>
      <c r="AH9">
        <f>IF($AH$3=FALSE,TRUE,IF(OR(UPPER(TRIM($AH$2))="(BLANK)",UPPER(TRIM($AH$2))="BLANK",AND($AH$2&lt;&gt;"",TRIM($AH$2)="")),(IF('Final Calculation Sheet'!$AF$9="","",'Final Calculation Sheet'!$AF$9))="",IF(OR(UPPER(TRIM($AH$2))="(NONBLANK)",UPPER(TRIM($AH$2))="NONBLANK",TRIM($AH$2)="&lt;&gt;"),(IF('Final Calculation Sheet'!$AF$9="","",'Final Calculation Sheet'!$AF$9))&lt;&gt;"",UPPER(TRIM((IF('Final Calculation Sheet'!$AF$9="","",'Final Calculation Sheet'!$AF$9))&amp;""))=UPPER(TRIM($AH$2&amp;"")))))</f>
        <v/>
      </c>
      <c r="AI9">
        <f>IF($AI$3=FALSE,TRUE,IF(OR(UPPER(TRIM($AI$2))="(BLANK)",UPPER(TRIM($AI$2))="BLANK",AND($AI$2&lt;&gt;"",TRIM($AI$2)="")),(IF('Final Calculation Sheet'!$AG$9="","",'Final Calculation Sheet'!$AG$9))="",IF(OR(UPPER(TRIM($AI$2))="(NONBLANK)",UPPER(TRIM($AI$2))="NONBLANK",TRIM($AI$2)="&lt;&gt;"),(IF('Final Calculation Sheet'!$AG$9="","",'Final Calculation Sheet'!$AG$9))&lt;&gt;"",UPPER(TRIM((IF('Final Calculation Sheet'!$AG$9="","",'Final Calculation Sheet'!$AG$9))&amp;""))=UPPER(TRIM($AI$2&amp;"")))))</f>
        <v/>
      </c>
      <c r="AJ9">
        <f>IF($AJ$3=FALSE,TRUE,IF(OR(UPPER(TRIM($AJ$2))="(BLANK)",UPPER(TRIM($AJ$2))="BLANK",AND($AJ$2&lt;&gt;"",TRIM($AJ$2)="")),(IF('Final Calculation Sheet'!$AD$9="","",IF('Final Calculation Sheet'!$AD$9&lt;=5,"SETTLED","OUTSTANDING")))="",IF(OR(UPPER(TRIM($AJ$2))="(NONBLANK)",UPPER(TRIM($AJ$2))="NONBLANK",TRIM($AJ$2)="&lt;&gt;"),(IF('Final Calculation Sheet'!$AD$9="","",IF('Final Calculation Sheet'!$AD$9&lt;=5,"SETTLED","OUTSTANDING")))&lt;&gt;"",UPPER(TRIM((IF('Final Calculation Sheet'!$AD$9="","",IF('Final Calculation Sheet'!$AD$9&lt;=5,"SETTLED","OUTSTANDING")))&amp;""))=UPPER(TRIM($AJ$2&amp;"")))))</f>
        <v/>
      </c>
      <c r="AL9">
        <f>IF(AND($B$9,$D$9:$AJ$9),IF('Final Calculation Sheet'!$F$9="","",'Final Calculation Sheet'!$F$9),"")</f>
        <v/>
      </c>
      <c r="AM9">
        <f>IF(AL9="","",COUNTIFS(AL$4:AL$40,"&lt;"&amp;AL9,AL$4:AL$40,"&lt;&gt;"&amp;"")+COUNTIF(AL$4:AL9,AL9))</f>
        <v/>
      </c>
      <c r="AN9">
        <f>IF(ROW()-3&gt;COUNTIF(AL$4:AL$40,"&lt;&gt;"&amp;""),"",INDEX(AL$4:AL$40,MATCH(ROW()-3,AM$4:AM$40,0)))</f>
        <v/>
      </c>
      <c r="AO9">
        <f>AO8+IF(AND(AN9&lt;&gt;"",COUNTIF(AN$4:AN9,AN9)=1),1,0)</f>
        <v/>
      </c>
      <c r="AP9">
        <f>IF(ROW()-3&gt;MAX(AO$4:AO$40),"",INDEX(AN$4:AN$40,MATCH(ROW()-3,AO$4:AO$40,0)))</f>
        <v/>
      </c>
      <c r="AQ9">
        <f>IF(AND($B$9:$C$9,$E$9:$AJ$9),IF('Final Calculation Sheet'!$G$9="","",'Final Calculation Sheet'!$G$9),"")</f>
        <v/>
      </c>
      <c r="AR9">
        <f>IF(AQ9="","",COUNTIFS(AQ$4:AQ$40,"&lt;"&amp;AQ9,AQ$4:AQ$40,"&lt;&gt;"&amp;"")+COUNTIF(AQ$4:AQ9,AQ9))</f>
        <v/>
      </c>
      <c r="AS9">
        <f>IF(ROW()-3&gt;COUNTIF(AQ$4:AQ$40,"&lt;&gt;"&amp;""),"",INDEX(AQ$4:AQ$40,MATCH(ROW()-3,AR$4:AR$40,0)))</f>
        <v/>
      </c>
      <c r="AT9">
        <f>AT8+IF(AND(AS9&lt;&gt;"",COUNTIF(AS$4:AS9,AS9)=1),1,0)</f>
        <v/>
      </c>
      <c r="AU9">
        <f>IF(ROW()-3&gt;MAX(AT$4:AT$40),"",INDEX(AS$4:AS$40,MATCH(ROW()-3,AT$4:AT$40,0)))</f>
        <v/>
      </c>
      <c r="AV9">
        <f>IF(AND($B$9:$D$9,$F$9:$AJ$9),IF('Final Calculation Sheet'!$B$9="","",'Final Calculation Sheet'!$B$9),"")</f>
        <v/>
      </c>
      <c r="AW9">
        <f>IF(AV9="","",COUNTIFS(AV$4:AV$40,"&lt;"&amp;AV9,AV$4:AV$40,"&lt;&gt;"&amp;"")+COUNTIF(AV$4:AV9,AV9))</f>
        <v/>
      </c>
      <c r="AX9">
        <f>IF(ROW()-3&gt;COUNTIF(AV$4:AV$40,"&lt;&gt;"&amp;""),"",INDEX(AV$4:AV$40,MATCH(ROW()-3,AW$4:AW$40,0)))</f>
        <v/>
      </c>
      <c r="AY9">
        <f>AY8+IF(AND(AX9&lt;&gt;"",COUNTIF(AX$4:AX9,AX9)=1),1,0)</f>
        <v/>
      </c>
      <c r="AZ9">
        <f>IF(ROW()-3&gt;MAX(AY$4:AY$40),"",INDEX(AX$4:AX$40,MATCH(ROW()-3,AY$4:AY$40,0)))</f>
        <v/>
      </c>
      <c r="BA9">
        <f>IF(AND($B$9:$E$9,$G$9:$AJ$9),IF('Final Calculation Sheet'!$D$9="","",'Final Calculation Sheet'!$D$9),"")</f>
        <v/>
      </c>
      <c r="BB9">
        <f>IF(BA9="","",COUNTIFS(BA$4:BA$40,"&lt;"&amp;BA9,BA$4:BA$40,"&lt;&gt;"&amp;"")+COUNTIF(BA$4:BA9,BA9))</f>
        <v/>
      </c>
      <c r="BC9">
        <f>IF(ROW()-3&gt;COUNTIF(BA$4:BA$40,"&lt;&gt;"&amp;""),"",INDEX(BA$4:BA$40,MATCH(ROW()-3,BB$4:BB$40,0)))</f>
        <v/>
      </c>
      <c r="BD9">
        <f>BD8+IF(AND(BC9&lt;&gt;"",COUNTIF(BC$4:BC9,BC9)=1),1,0)</f>
        <v/>
      </c>
      <c r="BE9">
        <f>IF(ROW()-3&gt;MAX(BD$4:BD$40),"",INDEX(BC$4:BC$40,MATCH(ROW()-3,BD$4:BD$40,0)))</f>
        <v/>
      </c>
      <c r="BF9">
        <f>IF(AND($B$9:$F$9,$H$9:$AJ$9),IF('Final Calculation Sheet'!$A$9="","",'Final Calculation Sheet'!$A$9),"")</f>
        <v/>
      </c>
      <c r="BG9">
        <f>IF(BF9="","",COUNTIFS(BF$4:BF$40,"&lt;"&amp;BF9,BF$4:BF$40,"&lt;&gt;"&amp;"")+COUNTIF(BF$4:BF9,BF9))</f>
        <v/>
      </c>
      <c r="BH9">
        <f>IF(ROW()-3&gt;COUNTIF(BF$4:BF$40,"&lt;&gt;"&amp;""),"",INDEX(BF$4:BF$40,MATCH(ROW()-3,BG$4:BG$40,0)))</f>
        <v/>
      </c>
      <c r="BI9">
        <f>BI8+IF(AND(BH9&lt;&gt;"",COUNTIF(BH$4:BH9,BH9)=1),1,0)</f>
        <v/>
      </c>
      <c r="BJ9">
        <f>IF(ROW()-3&gt;MAX(BI$4:BI$40),"",INDEX(BH$4:BH$40,MATCH(ROW()-3,BI$4:BI$40,0)))</f>
        <v/>
      </c>
      <c r="BK9">
        <f>IF(AND($B$9:$G$9,$I$9:$AJ$9),IF('Final Calculation Sheet'!$E$9="","",'Final Calculation Sheet'!$E$9),"")</f>
        <v/>
      </c>
      <c r="BL9">
        <f>IF(BK9="","",COUNTIFS(BK$4:BK$40,"&lt;"&amp;BK9,BK$4:BK$40,"&lt;&gt;"&amp;"")+COUNTIF(BK$4:BK9,BK9))</f>
        <v/>
      </c>
      <c r="BM9">
        <f>IF(ROW()-3&gt;COUNTIF(BK$4:BK$40,"&lt;&gt;"&amp;""),"",INDEX(BK$4:BK$40,MATCH(ROW()-3,BL$4:BL$40,0)))</f>
        <v/>
      </c>
      <c r="BN9">
        <f>BN8+IF(AND(BM9&lt;&gt;"",COUNTIF(BM$4:BM9,BM9)=1),1,0)</f>
        <v/>
      </c>
      <c r="BO9">
        <f>IF(ROW()-3&gt;MAX(BN$4:BN$40),"",INDEX(BM$4:BM$40,MATCH(ROW()-3,BN$4:BN$40,0)))</f>
        <v/>
      </c>
      <c r="BP9" s="55">
        <f>IF(AND($B$9:$H$9,$J$9:$AJ$9),IF('Final Calculation Sheet'!$C$9="","",'Final Calculation Sheet'!$C$9),"")</f>
        <v/>
      </c>
      <c r="BQ9">
        <f>IF(BP9="","",COUNTIFS(BP$4:BP$40,"&lt;"&amp;BP9,BP$4:BP$40,"&lt;&gt;"&amp;"")+COUNTIF(BP$4:BP9,BP9))</f>
        <v/>
      </c>
      <c r="BR9" s="55">
        <f>IF(ROW()-3&gt;COUNTIF(BP$4:BP$40,"&lt;&gt;"&amp;""),"",INDEX(BP$4:BP$40,MATCH(ROW()-3,BQ$4:BQ$40,0)))</f>
        <v/>
      </c>
      <c r="BS9">
        <f>BS8+IF(AND(BR9&lt;&gt;"",COUNTIF(BR$4:BR9,BR9)=1),1,0)</f>
        <v/>
      </c>
      <c r="BT9" s="55">
        <f>IF(ROW()-3&gt;MAX(BS$4:BS$40),"",INDEX(BR$4:BR$40,MATCH(ROW()-3,BS$4:BS$40,0)))</f>
        <v/>
      </c>
      <c r="BU9" s="55">
        <f>IF(AND($B$9:$I$9,$K$9:$AJ$9),IF('Final Calculation Sheet'!$H$9="","",'Final Calculation Sheet'!$H$9),"")</f>
        <v/>
      </c>
      <c r="BV9">
        <f>IF(BU9="","",COUNTIFS(BU$4:BU$40,"&lt;"&amp;BU9,BU$4:BU$40,"&lt;&gt;"&amp;"")+COUNTIF(BU$4:BU9,BU9))</f>
        <v/>
      </c>
      <c r="BW9" s="55">
        <f>IF(ROW()-3&gt;COUNTIF(BU$4:BU$40,"&lt;&gt;"&amp;""),"",INDEX(BU$4:BU$40,MATCH(ROW()-3,BV$4:BV$40,0)))</f>
        <v/>
      </c>
      <c r="BX9">
        <f>BX8+IF(AND(BW9&lt;&gt;"",COUNTIF(BW$4:BW9,BW9)=1),1,0)</f>
        <v/>
      </c>
      <c r="BY9" s="55">
        <f>IF(ROW()-3&gt;MAX(BX$4:BX$40),"",INDEX(BW$4:BW$40,MATCH(ROW()-3,BX$4:BX$40,0)))</f>
        <v/>
      </c>
      <c r="BZ9" s="55">
        <f>IF(AND($B$9:$J$9,$L$9:$AJ$9),IF('Final Calculation Sheet'!$I$9="","",'Final Calculation Sheet'!$I$9),"")</f>
        <v/>
      </c>
      <c r="CA9">
        <f>IF(BZ9="","",COUNTIFS(BZ$4:BZ$40,"&lt;"&amp;BZ9,BZ$4:BZ$40,"&lt;&gt;"&amp;"")+COUNTIF(BZ$4:BZ9,BZ9))</f>
        <v/>
      </c>
      <c r="CB9" s="55">
        <f>IF(ROW()-3&gt;COUNTIF(BZ$4:BZ$40,"&lt;&gt;"&amp;""),"",INDEX(BZ$4:BZ$40,MATCH(ROW()-3,CA$4:CA$40,0)))</f>
        <v/>
      </c>
      <c r="CC9">
        <f>CC8+IF(AND(CB9&lt;&gt;"",COUNTIF(CB$4:CB9,CB9)=1),1,0)</f>
        <v/>
      </c>
      <c r="CD9" s="55">
        <f>IF(ROW()-3&gt;MAX(CC$4:CC$40),"",INDEX(CB$4:CB$40,MATCH(ROW()-3,CC$4:CC$40,0)))</f>
        <v/>
      </c>
      <c r="CE9" s="55">
        <f>IF(AND($B$9:$K$9,$M$9:$AJ$9),IF('Final Calculation Sheet'!$J$9="","",'Final Calculation Sheet'!$J$9),"")</f>
        <v/>
      </c>
      <c r="CF9">
        <f>IF(CE9="","",COUNTIFS(CE$4:CE$40,"&lt;"&amp;CE9,CE$4:CE$40,"&lt;&gt;"&amp;"")+COUNTIF(CE$4:CE9,CE9))</f>
        <v/>
      </c>
      <c r="CG9" s="55">
        <f>IF(ROW()-3&gt;COUNTIF(CE$4:CE$40,"&lt;&gt;"&amp;""),"",INDEX(CE$4:CE$40,MATCH(ROW()-3,CF$4:CF$40,0)))</f>
        <v/>
      </c>
      <c r="CH9">
        <f>CH8+IF(AND(CG9&lt;&gt;"",COUNTIF(CG$4:CG9,CG9)=1),1,0)</f>
        <v/>
      </c>
      <c r="CI9" s="55">
        <f>IF(ROW()-3&gt;MAX(CH$4:CH$40),"",INDEX(CG$4:CG$40,MATCH(ROW()-3,CH$4:CH$40,0)))</f>
        <v/>
      </c>
      <c r="CJ9" s="55">
        <f>IF(AND($B$9:$L$9,$N$9:$AJ$9),IF('Final Calculation Sheet'!$K$9="","",'Final Calculation Sheet'!$K$9),"")</f>
        <v/>
      </c>
      <c r="CK9">
        <f>IF(CJ9="","",COUNTIFS(CJ$4:CJ$40,"&lt;"&amp;CJ9,CJ$4:CJ$40,"&lt;&gt;"&amp;"")+COUNTIF(CJ$4:CJ9,CJ9))</f>
        <v/>
      </c>
      <c r="CL9" s="55">
        <f>IF(ROW()-3&gt;COUNTIF(CJ$4:CJ$40,"&lt;&gt;"&amp;""),"",INDEX(CJ$4:CJ$40,MATCH(ROW()-3,CK$4:CK$40,0)))</f>
        <v/>
      </c>
      <c r="CM9">
        <f>CM8+IF(AND(CL9&lt;&gt;"",COUNTIF(CL$4:CL9,CL9)=1),1,0)</f>
        <v/>
      </c>
      <c r="CN9" s="55">
        <f>IF(ROW()-3&gt;MAX(CM$4:CM$40),"",INDEX(CL$4:CL$40,MATCH(ROW()-3,CM$4:CM$40,0)))</f>
        <v/>
      </c>
      <c r="CO9" s="55">
        <f>IF(AND($B$9:$M$9,$O$9:$AJ$9),IF('Final Calculation Sheet'!$L$9="","",'Final Calculation Sheet'!$L$9),"")</f>
        <v/>
      </c>
      <c r="CP9">
        <f>IF(CO9="","",COUNTIFS(CO$4:CO$40,"&lt;"&amp;CO9,CO$4:CO$40,"&lt;&gt;"&amp;"")+COUNTIF(CO$4:CO9,CO9))</f>
        <v/>
      </c>
      <c r="CQ9" s="55">
        <f>IF(ROW()-3&gt;COUNTIF(CO$4:CO$40,"&lt;&gt;"&amp;""),"",INDEX(CO$4:CO$40,MATCH(ROW()-3,CP$4:CP$40,0)))</f>
        <v/>
      </c>
      <c r="CR9">
        <f>CR8+IF(AND(CQ9&lt;&gt;"",COUNTIF(CQ$4:CQ9,CQ9)=1),1,0)</f>
        <v/>
      </c>
      <c r="CS9" s="55">
        <f>IF(ROW()-3&gt;MAX(CR$4:CR$40),"",INDEX(CQ$4:CQ$40,MATCH(ROW()-3,CR$4:CR$40,0)))</f>
        <v/>
      </c>
      <c r="CT9" s="55">
        <f>IF(AND($B$9:$N$9,$P$9:$AJ$9),IF('Final Calculation Sheet'!$M$9="","",'Final Calculation Sheet'!$M$9),"")</f>
        <v/>
      </c>
      <c r="CU9">
        <f>IF(CT9="","",COUNTIFS(CT$4:CT$40,"&lt;"&amp;CT9,CT$4:CT$40,"&lt;&gt;"&amp;"")+COUNTIF(CT$4:CT9,CT9))</f>
        <v/>
      </c>
      <c r="CV9" s="55">
        <f>IF(ROW()-3&gt;COUNTIF(CT$4:CT$40,"&lt;&gt;"&amp;""),"",INDEX(CT$4:CT$40,MATCH(ROW()-3,CU$4:CU$40,0)))</f>
        <v/>
      </c>
      <c r="CW9">
        <f>CW8+IF(AND(CV9&lt;&gt;"",COUNTIF(CV$4:CV9,CV9)=1),1,0)</f>
        <v/>
      </c>
      <c r="CX9" s="55">
        <f>IF(ROW()-3&gt;MAX(CW$4:CW$40),"",INDEX(CV$4:CV$40,MATCH(ROW()-3,CW$4:CW$40,0)))</f>
        <v/>
      </c>
      <c r="CY9" s="138">
        <f>IF(AND($B$9:$O$9,$Q$9:$AJ$9),IF('Final Calculation Sheet'!$N$9="","",'Final Calculation Sheet'!$N$9),"")</f>
        <v/>
      </c>
      <c r="CZ9">
        <f>IF(CY9="","",COUNTIFS(CY$4:CY$40,"&lt;"&amp;CY9,CY$4:CY$40,"&lt;&gt;"&amp;"")+COUNTIF(CY$4:CY9,CY9))</f>
        <v/>
      </c>
      <c r="DA9" s="138">
        <f>IF(ROW()-3&gt;COUNTIF(CY$4:CY$40,"&lt;&gt;"&amp;""),"",INDEX(CY$4:CY$40,MATCH(ROW()-3,CZ$4:CZ$40,0)))</f>
        <v/>
      </c>
      <c r="DB9">
        <f>DB8+IF(AND(DA9&lt;&gt;"",COUNTIF(DA$4:DA9,DA9)=1),1,0)</f>
        <v/>
      </c>
      <c r="DC9" s="138">
        <f>IF(ROW()-3&gt;MAX(DB$4:DB$40),"",INDEX(DA$4:DA$40,MATCH(ROW()-3,DB$4:DB$40,0)))</f>
        <v/>
      </c>
      <c r="DD9" s="55">
        <f>IF(AND($B$9:$P$9,$R$9:$AJ$9),IF('Final Calculation Sheet'!$O$9="","",'Final Calculation Sheet'!$O$9),"")</f>
        <v/>
      </c>
      <c r="DE9">
        <f>IF(DD9="","",COUNTIFS(DD$4:DD$40,"&lt;"&amp;DD9,DD$4:DD$40,"&lt;&gt;"&amp;"")+COUNTIF(DD$4:DD9,DD9))</f>
        <v/>
      </c>
      <c r="DF9" s="55">
        <f>IF(ROW()-3&gt;COUNTIF(DD$4:DD$40,"&lt;&gt;"&amp;""),"",INDEX(DD$4:DD$40,MATCH(ROW()-3,DE$4:DE$40,0)))</f>
        <v/>
      </c>
      <c r="DG9">
        <f>DG8+IF(AND(DF9&lt;&gt;"",COUNTIF(DF$4:DF9,DF9)=1),1,0)</f>
        <v/>
      </c>
      <c r="DH9" s="55">
        <f>IF(ROW()-3&gt;MAX(DG$4:DG$40),"",INDEX(DF$4:DF$40,MATCH(ROW()-3,DG$4:DG$40,0)))</f>
        <v/>
      </c>
      <c r="DI9" s="55">
        <f>IF(AND($B$9:$Q$9,$S$9:$AJ$9),IF('Final Calculation Sheet'!$P$9="","",'Final Calculation Sheet'!$P$9),"")</f>
        <v/>
      </c>
      <c r="DJ9">
        <f>IF(DI9="","",COUNTIFS(DI$4:DI$40,"&lt;"&amp;DI9,DI$4:DI$40,"&lt;&gt;"&amp;"")+COUNTIF(DI$4:DI9,DI9))</f>
        <v/>
      </c>
      <c r="DK9" s="55">
        <f>IF(ROW()-3&gt;COUNTIF(DI$4:DI$40,"&lt;&gt;"&amp;""),"",INDEX(DI$4:DI$40,MATCH(ROW()-3,DJ$4:DJ$40,0)))</f>
        <v/>
      </c>
      <c r="DL9">
        <f>DL8+IF(AND(DK9&lt;&gt;"",COUNTIF(DK$4:DK9,DK9)=1),1,0)</f>
        <v/>
      </c>
      <c r="DM9" s="55">
        <f>IF(ROW()-3&gt;MAX(DL$4:DL$40),"",INDEX(DK$4:DK$40,MATCH(ROW()-3,DL$4:DL$40,0)))</f>
        <v/>
      </c>
      <c r="DN9" s="139">
        <f>IF(AND($B$9:$R$9,$T$9:$AJ$9),IF('Final Calculation Sheet'!$Q$9="","",'Final Calculation Sheet'!$Q$9),"")</f>
        <v/>
      </c>
      <c r="DO9">
        <f>IF(DN9="","",COUNTIFS(DN$4:DN$40,"&lt;"&amp;DN9,DN$4:DN$40,"&lt;&gt;"&amp;"")+COUNTIF(DN$4:DN9,DN9))</f>
        <v/>
      </c>
      <c r="DP9" s="139">
        <f>IF(ROW()-3&gt;COUNTIF(DN$4:DN$40,"&lt;&gt;"&amp;""),"",INDEX(DN$4:DN$40,MATCH(ROW()-3,DO$4:DO$40,0)))</f>
        <v/>
      </c>
      <c r="DQ9">
        <f>DQ8+IF(AND(DP9&lt;&gt;"",COUNTIF(DP$4:DP9,DP9)=1),1,0)</f>
        <v/>
      </c>
      <c r="DR9" s="139">
        <f>IF(ROW()-3&gt;MAX(DQ$4:DQ$40),"",INDEX(DP$4:DP$40,MATCH(ROW()-3,DQ$4:DQ$40,0)))</f>
        <v/>
      </c>
      <c r="DS9" s="55">
        <f>IF(AND($B$9:$S$9,$U$9:$AJ$9),IF('Final Calculation Sheet'!$R$9="","",'Final Calculation Sheet'!$R$9),"")</f>
        <v/>
      </c>
      <c r="DT9">
        <f>IF(DS9="","",COUNTIFS(DS$4:DS$40,"&lt;"&amp;DS9,DS$4:DS$40,"&lt;&gt;"&amp;"")+COUNTIF(DS$4:DS9,DS9))</f>
        <v/>
      </c>
      <c r="DU9" s="55">
        <f>IF(ROW()-3&gt;COUNTIF(DS$4:DS$40,"&lt;&gt;"&amp;""),"",INDEX(DS$4:DS$40,MATCH(ROW()-3,DT$4:DT$40,0)))</f>
        <v/>
      </c>
      <c r="DV9">
        <f>DV8+IF(AND(DU9&lt;&gt;"",COUNTIF(DU$4:DU9,DU9)=1),1,0)</f>
        <v/>
      </c>
      <c r="DW9" s="55">
        <f>IF(ROW()-3&gt;MAX(DV$4:DV$40),"",INDEX(DU$4:DU$40,MATCH(ROW()-3,DV$4:DV$40,0)))</f>
        <v/>
      </c>
      <c r="DX9" s="55">
        <f>IF(AND($B$9:$T$9,$V$9:$AJ$9),IF('Final Calculation Sheet'!$S$9="","",'Final Calculation Sheet'!$S$9),"")</f>
        <v/>
      </c>
      <c r="DY9">
        <f>IF(DX9="","",COUNTIFS(DX$4:DX$40,"&lt;"&amp;DX9,DX$4:DX$40,"&lt;&gt;"&amp;"")+COUNTIF(DX$4:DX9,DX9))</f>
        <v/>
      </c>
      <c r="DZ9" s="55">
        <f>IF(ROW()-3&gt;COUNTIF(DX$4:DX$40,"&lt;&gt;"&amp;""),"",INDEX(DX$4:DX$40,MATCH(ROW()-3,DY$4:DY$40,0)))</f>
        <v/>
      </c>
      <c r="EA9">
        <f>EA8+IF(AND(DZ9&lt;&gt;"",COUNTIF(DZ$4:DZ9,DZ9)=1),1,0)</f>
        <v/>
      </c>
      <c r="EB9" s="55">
        <f>IF(ROW()-3&gt;MAX(EA$4:EA$40),"",INDEX(DZ$4:DZ$40,MATCH(ROW()-3,EA$4:EA$40,0)))</f>
        <v/>
      </c>
      <c r="EC9" s="55">
        <f>IF(AND($B$9:$U$9,$W$9:$AJ$9),IF('Final Calculation Sheet'!$T$9="","",'Final Calculation Sheet'!$T$9),"")</f>
        <v/>
      </c>
      <c r="ED9">
        <f>IF(EC9="","",COUNTIFS(EC$4:EC$40,"&lt;"&amp;EC9,EC$4:EC$40,"&lt;&gt;"&amp;"")+COUNTIF(EC$4:EC9,EC9))</f>
        <v/>
      </c>
      <c r="EE9" s="55">
        <f>IF(ROW()-3&gt;COUNTIF(EC$4:EC$40,"&lt;&gt;"&amp;""),"",INDEX(EC$4:EC$40,MATCH(ROW()-3,ED$4:ED$40,0)))</f>
        <v/>
      </c>
      <c r="EF9">
        <f>EF8+IF(AND(EE9&lt;&gt;"",COUNTIF(EE$4:EE9,EE9)=1),1,0)</f>
        <v/>
      </c>
      <c r="EG9" s="55">
        <f>IF(ROW()-3&gt;MAX(EF$4:EF$40),"",INDEX(EE$4:EE$40,MATCH(ROW()-3,EF$4:EF$40,0)))</f>
        <v/>
      </c>
      <c r="EH9" s="140">
        <f>IF(AND($B$9:$V$9,$X$9:$AJ$9),IF('Final Calculation Sheet'!$U$9="","",'Final Calculation Sheet'!$U$9),"")</f>
        <v/>
      </c>
      <c r="EI9">
        <f>IF(EH9="","",COUNTIFS(EH$4:EH$40,"&lt;"&amp;EH9,EH$4:EH$40,"&lt;&gt;"&amp;"")+COUNTIF(EH$4:EH9,EH9))</f>
        <v/>
      </c>
      <c r="EJ9" s="140">
        <f>IF(ROW()-3&gt;COUNTIF(EH$4:EH$40,"&lt;&gt;"&amp;""),"",INDEX(EH$4:EH$40,MATCH(ROW()-3,EI$4:EI$40,0)))</f>
        <v/>
      </c>
      <c r="EK9">
        <f>EK8+IF(AND(EJ9&lt;&gt;"",COUNTIF(EJ$4:EJ9,EJ9)=1),1,0)</f>
        <v/>
      </c>
      <c r="EL9" s="140">
        <f>IF(ROW()-3&gt;MAX(EK$4:EK$40),"",INDEX(EJ$4:EJ$40,MATCH(ROW()-3,EK$4:EK$40,0)))</f>
        <v/>
      </c>
      <c r="EM9">
        <f>IF(AND($B$9:$W$9,$Y$9:$AJ$9),IF('Final Calculation Sheet'!$V$9="","",'Final Calculation Sheet'!$V$9),"")</f>
        <v/>
      </c>
      <c r="EN9">
        <f>IF(EM9="","",COUNTIFS(EM$4:EM$40,"&lt;"&amp;EM9,EM$4:EM$40,"&lt;&gt;"&amp;"")+COUNTIF(EM$4:EM9,EM9))</f>
        <v/>
      </c>
      <c r="EO9">
        <f>IF(ROW()-3&gt;COUNTIF(EM$4:EM$40,"&lt;&gt;"&amp;""),"",INDEX(EM$4:EM$40,MATCH(ROW()-3,EN$4:EN$40,0)))</f>
        <v/>
      </c>
      <c r="EP9">
        <f>EP8+IF(AND(EO9&lt;&gt;"",COUNTIF(EO$4:EO9,EO9)=1),1,0)</f>
        <v/>
      </c>
      <c r="EQ9">
        <f>IF(ROW()-3&gt;MAX(EP$4:EP$40),"",INDEX(EO$4:EO$40,MATCH(ROW()-3,EP$4:EP$40,0)))</f>
        <v/>
      </c>
      <c r="ER9" s="55">
        <f>IF(AND($B$9:$X$9,$Z$9:$AJ$9),IF('Final Calculation Sheet'!$W$9="","",'Final Calculation Sheet'!$W$9),"")</f>
        <v/>
      </c>
      <c r="ES9">
        <f>IF(ER9="","",COUNTIFS(ER$4:ER$40,"&lt;"&amp;ER9,ER$4:ER$40,"&lt;&gt;"&amp;"")+COUNTIF(ER$4:ER9,ER9))</f>
        <v/>
      </c>
      <c r="ET9" s="55">
        <f>IF(ROW()-3&gt;COUNTIF(ER$4:ER$40,"&lt;&gt;"&amp;""),"",INDEX(ER$4:ER$40,MATCH(ROW()-3,ES$4:ES$40,0)))</f>
        <v/>
      </c>
      <c r="EU9">
        <f>EU8+IF(AND(ET9&lt;&gt;"",COUNTIF(ET$4:ET9,ET9)=1),1,0)</f>
        <v/>
      </c>
      <c r="EV9" s="55">
        <f>IF(ROW()-3&gt;MAX(EU$4:EU$40),"",INDEX(ET$4:ET$40,MATCH(ROW()-3,EU$4:EU$40,0)))</f>
        <v/>
      </c>
      <c r="EW9" s="55">
        <f>IF(AND($B$9:$Y$9,$AA$9:$AJ$9),IF('Final Calculation Sheet'!$X$9="","",'Final Calculation Sheet'!$X$9),"")</f>
        <v/>
      </c>
      <c r="EX9">
        <f>IF(EW9="","",COUNTIFS(EW$4:EW$40,"&lt;"&amp;EW9,EW$4:EW$40,"&lt;&gt;"&amp;"")+COUNTIF(EW$4:EW9,EW9))</f>
        <v/>
      </c>
      <c r="EY9" s="55">
        <f>IF(ROW()-3&gt;COUNTIF(EW$4:EW$40,"&lt;&gt;"&amp;""),"",INDEX(EW$4:EW$40,MATCH(ROW()-3,EX$4:EX$40,0)))</f>
        <v/>
      </c>
      <c r="EZ9">
        <f>EZ8+IF(AND(EY9&lt;&gt;"",COUNTIF(EY$4:EY9,EY9)=1),1,0)</f>
        <v/>
      </c>
      <c r="FA9">
        <f>IF(ROW()-3&gt;MAX(EZ$4:EZ$40),"",INDEX(EY$4:EY$40,MATCH(ROW()-3,EZ$4:EZ$40,0)))</f>
        <v/>
      </c>
      <c r="FB9">
        <f>IF(AND($B$9:$Z$9,$AB$9:$AJ$9),IF('Final Calculation Sheet'!$Y$9="","",'Final Calculation Sheet'!$Y$9),"")</f>
        <v/>
      </c>
      <c r="FC9">
        <f>IF(FB9="","",COUNTIFS(FB$4:FB$40,"&lt;"&amp;FB9,FB$4:FB$40,"&lt;&gt;"&amp;"")+COUNTIF(FB$4:FB9,FB9))</f>
        <v/>
      </c>
      <c r="FD9">
        <f>IF(ROW()-3&gt;COUNTIF(FB$4:FB$40,"&lt;&gt;"&amp;""),"",INDEX(FB$4:FB$40,MATCH(ROW()-3,FC$4:FC$40,0)))</f>
        <v/>
      </c>
      <c r="FE9">
        <f>FE8+IF(AND(FD9&lt;&gt;"",COUNTIF(FD$4:FD9,FD9)=1),1,0)</f>
        <v/>
      </c>
      <c r="FF9">
        <f>IF(ROW()-3&gt;MAX(FE$4:FE$40),"",INDEX(FD$4:FD$40,MATCH(ROW()-3,FE$4:FE$40,0)))</f>
        <v/>
      </c>
      <c r="FG9" s="55">
        <f>IF(AND($B$9:$AA$9,$AC$9:$AJ$9),IF('Final Calculation Sheet'!$Z$9="","",'Final Calculation Sheet'!$Z$9),"")</f>
        <v/>
      </c>
      <c r="FH9">
        <f>IF(FG9="","",COUNTIFS(FG$4:FG$40,"&lt;"&amp;FG9,FG$4:FG$40,"&lt;&gt;"&amp;"")+COUNTIF(FG$4:FG9,FG9))</f>
        <v/>
      </c>
      <c r="FI9" s="55">
        <f>IF(ROW()-3&gt;COUNTIF(FG$4:FG$40,"&lt;&gt;"&amp;""),"",INDEX(FG$4:FG$40,MATCH(ROW()-3,FH$4:FH$40,0)))</f>
        <v/>
      </c>
      <c r="FJ9">
        <f>FJ8+IF(AND(FI9&lt;&gt;"",COUNTIF(FI$4:FI9,FI9)=1),1,0)</f>
        <v/>
      </c>
      <c r="FK9" s="55">
        <f>IF(ROW()-3&gt;MAX(FJ$4:FJ$40),"",INDEX(FI$4:FI$40,MATCH(ROW()-3,FJ$4:FJ$40,0)))</f>
        <v/>
      </c>
      <c r="FL9">
        <f>IF(AND($B$9:$AB$9,$AD$9:$AJ$9),IF('Final Calculation Sheet'!$AA$9="","",'Final Calculation Sheet'!$AA$9),"")</f>
        <v/>
      </c>
      <c r="FM9">
        <f>IF(FL9="","",COUNTIFS(FL$4:FL$40,"&lt;"&amp;FL9,FL$4:FL$40,"&lt;&gt;"&amp;"")+COUNTIF(FL$4:FL9,FL9))</f>
        <v/>
      </c>
      <c r="FN9">
        <f>IF(ROW()-3&gt;COUNTIF(FL$4:FL$40,"&lt;&gt;"&amp;""),"",INDEX(FL$4:FL$40,MATCH(ROW()-3,FM$4:FM$40,0)))</f>
        <v/>
      </c>
      <c r="FO9">
        <f>FO8+IF(AND(FN9&lt;&gt;"",COUNTIF(FN$4:FN9,FN9)=1),1,0)</f>
        <v/>
      </c>
      <c r="FP9">
        <f>IF(ROW()-3&gt;MAX(FO$4:FO$40),"",INDEX(FN$4:FN$40,MATCH(ROW()-3,FO$4:FO$40,0)))</f>
        <v/>
      </c>
      <c r="FQ9">
        <f>IF(AND($B$9:$AC$9,$AE$9:$AJ$9),IF('Final Calculation Sheet'!$AB$9="","",'Final Calculation Sheet'!$AB$9),"")</f>
        <v/>
      </c>
      <c r="FR9">
        <f>IF(FQ9="","",COUNTIFS(FQ$4:FQ$40,"&lt;"&amp;FQ9,FQ$4:FQ$40,"&lt;&gt;"&amp;"")+COUNTIF(FQ$4:FQ9,FQ9))</f>
        <v/>
      </c>
      <c r="FS9">
        <f>IF(ROW()-3&gt;COUNTIF(FQ$4:FQ$40,"&lt;&gt;"&amp;""),"",INDEX(FQ$4:FQ$40,MATCH(ROW()-3,FR$4:FR$40,0)))</f>
        <v/>
      </c>
      <c r="FT9">
        <f>FT8+IF(AND(FS9&lt;&gt;"",COUNTIF(FS$4:FS9,FS9)=1),1,0)</f>
        <v/>
      </c>
      <c r="FU9">
        <f>IF(ROW()-3&gt;MAX(FT$4:FT$40),"",INDEX(FS$4:FS$40,MATCH(ROW()-3,FT$4:FT$40,0)))</f>
        <v/>
      </c>
      <c r="FV9" s="55">
        <f>IF(AND($B$9:$AD$9,$AF$9:$AJ$9),IF('Final Calculation Sheet'!$AC$9="","",'Final Calculation Sheet'!$AC$9),"")</f>
        <v/>
      </c>
      <c r="FW9">
        <f>IF(FV9="","",COUNTIFS(FV$4:FV$40,"&lt;"&amp;FV9,FV$4:FV$40,"&lt;&gt;"&amp;"")+COUNTIF(FV$4:FV9,FV9))</f>
        <v/>
      </c>
      <c r="FX9" s="55">
        <f>IF(ROW()-3&gt;COUNTIF(FV$4:FV$40,"&lt;&gt;"&amp;""),"",INDEX(FV$4:FV$40,MATCH(ROW()-3,FW$4:FW$40,0)))</f>
        <v/>
      </c>
      <c r="FY9">
        <f>FY8+IF(AND(FX9&lt;&gt;"",COUNTIF(FX$4:FX9,FX9)=1),1,0)</f>
        <v/>
      </c>
      <c r="FZ9" s="55">
        <f>IF(ROW()-3&gt;MAX(FY$4:FY$40),"",INDEX(FX$4:FX$40,MATCH(ROW()-3,FY$4:FY$40,0)))</f>
        <v/>
      </c>
      <c r="GA9" s="55">
        <f>IF(AND($B$9:$AE$9,$AG$9:$AJ$9),IF('Final Calculation Sheet'!$AD$9="","",'Final Calculation Sheet'!$AD$9),"")</f>
        <v/>
      </c>
      <c r="GB9">
        <f>IF(GA9="","",COUNTIFS(GA$4:GA$40,"&lt;"&amp;GA9,GA$4:GA$40,"&lt;&gt;"&amp;"")+COUNTIF(GA$4:GA9,GA9))</f>
        <v/>
      </c>
      <c r="GC9" s="55">
        <f>IF(ROW()-3&gt;COUNTIF(GA$4:GA$40,"&lt;&gt;"&amp;""),"",INDEX(GA$4:GA$40,MATCH(ROW()-3,GB$4:GB$40,0)))</f>
        <v/>
      </c>
      <c r="GD9">
        <f>GD8+IF(AND(GC9&lt;&gt;"",COUNTIF(GC$4:GC9,GC9)=1),1,0)</f>
        <v/>
      </c>
      <c r="GE9" s="55">
        <f>IF(ROW()-3&gt;MAX(GD$4:GD$40),"",INDEX(GC$4:GC$40,MATCH(ROW()-3,GD$4:GD$40,0)))</f>
        <v/>
      </c>
      <c r="GF9">
        <f>IF(AND($B$9:$AF$9,$AH$9:$AJ$9),IF('Final Calculation Sheet'!$AE$9="","",'Final Calculation Sheet'!$AE$9),"")</f>
        <v/>
      </c>
      <c r="GG9">
        <f>IF(GF9="","",COUNTIFS(GF$4:GF$40,"&lt;"&amp;GF9,GF$4:GF$40,"&lt;&gt;"&amp;"")+COUNTIF(GF$4:GF9,GF9))</f>
        <v/>
      </c>
      <c r="GH9">
        <f>IF(ROW()-3&gt;COUNTIF(GF$4:GF$40,"&lt;&gt;"&amp;""),"",INDEX(GF$4:GF$40,MATCH(ROW()-3,GG$4:GG$40,0)))</f>
        <v/>
      </c>
      <c r="GI9">
        <f>GI8+IF(AND(GH9&lt;&gt;"",COUNTIF(GH$4:GH9,GH9)=1),1,0)</f>
        <v/>
      </c>
      <c r="GJ9">
        <f>IF(ROW()-3&gt;MAX(GI$4:GI$40),"",INDEX(GH$4:GH$40,MATCH(ROW()-3,GI$4:GI$40,0)))</f>
        <v/>
      </c>
      <c r="GK9" s="141">
        <f>IF(AND($B$9:$AG$9,$AI$9:$AJ$9),IF('Final Calculation Sheet'!$AF$9="","",'Final Calculation Sheet'!$AF$9),"")</f>
        <v/>
      </c>
      <c r="GL9">
        <f>IF(GK9="","",COUNTIFS(GK$4:GK$40,"&lt;"&amp;GK9,GK$4:GK$40,"&lt;&gt;"&amp;"")+COUNTIF(GK$4:GK9,GK9))</f>
        <v/>
      </c>
      <c r="GM9" s="141">
        <f>IF(ROW()-3&gt;COUNTIF(GK$4:GK$40,"&lt;&gt;"&amp;""),"",INDEX(GK$4:GK$40,MATCH(ROW()-3,GL$4:GL$40,0)))</f>
        <v/>
      </c>
      <c r="GN9">
        <f>GN8+IF(AND(GM9&lt;&gt;"",COUNTIF(GM$4:GM9,GM9)=1),1,0)</f>
        <v/>
      </c>
      <c r="GO9">
        <f>IF(ROW()-3&gt;MAX(GN$4:GN$40),"",INDEX(GM$4:GM$40,MATCH(ROW()-3,GN$4:GN$40,0)))</f>
        <v/>
      </c>
      <c r="GP9">
        <f>IF(AND($B$9:$AH$9,$AJ$9:$AJ$9),IF('Final Calculation Sheet'!$AG$9="","",'Final Calculation Sheet'!$AG$9),"")</f>
        <v/>
      </c>
      <c r="GQ9">
        <f>IF(GP9="","",COUNTIFS(GP$4:GP$40,"&lt;"&amp;GP9,GP$4:GP$40,"&lt;&gt;"&amp;"")+COUNTIF(GP$4:GP9,GP9))</f>
        <v/>
      </c>
      <c r="GR9">
        <f>IF(ROW()-3&gt;COUNTIF(GP$4:GP$40,"&lt;&gt;"&amp;""),"",INDEX(GP$4:GP$40,MATCH(ROW()-3,GQ$4:GQ$40,0)))</f>
        <v/>
      </c>
      <c r="GS9">
        <f>GS8+IF(AND(GR9&lt;&gt;"",COUNTIF(GR$4:GR9,GR9)=1),1,0)</f>
        <v/>
      </c>
      <c r="GT9">
        <f>IF(ROW()-3&gt;MAX(GS$4:GS$40),"",INDEX(GR$4:GR$40,MATCH(ROW()-3,GS$4:GS$40,0)))</f>
        <v/>
      </c>
    </row>
    <row r="10">
      <c r="A10" t="inlineStr">
        <is>
          <t>Final row 10</t>
        </is>
      </c>
      <c r="B10" t="b">
        <v>1</v>
      </c>
      <c r="C10">
        <f>IF($C$3=FALSE,TRUE,IF(OR(UPPER(TRIM($C$2))="(BLANK)",UPPER(TRIM($C$2))="BLANK",AND($C$2&lt;&gt;"",TRIM($C$2)="")),(IF('Final Calculation Sheet'!$F$10="","",'Final Calculation Sheet'!$F$10))="",IF(OR(UPPER(TRIM($C$2))="(NONBLANK)",UPPER(TRIM($C$2))="NONBLANK",TRIM($C$2)="&lt;&gt;"),(IF('Final Calculation Sheet'!$F$10="","",'Final Calculation Sheet'!$F$10))&lt;&gt;"",UPPER(TRIM((IF('Final Calculation Sheet'!$F$10="","",'Final Calculation Sheet'!$F$10))&amp;""))=UPPER(TRIM($C$2&amp;"")))))</f>
        <v/>
      </c>
      <c r="D10">
        <f>IF($D$3=FALSE,TRUE,IF(OR(UPPER(TRIM($D$2))="(BLANK)",UPPER(TRIM($D$2))="BLANK",AND($D$2&lt;&gt;"",TRIM($D$2)="")),(IF('Final Calculation Sheet'!$G$10="","",'Final Calculation Sheet'!$G$10))="",IF(OR(UPPER(TRIM($D$2))="(NONBLANK)",UPPER(TRIM($D$2))="NONBLANK",TRIM($D$2)="&lt;&gt;"),(IF('Final Calculation Sheet'!$G$10="","",'Final Calculation Sheet'!$G$10))&lt;&gt;"",UPPER(TRIM((IF('Final Calculation Sheet'!$G$10="","",'Final Calculation Sheet'!$G$10))&amp;""))=UPPER(TRIM($D$2&amp;"")))))</f>
        <v/>
      </c>
      <c r="E10">
        <f>IF($E$3=FALSE,TRUE,IF(OR(UPPER(TRIM($E$2))="(BLANK)",UPPER(TRIM($E$2))="BLANK",AND($E$2&lt;&gt;"",TRIM($E$2)="")),(IF('Final Calculation Sheet'!$B$10="","",'Final Calculation Sheet'!$B$10))="",IF(OR(UPPER(TRIM($E$2))="(NONBLANK)",UPPER(TRIM($E$2))="NONBLANK",TRIM($E$2)="&lt;&gt;"),(IF('Final Calculation Sheet'!$B$10="","",'Final Calculation Sheet'!$B$10))&lt;&gt;"",UPPER(TRIM((IF('Final Calculation Sheet'!$B$10="","",'Final Calculation Sheet'!$B$10))&amp;""))=UPPER(TRIM($E$2&amp;"")))))</f>
        <v/>
      </c>
      <c r="F10">
        <f>IF($F$3=FALSE,TRUE,IF(OR(UPPER(TRIM($F$2))="(BLANK)",UPPER(TRIM($F$2))="BLANK",AND($F$2&lt;&gt;"",TRIM($F$2)="")),(IF('Final Calculation Sheet'!$D$10="","",'Final Calculation Sheet'!$D$10))="",IF(OR(UPPER(TRIM($F$2))="(NONBLANK)",UPPER(TRIM($F$2))="NONBLANK",TRIM($F$2)="&lt;&gt;"),(IF('Final Calculation Sheet'!$D$10="","",'Final Calculation Sheet'!$D$10))&lt;&gt;"",UPPER(TRIM((IF('Final Calculation Sheet'!$D$10="","",'Final Calculation Sheet'!$D$10))&amp;""))=UPPER(TRIM($F$2&amp;"")))))</f>
        <v/>
      </c>
      <c r="G10">
        <f>IF($G$3=FALSE,TRUE,IF(OR(UPPER(TRIM($G$2))="(BLANK)",UPPER(TRIM($G$2))="BLANK",AND($G$2&lt;&gt;"",TRIM($G$2)="")),(IF('Final Calculation Sheet'!$A$10="","",'Final Calculation Sheet'!$A$10))="",IF(OR(UPPER(TRIM($G$2))="(NONBLANK)",UPPER(TRIM($G$2))="NONBLANK",TRIM($G$2)="&lt;&gt;"),(IF('Final Calculation Sheet'!$A$10="","",'Final Calculation Sheet'!$A$10))&lt;&gt;"",UPPER(TRIM((IF('Final Calculation Sheet'!$A$10="","",'Final Calculation Sheet'!$A$10))&amp;""))=UPPER(TRIM($G$2&amp;"")))))</f>
        <v/>
      </c>
      <c r="H10">
        <f>IF($H$3=FALSE,TRUE,IF(OR(UPPER(TRIM($H$2))="(BLANK)",UPPER(TRIM($H$2))="BLANK",AND($H$2&lt;&gt;"",TRIM($H$2)="")),(IF('Final Calculation Sheet'!$E$10="","",'Final Calculation Sheet'!$E$10))="",IF(OR(UPPER(TRIM($H$2))="(NONBLANK)",UPPER(TRIM($H$2))="NONBLANK",TRIM($H$2)="&lt;&gt;"),(IF('Final Calculation Sheet'!$E$10="","",'Final Calculation Sheet'!$E$10))&lt;&gt;"",UPPER(TRIM((IF('Final Calculation Sheet'!$E$10="","",'Final Calculation Sheet'!$E$10))&amp;""))=UPPER(TRIM($H$2&amp;"")))))</f>
        <v/>
      </c>
      <c r="I10">
        <f>IF($I$3=FALSE,TRUE,IF(OR(UPPER(TRIM($I$2))="(BLANK)",UPPER(TRIM($I$2))="BLANK",AND($I$2&lt;&gt;"",TRIM($I$2)="")),(IF('Final Calculation Sheet'!$C$10="","",'Final Calculation Sheet'!$C$10))="",IF(OR(UPPER(TRIM($I$2))="(NONBLANK)",UPPER(TRIM($I$2))="NONBLANK",TRIM($I$2)="&lt;&gt;"),(IF('Final Calculation Sheet'!$C$10="","",'Final Calculation Sheet'!$C$10))&lt;&gt;"",UPPER(TRIM((IF('Final Calculation Sheet'!$C$10="","",'Final Calculation Sheet'!$C$10))&amp;""))=UPPER(TRIM($I$2&amp;"")))))</f>
        <v/>
      </c>
      <c r="J10">
        <f>IF($J$3=FALSE,TRUE,IF(OR(UPPER(TRIM($J$2))="(BLANK)",UPPER(TRIM($J$2))="BLANK",AND($J$2&lt;&gt;"",TRIM($J$2)="")),(IF('Final Calculation Sheet'!$H$10="","",'Final Calculation Sheet'!$H$10))="",IF(OR(UPPER(TRIM($J$2))="(NONBLANK)",UPPER(TRIM($J$2))="NONBLANK",TRIM($J$2)="&lt;&gt;"),(IF('Final Calculation Sheet'!$H$10="","",'Final Calculation Sheet'!$H$10))&lt;&gt;"",UPPER(TRIM((IF('Final Calculation Sheet'!$H$10="","",'Final Calculation Sheet'!$H$10))&amp;""))=UPPER(TRIM($J$2&amp;"")))))</f>
        <v/>
      </c>
      <c r="K10">
        <f>IF($K$3=FALSE,TRUE,IF(OR(UPPER(TRIM($K$2))="(BLANK)",UPPER(TRIM($K$2))="BLANK",AND($K$2&lt;&gt;"",TRIM($K$2)="")),(IF('Final Calculation Sheet'!$I$10="","",'Final Calculation Sheet'!$I$10))="",IF(OR(UPPER(TRIM($K$2))="(NONBLANK)",UPPER(TRIM($K$2))="NONBLANK",TRIM($K$2)="&lt;&gt;"),(IF('Final Calculation Sheet'!$I$10="","",'Final Calculation Sheet'!$I$10))&lt;&gt;"",UPPER(TRIM((IF('Final Calculation Sheet'!$I$10="","",'Final Calculation Sheet'!$I$10))&amp;""))=UPPER(TRIM($K$2&amp;"")))))</f>
        <v/>
      </c>
      <c r="L10">
        <f>IF($L$3=FALSE,TRUE,IF(OR(UPPER(TRIM($L$2))="(BLANK)",UPPER(TRIM($L$2))="BLANK",AND($L$2&lt;&gt;"",TRIM($L$2)="")),(IF('Final Calculation Sheet'!$J$10="","",'Final Calculation Sheet'!$J$10))="",IF(OR(UPPER(TRIM($L$2))="(NONBLANK)",UPPER(TRIM($L$2))="NONBLANK",TRIM($L$2)="&lt;&gt;"),(IF('Final Calculation Sheet'!$J$10="","",'Final Calculation Sheet'!$J$10))&lt;&gt;"",UPPER(TRIM((IF('Final Calculation Sheet'!$J$10="","",'Final Calculation Sheet'!$J$10))&amp;""))=UPPER(TRIM($L$2&amp;"")))))</f>
        <v/>
      </c>
      <c r="M10">
        <f>IF($M$3=FALSE,TRUE,IF(OR(UPPER(TRIM($M$2))="(BLANK)",UPPER(TRIM($M$2))="BLANK",AND($M$2&lt;&gt;"",TRIM($M$2)="")),(IF('Final Calculation Sheet'!$K$10="","",'Final Calculation Sheet'!$K$10))="",IF(OR(UPPER(TRIM($M$2))="(NONBLANK)",UPPER(TRIM($M$2))="NONBLANK",TRIM($M$2)="&lt;&gt;"),(IF('Final Calculation Sheet'!$K$10="","",'Final Calculation Sheet'!$K$10))&lt;&gt;"",UPPER(TRIM((IF('Final Calculation Sheet'!$K$10="","",'Final Calculation Sheet'!$K$10))&amp;""))=UPPER(TRIM($M$2&amp;"")))))</f>
        <v/>
      </c>
      <c r="N10">
        <f>IF($N$3=FALSE,TRUE,IF(OR(UPPER(TRIM($N$2))="(BLANK)",UPPER(TRIM($N$2))="BLANK",AND($N$2&lt;&gt;"",TRIM($N$2)="")),(IF('Final Calculation Sheet'!$L$10="","",'Final Calculation Sheet'!$L$10))="",IF(OR(UPPER(TRIM($N$2))="(NONBLANK)",UPPER(TRIM($N$2))="NONBLANK",TRIM($N$2)="&lt;&gt;"),(IF('Final Calculation Sheet'!$L$10="","",'Final Calculation Sheet'!$L$10))&lt;&gt;"",UPPER(TRIM((IF('Final Calculation Sheet'!$L$10="","",'Final Calculation Sheet'!$L$10))&amp;""))=UPPER(TRIM($N$2&amp;"")))))</f>
        <v/>
      </c>
      <c r="O10">
        <f>IF($O$3=FALSE,TRUE,IF(OR(UPPER(TRIM($O$2))="(BLANK)",UPPER(TRIM($O$2))="BLANK",AND($O$2&lt;&gt;"",TRIM($O$2)="")),(IF('Final Calculation Sheet'!$M$10="","",'Final Calculation Sheet'!$M$10))="",IF(OR(UPPER(TRIM($O$2))="(NONBLANK)",UPPER(TRIM($O$2))="NONBLANK",TRIM($O$2)="&lt;&gt;"),(IF('Final Calculation Sheet'!$M$10="","",'Final Calculation Sheet'!$M$10))&lt;&gt;"",UPPER(TRIM((IF('Final Calculation Sheet'!$M$10="","",'Final Calculation Sheet'!$M$10))&amp;""))=UPPER(TRIM($O$2&amp;"")))))</f>
        <v/>
      </c>
      <c r="P10">
        <f>IF($P$3=FALSE,TRUE,IF(OR(UPPER(TRIM($P$2))="(BLANK)",UPPER(TRIM($P$2))="BLANK",AND($P$2&lt;&gt;"",TRIM($P$2)="")),(IF('Final Calculation Sheet'!$N$10="","",'Final Calculation Sheet'!$N$10))="",IF(OR(UPPER(TRIM($P$2))="(NONBLANK)",UPPER(TRIM($P$2))="NONBLANK",TRIM($P$2)="&lt;&gt;"),(IF('Final Calculation Sheet'!$N$10="","",'Final Calculation Sheet'!$N$10))&lt;&gt;"",UPPER(TRIM((IF('Final Calculation Sheet'!$N$10="","",'Final Calculation Sheet'!$N$10))&amp;""))=UPPER(TRIM($P$2&amp;"")))))</f>
        <v/>
      </c>
      <c r="Q10">
        <f>IF($Q$3=FALSE,TRUE,IF(OR(UPPER(TRIM($Q$2))="(BLANK)",UPPER(TRIM($Q$2))="BLANK",AND($Q$2&lt;&gt;"",TRIM($Q$2)="")),(IF('Final Calculation Sheet'!$O$10="","",'Final Calculation Sheet'!$O$10))="",IF(OR(UPPER(TRIM($Q$2))="(NONBLANK)",UPPER(TRIM($Q$2))="NONBLANK",TRIM($Q$2)="&lt;&gt;"),(IF('Final Calculation Sheet'!$O$10="","",'Final Calculation Sheet'!$O$10))&lt;&gt;"",UPPER(TRIM((IF('Final Calculation Sheet'!$O$10="","",'Final Calculation Sheet'!$O$10))&amp;""))=UPPER(TRIM($Q$2&amp;"")))))</f>
        <v/>
      </c>
      <c r="R10">
        <f>IF($R$3=FALSE,TRUE,IF(OR(UPPER(TRIM($R$2))="(BLANK)",UPPER(TRIM($R$2))="BLANK",AND($R$2&lt;&gt;"",TRIM($R$2)="")),(IF('Final Calculation Sheet'!$P$10="","",'Final Calculation Sheet'!$P$10))="",IF(OR(UPPER(TRIM($R$2))="(NONBLANK)",UPPER(TRIM($R$2))="NONBLANK",TRIM($R$2)="&lt;&gt;"),(IF('Final Calculation Sheet'!$P$10="","",'Final Calculation Sheet'!$P$10))&lt;&gt;"",UPPER(TRIM((IF('Final Calculation Sheet'!$P$10="","",'Final Calculation Sheet'!$P$10))&amp;""))=UPPER(TRIM($R$2&amp;"")))))</f>
        <v/>
      </c>
      <c r="S10">
        <f>IF($S$3=FALSE,TRUE,IF(OR(UPPER(TRIM($S$2))="(BLANK)",UPPER(TRIM($S$2))="BLANK",AND($S$2&lt;&gt;"",TRIM($S$2)="")),(IF('Final Calculation Sheet'!$Q$10="","",'Final Calculation Sheet'!$Q$10))="",IF(OR(UPPER(TRIM($S$2))="(NONBLANK)",UPPER(TRIM($S$2))="NONBLANK",TRIM($S$2)="&lt;&gt;"),(IF('Final Calculation Sheet'!$Q$10="","",'Final Calculation Sheet'!$Q$10))&lt;&gt;"",UPPER(TRIM((IF('Final Calculation Sheet'!$Q$10="","",'Final Calculation Sheet'!$Q$10))&amp;""))=UPPER(TRIM($S$2&amp;"")))))</f>
        <v/>
      </c>
      <c r="T10">
        <f>IF($T$3=FALSE,TRUE,IF(OR(UPPER(TRIM($T$2))="(BLANK)",UPPER(TRIM($T$2))="BLANK",AND($T$2&lt;&gt;"",TRIM($T$2)="")),(IF('Final Calculation Sheet'!$R$10="","",'Final Calculation Sheet'!$R$10))="",IF(OR(UPPER(TRIM($T$2))="(NONBLANK)",UPPER(TRIM($T$2))="NONBLANK",TRIM($T$2)="&lt;&gt;"),(IF('Final Calculation Sheet'!$R$10="","",'Final Calculation Sheet'!$R$10))&lt;&gt;"",UPPER(TRIM((IF('Final Calculation Sheet'!$R$10="","",'Final Calculation Sheet'!$R$10))&amp;""))=UPPER(TRIM($T$2&amp;"")))))</f>
        <v/>
      </c>
      <c r="U10">
        <f>IF($U$3=FALSE,TRUE,IF(OR(UPPER(TRIM($U$2))="(BLANK)",UPPER(TRIM($U$2))="BLANK",AND($U$2&lt;&gt;"",TRIM($U$2)="")),(IF('Final Calculation Sheet'!$S$10="","",'Final Calculation Sheet'!$S$10))="",IF(OR(UPPER(TRIM($U$2))="(NONBLANK)",UPPER(TRIM($U$2))="NONBLANK",TRIM($U$2)="&lt;&gt;"),(IF('Final Calculation Sheet'!$S$10="","",'Final Calculation Sheet'!$S$10))&lt;&gt;"",UPPER(TRIM((IF('Final Calculation Sheet'!$S$10="","",'Final Calculation Sheet'!$S$10))&amp;""))=UPPER(TRIM($U$2&amp;"")))))</f>
        <v/>
      </c>
      <c r="V10">
        <f>IF($V$3=FALSE,TRUE,IF(OR(UPPER(TRIM($V$2))="(BLANK)",UPPER(TRIM($V$2))="BLANK",AND($V$2&lt;&gt;"",TRIM($V$2)="")),(IF('Final Calculation Sheet'!$T$10="","",'Final Calculation Sheet'!$T$10))="",IF(OR(UPPER(TRIM($V$2))="(NONBLANK)",UPPER(TRIM($V$2))="NONBLANK",TRIM($V$2)="&lt;&gt;"),(IF('Final Calculation Sheet'!$T$10="","",'Final Calculation Sheet'!$T$10))&lt;&gt;"",UPPER(TRIM((IF('Final Calculation Sheet'!$T$10="","",'Final Calculation Sheet'!$T$10))&amp;""))=UPPER(TRIM($V$2&amp;"")))))</f>
        <v/>
      </c>
      <c r="W10">
        <f>IF($W$3=FALSE,TRUE,IF(OR(UPPER(TRIM($W$2))="(BLANK)",UPPER(TRIM($W$2))="BLANK",AND($W$2&lt;&gt;"",TRIM($W$2)="")),(IF('Final Calculation Sheet'!$U$10="","",'Final Calculation Sheet'!$U$10))="",IF(OR(UPPER(TRIM($W$2))="(NONBLANK)",UPPER(TRIM($W$2))="NONBLANK",TRIM($W$2)="&lt;&gt;"),(IF('Final Calculation Sheet'!$U$10="","",'Final Calculation Sheet'!$U$10))&lt;&gt;"",UPPER(TRIM((IF('Final Calculation Sheet'!$U$10="","",'Final Calculation Sheet'!$U$10))&amp;""))=UPPER(TRIM($W$2&amp;"")))))</f>
        <v/>
      </c>
      <c r="X10">
        <f>IF($X$3=FALSE,TRUE,IF(OR(UPPER(TRIM($X$2))="(BLANK)",UPPER(TRIM($X$2))="BLANK",AND($X$2&lt;&gt;"",TRIM($X$2)="")),(IF('Final Calculation Sheet'!$V$10="","",'Final Calculation Sheet'!$V$10))="",IF(OR(UPPER(TRIM($X$2))="(NONBLANK)",UPPER(TRIM($X$2))="NONBLANK",TRIM($X$2)="&lt;&gt;"),(IF('Final Calculation Sheet'!$V$10="","",'Final Calculation Sheet'!$V$10))&lt;&gt;"",UPPER(TRIM((IF('Final Calculation Sheet'!$V$10="","",'Final Calculation Sheet'!$V$10))&amp;""))=UPPER(TRIM($X$2&amp;"")))))</f>
        <v/>
      </c>
      <c r="Y10">
        <f>IF($Y$3=FALSE,TRUE,IF(OR(UPPER(TRIM($Y$2))="(BLANK)",UPPER(TRIM($Y$2))="BLANK",AND($Y$2&lt;&gt;"",TRIM($Y$2)="")),(IF('Final Calculation Sheet'!$W$10="","",'Final Calculation Sheet'!$W$10))="",IF(OR(UPPER(TRIM($Y$2))="(NONBLANK)",UPPER(TRIM($Y$2))="NONBLANK",TRIM($Y$2)="&lt;&gt;"),(IF('Final Calculation Sheet'!$W$10="","",'Final Calculation Sheet'!$W$10))&lt;&gt;"",UPPER(TRIM((IF('Final Calculation Sheet'!$W$10="","",'Final Calculation Sheet'!$W$10))&amp;""))=UPPER(TRIM($Y$2&amp;"")))))</f>
        <v/>
      </c>
      <c r="Z10">
        <f>IF($Z$3=FALSE,TRUE,IF(OR(UPPER(TRIM($Z$2))="(BLANK)",UPPER(TRIM($Z$2))="BLANK",AND($Z$2&lt;&gt;"",TRIM($Z$2)="")),(IF('Final Calculation Sheet'!$X$10="","",'Final Calculation Sheet'!$X$10))="",IF(OR(UPPER(TRIM($Z$2))="(NONBLANK)",UPPER(TRIM($Z$2))="NONBLANK",TRIM($Z$2)="&lt;&gt;"),(IF('Final Calculation Sheet'!$X$10="","",'Final Calculation Sheet'!$X$10))&lt;&gt;"",UPPER(TRIM((IF('Final Calculation Sheet'!$X$10="","",'Final Calculation Sheet'!$X$10))&amp;""))=UPPER(TRIM($Z$2&amp;"")))))</f>
        <v/>
      </c>
      <c r="AA10">
        <f>IF($AA$3=FALSE,TRUE,IF(OR(UPPER(TRIM($AA$2))="(BLANK)",UPPER(TRIM($AA$2))="BLANK",AND($AA$2&lt;&gt;"",TRIM($AA$2)="")),(IF('Final Calculation Sheet'!$Y$10="","",'Final Calculation Sheet'!$Y$10))="",IF(OR(UPPER(TRIM($AA$2))="(NONBLANK)",UPPER(TRIM($AA$2))="NONBLANK",TRIM($AA$2)="&lt;&gt;"),(IF('Final Calculation Sheet'!$Y$10="","",'Final Calculation Sheet'!$Y$10))&lt;&gt;"",UPPER(TRIM((IF('Final Calculation Sheet'!$Y$10="","",'Final Calculation Sheet'!$Y$10))&amp;""))=UPPER(TRIM($AA$2&amp;"")))))</f>
        <v/>
      </c>
      <c r="AB10">
        <f>IF($AB$3=FALSE,TRUE,IF(OR(UPPER(TRIM($AB$2))="(BLANK)",UPPER(TRIM($AB$2))="BLANK",AND($AB$2&lt;&gt;"",TRIM($AB$2)="")),(IF('Final Calculation Sheet'!$Z$10="","",'Final Calculation Sheet'!$Z$10))="",IF(OR(UPPER(TRIM($AB$2))="(NONBLANK)",UPPER(TRIM($AB$2))="NONBLANK",TRIM($AB$2)="&lt;&gt;"),(IF('Final Calculation Sheet'!$Z$10="","",'Final Calculation Sheet'!$Z$10))&lt;&gt;"",UPPER(TRIM((IF('Final Calculation Sheet'!$Z$10="","",'Final Calculation Sheet'!$Z$10))&amp;""))=UPPER(TRIM($AB$2&amp;"")))))</f>
        <v/>
      </c>
      <c r="AC10">
        <f>IF($AC$3=FALSE,TRUE,IF(OR(UPPER(TRIM($AC$2))="(BLANK)",UPPER(TRIM($AC$2))="BLANK",AND($AC$2&lt;&gt;"",TRIM($AC$2)="")),(IF('Final Calculation Sheet'!$AA$10="","",'Final Calculation Sheet'!$AA$10))="",IF(OR(UPPER(TRIM($AC$2))="(NONBLANK)",UPPER(TRIM($AC$2))="NONBLANK",TRIM($AC$2)="&lt;&gt;"),(IF('Final Calculation Sheet'!$AA$10="","",'Final Calculation Sheet'!$AA$10))&lt;&gt;"",UPPER(TRIM((IF('Final Calculation Sheet'!$AA$10="","",'Final Calculation Sheet'!$AA$10))&amp;""))=UPPER(TRIM($AC$2&amp;"")))))</f>
        <v/>
      </c>
      <c r="AD10">
        <f>IF($AD$3=FALSE,TRUE,IF(OR(UPPER(TRIM($AD$2))="(BLANK)",UPPER(TRIM($AD$2))="BLANK",AND($AD$2&lt;&gt;"",TRIM($AD$2)="")),(IF('Final Calculation Sheet'!$AB$10="","",'Final Calculation Sheet'!$AB$10))="",IF(OR(UPPER(TRIM($AD$2))="(NONBLANK)",UPPER(TRIM($AD$2))="NONBLANK",TRIM($AD$2)="&lt;&gt;"),(IF('Final Calculation Sheet'!$AB$10="","",'Final Calculation Sheet'!$AB$10))&lt;&gt;"",UPPER(TRIM((IF('Final Calculation Sheet'!$AB$10="","",'Final Calculation Sheet'!$AB$10))&amp;""))=UPPER(TRIM($AD$2&amp;"")))))</f>
        <v/>
      </c>
      <c r="AE10">
        <f>IF($AE$3=FALSE,TRUE,IF(OR(UPPER(TRIM($AE$2))="(BLANK)",UPPER(TRIM($AE$2))="BLANK",AND($AE$2&lt;&gt;"",TRIM($AE$2)="")),(IF('Final Calculation Sheet'!$AC$10="","",'Final Calculation Sheet'!$AC$10))="",IF(OR(UPPER(TRIM($AE$2))="(NONBLANK)",UPPER(TRIM($AE$2))="NONBLANK",TRIM($AE$2)="&lt;&gt;"),(IF('Final Calculation Sheet'!$AC$10="","",'Final Calculation Sheet'!$AC$10))&lt;&gt;"",UPPER(TRIM((IF('Final Calculation Sheet'!$AC$10="","",'Final Calculation Sheet'!$AC$10))&amp;""))=UPPER(TRIM($AE$2&amp;"")))))</f>
        <v/>
      </c>
      <c r="AF10">
        <f>IF($AF$3=FALSE,TRUE,IF(OR(UPPER(TRIM($AF$2))="(BLANK)",UPPER(TRIM($AF$2))="BLANK",AND($AF$2&lt;&gt;"",TRIM($AF$2)="")),(IF('Final Calculation Sheet'!$AD$10="","",'Final Calculation Sheet'!$AD$10))="",IF(OR(UPPER(TRIM($AF$2))="(NONBLANK)",UPPER(TRIM($AF$2))="NONBLANK",TRIM($AF$2)="&lt;&gt;"),(IF('Final Calculation Sheet'!$AD$10="","",'Final Calculation Sheet'!$AD$10))&lt;&gt;"",UPPER(TRIM((IF('Final Calculation Sheet'!$AD$10="","",'Final Calculation Sheet'!$AD$10))&amp;""))=UPPER(TRIM($AF$2&amp;"")))))</f>
        <v/>
      </c>
      <c r="AG10">
        <f>IF($AG$3=FALSE,TRUE,IF(OR(UPPER(TRIM($AG$2))="(BLANK)",UPPER(TRIM($AG$2))="BLANK",AND($AG$2&lt;&gt;"",TRIM($AG$2)="")),(IF('Final Calculation Sheet'!$AE$10="","",'Final Calculation Sheet'!$AE$10))="",IF(OR(UPPER(TRIM($AG$2))="(NONBLANK)",UPPER(TRIM($AG$2))="NONBLANK",TRIM($AG$2)="&lt;&gt;"),(IF('Final Calculation Sheet'!$AE$10="","",'Final Calculation Sheet'!$AE$10))&lt;&gt;"",UPPER(TRIM((IF('Final Calculation Sheet'!$AE$10="","",'Final Calculation Sheet'!$AE$10))&amp;""))=UPPER(TRIM($AG$2&amp;"")))))</f>
        <v/>
      </c>
      <c r="AH10">
        <f>IF($AH$3=FALSE,TRUE,IF(OR(UPPER(TRIM($AH$2))="(BLANK)",UPPER(TRIM($AH$2))="BLANK",AND($AH$2&lt;&gt;"",TRIM($AH$2)="")),(IF('Final Calculation Sheet'!$AF$10="","",'Final Calculation Sheet'!$AF$10))="",IF(OR(UPPER(TRIM($AH$2))="(NONBLANK)",UPPER(TRIM($AH$2))="NONBLANK",TRIM($AH$2)="&lt;&gt;"),(IF('Final Calculation Sheet'!$AF$10="","",'Final Calculation Sheet'!$AF$10))&lt;&gt;"",UPPER(TRIM((IF('Final Calculation Sheet'!$AF$10="","",'Final Calculation Sheet'!$AF$10))&amp;""))=UPPER(TRIM($AH$2&amp;"")))))</f>
        <v/>
      </c>
      <c r="AI10">
        <f>IF($AI$3=FALSE,TRUE,IF(OR(UPPER(TRIM($AI$2))="(BLANK)",UPPER(TRIM($AI$2))="BLANK",AND($AI$2&lt;&gt;"",TRIM($AI$2)="")),(IF('Final Calculation Sheet'!$AG$10="","",'Final Calculation Sheet'!$AG$10))="",IF(OR(UPPER(TRIM($AI$2))="(NONBLANK)",UPPER(TRIM($AI$2))="NONBLANK",TRIM($AI$2)="&lt;&gt;"),(IF('Final Calculation Sheet'!$AG$10="","",'Final Calculation Sheet'!$AG$10))&lt;&gt;"",UPPER(TRIM((IF('Final Calculation Sheet'!$AG$10="","",'Final Calculation Sheet'!$AG$10))&amp;""))=UPPER(TRIM($AI$2&amp;"")))))</f>
        <v/>
      </c>
      <c r="AJ10">
        <f>IF($AJ$3=FALSE,TRUE,IF(OR(UPPER(TRIM($AJ$2))="(BLANK)",UPPER(TRIM($AJ$2))="BLANK",AND($AJ$2&lt;&gt;"",TRIM($AJ$2)="")),(IF('Final Calculation Sheet'!$AD$10="","",IF('Final Calculation Sheet'!$AD$10&lt;=5,"SETTLED","OUTSTANDING")))="",IF(OR(UPPER(TRIM($AJ$2))="(NONBLANK)",UPPER(TRIM($AJ$2))="NONBLANK",TRIM($AJ$2)="&lt;&gt;"),(IF('Final Calculation Sheet'!$AD$10="","",IF('Final Calculation Sheet'!$AD$10&lt;=5,"SETTLED","OUTSTANDING")))&lt;&gt;"",UPPER(TRIM((IF('Final Calculation Sheet'!$AD$10="","",IF('Final Calculation Sheet'!$AD$10&lt;=5,"SETTLED","OUTSTANDING")))&amp;""))=UPPER(TRIM($AJ$2&amp;"")))))</f>
        <v/>
      </c>
      <c r="AL10">
        <f>IF(AND($B$10,$D$10:$AJ$10),IF('Final Calculation Sheet'!$F$10="","",'Final Calculation Sheet'!$F$10),"")</f>
        <v/>
      </c>
      <c r="AM10">
        <f>IF(AL10="","",COUNTIFS(AL$4:AL$40,"&lt;"&amp;AL10,AL$4:AL$40,"&lt;&gt;"&amp;"")+COUNTIF(AL$4:AL10,AL10))</f>
        <v/>
      </c>
      <c r="AN10">
        <f>IF(ROW()-3&gt;COUNTIF(AL$4:AL$40,"&lt;&gt;"&amp;""),"",INDEX(AL$4:AL$40,MATCH(ROW()-3,AM$4:AM$40,0)))</f>
        <v/>
      </c>
      <c r="AO10">
        <f>AO9+IF(AND(AN10&lt;&gt;"",COUNTIF(AN$4:AN10,AN10)=1),1,0)</f>
        <v/>
      </c>
      <c r="AP10">
        <f>IF(ROW()-3&gt;MAX(AO$4:AO$40),"",INDEX(AN$4:AN$40,MATCH(ROW()-3,AO$4:AO$40,0)))</f>
        <v/>
      </c>
      <c r="AQ10">
        <f>IF(AND($B$10:$C$10,$E$10:$AJ$10),IF('Final Calculation Sheet'!$G$10="","",'Final Calculation Sheet'!$G$10),"")</f>
        <v/>
      </c>
      <c r="AR10">
        <f>IF(AQ10="","",COUNTIFS(AQ$4:AQ$40,"&lt;"&amp;AQ10,AQ$4:AQ$40,"&lt;&gt;"&amp;"")+COUNTIF(AQ$4:AQ10,AQ10))</f>
        <v/>
      </c>
      <c r="AS10">
        <f>IF(ROW()-3&gt;COUNTIF(AQ$4:AQ$40,"&lt;&gt;"&amp;""),"",INDEX(AQ$4:AQ$40,MATCH(ROW()-3,AR$4:AR$40,0)))</f>
        <v/>
      </c>
      <c r="AT10">
        <f>AT9+IF(AND(AS10&lt;&gt;"",COUNTIF(AS$4:AS10,AS10)=1),1,0)</f>
        <v/>
      </c>
      <c r="AU10">
        <f>IF(ROW()-3&gt;MAX(AT$4:AT$40),"",INDEX(AS$4:AS$40,MATCH(ROW()-3,AT$4:AT$40,0)))</f>
        <v/>
      </c>
      <c r="AV10">
        <f>IF(AND($B$10:$D$10,$F$10:$AJ$10),IF('Final Calculation Sheet'!$B$10="","",'Final Calculation Sheet'!$B$10),"")</f>
        <v/>
      </c>
      <c r="AW10">
        <f>IF(AV10="","",COUNTIFS(AV$4:AV$40,"&lt;"&amp;AV10,AV$4:AV$40,"&lt;&gt;"&amp;"")+COUNTIF(AV$4:AV10,AV10))</f>
        <v/>
      </c>
      <c r="AX10">
        <f>IF(ROW()-3&gt;COUNTIF(AV$4:AV$40,"&lt;&gt;"&amp;""),"",INDEX(AV$4:AV$40,MATCH(ROW()-3,AW$4:AW$40,0)))</f>
        <v/>
      </c>
      <c r="AY10">
        <f>AY9+IF(AND(AX10&lt;&gt;"",COUNTIF(AX$4:AX10,AX10)=1),1,0)</f>
        <v/>
      </c>
      <c r="AZ10">
        <f>IF(ROW()-3&gt;MAX(AY$4:AY$40),"",INDEX(AX$4:AX$40,MATCH(ROW()-3,AY$4:AY$40,0)))</f>
        <v/>
      </c>
      <c r="BA10">
        <f>IF(AND($B$10:$E$10,$G$10:$AJ$10),IF('Final Calculation Sheet'!$D$10="","",'Final Calculation Sheet'!$D$10),"")</f>
        <v/>
      </c>
      <c r="BB10">
        <f>IF(BA10="","",COUNTIFS(BA$4:BA$40,"&lt;"&amp;BA10,BA$4:BA$40,"&lt;&gt;"&amp;"")+COUNTIF(BA$4:BA10,BA10))</f>
        <v/>
      </c>
      <c r="BC10">
        <f>IF(ROW()-3&gt;COUNTIF(BA$4:BA$40,"&lt;&gt;"&amp;""),"",INDEX(BA$4:BA$40,MATCH(ROW()-3,BB$4:BB$40,0)))</f>
        <v/>
      </c>
      <c r="BD10">
        <f>BD9+IF(AND(BC10&lt;&gt;"",COUNTIF(BC$4:BC10,BC10)=1),1,0)</f>
        <v/>
      </c>
      <c r="BE10">
        <f>IF(ROW()-3&gt;MAX(BD$4:BD$40),"",INDEX(BC$4:BC$40,MATCH(ROW()-3,BD$4:BD$40,0)))</f>
        <v/>
      </c>
      <c r="BF10">
        <f>IF(AND($B$10:$F$10,$H$10:$AJ$10),IF('Final Calculation Sheet'!$A$10="","",'Final Calculation Sheet'!$A$10),"")</f>
        <v/>
      </c>
      <c r="BG10">
        <f>IF(BF10="","",COUNTIFS(BF$4:BF$40,"&lt;"&amp;BF10,BF$4:BF$40,"&lt;&gt;"&amp;"")+COUNTIF(BF$4:BF10,BF10))</f>
        <v/>
      </c>
      <c r="BH10">
        <f>IF(ROW()-3&gt;COUNTIF(BF$4:BF$40,"&lt;&gt;"&amp;""),"",INDEX(BF$4:BF$40,MATCH(ROW()-3,BG$4:BG$40,0)))</f>
        <v/>
      </c>
      <c r="BI10">
        <f>BI9+IF(AND(BH10&lt;&gt;"",COUNTIF(BH$4:BH10,BH10)=1),1,0)</f>
        <v/>
      </c>
      <c r="BJ10">
        <f>IF(ROW()-3&gt;MAX(BI$4:BI$40),"",INDEX(BH$4:BH$40,MATCH(ROW()-3,BI$4:BI$40,0)))</f>
        <v/>
      </c>
      <c r="BK10">
        <f>IF(AND($B$10:$G$10,$I$10:$AJ$10),IF('Final Calculation Sheet'!$E$10="","",'Final Calculation Sheet'!$E$10),"")</f>
        <v/>
      </c>
      <c r="BL10">
        <f>IF(BK10="","",COUNTIFS(BK$4:BK$40,"&lt;"&amp;BK10,BK$4:BK$40,"&lt;&gt;"&amp;"")+COUNTIF(BK$4:BK10,BK10))</f>
        <v/>
      </c>
      <c r="BM10">
        <f>IF(ROW()-3&gt;COUNTIF(BK$4:BK$40,"&lt;&gt;"&amp;""),"",INDEX(BK$4:BK$40,MATCH(ROW()-3,BL$4:BL$40,0)))</f>
        <v/>
      </c>
      <c r="BN10">
        <f>BN9+IF(AND(BM10&lt;&gt;"",COUNTIF(BM$4:BM10,BM10)=1),1,0)</f>
        <v/>
      </c>
      <c r="BO10">
        <f>IF(ROW()-3&gt;MAX(BN$4:BN$40),"",INDEX(BM$4:BM$40,MATCH(ROW()-3,BN$4:BN$40,0)))</f>
        <v/>
      </c>
      <c r="BP10" s="55">
        <f>IF(AND($B$10:$H$10,$J$10:$AJ$10),IF('Final Calculation Sheet'!$C$10="","",'Final Calculation Sheet'!$C$10),"")</f>
        <v/>
      </c>
      <c r="BQ10">
        <f>IF(BP10="","",COUNTIFS(BP$4:BP$40,"&lt;"&amp;BP10,BP$4:BP$40,"&lt;&gt;"&amp;"")+COUNTIF(BP$4:BP10,BP10))</f>
        <v/>
      </c>
      <c r="BR10" s="55">
        <f>IF(ROW()-3&gt;COUNTIF(BP$4:BP$40,"&lt;&gt;"&amp;""),"",INDEX(BP$4:BP$40,MATCH(ROW()-3,BQ$4:BQ$40,0)))</f>
        <v/>
      </c>
      <c r="BS10">
        <f>BS9+IF(AND(BR10&lt;&gt;"",COUNTIF(BR$4:BR10,BR10)=1),1,0)</f>
        <v/>
      </c>
      <c r="BT10" s="55">
        <f>IF(ROW()-3&gt;MAX(BS$4:BS$40),"",INDEX(BR$4:BR$40,MATCH(ROW()-3,BS$4:BS$40,0)))</f>
        <v/>
      </c>
      <c r="BU10" s="55">
        <f>IF(AND($B$10:$I$10,$K$10:$AJ$10),IF('Final Calculation Sheet'!$H$10="","",'Final Calculation Sheet'!$H$10),"")</f>
        <v/>
      </c>
      <c r="BV10">
        <f>IF(BU10="","",COUNTIFS(BU$4:BU$40,"&lt;"&amp;BU10,BU$4:BU$40,"&lt;&gt;"&amp;"")+COUNTIF(BU$4:BU10,BU10))</f>
        <v/>
      </c>
      <c r="BW10" s="55">
        <f>IF(ROW()-3&gt;COUNTIF(BU$4:BU$40,"&lt;&gt;"&amp;""),"",INDEX(BU$4:BU$40,MATCH(ROW()-3,BV$4:BV$40,0)))</f>
        <v/>
      </c>
      <c r="BX10">
        <f>BX9+IF(AND(BW10&lt;&gt;"",COUNTIF(BW$4:BW10,BW10)=1),1,0)</f>
        <v/>
      </c>
      <c r="BY10" s="55">
        <f>IF(ROW()-3&gt;MAX(BX$4:BX$40),"",INDEX(BW$4:BW$40,MATCH(ROW()-3,BX$4:BX$40,0)))</f>
        <v/>
      </c>
      <c r="BZ10" s="55">
        <f>IF(AND($B$10:$J$10,$L$10:$AJ$10),IF('Final Calculation Sheet'!$I$10="","",'Final Calculation Sheet'!$I$10),"")</f>
        <v/>
      </c>
      <c r="CA10">
        <f>IF(BZ10="","",COUNTIFS(BZ$4:BZ$40,"&lt;"&amp;BZ10,BZ$4:BZ$40,"&lt;&gt;"&amp;"")+COUNTIF(BZ$4:BZ10,BZ10))</f>
        <v/>
      </c>
      <c r="CB10" s="55">
        <f>IF(ROW()-3&gt;COUNTIF(BZ$4:BZ$40,"&lt;&gt;"&amp;""),"",INDEX(BZ$4:BZ$40,MATCH(ROW()-3,CA$4:CA$40,0)))</f>
        <v/>
      </c>
      <c r="CC10">
        <f>CC9+IF(AND(CB10&lt;&gt;"",COUNTIF(CB$4:CB10,CB10)=1),1,0)</f>
        <v/>
      </c>
      <c r="CD10" s="55">
        <f>IF(ROW()-3&gt;MAX(CC$4:CC$40),"",INDEX(CB$4:CB$40,MATCH(ROW()-3,CC$4:CC$40,0)))</f>
        <v/>
      </c>
      <c r="CE10" s="55">
        <f>IF(AND($B$10:$K$10,$M$10:$AJ$10),IF('Final Calculation Sheet'!$J$10="","",'Final Calculation Sheet'!$J$10),"")</f>
        <v/>
      </c>
      <c r="CF10">
        <f>IF(CE10="","",COUNTIFS(CE$4:CE$40,"&lt;"&amp;CE10,CE$4:CE$40,"&lt;&gt;"&amp;"")+COUNTIF(CE$4:CE10,CE10))</f>
        <v/>
      </c>
      <c r="CG10" s="55">
        <f>IF(ROW()-3&gt;COUNTIF(CE$4:CE$40,"&lt;&gt;"&amp;""),"",INDEX(CE$4:CE$40,MATCH(ROW()-3,CF$4:CF$40,0)))</f>
        <v/>
      </c>
      <c r="CH10">
        <f>CH9+IF(AND(CG10&lt;&gt;"",COUNTIF(CG$4:CG10,CG10)=1),1,0)</f>
        <v/>
      </c>
      <c r="CI10" s="55">
        <f>IF(ROW()-3&gt;MAX(CH$4:CH$40),"",INDEX(CG$4:CG$40,MATCH(ROW()-3,CH$4:CH$40,0)))</f>
        <v/>
      </c>
      <c r="CJ10" s="55">
        <f>IF(AND($B$10:$L$10,$N$10:$AJ$10),IF('Final Calculation Sheet'!$K$10="","",'Final Calculation Sheet'!$K$10),"")</f>
        <v/>
      </c>
      <c r="CK10">
        <f>IF(CJ10="","",COUNTIFS(CJ$4:CJ$40,"&lt;"&amp;CJ10,CJ$4:CJ$40,"&lt;&gt;"&amp;"")+COUNTIF(CJ$4:CJ10,CJ10))</f>
        <v/>
      </c>
      <c r="CL10" s="55">
        <f>IF(ROW()-3&gt;COUNTIF(CJ$4:CJ$40,"&lt;&gt;"&amp;""),"",INDEX(CJ$4:CJ$40,MATCH(ROW()-3,CK$4:CK$40,0)))</f>
        <v/>
      </c>
      <c r="CM10">
        <f>CM9+IF(AND(CL10&lt;&gt;"",COUNTIF(CL$4:CL10,CL10)=1),1,0)</f>
        <v/>
      </c>
      <c r="CN10" s="55">
        <f>IF(ROW()-3&gt;MAX(CM$4:CM$40),"",INDEX(CL$4:CL$40,MATCH(ROW()-3,CM$4:CM$40,0)))</f>
        <v/>
      </c>
      <c r="CO10" s="55">
        <f>IF(AND($B$10:$M$10,$O$10:$AJ$10),IF('Final Calculation Sheet'!$L$10="","",'Final Calculation Sheet'!$L$10),"")</f>
        <v/>
      </c>
      <c r="CP10">
        <f>IF(CO10="","",COUNTIFS(CO$4:CO$40,"&lt;"&amp;CO10,CO$4:CO$40,"&lt;&gt;"&amp;"")+COUNTIF(CO$4:CO10,CO10))</f>
        <v/>
      </c>
      <c r="CQ10" s="55">
        <f>IF(ROW()-3&gt;COUNTIF(CO$4:CO$40,"&lt;&gt;"&amp;""),"",INDEX(CO$4:CO$40,MATCH(ROW()-3,CP$4:CP$40,0)))</f>
        <v/>
      </c>
      <c r="CR10">
        <f>CR9+IF(AND(CQ10&lt;&gt;"",COUNTIF(CQ$4:CQ10,CQ10)=1),1,0)</f>
        <v/>
      </c>
      <c r="CS10" s="55">
        <f>IF(ROW()-3&gt;MAX(CR$4:CR$40),"",INDEX(CQ$4:CQ$40,MATCH(ROW()-3,CR$4:CR$40,0)))</f>
        <v/>
      </c>
      <c r="CT10" s="55">
        <f>IF(AND($B$10:$N$10,$P$10:$AJ$10),IF('Final Calculation Sheet'!$M$10="","",'Final Calculation Sheet'!$M$10),"")</f>
        <v/>
      </c>
      <c r="CU10">
        <f>IF(CT10="","",COUNTIFS(CT$4:CT$40,"&lt;"&amp;CT10,CT$4:CT$40,"&lt;&gt;"&amp;"")+COUNTIF(CT$4:CT10,CT10))</f>
        <v/>
      </c>
      <c r="CV10" s="55">
        <f>IF(ROW()-3&gt;COUNTIF(CT$4:CT$40,"&lt;&gt;"&amp;""),"",INDEX(CT$4:CT$40,MATCH(ROW()-3,CU$4:CU$40,0)))</f>
        <v/>
      </c>
      <c r="CW10">
        <f>CW9+IF(AND(CV10&lt;&gt;"",COUNTIF(CV$4:CV10,CV10)=1),1,0)</f>
        <v/>
      </c>
      <c r="CX10" s="55">
        <f>IF(ROW()-3&gt;MAX(CW$4:CW$40),"",INDEX(CV$4:CV$40,MATCH(ROW()-3,CW$4:CW$40,0)))</f>
        <v/>
      </c>
      <c r="CY10" s="138">
        <f>IF(AND($B$10:$O$10,$Q$10:$AJ$10),IF('Final Calculation Sheet'!$N$10="","",'Final Calculation Sheet'!$N$10),"")</f>
        <v/>
      </c>
      <c r="CZ10">
        <f>IF(CY10="","",COUNTIFS(CY$4:CY$40,"&lt;"&amp;CY10,CY$4:CY$40,"&lt;&gt;"&amp;"")+COUNTIF(CY$4:CY10,CY10))</f>
        <v/>
      </c>
      <c r="DA10" s="138">
        <f>IF(ROW()-3&gt;COUNTIF(CY$4:CY$40,"&lt;&gt;"&amp;""),"",INDEX(CY$4:CY$40,MATCH(ROW()-3,CZ$4:CZ$40,0)))</f>
        <v/>
      </c>
      <c r="DB10">
        <f>DB9+IF(AND(DA10&lt;&gt;"",COUNTIF(DA$4:DA10,DA10)=1),1,0)</f>
        <v/>
      </c>
      <c r="DC10" s="138">
        <f>IF(ROW()-3&gt;MAX(DB$4:DB$40),"",INDEX(DA$4:DA$40,MATCH(ROW()-3,DB$4:DB$40,0)))</f>
        <v/>
      </c>
      <c r="DD10" s="55">
        <f>IF(AND($B$10:$P$10,$R$10:$AJ$10),IF('Final Calculation Sheet'!$O$10="","",'Final Calculation Sheet'!$O$10),"")</f>
        <v/>
      </c>
      <c r="DE10">
        <f>IF(DD10="","",COUNTIFS(DD$4:DD$40,"&lt;"&amp;DD10,DD$4:DD$40,"&lt;&gt;"&amp;"")+COUNTIF(DD$4:DD10,DD10))</f>
        <v/>
      </c>
      <c r="DF10" s="55">
        <f>IF(ROW()-3&gt;COUNTIF(DD$4:DD$40,"&lt;&gt;"&amp;""),"",INDEX(DD$4:DD$40,MATCH(ROW()-3,DE$4:DE$40,0)))</f>
        <v/>
      </c>
      <c r="DG10">
        <f>DG9+IF(AND(DF10&lt;&gt;"",COUNTIF(DF$4:DF10,DF10)=1),1,0)</f>
        <v/>
      </c>
      <c r="DH10" s="55">
        <f>IF(ROW()-3&gt;MAX(DG$4:DG$40),"",INDEX(DF$4:DF$40,MATCH(ROW()-3,DG$4:DG$40,0)))</f>
        <v/>
      </c>
      <c r="DI10" s="55">
        <f>IF(AND($B$10:$Q$10,$S$10:$AJ$10),IF('Final Calculation Sheet'!$P$10="","",'Final Calculation Sheet'!$P$10),"")</f>
        <v/>
      </c>
      <c r="DJ10">
        <f>IF(DI10="","",COUNTIFS(DI$4:DI$40,"&lt;"&amp;DI10,DI$4:DI$40,"&lt;&gt;"&amp;"")+COUNTIF(DI$4:DI10,DI10))</f>
        <v/>
      </c>
      <c r="DK10" s="55">
        <f>IF(ROW()-3&gt;COUNTIF(DI$4:DI$40,"&lt;&gt;"&amp;""),"",INDEX(DI$4:DI$40,MATCH(ROW()-3,DJ$4:DJ$40,0)))</f>
        <v/>
      </c>
      <c r="DL10">
        <f>DL9+IF(AND(DK10&lt;&gt;"",COUNTIF(DK$4:DK10,DK10)=1),1,0)</f>
        <v/>
      </c>
      <c r="DM10" s="55">
        <f>IF(ROW()-3&gt;MAX(DL$4:DL$40),"",INDEX(DK$4:DK$40,MATCH(ROW()-3,DL$4:DL$40,0)))</f>
        <v/>
      </c>
      <c r="DN10" s="139">
        <f>IF(AND($B$10:$R$10,$T$10:$AJ$10),IF('Final Calculation Sheet'!$Q$10="","",'Final Calculation Sheet'!$Q$10),"")</f>
        <v/>
      </c>
      <c r="DO10">
        <f>IF(DN10="","",COUNTIFS(DN$4:DN$40,"&lt;"&amp;DN10,DN$4:DN$40,"&lt;&gt;"&amp;"")+COUNTIF(DN$4:DN10,DN10))</f>
        <v/>
      </c>
      <c r="DP10" s="139">
        <f>IF(ROW()-3&gt;COUNTIF(DN$4:DN$40,"&lt;&gt;"&amp;""),"",INDEX(DN$4:DN$40,MATCH(ROW()-3,DO$4:DO$40,0)))</f>
        <v/>
      </c>
      <c r="DQ10">
        <f>DQ9+IF(AND(DP10&lt;&gt;"",COUNTIF(DP$4:DP10,DP10)=1),1,0)</f>
        <v/>
      </c>
      <c r="DR10" s="139">
        <f>IF(ROW()-3&gt;MAX(DQ$4:DQ$40),"",INDEX(DP$4:DP$40,MATCH(ROW()-3,DQ$4:DQ$40,0)))</f>
        <v/>
      </c>
      <c r="DS10" s="55">
        <f>IF(AND($B$10:$S$10,$U$10:$AJ$10),IF('Final Calculation Sheet'!$R$10="","",'Final Calculation Sheet'!$R$10),"")</f>
        <v/>
      </c>
      <c r="DT10">
        <f>IF(DS10="","",COUNTIFS(DS$4:DS$40,"&lt;"&amp;DS10,DS$4:DS$40,"&lt;&gt;"&amp;"")+COUNTIF(DS$4:DS10,DS10))</f>
        <v/>
      </c>
      <c r="DU10" s="55">
        <f>IF(ROW()-3&gt;COUNTIF(DS$4:DS$40,"&lt;&gt;"&amp;""),"",INDEX(DS$4:DS$40,MATCH(ROW()-3,DT$4:DT$40,0)))</f>
        <v/>
      </c>
      <c r="DV10">
        <f>DV9+IF(AND(DU10&lt;&gt;"",COUNTIF(DU$4:DU10,DU10)=1),1,0)</f>
        <v/>
      </c>
      <c r="DW10" s="55">
        <f>IF(ROW()-3&gt;MAX(DV$4:DV$40),"",INDEX(DU$4:DU$40,MATCH(ROW()-3,DV$4:DV$40,0)))</f>
        <v/>
      </c>
      <c r="DX10" s="55">
        <f>IF(AND($B$10:$T$10,$V$10:$AJ$10),IF('Final Calculation Sheet'!$S$10="","",'Final Calculation Sheet'!$S$10),"")</f>
        <v/>
      </c>
      <c r="DY10">
        <f>IF(DX10="","",COUNTIFS(DX$4:DX$40,"&lt;"&amp;DX10,DX$4:DX$40,"&lt;&gt;"&amp;"")+COUNTIF(DX$4:DX10,DX10))</f>
        <v/>
      </c>
      <c r="DZ10" s="55">
        <f>IF(ROW()-3&gt;COUNTIF(DX$4:DX$40,"&lt;&gt;"&amp;""),"",INDEX(DX$4:DX$40,MATCH(ROW()-3,DY$4:DY$40,0)))</f>
        <v/>
      </c>
      <c r="EA10">
        <f>EA9+IF(AND(DZ10&lt;&gt;"",COUNTIF(DZ$4:DZ10,DZ10)=1),1,0)</f>
        <v/>
      </c>
      <c r="EB10" s="55">
        <f>IF(ROW()-3&gt;MAX(EA$4:EA$40),"",INDEX(DZ$4:DZ$40,MATCH(ROW()-3,EA$4:EA$40,0)))</f>
        <v/>
      </c>
      <c r="EC10" s="55">
        <f>IF(AND($B$10:$U$10,$W$10:$AJ$10),IF('Final Calculation Sheet'!$T$10="","",'Final Calculation Sheet'!$T$10),"")</f>
        <v/>
      </c>
      <c r="ED10">
        <f>IF(EC10="","",COUNTIFS(EC$4:EC$40,"&lt;"&amp;EC10,EC$4:EC$40,"&lt;&gt;"&amp;"")+COUNTIF(EC$4:EC10,EC10))</f>
        <v/>
      </c>
      <c r="EE10" s="55">
        <f>IF(ROW()-3&gt;COUNTIF(EC$4:EC$40,"&lt;&gt;"&amp;""),"",INDEX(EC$4:EC$40,MATCH(ROW()-3,ED$4:ED$40,0)))</f>
        <v/>
      </c>
      <c r="EF10">
        <f>EF9+IF(AND(EE10&lt;&gt;"",COUNTIF(EE$4:EE10,EE10)=1),1,0)</f>
        <v/>
      </c>
      <c r="EG10" s="55">
        <f>IF(ROW()-3&gt;MAX(EF$4:EF$40),"",INDEX(EE$4:EE$40,MATCH(ROW()-3,EF$4:EF$40,0)))</f>
        <v/>
      </c>
      <c r="EH10" s="140">
        <f>IF(AND($B$10:$V$10,$X$10:$AJ$10),IF('Final Calculation Sheet'!$U$10="","",'Final Calculation Sheet'!$U$10),"")</f>
        <v/>
      </c>
      <c r="EI10">
        <f>IF(EH10="","",COUNTIFS(EH$4:EH$40,"&lt;"&amp;EH10,EH$4:EH$40,"&lt;&gt;"&amp;"")+COUNTIF(EH$4:EH10,EH10))</f>
        <v/>
      </c>
      <c r="EJ10" s="140">
        <f>IF(ROW()-3&gt;COUNTIF(EH$4:EH$40,"&lt;&gt;"&amp;""),"",INDEX(EH$4:EH$40,MATCH(ROW()-3,EI$4:EI$40,0)))</f>
        <v/>
      </c>
      <c r="EK10">
        <f>EK9+IF(AND(EJ10&lt;&gt;"",COUNTIF(EJ$4:EJ10,EJ10)=1),1,0)</f>
        <v/>
      </c>
      <c r="EL10" s="140">
        <f>IF(ROW()-3&gt;MAX(EK$4:EK$40),"",INDEX(EJ$4:EJ$40,MATCH(ROW()-3,EK$4:EK$40,0)))</f>
        <v/>
      </c>
      <c r="EM10">
        <f>IF(AND($B$10:$W$10,$Y$10:$AJ$10),IF('Final Calculation Sheet'!$V$10="","",'Final Calculation Sheet'!$V$10),"")</f>
        <v/>
      </c>
      <c r="EN10">
        <f>IF(EM10="","",COUNTIFS(EM$4:EM$40,"&lt;"&amp;EM10,EM$4:EM$40,"&lt;&gt;"&amp;"")+COUNTIF(EM$4:EM10,EM10))</f>
        <v/>
      </c>
      <c r="EO10">
        <f>IF(ROW()-3&gt;COUNTIF(EM$4:EM$40,"&lt;&gt;"&amp;""),"",INDEX(EM$4:EM$40,MATCH(ROW()-3,EN$4:EN$40,0)))</f>
        <v/>
      </c>
      <c r="EP10">
        <f>EP9+IF(AND(EO10&lt;&gt;"",COUNTIF(EO$4:EO10,EO10)=1),1,0)</f>
        <v/>
      </c>
      <c r="EQ10">
        <f>IF(ROW()-3&gt;MAX(EP$4:EP$40),"",INDEX(EO$4:EO$40,MATCH(ROW()-3,EP$4:EP$40,0)))</f>
        <v/>
      </c>
      <c r="ER10" s="55">
        <f>IF(AND($B$10:$X$10,$Z$10:$AJ$10),IF('Final Calculation Sheet'!$W$10="","",'Final Calculation Sheet'!$W$10),"")</f>
        <v/>
      </c>
      <c r="ES10">
        <f>IF(ER10="","",COUNTIFS(ER$4:ER$40,"&lt;"&amp;ER10,ER$4:ER$40,"&lt;&gt;"&amp;"")+COUNTIF(ER$4:ER10,ER10))</f>
        <v/>
      </c>
      <c r="ET10" s="55">
        <f>IF(ROW()-3&gt;COUNTIF(ER$4:ER$40,"&lt;&gt;"&amp;""),"",INDEX(ER$4:ER$40,MATCH(ROW()-3,ES$4:ES$40,0)))</f>
        <v/>
      </c>
      <c r="EU10">
        <f>EU9+IF(AND(ET10&lt;&gt;"",COUNTIF(ET$4:ET10,ET10)=1),1,0)</f>
        <v/>
      </c>
      <c r="EV10" s="55">
        <f>IF(ROW()-3&gt;MAX(EU$4:EU$40),"",INDEX(ET$4:ET$40,MATCH(ROW()-3,EU$4:EU$40,0)))</f>
        <v/>
      </c>
      <c r="EW10" s="55">
        <f>IF(AND($B$10:$Y$10,$AA$10:$AJ$10),IF('Final Calculation Sheet'!$X$10="","",'Final Calculation Sheet'!$X$10),"")</f>
        <v/>
      </c>
      <c r="EX10">
        <f>IF(EW10="","",COUNTIFS(EW$4:EW$40,"&lt;"&amp;EW10,EW$4:EW$40,"&lt;&gt;"&amp;"")+COUNTIF(EW$4:EW10,EW10))</f>
        <v/>
      </c>
      <c r="EY10" s="55">
        <f>IF(ROW()-3&gt;COUNTIF(EW$4:EW$40,"&lt;&gt;"&amp;""),"",INDEX(EW$4:EW$40,MATCH(ROW()-3,EX$4:EX$40,0)))</f>
        <v/>
      </c>
      <c r="EZ10">
        <f>EZ9+IF(AND(EY10&lt;&gt;"",COUNTIF(EY$4:EY10,EY10)=1),1,0)</f>
        <v/>
      </c>
      <c r="FA10">
        <f>IF(ROW()-3&gt;MAX(EZ$4:EZ$40),"",INDEX(EY$4:EY$40,MATCH(ROW()-3,EZ$4:EZ$40,0)))</f>
        <v/>
      </c>
      <c r="FB10">
        <f>IF(AND($B$10:$Z$10,$AB$10:$AJ$10),IF('Final Calculation Sheet'!$Y$10="","",'Final Calculation Sheet'!$Y$10),"")</f>
        <v/>
      </c>
      <c r="FC10">
        <f>IF(FB10="","",COUNTIFS(FB$4:FB$40,"&lt;"&amp;FB10,FB$4:FB$40,"&lt;&gt;"&amp;"")+COUNTIF(FB$4:FB10,FB10))</f>
        <v/>
      </c>
      <c r="FD10">
        <f>IF(ROW()-3&gt;COUNTIF(FB$4:FB$40,"&lt;&gt;"&amp;""),"",INDEX(FB$4:FB$40,MATCH(ROW()-3,FC$4:FC$40,0)))</f>
        <v/>
      </c>
      <c r="FE10">
        <f>FE9+IF(AND(FD10&lt;&gt;"",COUNTIF(FD$4:FD10,FD10)=1),1,0)</f>
        <v/>
      </c>
      <c r="FF10">
        <f>IF(ROW()-3&gt;MAX(FE$4:FE$40),"",INDEX(FD$4:FD$40,MATCH(ROW()-3,FE$4:FE$40,0)))</f>
        <v/>
      </c>
      <c r="FG10" s="55">
        <f>IF(AND($B$10:$AA$10,$AC$10:$AJ$10),IF('Final Calculation Sheet'!$Z$10="","",'Final Calculation Sheet'!$Z$10),"")</f>
        <v/>
      </c>
      <c r="FH10">
        <f>IF(FG10="","",COUNTIFS(FG$4:FG$40,"&lt;"&amp;FG10,FG$4:FG$40,"&lt;&gt;"&amp;"")+COUNTIF(FG$4:FG10,FG10))</f>
        <v/>
      </c>
      <c r="FI10" s="55">
        <f>IF(ROW()-3&gt;COUNTIF(FG$4:FG$40,"&lt;&gt;"&amp;""),"",INDEX(FG$4:FG$40,MATCH(ROW()-3,FH$4:FH$40,0)))</f>
        <v/>
      </c>
      <c r="FJ10">
        <f>FJ9+IF(AND(FI10&lt;&gt;"",COUNTIF(FI$4:FI10,FI10)=1),1,0)</f>
        <v/>
      </c>
      <c r="FK10" s="55">
        <f>IF(ROW()-3&gt;MAX(FJ$4:FJ$40),"",INDEX(FI$4:FI$40,MATCH(ROW()-3,FJ$4:FJ$40,0)))</f>
        <v/>
      </c>
      <c r="FL10">
        <f>IF(AND($B$10:$AB$10,$AD$10:$AJ$10),IF('Final Calculation Sheet'!$AA$10="","",'Final Calculation Sheet'!$AA$10),"")</f>
        <v/>
      </c>
      <c r="FM10">
        <f>IF(FL10="","",COUNTIFS(FL$4:FL$40,"&lt;"&amp;FL10,FL$4:FL$40,"&lt;&gt;"&amp;"")+COUNTIF(FL$4:FL10,FL10))</f>
        <v/>
      </c>
      <c r="FN10">
        <f>IF(ROW()-3&gt;COUNTIF(FL$4:FL$40,"&lt;&gt;"&amp;""),"",INDEX(FL$4:FL$40,MATCH(ROW()-3,FM$4:FM$40,0)))</f>
        <v/>
      </c>
      <c r="FO10">
        <f>FO9+IF(AND(FN10&lt;&gt;"",COUNTIF(FN$4:FN10,FN10)=1),1,0)</f>
        <v/>
      </c>
      <c r="FP10">
        <f>IF(ROW()-3&gt;MAX(FO$4:FO$40),"",INDEX(FN$4:FN$40,MATCH(ROW()-3,FO$4:FO$40,0)))</f>
        <v/>
      </c>
      <c r="FQ10">
        <f>IF(AND($B$10:$AC$10,$AE$10:$AJ$10),IF('Final Calculation Sheet'!$AB$10="","",'Final Calculation Sheet'!$AB$10),"")</f>
        <v/>
      </c>
      <c r="FR10">
        <f>IF(FQ10="","",COUNTIFS(FQ$4:FQ$40,"&lt;"&amp;FQ10,FQ$4:FQ$40,"&lt;&gt;"&amp;"")+COUNTIF(FQ$4:FQ10,FQ10))</f>
        <v/>
      </c>
      <c r="FS10">
        <f>IF(ROW()-3&gt;COUNTIF(FQ$4:FQ$40,"&lt;&gt;"&amp;""),"",INDEX(FQ$4:FQ$40,MATCH(ROW()-3,FR$4:FR$40,0)))</f>
        <v/>
      </c>
      <c r="FT10">
        <f>FT9+IF(AND(FS10&lt;&gt;"",COUNTIF(FS$4:FS10,FS10)=1),1,0)</f>
        <v/>
      </c>
      <c r="FU10">
        <f>IF(ROW()-3&gt;MAX(FT$4:FT$40),"",INDEX(FS$4:FS$40,MATCH(ROW()-3,FT$4:FT$40,0)))</f>
        <v/>
      </c>
      <c r="FV10" s="55">
        <f>IF(AND($B$10:$AD$10,$AF$10:$AJ$10),IF('Final Calculation Sheet'!$AC$10="","",'Final Calculation Sheet'!$AC$10),"")</f>
        <v/>
      </c>
      <c r="FW10">
        <f>IF(FV10="","",COUNTIFS(FV$4:FV$40,"&lt;"&amp;FV10,FV$4:FV$40,"&lt;&gt;"&amp;"")+COUNTIF(FV$4:FV10,FV10))</f>
        <v/>
      </c>
      <c r="FX10" s="55">
        <f>IF(ROW()-3&gt;COUNTIF(FV$4:FV$40,"&lt;&gt;"&amp;""),"",INDEX(FV$4:FV$40,MATCH(ROW()-3,FW$4:FW$40,0)))</f>
        <v/>
      </c>
      <c r="FY10">
        <f>FY9+IF(AND(FX10&lt;&gt;"",COUNTIF(FX$4:FX10,FX10)=1),1,0)</f>
        <v/>
      </c>
      <c r="FZ10" s="55">
        <f>IF(ROW()-3&gt;MAX(FY$4:FY$40),"",INDEX(FX$4:FX$40,MATCH(ROW()-3,FY$4:FY$40,0)))</f>
        <v/>
      </c>
      <c r="GA10" s="55">
        <f>IF(AND($B$10:$AE$10,$AG$10:$AJ$10),IF('Final Calculation Sheet'!$AD$10="","",'Final Calculation Sheet'!$AD$10),"")</f>
        <v/>
      </c>
      <c r="GB10">
        <f>IF(GA10="","",COUNTIFS(GA$4:GA$40,"&lt;"&amp;GA10,GA$4:GA$40,"&lt;&gt;"&amp;"")+COUNTIF(GA$4:GA10,GA10))</f>
        <v/>
      </c>
      <c r="GC10" s="55">
        <f>IF(ROW()-3&gt;COUNTIF(GA$4:GA$40,"&lt;&gt;"&amp;""),"",INDEX(GA$4:GA$40,MATCH(ROW()-3,GB$4:GB$40,0)))</f>
        <v/>
      </c>
      <c r="GD10">
        <f>GD9+IF(AND(GC10&lt;&gt;"",COUNTIF(GC$4:GC10,GC10)=1),1,0)</f>
        <v/>
      </c>
      <c r="GE10" s="55">
        <f>IF(ROW()-3&gt;MAX(GD$4:GD$40),"",INDEX(GC$4:GC$40,MATCH(ROW()-3,GD$4:GD$40,0)))</f>
        <v/>
      </c>
      <c r="GF10">
        <f>IF(AND($B$10:$AF$10,$AH$10:$AJ$10),IF('Final Calculation Sheet'!$AE$10="","",'Final Calculation Sheet'!$AE$10),"")</f>
        <v/>
      </c>
      <c r="GG10">
        <f>IF(GF10="","",COUNTIFS(GF$4:GF$40,"&lt;"&amp;GF10,GF$4:GF$40,"&lt;&gt;"&amp;"")+COUNTIF(GF$4:GF10,GF10))</f>
        <v/>
      </c>
      <c r="GH10">
        <f>IF(ROW()-3&gt;COUNTIF(GF$4:GF$40,"&lt;&gt;"&amp;""),"",INDEX(GF$4:GF$40,MATCH(ROW()-3,GG$4:GG$40,0)))</f>
        <v/>
      </c>
      <c r="GI10">
        <f>GI9+IF(AND(GH10&lt;&gt;"",COUNTIF(GH$4:GH10,GH10)=1),1,0)</f>
        <v/>
      </c>
      <c r="GJ10">
        <f>IF(ROW()-3&gt;MAX(GI$4:GI$40),"",INDEX(GH$4:GH$40,MATCH(ROW()-3,GI$4:GI$40,0)))</f>
        <v/>
      </c>
      <c r="GK10" s="141">
        <f>IF(AND($B$10:$AG$10,$AI$10:$AJ$10),IF('Final Calculation Sheet'!$AF$10="","",'Final Calculation Sheet'!$AF$10),"")</f>
        <v/>
      </c>
      <c r="GL10">
        <f>IF(GK10="","",COUNTIFS(GK$4:GK$40,"&lt;"&amp;GK10,GK$4:GK$40,"&lt;&gt;"&amp;"")+COUNTIF(GK$4:GK10,GK10))</f>
        <v/>
      </c>
      <c r="GM10" s="141">
        <f>IF(ROW()-3&gt;COUNTIF(GK$4:GK$40,"&lt;&gt;"&amp;""),"",INDEX(GK$4:GK$40,MATCH(ROW()-3,GL$4:GL$40,0)))</f>
        <v/>
      </c>
      <c r="GN10">
        <f>GN9+IF(AND(GM10&lt;&gt;"",COUNTIF(GM$4:GM10,GM10)=1),1,0)</f>
        <v/>
      </c>
      <c r="GO10">
        <f>IF(ROW()-3&gt;MAX(GN$4:GN$40),"",INDEX(GM$4:GM$40,MATCH(ROW()-3,GN$4:GN$40,0)))</f>
        <v/>
      </c>
      <c r="GP10">
        <f>IF(AND($B$10:$AH$10,$AJ$10:$AJ$10),IF('Final Calculation Sheet'!$AG$10="","",'Final Calculation Sheet'!$AG$10),"")</f>
        <v/>
      </c>
      <c r="GQ10">
        <f>IF(GP10="","",COUNTIFS(GP$4:GP$40,"&lt;"&amp;GP10,GP$4:GP$40,"&lt;&gt;"&amp;"")+COUNTIF(GP$4:GP10,GP10))</f>
        <v/>
      </c>
      <c r="GR10">
        <f>IF(ROW()-3&gt;COUNTIF(GP$4:GP$40,"&lt;&gt;"&amp;""),"",INDEX(GP$4:GP$40,MATCH(ROW()-3,GQ$4:GQ$40,0)))</f>
        <v/>
      </c>
      <c r="GS10">
        <f>GS9+IF(AND(GR10&lt;&gt;"",COUNTIF(GR$4:GR10,GR10)=1),1,0)</f>
        <v/>
      </c>
      <c r="GT10">
        <f>IF(ROW()-3&gt;MAX(GS$4:GS$40),"",INDEX(GR$4:GR$40,MATCH(ROW()-3,GS$4:GS$40,0)))</f>
        <v/>
      </c>
    </row>
    <row r="11">
      <c r="A11" t="inlineStr">
        <is>
          <t>Final row 11</t>
        </is>
      </c>
      <c r="B11" t="b">
        <v>1</v>
      </c>
      <c r="C11">
        <f>IF($C$3=FALSE,TRUE,IF(OR(UPPER(TRIM($C$2))="(BLANK)",UPPER(TRIM($C$2))="BLANK",AND($C$2&lt;&gt;"",TRIM($C$2)="")),(IF('Final Calculation Sheet'!$F$11="","",'Final Calculation Sheet'!$F$11))="",IF(OR(UPPER(TRIM($C$2))="(NONBLANK)",UPPER(TRIM($C$2))="NONBLANK",TRIM($C$2)="&lt;&gt;"),(IF('Final Calculation Sheet'!$F$11="","",'Final Calculation Sheet'!$F$11))&lt;&gt;"",UPPER(TRIM((IF('Final Calculation Sheet'!$F$11="","",'Final Calculation Sheet'!$F$11))&amp;""))=UPPER(TRIM($C$2&amp;"")))))</f>
        <v/>
      </c>
      <c r="D11">
        <f>IF($D$3=FALSE,TRUE,IF(OR(UPPER(TRIM($D$2))="(BLANK)",UPPER(TRIM($D$2))="BLANK",AND($D$2&lt;&gt;"",TRIM($D$2)="")),(IF('Final Calculation Sheet'!$G$11="","",'Final Calculation Sheet'!$G$11))="",IF(OR(UPPER(TRIM($D$2))="(NONBLANK)",UPPER(TRIM($D$2))="NONBLANK",TRIM($D$2)="&lt;&gt;"),(IF('Final Calculation Sheet'!$G$11="","",'Final Calculation Sheet'!$G$11))&lt;&gt;"",UPPER(TRIM((IF('Final Calculation Sheet'!$G$11="","",'Final Calculation Sheet'!$G$11))&amp;""))=UPPER(TRIM($D$2&amp;"")))))</f>
        <v/>
      </c>
      <c r="E11">
        <f>IF($E$3=FALSE,TRUE,IF(OR(UPPER(TRIM($E$2))="(BLANK)",UPPER(TRIM($E$2))="BLANK",AND($E$2&lt;&gt;"",TRIM($E$2)="")),(IF('Final Calculation Sheet'!$B$11="","",'Final Calculation Sheet'!$B$11))="",IF(OR(UPPER(TRIM($E$2))="(NONBLANK)",UPPER(TRIM($E$2))="NONBLANK",TRIM($E$2)="&lt;&gt;"),(IF('Final Calculation Sheet'!$B$11="","",'Final Calculation Sheet'!$B$11))&lt;&gt;"",UPPER(TRIM((IF('Final Calculation Sheet'!$B$11="","",'Final Calculation Sheet'!$B$11))&amp;""))=UPPER(TRIM($E$2&amp;"")))))</f>
        <v/>
      </c>
      <c r="F11">
        <f>IF($F$3=FALSE,TRUE,IF(OR(UPPER(TRIM($F$2))="(BLANK)",UPPER(TRIM($F$2))="BLANK",AND($F$2&lt;&gt;"",TRIM($F$2)="")),(IF('Final Calculation Sheet'!$D$11="","",'Final Calculation Sheet'!$D$11))="",IF(OR(UPPER(TRIM($F$2))="(NONBLANK)",UPPER(TRIM($F$2))="NONBLANK",TRIM($F$2)="&lt;&gt;"),(IF('Final Calculation Sheet'!$D$11="","",'Final Calculation Sheet'!$D$11))&lt;&gt;"",UPPER(TRIM((IF('Final Calculation Sheet'!$D$11="","",'Final Calculation Sheet'!$D$11))&amp;""))=UPPER(TRIM($F$2&amp;"")))))</f>
        <v/>
      </c>
      <c r="G11">
        <f>IF($G$3=FALSE,TRUE,IF(OR(UPPER(TRIM($G$2))="(BLANK)",UPPER(TRIM($G$2))="BLANK",AND($G$2&lt;&gt;"",TRIM($G$2)="")),(IF('Final Calculation Sheet'!$A$11="","",'Final Calculation Sheet'!$A$11))="",IF(OR(UPPER(TRIM($G$2))="(NONBLANK)",UPPER(TRIM($G$2))="NONBLANK",TRIM($G$2)="&lt;&gt;"),(IF('Final Calculation Sheet'!$A$11="","",'Final Calculation Sheet'!$A$11))&lt;&gt;"",UPPER(TRIM((IF('Final Calculation Sheet'!$A$11="","",'Final Calculation Sheet'!$A$11))&amp;""))=UPPER(TRIM($G$2&amp;"")))))</f>
        <v/>
      </c>
      <c r="H11">
        <f>IF($H$3=FALSE,TRUE,IF(OR(UPPER(TRIM($H$2))="(BLANK)",UPPER(TRIM($H$2))="BLANK",AND($H$2&lt;&gt;"",TRIM($H$2)="")),(IF('Final Calculation Sheet'!$E$11="","",'Final Calculation Sheet'!$E$11))="",IF(OR(UPPER(TRIM($H$2))="(NONBLANK)",UPPER(TRIM($H$2))="NONBLANK",TRIM($H$2)="&lt;&gt;"),(IF('Final Calculation Sheet'!$E$11="","",'Final Calculation Sheet'!$E$11))&lt;&gt;"",UPPER(TRIM((IF('Final Calculation Sheet'!$E$11="","",'Final Calculation Sheet'!$E$11))&amp;""))=UPPER(TRIM($H$2&amp;"")))))</f>
        <v/>
      </c>
      <c r="I11">
        <f>IF($I$3=FALSE,TRUE,IF(OR(UPPER(TRIM($I$2))="(BLANK)",UPPER(TRIM($I$2))="BLANK",AND($I$2&lt;&gt;"",TRIM($I$2)="")),(IF('Final Calculation Sheet'!$C$11="","",'Final Calculation Sheet'!$C$11))="",IF(OR(UPPER(TRIM($I$2))="(NONBLANK)",UPPER(TRIM($I$2))="NONBLANK",TRIM($I$2)="&lt;&gt;"),(IF('Final Calculation Sheet'!$C$11="","",'Final Calculation Sheet'!$C$11))&lt;&gt;"",UPPER(TRIM((IF('Final Calculation Sheet'!$C$11="","",'Final Calculation Sheet'!$C$11))&amp;""))=UPPER(TRIM($I$2&amp;"")))))</f>
        <v/>
      </c>
      <c r="J11">
        <f>IF($J$3=FALSE,TRUE,IF(OR(UPPER(TRIM($J$2))="(BLANK)",UPPER(TRIM($J$2))="BLANK",AND($J$2&lt;&gt;"",TRIM($J$2)="")),(IF('Final Calculation Sheet'!$H$11="","",'Final Calculation Sheet'!$H$11))="",IF(OR(UPPER(TRIM($J$2))="(NONBLANK)",UPPER(TRIM($J$2))="NONBLANK",TRIM($J$2)="&lt;&gt;"),(IF('Final Calculation Sheet'!$H$11="","",'Final Calculation Sheet'!$H$11))&lt;&gt;"",UPPER(TRIM((IF('Final Calculation Sheet'!$H$11="","",'Final Calculation Sheet'!$H$11))&amp;""))=UPPER(TRIM($J$2&amp;"")))))</f>
        <v/>
      </c>
      <c r="K11">
        <f>IF($K$3=FALSE,TRUE,IF(OR(UPPER(TRIM($K$2))="(BLANK)",UPPER(TRIM($K$2))="BLANK",AND($K$2&lt;&gt;"",TRIM($K$2)="")),(IF('Final Calculation Sheet'!$I$11="","",'Final Calculation Sheet'!$I$11))="",IF(OR(UPPER(TRIM($K$2))="(NONBLANK)",UPPER(TRIM($K$2))="NONBLANK",TRIM($K$2)="&lt;&gt;"),(IF('Final Calculation Sheet'!$I$11="","",'Final Calculation Sheet'!$I$11))&lt;&gt;"",UPPER(TRIM((IF('Final Calculation Sheet'!$I$11="","",'Final Calculation Sheet'!$I$11))&amp;""))=UPPER(TRIM($K$2&amp;"")))))</f>
        <v/>
      </c>
      <c r="L11">
        <f>IF($L$3=FALSE,TRUE,IF(OR(UPPER(TRIM($L$2))="(BLANK)",UPPER(TRIM($L$2))="BLANK",AND($L$2&lt;&gt;"",TRIM($L$2)="")),(IF('Final Calculation Sheet'!$J$11="","",'Final Calculation Sheet'!$J$11))="",IF(OR(UPPER(TRIM($L$2))="(NONBLANK)",UPPER(TRIM($L$2))="NONBLANK",TRIM($L$2)="&lt;&gt;"),(IF('Final Calculation Sheet'!$J$11="","",'Final Calculation Sheet'!$J$11))&lt;&gt;"",UPPER(TRIM((IF('Final Calculation Sheet'!$J$11="","",'Final Calculation Sheet'!$J$11))&amp;""))=UPPER(TRIM($L$2&amp;"")))))</f>
        <v/>
      </c>
      <c r="M11">
        <f>IF($M$3=FALSE,TRUE,IF(OR(UPPER(TRIM($M$2))="(BLANK)",UPPER(TRIM($M$2))="BLANK",AND($M$2&lt;&gt;"",TRIM($M$2)="")),(IF('Final Calculation Sheet'!$K$11="","",'Final Calculation Sheet'!$K$11))="",IF(OR(UPPER(TRIM($M$2))="(NONBLANK)",UPPER(TRIM($M$2))="NONBLANK",TRIM($M$2)="&lt;&gt;"),(IF('Final Calculation Sheet'!$K$11="","",'Final Calculation Sheet'!$K$11))&lt;&gt;"",UPPER(TRIM((IF('Final Calculation Sheet'!$K$11="","",'Final Calculation Sheet'!$K$11))&amp;""))=UPPER(TRIM($M$2&amp;"")))))</f>
        <v/>
      </c>
      <c r="N11">
        <f>IF($N$3=FALSE,TRUE,IF(OR(UPPER(TRIM($N$2))="(BLANK)",UPPER(TRIM($N$2))="BLANK",AND($N$2&lt;&gt;"",TRIM($N$2)="")),(IF('Final Calculation Sheet'!$L$11="","",'Final Calculation Sheet'!$L$11))="",IF(OR(UPPER(TRIM($N$2))="(NONBLANK)",UPPER(TRIM($N$2))="NONBLANK",TRIM($N$2)="&lt;&gt;"),(IF('Final Calculation Sheet'!$L$11="","",'Final Calculation Sheet'!$L$11))&lt;&gt;"",UPPER(TRIM((IF('Final Calculation Sheet'!$L$11="","",'Final Calculation Sheet'!$L$11))&amp;""))=UPPER(TRIM($N$2&amp;"")))))</f>
        <v/>
      </c>
      <c r="O11">
        <f>IF($O$3=FALSE,TRUE,IF(OR(UPPER(TRIM($O$2))="(BLANK)",UPPER(TRIM($O$2))="BLANK",AND($O$2&lt;&gt;"",TRIM($O$2)="")),(IF('Final Calculation Sheet'!$M$11="","",'Final Calculation Sheet'!$M$11))="",IF(OR(UPPER(TRIM($O$2))="(NONBLANK)",UPPER(TRIM($O$2))="NONBLANK",TRIM($O$2)="&lt;&gt;"),(IF('Final Calculation Sheet'!$M$11="","",'Final Calculation Sheet'!$M$11))&lt;&gt;"",UPPER(TRIM((IF('Final Calculation Sheet'!$M$11="","",'Final Calculation Sheet'!$M$11))&amp;""))=UPPER(TRIM($O$2&amp;"")))))</f>
        <v/>
      </c>
      <c r="P11">
        <f>IF($P$3=FALSE,TRUE,IF(OR(UPPER(TRIM($P$2))="(BLANK)",UPPER(TRIM($P$2))="BLANK",AND($P$2&lt;&gt;"",TRIM($P$2)="")),(IF('Final Calculation Sheet'!$N$11="","",'Final Calculation Sheet'!$N$11))="",IF(OR(UPPER(TRIM($P$2))="(NONBLANK)",UPPER(TRIM($P$2))="NONBLANK",TRIM($P$2)="&lt;&gt;"),(IF('Final Calculation Sheet'!$N$11="","",'Final Calculation Sheet'!$N$11))&lt;&gt;"",UPPER(TRIM((IF('Final Calculation Sheet'!$N$11="","",'Final Calculation Sheet'!$N$11))&amp;""))=UPPER(TRIM($P$2&amp;"")))))</f>
        <v/>
      </c>
      <c r="Q11">
        <f>IF($Q$3=FALSE,TRUE,IF(OR(UPPER(TRIM($Q$2))="(BLANK)",UPPER(TRIM($Q$2))="BLANK",AND($Q$2&lt;&gt;"",TRIM($Q$2)="")),(IF('Final Calculation Sheet'!$O$11="","",'Final Calculation Sheet'!$O$11))="",IF(OR(UPPER(TRIM($Q$2))="(NONBLANK)",UPPER(TRIM($Q$2))="NONBLANK",TRIM($Q$2)="&lt;&gt;"),(IF('Final Calculation Sheet'!$O$11="","",'Final Calculation Sheet'!$O$11))&lt;&gt;"",UPPER(TRIM((IF('Final Calculation Sheet'!$O$11="","",'Final Calculation Sheet'!$O$11))&amp;""))=UPPER(TRIM($Q$2&amp;"")))))</f>
        <v/>
      </c>
      <c r="R11">
        <f>IF($R$3=FALSE,TRUE,IF(OR(UPPER(TRIM($R$2))="(BLANK)",UPPER(TRIM($R$2))="BLANK",AND($R$2&lt;&gt;"",TRIM($R$2)="")),(IF('Final Calculation Sheet'!$P$11="","",'Final Calculation Sheet'!$P$11))="",IF(OR(UPPER(TRIM($R$2))="(NONBLANK)",UPPER(TRIM($R$2))="NONBLANK",TRIM($R$2)="&lt;&gt;"),(IF('Final Calculation Sheet'!$P$11="","",'Final Calculation Sheet'!$P$11))&lt;&gt;"",UPPER(TRIM((IF('Final Calculation Sheet'!$P$11="","",'Final Calculation Sheet'!$P$11))&amp;""))=UPPER(TRIM($R$2&amp;"")))))</f>
        <v/>
      </c>
      <c r="S11">
        <f>IF($S$3=FALSE,TRUE,IF(OR(UPPER(TRIM($S$2))="(BLANK)",UPPER(TRIM($S$2))="BLANK",AND($S$2&lt;&gt;"",TRIM($S$2)="")),(IF('Final Calculation Sheet'!$Q$11="","",'Final Calculation Sheet'!$Q$11))="",IF(OR(UPPER(TRIM($S$2))="(NONBLANK)",UPPER(TRIM($S$2))="NONBLANK",TRIM($S$2)="&lt;&gt;"),(IF('Final Calculation Sheet'!$Q$11="","",'Final Calculation Sheet'!$Q$11))&lt;&gt;"",UPPER(TRIM((IF('Final Calculation Sheet'!$Q$11="","",'Final Calculation Sheet'!$Q$11))&amp;""))=UPPER(TRIM($S$2&amp;"")))))</f>
        <v/>
      </c>
      <c r="T11">
        <f>IF($T$3=FALSE,TRUE,IF(OR(UPPER(TRIM($T$2))="(BLANK)",UPPER(TRIM($T$2))="BLANK",AND($T$2&lt;&gt;"",TRIM($T$2)="")),(IF('Final Calculation Sheet'!$R$11="","",'Final Calculation Sheet'!$R$11))="",IF(OR(UPPER(TRIM($T$2))="(NONBLANK)",UPPER(TRIM($T$2))="NONBLANK",TRIM($T$2)="&lt;&gt;"),(IF('Final Calculation Sheet'!$R$11="","",'Final Calculation Sheet'!$R$11))&lt;&gt;"",UPPER(TRIM((IF('Final Calculation Sheet'!$R$11="","",'Final Calculation Sheet'!$R$11))&amp;""))=UPPER(TRIM($T$2&amp;"")))))</f>
        <v/>
      </c>
      <c r="U11">
        <f>IF($U$3=FALSE,TRUE,IF(OR(UPPER(TRIM($U$2))="(BLANK)",UPPER(TRIM($U$2))="BLANK",AND($U$2&lt;&gt;"",TRIM($U$2)="")),(IF('Final Calculation Sheet'!$S$11="","",'Final Calculation Sheet'!$S$11))="",IF(OR(UPPER(TRIM($U$2))="(NONBLANK)",UPPER(TRIM($U$2))="NONBLANK",TRIM($U$2)="&lt;&gt;"),(IF('Final Calculation Sheet'!$S$11="","",'Final Calculation Sheet'!$S$11))&lt;&gt;"",UPPER(TRIM((IF('Final Calculation Sheet'!$S$11="","",'Final Calculation Sheet'!$S$11))&amp;""))=UPPER(TRIM($U$2&amp;"")))))</f>
        <v/>
      </c>
      <c r="V11">
        <f>IF($V$3=FALSE,TRUE,IF(OR(UPPER(TRIM($V$2))="(BLANK)",UPPER(TRIM($V$2))="BLANK",AND($V$2&lt;&gt;"",TRIM($V$2)="")),(IF('Final Calculation Sheet'!$T$11="","",'Final Calculation Sheet'!$T$11))="",IF(OR(UPPER(TRIM($V$2))="(NONBLANK)",UPPER(TRIM($V$2))="NONBLANK",TRIM($V$2)="&lt;&gt;"),(IF('Final Calculation Sheet'!$T$11="","",'Final Calculation Sheet'!$T$11))&lt;&gt;"",UPPER(TRIM((IF('Final Calculation Sheet'!$T$11="","",'Final Calculation Sheet'!$T$11))&amp;""))=UPPER(TRIM($V$2&amp;"")))))</f>
        <v/>
      </c>
      <c r="W11">
        <f>IF($W$3=FALSE,TRUE,IF(OR(UPPER(TRIM($W$2))="(BLANK)",UPPER(TRIM($W$2))="BLANK",AND($W$2&lt;&gt;"",TRIM($W$2)="")),(IF('Final Calculation Sheet'!$U$11="","",'Final Calculation Sheet'!$U$11))="",IF(OR(UPPER(TRIM($W$2))="(NONBLANK)",UPPER(TRIM($W$2))="NONBLANK",TRIM($W$2)="&lt;&gt;"),(IF('Final Calculation Sheet'!$U$11="","",'Final Calculation Sheet'!$U$11))&lt;&gt;"",UPPER(TRIM((IF('Final Calculation Sheet'!$U$11="","",'Final Calculation Sheet'!$U$11))&amp;""))=UPPER(TRIM($W$2&amp;"")))))</f>
        <v/>
      </c>
      <c r="X11">
        <f>IF($X$3=FALSE,TRUE,IF(OR(UPPER(TRIM($X$2))="(BLANK)",UPPER(TRIM($X$2))="BLANK",AND($X$2&lt;&gt;"",TRIM($X$2)="")),(IF('Final Calculation Sheet'!$V$11="","",'Final Calculation Sheet'!$V$11))="",IF(OR(UPPER(TRIM($X$2))="(NONBLANK)",UPPER(TRIM($X$2))="NONBLANK",TRIM($X$2)="&lt;&gt;"),(IF('Final Calculation Sheet'!$V$11="","",'Final Calculation Sheet'!$V$11))&lt;&gt;"",UPPER(TRIM((IF('Final Calculation Sheet'!$V$11="","",'Final Calculation Sheet'!$V$11))&amp;""))=UPPER(TRIM($X$2&amp;"")))))</f>
        <v/>
      </c>
      <c r="Y11">
        <f>IF($Y$3=FALSE,TRUE,IF(OR(UPPER(TRIM($Y$2))="(BLANK)",UPPER(TRIM($Y$2))="BLANK",AND($Y$2&lt;&gt;"",TRIM($Y$2)="")),(IF('Final Calculation Sheet'!$W$11="","",'Final Calculation Sheet'!$W$11))="",IF(OR(UPPER(TRIM($Y$2))="(NONBLANK)",UPPER(TRIM($Y$2))="NONBLANK",TRIM($Y$2)="&lt;&gt;"),(IF('Final Calculation Sheet'!$W$11="","",'Final Calculation Sheet'!$W$11))&lt;&gt;"",UPPER(TRIM((IF('Final Calculation Sheet'!$W$11="","",'Final Calculation Sheet'!$W$11))&amp;""))=UPPER(TRIM($Y$2&amp;"")))))</f>
        <v/>
      </c>
      <c r="Z11">
        <f>IF($Z$3=FALSE,TRUE,IF(OR(UPPER(TRIM($Z$2))="(BLANK)",UPPER(TRIM($Z$2))="BLANK",AND($Z$2&lt;&gt;"",TRIM($Z$2)="")),(IF('Final Calculation Sheet'!$X$11="","",'Final Calculation Sheet'!$X$11))="",IF(OR(UPPER(TRIM($Z$2))="(NONBLANK)",UPPER(TRIM($Z$2))="NONBLANK",TRIM($Z$2)="&lt;&gt;"),(IF('Final Calculation Sheet'!$X$11="","",'Final Calculation Sheet'!$X$11))&lt;&gt;"",UPPER(TRIM((IF('Final Calculation Sheet'!$X$11="","",'Final Calculation Sheet'!$X$11))&amp;""))=UPPER(TRIM($Z$2&amp;"")))))</f>
        <v/>
      </c>
      <c r="AA11">
        <f>IF($AA$3=FALSE,TRUE,IF(OR(UPPER(TRIM($AA$2))="(BLANK)",UPPER(TRIM($AA$2))="BLANK",AND($AA$2&lt;&gt;"",TRIM($AA$2)="")),(IF('Final Calculation Sheet'!$Y$11="","",'Final Calculation Sheet'!$Y$11))="",IF(OR(UPPER(TRIM($AA$2))="(NONBLANK)",UPPER(TRIM($AA$2))="NONBLANK",TRIM($AA$2)="&lt;&gt;"),(IF('Final Calculation Sheet'!$Y$11="","",'Final Calculation Sheet'!$Y$11))&lt;&gt;"",UPPER(TRIM((IF('Final Calculation Sheet'!$Y$11="","",'Final Calculation Sheet'!$Y$11))&amp;""))=UPPER(TRIM($AA$2&amp;"")))))</f>
        <v/>
      </c>
      <c r="AB11">
        <f>IF($AB$3=FALSE,TRUE,IF(OR(UPPER(TRIM($AB$2))="(BLANK)",UPPER(TRIM($AB$2))="BLANK",AND($AB$2&lt;&gt;"",TRIM($AB$2)="")),(IF('Final Calculation Sheet'!$Z$11="","",'Final Calculation Sheet'!$Z$11))="",IF(OR(UPPER(TRIM($AB$2))="(NONBLANK)",UPPER(TRIM($AB$2))="NONBLANK",TRIM($AB$2)="&lt;&gt;"),(IF('Final Calculation Sheet'!$Z$11="","",'Final Calculation Sheet'!$Z$11))&lt;&gt;"",UPPER(TRIM((IF('Final Calculation Sheet'!$Z$11="","",'Final Calculation Sheet'!$Z$11))&amp;""))=UPPER(TRIM($AB$2&amp;"")))))</f>
        <v/>
      </c>
      <c r="AC11">
        <f>IF($AC$3=FALSE,TRUE,IF(OR(UPPER(TRIM($AC$2))="(BLANK)",UPPER(TRIM($AC$2))="BLANK",AND($AC$2&lt;&gt;"",TRIM($AC$2)="")),(IF('Final Calculation Sheet'!$AA$11="","",'Final Calculation Sheet'!$AA$11))="",IF(OR(UPPER(TRIM($AC$2))="(NONBLANK)",UPPER(TRIM($AC$2))="NONBLANK",TRIM($AC$2)="&lt;&gt;"),(IF('Final Calculation Sheet'!$AA$11="","",'Final Calculation Sheet'!$AA$11))&lt;&gt;"",UPPER(TRIM((IF('Final Calculation Sheet'!$AA$11="","",'Final Calculation Sheet'!$AA$11))&amp;""))=UPPER(TRIM($AC$2&amp;"")))))</f>
        <v/>
      </c>
      <c r="AD11">
        <f>IF($AD$3=FALSE,TRUE,IF(OR(UPPER(TRIM($AD$2))="(BLANK)",UPPER(TRIM($AD$2))="BLANK",AND($AD$2&lt;&gt;"",TRIM($AD$2)="")),(IF('Final Calculation Sheet'!$AB$11="","",'Final Calculation Sheet'!$AB$11))="",IF(OR(UPPER(TRIM($AD$2))="(NONBLANK)",UPPER(TRIM($AD$2))="NONBLANK",TRIM($AD$2)="&lt;&gt;"),(IF('Final Calculation Sheet'!$AB$11="","",'Final Calculation Sheet'!$AB$11))&lt;&gt;"",UPPER(TRIM((IF('Final Calculation Sheet'!$AB$11="","",'Final Calculation Sheet'!$AB$11))&amp;""))=UPPER(TRIM($AD$2&amp;"")))))</f>
        <v/>
      </c>
      <c r="AE11">
        <f>IF($AE$3=FALSE,TRUE,IF(OR(UPPER(TRIM($AE$2))="(BLANK)",UPPER(TRIM($AE$2))="BLANK",AND($AE$2&lt;&gt;"",TRIM($AE$2)="")),(IF('Final Calculation Sheet'!$AC$11="","",'Final Calculation Sheet'!$AC$11))="",IF(OR(UPPER(TRIM($AE$2))="(NONBLANK)",UPPER(TRIM($AE$2))="NONBLANK",TRIM($AE$2)="&lt;&gt;"),(IF('Final Calculation Sheet'!$AC$11="","",'Final Calculation Sheet'!$AC$11))&lt;&gt;"",UPPER(TRIM((IF('Final Calculation Sheet'!$AC$11="","",'Final Calculation Sheet'!$AC$11))&amp;""))=UPPER(TRIM($AE$2&amp;"")))))</f>
        <v/>
      </c>
      <c r="AF11">
        <f>IF($AF$3=FALSE,TRUE,IF(OR(UPPER(TRIM($AF$2))="(BLANK)",UPPER(TRIM($AF$2))="BLANK",AND($AF$2&lt;&gt;"",TRIM($AF$2)="")),(IF('Final Calculation Sheet'!$AD$11="","",'Final Calculation Sheet'!$AD$11))="",IF(OR(UPPER(TRIM($AF$2))="(NONBLANK)",UPPER(TRIM($AF$2))="NONBLANK",TRIM($AF$2)="&lt;&gt;"),(IF('Final Calculation Sheet'!$AD$11="","",'Final Calculation Sheet'!$AD$11))&lt;&gt;"",UPPER(TRIM((IF('Final Calculation Sheet'!$AD$11="","",'Final Calculation Sheet'!$AD$11))&amp;""))=UPPER(TRIM($AF$2&amp;"")))))</f>
        <v/>
      </c>
      <c r="AG11">
        <f>IF($AG$3=FALSE,TRUE,IF(OR(UPPER(TRIM($AG$2))="(BLANK)",UPPER(TRIM($AG$2))="BLANK",AND($AG$2&lt;&gt;"",TRIM($AG$2)="")),(IF('Final Calculation Sheet'!$AE$11="","",'Final Calculation Sheet'!$AE$11))="",IF(OR(UPPER(TRIM($AG$2))="(NONBLANK)",UPPER(TRIM($AG$2))="NONBLANK",TRIM($AG$2)="&lt;&gt;"),(IF('Final Calculation Sheet'!$AE$11="","",'Final Calculation Sheet'!$AE$11))&lt;&gt;"",UPPER(TRIM((IF('Final Calculation Sheet'!$AE$11="","",'Final Calculation Sheet'!$AE$11))&amp;""))=UPPER(TRIM($AG$2&amp;"")))))</f>
        <v/>
      </c>
      <c r="AH11">
        <f>IF($AH$3=FALSE,TRUE,IF(OR(UPPER(TRIM($AH$2))="(BLANK)",UPPER(TRIM($AH$2))="BLANK",AND($AH$2&lt;&gt;"",TRIM($AH$2)="")),(IF('Final Calculation Sheet'!$AF$11="","",'Final Calculation Sheet'!$AF$11))="",IF(OR(UPPER(TRIM($AH$2))="(NONBLANK)",UPPER(TRIM($AH$2))="NONBLANK",TRIM($AH$2)="&lt;&gt;"),(IF('Final Calculation Sheet'!$AF$11="","",'Final Calculation Sheet'!$AF$11))&lt;&gt;"",UPPER(TRIM((IF('Final Calculation Sheet'!$AF$11="","",'Final Calculation Sheet'!$AF$11))&amp;""))=UPPER(TRIM($AH$2&amp;"")))))</f>
        <v/>
      </c>
      <c r="AI11">
        <f>IF($AI$3=FALSE,TRUE,IF(OR(UPPER(TRIM($AI$2))="(BLANK)",UPPER(TRIM($AI$2))="BLANK",AND($AI$2&lt;&gt;"",TRIM($AI$2)="")),(IF('Final Calculation Sheet'!$AG$11="","",'Final Calculation Sheet'!$AG$11))="",IF(OR(UPPER(TRIM($AI$2))="(NONBLANK)",UPPER(TRIM($AI$2))="NONBLANK",TRIM($AI$2)="&lt;&gt;"),(IF('Final Calculation Sheet'!$AG$11="","",'Final Calculation Sheet'!$AG$11))&lt;&gt;"",UPPER(TRIM((IF('Final Calculation Sheet'!$AG$11="","",'Final Calculation Sheet'!$AG$11))&amp;""))=UPPER(TRIM($AI$2&amp;"")))))</f>
        <v/>
      </c>
      <c r="AJ11">
        <f>IF($AJ$3=FALSE,TRUE,IF(OR(UPPER(TRIM($AJ$2))="(BLANK)",UPPER(TRIM($AJ$2))="BLANK",AND($AJ$2&lt;&gt;"",TRIM($AJ$2)="")),(IF('Final Calculation Sheet'!$AD$11="","",IF('Final Calculation Sheet'!$AD$11&lt;=5,"SETTLED","OUTSTANDING")))="",IF(OR(UPPER(TRIM($AJ$2))="(NONBLANK)",UPPER(TRIM($AJ$2))="NONBLANK",TRIM($AJ$2)="&lt;&gt;"),(IF('Final Calculation Sheet'!$AD$11="","",IF('Final Calculation Sheet'!$AD$11&lt;=5,"SETTLED","OUTSTANDING")))&lt;&gt;"",UPPER(TRIM((IF('Final Calculation Sheet'!$AD$11="","",IF('Final Calculation Sheet'!$AD$11&lt;=5,"SETTLED","OUTSTANDING")))&amp;""))=UPPER(TRIM($AJ$2&amp;"")))))</f>
        <v/>
      </c>
      <c r="AL11">
        <f>IF(AND($B$11,$D$11:$AJ$11),IF('Final Calculation Sheet'!$F$11="","",'Final Calculation Sheet'!$F$11),"")</f>
        <v/>
      </c>
      <c r="AM11">
        <f>IF(AL11="","",COUNTIFS(AL$4:AL$40,"&lt;"&amp;AL11,AL$4:AL$40,"&lt;&gt;"&amp;"")+COUNTIF(AL$4:AL11,AL11))</f>
        <v/>
      </c>
      <c r="AN11">
        <f>IF(ROW()-3&gt;COUNTIF(AL$4:AL$40,"&lt;&gt;"&amp;""),"",INDEX(AL$4:AL$40,MATCH(ROW()-3,AM$4:AM$40,0)))</f>
        <v/>
      </c>
      <c r="AO11">
        <f>AO10+IF(AND(AN11&lt;&gt;"",COUNTIF(AN$4:AN11,AN11)=1),1,0)</f>
        <v/>
      </c>
      <c r="AP11">
        <f>IF(ROW()-3&gt;MAX(AO$4:AO$40),"",INDEX(AN$4:AN$40,MATCH(ROW()-3,AO$4:AO$40,0)))</f>
        <v/>
      </c>
      <c r="AQ11">
        <f>IF(AND($B$11:$C$11,$E$11:$AJ$11),IF('Final Calculation Sheet'!$G$11="","",'Final Calculation Sheet'!$G$11),"")</f>
        <v/>
      </c>
      <c r="AR11">
        <f>IF(AQ11="","",COUNTIFS(AQ$4:AQ$40,"&lt;"&amp;AQ11,AQ$4:AQ$40,"&lt;&gt;"&amp;"")+COUNTIF(AQ$4:AQ11,AQ11))</f>
        <v/>
      </c>
      <c r="AS11">
        <f>IF(ROW()-3&gt;COUNTIF(AQ$4:AQ$40,"&lt;&gt;"&amp;""),"",INDEX(AQ$4:AQ$40,MATCH(ROW()-3,AR$4:AR$40,0)))</f>
        <v/>
      </c>
      <c r="AT11">
        <f>AT10+IF(AND(AS11&lt;&gt;"",COUNTIF(AS$4:AS11,AS11)=1),1,0)</f>
        <v/>
      </c>
      <c r="AU11">
        <f>IF(ROW()-3&gt;MAX(AT$4:AT$40),"",INDEX(AS$4:AS$40,MATCH(ROW()-3,AT$4:AT$40,0)))</f>
        <v/>
      </c>
      <c r="AV11">
        <f>IF(AND($B$11:$D$11,$F$11:$AJ$11),IF('Final Calculation Sheet'!$B$11="","",'Final Calculation Sheet'!$B$11),"")</f>
        <v/>
      </c>
      <c r="AW11">
        <f>IF(AV11="","",COUNTIFS(AV$4:AV$40,"&lt;"&amp;AV11,AV$4:AV$40,"&lt;&gt;"&amp;"")+COUNTIF(AV$4:AV11,AV11))</f>
        <v/>
      </c>
      <c r="AX11">
        <f>IF(ROW()-3&gt;COUNTIF(AV$4:AV$40,"&lt;&gt;"&amp;""),"",INDEX(AV$4:AV$40,MATCH(ROW()-3,AW$4:AW$40,0)))</f>
        <v/>
      </c>
      <c r="AY11">
        <f>AY10+IF(AND(AX11&lt;&gt;"",COUNTIF(AX$4:AX11,AX11)=1),1,0)</f>
        <v/>
      </c>
      <c r="AZ11">
        <f>IF(ROW()-3&gt;MAX(AY$4:AY$40),"",INDEX(AX$4:AX$40,MATCH(ROW()-3,AY$4:AY$40,0)))</f>
        <v/>
      </c>
      <c r="BA11">
        <f>IF(AND($B$11:$E$11,$G$11:$AJ$11),IF('Final Calculation Sheet'!$D$11="","",'Final Calculation Sheet'!$D$11),"")</f>
        <v/>
      </c>
      <c r="BB11">
        <f>IF(BA11="","",COUNTIFS(BA$4:BA$40,"&lt;"&amp;BA11,BA$4:BA$40,"&lt;&gt;"&amp;"")+COUNTIF(BA$4:BA11,BA11))</f>
        <v/>
      </c>
      <c r="BC11">
        <f>IF(ROW()-3&gt;COUNTIF(BA$4:BA$40,"&lt;&gt;"&amp;""),"",INDEX(BA$4:BA$40,MATCH(ROW()-3,BB$4:BB$40,0)))</f>
        <v/>
      </c>
      <c r="BD11">
        <f>BD10+IF(AND(BC11&lt;&gt;"",COUNTIF(BC$4:BC11,BC11)=1),1,0)</f>
        <v/>
      </c>
      <c r="BE11">
        <f>IF(ROW()-3&gt;MAX(BD$4:BD$40),"",INDEX(BC$4:BC$40,MATCH(ROW()-3,BD$4:BD$40,0)))</f>
        <v/>
      </c>
      <c r="BF11">
        <f>IF(AND($B$11:$F$11,$H$11:$AJ$11),IF('Final Calculation Sheet'!$A$11="","",'Final Calculation Sheet'!$A$11),"")</f>
        <v/>
      </c>
      <c r="BG11">
        <f>IF(BF11="","",COUNTIFS(BF$4:BF$40,"&lt;"&amp;BF11,BF$4:BF$40,"&lt;&gt;"&amp;"")+COUNTIF(BF$4:BF11,BF11))</f>
        <v/>
      </c>
      <c r="BH11">
        <f>IF(ROW()-3&gt;COUNTIF(BF$4:BF$40,"&lt;&gt;"&amp;""),"",INDEX(BF$4:BF$40,MATCH(ROW()-3,BG$4:BG$40,0)))</f>
        <v/>
      </c>
      <c r="BI11">
        <f>BI10+IF(AND(BH11&lt;&gt;"",COUNTIF(BH$4:BH11,BH11)=1),1,0)</f>
        <v/>
      </c>
      <c r="BJ11">
        <f>IF(ROW()-3&gt;MAX(BI$4:BI$40),"",INDEX(BH$4:BH$40,MATCH(ROW()-3,BI$4:BI$40,0)))</f>
        <v/>
      </c>
      <c r="BK11">
        <f>IF(AND($B$11:$G$11,$I$11:$AJ$11),IF('Final Calculation Sheet'!$E$11="","",'Final Calculation Sheet'!$E$11),"")</f>
        <v/>
      </c>
      <c r="BL11">
        <f>IF(BK11="","",COUNTIFS(BK$4:BK$40,"&lt;"&amp;BK11,BK$4:BK$40,"&lt;&gt;"&amp;"")+COUNTIF(BK$4:BK11,BK11))</f>
        <v/>
      </c>
      <c r="BM11">
        <f>IF(ROW()-3&gt;COUNTIF(BK$4:BK$40,"&lt;&gt;"&amp;""),"",INDEX(BK$4:BK$40,MATCH(ROW()-3,BL$4:BL$40,0)))</f>
        <v/>
      </c>
      <c r="BN11">
        <f>BN10+IF(AND(BM11&lt;&gt;"",COUNTIF(BM$4:BM11,BM11)=1),1,0)</f>
        <v/>
      </c>
      <c r="BO11">
        <f>IF(ROW()-3&gt;MAX(BN$4:BN$40),"",INDEX(BM$4:BM$40,MATCH(ROW()-3,BN$4:BN$40,0)))</f>
        <v/>
      </c>
      <c r="BP11" s="55">
        <f>IF(AND($B$11:$H$11,$J$11:$AJ$11),IF('Final Calculation Sheet'!$C$11="","",'Final Calculation Sheet'!$C$11),"")</f>
        <v/>
      </c>
      <c r="BQ11">
        <f>IF(BP11="","",COUNTIFS(BP$4:BP$40,"&lt;"&amp;BP11,BP$4:BP$40,"&lt;&gt;"&amp;"")+COUNTIF(BP$4:BP11,BP11))</f>
        <v/>
      </c>
      <c r="BR11" s="55">
        <f>IF(ROW()-3&gt;COUNTIF(BP$4:BP$40,"&lt;&gt;"&amp;""),"",INDEX(BP$4:BP$40,MATCH(ROW()-3,BQ$4:BQ$40,0)))</f>
        <v/>
      </c>
      <c r="BS11">
        <f>BS10+IF(AND(BR11&lt;&gt;"",COUNTIF(BR$4:BR11,BR11)=1),1,0)</f>
        <v/>
      </c>
      <c r="BT11" s="55">
        <f>IF(ROW()-3&gt;MAX(BS$4:BS$40),"",INDEX(BR$4:BR$40,MATCH(ROW()-3,BS$4:BS$40,0)))</f>
        <v/>
      </c>
      <c r="BU11" s="55">
        <f>IF(AND($B$11:$I$11,$K$11:$AJ$11),IF('Final Calculation Sheet'!$H$11="","",'Final Calculation Sheet'!$H$11),"")</f>
        <v/>
      </c>
      <c r="BV11">
        <f>IF(BU11="","",COUNTIFS(BU$4:BU$40,"&lt;"&amp;BU11,BU$4:BU$40,"&lt;&gt;"&amp;"")+COUNTIF(BU$4:BU11,BU11))</f>
        <v/>
      </c>
      <c r="BW11" s="55">
        <f>IF(ROW()-3&gt;COUNTIF(BU$4:BU$40,"&lt;&gt;"&amp;""),"",INDEX(BU$4:BU$40,MATCH(ROW()-3,BV$4:BV$40,0)))</f>
        <v/>
      </c>
      <c r="BX11">
        <f>BX10+IF(AND(BW11&lt;&gt;"",COUNTIF(BW$4:BW11,BW11)=1),1,0)</f>
        <v/>
      </c>
      <c r="BY11" s="55">
        <f>IF(ROW()-3&gt;MAX(BX$4:BX$40),"",INDEX(BW$4:BW$40,MATCH(ROW()-3,BX$4:BX$40,0)))</f>
        <v/>
      </c>
      <c r="BZ11" s="55">
        <f>IF(AND($B$11:$J$11,$L$11:$AJ$11),IF('Final Calculation Sheet'!$I$11="","",'Final Calculation Sheet'!$I$11),"")</f>
        <v/>
      </c>
      <c r="CA11">
        <f>IF(BZ11="","",COUNTIFS(BZ$4:BZ$40,"&lt;"&amp;BZ11,BZ$4:BZ$40,"&lt;&gt;"&amp;"")+COUNTIF(BZ$4:BZ11,BZ11))</f>
        <v/>
      </c>
      <c r="CB11" s="55">
        <f>IF(ROW()-3&gt;COUNTIF(BZ$4:BZ$40,"&lt;&gt;"&amp;""),"",INDEX(BZ$4:BZ$40,MATCH(ROW()-3,CA$4:CA$40,0)))</f>
        <v/>
      </c>
      <c r="CC11">
        <f>CC10+IF(AND(CB11&lt;&gt;"",COUNTIF(CB$4:CB11,CB11)=1),1,0)</f>
        <v/>
      </c>
      <c r="CD11" s="55">
        <f>IF(ROW()-3&gt;MAX(CC$4:CC$40),"",INDEX(CB$4:CB$40,MATCH(ROW()-3,CC$4:CC$40,0)))</f>
        <v/>
      </c>
      <c r="CE11" s="55">
        <f>IF(AND($B$11:$K$11,$M$11:$AJ$11),IF('Final Calculation Sheet'!$J$11="","",'Final Calculation Sheet'!$J$11),"")</f>
        <v/>
      </c>
      <c r="CF11">
        <f>IF(CE11="","",COUNTIFS(CE$4:CE$40,"&lt;"&amp;CE11,CE$4:CE$40,"&lt;&gt;"&amp;"")+COUNTIF(CE$4:CE11,CE11))</f>
        <v/>
      </c>
      <c r="CG11" s="55">
        <f>IF(ROW()-3&gt;COUNTIF(CE$4:CE$40,"&lt;&gt;"&amp;""),"",INDEX(CE$4:CE$40,MATCH(ROW()-3,CF$4:CF$40,0)))</f>
        <v/>
      </c>
      <c r="CH11">
        <f>CH10+IF(AND(CG11&lt;&gt;"",COUNTIF(CG$4:CG11,CG11)=1),1,0)</f>
        <v/>
      </c>
      <c r="CI11" s="55">
        <f>IF(ROW()-3&gt;MAX(CH$4:CH$40),"",INDEX(CG$4:CG$40,MATCH(ROW()-3,CH$4:CH$40,0)))</f>
        <v/>
      </c>
      <c r="CJ11" s="55">
        <f>IF(AND($B$11:$L$11,$N$11:$AJ$11),IF('Final Calculation Sheet'!$K$11="","",'Final Calculation Sheet'!$K$11),"")</f>
        <v/>
      </c>
      <c r="CK11">
        <f>IF(CJ11="","",COUNTIFS(CJ$4:CJ$40,"&lt;"&amp;CJ11,CJ$4:CJ$40,"&lt;&gt;"&amp;"")+COUNTIF(CJ$4:CJ11,CJ11))</f>
        <v/>
      </c>
      <c r="CL11" s="55">
        <f>IF(ROW()-3&gt;COUNTIF(CJ$4:CJ$40,"&lt;&gt;"&amp;""),"",INDEX(CJ$4:CJ$40,MATCH(ROW()-3,CK$4:CK$40,0)))</f>
        <v/>
      </c>
      <c r="CM11">
        <f>CM10+IF(AND(CL11&lt;&gt;"",COUNTIF(CL$4:CL11,CL11)=1),1,0)</f>
        <v/>
      </c>
      <c r="CN11" s="55">
        <f>IF(ROW()-3&gt;MAX(CM$4:CM$40),"",INDEX(CL$4:CL$40,MATCH(ROW()-3,CM$4:CM$40,0)))</f>
        <v/>
      </c>
      <c r="CO11" s="55">
        <f>IF(AND($B$11:$M$11,$O$11:$AJ$11),IF('Final Calculation Sheet'!$L$11="","",'Final Calculation Sheet'!$L$11),"")</f>
        <v/>
      </c>
      <c r="CP11">
        <f>IF(CO11="","",COUNTIFS(CO$4:CO$40,"&lt;"&amp;CO11,CO$4:CO$40,"&lt;&gt;"&amp;"")+COUNTIF(CO$4:CO11,CO11))</f>
        <v/>
      </c>
      <c r="CQ11" s="55">
        <f>IF(ROW()-3&gt;COUNTIF(CO$4:CO$40,"&lt;&gt;"&amp;""),"",INDEX(CO$4:CO$40,MATCH(ROW()-3,CP$4:CP$40,0)))</f>
        <v/>
      </c>
      <c r="CR11">
        <f>CR10+IF(AND(CQ11&lt;&gt;"",COUNTIF(CQ$4:CQ11,CQ11)=1),1,0)</f>
        <v/>
      </c>
      <c r="CS11" s="55">
        <f>IF(ROW()-3&gt;MAX(CR$4:CR$40),"",INDEX(CQ$4:CQ$40,MATCH(ROW()-3,CR$4:CR$40,0)))</f>
        <v/>
      </c>
      <c r="CT11" s="55">
        <f>IF(AND($B$11:$N$11,$P$11:$AJ$11),IF('Final Calculation Sheet'!$M$11="","",'Final Calculation Sheet'!$M$11),"")</f>
        <v/>
      </c>
      <c r="CU11">
        <f>IF(CT11="","",COUNTIFS(CT$4:CT$40,"&lt;"&amp;CT11,CT$4:CT$40,"&lt;&gt;"&amp;"")+COUNTIF(CT$4:CT11,CT11))</f>
        <v/>
      </c>
      <c r="CV11" s="55">
        <f>IF(ROW()-3&gt;COUNTIF(CT$4:CT$40,"&lt;&gt;"&amp;""),"",INDEX(CT$4:CT$40,MATCH(ROW()-3,CU$4:CU$40,0)))</f>
        <v/>
      </c>
      <c r="CW11">
        <f>CW10+IF(AND(CV11&lt;&gt;"",COUNTIF(CV$4:CV11,CV11)=1),1,0)</f>
        <v/>
      </c>
      <c r="CX11" s="55">
        <f>IF(ROW()-3&gt;MAX(CW$4:CW$40),"",INDEX(CV$4:CV$40,MATCH(ROW()-3,CW$4:CW$40,0)))</f>
        <v/>
      </c>
      <c r="CY11" s="138">
        <f>IF(AND($B$11:$O$11,$Q$11:$AJ$11),IF('Final Calculation Sheet'!$N$11="","",'Final Calculation Sheet'!$N$11),"")</f>
        <v/>
      </c>
      <c r="CZ11">
        <f>IF(CY11="","",COUNTIFS(CY$4:CY$40,"&lt;"&amp;CY11,CY$4:CY$40,"&lt;&gt;"&amp;"")+COUNTIF(CY$4:CY11,CY11))</f>
        <v/>
      </c>
      <c r="DA11" s="138">
        <f>IF(ROW()-3&gt;COUNTIF(CY$4:CY$40,"&lt;&gt;"&amp;""),"",INDEX(CY$4:CY$40,MATCH(ROW()-3,CZ$4:CZ$40,0)))</f>
        <v/>
      </c>
      <c r="DB11">
        <f>DB10+IF(AND(DA11&lt;&gt;"",COUNTIF(DA$4:DA11,DA11)=1),1,0)</f>
        <v/>
      </c>
      <c r="DC11" s="138">
        <f>IF(ROW()-3&gt;MAX(DB$4:DB$40),"",INDEX(DA$4:DA$40,MATCH(ROW()-3,DB$4:DB$40,0)))</f>
        <v/>
      </c>
      <c r="DD11" s="55">
        <f>IF(AND($B$11:$P$11,$R$11:$AJ$11),IF('Final Calculation Sheet'!$O$11="","",'Final Calculation Sheet'!$O$11),"")</f>
        <v/>
      </c>
      <c r="DE11">
        <f>IF(DD11="","",COUNTIFS(DD$4:DD$40,"&lt;"&amp;DD11,DD$4:DD$40,"&lt;&gt;"&amp;"")+COUNTIF(DD$4:DD11,DD11))</f>
        <v/>
      </c>
      <c r="DF11" s="55">
        <f>IF(ROW()-3&gt;COUNTIF(DD$4:DD$40,"&lt;&gt;"&amp;""),"",INDEX(DD$4:DD$40,MATCH(ROW()-3,DE$4:DE$40,0)))</f>
        <v/>
      </c>
      <c r="DG11">
        <f>DG10+IF(AND(DF11&lt;&gt;"",COUNTIF(DF$4:DF11,DF11)=1),1,0)</f>
        <v/>
      </c>
      <c r="DH11" s="55">
        <f>IF(ROW()-3&gt;MAX(DG$4:DG$40),"",INDEX(DF$4:DF$40,MATCH(ROW()-3,DG$4:DG$40,0)))</f>
        <v/>
      </c>
      <c r="DI11" s="55">
        <f>IF(AND($B$11:$Q$11,$S$11:$AJ$11),IF('Final Calculation Sheet'!$P$11="","",'Final Calculation Sheet'!$P$11),"")</f>
        <v/>
      </c>
      <c r="DJ11">
        <f>IF(DI11="","",COUNTIFS(DI$4:DI$40,"&lt;"&amp;DI11,DI$4:DI$40,"&lt;&gt;"&amp;"")+COUNTIF(DI$4:DI11,DI11))</f>
        <v/>
      </c>
      <c r="DK11" s="55">
        <f>IF(ROW()-3&gt;COUNTIF(DI$4:DI$40,"&lt;&gt;"&amp;""),"",INDEX(DI$4:DI$40,MATCH(ROW()-3,DJ$4:DJ$40,0)))</f>
        <v/>
      </c>
      <c r="DL11">
        <f>DL10+IF(AND(DK11&lt;&gt;"",COUNTIF(DK$4:DK11,DK11)=1),1,0)</f>
        <v/>
      </c>
      <c r="DM11" s="55">
        <f>IF(ROW()-3&gt;MAX(DL$4:DL$40),"",INDEX(DK$4:DK$40,MATCH(ROW()-3,DL$4:DL$40,0)))</f>
        <v/>
      </c>
      <c r="DN11" s="139">
        <f>IF(AND($B$11:$R$11,$T$11:$AJ$11),IF('Final Calculation Sheet'!$Q$11="","",'Final Calculation Sheet'!$Q$11),"")</f>
        <v/>
      </c>
      <c r="DO11">
        <f>IF(DN11="","",COUNTIFS(DN$4:DN$40,"&lt;"&amp;DN11,DN$4:DN$40,"&lt;&gt;"&amp;"")+COUNTIF(DN$4:DN11,DN11))</f>
        <v/>
      </c>
      <c r="DP11" s="139">
        <f>IF(ROW()-3&gt;COUNTIF(DN$4:DN$40,"&lt;&gt;"&amp;""),"",INDEX(DN$4:DN$40,MATCH(ROW()-3,DO$4:DO$40,0)))</f>
        <v/>
      </c>
      <c r="DQ11">
        <f>DQ10+IF(AND(DP11&lt;&gt;"",COUNTIF(DP$4:DP11,DP11)=1),1,0)</f>
        <v/>
      </c>
      <c r="DR11" s="139">
        <f>IF(ROW()-3&gt;MAX(DQ$4:DQ$40),"",INDEX(DP$4:DP$40,MATCH(ROW()-3,DQ$4:DQ$40,0)))</f>
        <v/>
      </c>
      <c r="DS11" s="55">
        <f>IF(AND($B$11:$S$11,$U$11:$AJ$11),IF('Final Calculation Sheet'!$R$11="","",'Final Calculation Sheet'!$R$11),"")</f>
        <v/>
      </c>
      <c r="DT11">
        <f>IF(DS11="","",COUNTIFS(DS$4:DS$40,"&lt;"&amp;DS11,DS$4:DS$40,"&lt;&gt;"&amp;"")+COUNTIF(DS$4:DS11,DS11))</f>
        <v/>
      </c>
      <c r="DU11" s="55">
        <f>IF(ROW()-3&gt;COUNTIF(DS$4:DS$40,"&lt;&gt;"&amp;""),"",INDEX(DS$4:DS$40,MATCH(ROW()-3,DT$4:DT$40,0)))</f>
        <v/>
      </c>
      <c r="DV11">
        <f>DV10+IF(AND(DU11&lt;&gt;"",COUNTIF(DU$4:DU11,DU11)=1),1,0)</f>
        <v/>
      </c>
      <c r="DW11" s="55">
        <f>IF(ROW()-3&gt;MAX(DV$4:DV$40),"",INDEX(DU$4:DU$40,MATCH(ROW()-3,DV$4:DV$40,0)))</f>
        <v/>
      </c>
      <c r="DX11" s="55">
        <f>IF(AND($B$11:$T$11,$V$11:$AJ$11),IF('Final Calculation Sheet'!$S$11="","",'Final Calculation Sheet'!$S$11),"")</f>
        <v/>
      </c>
      <c r="DY11">
        <f>IF(DX11="","",COUNTIFS(DX$4:DX$40,"&lt;"&amp;DX11,DX$4:DX$40,"&lt;&gt;"&amp;"")+COUNTIF(DX$4:DX11,DX11))</f>
        <v/>
      </c>
      <c r="DZ11" s="55">
        <f>IF(ROW()-3&gt;COUNTIF(DX$4:DX$40,"&lt;&gt;"&amp;""),"",INDEX(DX$4:DX$40,MATCH(ROW()-3,DY$4:DY$40,0)))</f>
        <v/>
      </c>
      <c r="EA11">
        <f>EA10+IF(AND(DZ11&lt;&gt;"",COUNTIF(DZ$4:DZ11,DZ11)=1),1,0)</f>
        <v/>
      </c>
      <c r="EB11" s="55">
        <f>IF(ROW()-3&gt;MAX(EA$4:EA$40),"",INDEX(DZ$4:DZ$40,MATCH(ROW()-3,EA$4:EA$40,0)))</f>
        <v/>
      </c>
      <c r="EC11" s="55">
        <f>IF(AND($B$11:$U$11,$W$11:$AJ$11),IF('Final Calculation Sheet'!$T$11="","",'Final Calculation Sheet'!$T$11),"")</f>
        <v/>
      </c>
      <c r="ED11">
        <f>IF(EC11="","",COUNTIFS(EC$4:EC$40,"&lt;"&amp;EC11,EC$4:EC$40,"&lt;&gt;"&amp;"")+COUNTIF(EC$4:EC11,EC11))</f>
        <v/>
      </c>
      <c r="EE11" s="55">
        <f>IF(ROW()-3&gt;COUNTIF(EC$4:EC$40,"&lt;&gt;"&amp;""),"",INDEX(EC$4:EC$40,MATCH(ROW()-3,ED$4:ED$40,0)))</f>
        <v/>
      </c>
      <c r="EF11">
        <f>EF10+IF(AND(EE11&lt;&gt;"",COUNTIF(EE$4:EE11,EE11)=1),1,0)</f>
        <v/>
      </c>
      <c r="EG11" s="55">
        <f>IF(ROW()-3&gt;MAX(EF$4:EF$40),"",INDEX(EE$4:EE$40,MATCH(ROW()-3,EF$4:EF$40,0)))</f>
        <v/>
      </c>
      <c r="EH11" s="140">
        <f>IF(AND($B$11:$V$11,$X$11:$AJ$11),IF('Final Calculation Sheet'!$U$11="","",'Final Calculation Sheet'!$U$11),"")</f>
        <v/>
      </c>
      <c r="EI11">
        <f>IF(EH11="","",COUNTIFS(EH$4:EH$40,"&lt;"&amp;EH11,EH$4:EH$40,"&lt;&gt;"&amp;"")+COUNTIF(EH$4:EH11,EH11))</f>
        <v/>
      </c>
      <c r="EJ11" s="140">
        <f>IF(ROW()-3&gt;COUNTIF(EH$4:EH$40,"&lt;&gt;"&amp;""),"",INDEX(EH$4:EH$40,MATCH(ROW()-3,EI$4:EI$40,0)))</f>
        <v/>
      </c>
      <c r="EK11">
        <f>EK10+IF(AND(EJ11&lt;&gt;"",COUNTIF(EJ$4:EJ11,EJ11)=1),1,0)</f>
        <v/>
      </c>
      <c r="EL11" s="140">
        <f>IF(ROW()-3&gt;MAX(EK$4:EK$40),"",INDEX(EJ$4:EJ$40,MATCH(ROW()-3,EK$4:EK$40,0)))</f>
        <v/>
      </c>
      <c r="EM11">
        <f>IF(AND($B$11:$W$11,$Y$11:$AJ$11),IF('Final Calculation Sheet'!$V$11="","",'Final Calculation Sheet'!$V$11),"")</f>
        <v/>
      </c>
      <c r="EN11">
        <f>IF(EM11="","",COUNTIFS(EM$4:EM$40,"&lt;"&amp;EM11,EM$4:EM$40,"&lt;&gt;"&amp;"")+COUNTIF(EM$4:EM11,EM11))</f>
        <v/>
      </c>
      <c r="EO11">
        <f>IF(ROW()-3&gt;COUNTIF(EM$4:EM$40,"&lt;&gt;"&amp;""),"",INDEX(EM$4:EM$40,MATCH(ROW()-3,EN$4:EN$40,0)))</f>
        <v/>
      </c>
      <c r="EP11">
        <f>EP10+IF(AND(EO11&lt;&gt;"",COUNTIF(EO$4:EO11,EO11)=1),1,0)</f>
        <v/>
      </c>
      <c r="EQ11">
        <f>IF(ROW()-3&gt;MAX(EP$4:EP$40),"",INDEX(EO$4:EO$40,MATCH(ROW()-3,EP$4:EP$40,0)))</f>
        <v/>
      </c>
      <c r="ER11" s="55">
        <f>IF(AND($B$11:$X$11,$Z$11:$AJ$11),IF('Final Calculation Sheet'!$W$11="","",'Final Calculation Sheet'!$W$11),"")</f>
        <v/>
      </c>
      <c r="ES11">
        <f>IF(ER11="","",COUNTIFS(ER$4:ER$40,"&lt;"&amp;ER11,ER$4:ER$40,"&lt;&gt;"&amp;"")+COUNTIF(ER$4:ER11,ER11))</f>
        <v/>
      </c>
      <c r="ET11" s="55">
        <f>IF(ROW()-3&gt;COUNTIF(ER$4:ER$40,"&lt;&gt;"&amp;""),"",INDEX(ER$4:ER$40,MATCH(ROW()-3,ES$4:ES$40,0)))</f>
        <v/>
      </c>
      <c r="EU11">
        <f>EU10+IF(AND(ET11&lt;&gt;"",COUNTIF(ET$4:ET11,ET11)=1),1,0)</f>
        <v/>
      </c>
      <c r="EV11" s="55">
        <f>IF(ROW()-3&gt;MAX(EU$4:EU$40),"",INDEX(ET$4:ET$40,MATCH(ROW()-3,EU$4:EU$40,0)))</f>
        <v/>
      </c>
      <c r="EW11" s="55">
        <f>IF(AND($B$11:$Y$11,$AA$11:$AJ$11),IF('Final Calculation Sheet'!$X$11="","",'Final Calculation Sheet'!$X$11),"")</f>
        <v/>
      </c>
      <c r="EX11">
        <f>IF(EW11="","",COUNTIFS(EW$4:EW$40,"&lt;"&amp;EW11,EW$4:EW$40,"&lt;&gt;"&amp;"")+COUNTIF(EW$4:EW11,EW11))</f>
        <v/>
      </c>
      <c r="EY11" s="55">
        <f>IF(ROW()-3&gt;COUNTIF(EW$4:EW$40,"&lt;&gt;"&amp;""),"",INDEX(EW$4:EW$40,MATCH(ROW()-3,EX$4:EX$40,0)))</f>
        <v/>
      </c>
      <c r="EZ11">
        <f>EZ10+IF(AND(EY11&lt;&gt;"",COUNTIF(EY$4:EY11,EY11)=1),1,0)</f>
        <v/>
      </c>
      <c r="FA11">
        <f>IF(ROW()-3&gt;MAX(EZ$4:EZ$40),"",INDEX(EY$4:EY$40,MATCH(ROW()-3,EZ$4:EZ$40,0)))</f>
        <v/>
      </c>
      <c r="FB11">
        <f>IF(AND($B$11:$Z$11,$AB$11:$AJ$11),IF('Final Calculation Sheet'!$Y$11="","",'Final Calculation Sheet'!$Y$11),"")</f>
        <v/>
      </c>
      <c r="FC11">
        <f>IF(FB11="","",COUNTIFS(FB$4:FB$40,"&lt;"&amp;FB11,FB$4:FB$40,"&lt;&gt;"&amp;"")+COUNTIF(FB$4:FB11,FB11))</f>
        <v/>
      </c>
      <c r="FD11">
        <f>IF(ROW()-3&gt;COUNTIF(FB$4:FB$40,"&lt;&gt;"&amp;""),"",INDEX(FB$4:FB$40,MATCH(ROW()-3,FC$4:FC$40,0)))</f>
        <v/>
      </c>
      <c r="FE11">
        <f>FE10+IF(AND(FD11&lt;&gt;"",COUNTIF(FD$4:FD11,FD11)=1),1,0)</f>
        <v/>
      </c>
      <c r="FF11">
        <f>IF(ROW()-3&gt;MAX(FE$4:FE$40),"",INDEX(FD$4:FD$40,MATCH(ROW()-3,FE$4:FE$40,0)))</f>
        <v/>
      </c>
      <c r="FG11" s="55">
        <f>IF(AND($B$11:$AA$11,$AC$11:$AJ$11),IF('Final Calculation Sheet'!$Z$11="","",'Final Calculation Sheet'!$Z$11),"")</f>
        <v/>
      </c>
      <c r="FH11">
        <f>IF(FG11="","",COUNTIFS(FG$4:FG$40,"&lt;"&amp;FG11,FG$4:FG$40,"&lt;&gt;"&amp;"")+COUNTIF(FG$4:FG11,FG11))</f>
        <v/>
      </c>
      <c r="FI11" s="55">
        <f>IF(ROW()-3&gt;COUNTIF(FG$4:FG$40,"&lt;&gt;"&amp;""),"",INDEX(FG$4:FG$40,MATCH(ROW()-3,FH$4:FH$40,0)))</f>
        <v/>
      </c>
      <c r="FJ11">
        <f>FJ10+IF(AND(FI11&lt;&gt;"",COUNTIF(FI$4:FI11,FI11)=1),1,0)</f>
        <v/>
      </c>
      <c r="FK11" s="55">
        <f>IF(ROW()-3&gt;MAX(FJ$4:FJ$40),"",INDEX(FI$4:FI$40,MATCH(ROW()-3,FJ$4:FJ$40,0)))</f>
        <v/>
      </c>
      <c r="FL11">
        <f>IF(AND($B$11:$AB$11,$AD$11:$AJ$11),IF('Final Calculation Sheet'!$AA$11="","",'Final Calculation Sheet'!$AA$11),"")</f>
        <v/>
      </c>
      <c r="FM11">
        <f>IF(FL11="","",COUNTIFS(FL$4:FL$40,"&lt;"&amp;FL11,FL$4:FL$40,"&lt;&gt;"&amp;"")+COUNTIF(FL$4:FL11,FL11))</f>
        <v/>
      </c>
      <c r="FN11">
        <f>IF(ROW()-3&gt;COUNTIF(FL$4:FL$40,"&lt;&gt;"&amp;""),"",INDEX(FL$4:FL$40,MATCH(ROW()-3,FM$4:FM$40,0)))</f>
        <v/>
      </c>
      <c r="FO11">
        <f>FO10+IF(AND(FN11&lt;&gt;"",COUNTIF(FN$4:FN11,FN11)=1),1,0)</f>
        <v/>
      </c>
      <c r="FP11">
        <f>IF(ROW()-3&gt;MAX(FO$4:FO$40),"",INDEX(FN$4:FN$40,MATCH(ROW()-3,FO$4:FO$40,0)))</f>
        <v/>
      </c>
      <c r="FQ11">
        <f>IF(AND($B$11:$AC$11,$AE$11:$AJ$11),IF('Final Calculation Sheet'!$AB$11="","",'Final Calculation Sheet'!$AB$11),"")</f>
        <v/>
      </c>
      <c r="FR11">
        <f>IF(FQ11="","",COUNTIFS(FQ$4:FQ$40,"&lt;"&amp;FQ11,FQ$4:FQ$40,"&lt;&gt;"&amp;"")+COUNTIF(FQ$4:FQ11,FQ11))</f>
        <v/>
      </c>
      <c r="FS11">
        <f>IF(ROW()-3&gt;COUNTIF(FQ$4:FQ$40,"&lt;&gt;"&amp;""),"",INDEX(FQ$4:FQ$40,MATCH(ROW()-3,FR$4:FR$40,0)))</f>
        <v/>
      </c>
      <c r="FT11">
        <f>FT10+IF(AND(FS11&lt;&gt;"",COUNTIF(FS$4:FS11,FS11)=1),1,0)</f>
        <v/>
      </c>
      <c r="FU11">
        <f>IF(ROW()-3&gt;MAX(FT$4:FT$40),"",INDEX(FS$4:FS$40,MATCH(ROW()-3,FT$4:FT$40,0)))</f>
        <v/>
      </c>
      <c r="FV11" s="55">
        <f>IF(AND($B$11:$AD$11,$AF$11:$AJ$11),IF('Final Calculation Sheet'!$AC$11="","",'Final Calculation Sheet'!$AC$11),"")</f>
        <v/>
      </c>
      <c r="FW11">
        <f>IF(FV11="","",COUNTIFS(FV$4:FV$40,"&lt;"&amp;FV11,FV$4:FV$40,"&lt;&gt;"&amp;"")+COUNTIF(FV$4:FV11,FV11))</f>
        <v/>
      </c>
      <c r="FX11" s="55">
        <f>IF(ROW()-3&gt;COUNTIF(FV$4:FV$40,"&lt;&gt;"&amp;""),"",INDEX(FV$4:FV$40,MATCH(ROW()-3,FW$4:FW$40,0)))</f>
        <v/>
      </c>
      <c r="FY11">
        <f>FY10+IF(AND(FX11&lt;&gt;"",COUNTIF(FX$4:FX11,FX11)=1),1,0)</f>
        <v/>
      </c>
      <c r="FZ11" s="55">
        <f>IF(ROW()-3&gt;MAX(FY$4:FY$40),"",INDEX(FX$4:FX$40,MATCH(ROW()-3,FY$4:FY$40,0)))</f>
        <v/>
      </c>
      <c r="GA11" s="55">
        <f>IF(AND($B$11:$AE$11,$AG$11:$AJ$11),IF('Final Calculation Sheet'!$AD$11="","",'Final Calculation Sheet'!$AD$11),"")</f>
        <v/>
      </c>
      <c r="GB11">
        <f>IF(GA11="","",COUNTIFS(GA$4:GA$40,"&lt;"&amp;GA11,GA$4:GA$40,"&lt;&gt;"&amp;"")+COUNTIF(GA$4:GA11,GA11))</f>
        <v/>
      </c>
      <c r="GC11" s="55">
        <f>IF(ROW()-3&gt;COUNTIF(GA$4:GA$40,"&lt;&gt;"&amp;""),"",INDEX(GA$4:GA$40,MATCH(ROW()-3,GB$4:GB$40,0)))</f>
        <v/>
      </c>
      <c r="GD11">
        <f>GD10+IF(AND(GC11&lt;&gt;"",COUNTIF(GC$4:GC11,GC11)=1),1,0)</f>
        <v/>
      </c>
      <c r="GE11" s="55">
        <f>IF(ROW()-3&gt;MAX(GD$4:GD$40),"",INDEX(GC$4:GC$40,MATCH(ROW()-3,GD$4:GD$40,0)))</f>
        <v/>
      </c>
      <c r="GF11">
        <f>IF(AND($B$11:$AF$11,$AH$11:$AJ$11),IF('Final Calculation Sheet'!$AE$11="","",'Final Calculation Sheet'!$AE$11),"")</f>
        <v/>
      </c>
      <c r="GG11">
        <f>IF(GF11="","",COUNTIFS(GF$4:GF$40,"&lt;"&amp;GF11,GF$4:GF$40,"&lt;&gt;"&amp;"")+COUNTIF(GF$4:GF11,GF11))</f>
        <v/>
      </c>
      <c r="GH11">
        <f>IF(ROW()-3&gt;COUNTIF(GF$4:GF$40,"&lt;&gt;"&amp;""),"",INDEX(GF$4:GF$40,MATCH(ROW()-3,GG$4:GG$40,0)))</f>
        <v/>
      </c>
      <c r="GI11">
        <f>GI10+IF(AND(GH11&lt;&gt;"",COUNTIF(GH$4:GH11,GH11)=1),1,0)</f>
        <v/>
      </c>
      <c r="GJ11">
        <f>IF(ROW()-3&gt;MAX(GI$4:GI$40),"",INDEX(GH$4:GH$40,MATCH(ROW()-3,GI$4:GI$40,0)))</f>
        <v/>
      </c>
      <c r="GK11" s="141">
        <f>IF(AND($B$11:$AG$11,$AI$11:$AJ$11),IF('Final Calculation Sheet'!$AF$11="","",'Final Calculation Sheet'!$AF$11),"")</f>
        <v/>
      </c>
      <c r="GL11">
        <f>IF(GK11="","",COUNTIFS(GK$4:GK$40,"&lt;"&amp;GK11,GK$4:GK$40,"&lt;&gt;"&amp;"")+COUNTIF(GK$4:GK11,GK11))</f>
        <v/>
      </c>
      <c r="GM11" s="141">
        <f>IF(ROW()-3&gt;COUNTIF(GK$4:GK$40,"&lt;&gt;"&amp;""),"",INDEX(GK$4:GK$40,MATCH(ROW()-3,GL$4:GL$40,0)))</f>
        <v/>
      </c>
      <c r="GN11">
        <f>GN10+IF(AND(GM11&lt;&gt;"",COUNTIF(GM$4:GM11,GM11)=1),1,0)</f>
        <v/>
      </c>
      <c r="GO11">
        <f>IF(ROW()-3&gt;MAX(GN$4:GN$40),"",INDEX(GM$4:GM$40,MATCH(ROW()-3,GN$4:GN$40,0)))</f>
        <v/>
      </c>
      <c r="GP11">
        <f>IF(AND($B$11:$AH$11,$AJ$11:$AJ$11),IF('Final Calculation Sheet'!$AG$11="","",'Final Calculation Sheet'!$AG$11),"")</f>
        <v/>
      </c>
      <c r="GQ11">
        <f>IF(GP11="","",COUNTIFS(GP$4:GP$40,"&lt;"&amp;GP11,GP$4:GP$40,"&lt;&gt;"&amp;"")+COUNTIF(GP$4:GP11,GP11))</f>
        <v/>
      </c>
      <c r="GR11">
        <f>IF(ROW()-3&gt;COUNTIF(GP$4:GP$40,"&lt;&gt;"&amp;""),"",INDEX(GP$4:GP$40,MATCH(ROW()-3,GQ$4:GQ$40,0)))</f>
        <v/>
      </c>
      <c r="GS11">
        <f>GS10+IF(AND(GR11&lt;&gt;"",COUNTIF(GR$4:GR11,GR11)=1),1,0)</f>
        <v/>
      </c>
      <c r="GT11">
        <f>IF(ROW()-3&gt;MAX(GS$4:GS$40),"",INDEX(GR$4:GR$40,MATCH(ROW()-3,GS$4:GS$40,0)))</f>
        <v/>
      </c>
    </row>
    <row r="12">
      <c r="A12" t="inlineStr">
        <is>
          <t>Final row 12</t>
        </is>
      </c>
      <c r="B12" t="b">
        <v>1</v>
      </c>
      <c r="C12">
        <f>IF($C$3=FALSE,TRUE,IF(OR(UPPER(TRIM($C$2))="(BLANK)",UPPER(TRIM($C$2))="BLANK",AND($C$2&lt;&gt;"",TRIM($C$2)="")),(IF('Final Calculation Sheet'!$F$12="","",'Final Calculation Sheet'!$F$12))="",IF(OR(UPPER(TRIM($C$2))="(NONBLANK)",UPPER(TRIM($C$2))="NONBLANK",TRIM($C$2)="&lt;&gt;"),(IF('Final Calculation Sheet'!$F$12="","",'Final Calculation Sheet'!$F$12))&lt;&gt;"",UPPER(TRIM((IF('Final Calculation Sheet'!$F$12="","",'Final Calculation Sheet'!$F$12))&amp;""))=UPPER(TRIM($C$2&amp;"")))))</f>
        <v/>
      </c>
      <c r="D12">
        <f>IF($D$3=FALSE,TRUE,IF(OR(UPPER(TRIM($D$2))="(BLANK)",UPPER(TRIM($D$2))="BLANK",AND($D$2&lt;&gt;"",TRIM($D$2)="")),(IF('Final Calculation Sheet'!$G$12="","",'Final Calculation Sheet'!$G$12))="",IF(OR(UPPER(TRIM($D$2))="(NONBLANK)",UPPER(TRIM($D$2))="NONBLANK",TRIM($D$2)="&lt;&gt;"),(IF('Final Calculation Sheet'!$G$12="","",'Final Calculation Sheet'!$G$12))&lt;&gt;"",UPPER(TRIM((IF('Final Calculation Sheet'!$G$12="","",'Final Calculation Sheet'!$G$12))&amp;""))=UPPER(TRIM($D$2&amp;"")))))</f>
        <v/>
      </c>
      <c r="E12">
        <f>IF($E$3=FALSE,TRUE,IF(OR(UPPER(TRIM($E$2))="(BLANK)",UPPER(TRIM($E$2))="BLANK",AND($E$2&lt;&gt;"",TRIM($E$2)="")),(IF('Final Calculation Sheet'!$B$12="","",'Final Calculation Sheet'!$B$12))="",IF(OR(UPPER(TRIM($E$2))="(NONBLANK)",UPPER(TRIM($E$2))="NONBLANK",TRIM($E$2)="&lt;&gt;"),(IF('Final Calculation Sheet'!$B$12="","",'Final Calculation Sheet'!$B$12))&lt;&gt;"",UPPER(TRIM((IF('Final Calculation Sheet'!$B$12="","",'Final Calculation Sheet'!$B$12))&amp;""))=UPPER(TRIM($E$2&amp;"")))))</f>
        <v/>
      </c>
      <c r="F12">
        <f>IF($F$3=FALSE,TRUE,IF(OR(UPPER(TRIM($F$2))="(BLANK)",UPPER(TRIM($F$2))="BLANK",AND($F$2&lt;&gt;"",TRIM($F$2)="")),(IF('Final Calculation Sheet'!$D$12="","",'Final Calculation Sheet'!$D$12))="",IF(OR(UPPER(TRIM($F$2))="(NONBLANK)",UPPER(TRIM($F$2))="NONBLANK",TRIM($F$2)="&lt;&gt;"),(IF('Final Calculation Sheet'!$D$12="","",'Final Calculation Sheet'!$D$12))&lt;&gt;"",UPPER(TRIM((IF('Final Calculation Sheet'!$D$12="","",'Final Calculation Sheet'!$D$12))&amp;""))=UPPER(TRIM($F$2&amp;"")))))</f>
        <v/>
      </c>
      <c r="G12">
        <f>IF($G$3=FALSE,TRUE,IF(OR(UPPER(TRIM($G$2))="(BLANK)",UPPER(TRIM($G$2))="BLANK",AND($G$2&lt;&gt;"",TRIM($G$2)="")),(IF('Final Calculation Sheet'!$A$12="","",'Final Calculation Sheet'!$A$12))="",IF(OR(UPPER(TRIM($G$2))="(NONBLANK)",UPPER(TRIM($G$2))="NONBLANK",TRIM($G$2)="&lt;&gt;"),(IF('Final Calculation Sheet'!$A$12="","",'Final Calculation Sheet'!$A$12))&lt;&gt;"",UPPER(TRIM((IF('Final Calculation Sheet'!$A$12="","",'Final Calculation Sheet'!$A$12))&amp;""))=UPPER(TRIM($G$2&amp;"")))))</f>
        <v/>
      </c>
      <c r="H12">
        <f>IF($H$3=FALSE,TRUE,IF(OR(UPPER(TRIM($H$2))="(BLANK)",UPPER(TRIM($H$2))="BLANK",AND($H$2&lt;&gt;"",TRIM($H$2)="")),(IF('Final Calculation Sheet'!$E$12="","",'Final Calculation Sheet'!$E$12))="",IF(OR(UPPER(TRIM($H$2))="(NONBLANK)",UPPER(TRIM($H$2))="NONBLANK",TRIM($H$2)="&lt;&gt;"),(IF('Final Calculation Sheet'!$E$12="","",'Final Calculation Sheet'!$E$12))&lt;&gt;"",UPPER(TRIM((IF('Final Calculation Sheet'!$E$12="","",'Final Calculation Sheet'!$E$12))&amp;""))=UPPER(TRIM($H$2&amp;"")))))</f>
        <v/>
      </c>
      <c r="I12">
        <f>IF($I$3=FALSE,TRUE,IF(OR(UPPER(TRIM($I$2))="(BLANK)",UPPER(TRIM($I$2))="BLANK",AND($I$2&lt;&gt;"",TRIM($I$2)="")),(IF('Final Calculation Sheet'!$C$12="","",'Final Calculation Sheet'!$C$12))="",IF(OR(UPPER(TRIM($I$2))="(NONBLANK)",UPPER(TRIM($I$2))="NONBLANK",TRIM($I$2)="&lt;&gt;"),(IF('Final Calculation Sheet'!$C$12="","",'Final Calculation Sheet'!$C$12))&lt;&gt;"",UPPER(TRIM((IF('Final Calculation Sheet'!$C$12="","",'Final Calculation Sheet'!$C$12))&amp;""))=UPPER(TRIM($I$2&amp;"")))))</f>
        <v/>
      </c>
      <c r="J12">
        <f>IF($J$3=FALSE,TRUE,IF(OR(UPPER(TRIM($J$2))="(BLANK)",UPPER(TRIM($J$2))="BLANK",AND($J$2&lt;&gt;"",TRIM($J$2)="")),(IF('Final Calculation Sheet'!$H$12="","",'Final Calculation Sheet'!$H$12))="",IF(OR(UPPER(TRIM($J$2))="(NONBLANK)",UPPER(TRIM($J$2))="NONBLANK",TRIM($J$2)="&lt;&gt;"),(IF('Final Calculation Sheet'!$H$12="","",'Final Calculation Sheet'!$H$12))&lt;&gt;"",UPPER(TRIM((IF('Final Calculation Sheet'!$H$12="","",'Final Calculation Sheet'!$H$12))&amp;""))=UPPER(TRIM($J$2&amp;"")))))</f>
        <v/>
      </c>
      <c r="K12">
        <f>IF($K$3=FALSE,TRUE,IF(OR(UPPER(TRIM($K$2))="(BLANK)",UPPER(TRIM($K$2))="BLANK",AND($K$2&lt;&gt;"",TRIM($K$2)="")),(IF('Final Calculation Sheet'!$I$12="","",'Final Calculation Sheet'!$I$12))="",IF(OR(UPPER(TRIM($K$2))="(NONBLANK)",UPPER(TRIM($K$2))="NONBLANK",TRIM($K$2)="&lt;&gt;"),(IF('Final Calculation Sheet'!$I$12="","",'Final Calculation Sheet'!$I$12))&lt;&gt;"",UPPER(TRIM((IF('Final Calculation Sheet'!$I$12="","",'Final Calculation Sheet'!$I$12))&amp;""))=UPPER(TRIM($K$2&amp;"")))))</f>
        <v/>
      </c>
      <c r="L12">
        <f>IF($L$3=FALSE,TRUE,IF(OR(UPPER(TRIM($L$2))="(BLANK)",UPPER(TRIM($L$2))="BLANK",AND($L$2&lt;&gt;"",TRIM($L$2)="")),(IF('Final Calculation Sheet'!$J$12="","",'Final Calculation Sheet'!$J$12))="",IF(OR(UPPER(TRIM($L$2))="(NONBLANK)",UPPER(TRIM($L$2))="NONBLANK",TRIM($L$2)="&lt;&gt;"),(IF('Final Calculation Sheet'!$J$12="","",'Final Calculation Sheet'!$J$12))&lt;&gt;"",UPPER(TRIM((IF('Final Calculation Sheet'!$J$12="","",'Final Calculation Sheet'!$J$12))&amp;""))=UPPER(TRIM($L$2&amp;"")))))</f>
        <v/>
      </c>
      <c r="M12">
        <f>IF($M$3=FALSE,TRUE,IF(OR(UPPER(TRIM($M$2))="(BLANK)",UPPER(TRIM($M$2))="BLANK",AND($M$2&lt;&gt;"",TRIM($M$2)="")),(IF('Final Calculation Sheet'!$K$12="","",'Final Calculation Sheet'!$K$12))="",IF(OR(UPPER(TRIM($M$2))="(NONBLANK)",UPPER(TRIM($M$2))="NONBLANK",TRIM($M$2)="&lt;&gt;"),(IF('Final Calculation Sheet'!$K$12="","",'Final Calculation Sheet'!$K$12))&lt;&gt;"",UPPER(TRIM((IF('Final Calculation Sheet'!$K$12="","",'Final Calculation Sheet'!$K$12))&amp;""))=UPPER(TRIM($M$2&amp;"")))))</f>
        <v/>
      </c>
      <c r="N12">
        <f>IF($N$3=FALSE,TRUE,IF(OR(UPPER(TRIM($N$2))="(BLANK)",UPPER(TRIM($N$2))="BLANK",AND($N$2&lt;&gt;"",TRIM($N$2)="")),(IF('Final Calculation Sheet'!$L$12="","",'Final Calculation Sheet'!$L$12))="",IF(OR(UPPER(TRIM($N$2))="(NONBLANK)",UPPER(TRIM($N$2))="NONBLANK",TRIM($N$2)="&lt;&gt;"),(IF('Final Calculation Sheet'!$L$12="","",'Final Calculation Sheet'!$L$12))&lt;&gt;"",UPPER(TRIM((IF('Final Calculation Sheet'!$L$12="","",'Final Calculation Sheet'!$L$12))&amp;""))=UPPER(TRIM($N$2&amp;"")))))</f>
        <v/>
      </c>
      <c r="O12">
        <f>IF($O$3=FALSE,TRUE,IF(OR(UPPER(TRIM($O$2))="(BLANK)",UPPER(TRIM($O$2))="BLANK",AND($O$2&lt;&gt;"",TRIM($O$2)="")),(IF('Final Calculation Sheet'!$M$12="","",'Final Calculation Sheet'!$M$12))="",IF(OR(UPPER(TRIM($O$2))="(NONBLANK)",UPPER(TRIM($O$2))="NONBLANK",TRIM($O$2)="&lt;&gt;"),(IF('Final Calculation Sheet'!$M$12="","",'Final Calculation Sheet'!$M$12))&lt;&gt;"",UPPER(TRIM((IF('Final Calculation Sheet'!$M$12="","",'Final Calculation Sheet'!$M$12))&amp;""))=UPPER(TRIM($O$2&amp;"")))))</f>
        <v/>
      </c>
      <c r="P12">
        <f>IF($P$3=FALSE,TRUE,IF(OR(UPPER(TRIM($P$2))="(BLANK)",UPPER(TRIM($P$2))="BLANK",AND($P$2&lt;&gt;"",TRIM($P$2)="")),(IF('Final Calculation Sheet'!$N$12="","",'Final Calculation Sheet'!$N$12))="",IF(OR(UPPER(TRIM($P$2))="(NONBLANK)",UPPER(TRIM($P$2))="NONBLANK",TRIM($P$2)="&lt;&gt;"),(IF('Final Calculation Sheet'!$N$12="","",'Final Calculation Sheet'!$N$12))&lt;&gt;"",UPPER(TRIM((IF('Final Calculation Sheet'!$N$12="","",'Final Calculation Sheet'!$N$12))&amp;""))=UPPER(TRIM($P$2&amp;"")))))</f>
        <v/>
      </c>
      <c r="Q12">
        <f>IF($Q$3=FALSE,TRUE,IF(OR(UPPER(TRIM($Q$2))="(BLANK)",UPPER(TRIM($Q$2))="BLANK",AND($Q$2&lt;&gt;"",TRIM($Q$2)="")),(IF('Final Calculation Sheet'!$O$12="","",'Final Calculation Sheet'!$O$12))="",IF(OR(UPPER(TRIM($Q$2))="(NONBLANK)",UPPER(TRIM($Q$2))="NONBLANK",TRIM($Q$2)="&lt;&gt;"),(IF('Final Calculation Sheet'!$O$12="","",'Final Calculation Sheet'!$O$12))&lt;&gt;"",UPPER(TRIM((IF('Final Calculation Sheet'!$O$12="","",'Final Calculation Sheet'!$O$12))&amp;""))=UPPER(TRIM($Q$2&amp;"")))))</f>
        <v/>
      </c>
      <c r="R12">
        <f>IF($R$3=FALSE,TRUE,IF(OR(UPPER(TRIM($R$2))="(BLANK)",UPPER(TRIM($R$2))="BLANK",AND($R$2&lt;&gt;"",TRIM($R$2)="")),(IF('Final Calculation Sheet'!$P$12="","",'Final Calculation Sheet'!$P$12))="",IF(OR(UPPER(TRIM($R$2))="(NONBLANK)",UPPER(TRIM($R$2))="NONBLANK",TRIM($R$2)="&lt;&gt;"),(IF('Final Calculation Sheet'!$P$12="","",'Final Calculation Sheet'!$P$12))&lt;&gt;"",UPPER(TRIM((IF('Final Calculation Sheet'!$P$12="","",'Final Calculation Sheet'!$P$12))&amp;""))=UPPER(TRIM($R$2&amp;"")))))</f>
        <v/>
      </c>
      <c r="S12">
        <f>IF($S$3=FALSE,TRUE,IF(OR(UPPER(TRIM($S$2))="(BLANK)",UPPER(TRIM($S$2))="BLANK",AND($S$2&lt;&gt;"",TRIM($S$2)="")),(IF('Final Calculation Sheet'!$Q$12="","",'Final Calculation Sheet'!$Q$12))="",IF(OR(UPPER(TRIM($S$2))="(NONBLANK)",UPPER(TRIM($S$2))="NONBLANK",TRIM($S$2)="&lt;&gt;"),(IF('Final Calculation Sheet'!$Q$12="","",'Final Calculation Sheet'!$Q$12))&lt;&gt;"",UPPER(TRIM((IF('Final Calculation Sheet'!$Q$12="","",'Final Calculation Sheet'!$Q$12))&amp;""))=UPPER(TRIM($S$2&amp;"")))))</f>
        <v/>
      </c>
      <c r="T12">
        <f>IF($T$3=FALSE,TRUE,IF(OR(UPPER(TRIM($T$2))="(BLANK)",UPPER(TRIM($T$2))="BLANK",AND($T$2&lt;&gt;"",TRIM($T$2)="")),(IF('Final Calculation Sheet'!$R$12="","",'Final Calculation Sheet'!$R$12))="",IF(OR(UPPER(TRIM($T$2))="(NONBLANK)",UPPER(TRIM($T$2))="NONBLANK",TRIM($T$2)="&lt;&gt;"),(IF('Final Calculation Sheet'!$R$12="","",'Final Calculation Sheet'!$R$12))&lt;&gt;"",UPPER(TRIM((IF('Final Calculation Sheet'!$R$12="","",'Final Calculation Sheet'!$R$12))&amp;""))=UPPER(TRIM($T$2&amp;"")))))</f>
        <v/>
      </c>
      <c r="U12">
        <f>IF($U$3=FALSE,TRUE,IF(OR(UPPER(TRIM($U$2))="(BLANK)",UPPER(TRIM($U$2))="BLANK",AND($U$2&lt;&gt;"",TRIM($U$2)="")),(IF('Final Calculation Sheet'!$S$12="","",'Final Calculation Sheet'!$S$12))="",IF(OR(UPPER(TRIM($U$2))="(NONBLANK)",UPPER(TRIM($U$2))="NONBLANK",TRIM($U$2)="&lt;&gt;"),(IF('Final Calculation Sheet'!$S$12="","",'Final Calculation Sheet'!$S$12))&lt;&gt;"",UPPER(TRIM((IF('Final Calculation Sheet'!$S$12="","",'Final Calculation Sheet'!$S$12))&amp;""))=UPPER(TRIM($U$2&amp;"")))))</f>
        <v/>
      </c>
      <c r="V12">
        <f>IF($V$3=FALSE,TRUE,IF(OR(UPPER(TRIM($V$2))="(BLANK)",UPPER(TRIM($V$2))="BLANK",AND($V$2&lt;&gt;"",TRIM($V$2)="")),(IF('Final Calculation Sheet'!$T$12="","",'Final Calculation Sheet'!$T$12))="",IF(OR(UPPER(TRIM($V$2))="(NONBLANK)",UPPER(TRIM($V$2))="NONBLANK",TRIM($V$2)="&lt;&gt;"),(IF('Final Calculation Sheet'!$T$12="","",'Final Calculation Sheet'!$T$12))&lt;&gt;"",UPPER(TRIM((IF('Final Calculation Sheet'!$T$12="","",'Final Calculation Sheet'!$T$12))&amp;""))=UPPER(TRIM($V$2&amp;"")))))</f>
        <v/>
      </c>
      <c r="W12">
        <f>IF($W$3=FALSE,TRUE,IF(OR(UPPER(TRIM($W$2))="(BLANK)",UPPER(TRIM($W$2))="BLANK",AND($W$2&lt;&gt;"",TRIM($W$2)="")),(IF('Final Calculation Sheet'!$U$12="","",'Final Calculation Sheet'!$U$12))="",IF(OR(UPPER(TRIM($W$2))="(NONBLANK)",UPPER(TRIM($W$2))="NONBLANK",TRIM($W$2)="&lt;&gt;"),(IF('Final Calculation Sheet'!$U$12="","",'Final Calculation Sheet'!$U$12))&lt;&gt;"",UPPER(TRIM((IF('Final Calculation Sheet'!$U$12="","",'Final Calculation Sheet'!$U$12))&amp;""))=UPPER(TRIM($W$2&amp;"")))))</f>
        <v/>
      </c>
      <c r="X12">
        <f>IF($X$3=FALSE,TRUE,IF(OR(UPPER(TRIM($X$2))="(BLANK)",UPPER(TRIM($X$2))="BLANK",AND($X$2&lt;&gt;"",TRIM($X$2)="")),(IF('Final Calculation Sheet'!$V$12="","",'Final Calculation Sheet'!$V$12))="",IF(OR(UPPER(TRIM($X$2))="(NONBLANK)",UPPER(TRIM($X$2))="NONBLANK",TRIM($X$2)="&lt;&gt;"),(IF('Final Calculation Sheet'!$V$12="","",'Final Calculation Sheet'!$V$12))&lt;&gt;"",UPPER(TRIM((IF('Final Calculation Sheet'!$V$12="","",'Final Calculation Sheet'!$V$12))&amp;""))=UPPER(TRIM($X$2&amp;"")))))</f>
        <v/>
      </c>
      <c r="Y12">
        <f>IF($Y$3=FALSE,TRUE,IF(OR(UPPER(TRIM($Y$2))="(BLANK)",UPPER(TRIM($Y$2))="BLANK",AND($Y$2&lt;&gt;"",TRIM($Y$2)="")),(IF('Final Calculation Sheet'!$W$12="","",'Final Calculation Sheet'!$W$12))="",IF(OR(UPPER(TRIM($Y$2))="(NONBLANK)",UPPER(TRIM($Y$2))="NONBLANK",TRIM($Y$2)="&lt;&gt;"),(IF('Final Calculation Sheet'!$W$12="","",'Final Calculation Sheet'!$W$12))&lt;&gt;"",UPPER(TRIM((IF('Final Calculation Sheet'!$W$12="","",'Final Calculation Sheet'!$W$12))&amp;""))=UPPER(TRIM($Y$2&amp;"")))))</f>
        <v/>
      </c>
      <c r="Z12">
        <f>IF($Z$3=FALSE,TRUE,IF(OR(UPPER(TRIM($Z$2))="(BLANK)",UPPER(TRIM($Z$2))="BLANK",AND($Z$2&lt;&gt;"",TRIM($Z$2)="")),(IF('Final Calculation Sheet'!$X$12="","",'Final Calculation Sheet'!$X$12))="",IF(OR(UPPER(TRIM($Z$2))="(NONBLANK)",UPPER(TRIM($Z$2))="NONBLANK",TRIM($Z$2)="&lt;&gt;"),(IF('Final Calculation Sheet'!$X$12="","",'Final Calculation Sheet'!$X$12))&lt;&gt;"",UPPER(TRIM((IF('Final Calculation Sheet'!$X$12="","",'Final Calculation Sheet'!$X$12))&amp;""))=UPPER(TRIM($Z$2&amp;"")))))</f>
        <v/>
      </c>
      <c r="AA12">
        <f>IF($AA$3=FALSE,TRUE,IF(OR(UPPER(TRIM($AA$2))="(BLANK)",UPPER(TRIM($AA$2))="BLANK",AND($AA$2&lt;&gt;"",TRIM($AA$2)="")),(IF('Final Calculation Sheet'!$Y$12="","",'Final Calculation Sheet'!$Y$12))="",IF(OR(UPPER(TRIM($AA$2))="(NONBLANK)",UPPER(TRIM($AA$2))="NONBLANK",TRIM($AA$2)="&lt;&gt;"),(IF('Final Calculation Sheet'!$Y$12="","",'Final Calculation Sheet'!$Y$12))&lt;&gt;"",UPPER(TRIM((IF('Final Calculation Sheet'!$Y$12="","",'Final Calculation Sheet'!$Y$12))&amp;""))=UPPER(TRIM($AA$2&amp;"")))))</f>
        <v/>
      </c>
      <c r="AB12">
        <f>IF($AB$3=FALSE,TRUE,IF(OR(UPPER(TRIM($AB$2))="(BLANK)",UPPER(TRIM($AB$2))="BLANK",AND($AB$2&lt;&gt;"",TRIM($AB$2)="")),(IF('Final Calculation Sheet'!$Z$12="","",'Final Calculation Sheet'!$Z$12))="",IF(OR(UPPER(TRIM($AB$2))="(NONBLANK)",UPPER(TRIM($AB$2))="NONBLANK",TRIM($AB$2)="&lt;&gt;"),(IF('Final Calculation Sheet'!$Z$12="","",'Final Calculation Sheet'!$Z$12))&lt;&gt;"",UPPER(TRIM((IF('Final Calculation Sheet'!$Z$12="","",'Final Calculation Sheet'!$Z$12))&amp;""))=UPPER(TRIM($AB$2&amp;"")))))</f>
        <v/>
      </c>
      <c r="AC12">
        <f>IF($AC$3=FALSE,TRUE,IF(OR(UPPER(TRIM($AC$2))="(BLANK)",UPPER(TRIM($AC$2))="BLANK",AND($AC$2&lt;&gt;"",TRIM($AC$2)="")),(IF('Final Calculation Sheet'!$AA$12="","",'Final Calculation Sheet'!$AA$12))="",IF(OR(UPPER(TRIM($AC$2))="(NONBLANK)",UPPER(TRIM($AC$2))="NONBLANK",TRIM($AC$2)="&lt;&gt;"),(IF('Final Calculation Sheet'!$AA$12="","",'Final Calculation Sheet'!$AA$12))&lt;&gt;"",UPPER(TRIM((IF('Final Calculation Sheet'!$AA$12="","",'Final Calculation Sheet'!$AA$12))&amp;""))=UPPER(TRIM($AC$2&amp;"")))))</f>
        <v/>
      </c>
      <c r="AD12">
        <f>IF($AD$3=FALSE,TRUE,IF(OR(UPPER(TRIM($AD$2))="(BLANK)",UPPER(TRIM($AD$2))="BLANK",AND($AD$2&lt;&gt;"",TRIM($AD$2)="")),(IF('Final Calculation Sheet'!$AB$12="","",'Final Calculation Sheet'!$AB$12))="",IF(OR(UPPER(TRIM($AD$2))="(NONBLANK)",UPPER(TRIM($AD$2))="NONBLANK",TRIM($AD$2)="&lt;&gt;"),(IF('Final Calculation Sheet'!$AB$12="","",'Final Calculation Sheet'!$AB$12))&lt;&gt;"",UPPER(TRIM((IF('Final Calculation Sheet'!$AB$12="","",'Final Calculation Sheet'!$AB$12))&amp;""))=UPPER(TRIM($AD$2&amp;"")))))</f>
        <v/>
      </c>
      <c r="AE12">
        <f>IF($AE$3=FALSE,TRUE,IF(OR(UPPER(TRIM($AE$2))="(BLANK)",UPPER(TRIM($AE$2))="BLANK",AND($AE$2&lt;&gt;"",TRIM($AE$2)="")),(IF('Final Calculation Sheet'!$AC$12="","",'Final Calculation Sheet'!$AC$12))="",IF(OR(UPPER(TRIM($AE$2))="(NONBLANK)",UPPER(TRIM($AE$2))="NONBLANK",TRIM($AE$2)="&lt;&gt;"),(IF('Final Calculation Sheet'!$AC$12="","",'Final Calculation Sheet'!$AC$12))&lt;&gt;"",UPPER(TRIM((IF('Final Calculation Sheet'!$AC$12="","",'Final Calculation Sheet'!$AC$12))&amp;""))=UPPER(TRIM($AE$2&amp;"")))))</f>
        <v/>
      </c>
      <c r="AF12">
        <f>IF($AF$3=FALSE,TRUE,IF(OR(UPPER(TRIM($AF$2))="(BLANK)",UPPER(TRIM($AF$2))="BLANK",AND($AF$2&lt;&gt;"",TRIM($AF$2)="")),(IF('Final Calculation Sheet'!$AD$12="","",'Final Calculation Sheet'!$AD$12))="",IF(OR(UPPER(TRIM($AF$2))="(NONBLANK)",UPPER(TRIM($AF$2))="NONBLANK",TRIM($AF$2)="&lt;&gt;"),(IF('Final Calculation Sheet'!$AD$12="","",'Final Calculation Sheet'!$AD$12))&lt;&gt;"",UPPER(TRIM((IF('Final Calculation Sheet'!$AD$12="","",'Final Calculation Sheet'!$AD$12))&amp;""))=UPPER(TRIM($AF$2&amp;"")))))</f>
        <v/>
      </c>
      <c r="AG12">
        <f>IF($AG$3=FALSE,TRUE,IF(OR(UPPER(TRIM($AG$2))="(BLANK)",UPPER(TRIM($AG$2))="BLANK",AND($AG$2&lt;&gt;"",TRIM($AG$2)="")),(IF('Final Calculation Sheet'!$AE$12="","",'Final Calculation Sheet'!$AE$12))="",IF(OR(UPPER(TRIM($AG$2))="(NONBLANK)",UPPER(TRIM($AG$2))="NONBLANK",TRIM($AG$2)="&lt;&gt;"),(IF('Final Calculation Sheet'!$AE$12="","",'Final Calculation Sheet'!$AE$12))&lt;&gt;"",UPPER(TRIM((IF('Final Calculation Sheet'!$AE$12="","",'Final Calculation Sheet'!$AE$12))&amp;""))=UPPER(TRIM($AG$2&amp;"")))))</f>
        <v/>
      </c>
      <c r="AH12">
        <f>IF($AH$3=FALSE,TRUE,IF(OR(UPPER(TRIM($AH$2))="(BLANK)",UPPER(TRIM($AH$2))="BLANK",AND($AH$2&lt;&gt;"",TRIM($AH$2)="")),(IF('Final Calculation Sheet'!$AF$12="","",'Final Calculation Sheet'!$AF$12))="",IF(OR(UPPER(TRIM($AH$2))="(NONBLANK)",UPPER(TRIM($AH$2))="NONBLANK",TRIM($AH$2)="&lt;&gt;"),(IF('Final Calculation Sheet'!$AF$12="","",'Final Calculation Sheet'!$AF$12))&lt;&gt;"",UPPER(TRIM((IF('Final Calculation Sheet'!$AF$12="","",'Final Calculation Sheet'!$AF$12))&amp;""))=UPPER(TRIM($AH$2&amp;"")))))</f>
        <v/>
      </c>
      <c r="AI12">
        <f>IF($AI$3=FALSE,TRUE,IF(OR(UPPER(TRIM($AI$2))="(BLANK)",UPPER(TRIM($AI$2))="BLANK",AND($AI$2&lt;&gt;"",TRIM($AI$2)="")),(IF('Final Calculation Sheet'!$AG$12="","",'Final Calculation Sheet'!$AG$12))="",IF(OR(UPPER(TRIM($AI$2))="(NONBLANK)",UPPER(TRIM($AI$2))="NONBLANK",TRIM($AI$2)="&lt;&gt;"),(IF('Final Calculation Sheet'!$AG$12="","",'Final Calculation Sheet'!$AG$12))&lt;&gt;"",UPPER(TRIM((IF('Final Calculation Sheet'!$AG$12="","",'Final Calculation Sheet'!$AG$12))&amp;""))=UPPER(TRIM($AI$2&amp;"")))))</f>
        <v/>
      </c>
      <c r="AJ12">
        <f>IF($AJ$3=FALSE,TRUE,IF(OR(UPPER(TRIM($AJ$2))="(BLANK)",UPPER(TRIM($AJ$2))="BLANK",AND($AJ$2&lt;&gt;"",TRIM($AJ$2)="")),(IF('Final Calculation Sheet'!$AD$12="","",IF('Final Calculation Sheet'!$AD$12&lt;=5,"SETTLED","OUTSTANDING")))="",IF(OR(UPPER(TRIM($AJ$2))="(NONBLANK)",UPPER(TRIM($AJ$2))="NONBLANK",TRIM($AJ$2)="&lt;&gt;"),(IF('Final Calculation Sheet'!$AD$12="","",IF('Final Calculation Sheet'!$AD$12&lt;=5,"SETTLED","OUTSTANDING")))&lt;&gt;"",UPPER(TRIM((IF('Final Calculation Sheet'!$AD$12="","",IF('Final Calculation Sheet'!$AD$12&lt;=5,"SETTLED","OUTSTANDING")))&amp;""))=UPPER(TRIM($AJ$2&amp;"")))))</f>
        <v/>
      </c>
      <c r="AL12">
        <f>IF(AND($B$12,$D$12:$AJ$12),IF('Final Calculation Sheet'!$F$12="","",'Final Calculation Sheet'!$F$12),"")</f>
        <v/>
      </c>
      <c r="AM12">
        <f>IF(AL12="","",COUNTIFS(AL$4:AL$40,"&lt;"&amp;AL12,AL$4:AL$40,"&lt;&gt;"&amp;"")+COUNTIF(AL$4:AL12,AL12))</f>
        <v/>
      </c>
      <c r="AN12">
        <f>IF(ROW()-3&gt;COUNTIF(AL$4:AL$40,"&lt;&gt;"&amp;""),"",INDEX(AL$4:AL$40,MATCH(ROW()-3,AM$4:AM$40,0)))</f>
        <v/>
      </c>
      <c r="AO12">
        <f>AO11+IF(AND(AN12&lt;&gt;"",COUNTIF(AN$4:AN12,AN12)=1),1,0)</f>
        <v/>
      </c>
      <c r="AP12">
        <f>IF(ROW()-3&gt;MAX(AO$4:AO$40),"",INDEX(AN$4:AN$40,MATCH(ROW()-3,AO$4:AO$40,0)))</f>
        <v/>
      </c>
      <c r="AQ12">
        <f>IF(AND($B$12:$C$12,$E$12:$AJ$12),IF('Final Calculation Sheet'!$G$12="","",'Final Calculation Sheet'!$G$12),"")</f>
        <v/>
      </c>
      <c r="AR12">
        <f>IF(AQ12="","",COUNTIFS(AQ$4:AQ$40,"&lt;"&amp;AQ12,AQ$4:AQ$40,"&lt;&gt;"&amp;"")+COUNTIF(AQ$4:AQ12,AQ12))</f>
        <v/>
      </c>
      <c r="AS12">
        <f>IF(ROW()-3&gt;COUNTIF(AQ$4:AQ$40,"&lt;&gt;"&amp;""),"",INDEX(AQ$4:AQ$40,MATCH(ROW()-3,AR$4:AR$40,0)))</f>
        <v/>
      </c>
      <c r="AT12">
        <f>AT11+IF(AND(AS12&lt;&gt;"",COUNTIF(AS$4:AS12,AS12)=1),1,0)</f>
        <v/>
      </c>
      <c r="AU12">
        <f>IF(ROW()-3&gt;MAX(AT$4:AT$40),"",INDEX(AS$4:AS$40,MATCH(ROW()-3,AT$4:AT$40,0)))</f>
        <v/>
      </c>
      <c r="AV12">
        <f>IF(AND($B$12:$D$12,$F$12:$AJ$12),IF('Final Calculation Sheet'!$B$12="","",'Final Calculation Sheet'!$B$12),"")</f>
        <v/>
      </c>
      <c r="AW12">
        <f>IF(AV12="","",COUNTIFS(AV$4:AV$40,"&lt;"&amp;AV12,AV$4:AV$40,"&lt;&gt;"&amp;"")+COUNTIF(AV$4:AV12,AV12))</f>
        <v/>
      </c>
      <c r="AX12">
        <f>IF(ROW()-3&gt;COUNTIF(AV$4:AV$40,"&lt;&gt;"&amp;""),"",INDEX(AV$4:AV$40,MATCH(ROW()-3,AW$4:AW$40,0)))</f>
        <v/>
      </c>
      <c r="AY12">
        <f>AY11+IF(AND(AX12&lt;&gt;"",COUNTIF(AX$4:AX12,AX12)=1),1,0)</f>
        <v/>
      </c>
      <c r="AZ12">
        <f>IF(ROW()-3&gt;MAX(AY$4:AY$40),"",INDEX(AX$4:AX$40,MATCH(ROW()-3,AY$4:AY$40,0)))</f>
        <v/>
      </c>
      <c r="BA12">
        <f>IF(AND($B$12:$E$12,$G$12:$AJ$12),IF('Final Calculation Sheet'!$D$12="","",'Final Calculation Sheet'!$D$12),"")</f>
        <v/>
      </c>
      <c r="BB12">
        <f>IF(BA12="","",COUNTIFS(BA$4:BA$40,"&lt;"&amp;BA12,BA$4:BA$40,"&lt;&gt;"&amp;"")+COUNTIF(BA$4:BA12,BA12))</f>
        <v/>
      </c>
      <c r="BC12">
        <f>IF(ROW()-3&gt;COUNTIF(BA$4:BA$40,"&lt;&gt;"&amp;""),"",INDEX(BA$4:BA$40,MATCH(ROW()-3,BB$4:BB$40,0)))</f>
        <v/>
      </c>
      <c r="BD12">
        <f>BD11+IF(AND(BC12&lt;&gt;"",COUNTIF(BC$4:BC12,BC12)=1),1,0)</f>
        <v/>
      </c>
      <c r="BE12">
        <f>IF(ROW()-3&gt;MAX(BD$4:BD$40),"",INDEX(BC$4:BC$40,MATCH(ROW()-3,BD$4:BD$40,0)))</f>
        <v/>
      </c>
      <c r="BF12">
        <f>IF(AND($B$12:$F$12,$H$12:$AJ$12),IF('Final Calculation Sheet'!$A$12="","",'Final Calculation Sheet'!$A$12),"")</f>
        <v/>
      </c>
      <c r="BG12">
        <f>IF(BF12="","",COUNTIFS(BF$4:BF$40,"&lt;"&amp;BF12,BF$4:BF$40,"&lt;&gt;"&amp;"")+COUNTIF(BF$4:BF12,BF12))</f>
        <v/>
      </c>
      <c r="BH12">
        <f>IF(ROW()-3&gt;COUNTIF(BF$4:BF$40,"&lt;&gt;"&amp;""),"",INDEX(BF$4:BF$40,MATCH(ROW()-3,BG$4:BG$40,0)))</f>
        <v/>
      </c>
      <c r="BI12">
        <f>BI11+IF(AND(BH12&lt;&gt;"",COUNTIF(BH$4:BH12,BH12)=1),1,0)</f>
        <v/>
      </c>
      <c r="BJ12">
        <f>IF(ROW()-3&gt;MAX(BI$4:BI$40),"",INDEX(BH$4:BH$40,MATCH(ROW()-3,BI$4:BI$40,0)))</f>
        <v/>
      </c>
      <c r="BK12">
        <f>IF(AND($B$12:$G$12,$I$12:$AJ$12),IF('Final Calculation Sheet'!$E$12="","",'Final Calculation Sheet'!$E$12),"")</f>
        <v/>
      </c>
      <c r="BL12">
        <f>IF(BK12="","",COUNTIFS(BK$4:BK$40,"&lt;"&amp;BK12,BK$4:BK$40,"&lt;&gt;"&amp;"")+COUNTIF(BK$4:BK12,BK12))</f>
        <v/>
      </c>
      <c r="BM12">
        <f>IF(ROW()-3&gt;COUNTIF(BK$4:BK$40,"&lt;&gt;"&amp;""),"",INDEX(BK$4:BK$40,MATCH(ROW()-3,BL$4:BL$40,0)))</f>
        <v/>
      </c>
      <c r="BN12">
        <f>BN11+IF(AND(BM12&lt;&gt;"",COUNTIF(BM$4:BM12,BM12)=1),1,0)</f>
        <v/>
      </c>
      <c r="BO12">
        <f>IF(ROW()-3&gt;MAX(BN$4:BN$40),"",INDEX(BM$4:BM$40,MATCH(ROW()-3,BN$4:BN$40,0)))</f>
        <v/>
      </c>
      <c r="BP12" s="55">
        <f>IF(AND($B$12:$H$12,$J$12:$AJ$12),IF('Final Calculation Sheet'!$C$12="","",'Final Calculation Sheet'!$C$12),"")</f>
        <v/>
      </c>
      <c r="BQ12">
        <f>IF(BP12="","",COUNTIFS(BP$4:BP$40,"&lt;"&amp;BP12,BP$4:BP$40,"&lt;&gt;"&amp;"")+COUNTIF(BP$4:BP12,BP12))</f>
        <v/>
      </c>
      <c r="BR12" s="55">
        <f>IF(ROW()-3&gt;COUNTIF(BP$4:BP$40,"&lt;&gt;"&amp;""),"",INDEX(BP$4:BP$40,MATCH(ROW()-3,BQ$4:BQ$40,0)))</f>
        <v/>
      </c>
      <c r="BS12">
        <f>BS11+IF(AND(BR12&lt;&gt;"",COUNTIF(BR$4:BR12,BR12)=1),1,0)</f>
        <v/>
      </c>
      <c r="BT12" s="55">
        <f>IF(ROW()-3&gt;MAX(BS$4:BS$40),"",INDEX(BR$4:BR$40,MATCH(ROW()-3,BS$4:BS$40,0)))</f>
        <v/>
      </c>
      <c r="BU12" s="55">
        <f>IF(AND($B$12:$I$12,$K$12:$AJ$12),IF('Final Calculation Sheet'!$H$12="","",'Final Calculation Sheet'!$H$12),"")</f>
        <v/>
      </c>
      <c r="BV12">
        <f>IF(BU12="","",COUNTIFS(BU$4:BU$40,"&lt;"&amp;BU12,BU$4:BU$40,"&lt;&gt;"&amp;"")+COUNTIF(BU$4:BU12,BU12))</f>
        <v/>
      </c>
      <c r="BW12" s="55">
        <f>IF(ROW()-3&gt;COUNTIF(BU$4:BU$40,"&lt;&gt;"&amp;""),"",INDEX(BU$4:BU$40,MATCH(ROW()-3,BV$4:BV$40,0)))</f>
        <v/>
      </c>
      <c r="BX12">
        <f>BX11+IF(AND(BW12&lt;&gt;"",COUNTIF(BW$4:BW12,BW12)=1),1,0)</f>
        <v/>
      </c>
      <c r="BY12" s="55">
        <f>IF(ROW()-3&gt;MAX(BX$4:BX$40),"",INDEX(BW$4:BW$40,MATCH(ROW()-3,BX$4:BX$40,0)))</f>
        <v/>
      </c>
      <c r="BZ12" s="55">
        <f>IF(AND($B$12:$J$12,$L$12:$AJ$12),IF('Final Calculation Sheet'!$I$12="","",'Final Calculation Sheet'!$I$12),"")</f>
        <v/>
      </c>
      <c r="CA12">
        <f>IF(BZ12="","",COUNTIFS(BZ$4:BZ$40,"&lt;"&amp;BZ12,BZ$4:BZ$40,"&lt;&gt;"&amp;"")+COUNTIF(BZ$4:BZ12,BZ12))</f>
        <v/>
      </c>
      <c r="CB12" s="55">
        <f>IF(ROW()-3&gt;COUNTIF(BZ$4:BZ$40,"&lt;&gt;"&amp;""),"",INDEX(BZ$4:BZ$40,MATCH(ROW()-3,CA$4:CA$40,0)))</f>
        <v/>
      </c>
      <c r="CC12">
        <f>CC11+IF(AND(CB12&lt;&gt;"",COUNTIF(CB$4:CB12,CB12)=1),1,0)</f>
        <v/>
      </c>
      <c r="CD12" s="55">
        <f>IF(ROW()-3&gt;MAX(CC$4:CC$40),"",INDEX(CB$4:CB$40,MATCH(ROW()-3,CC$4:CC$40,0)))</f>
        <v/>
      </c>
      <c r="CE12" s="55">
        <f>IF(AND($B$12:$K$12,$M$12:$AJ$12),IF('Final Calculation Sheet'!$J$12="","",'Final Calculation Sheet'!$J$12),"")</f>
        <v/>
      </c>
      <c r="CF12">
        <f>IF(CE12="","",COUNTIFS(CE$4:CE$40,"&lt;"&amp;CE12,CE$4:CE$40,"&lt;&gt;"&amp;"")+COUNTIF(CE$4:CE12,CE12))</f>
        <v/>
      </c>
      <c r="CG12" s="55">
        <f>IF(ROW()-3&gt;COUNTIF(CE$4:CE$40,"&lt;&gt;"&amp;""),"",INDEX(CE$4:CE$40,MATCH(ROW()-3,CF$4:CF$40,0)))</f>
        <v/>
      </c>
      <c r="CH12">
        <f>CH11+IF(AND(CG12&lt;&gt;"",COUNTIF(CG$4:CG12,CG12)=1),1,0)</f>
        <v/>
      </c>
      <c r="CI12" s="55">
        <f>IF(ROW()-3&gt;MAX(CH$4:CH$40),"",INDEX(CG$4:CG$40,MATCH(ROW()-3,CH$4:CH$40,0)))</f>
        <v/>
      </c>
      <c r="CJ12" s="55">
        <f>IF(AND($B$12:$L$12,$N$12:$AJ$12),IF('Final Calculation Sheet'!$K$12="","",'Final Calculation Sheet'!$K$12),"")</f>
        <v/>
      </c>
      <c r="CK12">
        <f>IF(CJ12="","",COUNTIFS(CJ$4:CJ$40,"&lt;"&amp;CJ12,CJ$4:CJ$40,"&lt;&gt;"&amp;"")+COUNTIF(CJ$4:CJ12,CJ12))</f>
        <v/>
      </c>
      <c r="CL12" s="55">
        <f>IF(ROW()-3&gt;COUNTIF(CJ$4:CJ$40,"&lt;&gt;"&amp;""),"",INDEX(CJ$4:CJ$40,MATCH(ROW()-3,CK$4:CK$40,0)))</f>
        <v/>
      </c>
      <c r="CM12">
        <f>CM11+IF(AND(CL12&lt;&gt;"",COUNTIF(CL$4:CL12,CL12)=1),1,0)</f>
        <v/>
      </c>
      <c r="CN12" s="55">
        <f>IF(ROW()-3&gt;MAX(CM$4:CM$40),"",INDEX(CL$4:CL$40,MATCH(ROW()-3,CM$4:CM$40,0)))</f>
        <v/>
      </c>
      <c r="CO12" s="55">
        <f>IF(AND($B$12:$M$12,$O$12:$AJ$12),IF('Final Calculation Sheet'!$L$12="","",'Final Calculation Sheet'!$L$12),"")</f>
        <v/>
      </c>
      <c r="CP12">
        <f>IF(CO12="","",COUNTIFS(CO$4:CO$40,"&lt;"&amp;CO12,CO$4:CO$40,"&lt;&gt;"&amp;"")+COUNTIF(CO$4:CO12,CO12))</f>
        <v/>
      </c>
      <c r="CQ12" s="55">
        <f>IF(ROW()-3&gt;COUNTIF(CO$4:CO$40,"&lt;&gt;"&amp;""),"",INDEX(CO$4:CO$40,MATCH(ROW()-3,CP$4:CP$40,0)))</f>
        <v/>
      </c>
      <c r="CR12">
        <f>CR11+IF(AND(CQ12&lt;&gt;"",COUNTIF(CQ$4:CQ12,CQ12)=1),1,0)</f>
        <v/>
      </c>
      <c r="CS12" s="55">
        <f>IF(ROW()-3&gt;MAX(CR$4:CR$40),"",INDEX(CQ$4:CQ$40,MATCH(ROW()-3,CR$4:CR$40,0)))</f>
        <v/>
      </c>
      <c r="CT12" s="55">
        <f>IF(AND($B$12:$N$12,$P$12:$AJ$12),IF('Final Calculation Sheet'!$M$12="","",'Final Calculation Sheet'!$M$12),"")</f>
        <v/>
      </c>
      <c r="CU12">
        <f>IF(CT12="","",COUNTIFS(CT$4:CT$40,"&lt;"&amp;CT12,CT$4:CT$40,"&lt;&gt;"&amp;"")+COUNTIF(CT$4:CT12,CT12))</f>
        <v/>
      </c>
      <c r="CV12" s="55">
        <f>IF(ROW()-3&gt;COUNTIF(CT$4:CT$40,"&lt;&gt;"&amp;""),"",INDEX(CT$4:CT$40,MATCH(ROW()-3,CU$4:CU$40,0)))</f>
        <v/>
      </c>
      <c r="CW12">
        <f>CW11+IF(AND(CV12&lt;&gt;"",COUNTIF(CV$4:CV12,CV12)=1),1,0)</f>
        <v/>
      </c>
      <c r="CX12" s="55">
        <f>IF(ROW()-3&gt;MAX(CW$4:CW$40),"",INDEX(CV$4:CV$40,MATCH(ROW()-3,CW$4:CW$40,0)))</f>
        <v/>
      </c>
      <c r="CY12" s="138">
        <f>IF(AND($B$12:$O$12,$Q$12:$AJ$12),IF('Final Calculation Sheet'!$N$12="","",'Final Calculation Sheet'!$N$12),"")</f>
        <v/>
      </c>
      <c r="CZ12">
        <f>IF(CY12="","",COUNTIFS(CY$4:CY$40,"&lt;"&amp;CY12,CY$4:CY$40,"&lt;&gt;"&amp;"")+COUNTIF(CY$4:CY12,CY12))</f>
        <v/>
      </c>
      <c r="DA12" s="138">
        <f>IF(ROW()-3&gt;COUNTIF(CY$4:CY$40,"&lt;&gt;"&amp;""),"",INDEX(CY$4:CY$40,MATCH(ROW()-3,CZ$4:CZ$40,0)))</f>
        <v/>
      </c>
      <c r="DB12">
        <f>DB11+IF(AND(DA12&lt;&gt;"",COUNTIF(DA$4:DA12,DA12)=1),1,0)</f>
        <v/>
      </c>
      <c r="DC12" s="138">
        <f>IF(ROW()-3&gt;MAX(DB$4:DB$40),"",INDEX(DA$4:DA$40,MATCH(ROW()-3,DB$4:DB$40,0)))</f>
        <v/>
      </c>
      <c r="DD12" s="55">
        <f>IF(AND($B$12:$P$12,$R$12:$AJ$12),IF('Final Calculation Sheet'!$O$12="","",'Final Calculation Sheet'!$O$12),"")</f>
        <v/>
      </c>
      <c r="DE12">
        <f>IF(DD12="","",COUNTIFS(DD$4:DD$40,"&lt;"&amp;DD12,DD$4:DD$40,"&lt;&gt;"&amp;"")+COUNTIF(DD$4:DD12,DD12))</f>
        <v/>
      </c>
      <c r="DF12" s="55">
        <f>IF(ROW()-3&gt;COUNTIF(DD$4:DD$40,"&lt;&gt;"&amp;""),"",INDEX(DD$4:DD$40,MATCH(ROW()-3,DE$4:DE$40,0)))</f>
        <v/>
      </c>
      <c r="DG12">
        <f>DG11+IF(AND(DF12&lt;&gt;"",COUNTIF(DF$4:DF12,DF12)=1),1,0)</f>
        <v/>
      </c>
      <c r="DH12" s="55">
        <f>IF(ROW()-3&gt;MAX(DG$4:DG$40),"",INDEX(DF$4:DF$40,MATCH(ROW()-3,DG$4:DG$40,0)))</f>
        <v/>
      </c>
      <c r="DI12" s="55">
        <f>IF(AND($B$12:$Q$12,$S$12:$AJ$12),IF('Final Calculation Sheet'!$P$12="","",'Final Calculation Sheet'!$P$12),"")</f>
        <v/>
      </c>
      <c r="DJ12">
        <f>IF(DI12="","",COUNTIFS(DI$4:DI$40,"&lt;"&amp;DI12,DI$4:DI$40,"&lt;&gt;"&amp;"")+COUNTIF(DI$4:DI12,DI12))</f>
        <v/>
      </c>
      <c r="DK12" s="55">
        <f>IF(ROW()-3&gt;COUNTIF(DI$4:DI$40,"&lt;&gt;"&amp;""),"",INDEX(DI$4:DI$40,MATCH(ROW()-3,DJ$4:DJ$40,0)))</f>
        <v/>
      </c>
      <c r="DL12">
        <f>DL11+IF(AND(DK12&lt;&gt;"",COUNTIF(DK$4:DK12,DK12)=1),1,0)</f>
        <v/>
      </c>
      <c r="DM12" s="55">
        <f>IF(ROW()-3&gt;MAX(DL$4:DL$40),"",INDEX(DK$4:DK$40,MATCH(ROW()-3,DL$4:DL$40,0)))</f>
        <v/>
      </c>
      <c r="DN12" s="139">
        <f>IF(AND($B$12:$R$12,$T$12:$AJ$12),IF('Final Calculation Sheet'!$Q$12="","",'Final Calculation Sheet'!$Q$12),"")</f>
        <v/>
      </c>
      <c r="DO12">
        <f>IF(DN12="","",COUNTIFS(DN$4:DN$40,"&lt;"&amp;DN12,DN$4:DN$40,"&lt;&gt;"&amp;"")+COUNTIF(DN$4:DN12,DN12))</f>
        <v/>
      </c>
      <c r="DP12" s="139">
        <f>IF(ROW()-3&gt;COUNTIF(DN$4:DN$40,"&lt;&gt;"&amp;""),"",INDEX(DN$4:DN$40,MATCH(ROW()-3,DO$4:DO$40,0)))</f>
        <v/>
      </c>
      <c r="DQ12">
        <f>DQ11+IF(AND(DP12&lt;&gt;"",COUNTIF(DP$4:DP12,DP12)=1),1,0)</f>
        <v/>
      </c>
      <c r="DR12" s="139">
        <f>IF(ROW()-3&gt;MAX(DQ$4:DQ$40),"",INDEX(DP$4:DP$40,MATCH(ROW()-3,DQ$4:DQ$40,0)))</f>
        <v/>
      </c>
      <c r="DS12" s="55">
        <f>IF(AND($B$12:$S$12,$U$12:$AJ$12),IF('Final Calculation Sheet'!$R$12="","",'Final Calculation Sheet'!$R$12),"")</f>
        <v/>
      </c>
      <c r="DT12">
        <f>IF(DS12="","",COUNTIFS(DS$4:DS$40,"&lt;"&amp;DS12,DS$4:DS$40,"&lt;&gt;"&amp;"")+COUNTIF(DS$4:DS12,DS12))</f>
        <v/>
      </c>
      <c r="DU12" s="55">
        <f>IF(ROW()-3&gt;COUNTIF(DS$4:DS$40,"&lt;&gt;"&amp;""),"",INDEX(DS$4:DS$40,MATCH(ROW()-3,DT$4:DT$40,0)))</f>
        <v/>
      </c>
      <c r="DV12">
        <f>DV11+IF(AND(DU12&lt;&gt;"",COUNTIF(DU$4:DU12,DU12)=1),1,0)</f>
        <v/>
      </c>
      <c r="DW12" s="55">
        <f>IF(ROW()-3&gt;MAX(DV$4:DV$40),"",INDEX(DU$4:DU$40,MATCH(ROW()-3,DV$4:DV$40,0)))</f>
        <v/>
      </c>
      <c r="DX12" s="55">
        <f>IF(AND($B$12:$T$12,$V$12:$AJ$12),IF('Final Calculation Sheet'!$S$12="","",'Final Calculation Sheet'!$S$12),"")</f>
        <v/>
      </c>
      <c r="DY12">
        <f>IF(DX12="","",COUNTIFS(DX$4:DX$40,"&lt;"&amp;DX12,DX$4:DX$40,"&lt;&gt;"&amp;"")+COUNTIF(DX$4:DX12,DX12))</f>
        <v/>
      </c>
      <c r="DZ12" s="55">
        <f>IF(ROW()-3&gt;COUNTIF(DX$4:DX$40,"&lt;&gt;"&amp;""),"",INDEX(DX$4:DX$40,MATCH(ROW()-3,DY$4:DY$40,0)))</f>
        <v/>
      </c>
      <c r="EA12">
        <f>EA11+IF(AND(DZ12&lt;&gt;"",COUNTIF(DZ$4:DZ12,DZ12)=1),1,0)</f>
        <v/>
      </c>
      <c r="EB12" s="55">
        <f>IF(ROW()-3&gt;MAX(EA$4:EA$40),"",INDEX(DZ$4:DZ$40,MATCH(ROW()-3,EA$4:EA$40,0)))</f>
        <v/>
      </c>
      <c r="EC12" s="55">
        <f>IF(AND($B$12:$U$12,$W$12:$AJ$12),IF('Final Calculation Sheet'!$T$12="","",'Final Calculation Sheet'!$T$12),"")</f>
        <v/>
      </c>
      <c r="ED12">
        <f>IF(EC12="","",COUNTIFS(EC$4:EC$40,"&lt;"&amp;EC12,EC$4:EC$40,"&lt;&gt;"&amp;"")+COUNTIF(EC$4:EC12,EC12))</f>
        <v/>
      </c>
      <c r="EE12" s="55">
        <f>IF(ROW()-3&gt;COUNTIF(EC$4:EC$40,"&lt;&gt;"&amp;""),"",INDEX(EC$4:EC$40,MATCH(ROW()-3,ED$4:ED$40,0)))</f>
        <v/>
      </c>
      <c r="EF12">
        <f>EF11+IF(AND(EE12&lt;&gt;"",COUNTIF(EE$4:EE12,EE12)=1),1,0)</f>
        <v/>
      </c>
      <c r="EG12" s="55">
        <f>IF(ROW()-3&gt;MAX(EF$4:EF$40),"",INDEX(EE$4:EE$40,MATCH(ROW()-3,EF$4:EF$40,0)))</f>
        <v/>
      </c>
      <c r="EH12" s="140">
        <f>IF(AND($B$12:$V$12,$X$12:$AJ$12),IF('Final Calculation Sheet'!$U$12="","",'Final Calculation Sheet'!$U$12),"")</f>
        <v/>
      </c>
      <c r="EI12">
        <f>IF(EH12="","",COUNTIFS(EH$4:EH$40,"&lt;"&amp;EH12,EH$4:EH$40,"&lt;&gt;"&amp;"")+COUNTIF(EH$4:EH12,EH12))</f>
        <v/>
      </c>
      <c r="EJ12" s="140">
        <f>IF(ROW()-3&gt;COUNTIF(EH$4:EH$40,"&lt;&gt;"&amp;""),"",INDEX(EH$4:EH$40,MATCH(ROW()-3,EI$4:EI$40,0)))</f>
        <v/>
      </c>
      <c r="EK12">
        <f>EK11+IF(AND(EJ12&lt;&gt;"",COUNTIF(EJ$4:EJ12,EJ12)=1),1,0)</f>
        <v/>
      </c>
      <c r="EL12" s="140">
        <f>IF(ROW()-3&gt;MAX(EK$4:EK$40),"",INDEX(EJ$4:EJ$40,MATCH(ROW()-3,EK$4:EK$40,0)))</f>
        <v/>
      </c>
      <c r="EM12">
        <f>IF(AND($B$12:$W$12,$Y$12:$AJ$12),IF('Final Calculation Sheet'!$V$12="","",'Final Calculation Sheet'!$V$12),"")</f>
        <v/>
      </c>
      <c r="EN12">
        <f>IF(EM12="","",COUNTIFS(EM$4:EM$40,"&lt;"&amp;EM12,EM$4:EM$40,"&lt;&gt;"&amp;"")+COUNTIF(EM$4:EM12,EM12))</f>
        <v/>
      </c>
      <c r="EO12">
        <f>IF(ROW()-3&gt;COUNTIF(EM$4:EM$40,"&lt;&gt;"&amp;""),"",INDEX(EM$4:EM$40,MATCH(ROW()-3,EN$4:EN$40,0)))</f>
        <v/>
      </c>
      <c r="EP12">
        <f>EP11+IF(AND(EO12&lt;&gt;"",COUNTIF(EO$4:EO12,EO12)=1),1,0)</f>
        <v/>
      </c>
      <c r="EQ12">
        <f>IF(ROW()-3&gt;MAX(EP$4:EP$40),"",INDEX(EO$4:EO$40,MATCH(ROW()-3,EP$4:EP$40,0)))</f>
        <v/>
      </c>
      <c r="ER12" s="55">
        <f>IF(AND($B$12:$X$12,$Z$12:$AJ$12),IF('Final Calculation Sheet'!$W$12="","",'Final Calculation Sheet'!$W$12),"")</f>
        <v/>
      </c>
      <c r="ES12">
        <f>IF(ER12="","",COUNTIFS(ER$4:ER$40,"&lt;"&amp;ER12,ER$4:ER$40,"&lt;&gt;"&amp;"")+COUNTIF(ER$4:ER12,ER12))</f>
        <v/>
      </c>
      <c r="ET12" s="55">
        <f>IF(ROW()-3&gt;COUNTIF(ER$4:ER$40,"&lt;&gt;"&amp;""),"",INDEX(ER$4:ER$40,MATCH(ROW()-3,ES$4:ES$40,0)))</f>
        <v/>
      </c>
      <c r="EU12">
        <f>EU11+IF(AND(ET12&lt;&gt;"",COUNTIF(ET$4:ET12,ET12)=1),1,0)</f>
        <v/>
      </c>
      <c r="EV12" s="55">
        <f>IF(ROW()-3&gt;MAX(EU$4:EU$40),"",INDEX(ET$4:ET$40,MATCH(ROW()-3,EU$4:EU$40,0)))</f>
        <v/>
      </c>
      <c r="EW12" s="55">
        <f>IF(AND($B$12:$Y$12,$AA$12:$AJ$12),IF('Final Calculation Sheet'!$X$12="","",'Final Calculation Sheet'!$X$12),"")</f>
        <v/>
      </c>
      <c r="EX12">
        <f>IF(EW12="","",COUNTIFS(EW$4:EW$40,"&lt;"&amp;EW12,EW$4:EW$40,"&lt;&gt;"&amp;"")+COUNTIF(EW$4:EW12,EW12))</f>
        <v/>
      </c>
      <c r="EY12" s="55">
        <f>IF(ROW()-3&gt;COUNTIF(EW$4:EW$40,"&lt;&gt;"&amp;""),"",INDEX(EW$4:EW$40,MATCH(ROW()-3,EX$4:EX$40,0)))</f>
        <v/>
      </c>
      <c r="EZ12">
        <f>EZ11+IF(AND(EY12&lt;&gt;"",COUNTIF(EY$4:EY12,EY12)=1),1,0)</f>
        <v/>
      </c>
      <c r="FA12">
        <f>IF(ROW()-3&gt;MAX(EZ$4:EZ$40),"",INDEX(EY$4:EY$40,MATCH(ROW()-3,EZ$4:EZ$40,0)))</f>
        <v/>
      </c>
      <c r="FB12">
        <f>IF(AND($B$12:$Z$12,$AB$12:$AJ$12),IF('Final Calculation Sheet'!$Y$12="","",'Final Calculation Sheet'!$Y$12),"")</f>
        <v/>
      </c>
      <c r="FC12">
        <f>IF(FB12="","",COUNTIFS(FB$4:FB$40,"&lt;"&amp;FB12,FB$4:FB$40,"&lt;&gt;"&amp;"")+COUNTIF(FB$4:FB12,FB12))</f>
        <v/>
      </c>
      <c r="FD12">
        <f>IF(ROW()-3&gt;COUNTIF(FB$4:FB$40,"&lt;&gt;"&amp;""),"",INDEX(FB$4:FB$40,MATCH(ROW()-3,FC$4:FC$40,0)))</f>
        <v/>
      </c>
      <c r="FE12">
        <f>FE11+IF(AND(FD12&lt;&gt;"",COUNTIF(FD$4:FD12,FD12)=1),1,0)</f>
        <v/>
      </c>
      <c r="FF12">
        <f>IF(ROW()-3&gt;MAX(FE$4:FE$40),"",INDEX(FD$4:FD$40,MATCH(ROW()-3,FE$4:FE$40,0)))</f>
        <v/>
      </c>
      <c r="FG12" s="55">
        <f>IF(AND($B$12:$AA$12,$AC$12:$AJ$12),IF('Final Calculation Sheet'!$Z$12="","",'Final Calculation Sheet'!$Z$12),"")</f>
        <v/>
      </c>
      <c r="FH12">
        <f>IF(FG12="","",COUNTIFS(FG$4:FG$40,"&lt;"&amp;FG12,FG$4:FG$40,"&lt;&gt;"&amp;"")+COUNTIF(FG$4:FG12,FG12))</f>
        <v/>
      </c>
      <c r="FI12" s="55">
        <f>IF(ROW()-3&gt;COUNTIF(FG$4:FG$40,"&lt;&gt;"&amp;""),"",INDEX(FG$4:FG$40,MATCH(ROW()-3,FH$4:FH$40,0)))</f>
        <v/>
      </c>
      <c r="FJ12">
        <f>FJ11+IF(AND(FI12&lt;&gt;"",COUNTIF(FI$4:FI12,FI12)=1),1,0)</f>
        <v/>
      </c>
      <c r="FK12" s="55">
        <f>IF(ROW()-3&gt;MAX(FJ$4:FJ$40),"",INDEX(FI$4:FI$40,MATCH(ROW()-3,FJ$4:FJ$40,0)))</f>
        <v/>
      </c>
      <c r="FL12">
        <f>IF(AND($B$12:$AB$12,$AD$12:$AJ$12),IF('Final Calculation Sheet'!$AA$12="","",'Final Calculation Sheet'!$AA$12),"")</f>
        <v/>
      </c>
      <c r="FM12">
        <f>IF(FL12="","",COUNTIFS(FL$4:FL$40,"&lt;"&amp;FL12,FL$4:FL$40,"&lt;&gt;"&amp;"")+COUNTIF(FL$4:FL12,FL12))</f>
        <v/>
      </c>
      <c r="FN12">
        <f>IF(ROW()-3&gt;COUNTIF(FL$4:FL$40,"&lt;&gt;"&amp;""),"",INDEX(FL$4:FL$40,MATCH(ROW()-3,FM$4:FM$40,0)))</f>
        <v/>
      </c>
      <c r="FO12">
        <f>FO11+IF(AND(FN12&lt;&gt;"",COUNTIF(FN$4:FN12,FN12)=1),1,0)</f>
        <v/>
      </c>
      <c r="FP12">
        <f>IF(ROW()-3&gt;MAX(FO$4:FO$40),"",INDEX(FN$4:FN$40,MATCH(ROW()-3,FO$4:FO$40,0)))</f>
        <v/>
      </c>
      <c r="FQ12">
        <f>IF(AND($B$12:$AC$12,$AE$12:$AJ$12),IF('Final Calculation Sheet'!$AB$12="","",'Final Calculation Sheet'!$AB$12),"")</f>
        <v/>
      </c>
      <c r="FR12">
        <f>IF(FQ12="","",COUNTIFS(FQ$4:FQ$40,"&lt;"&amp;FQ12,FQ$4:FQ$40,"&lt;&gt;"&amp;"")+COUNTIF(FQ$4:FQ12,FQ12))</f>
        <v/>
      </c>
      <c r="FS12">
        <f>IF(ROW()-3&gt;COUNTIF(FQ$4:FQ$40,"&lt;&gt;"&amp;""),"",INDEX(FQ$4:FQ$40,MATCH(ROW()-3,FR$4:FR$40,0)))</f>
        <v/>
      </c>
      <c r="FT12">
        <f>FT11+IF(AND(FS12&lt;&gt;"",COUNTIF(FS$4:FS12,FS12)=1),1,0)</f>
        <v/>
      </c>
      <c r="FU12">
        <f>IF(ROW()-3&gt;MAX(FT$4:FT$40),"",INDEX(FS$4:FS$40,MATCH(ROW()-3,FT$4:FT$40,0)))</f>
        <v/>
      </c>
      <c r="FV12" s="55">
        <f>IF(AND($B$12:$AD$12,$AF$12:$AJ$12),IF('Final Calculation Sheet'!$AC$12="","",'Final Calculation Sheet'!$AC$12),"")</f>
        <v/>
      </c>
      <c r="FW12">
        <f>IF(FV12="","",COUNTIFS(FV$4:FV$40,"&lt;"&amp;FV12,FV$4:FV$40,"&lt;&gt;"&amp;"")+COUNTIF(FV$4:FV12,FV12))</f>
        <v/>
      </c>
      <c r="FX12" s="55">
        <f>IF(ROW()-3&gt;COUNTIF(FV$4:FV$40,"&lt;&gt;"&amp;""),"",INDEX(FV$4:FV$40,MATCH(ROW()-3,FW$4:FW$40,0)))</f>
        <v/>
      </c>
      <c r="FY12">
        <f>FY11+IF(AND(FX12&lt;&gt;"",COUNTIF(FX$4:FX12,FX12)=1),1,0)</f>
        <v/>
      </c>
      <c r="FZ12" s="55">
        <f>IF(ROW()-3&gt;MAX(FY$4:FY$40),"",INDEX(FX$4:FX$40,MATCH(ROW()-3,FY$4:FY$40,0)))</f>
        <v/>
      </c>
      <c r="GA12" s="55">
        <f>IF(AND($B$12:$AE$12,$AG$12:$AJ$12),IF('Final Calculation Sheet'!$AD$12="","",'Final Calculation Sheet'!$AD$12),"")</f>
        <v/>
      </c>
      <c r="GB12">
        <f>IF(GA12="","",COUNTIFS(GA$4:GA$40,"&lt;"&amp;GA12,GA$4:GA$40,"&lt;&gt;"&amp;"")+COUNTIF(GA$4:GA12,GA12))</f>
        <v/>
      </c>
      <c r="GC12" s="55">
        <f>IF(ROW()-3&gt;COUNTIF(GA$4:GA$40,"&lt;&gt;"&amp;""),"",INDEX(GA$4:GA$40,MATCH(ROW()-3,GB$4:GB$40,0)))</f>
        <v/>
      </c>
      <c r="GD12">
        <f>GD11+IF(AND(GC12&lt;&gt;"",COUNTIF(GC$4:GC12,GC12)=1),1,0)</f>
        <v/>
      </c>
      <c r="GE12" s="55">
        <f>IF(ROW()-3&gt;MAX(GD$4:GD$40),"",INDEX(GC$4:GC$40,MATCH(ROW()-3,GD$4:GD$40,0)))</f>
        <v/>
      </c>
      <c r="GF12">
        <f>IF(AND($B$12:$AF$12,$AH$12:$AJ$12),IF('Final Calculation Sheet'!$AE$12="","",'Final Calculation Sheet'!$AE$12),"")</f>
        <v/>
      </c>
      <c r="GG12">
        <f>IF(GF12="","",COUNTIFS(GF$4:GF$40,"&lt;"&amp;GF12,GF$4:GF$40,"&lt;&gt;"&amp;"")+COUNTIF(GF$4:GF12,GF12))</f>
        <v/>
      </c>
      <c r="GH12">
        <f>IF(ROW()-3&gt;COUNTIF(GF$4:GF$40,"&lt;&gt;"&amp;""),"",INDEX(GF$4:GF$40,MATCH(ROW()-3,GG$4:GG$40,0)))</f>
        <v/>
      </c>
      <c r="GI12">
        <f>GI11+IF(AND(GH12&lt;&gt;"",COUNTIF(GH$4:GH12,GH12)=1),1,0)</f>
        <v/>
      </c>
      <c r="GJ12">
        <f>IF(ROW()-3&gt;MAX(GI$4:GI$40),"",INDEX(GH$4:GH$40,MATCH(ROW()-3,GI$4:GI$40,0)))</f>
        <v/>
      </c>
      <c r="GK12" s="141">
        <f>IF(AND($B$12:$AG$12,$AI$12:$AJ$12),IF('Final Calculation Sheet'!$AF$12="","",'Final Calculation Sheet'!$AF$12),"")</f>
        <v/>
      </c>
      <c r="GL12">
        <f>IF(GK12="","",COUNTIFS(GK$4:GK$40,"&lt;"&amp;GK12,GK$4:GK$40,"&lt;&gt;"&amp;"")+COUNTIF(GK$4:GK12,GK12))</f>
        <v/>
      </c>
      <c r="GM12" s="141">
        <f>IF(ROW()-3&gt;COUNTIF(GK$4:GK$40,"&lt;&gt;"&amp;""),"",INDEX(GK$4:GK$40,MATCH(ROW()-3,GL$4:GL$40,0)))</f>
        <v/>
      </c>
      <c r="GN12">
        <f>GN11+IF(AND(GM12&lt;&gt;"",COUNTIF(GM$4:GM12,GM12)=1),1,0)</f>
        <v/>
      </c>
      <c r="GO12">
        <f>IF(ROW()-3&gt;MAX(GN$4:GN$40),"",INDEX(GM$4:GM$40,MATCH(ROW()-3,GN$4:GN$40,0)))</f>
        <v/>
      </c>
      <c r="GP12">
        <f>IF(AND($B$12:$AH$12,$AJ$12:$AJ$12),IF('Final Calculation Sheet'!$AG$12="","",'Final Calculation Sheet'!$AG$12),"")</f>
        <v/>
      </c>
      <c r="GQ12">
        <f>IF(GP12="","",COUNTIFS(GP$4:GP$40,"&lt;"&amp;GP12,GP$4:GP$40,"&lt;&gt;"&amp;"")+COUNTIF(GP$4:GP12,GP12))</f>
        <v/>
      </c>
      <c r="GR12">
        <f>IF(ROW()-3&gt;COUNTIF(GP$4:GP$40,"&lt;&gt;"&amp;""),"",INDEX(GP$4:GP$40,MATCH(ROW()-3,GQ$4:GQ$40,0)))</f>
        <v/>
      </c>
      <c r="GS12">
        <f>GS11+IF(AND(GR12&lt;&gt;"",COUNTIF(GR$4:GR12,GR12)=1),1,0)</f>
        <v/>
      </c>
      <c r="GT12">
        <f>IF(ROW()-3&gt;MAX(GS$4:GS$40),"",INDEX(GR$4:GR$40,MATCH(ROW()-3,GS$4:GS$40,0)))</f>
        <v/>
      </c>
    </row>
    <row r="13">
      <c r="A13" t="inlineStr">
        <is>
          <t>Final row 13</t>
        </is>
      </c>
      <c r="B13" t="b">
        <v>1</v>
      </c>
      <c r="C13">
        <f>IF($C$3=FALSE,TRUE,IF(OR(UPPER(TRIM($C$2))="(BLANK)",UPPER(TRIM($C$2))="BLANK",AND($C$2&lt;&gt;"",TRIM($C$2)="")),(IF('Final Calculation Sheet'!$F$13="","",'Final Calculation Sheet'!$F$13))="",IF(OR(UPPER(TRIM($C$2))="(NONBLANK)",UPPER(TRIM($C$2))="NONBLANK",TRIM($C$2)="&lt;&gt;"),(IF('Final Calculation Sheet'!$F$13="","",'Final Calculation Sheet'!$F$13))&lt;&gt;"",UPPER(TRIM((IF('Final Calculation Sheet'!$F$13="","",'Final Calculation Sheet'!$F$13))&amp;""))=UPPER(TRIM($C$2&amp;"")))))</f>
        <v/>
      </c>
      <c r="D13">
        <f>IF($D$3=FALSE,TRUE,IF(OR(UPPER(TRIM($D$2))="(BLANK)",UPPER(TRIM($D$2))="BLANK",AND($D$2&lt;&gt;"",TRIM($D$2)="")),(IF('Final Calculation Sheet'!$G$13="","",'Final Calculation Sheet'!$G$13))="",IF(OR(UPPER(TRIM($D$2))="(NONBLANK)",UPPER(TRIM($D$2))="NONBLANK",TRIM($D$2)="&lt;&gt;"),(IF('Final Calculation Sheet'!$G$13="","",'Final Calculation Sheet'!$G$13))&lt;&gt;"",UPPER(TRIM((IF('Final Calculation Sheet'!$G$13="","",'Final Calculation Sheet'!$G$13))&amp;""))=UPPER(TRIM($D$2&amp;"")))))</f>
        <v/>
      </c>
      <c r="E13">
        <f>IF($E$3=FALSE,TRUE,IF(OR(UPPER(TRIM($E$2))="(BLANK)",UPPER(TRIM($E$2))="BLANK",AND($E$2&lt;&gt;"",TRIM($E$2)="")),(IF('Final Calculation Sheet'!$B$13="","",'Final Calculation Sheet'!$B$13))="",IF(OR(UPPER(TRIM($E$2))="(NONBLANK)",UPPER(TRIM($E$2))="NONBLANK",TRIM($E$2)="&lt;&gt;"),(IF('Final Calculation Sheet'!$B$13="","",'Final Calculation Sheet'!$B$13))&lt;&gt;"",UPPER(TRIM((IF('Final Calculation Sheet'!$B$13="","",'Final Calculation Sheet'!$B$13))&amp;""))=UPPER(TRIM($E$2&amp;"")))))</f>
        <v/>
      </c>
      <c r="F13">
        <f>IF($F$3=FALSE,TRUE,IF(OR(UPPER(TRIM($F$2))="(BLANK)",UPPER(TRIM($F$2))="BLANK",AND($F$2&lt;&gt;"",TRIM($F$2)="")),(IF('Final Calculation Sheet'!$D$13="","",'Final Calculation Sheet'!$D$13))="",IF(OR(UPPER(TRIM($F$2))="(NONBLANK)",UPPER(TRIM($F$2))="NONBLANK",TRIM($F$2)="&lt;&gt;"),(IF('Final Calculation Sheet'!$D$13="","",'Final Calculation Sheet'!$D$13))&lt;&gt;"",UPPER(TRIM((IF('Final Calculation Sheet'!$D$13="","",'Final Calculation Sheet'!$D$13))&amp;""))=UPPER(TRIM($F$2&amp;"")))))</f>
        <v/>
      </c>
      <c r="G13">
        <f>IF($G$3=FALSE,TRUE,IF(OR(UPPER(TRIM($G$2))="(BLANK)",UPPER(TRIM($G$2))="BLANK",AND($G$2&lt;&gt;"",TRIM($G$2)="")),(IF('Final Calculation Sheet'!$A$13="","",'Final Calculation Sheet'!$A$13))="",IF(OR(UPPER(TRIM($G$2))="(NONBLANK)",UPPER(TRIM($G$2))="NONBLANK",TRIM($G$2)="&lt;&gt;"),(IF('Final Calculation Sheet'!$A$13="","",'Final Calculation Sheet'!$A$13))&lt;&gt;"",UPPER(TRIM((IF('Final Calculation Sheet'!$A$13="","",'Final Calculation Sheet'!$A$13))&amp;""))=UPPER(TRIM($G$2&amp;"")))))</f>
        <v/>
      </c>
      <c r="H13">
        <f>IF($H$3=FALSE,TRUE,IF(OR(UPPER(TRIM($H$2))="(BLANK)",UPPER(TRIM($H$2))="BLANK",AND($H$2&lt;&gt;"",TRIM($H$2)="")),(IF('Final Calculation Sheet'!$E$13="","",'Final Calculation Sheet'!$E$13))="",IF(OR(UPPER(TRIM($H$2))="(NONBLANK)",UPPER(TRIM($H$2))="NONBLANK",TRIM($H$2)="&lt;&gt;"),(IF('Final Calculation Sheet'!$E$13="","",'Final Calculation Sheet'!$E$13))&lt;&gt;"",UPPER(TRIM((IF('Final Calculation Sheet'!$E$13="","",'Final Calculation Sheet'!$E$13))&amp;""))=UPPER(TRIM($H$2&amp;"")))))</f>
        <v/>
      </c>
      <c r="I13">
        <f>IF($I$3=FALSE,TRUE,IF(OR(UPPER(TRIM($I$2))="(BLANK)",UPPER(TRIM($I$2))="BLANK",AND($I$2&lt;&gt;"",TRIM($I$2)="")),(IF('Final Calculation Sheet'!$C$13="","",'Final Calculation Sheet'!$C$13))="",IF(OR(UPPER(TRIM($I$2))="(NONBLANK)",UPPER(TRIM($I$2))="NONBLANK",TRIM($I$2)="&lt;&gt;"),(IF('Final Calculation Sheet'!$C$13="","",'Final Calculation Sheet'!$C$13))&lt;&gt;"",UPPER(TRIM((IF('Final Calculation Sheet'!$C$13="","",'Final Calculation Sheet'!$C$13))&amp;""))=UPPER(TRIM($I$2&amp;"")))))</f>
        <v/>
      </c>
      <c r="J13">
        <f>IF($J$3=FALSE,TRUE,IF(OR(UPPER(TRIM($J$2))="(BLANK)",UPPER(TRIM($J$2))="BLANK",AND($J$2&lt;&gt;"",TRIM($J$2)="")),(IF('Final Calculation Sheet'!$H$13="","",'Final Calculation Sheet'!$H$13))="",IF(OR(UPPER(TRIM($J$2))="(NONBLANK)",UPPER(TRIM($J$2))="NONBLANK",TRIM($J$2)="&lt;&gt;"),(IF('Final Calculation Sheet'!$H$13="","",'Final Calculation Sheet'!$H$13))&lt;&gt;"",UPPER(TRIM((IF('Final Calculation Sheet'!$H$13="","",'Final Calculation Sheet'!$H$13))&amp;""))=UPPER(TRIM($J$2&amp;"")))))</f>
        <v/>
      </c>
      <c r="K13">
        <f>IF($K$3=FALSE,TRUE,IF(OR(UPPER(TRIM($K$2))="(BLANK)",UPPER(TRIM($K$2))="BLANK",AND($K$2&lt;&gt;"",TRIM($K$2)="")),(IF('Final Calculation Sheet'!$I$13="","",'Final Calculation Sheet'!$I$13))="",IF(OR(UPPER(TRIM($K$2))="(NONBLANK)",UPPER(TRIM($K$2))="NONBLANK",TRIM($K$2)="&lt;&gt;"),(IF('Final Calculation Sheet'!$I$13="","",'Final Calculation Sheet'!$I$13))&lt;&gt;"",UPPER(TRIM((IF('Final Calculation Sheet'!$I$13="","",'Final Calculation Sheet'!$I$13))&amp;""))=UPPER(TRIM($K$2&amp;"")))))</f>
        <v/>
      </c>
      <c r="L13">
        <f>IF($L$3=FALSE,TRUE,IF(OR(UPPER(TRIM($L$2))="(BLANK)",UPPER(TRIM($L$2))="BLANK",AND($L$2&lt;&gt;"",TRIM($L$2)="")),(IF('Final Calculation Sheet'!$J$13="","",'Final Calculation Sheet'!$J$13))="",IF(OR(UPPER(TRIM($L$2))="(NONBLANK)",UPPER(TRIM($L$2))="NONBLANK",TRIM($L$2)="&lt;&gt;"),(IF('Final Calculation Sheet'!$J$13="","",'Final Calculation Sheet'!$J$13))&lt;&gt;"",UPPER(TRIM((IF('Final Calculation Sheet'!$J$13="","",'Final Calculation Sheet'!$J$13))&amp;""))=UPPER(TRIM($L$2&amp;"")))))</f>
        <v/>
      </c>
      <c r="M13">
        <f>IF($M$3=FALSE,TRUE,IF(OR(UPPER(TRIM($M$2))="(BLANK)",UPPER(TRIM($M$2))="BLANK",AND($M$2&lt;&gt;"",TRIM($M$2)="")),(IF('Final Calculation Sheet'!$K$13="","",'Final Calculation Sheet'!$K$13))="",IF(OR(UPPER(TRIM($M$2))="(NONBLANK)",UPPER(TRIM($M$2))="NONBLANK",TRIM($M$2)="&lt;&gt;"),(IF('Final Calculation Sheet'!$K$13="","",'Final Calculation Sheet'!$K$13))&lt;&gt;"",UPPER(TRIM((IF('Final Calculation Sheet'!$K$13="","",'Final Calculation Sheet'!$K$13))&amp;""))=UPPER(TRIM($M$2&amp;"")))))</f>
        <v/>
      </c>
      <c r="N13">
        <f>IF($N$3=FALSE,TRUE,IF(OR(UPPER(TRIM($N$2))="(BLANK)",UPPER(TRIM($N$2))="BLANK",AND($N$2&lt;&gt;"",TRIM($N$2)="")),(IF('Final Calculation Sheet'!$L$13="","",'Final Calculation Sheet'!$L$13))="",IF(OR(UPPER(TRIM($N$2))="(NONBLANK)",UPPER(TRIM($N$2))="NONBLANK",TRIM($N$2)="&lt;&gt;"),(IF('Final Calculation Sheet'!$L$13="","",'Final Calculation Sheet'!$L$13))&lt;&gt;"",UPPER(TRIM((IF('Final Calculation Sheet'!$L$13="","",'Final Calculation Sheet'!$L$13))&amp;""))=UPPER(TRIM($N$2&amp;"")))))</f>
        <v/>
      </c>
      <c r="O13">
        <f>IF($O$3=FALSE,TRUE,IF(OR(UPPER(TRIM($O$2))="(BLANK)",UPPER(TRIM($O$2))="BLANK",AND($O$2&lt;&gt;"",TRIM($O$2)="")),(IF('Final Calculation Sheet'!$M$13="","",'Final Calculation Sheet'!$M$13))="",IF(OR(UPPER(TRIM($O$2))="(NONBLANK)",UPPER(TRIM($O$2))="NONBLANK",TRIM($O$2)="&lt;&gt;"),(IF('Final Calculation Sheet'!$M$13="","",'Final Calculation Sheet'!$M$13))&lt;&gt;"",UPPER(TRIM((IF('Final Calculation Sheet'!$M$13="","",'Final Calculation Sheet'!$M$13))&amp;""))=UPPER(TRIM($O$2&amp;"")))))</f>
        <v/>
      </c>
      <c r="P13">
        <f>IF($P$3=FALSE,TRUE,IF(OR(UPPER(TRIM($P$2))="(BLANK)",UPPER(TRIM($P$2))="BLANK",AND($P$2&lt;&gt;"",TRIM($P$2)="")),(IF('Final Calculation Sheet'!$N$13="","",'Final Calculation Sheet'!$N$13))="",IF(OR(UPPER(TRIM($P$2))="(NONBLANK)",UPPER(TRIM($P$2))="NONBLANK",TRIM($P$2)="&lt;&gt;"),(IF('Final Calculation Sheet'!$N$13="","",'Final Calculation Sheet'!$N$13))&lt;&gt;"",UPPER(TRIM((IF('Final Calculation Sheet'!$N$13="","",'Final Calculation Sheet'!$N$13))&amp;""))=UPPER(TRIM($P$2&amp;"")))))</f>
        <v/>
      </c>
      <c r="Q13">
        <f>IF($Q$3=FALSE,TRUE,IF(OR(UPPER(TRIM($Q$2))="(BLANK)",UPPER(TRIM($Q$2))="BLANK",AND($Q$2&lt;&gt;"",TRIM($Q$2)="")),(IF('Final Calculation Sheet'!$O$13="","",'Final Calculation Sheet'!$O$13))="",IF(OR(UPPER(TRIM($Q$2))="(NONBLANK)",UPPER(TRIM($Q$2))="NONBLANK",TRIM($Q$2)="&lt;&gt;"),(IF('Final Calculation Sheet'!$O$13="","",'Final Calculation Sheet'!$O$13))&lt;&gt;"",UPPER(TRIM((IF('Final Calculation Sheet'!$O$13="","",'Final Calculation Sheet'!$O$13))&amp;""))=UPPER(TRIM($Q$2&amp;"")))))</f>
        <v/>
      </c>
      <c r="R13">
        <f>IF($R$3=FALSE,TRUE,IF(OR(UPPER(TRIM($R$2))="(BLANK)",UPPER(TRIM($R$2))="BLANK",AND($R$2&lt;&gt;"",TRIM($R$2)="")),(IF('Final Calculation Sheet'!$P$13="","",'Final Calculation Sheet'!$P$13))="",IF(OR(UPPER(TRIM($R$2))="(NONBLANK)",UPPER(TRIM($R$2))="NONBLANK",TRIM($R$2)="&lt;&gt;"),(IF('Final Calculation Sheet'!$P$13="","",'Final Calculation Sheet'!$P$13))&lt;&gt;"",UPPER(TRIM((IF('Final Calculation Sheet'!$P$13="","",'Final Calculation Sheet'!$P$13))&amp;""))=UPPER(TRIM($R$2&amp;"")))))</f>
        <v/>
      </c>
      <c r="S13">
        <f>IF($S$3=FALSE,TRUE,IF(OR(UPPER(TRIM($S$2))="(BLANK)",UPPER(TRIM($S$2))="BLANK",AND($S$2&lt;&gt;"",TRIM($S$2)="")),(IF('Final Calculation Sheet'!$Q$13="","",'Final Calculation Sheet'!$Q$13))="",IF(OR(UPPER(TRIM($S$2))="(NONBLANK)",UPPER(TRIM($S$2))="NONBLANK",TRIM($S$2)="&lt;&gt;"),(IF('Final Calculation Sheet'!$Q$13="","",'Final Calculation Sheet'!$Q$13))&lt;&gt;"",UPPER(TRIM((IF('Final Calculation Sheet'!$Q$13="","",'Final Calculation Sheet'!$Q$13))&amp;""))=UPPER(TRIM($S$2&amp;"")))))</f>
        <v/>
      </c>
      <c r="T13">
        <f>IF($T$3=FALSE,TRUE,IF(OR(UPPER(TRIM($T$2))="(BLANK)",UPPER(TRIM($T$2))="BLANK",AND($T$2&lt;&gt;"",TRIM($T$2)="")),(IF('Final Calculation Sheet'!$R$13="","",'Final Calculation Sheet'!$R$13))="",IF(OR(UPPER(TRIM($T$2))="(NONBLANK)",UPPER(TRIM($T$2))="NONBLANK",TRIM($T$2)="&lt;&gt;"),(IF('Final Calculation Sheet'!$R$13="","",'Final Calculation Sheet'!$R$13))&lt;&gt;"",UPPER(TRIM((IF('Final Calculation Sheet'!$R$13="","",'Final Calculation Sheet'!$R$13))&amp;""))=UPPER(TRIM($T$2&amp;"")))))</f>
        <v/>
      </c>
      <c r="U13">
        <f>IF($U$3=FALSE,TRUE,IF(OR(UPPER(TRIM($U$2))="(BLANK)",UPPER(TRIM($U$2))="BLANK",AND($U$2&lt;&gt;"",TRIM($U$2)="")),(IF('Final Calculation Sheet'!$S$13="","",'Final Calculation Sheet'!$S$13))="",IF(OR(UPPER(TRIM($U$2))="(NONBLANK)",UPPER(TRIM($U$2))="NONBLANK",TRIM($U$2)="&lt;&gt;"),(IF('Final Calculation Sheet'!$S$13="","",'Final Calculation Sheet'!$S$13))&lt;&gt;"",UPPER(TRIM((IF('Final Calculation Sheet'!$S$13="","",'Final Calculation Sheet'!$S$13))&amp;""))=UPPER(TRIM($U$2&amp;"")))))</f>
        <v/>
      </c>
      <c r="V13">
        <f>IF($V$3=FALSE,TRUE,IF(OR(UPPER(TRIM($V$2))="(BLANK)",UPPER(TRIM($V$2))="BLANK",AND($V$2&lt;&gt;"",TRIM($V$2)="")),(IF('Final Calculation Sheet'!$T$13="","",'Final Calculation Sheet'!$T$13))="",IF(OR(UPPER(TRIM($V$2))="(NONBLANK)",UPPER(TRIM($V$2))="NONBLANK",TRIM($V$2)="&lt;&gt;"),(IF('Final Calculation Sheet'!$T$13="","",'Final Calculation Sheet'!$T$13))&lt;&gt;"",UPPER(TRIM((IF('Final Calculation Sheet'!$T$13="","",'Final Calculation Sheet'!$T$13))&amp;""))=UPPER(TRIM($V$2&amp;"")))))</f>
        <v/>
      </c>
      <c r="W13">
        <f>IF($W$3=FALSE,TRUE,IF(OR(UPPER(TRIM($W$2))="(BLANK)",UPPER(TRIM($W$2))="BLANK",AND($W$2&lt;&gt;"",TRIM($W$2)="")),(IF('Final Calculation Sheet'!$U$13="","",'Final Calculation Sheet'!$U$13))="",IF(OR(UPPER(TRIM($W$2))="(NONBLANK)",UPPER(TRIM($W$2))="NONBLANK",TRIM($W$2)="&lt;&gt;"),(IF('Final Calculation Sheet'!$U$13="","",'Final Calculation Sheet'!$U$13))&lt;&gt;"",UPPER(TRIM((IF('Final Calculation Sheet'!$U$13="","",'Final Calculation Sheet'!$U$13))&amp;""))=UPPER(TRIM($W$2&amp;"")))))</f>
        <v/>
      </c>
      <c r="X13">
        <f>IF($X$3=FALSE,TRUE,IF(OR(UPPER(TRIM($X$2))="(BLANK)",UPPER(TRIM($X$2))="BLANK",AND($X$2&lt;&gt;"",TRIM($X$2)="")),(IF('Final Calculation Sheet'!$V$13="","",'Final Calculation Sheet'!$V$13))="",IF(OR(UPPER(TRIM($X$2))="(NONBLANK)",UPPER(TRIM($X$2))="NONBLANK",TRIM($X$2)="&lt;&gt;"),(IF('Final Calculation Sheet'!$V$13="","",'Final Calculation Sheet'!$V$13))&lt;&gt;"",UPPER(TRIM((IF('Final Calculation Sheet'!$V$13="","",'Final Calculation Sheet'!$V$13))&amp;""))=UPPER(TRIM($X$2&amp;"")))))</f>
        <v/>
      </c>
      <c r="Y13">
        <f>IF($Y$3=FALSE,TRUE,IF(OR(UPPER(TRIM($Y$2))="(BLANK)",UPPER(TRIM($Y$2))="BLANK",AND($Y$2&lt;&gt;"",TRIM($Y$2)="")),(IF('Final Calculation Sheet'!$W$13="","",'Final Calculation Sheet'!$W$13))="",IF(OR(UPPER(TRIM($Y$2))="(NONBLANK)",UPPER(TRIM($Y$2))="NONBLANK",TRIM($Y$2)="&lt;&gt;"),(IF('Final Calculation Sheet'!$W$13="","",'Final Calculation Sheet'!$W$13))&lt;&gt;"",UPPER(TRIM((IF('Final Calculation Sheet'!$W$13="","",'Final Calculation Sheet'!$W$13))&amp;""))=UPPER(TRIM($Y$2&amp;"")))))</f>
        <v/>
      </c>
      <c r="Z13">
        <f>IF($Z$3=FALSE,TRUE,IF(OR(UPPER(TRIM($Z$2))="(BLANK)",UPPER(TRIM($Z$2))="BLANK",AND($Z$2&lt;&gt;"",TRIM($Z$2)="")),(IF('Final Calculation Sheet'!$X$13="","",'Final Calculation Sheet'!$X$13))="",IF(OR(UPPER(TRIM($Z$2))="(NONBLANK)",UPPER(TRIM($Z$2))="NONBLANK",TRIM($Z$2)="&lt;&gt;"),(IF('Final Calculation Sheet'!$X$13="","",'Final Calculation Sheet'!$X$13))&lt;&gt;"",UPPER(TRIM((IF('Final Calculation Sheet'!$X$13="","",'Final Calculation Sheet'!$X$13))&amp;""))=UPPER(TRIM($Z$2&amp;"")))))</f>
        <v/>
      </c>
      <c r="AA13">
        <f>IF($AA$3=FALSE,TRUE,IF(OR(UPPER(TRIM($AA$2))="(BLANK)",UPPER(TRIM($AA$2))="BLANK",AND($AA$2&lt;&gt;"",TRIM($AA$2)="")),(IF('Final Calculation Sheet'!$Y$13="","",'Final Calculation Sheet'!$Y$13))="",IF(OR(UPPER(TRIM($AA$2))="(NONBLANK)",UPPER(TRIM($AA$2))="NONBLANK",TRIM($AA$2)="&lt;&gt;"),(IF('Final Calculation Sheet'!$Y$13="","",'Final Calculation Sheet'!$Y$13))&lt;&gt;"",UPPER(TRIM((IF('Final Calculation Sheet'!$Y$13="","",'Final Calculation Sheet'!$Y$13))&amp;""))=UPPER(TRIM($AA$2&amp;"")))))</f>
        <v/>
      </c>
      <c r="AB13">
        <f>IF($AB$3=FALSE,TRUE,IF(OR(UPPER(TRIM($AB$2))="(BLANK)",UPPER(TRIM($AB$2))="BLANK",AND($AB$2&lt;&gt;"",TRIM($AB$2)="")),(IF('Final Calculation Sheet'!$Z$13="","",'Final Calculation Sheet'!$Z$13))="",IF(OR(UPPER(TRIM($AB$2))="(NONBLANK)",UPPER(TRIM($AB$2))="NONBLANK",TRIM($AB$2)="&lt;&gt;"),(IF('Final Calculation Sheet'!$Z$13="","",'Final Calculation Sheet'!$Z$13))&lt;&gt;"",UPPER(TRIM((IF('Final Calculation Sheet'!$Z$13="","",'Final Calculation Sheet'!$Z$13))&amp;""))=UPPER(TRIM($AB$2&amp;"")))))</f>
        <v/>
      </c>
      <c r="AC13">
        <f>IF($AC$3=FALSE,TRUE,IF(OR(UPPER(TRIM($AC$2))="(BLANK)",UPPER(TRIM($AC$2))="BLANK",AND($AC$2&lt;&gt;"",TRIM($AC$2)="")),(IF('Final Calculation Sheet'!$AA$13="","",'Final Calculation Sheet'!$AA$13))="",IF(OR(UPPER(TRIM($AC$2))="(NONBLANK)",UPPER(TRIM($AC$2))="NONBLANK",TRIM($AC$2)="&lt;&gt;"),(IF('Final Calculation Sheet'!$AA$13="","",'Final Calculation Sheet'!$AA$13))&lt;&gt;"",UPPER(TRIM((IF('Final Calculation Sheet'!$AA$13="","",'Final Calculation Sheet'!$AA$13))&amp;""))=UPPER(TRIM($AC$2&amp;"")))))</f>
        <v/>
      </c>
      <c r="AD13">
        <f>IF($AD$3=FALSE,TRUE,IF(OR(UPPER(TRIM($AD$2))="(BLANK)",UPPER(TRIM($AD$2))="BLANK",AND($AD$2&lt;&gt;"",TRIM($AD$2)="")),(IF('Final Calculation Sheet'!$AB$13="","",'Final Calculation Sheet'!$AB$13))="",IF(OR(UPPER(TRIM($AD$2))="(NONBLANK)",UPPER(TRIM($AD$2))="NONBLANK",TRIM($AD$2)="&lt;&gt;"),(IF('Final Calculation Sheet'!$AB$13="","",'Final Calculation Sheet'!$AB$13))&lt;&gt;"",UPPER(TRIM((IF('Final Calculation Sheet'!$AB$13="","",'Final Calculation Sheet'!$AB$13))&amp;""))=UPPER(TRIM($AD$2&amp;"")))))</f>
        <v/>
      </c>
      <c r="AE13">
        <f>IF($AE$3=FALSE,TRUE,IF(OR(UPPER(TRIM($AE$2))="(BLANK)",UPPER(TRIM($AE$2))="BLANK",AND($AE$2&lt;&gt;"",TRIM($AE$2)="")),(IF('Final Calculation Sheet'!$AC$13="","",'Final Calculation Sheet'!$AC$13))="",IF(OR(UPPER(TRIM($AE$2))="(NONBLANK)",UPPER(TRIM($AE$2))="NONBLANK",TRIM($AE$2)="&lt;&gt;"),(IF('Final Calculation Sheet'!$AC$13="","",'Final Calculation Sheet'!$AC$13))&lt;&gt;"",UPPER(TRIM((IF('Final Calculation Sheet'!$AC$13="","",'Final Calculation Sheet'!$AC$13))&amp;""))=UPPER(TRIM($AE$2&amp;"")))))</f>
        <v/>
      </c>
      <c r="AF13">
        <f>IF($AF$3=FALSE,TRUE,IF(OR(UPPER(TRIM($AF$2))="(BLANK)",UPPER(TRIM($AF$2))="BLANK",AND($AF$2&lt;&gt;"",TRIM($AF$2)="")),(IF('Final Calculation Sheet'!$AD$13="","",'Final Calculation Sheet'!$AD$13))="",IF(OR(UPPER(TRIM($AF$2))="(NONBLANK)",UPPER(TRIM($AF$2))="NONBLANK",TRIM($AF$2)="&lt;&gt;"),(IF('Final Calculation Sheet'!$AD$13="","",'Final Calculation Sheet'!$AD$13))&lt;&gt;"",UPPER(TRIM((IF('Final Calculation Sheet'!$AD$13="","",'Final Calculation Sheet'!$AD$13))&amp;""))=UPPER(TRIM($AF$2&amp;"")))))</f>
        <v/>
      </c>
      <c r="AG13">
        <f>IF($AG$3=FALSE,TRUE,IF(OR(UPPER(TRIM($AG$2))="(BLANK)",UPPER(TRIM($AG$2))="BLANK",AND($AG$2&lt;&gt;"",TRIM($AG$2)="")),(IF('Final Calculation Sheet'!$AE$13="","",'Final Calculation Sheet'!$AE$13))="",IF(OR(UPPER(TRIM($AG$2))="(NONBLANK)",UPPER(TRIM($AG$2))="NONBLANK",TRIM($AG$2)="&lt;&gt;"),(IF('Final Calculation Sheet'!$AE$13="","",'Final Calculation Sheet'!$AE$13))&lt;&gt;"",UPPER(TRIM((IF('Final Calculation Sheet'!$AE$13="","",'Final Calculation Sheet'!$AE$13))&amp;""))=UPPER(TRIM($AG$2&amp;"")))))</f>
        <v/>
      </c>
      <c r="AH13">
        <f>IF($AH$3=FALSE,TRUE,IF(OR(UPPER(TRIM($AH$2))="(BLANK)",UPPER(TRIM($AH$2))="BLANK",AND($AH$2&lt;&gt;"",TRIM($AH$2)="")),(IF('Final Calculation Sheet'!$AF$13="","",'Final Calculation Sheet'!$AF$13))="",IF(OR(UPPER(TRIM($AH$2))="(NONBLANK)",UPPER(TRIM($AH$2))="NONBLANK",TRIM($AH$2)="&lt;&gt;"),(IF('Final Calculation Sheet'!$AF$13="","",'Final Calculation Sheet'!$AF$13))&lt;&gt;"",UPPER(TRIM((IF('Final Calculation Sheet'!$AF$13="","",'Final Calculation Sheet'!$AF$13))&amp;""))=UPPER(TRIM($AH$2&amp;"")))))</f>
        <v/>
      </c>
      <c r="AI13">
        <f>IF($AI$3=FALSE,TRUE,IF(OR(UPPER(TRIM($AI$2))="(BLANK)",UPPER(TRIM($AI$2))="BLANK",AND($AI$2&lt;&gt;"",TRIM($AI$2)="")),(IF('Final Calculation Sheet'!$AG$13="","",'Final Calculation Sheet'!$AG$13))="",IF(OR(UPPER(TRIM($AI$2))="(NONBLANK)",UPPER(TRIM($AI$2))="NONBLANK",TRIM($AI$2)="&lt;&gt;"),(IF('Final Calculation Sheet'!$AG$13="","",'Final Calculation Sheet'!$AG$13))&lt;&gt;"",UPPER(TRIM((IF('Final Calculation Sheet'!$AG$13="","",'Final Calculation Sheet'!$AG$13))&amp;""))=UPPER(TRIM($AI$2&amp;"")))))</f>
        <v/>
      </c>
      <c r="AJ13">
        <f>IF($AJ$3=FALSE,TRUE,IF(OR(UPPER(TRIM($AJ$2))="(BLANK)",UPPER(TRIM($AJ$2))="BLANK",AND($AJ$2&lt;&gt;"",TRIM($AJ$2)="")),(IF('Final Calculation Sheet'!$AD$13="","",IF('Final Calculation Sheet'!$AD$13&lt;=5,"SETTLED","OUTSTANDING")))="",IF(OR(UPPER(TRIM($AJ$2))="(NONBLANK)",UPPER(TRIM($AJ$2))="NONBLANK",TRIM($AJ$2)="&lt;&gt;"),(IF('Final Calculation Sheet'!$AD$13="","",IF('Final Calculation Sheet'!$AD$13&lt;=5,"SETTLED","OUTSTANDING")))&lt;&gt;"",UPPER(TRIM((IF('Final Calculation Sheet'!$AD$13="","",IF('Final Calculation Sheet'!$AD$13&lt;=5,"SETTLED","OUTSTANDING")))&amp;""))=UPPER(TRIM($AJ$2&amp;"")))))</f>
        <v/>
      </c>
      <c r="AL13">
        <f>IF(AND($B$13,$D$13:$AJ$13),IF('Final Calculation Sheet'!$F$13="","",'Final Calculation Sheet'!$F$13),"")</f>
        <v/>
      </c>
      <c r="AM13">
        <f>IF(AL13="","",COUNTIFS(AL$4:AL$40,"&lt;"&amp;AL13,AL$4:AL$40,"&lt;&gt;"&amp;"")+COUNTIF(AL$4:AL13,AL13))</f>
        <v/>
      </c>
      <c r="AN13">
        <f>IF(ROW()-3&gt;COUNTIF(AL$4:AL$40,"&lt;&gt;"&amp;""),"",INDEX(AL$4:AL$40,MATCH(ROW()-3,AM$4:AM$40,0)))</f>
        <v/>
      </c>
      <c r="AO13">
        <f>AO12+IF(AND(AN13&lt;&gt;"",COUNTIF(AN$4:AN13,AN13)=1),1,0)</f>
        <v/>
      </c>
      <c r="AP13">
        <f>IF(ROW()-3&gt;MAX(AO$4:AO$40),"",INDEX(AN$4:AN$40,MATCH(ROW()-3,AO$4:AO$40,0)))</f>
        <v/>
      </c>
      <c r="AQ13">
        <f>IF(AND($B$13:$C$13,$E$13:$AJ$13),IF('Final Calculation Sheet'!$G$13="","",'Final Calculation Sheet'!$G$13),"")</f>
        <v/>
      </c>
      <c r="AR13">
        <f>IF(AQ13="","",COUNTIFS(AQ$4:AQ$40,"&lt;"&amp;AQ13,AQ$4:AQ$40,"&lt;&gt;"&amp;"")+COUNTIF(AQ$4:AQ13,AQ13))</f>
        <v/>
      </c>
      <c r="AS13">
        <f>IF(ROW()-3&gt;COUNTIF(AQ$4:AQ$40,"&lt;&gt;"&amp;""),"",INDEX(AQ$4:AQ$40,MATCH(ROW()-3,AR$4:AR$40,0)))</f>
        <v/>
      </c>
      <c r="AT13">
        <f>AT12+IF(AND(AS13&lt;&gt;"",COUNTIF(AS$4:AS13,AS13)=1),1,0)</f>
        <v/>
      </c>
      <c r="AU13">
        <f>IF(ROW()-3&gt;MAX(AT$4:AT$40),"",INDEX(AS$4:AS$40,MATCH(ROW()-3,AT$4:AT$40,0)))</f>
        <v/>
      </c>
      <c r="AV13">
        <f>IF(AND($B$13:$D$13,$F$13:$AJ$13),IF('Final Calculation Sheet'!$B$13="","",'Final Calculation Sheet'!$B$13),"")</f>
        <v/>
      </c>
      <c r="AW13">
        <f>IF(AV13="","",COUNTIFS(AV$4:AV$40,"&lt;"&amp;AV13,AV$4:AV$40,"&lt;&gt;"&amp;"")+COUNTIF(AV$4:AV13,AV13))</f>
        <v/>
      </c>
      <c r="AX13">
        <f>IF(ROW()-3&gt;COUNTIF(AV$4:AV$40,"&lt;&gt;"&amp;""),"",INDEX(AV$4:AV$40,MATCH(ROW()-3,AW$4:AW$40,0)))</f>
        <v/>
      </c>
      <c r="AY13">
        <f>AY12+IF(AND(AX13&lt;&gt;"",COUNTIF(AX$4:AX13,AX13)=1),1,0)</f>
        <v/>
      </c>
      <c r="AZ13">
        <f>IF(ROW()-3&gt;MAX(AY$4:AY$40),"",INDEX(AX$4:AX$40,MATCH(ROW()-3,AY$4:AY$40,0)))</f>
        <v/>
      </c>
      <c r="BA13">
        <f>IF(AND($B$13:$E$13,$G$13:$AJ$13),IF('Final Calculation Sheet'!$D$13="","",'Final Calculation Sheet'!$D$13),"")</f>
        <v/>
      </c>
      <c r="BB13">
        <f>IF(BA13="","",COUNTIFS(BA$4:BA$40,"&lt;"&amp;BA13,BA$4:BA$40,"&lt;&gt;"&amp;"")+COUNTIF(BA$4:BA13,BA13))</f>
        <v/>
      </c>
      <c r="BC13">
        <f>IF(ROW()-3&gt;COUNTIF(BA$4:BA$40,"&lt;&gt;"&amp;""),"",INDEX(BA$4:BA$40,MATCH(ROW()-3,BB$4:BB$40,0)))</f>
        <v/>
      </c>
      <c r="BD13">
        <f>BD12+IF(AND(BC13&lt;&gt;"",COUNTIF(BC$4:BC13,BC13)=1),1,0)</f>
        <v/>
      </c>
      <c r="BE13">
        <f>IF(ROW()-3&gt;MAX(BD$4:BD$40),"",INDEX(BC$4:BC$40,MATCH(ROW()-3,BD$4:BD$40,0)))</f>
        <v/>
      </c>
      <c r="BF13">
        <f>IF(AND($B$13:$F$13,$H$13:$AJ$13),IF('Final Calculation Sheet'!$A$13="","",'Final Calculation Sheet'!$A$13),"")</f>
        <v/>
      </c>
      <c r="BG13">
        <f>IF(BF13="","",COUNTIFS(BF$4:BF$40,"&lt;"&amp;BF13,BF$4:BF$40,"&lt;&gt;"&amp;"")+COUNTIF(BF$4:BF13,BF13))</f>
        <v/>
      </c>
      <c r="BH13">
        <f>IF(ROW()-3&gt;COUNTIF(BF$4:BF$40,"&lt;&gt;"&amp;""),"",INDEX(BF$4:BF$40,MATCH(ROW()-3,BG$4:BG$40,0)))</f>
        <v/>
      </c>
      <c r="BI13">
        <f>BI12+IF(AND(BH13&lt;&gt;"",COUNTIF(BH$4:BH13,BH13)=1),1,0)</f>
        <v/>
      </c>
      <c r="BJ13">
        <f>IF(ROW()-3&gt;MAX(BI$4:BI$40),"",INDEX(BH$4:BH$40,MATCH(ROW()-3,BI$4:BI$40,0)))</f>
        <v/>
      </c>
      <c r="BK13">
        <f>IF(AND($B$13:$G$13,$I$13:$AJ$13),IF('Final Calculation Sheet'!$E$13="","",'Final Calculation Sheet'!$E$13),"")</f>
        <v/>
      </c>
      <c r="BL13">
        <f>IF(BK13="","",COUNTIFS(BK$4:BK$40,"&lt;"&amp;BK13,BK$4:BK$40,"&lt;&gt;"&amp;"")+COUNTIF(BK$4:BK13,BK13))</f>
        <v/>
      </c>
      <c r="BM13">
        <f>IF(ROW()-3&gt;COUNTIF(BK$4:BK$40,"&lt;&gt;"&amp;""),"",INDEX(BK$4:BK$40,MATCH(ROW()-3,BL$4:BL$40,0)))</f>
        <v/>
      </c>
      <c r="BN13">
        <f>BN12+IF(AND(BM13&lt;&gt;"",COUNTIF(BM$4:BM13,BM13)=1),1,0)</f>
        <v/>
      </c>
      <c r="BO13">
        <f>IF(ROW()-3&gt;MAX(BN$4:BN$40),"",INDEX(BM$4:BM$40,MATCH(ROW()-3,BN$4:BN$40,0)))</f>
        <v/>
      </c>
      <c r="BP13" s="55">
        <f>IF(AND($B$13:$H$13,$J$13:$AJ$13),IF('Final Calculation Sheet'!$C$13="","",'Final Calculation Sheet'!$C$13),"")</f>
        <v/>
      </c>
      <c r="BQ13">
        <f>IF(BP13="","",COUNTIFS(BP$4:BP$40,"&lt;"&amp;BP13,BP$4:BP$40,"&lt;&gt;"&amp;"")+COUNTIF(BP$4:BP13,BP13))</f>
        <v/>
      </c>
      <c r="BR13" s="55">
        <f>IF(ROW()-3&gt;COUNTIF(BP$4:BP$40,"&lt;&gt;"&amp;""),"",INDEX(BP$4:BP$40,MATCH(ROW()-3,BQ$4:BQ$40,0)))</f>
        <v/>
      </c>
      <c r="BS13">
        <f>BS12+IF(AND(BR13&lt;&gt;"",COUNTIF(BR$4:BR13,BR13)=1),1,0)</f>
        <v/>
      </c>
      <c r="BT13" s="55">
        <f>IF(ROW()-3&gt;MAX(BS$4:BS$40),"",INDEX(BR$4:BR$40,MATCH(ROW()-3,BS$4:BS$40,0)))</f>
        <v/>
      </c>
      <c r="BU13" s="55">
        <f>IF(AND($B$13:$I$13,$K$13:$AJ$13),IF('Final Calculation Sheet'!$H$13="","",'Final Calculation Sheet'!$H$13),"")</f>
        <v/>
      </c>
      <c r="BV13">
        <f>IF(BU13="","",COUNTIFS(BU$4:BU$40,"&lt;"&amp;BU13,BU$4:BU$40,"&lt;&gt;"&amp;"")+COUNTIF(BU$4:BU13,BU13))</f>
        <v/>
      </c>
      <c r="BW13" s="55">
        <f>IF(ROW()-3&gt;COUNTIF(BU$4:BU$40,"&lt;&gt;"&amp;""),"",INDEX(BU$4:BU$40,MATCH(ROW()-3,BV$4:BV$40,0)))</f>
        <v/>
      </c>
      <c r="BX13">
        <f>BX12+IF(AND(BW13&lt;&gt;"",COUNTIF(BW$4:BW13,BW13)=1),1,0)</f>
        <v/>
      </c>
      <c r="BY13" s="55">
        <f>IF(ROW()-3&gt;MAX(BX$4:BX$40),"",INDEX(BW$4:BW$40,MATCH(ROW()-3,BX$4:BX$40,0)))</f>
        <v/>
      </c>
      <c r="BZ13" s="55">
        <f>IF(AND($B$13:$J$13,$L$13:$AJ$13),IF('Final Calculation Sheet'!$I$13="","",'Final Calculation Sheet'!$I$13),"")</f>
        <v/>
      </c>
      <c r="CA13">
        <f>IF(BZ13="","",COUNTIFS(BZ$4:BZ$40,"&lt;"&amp;BZ13,BZ$4:BZ$40,"&lt;&gt;"&amp;"")+COUNTIF(BZ$4:BZ13,BZ13))</f>
        <v/>
      </c>
      <c r="CB13" s="55">
        <f>IF(ROW()-3&gt;COUNTIF(BZ$4:BZ$40,"&lt;&gt;"&amp;""),"",INDEX(BZ$4:BZ$40,MATCH(ROW()-3,CA$4:CA$40,0)))</f>
        <v/>
      </c>
      <c r="CC13">
        <f>CC12+IF(AND(CB13&lt;&gt;"",COUNTIF(CB$4:CB13,CB13)=1),1,0)</f>
        <v/>
      </c>
      <c r="CD13" s="55">
        <f>IF(ROW()-3&gt;MAX(CC$4:CC$40),"",INDEX(CB$4:CB$40,MATCH(ROW()-3,CC$4:CC$40,0)))</f>
        <v/>
      </c>
      <c r="CE13" s="55">
        <f>IF(AND($B$13:$K$13,$M$13:$AJ$13),IF('Final Calculation Sheet'!$J$13="","",'Final Calculation Sheet'!$J$13),"")</f>
        <v/>
      </c>
      <c r="CF13">
        <f>IF(CE13="","",COUNTIFS(CE$4:CE$40,"&lt;"&amp;CE13,CE$4:CE$40,"&lt;&gt;"&amp;"")+COUNTIF(CE$4:CE13,CE13))</f>
        <v/>
      </c>
      <c r="CG13" s="55">
        <f>IF(ROW()-3&gt;COUNTIF(CE$4:CE$40,"&lt;&gt;"&amp;""),"",INDEX(CE$4:CE$40,MATCH(ROW()-3,CF$4:CF$40,0)))</f>
        <v/>
      </c>
      <c r="CH13">
        <f>CH12+IF(AND(CG13&lt;&gt;"",COUNTIF(CG$4:CG13,CG13)=1),1,0)</f>
        <v/>
      </c>
      <c r="CI13" s="55">
        <f>IF(ROW()-3&gt;MAX(CH$4:CH$40),"",INDEX(CG$4:CG$40,MATCH(ROW()-3,CH$4:CH$40,0)))</f>
        <v/>
      </c>
      <c r="CJ13" s="55">
        <f>IF(AND($B$13:$L$13,$N$13:$AJ$13),IF('Final Calculation Sheet'!$K$13="","",'Final Calculation Sheet'!$K$13),"")</f>
        <v/>
      </c>
      <c r="CK13">
        <f>IF(CJ13="","",COUNTIFS(CJ$4:CJ$40,"&lt;"&amp;CJ13,CJ$4:CJ$40,"&lt;&gt;"&amp;"")+COUNTIF(CJ$4:CJ13,CJ13))</f>
        <v/>
      </c>
      <c r="CL13" s="55">
        <f>IF(ROW()-3&gt;COUNTIF(CJ$4:CJ$40,"&lt;&gt;"&amp;""),"",INDEX(CJ$4:CJ$40,MATCH(ROW()-3,CK$4:CK$40,0)))</f>
        <v/>
      </c>
      <c r="CM13">
        <f>CM12+IF(AND(CL13&lt;&gt;"",COUNTIF(CL$4:CL13,CL13)=1),1,0)</f>
        <v/>
      </c>
      <c r="CN13" s="55">
        <f>IF(ROW()-3&gt;MAX(CM$4:CM$40),"",INDEX(CL$4:CL$40,MATCH(ROW()-3,CM$4:CM$40,0)))</f>
        <v/>
      </c>
      <c r="CO13" s="55">
        <f>IF(AND($B$13:$M$13,$O$13:$AJ$13),IF('Final Calculation Sheet'!$L$13="","",'Final Calculation Sheet'!$L$13),"")</f>
        <v/>
      </c>
      <c r="CP13">
        <f>IF(CO13="","",COUNTIFS(CO$4:CO$40,"&lt;"&amp;CO13,CO$4:CO$40,"&lt;&gt;"&amp;"")+COUNTIF(CO$4:CO13,CO13))</f>
        <v/>
      </c>
      <c r="CQ13" s="55">
        <f>IF(ROW()-3&gt;COUNTIF(CO$4:CO$40,"&lt;&gt;"&amp;""),"",INDEX(CO$4:CO$40,MATCH(ROW()-3,CP$4:CP$40,0)))</f>
        <v/>
      </c>
      <c r="CR13">
        <f>CR12+IF(AND(CQ13&lt;&gt;"",COUNTIF(CQ$4:CQ13,CQ13)=1),1,0)</f>
        <v/>
      </c>
      <c r="CS13" s="55">
        <f>IF(ROW()-3&gt;MAX(CR$4:CR$40),"",INDEX(CQ$4:CQ$40,MATCH(ROW()-3,CR$4:CR$40,0)))</f>
        <v/>
      </c>
      <c r="CT13" s="55">
        <f>IF(AND($B$13:$N$13,$P$13:$AJ$13),IF('Final Calculation Sheet'!$M$13="","",'Final Calculation Sheet'!$M$13),"")</f>
        <v/>
      </c>
      <c r="CU13">
        <f>IF(CT13="","",COUNTIFS(CT$4:CT$40,"&lt;"&amp;CT13,CT$4:CT$40,"&lt;&gt;"&amp;"")+COUNTIF(CT$4:CT13,CT13))</f>
        <v/>
      </c>
      <c r="CV13" s="55">
        <f>IF(ROW()-3&gt;COUNTIF(CT$4:CT$40,"&lt;&gt;"&amp;""),"",INDEX(CT$4:CT$40,MATCH(ROW()-3,CU$4:CU$40,0)))</f>
        <v/>
      </c>
      <c r="CW13">
        <f>CW12+IF(AND(CV13&lt;&gt;"",COUNTIF(CV$4:CV13,CV13)=1),1,0)</f>
        <v/>
      </c>
      <c r="CX13" s="55">
        <f>IF(ROW()-3&gt;MAX(CW$4:CW$40),"",INDEX(CV$4:CV$40,MATCH(ROW()-3,CW$4:CW$40,0)))</f>
        <v/>
      </c>
      <c r="CY13" s="138">
        <f>IF(AND($B$13:$O$13,$Q$13:$AJ$13),IF('Final Calculation Sheet'!$N$13="","",'Final Calculation Sheet'!$N$13),"")</f>
        <v/>
      </c>
      <c r="CZ13">
        <f>IF(CY13="","",COUNTIFS(CY$4:CY$40,"&lt;"&amp;CY13,CY$4:CY$40,"&lt;&gt;"&amp;"")+COUNTIF(CY$4:CY13,CY13))</f>
        <v/>
      </c>
      <c r="DA13" s="138">
        <f>IF(ROW()-3&gt;COUNTIF(CY$4:CY$40,"&lt;&gt;"&amp;""),"",INDEX(CY$4:CY$40,MATCH(ROW()-3,CZ$4:CZ$40,0)))</f>
        <v/>
      </c>
      <c r="DB13">
        <f>DB12+IF(AND(DA13&lt;&gt;"",COUNTIF(DA$4:DA13,DA13)=1),1,0)</f>
        <v/>
      </c>
      <c r="DC13" s="138">
        <f>IF(ROW()-3&gt;MAX(DB$4:DB$40),"",INDEX(DA$4:DA$40,MATCH(ROW()-3,DB$4:DB$40,0)))</f>
        <v/>
      </c>
      <c r="DD13" s="55">
        <f>IF(AND($B$13:$P$13,$R$13:$AJ$13),IF('Final Calculation Sheet'!$O$13="","",'Final Calculation Sheet'!$O$13),"")</f>
        <v/>
      </c>
      <c r="DE13">
        <f>IF(DD13="","",COUNTIFS(DD$4:DD$40,"&lt;"&amp;DD13,DD$4:DD$40,"&lt;&gt;"&amp;"")+COUNTIF(DD$4:DD13,DD13))</f>
        <v/>
      </c>
      <c r="DF13" s="55">
        <f>IF(ROW()-3&gt;COUNTIF(DD$4:DD$40,"&lt;&gt;"&amp;""),"",INDEX(DD$4:DD$40,MATCH(ROW()-3,DE$4:DE$40,0)))</f>
        <v/>
      </c>
      <c r="DG13">
        <f>DG12+IF(AND(DF13&lt;&gt;"",COUNTIF(DF$4:DF13,DF13)=1),1,0)</f>
        <v/>
      </c>
      <c r="DH13" s="55">
        <f>IF(ROW()-3&gt;MAX(DG$4:DG$40),"",INDEX(DF$4:DF$40,MATCH(ROW()-3,DG$4:DG$40,0)))</f>
        <v/>
      </c>
      <c r="DI13" s="55">
        <f>IF(AND($B$13:$Q$13,$S$13:$AJ$13),IF('Final Calculation Sheet'!$P$13="","",'Final Calculation Sheet'!$P$13),"")</f>
        <v/>
      </c>
      <c r="DJ13">
        <f>IF(DI13="","",COUNTIFS(DI$4:DI$40,"&lt;"&amp;DI13,DI$4:DI$40,"&lt;&gt;"&amp;"")+COUNTIF(DI$4:DI13,DI13))</f>
        <v/>
      </c>
      <c r="DK13" s="55">
        <f>IF(ROW()-3&gt;COUNTIF(DI$4:DI$40,"&lt;&gt;"&amp;""),"",INDEX(DI$4:DI$40,MATCH(ROW()-3,DJ$4:DJ$40,0)))</f>
        <v/>
      </c>
      <c r="DL13">
        <f>DL12+IF(AND(DK13&lt;&gt;"",COUNTIF(DK$4:DK13,DK13)=1),1,0)</f>
        <v/>
      </c>
      <c r="DM13" s="55">
        <f>IF(ROW()-3&gt;MAX(DL$4:DL$40),"",INDEX(DK$4:DK$40,MATCH(ROW()-3,DL$4:DL$40,0)))</f>
        <v/>
      </c>
      <c r="DN13" s="139">
        <f>IF(AND($B$13:$R$13,$T$13:$AJ$13),IF('Final Calculation Sheet'!$Q$13="","",'Final Calculation Sheet'!$Q$13),"")</f>
        <v/>
      </c>
      <c r="DO13">
        <f>IF(DN13="","",COUNTIFS(DN$4:DN$40,"&lt;"&amp;DN13,DN$4:DN$40,"&lt;&gt;"&amp;"")+COUNTIF(DN$4:DN13,DN13))</f>
        <v/>
      </c>
      <c r="DP13" s="139">
        <f>IF(ROW()-3&gt;COUNTIF(DN$4:DN$40,"&lt;&gt;"&amp;""),"",INDEX(DN$4:DN$40,MATCH(ROW()-3,DO$4:DO$40,0)))</f>
        <v/>
      </c>
      <c r="DQ13">
        <f>DQ12+IF(AND(DP13&lt;&gt;"",COUNTIF(DP$4:DP13,DP13)=1),1,0)</f>
        <v/>
      </c>
      <c r="DR13" s="139">
        <f>IF(ROW()-3&gt;MAX(DQ$4:DQ$40),"",INDEX(DP$4:DP$40,MATCH(ROW()-3,DQ$4:DQ$40,0)))</f>
        <v/>
      </c>
      <c r="DS13" s="55">
        <f>IF(AND($B$13:$S$13,$U$13:$AJ$13),IF('Final Calculation Sheet'!$R$13="","",'Final Calculation Sheet'!$R$13),"")</f>
        <v/>
      </c>
      <c r="DT13">
        <f>IF(DS13="","",COUNTIFS(DS$4:DS$40,"&lt;"&amp;DS13,DS$4:DS$40,"&lt;&gt;"&amp;"")+COUNTIF(DS$4:DS13,DS13))</f>
        <v/>
      </c>
      <c r="DU13" s="55">
        <f>IF(ROW()-3&gt;COUNTIF(DS$4:DS$40,"&lt;&gt;"&amp;""),"",INDEX(DS$4:DS$40,MATCH(ROW()-3,DT$4:DT$40,0)))</f>
        <v/>
      </c>
      <c r="DV13">
        <f>DV12+IF(AND(DU13&lt;&gt;"",COUNTIF(DU$4:DU13,DU13)=1),1,0)</f>
        <v/>
      </c>
      <c r="DW13" s="55">
        <f>IF(ROW()-3&gt;MAX(DV$4:DV$40),"",INDEX(DU$4:DU$40,MATCH(ROW()-3,DV$4:DV$40,0)))</f>
        <v/>
      </c>
      <c r="DX13" s="55">
        <f>IF(AND($B$13:$T$13,$V$13:$AJ$13),IF('Final Calculation Sheet'!$S$13="","",'Final Calculation Sheet'!$S$13),"")</f>
        <v/>
      </c>
      <c r="DY13">
        <f>IF(DX13="","",COUNTIFS(DX$4:DX$40,"&lt;"&amp;DX13,DX$4:DX$40,"&lt;&gt;"&amp;"")+COUNTIF(DX$4:DX13,DX13))</f>
        <v/>
      </c>
      <c r="DZ13" s="55">
        <f>IF(ROW()-3&gt;COUNTIF(DX$4:DX$40,"&lt;&gt;"&amp;""),"",INDEX(DX$4:DX$40,MATCH(ROW()-3,DY$4:DY$40,0)))</f>
        <v/>
      </c>
      <c r="EA13">
        <f>EA12+IF(AND(DZ13&lt;&gt;"",COUNTIF(DZ$4:DZ13,DZ13)=1),1,0)</f>
        <v/>
      </c>
      <c r="EB13" s="55">
        <f>IF(ROW()-3&gt;MAX(EA$4:EA$40),"",INDEX(DZ$4:DZ$40,MATCH(ROW()-3,EA$4:EA$40,0)))</f>
        <v/>
      </c>
      <c r="EC13" s="55">
        <f>IF(AND($B$13:$U$13,$W$13:$AJ$13),IF('Final Calculation Sheet'!$T$13="","",'Final Calculation Sheet'!$T$13),"")</f>
        <v/>
      </c>
      <c r="ED13">
        <f>IF(EC13="","",COUNTIFS(EC$4:EC$40,"&lt;"&amp;EC13,EC$4:EC$40,"&lt;&gt;"&amp;"")+COUNTIF(EC$4:EC13,EC13))</f>
        <v/>
      </c>
      <c r="EE13" s="55">
        <f>IF(ROW()-3&gt;COUNTIF(EC$4:EC$40,"&lt;&gt;"&amp;""),"",INDEX(EC$4:EC$40,MATCH(ROW()-3,ED$4:ED$40,0)))</f>
        <v/>
      </c>
      <c r="EF13">
        <f>EF12+IF(AND(EE13&lt;&gt;"",COUNTIF(EE$4:EE13,EE13)=1),1,0)</f>
        <v/>
      </c>
      <c r="EG13" s="55">
        <f>IF(ROW()-3&gt;MAX(EF$4:EF$40),"",INDEX(EE$4:EE$40,MATCH(ROW()-3,EF$4:EF$40,0)))</f>
        <v/>
      </c>
      <c r="EH13" s="140">
        <f>IF(AND($B$13:$V$13,$X$13:$AJ$13),IF('Final Calculation Sheet'!$U$13="","",'Final Calculation Sheet'!$U$13),"")</f>
        <v/>
      </c>
      <c r="EI13">
        <f>IF(EH13="","",COUNTIFS(EH$4:EH$40,"&lt;"&amp;EH13,EH$4:EH$40,"&lt;&gt;"&amp;"")+COUNTIF(EH$4:EH13,EH13))</f>
        <v/>
      </c>
      <c r="EJ13" s="140">
        <f>IF(ROW()-3&gt;COUNTIF(EH$4:EH$40,"&lt;&gt;"&amp;""),"",INDEX(EH$4:EH$40,MATCH(ROW()-3,EI$4:EI$40,0)))</f>
        <v/>
      </c>
      <c r="EK13">
        <f>EK12+IF(AND(EJ13&lt;&gt;"",COUNTIF(EJ$4:EJ13,EJ13)=1),1,0)</f>
        <v/>
      </c>
      <c r="EL13" s="140">
        <f>IF(ROW()-3&gt;MAX(EK$4:EK$40),"",INDEX(EJ$4:EJ$40,MATCH(ROW()-3,EK$4:EK$40,0)))</f>
        <v/>
      </c>
      <c r="EM13">
        <f>IF(AND($B$13:$W$13,$Y$13:$AJ$13),IF('Final Calculation Sheet'!$V$13="","",'Final Calculation Sheet'!$V$13),"")</f>
        <v/>
      </c>
      <c r="EN13">
        <f>IF(EM13="","",COUNTIFS(EM$4:EM$40,"&lt;"&amp;EM13,EM$4:EM$40,"&lt;&gt;"&amp;"")+COUNTIF(EM$4:EM13,EM13))</f>
        <v/>
      </c>
      <c r="EO13">
        <f>IF(ROW()-3&gt;COUNTIF(EM$4:EM$40,"&lt;&gt;"&amp;""),"",INDEX(EM$4:EM$40,MATCH(ROW()-3,EN$4:EN$40,0)))</f>
        <v/>
      </c>
      <c r="EP13">
        <f>EP12+IF(AND(EO13&lt;&gt;"",COUNTIF(EO$4:EO13,EO13)=1),1,0)</f>
        <v/>
      </c>
      <c r="EQ13">
        <f>IF(ROW()-3&gt;MAX(EP$4:EP$40),"",INDEX(EO$4:EO$40,MATCH(ROW()-3,EP$4:EP$40,0)))</f>
        <v/>
      </c>
      <c r="ER13" s="55">
        <f>IF(AND($B$13:$X$13,$Z$13:$AJ$13),IF('Final Calculation Sheet'!$W$13="","",'Final Calculation Sheet'!$W$13),"")</f>
        <v/>
      </c>
      <c r="ES13">
        <f>IF(ER13="","",COUNTIFS(ER$4:ER$40,"&lt;"&amp;ER13,ER$4:ER$40,"&lt;&gt;"&amp;"")+COUNTIF(ER$4:ER13,ER13))</f>
        <v/>
      </c>
      <c r="ET13" s="55">
        <f>IF(ROW()-3&gt;COUNTIF(ER$4:ER$40,"&lt;&gt;"&amp;""),"",INDEX(ER$4:ER$40,MATCH(ROW()-3,ES$4:ES$40,0)))</f>
        <v/>
      </c>
      <c r="EU13">
        <f>EU12+IF(AND(ET13&lt;&gt;"",COUNTIF(ET$4:ET13,ET13)=1),1,0)</f>
        <v/>
      </c>
      <c r="EV13" s="55">
        <f>IF(ROW()-3&gt;MAX(EU$4:EU$40),"",INDEX(ET$4:ET$40,MATCH(ROW()-3,EU$4:EU$40,0)))</f>
        <v/>
      </c>
      <c r="EW13" s="55">
        <f>IF(AND($B$13:$Y$13,$AA$13:$AJ$13),IF('Final Calculation Sheet'!$X$13="","",'Final Calculation Sheet'!$X$13),"")</f>
        <v/>
      </c>
      <c r="EX13">
        <f>IF(EW13="","",COUNTIFS(EW$4:EW$40,"&lt;"&amp;EW13,EW$4:EW$40,"&lt;&gt;"&amp;"")+COUNTIF(EW$4:EW13,EW13))</f>
        <v/>
      </c>
      <c r="EY13" s="55">
        <f>IF(ROW()-3&gt;COUNTIF(EW$4:EW$40,"&lt;&gt;"&amp;""),"",INDEX(EW$4:EW$40,MATCH(ROW()-3,EX$4:EX$40,0)))</f>
        <v/>
      </c>
      <c r="EZ13">
        <f>EZ12+IF(AND(EY13&lt;&gt;"",COUNTIF(EY$4:EY13,EY13)=1),1,0)</f>
        <v/>
      </c>
      <c r="FA13">
        <f>IF(ROW()-3&gt;MAX(EZ$4:EZ$40),"",INDEX(EY$4:EY$40,MATCH(ROW()-3,EZ$4:EZ$40,0)))</f>
        <v/>
      </c>
      <c r="FB13">
        <f>IF(AND($B$13:$Z$13,$AB$13:$AJ$13),IF('Final Calculation Sheet'!$Y$13="","",'Final Calculation Sheet'!$Y$13),"")</f>
        <v/>
      </c>
      <c r="FC13">
        <f>IF(FB13="","",COUNTIFS(FB$4:FB$40,"&lt;"&amp;FB13,FB$4:FB$40,"&lt;&gt;"&amp;"")+COUNTIF(FB$4:FB13,FB13))</f>
        <v/>
      </c>
      <c r="FD13">
        <f>IF(ROW()-3&gt;COUNTIF(FB$4:FB$40,"&lt;&gt;"&amp;""),"",INDEX(FB$4:FB$40,MATCH(ROW()-3,FC$4:FC$40,0)))</f>
        <v/>
      </c>
      <c r="FE13">
        <f>FE12+IF(AND(FD13&lt;&gt;"",COUNTIF(FD$4:FD13,FD13)=1),1,0)</f>
        <v/>
      </c>
      <c r="FF13">
        <f>IF(ROW()-3&gt;MAX(FE$4:FE$40),"",INDEX(FD$4:FD$40,MATCH(ROW()-3,FE$4:FE$40,0)))</f>
        <v/>
      </c>
      <c r="FG13" s="55">
        <f>IF(AND($B$13:$AA$13,$AC$13:$AJ$13),IF('Final Calculation Sheet'!$Z$13="","",'Final Calculation Sheet'!$Z$13),"")</f>
        <v/>
      </c>
      <c r="FH13">
        <f>IF(FG13="","",COUNTIFS(FG$4:FG$40,"&lt;"&amp;FG13,FG$4:FG$40,"&lt;&gt;"&amp;"")+COUNTIF(FG$4:FG13,FG13))</f>
        <v/>
      </c>
      <c r="FI13" s="55">
        <f>IF(ROW()-3&gt;COUNTIF(FG$4:FG$40,"&lt;&gt;"&amp;""),"",INDEX(FG$4:FG$40,MATCH(ROW()-3,FH$4:FH$40,0)))</f>
        <v/>
      </c>
      <c r="FJ13">
        <f>FJ12+IF(AND(FI13&lt;&gt;"",COUNTIF(FI$4:FI13,FI13)=1),1,0)</f>
        <v/>
      </c>
      <c r="FK13" s="55">
        <f>IF(ROW()-3&gt;MAX(FJ$4:FJ$40),"",INDEX(FI$4:FI$40,MATCH(ROW()-3,FJ$4:FJ$40,0)))</f>
        <v/>
      </c>
      <c r="FL13">
        <f>IF(AND($B$13:$AB$13,$AD$13:$AJ$13),IF('Final Calculation Sheet'!$AA$13="","",'Final Calculation Sheet'!$AA$13),"")</f>
        <v/>
      </c>
      <c r="FM13">
        <f>IF(FL13="","",COUNTIFS(FL$4:FL$40,"&lt;"&amp;FL13,FL$4:FL$40,"&lt;&gt;"&amp;"")+COUNTIF(FL$4:FL13,FL13))</f>
        <v/>
      </c>
      <c r="FN13">
        <f>IF(ROW()-3&gt;COUNTIF(FL$4:FL$40,"&lt;&gt;"&amp;""),"",INDEX(FL$4:FL$40,MATCH(ROW()-3,FM$4:FM$40,0)))</f>
        <v/>
      </c>
      <c r="FO13">
        <f>FO12+IF(AND(FN13&lt;&gt;"",COUNTIF(FN$4:FN13,FN13)=1),1,0)</f>
        <v/>
      </c>
      <c r="FP13">
        <f>IF(ROW()-3&gt;MAX(FO$4:FO$40),"",INDEX(FN$4:FN$40,MATCH(ROW()-3,FO$4:FO$40,0)))</f>
        <v/>
      </c>
      <c r="FQ13">
        <f>IF(AND($B$13:$AC$13,$AE$13:$AJ$13),IF('Final Calculation Sheet'!$AB$13="","",'Final Calculation Sheet'!$AB$13),"")</f>
        <v/>
      </c>
      <c r="FR13">
        <f>IF(FQ13="","",COUNTIFS(FQ$4:FQ$40,"&lt;"&amp;FQ13,FQ$4:FQ$40,"&lt;&gt;"&amp;"")+COUNTIF(FQ$4:FQ13,FQ13))</f>
        <v/>
      </c>
      <c r="FS13">
        <f>IF(ROW()-3&gt;COUNTIF(FQ$4:FQ$40,"&lt;&gt;"&amp;""),"",INDEX(FQ$4:FQ$40,MATCH(ROW()-3,FR$4:FR$40,0)))</f>
        <v/>
      </c>
      <c r="FT13">
        <f>FT12+IF(AND(FS13&lt;&gt;"",COUNTIF(FS$4:FS13,FS13)=1),1,0)</f>
        <v/>
      </c>
      <c r="FU13">
        <f>IF(ROW()-3&gt;MAX(FT$4:FT$40),"",INDEX(FS$4:FS$40,MATCH(ROW()-3,FT$4:FT$40,0)))</f>
        <v/>
      </c>
      <c r="FV13" s="55">
        <f>IF(AND($B$13:$AD$13,$AF$13:$AJ$13),IF('Final Calculation Sheet'!$AC$13="","",'Final Calculation Sheet'!$AC$13),"")</f>
        <v/>
      </c>
      <c r="FW13">
        <f>IF(FV13="","",COUNTIFS(FV$4:FV$40,"&lt;"&amp;FV13,FV$4:FV$40,"&lt;&gt;"&amp;"")+COUNTIF(FV$4:FV13,FV13))</f>
        <v/>
      </c>
      <c r="FX13" s="55">
        <f>IF(ROW()-3&gt;COUNTIF(FV$4:FV$40,"&lt;&gt;"&amp;""),"",INDEX(FV$4:FV$40,MATCH(ROW()-3,FW$4:FW$40,0)))</f>
        <v/>
      </c>
      <c r="FY13">
        <f>FY12+IF(AND(FX13&lt;&gt;"",COUNTIF(FX$4:FX13,FX13)=1),1,0)</f>
        <v/>
      </c>
      <c r="FZ13" s="55">
        <f>IF(ROW()-3&gt;MAX(FY$4:FY$40),"",INDEX(FX$4:FX$40,MATCH(ROW()-3,FY$4:FY$40,0)))</f>
        <v/>
      </c>
      <c r="GA13" s="55">
        <f>IF(AND($B$13:$AE$13,$AG$13:$AJ$13),IF('Final Calculation Sheet'!$AD$13="","",'Final Calculation Sheet'!$AD$13),"")</f>
        <v/>
      </c>
      <c r="GB13">
        <f>IF(GA13="","",COUNTIFS(GA$4:GA$40,"&lt;"&amp;GA13,GA$4:GA$40,"&lt;&gt;"&amp;"")+COUNTIF(GA$4:GA13,GA13))</f>
        <v/>
      </c>
      <c r="GC13" s="55">
        <f>IF(ROW()-3&gt;COUNTIF(GA$4:GA$40,"&lt;&gt;"&amp;""),"",INDEX(GA$4:GA$40,MATCH(ROW()-3,GB$4:GB$40,0)))</f>
        <v/>
      </c>
      <c r="GD13">
        <f>GD12+IF(AND(GC13&lt;&gt;"",COUNTIF(GC$4:GC13,GC13)=1),1,0)</f>
        <v/>
      </c>
      <c r="GE13" s="55">
        <f>IF(ROW()-3&gt;MAX(GD$4:GD$40),"",INDEX(GC$4:GC$40,MATCH(ROW()-3,GD$4:GD$40,0)))</f>
        <v/>
      </c>
      <c r="GF13">
        <f>IF(AND($B$13:$AF$13,$AH$13:$AJ$13),IF('Final Calculation Sheet'!$AE$13="","",'Final Calculation Sheet'!$AE$13),"")</f>
        <v/>
      </c>
      <c r="GG13">
        <f>IF(GF13="","",COUNTIFS(GF$4:GF$40,"&lt;"&amp;GF13,GF$4:GF$40,"&lt;&gt;"&amp;"")+COUNTIF(GF$4:GF13,GF13))</f>
        <v/>
      </c>
      <c r="GH13">
        <f>IF(ROW()-3&gt;COUNTIF(GF$4:GF$40,"&lt;&gt;"&amp;""),"",INDEX(GF$4:GF$40,MATCH(ROW()-3,GG$4:GG$40,0)))</f>
        <v/>
      </c>
      <c r="GI13">
        <f>GI12+IF(AND(GH13&lt;&gt;"",COUNTIF(GH$4:GH13,GH13)=1),1,0)</f>
        <v/>
      </c>
      <c r="GJ13">
        <f>IF(ROW()-3&gt;MAX(GI$4:GI$40),"",INDEX(GH$4:GH$40,MATCH(ROW()-3,GI$4:GI$40,0)))</f>
        <v/>
      </c>
      <c r="GK13" s="141">
        <f>IF(AND($B$13:$AG$13,$AI$13:$AJ$13),IF('Final Calculation Sheet'!$AF$13="","",'Final Calculation Sheet'!$AF$13),"")</f>
        <v/>
      </c>
      <c r="GL13">
        <f>IF(GK13="","",COUNTIFS(GK$4:GK$40,"&lt;"&amp;GK13,GK$4:GK$40,"&lt;&gt;"&amp;"")+COUNTIF(GK$4:GK13,GK13))</f>
        <v/>
      </c>
      <c r="GM13" s="141">
        <f>IF(ROW()-3&gt;COUNTIF(GK$4:GK$40,"&lt;&gt;"&amp;""),"",INDEX(GK$4:GK$40,MATCH(ROW()-3,GL$4:GL$40,0)))</f>
        <v/>
      </c>
      <c r="GN13">
        <f>GN12+IF(AND(GM13&lt;&gt;"",COUNTIF(GM$4:GM13,GM13)=1),1,0)</f>
        <v/>
      </c>
      <c r="GO13">
        <f>IF(ROW()-3&gt;MAX(GN$4:GN$40),"",INDEX(GM$4:GM$40,MATCH(ROW()-3,GN$4:GN$40,0)))</f>
        <v/>
      </c>
      <c r="GP13">
        <f>IF(AND($B$13:$AH$13,$AJ$13:$AJ$13),IF('Final Calculation Sheet'!$AG$13="","",'Final Calculation Sheet'!$AG$13),"")</f>
        <v/>
      </c>
      <c r="GQ13">
        <f>IF(GP13="","",COUNTIFS(GP$4:GP$40,"&lt;"&amp;GP13,GP$4:GP$40,"&lt;&gt;"&amp;"")+COUNTIF(GP$4:GP13,GP13))</f>
        <v/>
      </c>
      <c r="GR13">
        <f>IF(ROW()-3&gt;COUNTIF(GP$4:GP$40,"&lt;&gt;"&amp;""),"",INDEX(GP$4:GP$40,MATCH(ROW()-3,GQ$4:GQ$40,0)))</f>
        <v/>
      </c>
      <c r="GS13">
        <f>GS12+IF(AND(GR13&lt;&gt;"",COUNTIF(GR$4:GR13,GR13)=1),1,0)</f>
        <v/>
      </c>
      <c r="GT13">
        <f>IF(ROW()-3&gt;MAX(GS$4:GS$40),"",INDEX(GR$4:GR$40,MATCH(ROW()-3,GS$4:GS$40,0)))</f>
        <v/>
      </c>
    </row>
    <row r="14">
      <c r="A14" t="inlineStr">
        <is>
          <t>Final row 14</t>
        </is>
      </c>
      <c r="B14" t="b">
        <v>1</v>
      </c>
      <c r="C14">
        <f>IF($C$3=FALSE,TRUE,IF(OR(UPPER(TRIM($C$2))="(BLANK)",UPPER(TRIM($C$2))="BLANK",AND($C$2&lt;&gt;"",TRIM($C$2)="")),(IF('Final Calculation Sheet'!$F$14="","",'Final Calculation Sheet'!$F$14))="",IF(OR(UPPER(TRIM($C$2))="(NONBLANK)",UPPER(TRIM($C$2))="NONBLANK",TRIM($C$2)="&lt;&gt;"),(IF('Final Calculation Sheet'!$F$14="","",'Final Calculation Sheet'!$F$14))&lt;&gt;"",UPPER(TRIM((IF('Final Calculation Sheet'!$F$14="","",'Final Calculation Sheet'!$F$14))&amp;""))=UPPER(TRIM($C$2&amp;"")))))</f>
        <v/>
      </c>
      <c r="D14">
        <f>IF($D$3=FALSE,TRUE,IF(OR(UPPER(TRIM($D$2))="(BLANK)",UPPER(TRIM($D$2))="BLANK",AND($D$2&lt;&gt;"",TRIM($D$2)="")),(IF('Final Calculation Sheet'!$G$14="","",'Final Calculation Sheet'!$G$14))="",IF(OR(UPPER(TRIM($D$2))="(NONBLANK)",UPPER(TRIM($D$2))="NONBLANK",TRIM($D$2)="&lt;&gt;"),(IF('Final Calculation Sheet'!$G$14="","",'Final Calculation Sheet'!$G$14))&lt;&gt;"",UPPER(TRIM((IF('Final Calculation Sheet'!$G$14="","",'Final Calculation Sheet'!$G$14))&amp;""))=UPPER(TRIM($D$2&amp;"")))))</f>
        <v/>
      </c>
      <c r="E14">
        <f>IF($E$3=FALSE,TRUE,IF(OR(UPPER(TRIM($E$2))="(BLANK)",UPPER(TRIM($E$2))="BLANK",AND($E$2&lt;&gt;"",TRIM($E$2)="")),(IF('Final Calculation Sheet'!$B$14="","",'Final Calculation Sheet'!$B$14))="",IF(OR(UPPER(TRIM($E$2))="(NONBLANK)",UPPER(TRIM($E$2))="NONBLANK",TRIM($E$2)="&lt;&gt;"),(IF('Final Calculation Sheet'!$B$14="","",'Final Calculation Sheet'!$B$14))&lt;&gt;"",UPPER(TRIM((IF('Final Calculation Sheet'!$B$14="","",'Final Calculation Sheet'!$B$14))&amp;""))=UPPER(TRIM($E$2&amp;"")))))</f>
        <v/>
      </c>
      <c r="F14">
        <f>IF($F$3=FALSE,TRUE,IF(OR(UPPER(TRIM($F$2))="(BLANK)",UPPER(TRIM($F$2))="BLANK",AND($F$2&lt;&gt;"",TRIM($F$2)="")),(IF('Final Calculation Sheet'!$D$14="","",'Final Calculation Sheet'!$D$14))="",IF(OR(UPPER(TRIM($F$2))="(NONBLANK)",UPPER(TRIM($F$2))="NONBLANK",TRIM($F$2)="&lt;&gt;"),(IF('Final Calculation Sheet'!$D$14="","",'Final Calculation Sheet'!$D$14))&lt;&gt;"",UPPER(TRIM((IF('Final Calculation Sheet'!$D$14="","",'Final Calculation Sheet'!$D$14))&amp;""))=UPPER(TRIM($F$2&amp;"")))))</f>
        <v/>
      </c>
      <c r="G14">
        <f>IF($G$3=FALSE,TRUE,IF(OR(UPPER(TRIM($G$2))="(BLANK)",UPPER(TRIM($G$2))="BLANK",AND($G$2&lt;&gt;"",TRIM($G$2)="")),(IF('Final Calculation Sheet'!$A$14="","",'Final Calculation Sheet'!$A$14))="",IF(OR(UPPER(TRIM($G$2))="(NONBLANK)",UPPER(TRIM($G$2))="NONBLANK",TRIM($G$2)="&lt;&gt;"),(IF('Final Calculation Sheet'!$A$14="","",'Final Calculation Sheet'!$A$14))&lt;&gt;"",UPPER(TRIM((IF('Final Calculation Sheet'!$A$14="","",'Final Calculation Sheet'!$A$14))&amp;""))=UPPER(TRIM($G$2&amp;"")))))</f>
        <v/>
      </c>
      <c r="H14">
        <f>IF($H$3=FALSE,TRUE,IF(OR(UPPER(TRIM($H$2))="(BLANK)",UPPER(TRIM($H$2))="BLANK",AND($H$2&lt;&gt;"",TRIM($H$2)="")),(IF('Final Calculation Sheet'!$E$14="","",'Final Calculation Sheet'!$E$14))="",IF(OR(UPPER(TRIM($H$2))="(NONBLANK)",UPPER(TRIM($H$2))="NONBLANK",TRIM($H$2)="&lt;&gt;"),(IF('Final Calculation Sheet'!$E$14="","",'Final Calculation Sheet'!$E$14))&lt;&gt;"",UPPER(TRIM((IF('Final Calculation Sheet'!$E$14="","",'Final Calculation Sheet'!$E$14))&amp;""))=UPPER(TRIM($H$2&amp;"")))))</f>
        <v/>
      </c>
      <c r="I14">
        <f>IF($I$3=FALSE,TRUE,IF(OR(UPPER(TRIM($I$2))="(BLANK)",UPPER(TRIM($I$2))="BLANK",AND($I$2&lt;&gt;"",TRIM($I$2)="")),(IF('Final Calculation Sheet'!$C$14="","",'Final Calculation Sheet'!$C$14))="",IF(OR(UPPER(TRIM($I$2))="(NONBLANK)",UPPER(TRIM($I$2))="NONBLANK",TRIM($I$2)="&lt;&gt;"),(IF('Final Calculation Sheet'!$C$14="","",'Final Calculation Sheet'!$C$14))&lt;&gt;"",UPPER(TRIM((IF('Final Calculation Sheet'!$C$14="","",'Final Calculation Sheet'!$C$14))&amp;""))=UPPER(TRIM($I$2&amp;"")))))</f>
        <v/>
      </c>
      <c r="J14">
        <f>IF($J$3=FALSE,TRUE,IF(OR(UPPER(TRIM($J$2))="(BLANK)",UPPER(TRIM($J$2))="BLANK",AND($J$2&lt;&gt;"",TRIM($J$2)="")),(IF('Final Calculation Sheet'!$H$14="","",'Final Calculation Sheet'!$H$14))="",IF(OR(UPPER(TRIM($J$2))="(NONBLANK)",UPPER(TRIM($J$2))="NONBLANK",TRIM($J$2)="&lt;&gt;"),(IF('Final Calculation Sheet'!$H$14="","",'Final Calculation Sheet'!$H$14))&lt;&gt;"",UPPER(TRIM((IF('Final Calculation Sheet'!$H$14="","",'Final Calculation Sheet'!$H$14))&amp;""))=UPPER(TRIM($J$2&amp;"")))))</f>
        <v/>
      </c>
      <c r="K14">
        <f>IF($K$3=FALSE,TRUE,IF(OR(UPPER(TRIM($K$2))="(BLANK)",UPPER(TRIM($K$2))="BLANK",AND($K$2&lt;&gt;"",TRIM($K$2)="")),(IF('Final Calculation Sheet'!$I$14="","",'Final Calculation Sheet'!$I$14))="",IF(OR(UPPER(TRIM($K$2))="(NONBLANK)",UPPER(TRIM($K$2))="NONBLANK",TRIM($K$2)="&lt;&gt;"),(IF('Final Calculation Sheet'!$I$14="","",'Final Calculation Sheet'!$I$14))&lt;&gt;"",UPPER(TRIM((IF('Final Calculation Sheet'!$I$14="","",'Final Calculation Sheet'!$I$14))&amp;""))=UPPER(TRIM($K$2&amp;"")))))</f>
        <v/>
      </c>
      <c r="L14">
        <f>IF($L$3=FALSE,TRUE,IF(OR(UPPER(TRIM($L$2))="(BLANK)",UPPER(TRIM($L$2))="BLANK",AND($L$2&lt;&gt;"",TRIM($L$2)="")),(IF('Final Calculation Sheet'!$J$14="","",'Final Calculation Sheet'!$J$14))="",IF(OR(UPPER(TRIM($L$2))="(NONBLANK)",UPPER(TRIM($L$2))="NONBLANK",TRIM($L$2)="&lt;&gt;"),(IF('Final Calculation Sheet'!$J$14="","",'Final Calculation Sheet'!$J$14))&lt;&gt;"",UPPER(TRIM((IF('Final Calculation Sheet'!$J$14="","",'Final Calculation Sheet'!$J$14))&amp;""))=UPPER(TRIM($L$2&amp;"")))))</f>
        <v/>
      </c>
      <c r="M14">
        <f>IF($M$3=FALSE,TRUE,IF(OR(UPPER(TRIM($M$2))="(BLANK)",UPPER(TRIM($M$2))="BLANK",AND($M$2&lt;&gt;"",TRIM($M$2)="")),(IF('Final Calculation Sheet'!$K$14="","",'Final Calculation Sheet'!$K$14))="",IF(OR(UPPER(TRIM($M$2))="(NONBLANK)",UPPER(TRIM($M$2))="NONBLANK",TRIM($M$2)="&lt;&gt;"),(IF('Final Calculation Sheet'!$K$14="","",'Final Calculation Sheet'!$K$14))&lt;&gt;"",UPPER(TRIM((IF('Final Calculation Sheet'!$K$14="","",'Final Calculation Sheet'!$K$14))&amp;""))=UPPER(TRIM($M$2&amp;"")))))</f>
        <v/>
      </c>
      <c r="N14">
        <f>IF($N$3=FALSE,TRUE,IF(OR(UPPER(TRIM($N$2))="(BLANK)",UPPER(TRIM($N$2))="BLANK",AND($N$2&lt;&gt;"",TRIM($N$2)="")),(IF('Final Calculation Sheet'!$L$14="","",'Final Calculation Sheet'!$L$14))="",IF(OR(UPPER(TRIM($N$2))="(NONBLANK)",UPPER(TRIM($N$2))="NONBLANK",TRIM($N$2)="&lt;&gt;"),(IF('Final Calculation Sheet'!$L$14="","",'Final Calculation Sheet'!$L$14))&lt;&gt;"",UPPER(TRIM((IF('Final Calculation Sheet'!$L$14="","",'Final Calculation Sheet'!$L$14))&amp;""))=UPPER(TRIM($N$2&amp;"")))))</f>
        <v/>
      </c>
      <c r="O14">
        <f>IF($O$3=FALSE,TRUE,IF(OR(UPPER(TRIM($O$2))="(BLANK)",UPPER(TRIM($O$2))="BLANK",AND($O$2&lt;&gt;"",TRIM($O$2)="")),(IF('Final Calculation Sheet'!$M$14="","",'Final Calculation Sheet'!$M$14))="",IF(OR(UPPER(TRIM($O$2))="(NONBLANK)",UPPER(TRIM($O$2))="NONBLANK",TRIM($O$2)="&lt;&gt;"),(IF('Final Calculation Sheet'!$M$14="","",'Final Calculation Sheet'!$M$14))&lt;&gt;"",UPPER(TRIM((IF('Final Calculation Sheet'!$M$14="","",'Final Calculation Sheet'!$M$14))&amp;""))=UPPER(TRIM($O$2&amp;"")))))</f>
        <v/>
      </c>
      <c r="P14">
        <f>IF($P$3=FALSE,TRUE,IF(OR(UPPER(TRIM($P$2))="(BLANK)",UPPER(TRIM($P$2))="BLANK",AND($P$2&lt;&gt;"",TRIM($P$2)="")),(IF('Final Calculation Sheet'!$N$14="","",'Final Calculation Sheet'!$N$14))="",IF(OR(UPPER(TRIM($P$2))="(NONBLANK)",UPPER(TRIM($P$2))="NONBLANK",TRIM($P$2)="&lt;&gt;"),(IF('Final Calculation Sheet'!$N$14="","",'Final Calculation Sheet'!$N$14))&lt;&gt;"",UPPER(TRIM((IF('Final Calculation Sheet'!$N$14="","",'Final Calculation Sheet'!$N$14))&amp;""))=UPPER(TRIM($P$2&amp;"")))))</f>
        <v/>
      </c>
      <c r="Q14">
        <f>IF($Q$3=FALSE,TRUE,IF(OR(UPPER(TRIM($Q$2))="(BLANK)",UPPER(TRIM($Q$2))="BLANK",AND($Q$2&lt;&gt;"",TRIM($Q$2)="")),(IF('Final Calculation Sheet'!$O$14="","",'Final Calculation Sheet'!$O$14))="",IF(OR(UPPER(TRIM($Q$2))="(NONBLANK)",UPPER(TRIM($Q$2))="NONBLANK",TRIM($Q$2)="&lt;&gt;"),(IF('Final Calculation Sheet'!$O$14="","",'Final Calculation Sheet'!$O$14))&lt;&gt;"",UPPER(TRIM((IF('Final Calculation Sheet'!$O$14="","",'Final Calculation Sheet'!$O$14))&amp;""))=UPPER(TRIM($Q$2&amp;"")))))</f>
        <v/>
      </c>
      <c r="R14">
        <f>IF($R$3=FALSE,TRUE,IF(OR(UPPER(TRIM($R$2))="(BLANK)",UPPER(TRIM($R$2))="BLANK",AND($R$2&lt;&gt;"",TRIM($R$2)="")),(IF('Final Calculation Sheet'!$P$14="","",'Final Calculation Sheet'!$P$14))="",IF(OR(UPPER(TRIM($R$2))="(NONBLANK)",UPPER(TRIM($R$2))="NONBLANK",TRIM($R$2)="&lt;&gt;"),(IF('Final Calculation Sheet'!$P$14="","",'Final Calculation Sheet'!$P$14))&lt;&gt;"",UPPER(TRIM((IF('Final Calculation Sheet'!$P$14="","",'Final Calculation Sheet'!$P$14))&amp;""))=UPPER(TRIM($R$2&amp;"")))))</f>
        <v/>
      </c>
      <c r="S14">
        <f>IF($S$3=FALSE,TRUE,IF(OR(UPPER(TRIM($S$2))="(BLANK)",UPPER(TRIM($S$2))="BLANK",AND($S$2&lt;&gt;"",TRIM($S$2)="")),(IF('Final Calculation Sheet'!$Q$14="","",'Final Calculation Sheet'!$Q$14))="",IF(OR(UPPER(TRIM($S$2))="(NONBLANK)",UPPER(TRIM($S$2))="NONBLANK",TRIM($S$2)="&lt;&gt;"),(IF('Final Calculation Sheet'!$Q$14="","",'Final Calculation Sheet'!$Q$14))&lt;&gt;"",UPPER(TRIM((IF('Final Calculation Sheet'!$Q$14="","",'Final Calculation Sheet'!$Q$14))&amp;""))=UPPER(TRIM($S$2&amp;"")))))</f>
        <v/>
      </c>
      <c r="T14">
        <f>IF($T$3=FALSE,TRUE,IF(OR(UPPER(TRIM($T$2))="(BLANK)",UPPER(TRIM($T$2))="BLANK",AND($T$2&lt;&gt;"",TRIM($T$2)="")),(IF('Final Calculation Sheet'!$R$14="","",'Final Calculation Sheet'!$R$14))="",IF(OR(UPPER(TRIM($T$2))="(NONBLANK)",UPPER(TRIM($T$2))="NONBLANK",TRIM($T$2)="&lt;&gt;"),(IF('Final Calculation Sheet'!$R$14="","",'Final Calculation Sheet'!$R$14))&lt;&gt;"",UPPER(TRIM((IF('Final Calculation Sheet'!$R$14="","",'Final Calculation Sheet'!$R$14))&amp;""))=UPPER(TRIM($T$2&amp;"")))))</f>
        <v/>
      </c>
      <c r="U14">
        <f>IF($U$3=FALSE,TRUE,IF(OR(UPPER(TRIM($U$2))="(BLANK)",UPPER(TRIM($U$2))="BLANK",AND($U$2&lt;&gt;"",TRIM($U$2)="")),(IF('Final Calculation Sheet'!$S$14="","",'Final Calculation Sheet'!$S$14))="",IF(OR(UPPER(TRIM($U$2))="(NONBLANK)",UPPER(TRIM($U$2))="NONBLANK",TRIM($U$2)="&lt;&gt;"),(IF('Final Calculation Sheet'!$S$14="","",'Final Calculation Sheet'!$S$14))&lt;&gt;"",UPPER(TRIM((IF('Final Calculation Sheet'!$S$14="","",'Final Calculation Sheet'!$S$14))&amp;""))=UPPER(TRIM($U$2&amp;"")))))</f>
        <v/>
      </c>
      <c r="V14">
        <f>IF($V$3=FALSE,TRUE,IF(OR(UPPER(TRIM($V$2))="(BLANK)",UPPER(TRIM($V$2))="BLANK",AND($V$2&lt;&gt;"",TRIM($V$2)="")),(IF('Final Calculation Sheet'!$T$14="","",'Final Calculation Sheet'!$T$14))="",IF(OR(UPPER(TRIM($V$2))="(NONBLANK)",UPPER(TRIM($V$2))="NONBLANK",TRIM($V$2)="&lt;&gt;"),(IF('Final Calculation Sheet'!$T$14="","",'Final Calculation Sheet'!$T$14))&lt;&gt;"",UPPER(TRIM((IF('Final Calculation Sheet'!$T$14="","",'Final Calculation Sheet'!$T$14))&amp;""))=UPPER(TRIM($V$2&amp;"")))))</f>
        <v/>
      </c>
      <c r="W14">
        <f>IF($W$3=FALSE,TRUE,IF(OR(UPPER(TRIM($W$2))="(BLANK)",UPPER(TRIM($W$2))="BLANK",AND($W$2&lt;&gt;"",TRIM($W$2)="")),(IF('Final Calculation Sheet'!$U$14="","",'Final Calculation Sheet'!$U$14))="",IF(OR(UPPER(TRIM($W$2))="(NONBLANK)",UPPER(TRIM($W$2))="NONBLANK",TRIM($W$2)="&lt;&gt;"),(IF('Final Calculation Sheet'!$U$14="","",'Final Calculation Sheet'!$U$14))&lt;&gt;"",UPPER(TRIM((IF('Final Calculation Sheet'!$U$14="","",'Final Calculation Sheet'!$U$14))&amp;""))=UPPER(TRIM($W$2&amp;"")))))</f>
        <v/>
      </c>
      <c r="X14">
        <f>IF($X$3=FALSE,TRUE,IF(OR(UPPER(TRIM($X$2))="(BLANK)",UPPER(TRIM($X$2))="BLANK",AND($X$2&lt;&gt;"",TRIM($X$2)="")),(IF('Final Calculation Sheet'!$V$14="","",'Final Calculation Sheet'!$V$14))="",IF(OR(UPPER(TRIM($X$2))="(NONBLANK)",UPPER(TRIM($X$2))="NONBLANK",TRIM($X$2)="&lt;&gt;"),(IF('Final Calculation Sheet'!$V$14="","",'Final Calculation Sheet'!$V$14))&lt;&gt;"",UPPER(TRIM((IF('Final Calculation Sheet'!$V$14="","",'Final Calculation Sheet'!$V$14))&amp;""))=UPPER(TRIM($X$2&amp;"")))))</f>
        <v/>
      </c>
      <c r="Y14">
        <f>IF($Y$3=FALSE,TRUE,IF(OR(UPPER(TRIM($Y$2))="(BLANK)",UPPER(TRIM($Y$2))="BLANK",AND($Y$2&lt;&gt;"",TRIM($Y$2)="")),(IF('Final Calculation Sheet'!$W$14="","",'Final Calculation Sheet'!$W$14))="",IF(OR(UPPER(TRIM($Y$2))="(NONBLANK)",UPPER(TRIM($Y$2))="NONBLANK",TRIM($Y$2)="&lt;&gt;"),(IF('Final Calculation Sheet'!$W$14="","",'Final Calculation Sheet'!$W$14))&lt;&gt;"",UPPER(TRIM((IF('Final Calculation Sheet'!$W$14="","",'Final Calculation Sheet'!$W$14))&amp;""))=UPPER(TRIM($Y$2&amp;"")))))</f>
        <v/>
      </c>
      <c r="Z14">
        <f>IF($Z$3=FALSE,TRUE,IF(OR(UPPER(TRIM($Z$2))="(BLANK)",UPPER(TRIM($Z$2))="BLANK",AND($Z$2&lt;&gt;"",TRIM($Z$2)="")),(IF('Final Calculation Sheet'!$X$14="","",'Final Calculation Sheet'!$X$14))="",IF(OR(UPPER(TRIM($Z$2))="(NONBLANK)",UPPER(TRIM($Z$2))="NONBLANK",TRIM($Z$2)="&lt;&gt;"),(IF('Final Calculation Sheet'!$X$14="","",'Final Calculation Sheet'!$X$14))&lt;&gt;"",UPPER(TRIM((IF('Final Calculation Sheet'!$X$14="","",'Final Calculation Sheet'!$X$14))&amp;""))=UPPER(TRIM($Z$2&amp;"")))))</f>
        <v/>
      </c>
      <c r="AA14">
        <f>IF($AA$3=FALSE,TRUE,IF(OR(UPPER(TRIM($AA$2))="(BLANK)",UPPER(TRIM($AA$2))="BLANK",AND($AA$2&lt;&gt;"",TRIM($AA$2)="")),(IF('Final Calculation Sheet'!$Y$14="","",'Final Calculation Sheet'!$Y$14))="",IF(OR(UPPER(TRIM($AA$2))="(NONBLANK)",UPPER(TRIM($AA$2))="NONBLANK",TRIM($AA$2)="&lt;&gt;"),(IF('Final Calculation Sheet'!$Y$14="","",'Final Calculation Sheet'!$Y$14))&lt;&gt;"",UPPER(TRIM((IF('Final Calculation Sheet'!$Y$14="","",'Final Calculation Sheet'!$Y$14))&amp;""))=UPPER(TRIM($AA$2&amp;"")))))</f>
        <v/>
      </c>
      <c r="AB14">
        <f>IF($AB$3=FALSE,TRUE,IF(OR(UPPER(TRIM($AB$2))="(BLANK)",UPPER(TRIM($AB$2))="BLANK",AND($AB$2&lt;&gt;"",TRIM($AB$2)="")),(IF('Final Calculation Sheet'!$Z$14="","",'Final Calculation Sheet'!$Z$14))="",IF(OR(UPPER(TRIM($AB$2))="(NONBLANK)",UPPER(TRIM($AB$2))="NONBLANK",TRIM($AB$2)="&lt;&gt;"),(IF('Final Calculation Sheet'!$Z$14="","",'Final Calculation Sheet'!$Z$14))&lt;&gt;"",UPPER(TRIM((IF('Final Calculation Sheet'!$Z$14="","",'Final Calculation Sheet'!$Z$14))&amp;""))=UPPER(TRIM($AB$2&amp;"")))))</f>
        <v/>
      </c>
      <c r="AC14">
        <f>IF($AC$3=FALSE,TRUE,IF(OR(UPPER(TRIM($AC$2))="(BLANK)",UPPER(TRIM($AC$2))="BLANK",AND($AC$2&lt;&gt;"",TRIM($AC$2)="")),(IF('Final Calculation Sheet'!$AA$14="","",'Final Calculation Sheet'!$AA$14))="",IF(OR(UPPER(TRIM($AC$2))="(NONBLANK)",UPPER(TRIM($AC$2))="NONBLANK",TRIM($AC$2)="&lt;&gt;"),(IF('Final Calculation Sheet'!$AA$14="","",'Final Calculation Sheet'!$AA$14))&lt;&gt;"",UPPER(TRIM((IF('Final Calculation Sheet'!$AA$14="","",'Final Calculation Sheet'!$AA$14))&amp;""))=UPPER(TRIM($AC$2&amp;"")))))</f>
        <v/>
      </c>
      <c r="AD14">
        <f>IF($AD$3=FALSE,TRUE,IF(OR(UPPER(TRIM($AD$2))="(BLANK)",UPPER(TRIM($AD$2))="BLANK",AND($AD$2&lt;&gt;"",TRIM($AD$2)="")),(IF('Final Calculation Sheet'!$AB$14="","",'Final Calculation Sheet'!$AB$14))="",IF(OR(UPPER(TRIM($AD$2))="(NONBLANK)",UPPER(TRIM($AD$2))="NONBLANK",TRIM($AD$2)="&lt;&gt;"),(IF('Final Calculation Sheet'!$AB$14="","",'Final Calculation Sheet'!$AB$14))&lt;&gt;"",UPPER(TRIM((IF('Final Calculation Sheet'!$AB$14="","",'Final Calculation Sheet'!$AB$14))&amp;""))=UPPER(TRIM($AD$2&amp;"")))))</f>
        <v/>
      </c>
      <c r="AE14">
        <f>IF($AE$3=FALSE,TRUE,IF(OR(UPPER(TRIM($AE$2))="(BLANK)",UPPER(TRIM($AE$2))="BLANK",AND($AE$2&lt;&gt;"",TRIM($AE$2)="")),(IF('Final Calculation Sheet'!$AC$14="","",'Final Calculation Sheet'!$AC$14))="",IF(OR(UPPER(TRIM($AE$2))="(NONBLANK)",UPPER(TRIM($AE$2))="NONBLANK",TRIM($AE$2)="&lt;&gt;"),(IF('Final Calculation Sheet'!$AC$14="","",'Final Calculation Sheet'!$AC$14))&lt;&gt;"",UPPER(TRIM((IF('Final Calculation Sheet'!$AC$14="","",'Final Calculation Sheet'!$AC$14))&amp;""))=UPPER(TRIM($AE$2&amp;"")))))</f>
        <v/>
      </c>
      <c r="AF14">
        <f>IF($AF$3=FALSE,TRUE,IF(OR(UPPER(TRIM($AF$2))="(BLANK)",UPPER(TRIM($AF$2))="BLANK",AND($AF$2&lt;&gt;"",TRIM($AF$2)="")),(IF('Final Calculation Sheet'!$AD$14="","",'Final Calculation Sheet'!$AD$14))="",IF(OR(UPPER(TRIM($AF$2))="(NONBLANK)",UPPER(TRIM($AF$2))="NONBLANK",TRIM($AF$2)="&lt;&gt;"),(IF('Final Calculation Sheet'!$AD$14="","",'Final Calculation Sheet'!$AD$14))&lt;&gt;"",UPPER(TRIM((IF('Final Calculation Sheet'!$AD$14="","",'Final Calculation Sheet'!$AD$14))&amp;""))=UPPER(TRIM($AF$2&amp;"")))))</f>
        <v/>
      </c>
      <c r="AG14">
        <f>IF($AG$3=FALSE,TRUE,IF(OR(UPPER(TRIM($AG$2))="(BLANK)",UPPER(TRIM($AG$2))="BLANK",AND($AG$2&lt;&gt;"",TRIM($AG$2)="")),(IF('Final Calculation Sheet'!$AE$14="","",'Final Calculation Sheet'!$AE$14))="",IF(OR(UPPER(TRIM($AG$2))="(NONBLANK)",UPPER(TRIM($AG$2))="NONBLANK",TRIM($AG$2)="&lt;&gt;"),(IF('Final Calculation Sheet'!$AE$14="","",'Final Calculation Sheet'!$AE$14))&lt;&gt;"",UPPER(TRIM((IF('Final Calculation Sheet'!$AE$14="","",'Final Calculation Sheet'!$AE$14))&amp;""))=UPPER(TRIM($AG$2&amp;"")))))</f>
        <v/>
      </c>
      <c r="AH14">
        <f>IF($AH$3=FALSE,TRUE,IF(OR(UPPER(TRIM($AH$2))="(BLANK)",UPPER(TRIM($AH$2))="BLANK",AND($AH$2&lt;&gt;"",TRIM($AH$2)="")),(IF('Final Calculation Sheet'!$AF$14="","",'Final Calculation Sheet'!$AF$14))="",IF(OR(UPPER(TRIM($AH$2))="(NONBLANK)",UPPER(TRIM($AH$2))="NONBLANK",TRIM($AH$2)="&lt;&gt;"),(IF('Final Calculation Sheet'!$AF$14="","",'Final Calculation Sheet'!$AF$14))&lt;&gt;"",UPPER(TRIM((IF('Final Calculation Sheet'!$AF$14="","",'Final Calculation Sheet'!$AF$14))&amp;""))=UPPER(TRIM($AH$2&amp;"")))))</f>
        <v/>
      </c>
      <c r="AI14">
        <f>IF($AI$3=FALSE,TRUE,IF(OR(UPPER(TRIM($AI$2))="(BLANK)",UPPER(TRIM($AI$2))="BLANK",AND($AI$2&lt;&gt;"",TRIM($AI$2)="")),(IF('Final Calculation Sheet'!$AG$14="","",'Final Calculation Sheet'!$AG$14))="",IF(OR(UPPER(TRIM($AI$2))="(NONBLANK)",UPPER(TRIM($AI$2))="NONBLANK",TRIM($AI$2)="&lt;&gt;"),(IF('Final Calculation Sheet'!$AG$14="","",'Final Calculation Sheet'!$AG$14))&lt;&gt;"",UPPER(TRIM((IF('Final Calculation Sheet'!$AG$14="","",'Final Calculation Sheet'!$AG$14))&amp;""))=UPPER(TRIM($AI$2&amp;"")))))</f>
        <v/>
      </c>
      <c r="AJ14">
        <f>IF($AJ$3=FALSE,TRUE,IF(OR(UPPER(TRIM($AJ$2))="(BLANK)",UPPER(TRIM($AJ$2))="BLANK",AND($AJ$2&lt;&gt;"",TRIM($AJ$2)="")),(IF('Final Calculation Sheet'!$AD$14="","",IF('Final Calculation Sheet'!$AD$14&lt;=5,"SETTLED","OUTSTANDING")))="",IF(OR(UPPER(TRIM($AJ$2))="(NONBLANK)",UPPER(TRIM($AJ$2))="NONBLANK",TRIM($AJ$2)="&lt;&gt;"),(IF('Final Calculation Sheet'!$AD$14="","",IF('Final Calculation Sheet'!$AD$14&lt;=5,"SETTLED","OUTSTANDING")))&lt;&gt;"",UPPER(TRIM((IF('Final Calculation Sheet'!$AD$14="","",IF('Final Calculation Sheet'!$AD$14&lt;=5,"SETTLED","OUTSTANDING")))&amp;""))=UPPER(TRIM($AJ$2&amp;"")))))</f>
        <v/>
      </c>
      <c r="AL14">
        <f>IF(AND($B$14,$D$14:$AJ$14),IF('Final Calculation Sheet'!$F$14="","",'Final Calculation Sheet'!$F$14),"")</f>
        <v/>
      </c>
      <c r="AM14">
        <f>IF(AL14="","",COUNTIFS(AL$4:AL$40,"&lt;"&amp;AL14,AL$4:AL$40,"&lt;&gt;"&amp;"")+COUNTIF(AL$4:AL14,AL14))</f>
        <v/>
      </c>
      <c r="AN14">
        <f>IF(ROW()-3&gt;COUNTIF(AL$4:AL$40,"&lt;&gt;"&amp;""),"",INDEX(AL$4:AL$40,MATCH(ROW()-3,AM$4:AM$40,0)))</f>
        <v/>
      </c>
      <c r="AO14">
        <f>AO13+IF(AND(AN14&lt;&gt;"",COUNTIF(AN$4:AN14,AN14)=1),1,0)</f>
        <v/>
      </c>
      <c r="AP14">
        <f>IF(ROW()-3&gt;MAX(AO$4:AO$40),"",INDEX(AN$4:AN$40,MATCH(ROW()-3,AO$4:AO$40,0)))</f>
        <v/>
      </c>
      <c r="AQ14">
        <f>IF(AND($B$14:$C$14,$E$14:$AJ$14),IF('Final Calculation Sheet'!$G$14="","",'Final Calculation Sheet'!$G$14),"")</f>
        <v/>
      </c>
      <c r="AR14">
        <f>IF(AQ14="","",COUNTIFS(AQ$4:AQ$40,"&lt;"&amp;AQ14,AQ$4:AQ$40,"&lt;&gt;"&amp;"")+COUNTIF(AQ$4:AQ14,AQ14))</f>
        <v/>
      </c>
      <c r="AS14">
        <f>IF(ROW()-3&gt;COUNTIF(AQ$4:AQ$40,"&lt;&gt;"&amp;""),"",INDEX(AQ$4:AQ$40,MATCH(ROW()-3,AR$4:AR$40,0)))</f>
        <v/>
      </c>
      <c r="AT14">
        <f>AT13+IF(AND(AS14&lt;&gt;"",COUNTIF(AS$4:AS14,AS14)=1),1,0)</f>
        <v/>
      </c>
      <c r="AU14">
        <f>IF(ROW()-3&gt;MAX(AT$4:AT$40),"",INDEX(AS$4:AS$40,MATCH(ROW()-3,AT$4:AT$40,0)))</f>
        <v/>
      </c>
      <c r="AV14">
        <f>IF(AND($B$14:$D$14,$F$14:$AJ$14),IF('Final Calculation Sheet'!$B$14="","",'Final Calculation Sheet'!$B$14),"")</f>
        <v/>
      </c>
      <c r="AW14">
        <f>IF(AV14="","",COUNTIFS(AV$4:AV$40,"&lt;"&amp;AV14,AV$4:AV$40,"&lt;&gt;"&amp;"")+COUNTIF(AV$4:AV14,AV14))</f>
        <v/>
      </c>
      <c r="AX14">
        <f>IF(ROW()-3&gt;COUNTIF(AV$4:AV$40,"&lt;&gt;"&amp;""),"",INDEX(AV$4:AV$40,MATCH(ROW()-3,AW$4:AW$40,0)))</f>
        <v/>
      </c>
      <c r="AY14">
        <f>AY13+IF(AND(AX14&lt;&gt;"",COUNTIF(AX$4:AX14,AX14)=1),1,0)</f>
        <v/>
      </c>
      <c r="AZ14">
        <f>IF(ROW()-3&gt;MAX(AY$4:AY$40),"",INDEX(AX$4:AX$40,MATCH(ROW()-3,AY$4:AY$40,0)))</f>
        <v/>
      </c>
      <c r="BA14">
        <f>IF(AND($B$14:$E$14,$G$14:$AJ$14),IF('Final Calculation Sheet'!$D$14="","",'Final Calculation Sheet'!$D$14),"")</f>
        <v/>
      </c>
      <c r="BB14">
        <f>IF(BA14="","",COUNTIFS(BA$4:BA$40,"&lt;"&amp;BA14,BA$4:BA$40,"&lt;&gt;"&amp;"")+COUNTIF(BA$4:BA14,BA14))</f>
        <v/>
      </c>
      <c r="BC14">
        <f>IF(ROW()-3&gt;COUNTIF(BA$4:BA$40,"&lt;&gt;"&amp;""),"",INDEX(BA$4:BA$40,MATCH(ROW()-3,BB$4:BB$40,0)))</f>
        <v/>
      </c>
      <c r="BD14">
        <f>BD13+IF(AND(BC14&lt;&gt;"",COUNTIF(BC$4:BC14,BC14)=1),1,0)</f>
        <v/>
      </c>
      <c r="BE14">
        <f>IF(ROW()-3&gt;MAX(BD$4:BD$40),"",INDEX(BC$4:BC$40,MATCH(ROW()-3,BD$4:BD$40,0)))</f>
        <v/>
      </c>
      <c r="BF14">
        <f>IF(AND($B$14:$F$14,$H$14:$AJ$14),IF('Final Calculation Sheet'!$A$14="","",'Final Calculation Sheet'!$A$14),"")</f>
        <v/>
      </c>
      <c r="BG14">
        <f>IF(BF14="","",COUNTIFS(BF$4:BF$40,"&lt;"&amp;BF14,BF$4:BF$40,"&lt;&gt;"&amp;"")+COUNTIF(BF$4:BF14,BF14))</f>
        <v/>
      </c>
      <c r="BH14">
        <f>IF(ROW()-3&gt;COUNTIF(BF$4:BF$40,"&lt;&gt;"&amp;""),"",INDEX(BF$4:BF$40,MATCH(ROW()-3,BG$4:BG$40,0)))</f>
        <v/>
      </c>
      <c r="BI14">
        <f>BI13+IF(AND(BH14&lt;&gt;"",COUNTIF(BH$4:BH14,BH14)=1),1,0)</f>
        <v/>
      </c>
      <c r="BJ14">
        <f>IF(ROW()-3&gt;MAX(BI$4:BI$40),"",INDEX(BH$4:BH$40,MATCH(ROW()-3,BI$4:BI$40,0)))</f>
        <v/>
      </c>
      <c r="BK14">
        <f>IF(AND($B$14:$G$14,$I$14:$AJ$14),IF('Final Calculation Sheet'!$E$14="","",'Final Calculation Sheet'!$E$14),"")</f>
        <v/>
      </c>
      <c r="BL14">
        <f>IF(BK14="","",COUNTIFS(BK$4:BK$40,"&lt;"&amp;BK14,BK$4:BK$40,"&lt;&gt;"&amp;"")+COUNTIF(BK$4:BK14,BK14))</f>
        <v/>
      </c>
      <c r="BM14">
        <f>IF(ROW()-3&gt;COUNTIF(BK$4:BK$40,"&lt;&gt;"&amp;""),"",INDEX(BK$4:BK$40,MATCH(ROW()-3,BL$4:BL$40,0)))</f>
        <v/>
      </c>
      <c r="BN14">
        <f>BN13+IF(AND(BM14&lt;&gt;"",COUNTIF(BM$4:BM14,BM14)=1),1,0)</f>
        <v/>
      </c>
      <c r="BO14">
        <f>IF(ROW()-3&gt;MAX(BN$4:BN$40),"",INDEX(BM$4:BM$40,MATCH(ROW()-3,BN$4:BN$40,0)))</f>
        <v/>
      </c>
      <c r="BP14" s="55">
        <f>IF(AND($B$14:$H$14,$J$14:$AJ$14),IF('Final Calculation Sheet'!$C$14="","",'Final Calculation Sheet'!$C$14),"")</f>
        <v/>
      </c>
      <c r="BQ14">
        <f>IF(BP14="","",COUNTIFS(BP$4:BP$40,"&lt;"&amp;BP14,BP$4:BP$40,"&lt;&gt;"&amp;"")+COUNTIF(BP$4:BP14,BP14))</f>
        <v/>
      </c>
      <c r="BR14" s="55">
        <f>IF(ROW()-3&gt;COUNTIF(BP$4:BP$40,"&lt;&gt;"&amp;""),"",INDEX(BP$4:BP$40,MATCH(ROW()-3,BQ$4:BQ$40,0)))</f>
        <v/>
      </c>
      <c r="BS14">
        <f>BS13+IF(AND(BR14&lt;&gt;"",COUNTIF(BR$4:BR14,BR14)=1),1,0)</f>
        <v/>
      </c>
      <c r="BT14" s="55">
        <f>IF(ROW()-3&gt;MAX(BS$4:BS$40),"",INDEX(BR$4:BR$40,MATCH(ROW()-3,BS$4:BS$40,0)))</f>
        <v/>
      </c>
      <c r="BU14" s="55">
        <f>IF(AND($B$14:$I$14,$K$14:$AJ$14),IF('Final Calculation Sheet'!$H$14="","",'Final Calculation Sheet'!$H$14),"")</f>
        <v/>
      </c>
      <c r="BV14">
        <f>IF(BU14="","",COUNTIFS(BU$4:BU$40,"&lt;"&amp;BU14,BU$4:BU$40,"&lt;&gt;"&amp;"")+COUNTIF(BU$4:BU14,BU14))</f>
        <v/>
      </c>
      <c r="BW14" s="55">
        <f>IF(ROW()-3&gt;COUNTIF(BU$4:BU$40,"&lt;&gt;"&amp;""),"",INDEX(BU$4:BU$40,MATCH(ROW()-3,BV$4:BV$40,0)))</f>
        <v/>
      </c>
      <c r="BX14">
        <f>BX13+IF(AND(BW14&lt;&gt;"",COUNTIF(BW$4:BW14,BW14)=1),1,0)</f>
        <v/>
      </c>
      <c r="BY14" s="55">
        <f>IF(ROW()-3&gt;MAX(BX$4:BX$40),"",INDEX(BW$4:BW$40,MATCH(ROW()-3,BX$4:BX$40,0)))</f>
        <v/>
      </c>
      <c r="BZ14" s="55">
        <f>IF(AND($B$14:$J$14,$L$14:$AJ$14),IF('Final Calculation Sheet'!$I$14="","",'Final Calculation Sheet'!$I$14),"")</f>
        <v/>
      </c>
      <c r="CA14">
        <f>IF(BZ14="","",COUNTIFS(BZ$4:BZ$40,"&lt;"&amp;BZ14,BZ$4:BZ$40,"&lt;&gt;"&amp;"")+COUNTIF(BZ$4:BZ14,BZ14))</f>
        <v/>
      </c>
      <c r="CB14" s="55">
        <f>IF(ROW()-3&gt;COUNTIF(BZ$4:BZ$40,"&lt;&gt;"&amp;""),"",INDEX(BZ$4:BZ$40,MATCH(ROW()-3,CA$4:CA$40,0)))</f>
        <v/>
      </c>
      <c r="CC14">
        <f>CC13+IF(AND(CB14&lt;&gt;"",COUNTIF(CB$4:CB14,CB14)=1),1,0)</f>
        <v/>
      </c>
      <c r="CD14" s="55">
        <f>IF(ROW()-3&gt;MAX(CC$4:CC$40),"",INDEX(CB$4:CB$40,MATCH(ROW()-3,CC$4:CC$40,0)))</f>
        <v/>
      </c>
      <c r="CE14" s="55">
        <f>IF(AND($B$14:$K$14,$M$14:$AJ$14),IF('Final Calculation Sheet'!$J$14="","",'Final Calculation Sheet'!$J$14),"")</f>
        <v/>
      </c>
      <c r="CF14">
        <f>IF(CE14="","",COUNTIFS(CE$4:CE$40,"&lt;"&amp;CE14,CE$4:CE$40,"&lt;&gt;"&amp;"")+COUNTIF(CE$4:CE14,CE14))</f>
        <v/>
      </c>
      <c r="CG14" s="55">
        <f>IF(ROW()-3&gt;COUNTIF(CE$4:CE$40,"&lt;&gt;"&amp;""),"",INDEX(CE$4:CE$40,MATCH(ROW()-3,CF$4:CF$40,0)))</f>
        <v/>
      </c>
      <c r="CH14">
        <f>CH13+IF(AND(CG14&lt;&gt;"",COUNTIF(CG$4:CG14,CG14)=1),1,0)</f>
        <v/>
      </c>
      <c r="CI14" s="55">
        <f>IF(ROW()-3&gt;MAX(CH$4:CH$40),"",INDEX(CG$4:CG$40,MATCH(ROW()-3,CH$4:CH$40,0)))</f>
        <v/>
      </c>
      <c r="CJ14" s="55">
        <f>IF(AND($B$14:$L$14,$N$14:$AJ$14),IF('Final Calculation Sheet'!$K$14="","",'Final Calculation Sheet'!$K$14),"")</f>
        <v/>
      </c>
      <c r="CK14">
        <f>IF(CJ14="","",COUNTIFS(CJ$4:CJ$40,"&lt;"&amp;CJ14,CJ$4:CJ$40,"&lt;&gt;"&amp;"")+COUNTIF(CJ$4:CJ14,CJ14))</f>
        <v/>
      </c>
      <c r="CL14" s="55">
        <f>IF(ROW()-3&gt;COUNTIF(CJ$4:CJ$40,"&lt;&gt;"&amp;""),"",INDEX(CJ$4:CJ$40,MATCH(ROW()-3,CK$4:CK$40,0)))</f>
        <v/>
      </c>
      <c r="CM14">
        <f>CM13+IF(AND(CL14&lt;&gt;"",COUNTIF(CL$4:CL14,CL14)=1),1,0)</f>
        <v/>
      </c>
      <c r="CN14" s="55">
        <f>IF(ROW()-3&gt;MAX(CM$4:CM$40),"",INDEX(CL$4:CL$40,MATCH(ROW()-3,CM$4:CM$40,0)))</f>
        <v/>
      </c>
      <c r="CO14" s="55">
        <f>IF(AND($B$14:$M$14,$O$14:$AJ$14),IF('Final Calculation Sheet'!$L$14="","",'Final Calculation Sheet'!$L$14),"")</f>
        <v/>
      </c>
      <c r="CP14">
        <f>IF(CO14="","",COUNTIFS(CO$4:CO$40,"&lt;"&amp;CO14,CO$4:CO$40,"&lt;&gt;"&amp;"")+COUNTIF(CO$4:CO14,CO14))</f>
        <v/>
      </c>
      <c r="CQ14" s="55">
        <f>IF(ROW()-3&gt;COUNTIF(CO$4:CO$40,"&lt;&gt;"&amp;""),"",INDEX(CO$4:CO$40,MATCH(ROW()-3,CP$4:CP$40,0)))</f>
        <v/>
      </c>
      <c r="CR14">
        <f>CR13+IF(AND(CQ14&lt;&gt;"",COUNTIF(CQ$4:CQ14,CQ14)=1),1,0)</f>
        <v/>
      </c>
      <c r="CS14" s="55">
        <f>IF(ROW()-3&gt;MAX(CR$4:CR$40),"",INDEX(CQ$4:CQ$40,MATCH(ROW()-3,CR$4:CR$40,0)))</f>
        <v/>
      </c>
      <c r="CT14" s="55">
        <f>IF(AND($B$14:$N$14,$P$14:$AJ$14),IF('Final Calculation Sheet'!$M$14="","",'Final Calculation Sheet'!$M$14),"")</f>
        <v/>
      </c>
      <c r="CU14">
        <f>IF(CT14="","",COUNTIFS(CT$4:CT$40,"&lt;"&amp;CT14,CT$4:CT$40,"&lt;&gt;"&amp;"")+COUNTIF(CT$4:CT14,CT14))</f>
        <v/>
      </c>
      <c r="CV14" s="55">
        <f>IF(ROW()-3&gt;COUNTIF(CT$4:CT$40,"&lt;&gt;"&amp;""),"",INDEX(CT$4:CT$40,MATCH(ROW()-3,CU$4:CU$40,0)))</f>
        <v/>
      </c>
      <c r="CW14">
        <f>CW13+IF(AND(CV14&lt;&gt;"",COUNTIF(CV$4:CV14,CV14)=1),1,0)</f>
        <v/>
      </c>
      <c r="CX14" s="55">
        <f>IF(ROW()-3&gt;MAX(CW$4:CW$40),"",INDEX(CV$4:CV$40,MATCH(ROW()-3,CW$4:CW$40,0)))</f>
        <v/>
      </c>
      <c r="CY14" s="138">
        <f>IF(AND($B$14:$O$14,$Q$14:$AJ$14),IF('Final Calculation Sheet'!$N$14="","",'Final Calculation Sheet'!$N$14),"")</f>
        <v/>
      </c>
      <c r="CZ14">
        <f>IF(CY14="","",COUNTIFS(CY$4:CY$40,"&lt;"&amp;CY14,CY$4:CY$40,"&lt;&gt;"&amp;"")+COUNTIF(CY$4:CY14,CY14))</f>
        <v/>
      </c>
      <c r="DA14" s="138">
        <f>IF(ROW()-3&gt;COUNTIF(CY$4:CY$40,"&lt;&gt;"&amp;""),"",INDEX(CY$4:CY$40,MATCH(ROW()-3,CZ$4:CZ$40,0)))</f>
        <v/>
      </c>
      <c r="DB14">
        <f>DB13+IF(AND(DA14&lt;&gt;"",COUNTIF(DA$4:DA14,DA14)=1),1,0)</f>
        <v/>
      </c>
      <c r="DC14" s="138">
        <f>IF(ROW()-3&gt;MAX(DB$4:DB$40),"",INDEX(DA$4:DA$40,MATCH(ROW()-3,DB$4:DB$40,0)))</f>
        <v/>
      </c>
      <c r="DD14" s="55">
        <f>IF(AND($B$14:$P$14,$R$14:$AJ$14),IF('Final Calculation Sheet'!$O$14="","",'Final Calculation Sheet'!$O$14),"")</f>
        <v/>
      </c>
      <c r="DE14">
        <f>IF(DD14="","",COUNTIFS(DD$4:DD$40,"&lt;"&amp;DD14,DD$4:DD$40,"&lt;&gt;"&amp;"")+COUNTIF(DD$4:DD14,DD14))</f>
        <v/>
      </c>
      <c r="DF14" s="55">
        <f>IF(ROW()-3&gt;COUNTIF(DD$4:DD$40,"&lt;&gt;"&amp;""),"",INDEX(DD$4:DD$40,MATCH(ROW()-3,DE$4:DE$40,0)))</f>
        <v/>
      </c>
      <c r="DG14">
        <f>DG13+IF(AND(DF14&lt;&gt;"",COUNTIF(DF$4:DF14,DF14)=1),1,0)</f>
        <v/>
      </c>
      <c r="DH14" s="55">
        <f>IF(ROW()-3&gt;MAX(DG$4:DG$40),"",INDEX(DF$4:DF$40,MATCH(ROW()-3,DG$4:DG$40,0)))</f>
        <v/>
      </c>
      <c r="DI14" s="55">
        <f>IF(AND($B$14:$Q$14,$S$14:$AJ$14),IF('Final Calculation Sheet'!$P$14="","",'Final Calculation Sheet'!$P$14),"")</f>
        <v/>
      </c>
      <c r="DJ14">
        <f>IF(DI14="","",COUNTIFS(DI$4:DI$40,"&lt;"&amp;DI14,DI$4:DI$40,"&lt;&gt;"&amp;"")+COUNTIF(DI$4:DI14,DI14))</f>
        <v/>
      </c>
      <c r="DK14" s="55">
        <f>IF(ROW()-3&gt;COUNTIF(DI$4:DI$40,"&lt;&gt;"&amp;""),"",INDEX(DI$4:DI$40,MATCH(ROW()-3,DJ$4:DJ$40,0)))</f>
        <v/>
      </c>
      <c r="DL14">
        <f>DL13+IF(AND(DK14&lt;&gt;"",COUNTIF(DK$4:DK14,DK14)=1),1,0)</f>
        <v/>
      </c>
      <c r="DM14" s="55">
        <f>IF(ROW()-3&gt;MAX(DL$4:DL$40),"",INDEX(DK$4:DK$40,MATCH(ROW()-3,DL$4:DL$40,0)))</f>
        <v/>
      </c>
      <c r="DN14" s="139">
        <f>IF(AND($B$14:$R$14,$T$14:$AJ$14),IF('Final Calculation Sheet'!$Q$14="","",'Final Calculation Sheet'!$Q$14),"")</f>
        <v/>
      </c>
      <c r="DO14">
        <f>IF(DN14="","",COUNTIFS(DN$4:DN$40,"&lt;"&amp;DN14,DN$4:DN$40,"&lt;&gt;"&amp;"")+COUNTIF(DN$4:DN14,DN14))</f>
        <v/>
      </c>
      <c r="DP14" s="139">
        <f>IF(ROW()-3&gt;COUNTIF(DN$4:DN$40,"&lt;&gt;"&amp;""),"",INDEX(DN$4:DN$40,MATCH(ROW()-3,DO$4:DO$40,0)))</f>
        <v/>
      </c>
      <c r="DQ14">
        <f>DQ13+IF(AND(DP14&lt;&gt;"",COUNTIF(DP$4:DP14,DP14)=1),1,0)</f>
        <v/>
      </c>
      <c r="DR14" s="139">
        <f>IF(ROW()-3&gt;MAX(DQ$4:DQ$40),"",INDEX(DP$4:DP$40,MATCH(ROW()-3,DQ$4:DQ$40,0)))</f>
        <v/>
      </c>
      <c r="DS14" s="55">
        <f>IF(AND($B$14:$S$14,$U$14:$AJ$14),IF('Final Calculation Sheet'!$R$14="","",'Final Calculation Sheet'!$R$14),"")</f>
        <v/>
      </c>
      <c r="DT14">
        <f>IF(DS14="","",COUNTIFS(DS$4:DS$40,"&lt;"&amp;DS14,DS$4:DS$40,"&lt;&gt;"&amp;"")+COUNTIF(DS$4:DS14,DS14))</f>
        <v/>
      </c>
      <c r="DU14" s="55">
        <f>IF(ROW()-3&gt;COUNTIF(DS$4:DS$40,"&lt;&gt;"&amp;""),"",INDEX(DS$4:DS$40,MATCH(ROW()-3,DT$4:DT$40,0)))</f>
        <v/>
      </c>
      <c r="DV14">
        <f>DV13+IF(AND(DU14&lt;&gt;"",COUNTIF(DU$4:DU14,DU14)=1),1,0)</f>
        <v/>
      </c>
      <c r="DW14" s="55">
        <f>IF(ROW()-3&gt;MAX(DV$4:DV$40),"",INDEX(DU$4:DU$40,MATCH(ROW()-3,DV$4:DV$40,0)))</f>
        <v/>
      </c>
      <c r="DX14" s="55">
        <f>IF(AND($B$14:$T$14,$V$14:$AJ$14),IF('Final Calculation Sheet'!$S$14="","",'Final Calculation Sheet'!$S$14),"")</f>
        <v/>
      </c>
      <c r="DY14">
        <f>IF(DX14="","",COUNTIFS(DX$4:DX$40,"&lt;"&amp;DX14,DX$4:DX$40,"&lt;&gt;"&amp;"")+COUNTIF(DX$4:DX14,DX14))</f>
        <v/>
      </c>
      <c r="DZ14" s="55">
        <f>IF(ROW()-3&gt;COUNTIF(DX$4:DX$40,"&lt;&gt;"&amp;""),"",INDEX(DX$4:DX$40,MATCH(ROW()-3,DY$4:DY$40,0)))</f>
        <v/>
      </c>
      <c r="EA14">
        <f>EA13+IF(AND(DZ14&lt;&gt;"",COUNTIF(DZ$4:DZ14,DZ14)=1),1,0)</f>
        <v/>
      </c>
      <c r="EB14" s="55">
        <f>IF(ROW()-3&gt;MAX(EA$4:EA$40),"",INDEX(DZ$4:DZ$40,MATCH(ROW()-3,EA$4:EA$40,0)))</f>
        <v/>
      </c>
      <c r="EC14" s="55">
        <f>IF(AND($B$14:$U$14,$W$14:$AJ$14),IF('Final Calculation Sheet'!$T$14="","",'Final Calculation Sheet'!$T$14),"")</f>
        <v/>
      </c>
      <c r="ED14">
        <f>IF(EC14="","",COUNTIFS(EC$4:EC$40,"&lt;"&amp;EC14,EC$4:EC$40,"&lt;&gt;"&amp;"")+COUNTIF(EC$4:EC14,EC14))</f>
        <v/>
      </c>
      <c r="EE14" s="55">
        <f>IF(ROW()-3&gt;COUNTIF(EC$4:EC$40,"&lt;&gt;"&amp;""),"",INDEX(EC$4:EC$40,MATCH(ROW()-3,ED$4:ED$40,0)))</f>
        <v/>
      </c>
      <c r="EF14">
        <f>EF13+IF(AND(EE14&lt;&gt;"",COUNTIF(EE$4:EE14,EE14)=1),1,0)</f>
        <v/>
      </c>
      <c r="EG14" s="55">
        <f>IF(ROW()-3&gt;MAX(EF$4:EF$40),"",INDEX(EE$4:EE$40,MATCH(ROW()-3,EF$4:EF$40,0)))</f>
        <v/>
      </c>
      <c r="EH14" s="140">
        <f>IF(AND($B$14:$V$14,$X$14:$AJ$14),IF('Final Calculation Sheet'!$U$14="","",'Final Calculation Sheet'!$U$14),"")</f>
        <v/>
      </c>
      <c r="EI14">
        <f>IF(EH14="","",COUNTIFS(EH$4:EH$40,"&lt;"&amp;EH14,EH$4:EH$40,"&lt;&gt;"&amp;"")+COUNTIF(EH$4:EH14,EH14))</f>
        <v/>
      </c>
      <c r="EJ14" s="140">
        <f>IF(ROW()-3&gt;COUNTIF(EH$4:EH$40,"&lt;&gt;"&amp;""),"",INDEX(EH$4:EH$40,MATCH(ROW()-3,EI$4:EI$40,0)))</f>
        <v/>
      </c>
      <c r="EK14">
        <f>EK13+IF(AND(EJ14&lt;&gt;"",COUNTIF(EJ$4:EJ14,EJ14)=1),1,0)</f>
        <v/>
      </c>
      <c r="EL14" s="140">
        <f>IF(ROW()-3&gt;MAX(EK$4:EK$40),"",INDEX(EJ$4:EJ$40,MATCH(ROW()-3,EK$4:EK$40,0)))</f>
        <v/>
      </c>
      <c r="EM14">
        <f>IF(AND($B$14:$W$14,$Y$14:$AJ$14),IF('Final Calculation Sheet'!$V$14="","",'Final Calculation Sheet'!$V$14),"")</f>
        <v/>
      </c>
      <c r="EN14">
        <f>IF(EM14="","",COUNTIFS(EM$4:EM$40,"&lt;"&amp;EM14,EM$4:EM$40,"&lt;&gt;"&amp;"")+COUNTIF(EM$4:EM14,EM14))</f>
        <v/>
      </c>
      <c r="EO14">
        <f>IF(ROW()-3&gt;COUNTIF(EM$4:EM$40,"&lt;&gt;"&amp;""),"",INDEX(EM$4:EM$40,MATCH(ROW()-3,EN$4:EN$40,0)))</f>
        <v/>
      </c>
      <c r="EP14">
        <f>EP13+IF(AND(EO14&lt;&gt;"",COUNTIF(EO$4:EO14,EO14)=1),1,0)</f>
        <v/>
      </c>
      <c r="EQ14">
        <f>IF(ROW()-3&gt;MAX(EP$4:EP$40),"",INDEX(EO$4:EO$40,MATCH(ROW()-3,EP$4:EP$40,0)))</f>
        <v/>
      </c>
      <c r="ER14" s="55">
        <f>IF(AND($B$14:$X$14,$Z$14:$AJ$14),IF('Final Calculation Sheet'!$W$14="","",'Final Calculation Sheet'!$W$14),"")</f>
        <v/>
      </c>
      <c r="ES14">
        <f>IF(ER14="","",COUNTIFS(ER$4:ER$40,"&lt;"&amp;ER14,ER$4:ER$40,"&lt;&gt;"&amp;"")+COUNTIF(ER$4:ER14,ER14))</f>
        <v/>
      </c>
      <c r="ET14" s="55">
        <f>IF(ROW()-3&gt;COUNTIF(ER$4:ER$40,"&lt;&gt;"&amp;""),"",INDEX(ER$4:ER$40,MATCH(ROW()-3,ES$4:ES$40,0)))</f>
        <v/>
      </c>
      <c r="EU14">
        <f>EU13+IF(AND(ET14&lt;&gt;"",COUNTIF(ET$4:ET14,ET14)=1),1,0)</f>
        <v/>
      </c>
      <c r="EV14" s="55">
        <f>IF(ROW()-3&gt;MAX(EU$4:EU$40),"",INDEX(ET$4:ET$40,MATCH(ROW()-3,EU$4:EU$40,0)))</f>
        <v/>
      </c>
      <c r="EW14" s="55">
        <f>IF(AND($B$14:$Y$14,$AA$14:$AJ$14),IF('Final Calculation Sheet'!$X$14="","",'Final Calculation Sheet'!$X$14),"")</f>
        <v/>
      </c>
      <c r="EX14">
        <f>IF(EW14="","",COUNTIFS(EW$4:EW$40,"&lt;"&amp;EW14,EW$4:EW$40,"&lt;&gt;"&amp;"")+COUNTIF(EW$4:EW14,EW14))</f>
        <v/>
      </c>
      <c r="EY14" s="55">
        <f>IF(ROW()-3&gt;COUNTIF(EW$4:EW$40,"&lt;&gt;"&amp;""),"",INDEX(EW$4:EW$40,MATCH(ROW()-3,EX$4:EX$40,0)))</f>
        <v/>
      </c>
      <c r="EZ14">
        <f>EZ13+IF(AND(EY14&lt;&gt;"",COUNTIF(EY$4:EY14,EY14)=1),1,0)</f>
        <v/>
      </c>
      <c r="FA14">
        <f>IF(ROW()-3&gt;MAX(EZ$4:EZ$40),"",INDEX(EY$4:EY$40,MATCH(ROW()-3,EZ$4:EZ$40,0)))</f>
        <v/>
      </c>
      <c r="FB14">
        <f>IF(AND($B$14:$Z$14,$AB$14:$AJ$14),IF('Final Calculation Sheet'!$Y$14="","",'Final Calculation Sheet'!$Y$14),"")</f>
        <v/>
      </c>
      <c r="FC14">
        <f>IF(FB14="","",COUNTIFS(FB$4:FB$40,"&lt;"&amp;FB14,FB$4:FB$40,"&lt;&gt;"&amp;"")+COUNTIF(FB$4:FB14,FB14))</f>
        <v/>
      </c>
      <c r="FD14">
        <f>IF(ROW()-3&gt;COUNTIF(FB$4:FB$40,"&lt;&gt;"&amp;""),"",INDEX(FB$4:FB$40,MATCH(ROW()-3,FC$4:FC$40,0)))</f>
        <v/>
      </c>
      <c r="FE14">
        <f>FE13+IF(AND(FD14&lt;&gt;"",COUNTIF(FD$4:FD14,FD14)=1),1,0)</f>
        <v/>
      </c>
      <c r="FF14">
        <f>IF(ROW()-3&gt;MAX(FE$4:FE$40),"",INDEX(FD$4:FD$40,MATCH(ROW()-3,FE$4:FE$40,0)))</f>
        <v/>
      </c>
      <c r="FG14" s="55">
        <f>IF(AND($B$14:$AA$14,$AC$14:$AJ$14),IF('Final Calculation Sheet'!$Z$14="","",'Final Calculation Sheet'!$Z$14),"")</f>
        <v/>
      </c>
      <c r="FH14">
        <f>IF(FG14="","",COUNTIFS(FG$4:FG$40,"&lt;"&amp;FG14,FG$4:FG$40,"&lt;&gt;"&amp;"")+COUNTIF(FG$4:FG14,FG14))</f>
        <v/>
      </c>
      <c r="FI14" s="55">
        <f>IF(ROW()-3&gt;COUNTIF(FG$4:FG$40,"&lt;&gt;"&amp;""),"",INDEX(FG$4:FG$40,MATCH(ROW()-3,FH$4:FH$40,0)))</f>
        <v/>
      </c>
      <c r="FJ14">
        <f>FJ13+IF(AND(FI14&lt;&gt;"",COUNTIF(FI$4:FI14,FI14)=1),1,0)</f>
        <v/>
      </c>
      <c r="FK14" s="55">
        <f>IF(ROW()-3&gt;MAX(FJ$4:FJ$40),"",INDEX(FI$4:FI$40,MATCH(ROW()-3,FJ$4:FJ$40,0)))</f>
        <v/>
      </c>
      <c r="FL14">
        <f>IF(AND($B$14:$AB$14,$AD$14:$AJ$14),IF('Final Calculation Sheet'!$AA$14="","",'Final Calculation Sheet'!$AA$14),"")</f>
        <v/>
      </c>
      <c r="FM14">
        <f>IF(FL14="","",COUNTIFS(FL$4:FL$40,"&lt;"&amp;FL14,FL$4:FL$40,"&lt;&gt;"&amp;"")+COUNTIF(FL$4:FL14,FL14))</f>
        <v/>
      </c>
      <c r="FN14">
        <f>IF(ROW()-3&gt;COUNTIF(FL$4:FL$40,"&lt;&gt;"&amp;""),"",INDEX(FL$4:FL$40,MATCH(ROW()-3,FM$4:FM$40,0)))</f>
        <v/>
      </c>
      <c r="FO14">
        <f>FO13+IF(AND(FN14&lt;&gt;"",COUNTIF(FN$4:FN14,FN14)=1),1,0)</f>
        <v/>
      </c>
      <c r="FP14">
        <f>IF(ROW()-3&gt;MAX(FO$4:FO$40),"",INDEX(FN$4:FN$40,MATCH(ROW()-3,FO$4:FO$40,0)))</f>
        <v/>
      </c>
      <c r="FQ14">
        <f>IF(AND($B$14:$AC$14,$AE$14:$AJ$14),IF('Final Calculation Sheet'!$AB$14="","",'Final Calculation Sheet'!$AB$14),"")</f>
        <v/>
      </c>
      <c r="FR14">
        <f>IF(FQ14="","",COUNTIFS(FQ$4:FQ$40,"&lt;"&amp;FQ14,FQ$4:FQ$40,"&lt;&gt;"&amp;"")+COUNTIF(FQ$4:FQ14,FQ14))</f>
        <v/>
      </c>
      <c r="FS14">
        <f>IF(ROW()-3&gt;COUNTIF(FQ$4:FQ$40,"&lt;&gt;"&amp;""),"",INDEX(FQ$4:FQ$40,MATCH(ROW()-3,FR$4:FR$40,0)))</f>
        <v/>
      </c>
      <c r="FT14">
        <f>FT13+IF(AND(FS14&lt;&gt;"",COUNTIF(FS$4:FS14,FS14)=1),1,0)</f>
        <v/>
      </c>
      <c r="FU14">
        <f>IF(ROW()-3&gt;MAX(FT$4:FT$40),"",INDEX(FS$4:FS$40,MATCH(ROW()-3,FT$4:FT$40,0)))</f>
        <v/>
      </c>
      <c r="FV14" s="55">
        <f>IF(AND($B$14:$AD$14,$AF$14:$AJ$14),IF('Final Calculation Sheet'!$AC$14="","",'Final Calculation Sheet'!$AC$14),"")</f>
        <v/>
      </c>
      <c r="FW14">
        <f>IF(FV14="","",COUNTIFS(FV$4:FV$40,"&lt;"&amp;FV14,FV$4:FV$40,"&lt;&gt;"&amp;"")+COUNTIF(FV$4:FV14,FV14))</f>
        <v/>
      </c>
      <c r="FX14" s="55">
        <f>IF(ROW()-3&gt;COUNTIF(FV$4:FV$40,"&lt;&gt;"&amp;""),"",INDEX(FV$4:FV$40,MATCH(ROW()-3,FW$4:FW$40,0)))</f>
        <v/>
      </c>
      <c r="FY14">
        <f>FY13+IF(AND(FX14&lt;&gt;"",COUNTIF(FX$4:FX14,FX14)=1),1,0)</f>
        <v/>
      </c>
      <c r="FZ14" s="55">
        <f>IF(ROW()-3&gt;MAX(FY$4:FY$40),"",INDEX(FX$4:FX$40,MATCH(ROW()-3,FY$4:FY$40,0)))</f>
        <v/>
      </c>
      <c r="GA14" s="55">
        <f>IF(AND($B$14:$AE$14,$AG$14:$AJ$14),IF('Final Calculation Sheet'!$AD$14="","",'Final Calculation Sheet'!$AD$14),"")</f>
        <v/>
      </c>
      <c r="GB14">
        <f>IF(GA14="","",COUNTIFS(GA$4:GA$40,"&lt;"&amp;GA14,GA$4:GA$40,"&lt;&gt;"&amp;"")+COUNTIF(GA$4:GA14,GA14))</f>
        <v/>
      </c>
      <c r="GC14" s="55">
        <f>IF(ROW()-3&gt;COUNTIF(GA$4:GA$40,"&lt;&gt;"&amp;""),"",INDEX(GA$4:GA$40,MATCH(ROW()-3,GB$4:GB$40,0)))</f>
        <v/>
      </c>
      <c r="GD14">
        <f>GD13+IF(AND(GC14&lt;&gt;"",COUNTIF(GC$4:GC14,GC14)=1),1,0)</f>
        <v/>
      </c>
      <c r="GE14" s="55">
        <f>IF(ROW()-3&gt;MAX(GD$4:GD$40),"",INDEX(GC$4:GC$40,MATCH(ROW()-3,GD$4:GD$40,0)))</f>
        <v/>
      </c>
      <c r="GF14">
        <f>IF(AND($B$14:$AF$14,$AH$14:$AJ$14),IF('Final Calculation Sheet'!$AE$14="","",'Final Calculation Sheet'!$AE$14),"")</f>
        <v/>
      </c>
      <c r="GG14">
        <f>IF(GF14="","",COUNTIFS(GF$4:GF$40,"&lt;"&amp;GF14,GF$4:GF$40,"&lt;&gt;"&amp;"")+COUNTIF(GF$4:GF14,GF14))</f>
        <v/>
      </c>
      <c r="GH14">
        <f>IF(ROW()-3&gt;COUNTIF(GF$4:GF$40,"&lt;&gt;"&amp;""),"",INDEX(GF$4:GF$40,MATCH(ROW()-3,GG$4:GG$40,0)))</f>
        <v/>
      </c>
      <c r="GI14">
        <f>GI13+IF(AND(GH14&lt;&gt;"",COUNTIF(GH$4:GH14,GH14)=1),1,0)</f>
        <v/>
      </c>
      <c r="GJ14">
        <f>IF(ROW()-3&gt;MAX(GI$4:GI$40),"",INDEX(GH$4:GH$40,MATCH(ROW()-3,GI$4:GI$40,0)))</f>
        <v/>
      </c>
      <c r="GK14" s="141">
        <f>IF(AND($B$14:$AG$14,$AI$14:$AJ$14),IF('Final Calculation Sheet'!$AF$14="","",'Final Calculation Sheet'!$AF$14),"")</f>
        <v/>
      </c>
      <c r="GL14">
        <f>IF(GK14="","",COUNTIFS(GK$4:GK$40,"&lt;"&amp;GK14,GK$4:GK$40,"&lt;&gt;"&amp;"")+COUNTIF(GK$4:GK14,GK14))</f>
        <v/>
      </c>
      <c r="GM14" s="141">
        <f>IF(ROW()-3&gt;COUNTIF(GK$4:GK$40,"&lt;&gt;"&amp;""),"",INDEX(GK$4:GK$40,MATCH(ROW()-3,GL$4:GL$40,0)))</f>
        <v/>
      </c>
      <c r="GN14">
        <f>GN13+IF(AND(GM14&lt;&gt;"",COUNTIF(GM$4:GM14,GM14)=1),1,0)</f>
        <v/>
      </c>
      <c r="GO14">
        <f>IF(ROW()-3&gt;MAX(GN$4:GN$40),"",INDEX(GM$4:GM$40,MATCH(ROW()-3,GN$4:GN$40,0)))</f>
        <v/>
      </c>
      <c r="GP14">
        <f>IF(AND($B$14:$AH$14,$AJ$14:$AJ$14),IF('Final Calculation Sheet'!$AG$14="","",'Final Calculation Sheet'!$AG$14),"")</f>
        <v/>
      </c>
      <c r="GQ14">
        <f>IF(GP14="","",COUNTIFS(GP$4:GP$40,"&lt;"&amp;GP14,GP$4:GP$40,"&lt;&gt;"&amp;"")+COUNTIF(GP$4:GP14,GP14))</f>
        <v/>
      </c>
      <c r="GR14">
        <f>IF(ROW()-3&gt;COUNTIF(GP$4:GP$40,"&lt;&gt;"&amp;""),"",INDEX(GP$4:GP$40,MATCH(ROW()-3,GQ$4:GQ$40,0)))</f>
        <v/>
      </c>
      <c r="GS14">
        <f>GS13+IF(AND(GR14&lt;&gt;"",COUNTIF(GR$4:GR14,GR14)=1),1,0)</f>
        <v/>
      </c>
      <c r="GT14">
        <f>IF(ROW()-3&gt;MAX(GS$4:GS$40),"",INDEX(GR$4:GR$40,MATCH(ROW()-3,GS$4:GS$40,0)))</f>
        <v/>
      </c>
    </row>
    <row r="15">
      <c r="A15" t="inlineStr">
        <is>
          <t>Final row 15</t>
        </is>
      </c>
      <c r="B15" t="b">
        <v>1</v>
      </c>
      <c r="C15">
        <f>IF($C$3=FALSE,TRUE,IF(OR(UPPER(TRIM($C$2))="(BLANK)",UPPER(TRIM($C$2))="BLANK",AND($C$2&lt;&gt;"",TRIM($C$2)="")),(IF('Final Calculation Sheet'!$F$15="","",'Final Calculation Sheet'!$F$15))="",IF(OR(UPPER(TRIM($C$2))="(NONBLANK)",UPPER(TRIM($C$2))="NONBLANK",TRIM($C$2)="&lt;&gt;"),(IF('Final Calculation Sheet'!$F$15="","",'Final Calculation Sheet'!$F$15))&lt;&gt;"",UPPER(TRIM((IF('Final Calculation Sheet'!$F$15="","",'Final Calculation Sheet'!$F$15))&amp;""))=UPPER(TRIM($C$2&amp;"")))))</f>
        <v/>
      </c>
      <c r="D15">
        <f>IF($D$3=FALSE,TRUE,IF(OR(UPPER(TRIM($D$2))="(BLANK)",UPPER(TRIM($D$2))="BLANK",AND($D$2&lt;&gt;"",TRIM($D$2)="")),(IF('Final Calculation Sheet'!$G$15="","",'Final Calculation Sheet'!$G$15))="",IF(OR(UPPER(TRIM($D$2))="(NONBLANK)",UPPER(TRIM($D$2))="NONBLANK",TRIM($D$2)="&lt;&gt;"),(IF('Final Calculation Sheet'!$G$15="","",'Final Calculation Sheet'!$G$15))&lt;&gt;"",UPPER(TRIM((IF('Final Calculation Sheet'!$G$15="","",'Final Calculation Sheet'!$G$15))&amp;""))=UPPER(TRIM($D$2&amp;"")))))</f>
        <v/>
      </c>
      <c r="E15">
        <f>IF($E$3=FALSE,TRUE,IF(OR(UPPER(TRIM($E$2))="(BLANK)",UPPER(TRIM($E$2))="BLANK",AND($E$2&lt;&gt;"",TRIM($E$2)="")),(IF('Final Calculation Sheet'!$B$15="","",'Final Calculation Sheet'!$B$15))="",IF(OR(UPPER(TRIM($E$2))="(NONBLANK)",UPPER(TRIM($E$2))="NONBLANK",TRIM($E$2)="&lt;&gt;"),(IF('Final Calculation Sheet'!$B$15="","",'Final Calculation Sheet'!$B$15))&lt;&gt;"",UPPER(TRIM((IF('Final Calculation Sheet'!$B$15="","",'Final Calculation Sheet'!$B$15))&amp;""))=UPPER(TRIM($E$2&amp;"")))))</f>
        <v/>
      </c>
      <c r="F15">
        <f>IF($F$3=FALSE,TRUE,IF(OR(UPPER(TRIM($F$2))="(BLANK)",UPPER(TRIM($F$2))="BLANK",AND($F$2&lt;&gt;"",TRIM($F$2)="")),(IF('Final Calculation Sheet'!$D$15="","",'Final Calculation Sheet'!$D$15))="",IF(OR(UPPER(TRIM($F$2))="(NONBLANK)",UPPER(TRIM($F$2))="NONBLANK",TRIM($F$2)="&lt;&gt;"),(IF('Final Calculation Sheet'!$D$15="","",'Final Calculation Sheet'!$D$15))&lt;&gt;"",UPPER(TRIM((IF('Final Calculation Sheet'!$D$15="","",'Final Calculation Sheet'!$D$15))&amp;""))=UPPER(TRIM($F$2&amp;"")))))</f>
        <v/>
      </c>
      <c r="G15">
        <f>IF($G$3=FALSE,TRUE,IF(OR(UPPER(TRIM($G$2))="(BLANK)",UPPER(TRIM($G$2))="BLANK",AND($G$2&lt;&gt;"",TRIM($G$2)="")),(IF('Final Calculation Sheet'!$A$15="","",'Final Calculation Sheet'!$A$15))="",IF(OR(UPPER(TRIM($G$2))="(NONBLANK)",UPPER(TRIM($G$2))="NONBLANK",TRIM($G$2)="&lt;&gt;"),(IF('Final Calculation Sheet'!$A$15="","",'Final Calculation Sheet'!$A$15))&lt;&gt;"",UPPER(TRIM((IF('Final Calculation Sheet'!$A$15="","",'Final Calculation Sheet'!$A$15))&amp;""))=UPPER(TRIM($G$2&amp;"")))))</f>
        <v/>
      </c>
      <c r="H15">
        <f>IF($H$3=FALSE,TRUE,IF(OR(UPPER(TRIM($H$2))="(BLANK)",UPPER(TRIM($H$2))="BLANK",AND($H$2&lt;&gt;"",TRIM($H$2)="")),(IF('Final Calculation Sheet'!$E$15="","",'Final Calculation Sheet'!$E$15))="",IF(OR(UPPER(TRIM($H$2))="(NONBLANK)",UPPER(TRIM($H$2))="NONBLANK",TRIM($H$2)="&lt;&gt;"),(IF('Final Calculation Sheet'!$E$15="","",'Final Calculation Sheet'!$E$15))&lt;&gt;"",UPPER(TRIM((IF('Final Calculation Sheet'!$E$15="","",'Final Calculation Sheet'!$E$15))&amp;""))=UPPER(TRIM($H$2&amp;"")))))</f>
        <v/>
      </c>
      <c r="I15">
        <f>IF($I$3=FALSE,TRUE,IF(OR(UPPER(TRIM($I$2))="(BLANK)",UPPER(TRIM($I$2))="BLANK",AND($I$2&lt;&gt;"",TRIM($I$2)="")),(IF('Final Calculation Sheet'!$C$15="","",'Final Calculation Sheet'!$C$15))="",IF(OR(UPPER(TRIM($I$2))="(NONBLANK)",UPPER(TRIM($I$2))="NONBLANK",TRIM($I$2)="&lt;&gt;"),(IF('Final Calculation Sheet'!$C$15="","",'Final Calculation Sheet'!$C$15))&lt;&gt;"",UPPER(TRIM((IF('Final Calculation Sheet'!$C$15="","",'Final Calculation Sheet'!$C$15))&amp;""))=UPPER(TRIM($I$2&amp;"")))))</f>
        <v/>
      </c>
      <c r="J15">
        <f>IF($J$3=FALSE,TRUE,IF(OR(UPPER(TRIM($J$2))="(BLANK)",UPPER(TRIM($J$2))="BLANK",AND($J$2&lt;&gt;"",TRIM($J$2)="")),(IF('Final Calculation Sheet'!$H$15="","",'Final Calculation Sheet'!$H$15))="",IF(OR(UPPER(TRIM($J$2))="(NONBLANK)",UPPER(TRIM($J$2))="NONBLANK",TRIM($J$2)="&lt;&gt;"),(IF('Final Calculation Sheet'!$H$15="","",'Final Calculation Sheet'!$H$15))&lt;&gt;"",UPPER(TRIM((IF('Final Calculation Sheet'!$H$15="","",'Final Calculation Sheet'!$H$15))&amp;""))=UPPER(TRIM($J$2&amp;"")))))</f>
        <v/>
      </c>
      <c r="K15">
        <f>IF($K$3=FALSE,TRUE,IF(OR(UPPER(TRIM($K$2))="(BLANK)",UPPER(TRIM($K$2))="BLANK",AND($K$2&lt;&gt;"",TRIM($K$2)="")),(IF('Final Calculation Sheet'!$I$15="","",'Final Calculation Sheet'!$I$15))="",IF(OR(UPPER(TRIM($K$2))="(NONBLANK)",UPPER(TRIM($K$2))="NONBLANK",TRIM($K$2)="&lt;&gt;"),(IF('Final Calculation Sheet'!$I$15="","",'Final Calculation Sheet'!$I$15))&lt;&gt;"",UPPER(TRIM((IF('Final Calculation Sheet'!$I$15="","",'Final Calculation Sheet'!$I$15))&amp;""))=UPPER(TRIM($K$2&amp;"")))))</f>
        <v/>
      </c>
      <c r="L15">
        <f>IF($L$3=FALSE,TRUE,IF(OR(UPPER(TRIM($L$2))="(BLANK)",UPPER(TRIM($L$2))="BLANK",AND($L$2&lt;&gt;"",TRIM($L$2)="")),(IF('Final Calculation Sheet'!$J$15="","",'Final Calculation Sheet'!$J$15))="",IF(OR(UPPER(TRIM($L$2))="(NONBLANK)",UPPER(TRIM($L$2))="NONBLANK",TRIM($L$2)="&lt;&gt;"),(IF('Final Calculation Sheet'!$J$15="","",'Final Calculation Sheet'!$J$15))&lt;&gt;"",UPPER(TRIM((IF('Final Calculation Sheet'!$J$15="","",'Final Calculation Sheet'!$J$15))&amp;""))=UPPER(TRIM($L$2&amp;"")))))</f>
        <v/>
      </c>
      <c r="M15">
        <f>IF($M$3=FALSE,TRUE,IF(OR(UPPER(TRIM($M$2))="(BLANK)",UPPER(TRIM($M$2))="BLANK",AND($M$2&lt;&gt;"",TRIM($M$2)="")),(IF('Final Calculation Sheet'!$K$15="","",'Final Calculation Sheet'!$K$15))="",IF(OR(UPPER(TRIM($M$2))="(NONBLANK)",UPPER(TRIM($M$2))="NONBLANK",TRIM($M$2)="&lt;&gt;"),(IF('Final Calculation Sheet'!$K$15="","",'Final Calculation Sheet'!$K$15))&lt;&gt;"",UPPER(TRIM((IF('Final Calculation Sheet'!$K$15="","",'Final Calculation Sheet'!$K$15))&amp;""))=UPPER(TRIM($M$2&amp;"")))))</f>
        <v/>
      </c>
      <c r="N15">
        <f>IF($N$3=FALSE,TRUE,IF(OR(UPPER(TRIM($N$2))="(BLANK)",UPPER(TRIM($N$2))="BLANK",AND($N$2&lt;&gt;"",TRIM($N$2)="")),(IF('Final Calculation Sheet'!$L$15="","",'Final Calculation Sheet'!$L$15))="",IF(OR(UPPER(TRIM($N$2))="(NONBLANK)",UPPER(TRIM($N$2))="NONBLANK",TRIM($N$2)="&lt;&gt;"),(IF('Final Calculation Sheet'!$L$15="","",'Final Calculation Sheet'!$L$15))&lt;&gt;"",UPPER(TRIM((IF('Final Calculation Sheet'!$L$15="","",'Final Calculation Sheet'!$L$15))&amp;""))=UPPER(TRIM($N$2&amp;"")))))</f>
        <v/>
      </c>
      <c r="O15">
        <f>IF($O$3=FALSE,TRUE,IF(OR(UPPER(TRIM($O$2))="(BLANK)",UPPER(TRIM($O$2))="BLANK",AND($O$2&lt;&gt;"",TRIM($O$2)="")),(IF('Final Calculation Sheet'!$M$15="","",'Final Calculation Sheet'!$M$15))="",IF(OR(UPPER(TRIM($O$2))="(NONBLANK)",UPPER(TRIM($O$2))="NONBLANK",TRIM($O$2)="&lt;&gt;"),(IF('Final Calculation Sheet'!$M$15="","",'Final Calculation Sheet'!$M$15))&lt;&gt;"",UPPER(TRIM((IF('Final Calculation Sheet'!$M$15="","",'Final Calculation Sheet'!$M$15))&amp;""))=UPPER(TRIM($O$2&amp;"")))))</f>
        <v/>
      </c>
      <c r="P15">
        <f>IF($P$3=FALSE,TRUE,IF(OR(UPPER(TRIM($P$2))="(BLANK)",UPPER(TRIM($P$2))="BLANK",AND($P$2&lt;&gt;"",TRIM($P$2)="")),(IF('Final Calculation Sheet'!$N$15="","",'Final Calculation Sheet'!$N$15))="",IF(OR(UPPER(TRIM($P$2))="(NONBLANK)",UPPER(TRIM($P$2))="NONBLANK",TRIM($P$2)="&lt;&gt;"),(IF('Final Calculation Sheet'!$N$15="","",'Final Calculation Sheet'!$N$15))&lt;&gt;"",UPPER(TRIM((IF('Final Calculation Sheet'!$N$15="","",'Final Calculation Sheet'!$N$15))&amp;""))=UPPER(TRIM($P$2&amp;"")))))</f>
        <v/>
      </c>
      <c r="Q15">
        <f>IF($Q$3=FALSE,TRUE,IF(OR(UPPER(TRIM($Q$2))="(BLANK)",UPPER(TRIM($Q$2))="BLANK",AND($Q$2&lt;&gt;"",TRIM($Q$2)="")),(IF('Final Calculation Sheet'!$O$15="","",'Final Calculation Sheet'!$O$15))="",IF(OR(UPPER(TRIM($Q$2))="(NONBLANK)",UPPER(TRIM($Q$2))="NONBLANK",TRIM($Q$2)="&lt;&gt;"),(IF('Final Calculation Sheet'!$O$15="","",'Final Calculation Sheet'!$O$15))&lt;&gt;"",UPPER(TRIM((IF('Final Calculation Sheet'!$O$15="","",'Final Calculation Sheet'!$O$15))&amp;""))=UPPER(TRIM($Q$2&amp;"")))))</f>
        <v/>
      </c>
      <c r="R15">
        <f>IF($R$3=FALSE,TRUE,IF(OR(UPPER(TRIM($R$2))="(BLANK)",UPPER(TRIM($R$2))="BLANK",AND($R$2&lt;&gt;"",TRIM($R$2)="")),(IF('Final Calculation Sheet'!$P$15="","",'Final Calculation Sheet'!$P$15))="",IF(OR(UPPER(TRIM($R$2))="(NONBLANK)",UPPER(TRIM($R$2))="NONBLANK",TRIM($R$2)="&lt;&gt;"),(IF('Final Calculation Sheet'!$P$15="","",'Final Calculation Sheet'!$P$15))&lt;&gt;"",UPPER(TRIM((IF('Final Calculation Sheet'!$P$15="","",'Final Calculation Sheet'!$P$15))&amp;""))=UPPER(TRIM($R$2&amp;"")))))</f>
        <v/>
      </c>
      <c r="S15">
        <f>IF($S$3=FALSE,TRUE,IF(OR(UPPER(TRIM($S$2))="(BLANK)",UPPER(TRIM($S$2))="BLANK",AND($S$2&lt;&gt;"",TRIM($S$2)="")),(IF('Final Calculation Sheet'!$Q$15="","",'Final Calculation Sheet'!$Q$15))="",IF(OR(UPPER(TRIM($S$2))="(NONBLANK)",UPPER(TRIM($S$2))="NONBLANK",TRIM($S$2)="&lt;&gt;"),(IF('Final Calculation Sheet'!$Q$15="","",'Final Calculation Sheet'!$Q$15))&lt;&gt;"",UPPER(TRIM((IF('Final Calculation Sheet'!$Q$15="","",'Final Calculation Sheet'!$Q$15))&amp;""))=UPPER(TRIM($S$2&amp;"")))))</f>
        <v/>
      </c>
      <c r="T15">
        <f>IF($T$3=FALSE,TRUE,IF(OR(UPPER(TRIM($T$2))="(BLANK)",UPPER(TRIM($T$2))="BLANK",AND($T$2&lt;&gt;"",TRIM($T$2)="")),(IF('Final Calculation Sheet'!$R$15="","",'Final Calculation Sheet'!$R$15))="",IF(OR(UPPER(TRIM($T$2))="(NONBLANK)",UPPER(TRIM($T$2))="NONBLANK",TRIM($T$2)="&lt;&gt;"),(IF('Final Calculation Sheet'!$R$15="","",'Final Calculation Sheet'!$R$15))&lt;&gt;"",UPPER(TRIM((IF('Final Calculation Sheet'!$R$15="","",'Final Calculation Sheet'!$R$15))&amp;""))=UPPER(TRIM($T$2&amp;"")))))</f>
        <v/>
      </c>
      <c r="U15">
        <f>IF($U$3=FALSE,TRUE,IF(OR(UPPER(TRIM($U$2))="(BLANK)",UPPER(TRIM($U$2))="BLANK",AND($U$2&lt;&gt;"",TRIM($U$2)="")),(IF('Final Calculation Sheet'!$S$15="","",'Final Calculation Sheet'!$S$15))="",IF(OR(UPPER(TRIM($U$2))="(NONBLANK)",UPPER(TRIM($U$2))="NONBLANK",TRIM($U$2)="&lt;&gt;"),(IF('Final Calculation Sheet'!$S$15="","",'Final Calculation Sheet'!$S$15))&lt;&gt;"",UPPER(TRIM((IF('Final Calculation Sheet'!$S$15="","",'Final Calculation Sheet'!$S$15))&amp;""))=UPPER(TRIM($U$2&amp;"")))))</f>
        <v/>
      </c>
      <c r="V15">
        <f>IF($V$3=FALSE,TRUE,IF(OR(UPPER(TRIM($V$2))="(BLANK)",UPPER(TRIM($V$2))="BLANK",AND($V$2&lt;&gt;"",TRIM($V$2)="")),(IF('Final Calculation Sheet'!$T$15="","",'Final Calculation Sheet'!$T$15))="",IF(OR(UPPER(TRIM($V$2))="(NONBLANK)",UPPER(TRIM($V$2))="NONBLANK",TRIM($V$2)="&lt;&gt;"),(IF('Final Calculation Sheet'!$T$15="","",'Final Calculation Sheet'!$T$15))&lt;&gt;"",UPPER(TRIM((IF('Final Calculation Sheet'!$T$15="","",'Final Calculation Sheet'!$T$15))&amp;""))=UPPER(TRIM($V$2&amp;"")))))</f>
        <v/>
      </c>
      <c r="W15">
        <f>IF($W$3=FALSE,TRUE,IF(OR(UPPER(TRIM($W$2))="(BLANK)",UPPER(TRIM($W$2))="BLANK",AND($W$2&lt;&gt;"",TRIM($W$2)="")),(IF('Final Calculation Sheet'!$U$15="","",'Final Calculation Sheet'!$U$15))="",IF(OR(UPPER(TRIM($W$2))="(NONBLANK)",UPPER(TRIM($W$2))="NONBLANK",TRIM($W$2)="&lt;&gt;"),(IF('Final Calculation Sheet'!$U$15="","",'Final Calculation Sheet'!$U$15))&lt;&gt;"",UPPER(TRIM((IF('Final Calculation Sheet'!$U$15="","",'Final Calculation Sheet'!$U$15))&amp;""))=UPPER(TRIM($W$2&amp;"")))))</f>
        <v/>
      </c>
      <c r="X15">
        <f>IF($X$3=FALSE,TRUE,IF(OR(UPPER(TRIM($X$2))="(BLANK)",UPPER(TRIM($X$2))="BLANK",AND($X$2&lt;&gt;"",TRIM($X$2)="")),(IF('Final Calculation Sheet'!$V$15="","",'Final Calculation Sheet'!$V$15))="",IF(OR(UPPER(TRIM($X$2))="(NONBLANK)",UPPER(TRIM($X$2))="NONBLANK",TRIM($X$2)="&lt;&gt;"),(IF('Final Calculation Sheet'!$V$15="","",'Final Calculation Sheet'!$V$15))&lt;&gt;"",UPPER(TRIM((IF('Final Calculation Sheet'!$V$15="","",'Final Calculation Sheet'!$V$15))&amp;""))=UPPER(TRIM($X$2&amp;"")))))</f>
        <v/>
      </c>
      <c r="Y15">
        <f>IF($Y$3=FALSE,TRUE,IF(OR(UPPER(TRIM($Y$2))="(BLANK)",UPPER(TRIM($Y$2))="BLANK",AND($Y$2&lt;&gt;"",TRIM($Y$2)="")),(IF('Final Calculation Sheet'!$W$15="","",'Final Calculation Sheet'!$W$15))="",IF(OR(UPPER(TRIM($Y$2))="(NONBLANK)",UPPER(TRIM($Y$2))="NONBLANK",TRIM($Y$2)="&lt;&gt;"),(IF('Final Calculation Sheet'!$W$15="","",'Final Calculation Sheet'!$W$15))&lt;&gt;"",UPPER(TRIM((IF('Final Calculation Sheet'!$W$15="","",'Final Calculation Sheet'!$W$15))&amp;""))=UPPER(TRIM($Y$2&amp;"")))))</f>
        <v/>
      </c>
      <c r="Z15">
        <f>IF($Z$3=FALSE,TRUE,IF(OR(UPPER(TRIM($Z$2))="(BLANK)",UPPER(TRIM($Z$2))="BLANK",AND($Z$2&lt;&gt;"",TRIM($Z$2)="")),(IF('Final Calculation Sheet'!$X$15="","",'Final Calculation Sheet'!$X$15))="",IF(OR(UPPER(TRIM($Z$2))="(NONBLANK)",UPPER(TRIM($Z$2))="NONBLANK",TRIM($Z$2)="&lt;&gt;"),(IF('Final Calculation Sheet'!$X$15="","",'Final Calculation Sheet'!$X$15))&lt;&gt;"",UPPER(TRIM((IF('Final Calculation Sheet'!$X$15="","",'Final Calculation Sheet'!$X$15))&amp;""))=UPPER(TRIM($Z$2&amp;"")))))</f>
        <v/>
      </c>
      <c r="AA15">
        <f>IF($AA$3=FALSE,TRUE,IF(OR(UPPER(TRIM($AA$2))="(BLANK)",UPPER(TRIM($AA$2))="BLANK",AND($AA$2&lt;&gt;"",TRIM($AA$2)="")),(IF('Final Calculation Sheet'!$Y$15="","",'Final Calculation Sheet'!$Y$15))="",IF(OR(UPPER(TRIM($AA$2))="(NONBLANK)",UPPER(TRIM($AA$2))="NONBLANK",TRIM($AA$2)="&lt;&gt;"),(IF('Final Calculation Sheet'!$Y$15="","",'Final Calculation Sheet'!$Y$15))&lt;&gt;"",UPPER(TRIM((IF('Final Calculation Sheet'!$Y$15="","",'Final Calculation Sheet'!$Y$15))&amp;""))=UPPER(TRIM($AA$2&amp;"")))))</f>
        <v/>
      </c>
      <c r="AB15">
        <f>IF($AB$3=FALSE,TRUE,IF(OR(UPPER(TRIM($AB$2))="(BLANK)",UPPER(TRIM($AB$2))="BLANK",AND($AB$2&lt;&gt;"",TRIM($AB$2)="")),(IF('Final Calculation Sheet'!$Z$15="","",'Final Calculation Sheet'!$Z$15))="",IF(OR(UPPER(TRIM($AB$2))="(NONBLANK)",UPPER(TRIM($AB$2))="NONBLANK",TRIM($AB$2)="&lt;&gt;"),(IF('Final Calculation Sheet'!$Z$15="","",'Final Calculation Sheet'!$Z$15))&lt;&gt;"",UPPER(TRIM((IF('Final Calculation Sheet'!$Z$15="","",'Final Calculation Sheet'!$Z$15))&amp;""))=UPPER(TRIM($AB$2&amp;"")))))</f>
        <v/>
      </c>
      <c r="AC15">
        <f>IF($AC$3=FALSE,TRUE,IF(OR(UPPER(TRIM($AC$2))="(BLANK)",UPPER(TRIM($AC$2))="BLANK",AND($AC$2&lt;&gt;"",TRIM($AC$2)="")),(IF('Final Calculation Sheet'!$AA$15="","",'Final Calculation Sheet'!$AA$15))="",IF(OR(UPPER(TRIM($AC$2))="(NONBLANK)",UPPER(TRIM($AC$2))="NONBLANK",TRIM($AC$2)="&lt;&gt;"),(IF('Final Calculation Sheet'!$AA$15="","",'Final Calculation Sheet'!$AA$15))&lt;&gt;"",UPPER(TRIM((IF('Final Calculation Sheet'!$AA$15="","",'Final Calculation Sheet'!$AA$15))&amp;""))=UPPER(TRIM($AC$2&amp;"")))))</f>
        <v/>
      </c>
      <c r="AD15">
        <f>IF($AD$3=FALSE,TRUE,IF(OR(UPPER(TRIM($AD$2))="(BLANK)",UPPER(TRIM($AD$2))="BLANK",AND($AD$2&lt;&gt;"",TRIM($AD$2)="")),(IF('Final Calculation Sheet'!$AB$15="","",'Final Calculation Sheet'!$AB$15))="",IF(OR(UPPER(TRIM($AD$2))="(NONBLANK)",UPPER(TRIM($AD$2))="NONBLANK",TRIM($AD$2)="&lt;&gt;"),(IF('Final Calculation Sheet'!$AB$15="","",'Final Calculation Sheet'!$AB$15))&lt;&gt;"",UPPER(TRIM((IF('Final Calculation Sheet'!$AB$15="","",'Final Calculation Sheet'!$AB$15))&amp;""))=UPPER(TRIM($AD$2&amp;"")))))</f>
        <v/>
      </c>
      <c r="AE15">
        <f>IF($AE$3=FALSE,TRUE,IF(OR(UPPER(TRIM($AE$2))="(BLANK)",UPPER(TRIM($AE$2))="BLANK",AND($AE$2&lt;&gt;"",TRIM($AE$2)="")),(IF('Final Calculation Sheet'!$AC$15="","",'Final Calculation Sheet'!$AC$15))="",IF(OR(UPPER(TRIM($AE$2))="(NONBLANK)",UPPER(TRIM($AE$2))="NONBLANK",TRIM($AE$2)="&lt;&gt;"),(IF('Final Calculation Sheet'!$AC$15="","",'Final Calculation Sheet'!$AC$15))&lt;&gt;"",UPPER(TRIM((IF('Final Calculation Sheet'!$AC$15="","",'Final Calculation Sheet'!$AC$15))&amp;""))=UPPER(TRIM($AE$2&amp;"")))))</f>
        <v/>
      </c>
      <c r="AF15">
        <f>IF($AF$3=FALSE,TRUE,IF(OR(UPPER(TRIM($AF$2))="(BLANK)",UPPER(TRIM($AF$2))="BLANK",AND($AF$2&lt;&gt;"",TRIM($AF$2)="")),(IF('Final Calculation Sheet'!$AD$15="","",'Final Calculation Sheet'!$AD$15))="",IF(OR(UPPER(TRIM($AF$2))="(NONBLANK)",UPPER(TRIM($AF$2))="NONBLANK",TRIM($AF$2)="&lt;&gt;"),(IF('Final Calculation Sheet'!$AD$15="","",'Final Calculation Sheet'!$AD$15))&lt;&gt;"",UPPER(TRIM((IF('Final Calculation Sheet'!$AD$15="","",'Final Calculation Sheet'!$AD$15))&amp;""))=UPPER(TRIM($AF$2&amp;"")))))</f>
        <v/>
      </c>
      <c r="AG15">
        <f>IF($AG$3=FALSE,TRUE,IF(OR(UPPER(TRIM($AG$2))="(BLANK)",UPPER(TRIM($AG$2))="BLANK",AND($AG$2&lt;&gt;"",TRIM($AG$2)="")),(IF('Final Calculation Sheet'!$AE$15="","",'Final Calculation Sheet'!$AE$15))="",IF(OR(UPPER(TRIM($AG$2))="(NONBLANK)",UPPER(TRIM($AG$2))="NONBLANK",TRIM($AG$2)="&lt;&gt;"),(IF('Final Calculation Sheet'!$AE$15="","",'Final Calculation Sheet'!$AE$15))&lt;&gt;"",UPPER(TRIM((IF('Final Calculation Sheet'!$AE$15="","",'Final Calculation Sheet'!$AE$15))&amp;""))=UPPER(TRIM($AG$2&amp;"")))))</f>
        <v/>
      </c>
      <c r="AH15">
        <f>IF($AH$3=FALSE,TRUE,IF(OR(UPPER(TRIM($AH$2))="(BLANK)",UPPER(TRIM($AH$2))="BLANK",AND($AH$2&lt;&gt;"",TRIM($AH$2)="")),(IF('Final Calculation Sheet'!$AF$15="","",'Final Calculation Sheet'!$AF$15))="",IF(OR(UPPER(TRIM($AH$2))="(NONBLANK)",UPPER(TRIM($AH$2))="NONBLANK",TRIM($AH$2)="&lt;&gt;"),(IF('Final Calculation Sheet'!$AF$15="","",'Final Calculation Sheet'!$AF$15))&lt;&gt;"",UPPER(TRIM((IF('Final Calculation Sheet'!$AF$15="","",'Final Calculation Sheet'!$AF$15))&amp;""))=UPPER(TRIM($AH$2&amp;"")))))</f>
        <v/>
      </c>
      <c r="AI15">
        <f>IF($AI$3=FALSE,TRUE,IF(OR(UPPER(TRIM($AI$2))="(BLANK)",UPPER(TRIM($AI$2))="BLANK",AND($AI$2&lt;&gt;"",TRIM($AI$2)="")),(IF('Final Calculation Sheet'!$AG$15="","",'Final Calculation Sheet'!$AG$15))="",IF(OR(UPPER(TRIM($AI$2))="(NONBLANK)",UPPER(TRIM($AI$2))="NONBLANK",TRIM($AI$2)="&lt;&gt;"),(IF('Final Calculation Sheet'!$AG$15="","",'Final Calculation Sheet'!$AG$15))&lt;&gt;"",UPPER(TRIM((IF('Final Calculation Sheet'!$AG$15="","",'Final Calculation Sheet'!$AG$15))&amp;""))=UPPER(TRIM($AI$2&amp;"")))))</f>
        <v/>
      </c>
      <c r="AJ15">
        <f>IF($AJ$3=FALSE,TRUE,IF(OR(UPPER(TRIM($AJ$2))="(BLANK)",UPPER(TRIM($AJ$2))="BLANK",AND($AJ$2&lt;&gt;"",TRIM($AJ$2)="")),(IF('Final Calculation Sheet'!$AD$15="","",IF('Final Calculation Sheet'!$AD$15&lt;=5,"SETTLED","OUTSTANDING")))="",IF(OR(UPPER(TRIM($AJ$2))="(NONBLANK)",UPPER(TRIM($AJ$2))="NONBLANK",TRIM($AJ$2)="&lt;&gt;"),(IF('Final Calculation Sheet'!$AD$15="","",IF('Final Calculation Sheet'!$AD$15&lt;=5,"SETTLED","OUTSTANDING")))&lt;&gt;"",UPPER(TRIM((IF('Final Calculation Sheet'!$AD$15="","",IF('Final Calculation Sheet'!$AD$15&lt;=5,"SETTLED","OUTSTANDING")))&amp;""))=UPPER(TRIM($AJ$2&amp;"")))))</f>
        <v/>
      </c>
      <c r="AL15">
        <f>IF(AND($B$15,$D$15:$AJ$15),IF('Final Calculation Sheet'!$F$15="","",'Final Calculation Sheet'!$F$15),"")</f>
        <v/>
      </c>
      <c r="AM15">
        <f>IF(AL15="","",COUNTIFS(AL$4:AL$40,"&lt;"&amp;AL15,AL$4:AL$40,"&lt;&gt;"&amp;"")+COUNTIF(AL$4:AL15,AL15))</f>
        <v/>
      </c>
      <c r="AN15">
        <f>IF(ROW()-3&gt;COUNTIF(AL$4:AL$40,"&lt;&gt;"&amp;""),"",INDEX(AL$4:AL$40,MATCH(ROW()-3,AM$4:AM$40,0)))</f>
        <v/>
      </c>
      <c r="AO15">
        <f>AO14+IF(AND(AN15&lt;&gt;"",COUNTIF(AN$4:AN15,AN15)=1),1,0)</f>
        <v/>
      </c>
      <c r="AP15">
        <f>IF(ROW()-3&gt;MAX(AO$4:AO$40),"",INDEX(AN$4:AN$40,MATCH(ROW()-3,AO$4:AO$40,0)))</f>
        <v/>
      </c>
      <c r="AQ15">
        <f>IF(AND($B$15:$C$15,$E$15:$AJ$15),IF('Final Calculation Sheet'!$G$15="","",'Final Calculation Sheet'!$G$15),"")</f>
        <v/>
      </c>
      <c r="AR15">
        <f>IF(AQ15="","",COUNTIFS(AQ$4:AQ$40,"&lt;"&amp;AQ15,AQ$4:AQ$40,"&lt;&gt;"&amp;"")+COUNTIF(AQ$4:AQ15,AQ15))</f>
        <v/>
      </c>
      <c r="AS15">
        <f>IF(ROW()-3&gt;COUNTIF(AQ$4:AQ$40,"&lt;&gt;"&amp;""),"",INDEX(AQ$4:AQ$40,MATCH(ROW()-3,AR$4:AR$40,0)))</f>
        <v/>
      </c>
      <c r="AT15">
        <f>AT14+IF(AND(AS15&lt;&gt;"",COUNTIF(AS$4:AS15,AS15)=1),1,0)</f>
        <v/>
      </c>
      <c r="AU15">
        <f>IF(ROW()-3&gt;MAX(AT$4:AT$40),"",INDEX(AS$4:AS$40,MATCH(ROW()-3,AT$4:AT$40,0)))</f>
        <v/>
      </c>
      <c r="AV15">
        <f>IF(AND($B$15:$D$15,$F$15:$AJ$15),IF('Final Calculation Sheet'!$B$15="","",'Final Calculation Sheet'!$B$15),"")</f>
        <v/>
      </c>
      <c r="AW15">
        <f>IF(AV15="","",COUNTIFS(AV$4:AV$40,"&lt;"&amp;AV15,AV$4:AV$40,"&lt;&gt;"&amp;"")+COUNTIF(AV$4:AV15,AV15))</f>
        <v/>
      </c>
      <c r="AX15">
        <f>IF(ROW()-3&gt;COUNTIF(AV$4:AV$40,"&lt;&gt;"&amp;""),"",INDEX(AV$4:AV$40,MATCH(ROW()-3,AW$4:AW$40,0)))</f>
        <v/>
      </c>
      <c r="AY15">
        <f>AY14+IF(AND(AX15&lt;&gt;"",COUNTIF(AX$4:AX15,AX15)=1),1,0)</f>
        <v/>
      </c>
      <c r="AZ15">
        <f>IF(ROW()-3&gt;MAX(AY$4:AY$40),"",INDEX(AX$4:AX$40,MATCH(ROW()-3,AY$4:AY$40,0)))</f>
        <v/>
      </c>
      <c r="BA15">
        <f>IF(AND($B$15:$E$15,$G$15:$AJ$15),IF('Final Calculation Sheet'!$D$15="","",'Final Calculation Sheet'!$D$15),"")</f>
        <v/>
      </c>
      <c r="BB15">
        <f>IF(BA15="","",COUNTIFS(BA$4:BA$40,"&lt;"&amp;BA15,BA$4:BA$40,"&lt;&gt;"&amp;"")+COUNTIF(BA$4:BA15,BA15))</f>
        <v/>
      </c>
      <c r="BC15">
        <f>IF(ROW()-3&gt;COUNTIF(BA$4:BA$40,"&lt;&gt;"&amp;""),"",INDEX(BA$4:BA$40,MATCH(ROW()-3,BB$4:BB$40,0)))</f>
        <v/>
      </c>
      <c r="BD15">
        <f>BD14+IF(AND(BC15&lt;&gt;"",COUNTIF(BC$4:BC15,BC15)=1),1,0)</f>
        <v/>
      </c>
      <c r="BE15">
        <f>IF(ROW()-3&gt;MAX(BD$4:BD$40),"",INDEX(BC$4:BC$40,MATCH(ROW()-3,BD$4:BD$40,0)))</f>
        <v/>
      </c>
      <c r="BF15">
        <f>IF(AND($B$15:$F$15,$H$15:$AJ$15),IF('Final Calculation Sheet'!$A$15="","",'Final Calculation Sheet'!$A$15),"")</f>
        <v/>
      </c>
      <c r="BG15">
        <f>IF(BF15="","",COUNTIFS(BF$4:BF$40,"&lt;"&amp;BF15,BF$4:BF$40,"&lt;&gt;"&amp;"")+COUNTIF(BF$4:BF15,BF15))</f>
        <v/>
      </c>
      <c r="BH15">
        <f>IF(ROW()-3&gt;COUNTIF(BF$4:BF$40,"&lt;&gt;"&amp;""),"",INDEX(BF$4:BF$40,MATCH(ROW()-3,BG$4:BG$40,0)))</f>
        <v/>
      </c>
      <c r="BI15">
        <f>BI14+IF(AND(BH15&lt;&gt;"",COUNTIF(BH$4:BH15,BH15)=1),1,0)</f>
        <v/>
      </c>
      <c r="BJ15">
        <f>IF(ROW()-3&gt;MAX(BI$4:BI$40),"",INDEX(BH$4:BH$40,MATCH(ROW()-3,BI$4:BI$40,0)))</f>
        <v/>
      </c>
      <c r="BK15">
        <f>IF(AND($B$15:$G$15,$I$15:$AJ$15),IF('Final Calculation Sheet'!$E$15="","",'Final Calculation Sheet'!$E$15),"")</f>
        <v/>
      </c>
      <c r="BL15">
        <f>IF(BK15="","",COUNTIFS(BK$4:BK$40,"&lt;"&amp;BK15,BK$4:BK$40,"&lt;&gt;"&amp;"")+COUNTIF(BK$4:BK15,BK15))</f>
        <v/>
      </c>
      <c r="BM15">
        <f>IF(ROW()-3&gt;COUNTIF(BK$4:BK$40,"&lt;&gt;"&amp;""),"",INDEX(BK$4:BK$40,MATCH(ROW()-3,BL$4:BL$40,0)))</f>
        <v/>
      </c>
      <c r="BN15">
        <f>BN14+IF(AND(BM15&lt;&gt;"",COUNTIF(BM$4:BM15,BM15)=1),1,0)</f>
        <v/>
      </c>
      <c r="BO15">
        <f>IF(ROW()-3&gt;MAX(BN$4:BN$40),"",INDEX(BM$4:BM$40,MATCH(ROW()-3,BN$4:BN$40,0)))</f>
        <v/>
      </c>
      <c r="BP15" s="55">
        <f>IF(AND($B$15:$H$15,$J$15:$AJ$15),IF('Final Calculation Sheet'!$C$15="","",'Final Calculation Sheet'!$C$15),"")</f>
        <v/>
      </c>
      <c r="BQ15">
        <f>IF(BP15="","",COUNTIFS(BP$4:BP$40,"&lt;"&amp;BP15,BP$4:BP$40,"&lt;&gt;"&amp;"")+COUNTIF(BP$4:BP15,BP15))</f>
        <v/>
      </c>
      <c r="BR15" s="55">
        <f>IF(ROW()-3&gt;COUNTIF(BP$4:BP$40,"&lt;&gt;"&amp;""),"",INDEX(BP$4:BP$40,MATCH(ROW()-3,BQ$4:BQ$40,0)))</f>
        <v/>
      </c>
      <c r="BS15">
        <f>BS14+IF(AND(BR15&lt;&gt;"",COUNTIF(BR$4:BR15,BR15)=1),1,0)</f>
        <v/>
      </c>
      <c r="BT15" s="55">
        <f>IF(ROW()-3&gt;MAX(BS$4:BS$40),"",INDEX(BR$4:BR$40,MATCH(ROW()-3,BS$4:BS$40,0)))</f>
        <v/>
      </c>
      <c r="BU15" s="55">
        <f>IF(AND($B$15:$I$15,$K$15:$AJ$15),IF('Final Calculation Sheet'!$H$15="","",'Final Calculation Sheet'!$H$15),"")</f>
        <v/>
      </c>
      <c r="BV15">
        <f>IF(BU15="","",COUNTIFS(BU$4:BU$40,"&lt;"&amp;BU15,BU$4:BU$40,"&lt;&gt;"&amp;"")+COUNTIF(BU$4:BU15,BU15))</f>
        <v/>
      </c>
      <c r="BW15" s="55">
        <f>IF(ROW()-3&gt;COUNTIF(BU$4:BU$40,"&lt;&gt;"&amp;""),"",INDEX(BU$4:BU$40,MATCH(ROW()-3,BV$4:BV$40,0)))</f>
        <v/>
      </c>
      <c r="BX15">
        <f>BX14+IF(AND(BW15&lt;&gt;"",COUNTIF(BW$4:BW15,BW15)=1),1,0)</f>
        <v/>
      </c>
      <c r="BY15" s="55">
        <f>IF(ROW()-3&gt;MAX(BX$4:BX$40),"",INDEX(BW$4:BW$40,MATCH(ROW()-3,BX$4:BX$40,0)))</f>
        <v/>
      </c>
      <c r="BZ15" s="55">
        <f>IF(AND($B$15:$J$15,$L$15:$AJ$15),IF('Final Calculation Sheet'!$I$15="","",'Final Calculation Sheet'!$I$15),"")</f>
        <v/>
      </c>
      <c r="CA15">
        <f>IF(BZ15="","",COUNTIFS(BZ$4:BZ$40,"&lt;"&amp;BZ15,BZ$4:BZ$40,"&lt;&gt;"&amp;"")+COUNTIF(BZ$4:BZ15,BZ15))</f>
        <v/>
      </c>
      <c r="CB15" s="55">
        <f>IF(ROW()-3&gt;COUNTIF(BZ$4:BZ$40,"&lt;&gt;"&amp;""),"",INDEX(BZ$4:BZ$40,MATCH(ROW()-3,CA$4:CA$40,0)))</f>
        <v/>
      </c>
      <c r="CC15">
        <f>CC14+IF(AND(CB15&lt;&gt;"",COUNTIF(CB$4:CB15,CB15)=1),1,0)</f>
        <v/>
      </c>
      <c r="CD15" s="55">
        <f>IF(ROW()-3&gt;MAX(CC$4:CC$40),"",INDEX(CB$4:CB$40,MATCH(ROW()-3,CC$4:CC$40,0)))</f>
        <v/>
      </c>
      <c r="CE15" s="55">
        <f>IF(AND($B$15:$K$15,$M$15:$AJ$15),IF('Final Calculation Sheet'!$J$15="","",'Final Calculation Sheet'!$J$15),"")</f>
        <v/>
      </c>
      <c r="CF15">
        <f>IF(CE15="","",COUNTIFS(CE$4:CE$40,"&lt;"&amp;CE15,CE$4:CE$40,"&lt;&gt;"&amp;"")+COUNTIF(CE$4:CE15,CE15))</f>
        <v/>
      </c>
      <c r="CG15" s="55">
        <f>IF(ROW()-3&gt;COUNTIF(CE$4:CE$40,"&lt;&gt;"&amp;""),"",INDEX(CE$4:CE$40,MATCH(ROW()-3,CF$4:CF$40,0)))</f>
        <v/>
      </c>
      <c r="CH15">
        <f>CH14+IF(AND(CG15&lt;&gt;"",COUNTIF(CG$4:CG15,CG15)=1),1,0)</f>
        <v/>
      </c>
      <c r="CI15" s="55">
        <f>IF(ROW()-3&gt;MAX(CH$4:CH$40),"",INDEX(CG$4:CG$40,MATCH(ROW()-3,CH$4:CH$40,0)))</f>
        <v/>
      </c>
      <c r="CJ15" s="55">
        <f>IF(AND($B$15:$L$15,$N$15:$AJ$15),IF('Final Calculation Sheet'!$K$15="","",'Final Calculation Sheet'!$K$15),"")</f>
        <v/>
      </c>
      <c r="CK15">
        <f>IF(CJ15="","",COUNTIFS(CJ$4:CJ$40,"&lt;"&amp;CJ15,CJ$4:CJ$40,"&lt;&gt;"&amp;"")+COUNTIF(CJ$4:CJ15,CJ15))</f>
        <v/>
      </c>
      <c r="CL15" s="55">
        <f>IF(ROW()-3&gt;COUNTIF(CJ$4:CJ$40,"&lt;&gt;"&amp;""),"",INDEX(CJ$4:CJ$40,MATCH(ROW()-3,CK$4:CK$40,0)))</f>
        <v/>
      </c>
      <c r="CM15">
        <f>CM14+IF(AND(CL15&lt;&gt;"",COUNTIF(CL$4:CL15,CL15)=1),1,0)</f>
        <v/>
      </c>
      <c r="CN15" s="55">
        <f>IF(ROW()-3&gt;MAX(CM$4:CM$40),"",INDEX(CL$4:CL$40,MATCH(ROW()-3,CM$4:CM$40,0)))</f>
        <v/>
      </c>
      <c r="CO15" s="55">
        <f>IF(AND($B$15:$M$15,$O$15:$AJ$15),IF('Final Calculation Sheet'!$L$15="","",'Final Calculation Sheet'!$L$15),"")</f>
        <v/>
      </c>
      <c r="CP15">
        <f>IF(CO15="","",COUNTIFS(CO$4:CO$40,"&lt;"&amp;CO15,CO$4:CO$40,"&lt;&gt;"&amp;"")+COUNTIF(CO$4:CO15,CO15))</f>
        <v/>
      </c>
      <c r="CQ15" s="55">
        <f>IF(ROW()-3&gt;COUNTIF(CO$4:CO$40,"&lt;&gt;"&amp;""),"",INDEX(CO$4:CO$40,MATCH(ROW()-3,CP$4:CP$40,0)))</f>
        <v/>
      </c>
      <c r="CR15">
        <f>CR14+IF(AND(CQ15&lt;&gt;"",COUNTIF(CQ$4:CQ15,CQ15)=1),1,0)</f>
        <v/>
      </c>
      <c r="CS15" s="55">
        <f>IF(ROW()-3&gt;MAX(CR$4:CR$40),"",INDEX(CQ$4:CQ$40,MATCH(ROW()-3,CR$4:CR$40,0)))</f>
        <v/>
      </c>
      <c r="CT15" s="55">
        <f>IF(AND($B$15:$N$15,$P$15:$AJ$15),IF('Final Calculation Sheet'!$M$15="","",'Final Calculation Sheet'!$M$15),"")</f>
        <v/>
      </c>
      <c r="CU15">
        <f>IF(CT15="","",COUNTIFS(CT$4:CT$40,"&lt;"&amp;CT15,CT$4:CT$40,"&lt;&gt;"&amp;"")+COUNTIF(CT$4:CT15,CT15))</f>
        <v/>
      </c>
      <c r="CV15" s="55">
        <f>IF(ROW()-3&gt;COUNTIF(CT$4:CT$40,"&lt;&gt;"&amp;""),"",INDEX(CT$4:CT$40,MATCH(ROW()-3,CU$4:CU$40,0)))</f>
        <v/>
      </c>
      <c r="CW15">
        <f>CW14+IF(AND(CV15&lt;&gt;"",COUNTIF(CV$4:CV15,CV15)=1),1,0)</f>
        <v/>
      </c>
      <c r="CX15" s="55">
        <f>IF(ROW()-3&gt;MAX(CW$4:CW$40),"",INDEX(CV$4:CV$40,MATCH(ROW()-3,CW$4:CW$40,0)))</f>
        <v/>
      </c>
      <c r="CY15" s="138">
        <f>IF(AND($B$15:$O$15,$Q$15:$AJ$15),IF('Final Calculation Sheet'!$N$15="","",'Final Calculation Sheet'!$N$15),"")</f>
        <v/>
      </c>
      <c r="CZ15">
        <f>IF(CY15="","",COUNTIFS(CY$4:CY$40,"&lt;"&amp;CY15,CY$4:CY$40,"&lt;&gt;"&amp;"")+COUNTIF(CY$4:CY15,CY15))</f>
        <v/>
      </c>
      <c r="DA15" s="138">
        <f>IF(ROW()-3&gt;COUNTIF(CY$4:CY$40,"&lt;&gt;"&amp;""),"",INDEX(CY$4:CY$40,MATCH(ROW()-3,CZ$4:CZ$40,0)))</f>
        <v/>
      </c>
      <c r="DB15">
        <f>DB14+IF(AND(DA15&lt;&gt;"",COUNTIF(DA$4:DA15,DA15)=1),1,0)</f>
        <v/>
      </c>
      <c r="DC15" s="138">
        <f>IF(ROW()-3&gt;MAX(DB$4:DB$40),"",INDEX(DA$4:DA$40,MATCH(ROW()-3,DB$4:DB$40,0)))</f>
        <v/>
      </c>
      <c r="DD15" s="55">
        <f>IF(AND($B$15:$P$15,$R$15:$AJ$15),IF('Final Calculation Sheet'!$O$15="","",'Final Calculation Sheet'!$O$15),"")</f>
        <v/>
      </c>
      <c r="DE15">
        <f>IF(DD15="","",COUNTIFS(DD$4:DD$40,"&lt;"&amp;DD15,DD$4:DD$40,"&lt;&gt;"&amp;"")+COUNTIF(DD$4:DD15,DD15))</f>
        <v/>
      </c>
      <c r="DF15" s="55">
        <f>IF(ROW()-3&gt;COUNTIF(DD$4:DD$40,"&lt;&gt;"&amp;""),"",INDEX(DD$4:DD$40,MATCH(ROW()-3,DE$4:DE$40,0)))</f>
        <v/>
      </c>
      <c r="DG15">
        <f>DG14+IF(AND(DF15&lt;&gt;"",COUNTIF(DF$4:DF15,DF15)=1),1,0)</f>
        <v/>
      </c>
      <c r="DH15" s="55">
        <f>IF(ROW()-3&gt;MAX(DG$4:DG$40),"",INDEX(DF$4:DF$40,MATCH(ROW()-3,DG$4:DG$40,0)))</f>
        <v/>
      </c>
      <c r="DI15" s="55">
        <f>IF(AND($B$15:$Q$15,$S$15:$AJ$15),IF('Final Calculation Sheet'!$P$15="","",'Final Calculation Sheet'!$P$15),"")</f>
        <v/>
      </c>
      <c r="DJ15">
        <f>IF(DI15="","",COUNTIFS(DI$4:DI$40,"&lt;"&amp;DI15,DI$4:DI$40,"&lt;&gt;"&amp;"")+COUNTIF(DI$4:DI15,DI15))</f>
        <v/>
      </c>
      <c r="DK15" s="55">
        <f>IF(ROW()-3&gt;COUNTIF(DI$4:DI$40,"&lt;&gt;"&amp;""),"",INDEX(DI$4:DI$40,MATCH(ROW()-3,DJ$4:DJ$40,0)))</f>
        <v/>
      </c>
      <c r="DL15">
        <f>DL14+IF(AND(DK15&lt;&gt;"",COUNTIF(DK$4:DK15,DK15)=1),1,0)</f>
        <v/>
      </c>
      <c r="DM15" s="55">
        <f>IF(ROW()-3&gt;MAX(DL$4:DL$40),"",INDEX(DK$4:DK$40,MATCH(ROW()-3,DL$4:DL$40,0)))</f>
        <v/>
      </c>
      <c r="DN15" s="139">
        <f>IF(AND($B$15:$R$15,$T$15:$AJ$15),IF('Final Calculation Sheet'!$Q$15="","",'Final Calculation Sheet'!$Q$15),"")</f>
        <v/>
      </c>
      <c r="DO15">
        <f>IF(DN15="","",COUNTIFS(DN$4:DN$40,"&lt;"&amp;DN15,DN$4:DN$40,"&lt;&gt;"&amp;"")+COUNTIF(DN$4:DN15,DN15))</f>
        <v/>
      </c>
      <c r="DP15" s="139">
        <f>IF(ROW()-3&gt;COUNTIF(DN$4:DN$40,"&lt;&gt;"&amp;""),"",INDEX(DN$4:DN$40,MATCH(ROW()-3,DO$4:DO$40,0)))</f>
        <v/>
      </c>
      <c r="DQ15">
        <f>DQ14+IF(AND(DP15&lt;&gt;"",COUNTIF(DP$4:DP15,DP15)=1),1,0)</f>
        <v/>
      </c>
      <c r="DR15" s="139">
        <f>IF(ROW()-3&gt;MAX(DQ$4:DQ$40),"",INDEX(DP$4:DP$40,MATCH(ROW()-3,DQ$4:DQ$40,0)))</f>
        <v/>
      </c>
      <c r="DS15" s="55">
        <f>IF(AND($B$15:$S$15,$U$15:$AJ$15),IF('Final Calculation Sheet'!$R$15="","",'Final Calculation Sheet'!$R$15),"")</f>
        <v/>
      </c>
      <c r="DT15">
        <f>IF(DS15="","",COUNTIFS(DS$4:DS$40,"&lt;"&amp;DS15,DS$4:DS$40,"&lt;&gt;"&amp;"")+COUNTIF(DS$4:DS15,DS15))</f>
        <v/>
      </c>
      <c r="DU15" s="55">
        <f>IF(ROW()-3&gt;COUNTIF(DS$4:DS$40,"&lt;&gt;"&amp;""),"",INDEX(DS$4:DS$40,MATCH(ROW()-3,DT$4:DT$40,0)))</f>
        <v/>
      </c>
      <c r="DV15">
        <f>DV14+IF(AND(DU15&lt;&gt;"",COUNTIF(DU$4:DU15,DU15)=1),1,0)</f>
        <v/>
      </c>
      <c r="DW15" s="55">
        <f>IF(ROW()-3&gt;MAX(DV$4:DV$40),"",INDEX(DU$4:DU$40,MATCH(ROW()-3,DV$4:DV$40,0)))</f>
        <v/>
      </c>
      <c r="DX15" s="55">
        <f>IF(AND($B$15:$T$15,$V$15:$AJ$15),IF('Final Calculation Sheet'!$S$15="","",'Final Calculation Sheet'!$S$15),"")</f>
        <v/>
      </c>
      <c r="DY15">
        <f>IF(DX15="","",COUNTIFS(DX$4:DX$40,"&lt;"&amp;DX15,DX$4:DX$40,"&lt;&gt;"&amp;"")+COUNTIF(DX$4:DX15,DX15))</f>
        <v/>
      </c>
      <c r="DZ15" s="55">
        <f>IF(ROW()-3&gt;COUNTIF(DX$4:DX$40,"&lt;&gt;"&amp;""),"",INDEX(DX$4:DX$40,MATCH(ROW()-3,DY$4:DY$40,0)))</f>
        <v/>
      </c>
      <c r="EA15">
        <f>EA14+IF(AND(DZ15&lt;&gt;"",COUNTIF(DZ$4:DZ15,DZ15)=1),1,0)</f>
        <v/>
      </c>
      <c r="EB15" s="55">
        <f>IF(ROW()-3&gt;MAX(EA$4:EA$40),"",INDEX(DZ$4:DZ$40,MATCH(ROW()-3,EA$4:EA$40,0)))</f>
        <v/>
      </c>
      <c r="EC15" s="55">
        <f>IF(AND($B$15:$U$15,$W$15:$AJ$15),IF('Final Calculation Sheet'!$T$15="","",'Final Calculation Sheet'!$T$15),"")</f>
        <v/>
      </c>
      <c r="ED15">
        <f>IF(EC15="","",COUNTIFS(EC$4:EC$40,"&lt;"&amp;EC15,EC$4:EC$40,"&lt;&gt;"&amp;"")+COUNTIF(EC$4:EC15,EC15))</f>
        <v/>
      </c>
      <c r="EE15" s="55">
        <f>IF(ROW()-3&gt;COUNTIF(EC$4:EC$40,"&lt;&gt;"&amp;""),"",INDEX(EC$4:EC$40,MATCH(ROW()-3,ED$4:ED$40,0)))</f>
        <v/>
      </c>
      <c r="EF15">
        <f>EF14+IF(AND(EE15&lt;&gt;"",COUNTIF(EE$4:EE15,EE15)=1),1,0)</f>
        <v/>
      </c>
      <c r="EG15" s="55">
        <f>IF(ROW()-3&gt;MAX(EF$4:EF$40),"",INDEX(EE$4:EE$40,MATCH(ROW()-3,EF$4:EF$40,0)))</f>
        <v/>
      </c>
      <c r="EH15" s="140">
        <f>IF(AND($B$15:$V$15,$X$15:$AJ$15),IF('Final Calculation Sheet'!$U$15="","",'Final Calculation Sheet'!$U$15),"")</f>
        <v/>
      </c>
      <c r="EI15">
        <f>IF(EH15="","",COUNTIFS(EH$4:EH$40,"&lt;"&amp;EH15,EH$4:EH$40,"&lt;&gt;"&amp;"")+COUNTIF(EH$4:EH15,EH15))</f>
        <v/>
      </c>
      <c r="EJ15" s="140">
        <f>IF(ROW()-3&gt;COUNTIF(EH$4:EH$40,"&lt;&gt;"&amp;""),"",INDEX(EH$4:EH$40,MATCH(ROW()-3,EI$4:EI$40,0)))</f>
        <v/>
      </c>
      <c r="EK15">
        <f>EK14+IF(AND(EJ15&lt;&gt;"",COUNTIF(EJ$4:EJ15,EJ15)=1),1,0)</f>
        <v/>
      </c>
      <c r="EL15" s="140">
        <f>IF(ROW()-3&gt;MAX(EK$4:EK$40),"",INDEX(EJ$4:EJ$40,MATCH(ROW()-3,EK$4:EK$40,0)))</f>
        <v/>
      </c>
      <c r="EM15">
        <f>IF(AND($B$15:$W$15,$Y$15:$AJ$15),IF('Final Calculation Sheet'!$V$15="","",'Final Calculation Sheet'!$V$15),"")</f>
        <v/>
      </c>
      <c r="EN15">
        <f>IF(EM15="","",COUNTIFS(EM$4:EM$40,"&lt;"&amp;EM15,EM$4:EM$40,"&lt;&gt;"&amp;"")+COUNTIF(EM$4:EM15,EM15))</f>
        <v/>
      </c>
      <c r="EO15">
        <f>IF(ROW()-3&gt;COUNTIF(EM$4:EM$40,"&lt;&gt;"&amp;""),"",INDEX(EM$4:EM$40,MATCH(ROW()-3,EN$4:EN$40,0)))</f>
        <v/>
      </c>
      <c r="EP15">
        <f>EP14+IF(AND(EO15&lt;&gt;"",COUNTIF(EO$4:EO15,EO15)=1),1,0)</f>
        <v/>
      </c>
      <c r="EQ15">
        <f>IF(ROW()-3&gt;MAX(EP$4:EP$40),"",INDEX(EO$4:EO$40,MATCH(ROW()-3,EP$4:EP$40,0)))</f>
        <v/>
      </c>
      <c r="ER15" s="55">
        <f>IF(AND($B$15:$X$15,$Z$15:$AJ$15),IF('Final Calculation Sheet'!$W$15="","",'Final Calculation Sheet'!$W$15),"")</f>
        <v/>
      </c>
      <c r="ES15">
        <f>IF(ER15="","",COUNTIFS(ER$4:ER$40,"&lt;"&amp;ER15,ER$4:ER$40,"&lt;&gt;"&amp;"")+COUNTIF(ER$4:ER15,ER15))</f>
        <v/>
      </c>
      <c r="ET15" s="55">
        <f>IF(ROW()-3&gt;COUNTIF(ER$4:ER$40,"&lt;&gt;"&amp;""),"",INDEX(ER$4:ER$40,MATCH(ROW()-3,ES$4:ES$40,0)))</f>
        <v/>
      </c>
      <c r="EU15">
        <f>EU14+IF(AND(ET15&lt;&gt;"",COUNTIF(ET$4:ET15,ET15)=1),1,0)</f>
        <v/>
      </c>
      <c r="EV15" s="55">
        <f>IF(ROW()-3&gt;MAX(EU$4:EU$40),"",INDEX(ET$4:ET$40,MATCH(ROW()-3,EU$4:EU$40,0)))</f>
        <v/>
      </c>
      <c r="EW15" s="55">
        <f>IF(AND($B$15:$Y$15,$AA$15:$AJ$15),IF('Final Calculation Sheet'!$X$15="","",'Final Calculation Sheet'!$X$15),"")</f>
        <v/>
      </c>
      <c r="EX15">
        <f>IF(EW15="","",COUNTIFS(EW$4:EW$40,"&lt;"&amp;EW15,EW$4:EW$40,"&lt;&gt;"&amp;"")+COUNTIF(EW$4:EW15,EW15))</f>
        <v/>
      </c>
      <c r="EY15" s="55">
        <f>IF(ROW()-3&gt;COUNTIF(EW$4:EW$40,"&lt;&gt;"&amp;""),"",INDEX(EW$4:EW$40,MATCH(ROW()-3,EX$4:EX$40,0)))</f>
        <v/>
      </c>
      <c r="EZ15">
        <f>EZ14+IF(AND(EY15&lt;&gt;"",COUNTIF(EY$4:EY15,EY15)=1),1,0)</f>
        <v/>
      </c>
      <c r="FA15">
        <f>IF(ROW()-3&gt;MAX(EZ$4:EZ$40),"",INDEX(EY$4:EY$40,MATCH(ROW()-3,EZ$4:EZ$40,0)))</f>
        <v/>
      </c>
      <c r="FB15">
        <f>IF(AND($B$15:$Z$15,$AB$15:$AJ$15),IF('Final Calculation Sheet'!$Y$15="","",'Final Calculation Sheet'!$Y$15),"")</f>
        <v/>
      </c>
      <c r="FC15">
        <f>IF(FB15="","",COUNTIFS(FB$4:FB$40,"&lt;"&amp;FB15,FB$4:FB$40,"&lt;&gt;"&amp;"")+COUNTIF(FB$4:FB15,FB15))</f>
        <v/>
      </c>
      <c r="FD15">
        <f>IF(ROW()-3&gt;COUNTIF(FB$4:FB$40,"&lt;&gt;"&amp;""),"",INDEX(FB$4:FB$40,MATCH(ROW()-3,FC$4:FC$40,0)))</f>
        <v/>
      </c>
      <c r="FE15">
        <f>FE14+IF(AND(FD15&lt;&gt;"",COUNTIF(FD$4:FD15,FD15)=1),1,0)</f>
        <v/>
      </c>
      <c r="FF15">
        <f>IF(ROW()-3&gt;MAX(FE$4:FE$40),"",INDEX(FD$4:FD$40,MATCH(ROW()-3,FE$4:FE$40,0)))</f>
        <v/>
      </c>
      <c r="FG15" s="55">
        <f>IF(AND($B$15:$AA$15,$AC$15:$AJ$15),IF('Final Calculation Sheet'!$Z$15="","",'Final Calculation Sheet'!$Z$15),"")</f>
        <v/>
      </c>
      <c r="FH15">
        <f>IF(FG15="","",COUNTIFS(FG$4:FG$40,"&lt;"&amp;FG15,FG$4:FG$40,"&lt;&gt;"&amp;"")+COUNTIF(FG$4:FG15,FG15))</f>
        <v/>
      </c>
      <c r="FI15" s="55">
        <f>IF(ROW()-3&gt;COUNTIF(FG$4:FG$40,"&lt;&gt;"&amp;""),"",INDEX(FG$4:FG$40,MATCH(ROW()-3,FH$4:FH$40,0)))</f>
        <v/>
      </c>
      <c r="FJ15">
        <f>FJ14+IF(AND(FI15&lt;&gt;"",COUNTIF(FI$4:FI15,FI15)=1),1,0)</f>
        <v/>
      </c>
      <c r="FK15" s="55">
        <f>IF(ROW()-3&gt;MAX(FJ$4:FJ$40),"",INDEX(FI$4:FI$40,MATCH(ROW()-3,FJ$4:FJ$40,0)))</f>
        <v/>
      </c>
      <c r="FL15">
        <f>IF(AND($B$15:$AB$15,$AD$15:$AJ$15),IF('Final Calculation Sheet'!$AA$15="","",'Final Calculation Sheet'!$AA$15),"")</f>
        <v/>
      </c>
      <c r="FM15">
        <f>IF(FL15="","",COUNTIFS(FL$4:FL$40,"&lt;"&amp;FL15,FL$4:FL$40,"&lt;&gt;"&amp;"")+COUNTIF(FL$4:FL15,FL15))</f>
        <v/>
      </c>
      <c r="FN15">
        <f>IF(ROW()-3&gt;COUNTIF(FL$4:FL$40,"&lt;&gt;"&amp;""),"",INDEX(FL$4:FL$40,MATCH(ROW()-3,FM$4:FM$40,0)))</f>
        <v/>
      </c>
      <c r="FO15">
        <f>FO14+IF(AND(FN15&lt;&gt;"",COUNTIF(FN$4:FN15,FN15)=1),1,0)</f>
        <v/>
      </c>
      <c r="FP15">
        <f>IF(ROW()-3&gt;MAX(FO$4:FO$40),"",INDEX(FN$4:FN$40,MATCH(ROW()-3,FO$4:FO$40,0)))</f>
        <v/>
      </c>
      <c r="FQ15">
        <f>IF(AND($B$15:$AC$15,$AE$15:$AJ$15),IF('Final Calculation Sheet'!$AB$15="","",'Final Calculation Sheet'!$AB$15),"")</f>
        <v/>
      </c>
      <c r="FR15">
        <f>IF(FQ15="","",COUNTIFS(FQ$4:FQ$40,"&lt;"&amp;FQ15,FQ$4:FQ$40,"&lt;&gt;"&amp;"")+COUNTIF(FQ$4:FQ15,FQ15))</f>
        <v/>
      </c>
      <c r="FS15">
        <f>IF(ROW()-3&gt;COUNTIF(FQ$4:FQ$40,"&lt;&gt;"&amp;""),"",INDEX(FQ$4:FQ$40,MATCH(ROW()-3,FR$4:FR$40,0)))</f>
        <v/>
      </c>
      <c r="FT15">
        <f>FT14+IF(AND(FS15&lt;&gt;"",COUNTIF(FS$4:FS15,FS15)=1),1,0)</f>
        <v/>
      </c>
      <c r="FU15">
        <f>IF(ROW()-3&gt;MAX(FT$4:FT$40),"",INDEX(FS$4:FS$40,MATCH(ROW()-3,FT$4:FT$40,0)))</f>
        <v/>
      </c>
      <c r="FV15" s="55">
        <f>IF(AND($B$15:$AD$15,$AF$15:$AJ$15),IF('Final Calculation Sheet'!$AC$15="","",'Final Calculation Sheet'!$AC$15),"")</f>
        <v/>
      </c>
      <c r="FW15">
        <f>IF(FV15="","",COUNTIFS(FV$4:FV$40,"&lt;"&amp;FV15,FV$4:FV$40,"&lt;&gt;"&amp;"")+COUNTIF(FV$4:FV15,FV15))</f>
        <v/>
      </c>
      <c r="FX15" s="55">
        <f>IF(ROW()-3&gt;COUNTIF(FV$4:FV$40,"&lt;&gt;"&amp;""),"",INDEX(FV$4:FV$40,MATCH(ROW()-3,FW$4:FW$40,0)))</f>
        <v/>
      </c>
      <c r="FY15">
        <f>FY14+IF(AND(FX15&lt;&gt;"",COUNTIF(FX$4:FX15,FX15)=1),1,0)</f>
        <v/>
      </c>
      <c r="FZ15" s="55">
        <f>IF(ROW()-3&gt;MAX(FY$4:FY$40),"",INDEX(FX$4:FX$40,MATCH(ROW()-3,FY$4:FY$40,0)))</f>
        <v/>
      </c>
      <c r="GA15" s="55">
        <f>IF(AND($B$15:$AE$15,$AG$15:$AJ$15),IF('Final Calculation Sheet'!$AD$15="","",'Final Calculation Sheet'!$AD$15),"")</f>
        <v/>
      </c>
      <c r="GB15">
        <f>IF(GA15="","",COUNTIFS(GA$4:GA$40,"&lt;"&amp;GA15,GA$4:GA$40,"&lt;&gt;"&amp;"")+COUNTIF(GA$4:GA15,GA15))</f>
        <v/>
      </c>
      <c r="GC15" s="55">
        <f>IF(ROW()-3&gt;COUNTIF(GA$4:GA$40,"&lt;&gt;"&amp;""),"",INDEX(GA$4:GA$40,MATCH(ROW()-3,GB$4:GB$40,0)))</f>
        <v/>
      </c>
      <c r="GD15">
        <f>GD14+IF(AND(GC15&lt;&gt;"",COUNTIF(GC$4:GC15,GC15)=1),1,0)</f>
        <v/>
      </c>
      <c r="GE15" s="55">
        <f>IF(ROW()-3&gt;MAX(GD$4:GD$40),"",INDEX(GC$4:GC$40,MATCH(ROW()-3,GD$4:GD$40,0)))</f>
        <v/>
      </c>
      <c r="GF15">
        <f>IF(AND($B$15:$AF$15,$AH$15:$AJ$15),IF('Final Calculation Sheet'!$AE$15="","",'Final Calculation Sheet'!$AE$15),"")</f>
        <v/>
      </c>
      <c r="GG15">
        <f>IF(GF15="","",COUNTIFS(GF$4:GF$40,"&lt;"&amp;GF15,GF$4:GF$40,"&lt;&gt;"&amp;"")+COUNTIF(GF$4:GF15,GF15))</f>
        <v/>
      </c>
      <c r="GH15">
        <f>IF(ROW()-3&gt;COUNTIF(GF$4:GF$40,"&lt;&gt;"&amp;""),"",INDEX(GF$4:GF$40,MATCH(ROW()-3,GG$4:GG$40,0)))</f>
        <v/>
      </c>
      <c r="GI15">
        <f>GI14+IF(AND(GH15&lt;&gt;"",COUNTIF(GH$4:GH15,GH15)=1),1,0)</f>
        <v/>
      </c>
      <c r="GJ15">
        <f>IF(ROW()-3&gt;MAX(GI$4:GI$40),"",INDEX(GH$4:GH$40,MATCH(ROW()-3,GI$4:GI$40,0)))</f>
        <v/>
      </c>
      <c r="GK15" s="141">
        <f>IF(AND($B$15:$AG$15,$AI$15:$AJ$15),IF('Final Calculation Sheet'!$AF$15="","",'Final Calculation Sheet'!$AF$15),"")</f>
        <v/>
      </c>
      <c r="GL15">
        <f>IF(GK15="","",COUNTIFS(GK$4:GK$40,"&lt;"&amp;GK15,GK$4:GK$40,"&lt;&gt;"&amp;"")+COUNTIF(GK$4:GK15,GK15))</f>
        <v/>
      </c>
      <c r="GM15" s="141">
        <f>IF(ROW()-3&gt;COUNTIF(GK$4:GK$40,"&lt;&gt;"&amp;""),"",INDEX(GK$4:GK$40,MATCH(ROW()-3,GL$4:GL$40,0)))</f>
        <v/>
      </c>
      <c r="GN15">
        <f>GN14+IF(AND(GM15&lt;&gt;"",COUNTIF(GM$4:GM15,GM15)=1),1,0)</f>
        <v/>
      </c>
      <c r="GO15">
        <f>IF(ROW()-3&gt;MAX(GN$4:GN$40),"",INDEX(GM$4:GM$40,MATCH(ROW()-3,GN$4:GN$40,0)))</f>
        <v/>
      </c>
      <c r="GP15">
        <f>IF(AND($B$15:$AH$15,$AJ$15:$AJ$15),IF('Final Calculation Sheet'!$AG$15="","",'Final Calculation Sheet'!$AG$15),"")</f>
        <v/>
      </c>
      <c r="GQ15">
        <f>IF(GP15="","",COUNTIFS(GP$4:GP$40,"&lt;"&amp;GP15,GP$4:GP$40,"&lt;&gt;"&amp;"")+COUNTIF(GP$4:GP15,GP15))</f>
        <v/>
      </c>
      <c r="GR15">
        <f>IF(ROW()-3&gt;COUNTIF(GP$4:GP$40,"&lt;&gt;"&amp;""),"",INDEX(GP$4:GP$40,MATCH(ROW()-3,GQ$4:GQ$40,0)))</f>
        <v/>
      </c>
      <c r="GS15">
        <f>GS14+IF(AND(GR15&lt;&gt;"",COUNTIF(GR$4:GR15,GR15)=1),1,0)</f>
        <v/>
      </c>
      <c r="GT15">
        <f>IF(ROW()-3&gt;MAX(GS$4:GS$40),"",INDEX(GR$4:GR$40,MATCH(ROW()-3,GS$4:GS$40,0)))</f>
        <v/>
      </c>
    </row>
    <row r="16">
      <c r="A16" t="inlineStr">
        <is>
          <t>Final row 16</t>
        </is>
      </c>
      <c r="B16" t="b">
        <v>1</v>
      </c>
      <c r="C16">
        <f>IF($C$3=FALSE,TRUE,IF(OR(UPPER(TRIM($C$2))="(BLANK)",UPPER(TRIM($C$2))="BLANK",AND($C$2&lt;&gt;"",TRIM($C$2)="")),(IF('Final Calculation Sheet'!$F$16="","",'Final Calculation Sheet'!$F$16))="",IF(OR(UPPER(TRIM($C$2))="(NONBLANK)",UPPER(TRIM($C$2))="NONBLANK",TRIM($C$2)="&lt;&gt;"),(IF('Final Calculation Sheet'!$F$16="","",'Final Calculation Sheet'!$F$16))&lt;&gt;"",UPPER(TRIM((IF('Final Calculation Sheet'!$F$16="","",'Final Calculation Sheet'!$F$16))&amp;""))=UPPER(TRIM($C$2&amp;"")))))</f>
        <v/>
      </c>
      <c r="D16">
        <f>IF($D$3=FALSE,TRUE,IF(OR(UPPER(TRIM($D$2))="(BLANK)",UPPER(TRIM($D$2))="BLANK",AND($D$2&lt;&gt;"",TRIM($D$2)="")),(IF('Final Calculation Sheet'!$G$16="","",'Final Calculation Sheet'!$G$16))="",IF(OR(UPPER(TRIM($D$2))="(NONBLANK)",UPPER(TRIM($D$2))="NONBLANK",TRIM($D$2)="&lt;&gt;"),(IF('Final Calculation Sheet'!$G$16="","",'Final Calculation Sheet'!$G$16))&lt;&gt;"",UPPER(TRIM((IF('Final Calculation Sheet'!$G$16="","",'Final Calculation Sheet'!$G$16))&amp;""))=UPPER(TRIM($D$2&amp;"")))))</f>
        <v/>
      </c>
      <c r="E16">
        <f>IF($E$3=FALSE,TRUE,IF(OR(UPPER(TRIM($E$2))="(BLANK)",UPPER(TRIM($E$2))="BLANK",AND($E$2&lt;&gt;"",TRIM($E$2)="")),(IF('Final Calculation Sheet'!$B$16="","",'Final Calculation Sheet'!$B$16))="",IF(OR(UPPER(TRIM($E$2))="(NONBLANK)",UPPER(TRIM($E$2))="NONBLANK",TRIM($E$2)="&lt;&gt;"),(IF('Final Calculation Sheet'!$B$16="","",'Final Calculation Sheet'!$B$16))&lt;&gt;"",UPPER(TRIM((IF('Final Calculation Sheet'!$B$16="","",'Final Calculation Sheet'!$B$16))&amp;""))=UPPER(TRIM($E$2&amp;"")))))</f>
        <v/>
      </c>
      <c r="F16">
        <f>IF($F$3=FALSE,TRUE,IF(OR(UPPER(TRIM($F$2))="(BLANK)",UPPER(TRIM($F$2))="BLANK",AND($F$2&lt;&gt;"",TRIM($F$2)="")),(IF('Final Calculation Sheet'!$D$16="","",'Final Calculation Sheet'!$D$16))="",IF(OR(UPPER(TRIM($F$2))="(NONBLANK)",UPPER(TRIM($F$2))="NONBLANK",TRIM($F$2)="&lt;&gt;"),(IF('Final Calculation Sheet'!$D$16="","",'Final Calculation Sheet'!$D$16))&lt;&gt;"",UPPER(TRIM((IF('Final Calculation Sheet'!$D$16="","",'Final Calculation Sheet'!$D$16))&amp;""))=UPPER(TRIM($F$2&amp;"")))))</f>
        <v/>
      </c>
      <c r="G16">
        <f>IF($G$3=FALSE,TRUE,IF(OR(UPPER(TRIM($G$2))="(BLANK)",UPPER(TRIM($G$2))="BLANK",AND($G$2&lt;&gt;"",TRIM($G$2)="")),(IF('Final Calculation Sheet'!$A$16="","",'Final Calculation Sheet'!$A$16))="",IF(OR(UPPER(TRIM($G$2))="(NONBLANK)",UPPER(TRIM($G$2))="NONBLANK",TRIM($G$2)="&lt;&gt;"),(IF('Final Calculation Sheet'!$A$16="","",'Final Calculation Sheet'!$A$16))&lt;&gt;"",UPPER(TRIM((IF('Final Calculation Sheet'!$A$16="","",'Final Calculation Sheet'!$A$16))&amp;""))=UPPER(TRIM($G$2&amp;"")))))</f>
        <v/>
      </c>
      <c r="H16">
        <f>IF($H$3=FALSE,TRUE,IF(OR(UPPER(TRIM($H$2))="(BLANK)",UPPER(TRIM($H$2))="BLANK",AND($H$2&lt;&gt;"",TRIM($H$2)="")),(IF('Final Calculation Sheet'!$E$16="","",'Final Calculation Sheet'!$E$16))="",IF(OR(UPPER(TRIM($H$2))="(NONBLANK)",UPPER(TRIM($H$2))="NONBLANK",TRIM($H$2)="&lt;&gt;"),(IF('Final Calculation Sheet'!$E$16="","",'Final Calculation Sheet'!$E$16))&lt;&gt;"",UPPER(TRIM((IF('Final Calculation Sheet'!$E$16="","",'Final Calculation Sheet'!$E$16))&amp;""))=UPPER(TRIM($H$2&amp;"")))))</f>
        <v/>
      </c>
      <c r="I16">
        <f>IF($I$3=FALSE,TRUE,IF(OR(UPPER(TRIM($I$2))="(BLANK)",UPPER(TRIM($I$2))="BLANK",AND($I$2&lt;&gt;"",TRIM($I$2)="")),(IF('Final Calculation Sheet'!$C$16="","",'Final Calculation Sheet'!$C$16))="",IF(OR(UPPER(TRIM($I$2))="(NONBLANK)",UPPER(TRIM($I$2))="NONBLANK",TRIM($I$2)="&lt;&gt;"),(IF('Final Calculation Sheet'!$C$16="","",'Final Calculation Sheet'!$C$16))&lt;&gt;"",UPPER(TRIM((IF('Final Calculation Sheet'!$C$16="","",'Final Calculation Sheet'!$C$16))&amp;""))=UPPER(TRIM($I$2&amp;"")))))</f>
        <v/>
      </c>
      <c r="J16">
        <f>IF($J$3=FALSE,TRUE,IF(OR(UPPER(TRIM($J$2))="(BLANK)",UPPER(TRIM($J$2))="BLANK",AND($J$2&lt;&gt;"",TRIM($J$2)="")),(IF('Final Calculation Sheet'!$H$16="","",'Final Calculation Sheet'!$H$16))="",IF(OR(UPPER(TRIM($J$2))="(NONBLANK)",UPPER(TRIM($J$2))="NONBLANK",TRIM($J$2)="&lt;&gt;"),(IF('Final Calculation Sheet'!$H$16="","",'Final Calculation Sheet'!$H$16))&lt;&gt;"",UPPER(TRIM((IF('Final Calculation Sheet'!$H$16="","",'Final Calculation Sheet'!$H$16))&amp;""))=UPPER(TRIM($J$2&amp;"")))))</f>
        <v/>
      </c>
      <c r="K16">
        <f>IF($K$3=FALSE,TRUE,IF(OR(UPPER(TRIM($K$2))="(BLANK)",UPPER(TRIM($K$2))="BLANK",AND($K$2&lt;&gt;"",TRIM($K$2)="")),(IF('Final Calculation Sheet'!$I$16="","",'Final Calculation Sheet'!$I$16))="",IF(OR(UPPER(TRIM($K$2))="(NONBLANK)",UPPER(TRIM($K$2))="NONBLANK",TRIM($K$2)="&lt;&gt;"),(IF('Final Calculation Sheet'!$I$16="","",'Final Calculation Sheet'!$I$16))&lt;&gt;"",UPPER(TRIM((IF('Final Calculation Sheet'!$I$16="","",'Final Calculation Sheet'!$I$16))&amp;""))=UPPER(TRIM($K$2&amp;"")))))</f>
        <v/>
      </c>
      <c r="L16">
        <f>IF($L$3=FALSE,TRUE,IF(OR(UPPER(TRIM($L$2))="(BLANK)",UPPER(TRIM($L$2))="BLANK",AND($L$2&lt;&gt;"",TRIM($L$2)="")),(IF('Final Calculation Sheet'!$J$16="","",'Final Calculation Sheet'!$J$16))="",IF(OR(UPPER(TRIM($L$2))="(NONBLANK)",UPPER(TRIM($L$2))="NONBLANK",TRIM($L$2)="&lt;&gt;"),(IF('Final Calculation Sheet'!$J$16="","",'Final Calculation Sheet'!$J$16))&lt;&gt;"",UPPER(TRIM((IF('Final Calculation Sheet'!$J$16="","",'Final Calculation Sheet'!$J$16))&amp;""))=UPPER(TRIM($L$2&amp;"")))))</f>
        <v/>
      </c>
      <c r="M16">
        <f>IF($M$3=FALSE,TRUE,IF(OR(UPPER(TRIM($M$2))="(BLANK)",UPPER(TRIM($M$2))="BLANK",AND($M$2&lt;&gt;"",TRIM($M$2)="")),(IF('Final Calculation Sheet'!$K$16="","",'Final Calculation Sheet'!$K$16))="",IF(OR(UPPER(TRIM($M$2))="(NONBLANK)",UPPER(TRIM($M$2))="NONBLANK",TRIM($M$2)="&lt;&gt;"),(IF('Final Calculation Sheet'!$K$16="","",'Final Calculation Sheet'!$K$16))&lt;&gt;"",UPPER(TRIM((IF('Final Calculation Sheet'!$K$16="","",'Final Calculation Sheet'!$K$16))&amp;""))=UPPER(TRIM($M$2&amp;"")))))</f>
        <v/>
      </c>
      <c r="N16">
        <f>IF($N$3=FALSE,TRUE,IF(OR(UPPER(TRIM($N$2))="(BLANK)",UPPER(TRIM($N$2))="BLANK",AND($N$2&lt;&gt;"",TRIM($N$2)="")),(IF('Final Calculation Sheet'!$L$16="","",'Final Calculation Sheet'!$L$16))="",IF(OR(UPPER(TRIM($N$2))="(NONBLANK)",UPPER(TRIM($N$2))="NONBLANK",TRIM($N$2)="&lt;&gt;"),(IF('Final Calculation Sheet'!$L$16="","",'Final Calculation Sheet'!$L$16))&lt;&gt;"",UPPER(TRIM((IF('Final Calculation Sheet'!$L$16="","",'Final Calculation Sheet'!$L$16))&amp;""))=UPPER(TRIM($N$2&amp;"")))))</f>
        <v/>
      </c>
      <c r="O16">
        <f>IF($O$3=FALSE,TRUE,IF(OR(UPPER(TRIM($O$2))="(BLANK)",UPPER(TRIM($O$2))="BLANK",AND($O$2&lt;&gt;"",TRIM($O$2)="")),(IF('Final Calculation Sheet'!$M$16="","",'Final Calculation Sheet'!$M$16))="",IF(OR(UPPER(TRIM($O$2))="(NONBLANK)",UPPER(TRIM($O$2))="NONBLANK",TRIM($O$2)="&lt;&gt;"),(IF('Final Calculation Sheet'!$M$16="","",'Final Calculation Sheet'!$M$16))&lt;&gt;"",UPPER(TRIM((IF('Final Calculation Sheet'!$M$16="","",'Final Calculation Sheet'!$M$16))&amp;""))=UPPER(TRIM($O$2&amp;"")))))</f>
        <v/>
      </c>
      <c r="P16">
        <f>IF($P$3=FALSE,TRUE,IF(OR(UPPER(TRIM($P$2))="(BLANK)",UPPER(TRIM($P$2))="BLANK",AND($P$2&lt;&gt;"",TRIM($P$2)="")),(IF('Final Calculation Sheet'!$N$16="","",'Final Calculation Sheet'!$N$16))="",IF(OR(UPPER(TRIM($P$2))="(NONBLANK)",UPPER(TRIM($P$2))="NONBLANK",TRIM($P$2)="&lt;&gt;"),(IF('Final Calculation Sheet'!$N$16="","",'Final Calculation Sheet'!$N$16))&lt;&gt;"",UPPER(TRIM((IF('Final Calculation Sheet'!$N$16="","",'Final Calculation Sheet'!$N$16))&amp;""))=UPPER(TRIM($P$2&amp;"")))))</f>
        <v/>
      </c>
      <c r="Q16">
        <f>IF($Q$3=FALSE,TRUE,IF(OR(UPPER(TRIM($Q$2))="(BLANK)",UPPER(TRIM($Q$2))="BLANK",AND($Q$2&lt;&gt;"",TRIM($Q$2)="")),(IF('Final Calculation Sheet'!$O$16="","",'Final Calculation Sheet'!$O$16))="",IF(OR(UPPER(TRIM($Q$2))="(NONBLANK)",UPPER(TRIM($Q$2))="NONBLANK",TRIM($Q$2)="&lt;&gt;"),(IF('Final Calculation Sheet'!$O$16="","",'Final Calculation Sheet'!$O$16))&lt;&gt;"",UPPER(TRIM((IF('Final Calculation Sheet'!$O$16="","",'Final Calculation Sheet'!$O$16))&amp;""))=UPPER(TRIM($Q$2&amp;"")))))</f>
        <v/>
      </c>
      <c r="R16">
        <f>IF($R$3=FALSE,TRUE,IF(OR(UPPER(TRIM($R$2))="(BLANK)",UPPER(TRIM($R$2))="BLANK",AND($R$2&lt;&gt;"",TRIM($R$2)="")),(IF('Final Calculation Sheet'!$P$16="","",'Final Calculation Sheet'!$P$16))="",IF(OR(UPPER(TRIM($R$2))="(NONBLANK)",UPPER(TRIM($R$2))="NONBLANK",TRIM($R$2)="&lt;&gt;"),(IF('Final Calculation Sheet'!$P$16="","",'Final Calculation Sheet'!$P$16))&lt;&gt;"",UPPER(TRIM((IF('Final Calculation Sheet'!$P$16="","",'Final Calculation Sheet'!$P$16))&amp;""))=UPPER(TRIM($R$2&amp;"")))))</f>
        <v/>
      </c>
      <c r="S16">
        <f>IF($S$3=FALSE,TRUE,IF(OR(UPPER(TRIM($S$2))="(BLANK)",UPPER(TRIM($S$2))="BLANK",AND($S$2&lt;&gt;"",TRIM($S$2)="")),(IF('Final Calculation Sheet'!$Q$16="","",'Final Calculation Sheet'!$Q$16))="",IF(OR(UPPER(TRIM($S$2))="(NONBLANK)",UPPER(TRIM($S$2))="NONBLANK",TRIM($S$2)="&lt;&gt;"),(IF('Final Calculation Sheet'!$Q$16="","",'Final Calculation Sheet'!$Q$16))&lt;&gt;"",UPPER(TRIM((IF('Final Calculation Sheet'!$Q$16="","",'Final Calculation Sheet'!$Q$16))&amp;""))=UPPER(TRIM($S$2&amp;"")))))</f>
        <v/>
      </c>
      <c r="T16">
        <f>IF($T$3=FALSE,TRUE,IF(OR(UPPER(TRIM($T$2))="(BLANK)",UPPER(TRIM($T$2))="BLANK",AND($T$2&lt;&gt;"",TRIM($T$2)="")),(IF('Final Calculation Sheet'!$R$16="","",'Final Calculation Sheet'!$R$16))="",IF(OR(UPPER(TRIM($T$2))="(NONBLANK)",UPPER(TRIM($T$2))="NONBLANK",TRIM($T$2)="&lt;&gt;"),(IF('Final Calculation Sheet'!$R$16="","",'Final Calculation Sheet'!$R$16))&lt;&gt;"",UPPER(TRIM((IF('Final Calculation Sheet'!$R$16="","",'Final Calculation Sheet'!$R$16))&amp;""))=UPPER(TRIM($T$2&amp;"")))))</f>
        <v/>
      </c>
      <c r="U16">
        <f>IF($U$3=FALSE,TRUE,IF(OR(UPPER(TRIM($U$2))="(BLANK)",UPPER(TRIM($U$2))="BLANK",AND($U$2&lt;&gt;"",TRIM($U$2)="")),(IF('Final Calculation Sheet'!$S$16="","",'Final Calculation Sheet'!$S$16))="",IF(OR(UPPER(TRIM($U$2))="(NONBLANK)",UPPER(TRIM($U$2))="NONBLANK",TRIM($U$2)="&lt;&gt;"),(IF('Final Calculation Sheet'!$S$16="","",'Final Calculation Sheet'!$S$16))&lt;&gt;"",UPPER(TRIM((IF('Final Calculation Sheet'!$S$16="","",'Final Calculation Sheet'!$S$16))&amp;""))=UPPER(TRIM($U$2&amp;"")))))</f>
        <v/>
      </c>
      <c r="V16">
        <f>IF($V$3=FALSE,TRUE,IF(OR(UPPER(TRIM($V$2))="(BLANK)",UPPER(TRIM($V$2))="BLANK",AND($V$2&lt;&gt;"",TRIM($V$2)="")),(IF('Final Calculation Sheet'!$T$16="","",'Final Calculation Sheet'!$T$16))="",IF(OR(UPPER(TRIM($V$2))="(NONBLANK)",UPPER(TRIM($V$2))="NONBLANK",TRIM($V$2)="&lt;&gt;"),(IF('Final Calculation Sheet'!$T$16="","",'Final Calculation Sheet'!$T$16))&lt;&gt;"",UPPER(TRIM((IF('Final Calculation Sheet'!$T$16="","",'Final Calculation Sheet'!$T$16))&amp;""))=UPPER(TRIM($V$2&amp;"")))))</f>
        <v/>
      </c>
      <c r="W16">
        <f>IF($W$3=FALSE,TRUE,IF(OR(UPPER(TRIM($W$2))="(BLANK)",UPPER(TRIM($W$2))="BLANK",AND($W$2&lt;&gt;"",TRIM($W$2)="")),(IF('Final Calculation Sheet'!$U$16="","",'Final Calculation Sheet'!$U$16))="",IF(OR(UPPER(TRIM($W$2))="(NONBLANK)",UPPER(TRIM($W$2))="NONBLANK",TRIM($W$2)="&lt;&gt;"),(IF('Final Calculation Sheet'!$U$16="","",'Final Calculation Sheet'!$U$16))&lt;&gt;"",UPPER(TRIM((IF('Final Calculation Sheet'!$U$16="","",'Final Calculation Sheet'!$U$16))&amp;""))=UPPER(TRIM($W$2&amp;"")))))</f>
        <v/>
      </c>
      <c r="X16">
        <f>IF($X$3=FALSE,TRUE,IF(OR(UPPER(TRIM($X$2))="(BLANK)",UPPER(TRIM($X$2))="BLANK",AND($X$2&lt;&gt;"",TRIM($X$2)="")),(IF('Final Calculation Sheet'!$V$16="","",'Final Calculation Sheet'!$V$16))="",IF(OR(UPPER(TRIM($X$2))="(NONBLANK)",UPPER(TRIM($X$2))="NONBLANK",TRIM($X$2)="&lt;&gt;"),(IF('Final Calculation Sheet'!$V$16="","",'Final Calculation Sheet'!$V$16))&lt;&gt;"",UPPER(TRIM((IF('Final Calculation Sheet'!$V$16="","",'Final Calculation Sheet'!$V$16))&amp;""))=UPPER(TRIM($X$2&amp;"")))))</f>
        <v/>
      </c>
      <c r="Y16">
        <f>IF($Y$3=FALSE,TRUE,IF(OR(UPPER(TRIM($Y$2))="(BLANK)",UPPER(TRIM($Y$2))="BLANK",AND($Y$2&lt;&gt;"",TRIM($Y$2)="")),(IF('Final Calculation Sheet'!$W$16="","",'Final Calculation Sheet'!$W$16))="",IF(OR(UPPER(TRIM($Y$2))="(NONBLANK)",UPPER(TRIM($Y$2))="NONBLANK",TRIM($Y$2)="&lt;&gt;"),(IF('Final Calculation Sheet'!$W$16="","",'Final Calculation Sheet'!$W$16))&lt;&gt;"",UPPER(TRIM((IF('Final Calculation Sheet'!$W$16="","",'Final Calculation Sheet'!$W$16))&amp;""))=UPPER(TRIM($Y$2&amp;"")))))</f>
        <v/>
      </c>
      <c r="Z16">
        <f>IF($Z$3=FALSE,TRUE,IF(OR(UPPER(TRIM($Z$2))="(BLANK)",UPPER(TRIM($Z$2))="BLANK",AND($Z$2&lt;&gt;"",TRIM($Z$2)="")),(IF('Final Calculation Sheet'!$X$16="","",'Final Calculation Sheet'!$X$16))="",IF(OR(UPPER(TRIM($Z$2))="(NONBLANK)",UPPER(TRIM($Z$2))="NONBLANK",TRIM($Z$2)="&lt;&gt;"),(IF('Final Calculation Sheet'!$X$16="","",'Final Calculation Sheet'!$X$16))&lt;&gt;"",UPPER(TRIM((IF('Final Calculation Sheet'!$X$16="","",'Final Calculation Sheet'!$X$16))&amp;""))=UPPER(TRIM($Z$2&amp;"")))))</f>
        <v/>
      </c>
      <c r="AA16">
        <f>IF($AA$3=FALSE,TRUE,IF(OR(UPPER(TRIM($AA$2))="(BLANK)",UPPER(TRIM($AA$2))="BLANK",AND($AA$2&lt;&gt;"",TRIM($AA$2)="")),(IF('Final Calculation Sheet'!$Y$16="","",'Final Calculation Sheet'!$Y$16))="",IF(OR(UPPER(TRIM($AA$2))="(NONBLANK)",UPPER(TRIM($AA$2))="NONBLANK",TRIM($AA$2)="&lt;&gt;"),(IF('Final Calculation Sheet'!$Y$16="","",'Final Calculation Sheet'!$Y$16))&lt;&gt;"",UPPER(TRIM((IF('Final Calculation Sheet'!$Y$16="","",'Final Calculation Sheet'!$Y$16))&amp;""))=UPPER(TRIM($AA$2&amp;"")))))</f>
        <v/>
      </c>
      <c r="AB16">
        <f>IF($AB$3=FALSE,TRUE,IF(OR(UPPER(TRIM($AB$2))="(BLANK)",UPPER(TRIM($AB$2))="BLANK",AND($AB$2&lt;&gt;"",TRIM($AB$2)="")),(IF('Final Calculation Sheet'!$Z$16="","",'Final Calculation Sheet'!$Z$16))="",IF(OR(UPPER(TRIM($AB$2))="(NONBLANK)",UPPER(TRIM($AB$2))="NONBLANK",TRIM($AB$2)="&lt;&gt;"),(IF('Final Calculation Sheet'!$Z$16="","",'Final Calculation Sheet'!$Z$16))&lt;&gt;"",UPPER(TRIM((IF('Final Calculation Sheet'!$Z$16="","",'Final Calculation Sheet'!$Z$16))&amp;""))=UPPER(TRIM($AB$2&amp;"")))))</f>
        <v/>
      </c>
      <c r="AC16">
        <f>IF($AC$3=FALSE,TRUE,IF(OR(UPPER(TRIM($AC$2))="(BLANK)",UPPER(TRIM($AC$2))="BLANK",AND($AC$2&lt;&gt;"",TRIM($AC$2)="")),(IF('Final Calculation Sheet'!$AA$16="","",'Final Calculation Sheet'!$AA$16))="",IF(OR(UPPER(TRIM($AC$2))="(NONBLANK)",UPPER(TRIM($AC$2))="NONBLANK",TRIM($AC$2)="&lt;&gt;"),(IF('Final Calculation Sheet'!$AA$16="","",'Final Calculation Sheet'!$AA$16))&lt;&gt;"",UPPER(TRIM((IF('Final Calculation Sheet'!$AA$16="","",'Final Calculation Sheet'!$AA$16))&amp;""))=UPPER(TRIM($AC$2&amp;"")))))</f>
        <v/>
      </c>
      <c r="AD16">
        <f>IF($AD$3=FALSE,TRUE,IF(OR(UPPER(TRIM($AD$2))="(BLANK)",UPPER(TRIM($AD$2))="BLANK",AND($AD$2&lt;&gt;"",TRIM($AD$2)="")),(IF('Final Calculation Sheet'!$AB$16="","",'Final Calculation Sheet'!$AB$16))="",IF(OR(UPPER(TRIM($AD$2))="(NONBLANK)",UPPER(TRIM($AD$2))="NONBLANK",TRIM($AD$2)="&lt;&gt;"),(IF('Final Calculation Sheet'!$AB$16="","",'Final Calculation Sheet'!$AB$16))&lt;&gt;"",UPPER(TRIM((IF('Final Calculation Sheet'!$AB$16="","",'Final Calculation Sheet'!$AB$16))&amp;""))=UPPER(TRIM($AD$2&amp;"")))))</f>
        <v/>
      </c>
      <c r="AE16">
        <f>IF($AE$3=FALSE,TRUE,IF(OR(UPPER(TRIM($AE$2))="(BLANK)",UPPER(TRIM($AE$2))="BLANK",AND($AE$2&lt;&gt;"",TRIM($AE$2)="")),(IF('Final Calculation Sheet'!$AC$16="","",'Final Calculation Sheet'!$AC$16))="",IF(OR(UPPER(TRIM($AE$2))="(NONBLANK)",UPPER(TRIM($AE$2))="NONBLANK",TRIM($AE$2)="&lt;&gt;"),(IF('Final Calculation Sheet'!$AC$16="","",'Final Calculation Sheet'!$AC$16))&lt;&gt;"",UPPER(TRIM((IF('Final Calculation Sheet'!$AC$16="","",'Final Calculation Sheet'!$AC$16))&amp;""))=UPPER(TRIM($AE$2&amp;"")))))</f>
        <v/>
      </c>
      <c r="AF16">
        <f>IF($AF$3=FALSE,TRUE,IF(OR(UPPER(TRIM($AF$2))="(BLANK)",UPPER(TRIM($AF$2))="BLANK",AND($AF$2&lt;&gt;"",TRIM($AF$2)="")),(IF('Final Calculation Sheet'!$AD$16="","",'Final Calculation Sheet'!$AD$16))="",IF(OR(UPPER(TRIM($AF$2))="(NONBLANK)",UPPER(TRIM($AF$2))="NONBLANK",TRIM($AF$2)="&lt;&gt;"),(IF('Final Calculation Sheet'!$AD$16="","",'Final Calculation Sheet'!$AD$16))&lt;&gt;"",UPPER(TRIM((IF('Final Calculation Sheet'!$AD$16="","",'Final Calculation Sheet'!$AD$16))&amp;""))=UPPER(TRIM($AF$2&amp;"")))))</f>
        <v/>
      </c>
      <c r="AG16">
        <f>IF($AG$3=FALSE,TRUE,IF(OR(UPPER(TRIM($AG$2))="(BLANK)",UPPER(TRIM($AG$2))="BLANK",AND($AG$2&lt;&gt;"",TRIM($AG$2)="")),(IF('Final Calculation Sheet'!$AE$16="","",'Final Calculation Sheet'!$AE$16))="",IF(OR(UPPER(TRIM($AG$2))="(NONBLANK)",UPPER(TRIM($AG$2))="NONBLANK",TRIM($AG$2)="&lt;&gt;"),(IF('Final Calculation Sheet'!$AE$16="","",'Final Calculation Sheet'!$AE$16))&lt;&gt;"",UPPER(TRIM((IF('Final Calculation Sheet'!$AE$16="","",'Final Calculation Sheet'!$AE$16))&amp;""))=UPPER(TRIM($AG$2&amp;"")))))</f>
        <v/>
      </c>
      <c r="AH16">
        <f>IF($AH$3=FALSE,TRUE,IF(OR(UPPER(TRIM($AH$2))="(BLANK)",UPPER(TRIM($AH$2))="BLANK",AND($AH$2&lt;&gt;"",TRIM($AH$2)="")),(IF('Final Calculation Sheet'!$AF$16="","",'Final Calculation Sheet'!$AF$16))="",IF(OR(UPPER(TRIM($AH$2))="(NONBLANK)",UPPER(TRIM($AH$2))="NONBLANK",TRIM($AH$2)="&lt;&gt;"),(IF('Final Calculation Sheet'!$AF$16="","",'Final Calculation Sheet'!$AF$16))&lt;&gt;"",UPPER(TRIM((IF('Final Calculation Sheet'!$AF$16="","",'Final Calculation Sheet'!$AF$16))&amp;""))=UPPER(TRIM($AH$2&amp;"")))))</f>
        <v/>
      </c>
      <c r="AI16">
        <f>IF($AI$3=FALSE,TRUE,IF(OR(UPPER(TRIM($AI$2))="(BLANK)",UPPER(TRIM($AI$2))="BLANK",AND($AI$2&lt;&gt;"",TRIM($AI$2)="")),(IF('Final Calculation Sheet'!$AG$16="","",'Final Calculation Sheet'!$AG$16))="",IF(OR(UPPER(TRIM($AI$2))="(NONBLANK)",UPPER(TRIM($AI$2))="NONBLANK",TRIM($AI$2)="&lt;&gt;"),(IF('Final Calculation Sheet'!$AG$16="","",'Final Calculation Sheet'!$AG$16))&lt;&gt;"",UPPER(TRIM((IF('Final Calculation Sheet'!$AG$16="","",'Final Calculation Sheet'!$AG$16))&amp;""))=UPPER(TRIM($AI$2&amp;"")))))</f>
        <v/>
      </c>
      <c r="AJ16">
        <f>IF($AJ$3=FALSE,TRUE,IF(OR(UPPER(TRIM($AJ$2))="(BLANK)",UPPER(TRIM($AJ$2))="BLANK",AND($AJ$2&lt;&gt;"",TRIM($AJ$2)="")),(IF('Final Calculation Sheet'!$AD$16="","",IF('Final Calculation Sheet'!$AD$16&lt;=5,"SETTLED","OUTSTANDING")))="",IF(OR(UPPER(TRIM($AJ$2))="(NONBLANK)",UPPER(TRIM($AJ$2))="NONBLANK",TRIM($AJ$2)="&lt;&gt;"),(IF('Final Calculation Sheet'!$AD$16="","",IF('Final Calculation Sheet'!$AD$16&lt;=5,"SETTLED","OUTSTANDING")))&lt;&gt;"",UPPER(TRIM((IF('Final Calculation Sheet'!$AD$16="","",IF('Final Calculation Sheet'!$AD$16&lt;=5,"SETTLED","OUTSTANDING")))&amp;""))=UPPER(TRIM($AJ$2&amp;"")))))</f>
        <v/>
      </c>
      <c r="AL16">
        <f>IF(AND($B$16,$D$16:$AJ$16),IF('Final Calculation Sheet'!$F$16="","",'Final Calculation Sheet'!$F$16),"")</f>
        <v/>
      </c>
      <c r="AM16">
        <f>IF(AL16="","",COUNTIFS(AL$4:AL$40,"&lt;"&amp;AL16,AL$4:AL$40,"&lt;&gt;"&amp;"")+COUNTIF(AL$4:AL16,AL16))</f>
        <v/>
      </c>
      <c r="AN16">
        <f>IF(ROW()-3&gt;COUNTIF(AL$4:AL$40,"&lt;&gt;"&amp;""),"",INDEX(AL$4:AL$40,MATCH(ROW()-3,AM$4:AM$40,0)))</f>
        <v/>
      </c>
      <c r="AO16">
        <f>AO15+IF(AND(AN16&lt;&gt;"",COUNTIF(AN$4:AN16,AN16)=1),1,0)</f>
        <v/>
      </c>
      <c r="AP16">
        <f>IF(ROW()-3&gt;MAX(AO$4:AO$40),"",INDEX(AN$4:AN$40,MATCH(ROW()-3,AO$4:AO$40,0)))</f>
        <v/>
      </c>
      <c r="AQ16">
        <f>IF(AND($B$16:$C$16,$E$16:$AJ$16),IF('Final Calculation Sheet'!$G$16="","",'Final Calculation Sheet'!$G$16),"")</f>
        <v/>
      </c>
      <c r="AR16">
        <f>IF(AQ16="","",COUNTIFS(AQ$4:AQ$40,"&lt;"&amp;AQ16,AQ$4:AQ$40,"&lt;&gt;"&amp;"")+COUNTIF(AQ$4:AQ16,AQ16))</f>
        <v/>
      </c>
      <c r="AS16">
        <f>IF(ROW()-3&gt;COUNTIF(AQ$4:AQ$40,"&lt;&gt;"&amp;""),"",INDEX(AQ$4:AQ$40,MATCH(ROW()-3,AR$4:AR$40,0)))</f>
        <v/>
      </c>
      <c r="AT16">
        <f>AT15+IF(AND(AS16&lt;&gt;"",COUNTIF(AS$4:AS16,AS16)=1),1,0)</f>
        <v/>
      </c>
      <c r="AU16">
        <f>IF(ROW()-3&gt;MAX(AT$4:AT$40),"",INDEX(AS$4:AS$40,MATCH(ROW()-3,AT$4:AT$40,0)))</f>
        <v/>
      </c>
      <c r="AV16">
        <f>IF(AND($B$16:$D$16,$F$16:$AJ$16),IF('Final Calculation Sheet'!$B$16="","",'Final Calculation Sheet'!$B$16),"")</f>
        <v/>
      </c>
      <c r="AW16">
        <f>IF(AV16="","",COUNTIFS(AV$4:AV$40,"&lt;"&amp;AV16,AV$4:AV$40,"&lt;&gt;"&amp;"")+COUNTIF(AV$4:AV16,AV16))</f>
        <v/>
      </c>
      <c r="AX16">
        <f>IF(ROW()-3&gt;COUNTIF(AV$4:AV$40,"&lt;&gt;"&amp;""),"",INDEX(AV$4:AV$40,MATCH(ROW()-3,AW$4:AW$40,0)))</f>
        <v/>
      </c>
      <c r="AY16">
        <f>AY15+IF(AND(AX16&lt;&gt;"",COUNTIF(AX$4:AX16,AX16)=1),1,0)</f>
        <v/>
      </c>
      <c r="AZ16">
        <f>IF(ROW()-3&gt;MAX(AY$4:AY$40),"",INDEX(AX$4:AX$40,MATCH(ROW()-3,AY$4:AY$40,0)))</f>
        <v/>
      </c>
      <c r="BA16">
        <f>IF(AND($B$16:$E$16,$G$16:$AJ$16),IF('Final Calculation Sheet'!$D$16="","",'Final Calculation Sheet'!$D$16),"")</f>
        <v/>
      </c>
      <c r="BB16">
        <f>IF(BA16="","",COUNTIFS(BA$4:BA$40,"&lt;"&amp;BA16,BA$4:BA$40,"&lt;&gt;"&amp;"")+COUNTIF(BA$4:BA16,BA16))</f>
        <v/>
      </c>
      <c r="BC16">
        <f>IF(ROW()-3&gt;COUNTIF(BA$4:BA$40,"&lt;&gt;"&amp;""),"",INDEX(BA$4:BA$40,MATCH(ROW()-3,BB$4:BB$40,0)))</f>
        <v/>
      </c>
      <c r="BD16">
        <f>BD15+IF(AND(BC16&lt;&gt;"",COUNTIF(BC$4:BC16,BC16)=1),1,0)</f>
        <v/>
      </c>
      <c r="BE16">
        <f>IF(ROW()-3&gt;MAX(BD$4:BD$40),"",INDEX(BC$4:BC$40,MATCH(ROW()-3,BD$4:BD$40,0)))</f>
        <v/>
      </c>
      <c r="BF16">
        <f>IF(AND($B$16:$F$16,$H$16:$AJ$16),IF('Final Calculation Sheet'!$A$16="","",'Final Calculation Sheet'!$A$16),"")</f>
        <v/>
      </c>
      <c r="BG16">
        <f>IF(BF16="","",COUNTIFS(BF$4:BF$40,"&lt;"&amp;BF16,BF$4:BF$40,"&lt;&gt;"&amp;"")+COUNTIF(BF$4:BF16,BF16))</f>
        <v/>
      </c>
      <c r="BH16">
        <f>IF(ROW()-3&gt;COUNTIF(BF$4:BF$40,"&lt;&gt;"&amp;""),"",INDEX(BF$4:BF$40,MATCH(ROW()-3,BG$4:BG$40,0)))</f>
        <v/>
      </c>
      <c r="BI16">
        <f>BI15+IF(AND(BH16&lt;&gt;"",COUNTIF(BH$4:BH16,BH16)=1),1,0)</f>
        <v/>
      </c>
      <c r="BJ16">
        <f>IF(ROW()-3&gt;MAX(BI$4:BI$40),"",INDEX(BH$4:BH$40,MATCH(ROW()-3,BI$4:BI$40,0)))</f>
        <v/>
      </c>
      <c r="BK16">
        <f>IF(AND($B$16:$G$16,$I$16:$AJ$16),IF('Final Calculation Sheet'!$E$16="","",'Final Calculation Sheet'!$E$16),"")</f>
        <v/>
      </c>
      <c r="BL16">
        <f>IF(BK16="","",COUNTIFS(BK$4:BK$40,"&lt;"&amp;BK16,BK$4:BK$40,"&lt;&gt;"&amp;"")+COUNTIF(BK$4:BK16,BK16))</f>
        <v/>
      </c>
      <c r="BM16">
        <f>IF(ROW()-3&gt;COUNTIF(BK$4:BK$40,"&lt;&gt;"&amp;""),"",INDEX(BK$4:BK$40,MATCH(ROW()-3,BL$4:BL$40,0)))</f>
        <v/>
      </c>
      <c r="BN16">
        <f>BN15+IF(AND(BM16&lt;&gt;"",COUNTIF(BM$4:BM16,BM16)=1),1,0)</f>
        <v/>
      </c>
      <c r="BO16">
        <f>IF(ROW()-3&gt;MAX(BN$4:BN$40),"",INDEX(BM$4:BM$40,MATCH(ROW()-3,BN$4:BN$40,0)))</f>
        <v/>
      </c>
      <c r="BP16" s="55">
        <f>IF(AND($B$16:$H$16,$J$16:$AJ$16),IF('Final Calculation Sheet'!$C$16="","",'Final Calculation Sheet'!$C$16),"")</f>
        <v/>
      </c>
      <c r="BQ16">
        <f>IF(BP16="","",COUNTIFS(BP$4:BP$40,"&lt;"&amp;BP16,BP$4:BP$40,"&lt;&gt;"&amp;"")+COUNTIF(BP$4:BP16,BP16))</f>
        <v/>
      </c>
      <c r="BR16" s="55">
        <f>IF(ROW()-3&gt;COUNTIF(BP$4:BP$40,"&lt;&gt;"&amp;""),"",INDEX(BP$4:BP$40,MATCH(ROW()-3,BQ$4:BQ$40,0)))</f>
        <v/>
      </c>
      <c r="BS16">
        <f>BS15+IF(AND(BR16&lt;&gt;"",COUNTIF(BR$4:BR16,BR16)=1),1,0)</f>
        <v/>
      </c>
      <c r="BT16" s="55">
        <f>IF(ROW()-3&gt;MAX(BS$4:BS$40),"",INDEX(BR$4:BR$40,MATCH(ROW()-3,BS$4:BS$40,0)))</f>
        <v/>
      </c>
      <c r="BU16" s="55">
        <f>IF(AND($B$16:$I$16,$K$16:$AJ$16),IF('Final Calculation Sheet'!$H$16="","",'Final Calculation Sheet'!$H$16),"")</f>
        <v/>
      </c>
      <c r="BV16">
        <f>IF(BU16="","",COUNTIFS(BU$4:BU$40,"&lt;"&amp;BU16,BU$4:BU$40,"&lt;&gt;"&amp;"")+COUNTIF(BU$4:BU16,BU16))</f>
        <v/>
      </c>
      <c r="BW16" s="55">
        <f>IF(ROW()-3&gt;COUNTIF(BU$4:BU$40,"&lt;&gt;"&amp;""),"",INDEX(BU$4:BU$40,MATCH(ROW()-3,BV$4:BV$40,0)))</f>
        <v/>
      </c>
      <c r="BX16">
        <f>BX15+IF(AND(BW16&lt;&gt;"",COUNTIF(BW$4:BW16,BW16)=1),1,0)</f>
        <v/>
      </c>
      <c r="BY16" s="55">
        <f>IF(ROW()-3&gt;MAX(BX$4:BX$40),"",INDEX(BW$4:BW$40,MATCH(ROW()-3,BX$4:BX$40,0)))</f>
        <v/>
      </c>
      <c r="BZ16" s="55">
        <f>IF(AND($B$16:$J$16,$L$16:$AJ$16),IF('Final Calculation Sheet'!$I$16="","",'Final Calculation Sheet'!$I$16),"")</f>
        <v/>
      </c>
      <c r="CA16">
        <f>IF(BZ16="","",COUNTIFS(BZ$4:BZ$40,"&lt;"&amp;BZ16,BZ$4:BZ$40,"&lt;&gt;"&amp;"")+COUNTIF(BZ$4:BZ16,BZ16))</f>
        <v/>
      </c>
      <c r="CB16" s="55">
        <f>IF(ROW()-3&gt;COUNTIF(BZ$4:BZ$40,"&lt;&gt;"&amp;""),"",INDEX(BZ$4:BZ$40,MATCH(ROW()-3,CA$4:CA$40,0)))</f>
        <v/>
      </c>
      <c r="CC16">
        <f>CC15+IF(AND(CB16&lt;&gt;"",COUNTIF(CB$4:CB16,CB16)=1),1,0)</f>
        <v/>
      </c>
      <c r="CD16" s="55">
        <f>IF(ROW()-3&gt;MAX(CC$4:CC$40),"",INDEX(CB$4:CB$40,MATCH(ROW()-3,CC$4:CC$40,0)))</f>
        <v/>
      </c>
      <c r="CE16" s="55">
        <f>IF(AND($B$16:$K$16,$M$16:$AJ$16),IF('Final Calculation Sheet'!$J$16="","",'Final Calculation Sheet'!$J$16),"")</f>
        <v/>
      </c>
      <c r="CF16">
        <f>IF(CE16="","",COUNTIFS(CE$4:CE$40,"&lt;"&amp;CE16,CE$4:CE$40,"&lt;&gt;"&amp;"")+COUNTIF(CE$4:CE16,CE16))</f>
        <v/>
      </c>
      <c r="CG16" s="55">
        <f>IF(ROW()-3&gt;COUNTIF(CE$4:CE$40,"&lt;&gt;"&amp;""),"",INDEX(CE$4:CE$40,MATCH(ROW()-3,CF$4:CF$40,0)))</f>
        <v/>
      </c>
      <c r="CH16">
        <f>CH15+IF(AND(CG16&lt;&gt;"",COUNTIF(CG$4:CG16,CG16)=1),1,0)</f>
        <v/>
      </c>
      <c r="CI16" s="55">
        <f>IF(ROW()-3&gt;MAX(CH$4:CH$40),"",INDEX(CG$4:CG$40,MATCH(ROW()-3,CH$4:CH$40,0)))</f>
        <v/>
      </c>
      <c r="CJ16" s="55">
        <f>IF(AND($B$16:$L$16,$N$16:$AJ$16),IF('Final Calculation Sheet'!$K$16="","",'Final Calculation Sheet'!$K$16),"")</f>
        <v/>
      </c>
      <c r="CK16">
        <f>IF(CJ16="","",COUNTIFS(CJ$4:CJ$40,"&lt;"&amp;CJ16,CJ$4:CJ$40,"&lt;&gt;"&amp;"")+COUNTIF(CJ$4:CJ16,CJ16))</f>
        <v/>
      </c>
      <c r="CL16" s="55">
        <f>IF(ROW()-3&gt;COUNTIF(CJ$4:CJ$40,"&lt;&gt;"&amp;""),"",INDEX(CJ$4:CJ$40,MATCH(ROW()-3,CK$4:CK$40,0)))</f>
        <v/>
      </c>
      <c r="CM16">
        <f>CM15+IF(AND(CL16&lt;&gt;"",COUNTIF(CL$4:CL16,CL16)=1),1,0)</f>
        <v/>
      </c>
      <c r="CN16" s="55">
        <f>IF(ROW()-3&gt;MAX(CM$4:CM$40),"",INDEX(CL$4:CL$40,MATCH(ROW()-3,CM$4:CM$40,0)))</f>
        <v/>
      </c>
      <c r="CO16" s="55">
        <f>IF(AND($B$16:$M$16,$O$16:$AJ$16),IF('Final Calculation Sheet'!$L$16="","",'Final Calculation Sheet'!$L$16),"")</f>
        <v/>
      </c>
      <c r="CP16">
        <f>IF(CO16="","",COUNTIFS(CO$4:CO$40,"&lt;"&amp;CO16,CO$4:CO$40,"&lt;&gt;"&amp;"")+COUNTIF(CO$4:CO16,CO16))</f>
        <v/>
      </c>
      <c r="CQ16" s="55">
        <f>IF(ROW()-3&gt;COUNTIF(CO$4:CO$40,"&lt;&gt;"&amp;""),"",INDEX(CO$4:CO$40,MATCH(ROW()-3,CP$4:CP$40,0)))</f>
        <v/>
      </c>
      <c r="CR16">
        <f>CR15+IF(AND(CQ16&lt;&gt;"",COUNTIF(CQ$4:CQ16,CQ16)=1),1,0)</f>
        <v/>
      </c>
      <c r="CS16" s="55">
        <f>IF(ROW()-3&gt;MAX(CR$4:CR$40),"",INDEX(CQ$4:CQ$40,MATCH(ROW()-3,CR$4:CR$40,0)))</f>
        <v/>
      </c>
      <c r="CT16" s="55">
        <f>IF(AND($B$16:$N$16,$P$16:$AJ$16),IF('Final Calculation Sheet'!$M$16="","",'Final Calculation Sheet'!$M$16),"")</f>
        <v/>
      </c>
      <c r="CU16">
        <f>IF(CT16="","",COUNTIFS(CT$4:CT$40,"&lt;"&amp;CT16,CT$4:CT$40,"&lt;&gt;"&amp;"")+COUNTIF(CT$4:CT16,CT16))</f>
        <v/>
      </c>
      <c r="CV16" s="55">
        <f>IF(ROW()-3&gt;COUNTIF(CT$4:CT$40,"&lt;&gt;"&amp;""),"",INDEX(CT$4:CT$40,MATCH(ROW()-3,CU$4:CU$40,0)))</f>
        <v/>
      </c>
      <c r="CW16">
        <f>CW15+IF(AND(CV16&lt;&gt;"",COUNTIF(CV$4:CV16,CV16)=1),1,0)</f>
        <v/>
      </c>
      <c r="CX16" s="55">
        <f>IF(ROW()-3&gt;MAX(CW$4:CW$40),"",INDEX(CV$4:CV$40,MATCH(ROW()-3,CW$4:CW$40,0)))</f>
        <v/>
      </c>
      <c r="CY16" s="138">
        <f>IF(AND($B$16:$O$16,$Q$16:$AJ$16),IF('Final Calculation Sheet'!$N$16="","",'Final Calculation Sheet'!$N$16),"")</f>
        <v/>
      </c>
      <c r="CZ16">
        <f>IF(CY16="","",COUNTIFS(CY$4:CY$40,"&lt;"&amp;CY16,CY$4:CY$40,"&lt;&gt;"&amp;"")+COUNTIF(CY$4:CY16,CY16))</f>
        <v/>
      </c>
      <c r="DA16" s="138">
        <f>IF(ROW()-3&gt;COUNTIF(CY$4:CY$40,"&lt;&gt;"&amp;""),"",INDEX(CY$4:CY$40,MATCH(ROW()-3,CZ$4:CZ$40,0)))</f>
        <v/>
      </c>
      <c r="DB16">
        <f>DB15+IF(AND(DA16&lt;&gt;"",COUNTIF(DA$4:DA16,DA16)=1),1,0)</f>
        <v/>
      </c>
      <c r="DC16" s="138">
        <f>IF(ROW()-3&gt;MAX(DB$4:DB$40),"",INDEX(DA$4:DA$40,MATCH(ROW()-3,DB$4:DB$40,0)))</f>
        <v/>
      </c>
      <c r="DD16" s="55">
        <f>IF(AND($B$16:$P$16,$R$16:$AJ$16),IF('Final Calculation Sheet'!$O$16="","",'Final Calculation Sheet'!$O$16),"")</f>
        <v/>
      </c>
      <c r="DE16">
        <f>IF(DD16="","",COUNTIFS(DD$4:DD$40,"&lt;"&amp;DD16,DD$4:DD$40,"&lt;&gt;"&amp;"")+COUNTIF(DD$4:DD16,DD16))</f>
        <v/>
      </c>
      <c r="DF16" s="55">
        <f>IF(ROW()-3&gt;COUNTIF(DD$4:DD$40,"&lt;&gt;"&amp;""),"",INDEX(DD$4:DD$40,MATCH(ROW()-3,DE$4:DE$40,0)))</f>
        <v/>
      </c>
      <c r="DG16">
        <f>DG15+IF(AND(DF16&lt;&gt;"",COUNTIF(DF$4:DF16,DF16)=1),1,0)</f>
        <v/>
      </c>
      <c r="DH16" s="55">
        <f>IF(ROW()-3&gt;MAX(DG$4:DG$40),"",INDEX(DF$4:DF$40,MATCH(ROW()-3,DG$4:DG$40,0)))</f>
        <v/>
      </c>
      <c r="DI16" s="55">
        <f>IF(AND($B$16:$Q$16,$S$16:$AJ$16),IF('Final Calculation Sheet'!$P$16="","",'Final Calculation Sheet'!$P$16),"")</f>
        <v/>
      </c>
      <c r="DJ16">
        <f>IF(DI16="","",COUNTIFS(DI$4:DI$40,"&lt;"&amp;DI16,DI$4:DI$40,"&lt;&gt;"&amp;"")+COUNTIF(DI$4:DI16,DI16))</f>
        <v/>
      </c>
      <c r="DK16" s="55">
        <f>IF(ROW()-3&gt;COUNTIF(DI$4:DI$40,"&lt;&gt;"&amp;""),"",INDEX(DI$4:DI$40,MATCH(ROW()-3,DJ$4:DJ$40,0)))</f>
        <v/>
      </c>
      <c r="DL16">
        <f>DL15+IF(AND(DK16&lt;&gt;"",COUNTIF(DK$4:DK16,DK16)=1),1,0)</f>
        <v/>
      </c>
      <c r="DM16" s="55">
        <f>IF(ROW()-3&gt;MAX(DL$4:DL$40),"",INDEX(DK$4:DK$40,MATCH(ROW()-3,DL$4:DL$40,0)))</f>
        <v/>
      </c>
      <c r="DN16" s="139">
        <f>IF(AND($B$16:$R$16,$T$16:$AJ$16),IF('Final Calculation Sheet'!$Q$16="","",'Final Calculation Sheet'!$Q$16),"")</f>
        <v/>
      </c>
      <c r="DO16">
        <f>IF(DN16="","",COUNTIFS(DN$4:DN$40,"&lt;"&amp;DN16,DN$4:DN$40,"&lt;&gt;"&amp;"")+COUNTIF(DN$4:DN16,DN16))</f>
        <v/>
      </c>
      <c r="DP16" s="139">
        <f>IF(ROW()-3&gt;COUNTIF(DN$4:DN$40,"&lt;&gt;"&amp;""),"",INDEX(DN$4:DN$40,MATCH(ROW()-3,DO$4:DO$40,0)))</f>
        <v/>
      </c>
      <c r="DQ16">
        <f>DQ15+IF(AND(DP16&lt;&gt;"",COUNTIF(DP$4:DP16,DP16)=1),1,0)</f>
        <v/>
      </c>
      <c r="DR16" s="139">
        <f>IF(ROW()-3&gt;MAX(DQ$4:DQ$40),"",INDEX(DP$4:DP$40,MATCH(ROW()-3,DQ$4:DQ$40,0)))</f>
        <v/>
      </c>
      <c r="DS16" s="55">
        <f>IF(AND($B$16:$S$16,$U$16:$AJ$16),IF('Final Calculation Sheet'!$R$16="","",'Final Calculation Sheet'!$R$16),"")</f>
        <v/>
      </c>
      <c r="DT16">
        <f>IF(DS16="","",COUNTIFS(DS$4:DS$40,"&lt;"&amp;DS16,DS$4:DS$40,"&lt;&gt;"&amp;"")+COUNTIF(DS$4:DS16,DS16))</f>
        <v/>
      </c>
      <c r="DU16" s="55">
        <f>IF(ROW()-3&gt;COUNTIF(DS$4:DS$40,"&lt;&gt;"&amp;""),"",INDEX(DS$4:DS$40,MATCH(ROW()-3,DT$4:DT$40,0)))</f>
        <v/>
      </c>
      <c r="DV16">
        <f>DV15+IF(AND(DU16&lt;&gt;"",COUNTIF(DU$4:DU16,DU16)=1),1,0)</f>
        <v/>
      </c>
      <c r="DW16" s="55">
        <f>IF(ROW()-3&gt;MAX(DV$4:DV$40),"",INDEX(DU$4:DU$40,MATCH(ROW()-3,DV$4:DV$40,0)))</f>
        <v/>
      </c>
      <c r="DX16" s="55">
        <f>IF(AND($B$16:$T$16,$V$16:$AJ$16),IF('Final Calculation Sheet'!$S$16="","",'Final Calculation Sheet'!$S$16),"")</f>
        <v/>
      </c>
      <c r="DY16">
        <f>IF(DX16="","",COUNTIFS(DX$4:DX$40,"&lt;"&amp;DX16,DX$4:DX$40,"&lt;&gt;"&amp;"")+COUNTIF(DX$4:DX16,DX16))</f>
        <v/>
      </c>
      <c r="DZ16" s="55">
        <f>IF(ROW()-3&gt;COUNTIF(DX$4:DX$40,"&lt;&gt;"&amp;""),"",INDEX(DX$4:DX$40,MATCH(ROW()-3,DY$4:DY$40,0)))</f>
        <v/>
      </c>
      <c r="EA16">
        <f>EA15+IF(AND(DZ16&lt;&gt;"",COUNTIF(DZ$4:DZ16,DZ16)=1),1,0)</f>
        <v/>
      </c>
      <c r="EB16" s="55">
        <f>IF(ROW()-3&gt;MAX(EA$4:EA$40),"",INDEX(DZ$4:DZ$40,MATCH(ROW()-3,EA$4:EA$40,0)))</f>
        <v/>
      </c>
      <c r="EC16" s="55">
        <f>IF(AND($B$16:$U$16,$W$16:$AJ$16),IF('Final Calculation Sheet'!$T$16="","",'Final Calculation Sheet'!$T$16),"")</f>
        <v/>
      </c>
      <c r="ED16">
        <f>IF(EC16="","",COUNTIFS(EC$4:EC$40,"&lt;"&amp;EC16,EC$4:EC$40,"&lt;&gt;"&amp;"")+COUNTIF(EC$4:EC16,EC16))</f>
        <v/>
      </c>
      <c r="EE16" s="55">
        <f>IF(ROW()-3&gt;COUNTIF(EC$4:EC$40,"&lt;&gt;"&amp;""),"",INDEX(EC$4:EC$40,MATCH(ROW()-3,ED$4:ED$40,0)))</f>
        <v/>
      </c>
      <c r="EF16">
        <f>EF15+IF(AND(EE16&lt;&gt;"",COUNTIF(EE$4:EE16,EE16)=1),1,0)</f>
        <v/>
      </c>
      <c r="EG16" s="55">
        <f>IF(ROW()-3&gt;MAX(EF$4:EF$40),"",INDEX(EE$4:EE$40,MATCH(ROW()-3,EF$4:EF$40,0)))</f>
        <v/>
      </c>
      <c r="EH16" s="140">
        <f>IF(AND($B$16:$V$16,$X$16:$AJ$16),IF('Final Calculation Sheet'!$U$16="","",'Final Calculation Sheet'!$U$16),"")</f>
        <v/>
      </c>
      <c r="EI16">
        <f>IF(EH16="","",COUNTIFS(EH$4:EH$40,"&lt;"&amp;EH16,EH$4:EH$40,"&lt;&gt;"&amp;"")+COUNTIF(EH$4:EH16,EH16))</f>
        <v/>
      </c>
      <c r="EJ16" s="140">
        <f>IF(ROW()-3&gt;COUNTIF(EH$4:EH$40,"&lt;&gt;"&amp;""),"",INDEX(EH$4:EH$40,MATCH(ROW()-3,EI$4:EI$40,0)))</f>
        <v/>
      </c>
      <c r="EK16">
        <f>EK15+IF(AND(EJ16&lt;&gt;"",COUNTIF(EJ$4:EJ16,EJ16)=1),1,0)</f>
        <v/>
      </c>
      <c r="EL16" s="140">
        <f>IF(ROW()-3&gt;MAX(EK$4:EK$40),"",INDEX(EJ$4:EJ$40,MATCH(ROW()-3,EK$4:EK$40,0)))</f>
        <v/>
      </c>
      <c r="EM16">
        <f>IF(AND($B$16:$W$16,$Y$16:$AJ$16),IF('Final Calculation Sheet'!$V$16="","",'Final Calculation Sheet'!$V$16),"")</f>
        <v/>
      </c>
      <c r="EN16">
        <f>IF(EM16="","",COUNTIFS(EM$4:EM$40,"&lt;"&amp;EM16,EM$4:EM$40,"&lt;&gt;"&amp;"")+COUNTIF(EM$4:EM16,EM16))</f>
        <v/>
      </c>
      <c r="EO16">
        <f>IF(ROW()-3&gt;COUNTIF(EM$4:EM$40,"&lt;&gt;"&amp;""),"",INDEX(EM$4:EM$40,MATCH(ROW()-3,EN$4:EN$40,0)))</f>
        <v/>
      </c>
      <c r="EP16">
        <f>EP15+IF(AND(EO16&lt;&gt;"",COUNTIF(EO$4:EO16,EO16)=1),1,0)</f>
        <v/>
      </c>
      <c r="EQ16">
        <f>IF(ROW()-3&gt;MAX(EP$4:EP$40),"",INDEX(EO$4:EO$40,MATCH(ROW()-3,EP$4:EP$40,0)))</f>
        <v/>
      </c>
      <c r="ER16" s="55">
        <f>IF(AND($B$16:$X$16,$Z$16:$AJ$16),IF('Final Calculation Sheet'!$W$16="","",'Final Calculation Sheet'!$W$16),"")</f>
        <v/>
      </c>
      <c r="ES16">
        <f>IF(ER16="","",COUNTIFS(ER$4:ER$40,"&lt;"&amp;ER16,ER$4:ER$40,"&lt;&gt;"&amp;"")+COUNTIF(ER$4:ER16,ER16))</f>
        <v/>
      </c>
      <c r="ET16" s="55">
        <f>IF(ROW()-3&gt;COUNTIF(ER$4:ER$40,"&lt;&gt;"&amp;""),"",INDEX(ER$4:ER$40,MATCH(ROW()-3,ES$4:ES$40,0)))</f>
        <v/>
      </c>
      <c r="EU16">
        <f>EU15+IF(AND(ET16&lt;&gt;"",COUNTIF(ET$4:ET16,ET16)=1),1,0)</f>
        <v/>
      </c>
      <c r="EV16" s="55">
        <f>IF(ROW()-3&gt;MAX(EU$4:EU$40),"",INDEX(ET$4:ET$40,MATCH(ROW()-3,EU$4:EU$40,0)))</f>
        <v/>
      </c>
      <c r="EW16" s="55">
        <f>IF(AND($B$16:$Y$16,$AA$16:$AJ$16),IF('Final Calculation Sheet'!$X$16="","",'Final Calculation Sheet'!$X$16),"")</f>
        <v/>
      </c>
      <c r="EX16">
        <f>IF(EW16="","",COUNTIFS(EW$4:EW$40,"&lt;"&amp;EW16,EW$4:EW$40,"&lt;&gt;"&amp;"")+COUNTIF(EW$4:EW16,EW16))</f>
        <v/>
      </c>
      <c r="EY16" s="55">
        <f>IF(ROW()-3&gt;COUNTIF(EW$4:EW$40,"&lt;&gt;"&amp;""),"",INDEX(EW$4:EW$40,MATCH(ROW()-3,EX$4:EX$40,0)))</f>
        <v/>
      </c>
      <c r="EZ16">
        <f>EZ15+IF(AND(EY16&lt;&gt;"",COUNTIF(EY$4:EY16,EY16)=1),1,0)</f>
        <v/>
      </c>
      <c r="FA16">
        <f>IF(ROW()-3&gt;MAX(EZ$4:EZ$40),"",INDEX(EY$4:EY$40,MATCH(ROW()-3,EZ$4:EZ$40,0)))</f>
        <v/>
      </c>
      <c r="FB16">
        <f>IF(AND($B$16:$Z$16,$AB$16:$AJ$16),IF('Final Calculation Sheet'!$Y$16="","",'Final Calculation Sheet'!$Y$16),"")</f>
        <v/>
      </c>
      <c r="FC16">
        <f>IF(FB16="","",COUNTIFS(FB$4:FB$40,"&lt;"&amp;FB16,FB$4:FB$40,"&lt;&gt;"&amp;"")+COUNTIF(FB$4:FB16,FB16))</f>
        <v/>
      </c>
      <c r="FD16">
        <f>IF(ROW()-3&gt;COUNTIF(FB$4:FB$40,"&lt;&gt;"&amp;""),"",INDEX(FB$4:FB$40,MATCH(ROW()-3,FC$4:FC$40,0)))</f>
        <v/>
      </c>
      <c r="FE16">
        <f>FE15+IF(AND(FD16&lt;&gt;"",COUNTIF(FD$4:FD16,FD16)=1),1,0)</f>
        <v/>
      </c>
      <c r="FF16">
        <f>IF(ROW()-3&gt;MAX(FE$4:FE$40),"",INDEX(FD$4:FD$40,MATCH(ROW()-3,FE$4:FE$40,0)))</f>
        <v/>
      </c>
      <c r="FG16" s="55">
        <f>IF(AND($B$16:$AA$16,$AC$16:$AJ$16),IF('Final Calculation Sheet'!$Z$16="","",'Final Calculation Sheet'!$Z$16),"")</f>
        <v/>
      </c>
      <c r="FH16">
        <f>IF(FG16="","",COUNTIFS(FG$4:FG$40,"&lt;"&amp;FG16,FG$4:FG$40,"&lt;&gt;"&amp;"")+COUNTIF(FG$4:FG16,FG16))</f>
        <v/>
      </c>
      <c r="FI16" s="55">
        <f>IF(ROW()-3&gt;COUNTIF(FG$4:FG$40,"&lt;&gt;"&amp;""),"",INDEX(FG$4:FG$40,MATCH(ROW()-3,FH$4:FH$40,0)))</f>
        <v/>
      </c>
      <c r="FJ16">
        <f>FJ15+IF(AND(FI16&lt;&gt;"",COUNTIF(FI$4:FI16,FI16)=1),1,0)</f>
        <v/>
      </c>
      <c r="FK16" s="55">
        <f>IF(ROW()-3&gt;MAX(FJ$4:FJ$40),"",INDEX(FI$4:FI$40,MATCH(ROW()-3,FJ$4:FJ$40,0)))</f>
        <v/>
      </c>
      <c r="FL16">
        <f>IF(AND($B$16:$AB$16,$AD$16:$AJ$16),IF('Final Calculation Sheet'!$AA$16="","",'Final Calculation Sheet'!$AA$16),"")</f>
        <v/>
      </c>
      <c r="FM16">
        <f>IF(FL16="","",COUNTIFS(FL$4:FL$40,"&lt;"&amp;FL16,FL$4:FL$40,"&lt;&gt;"&amp;"")+COUNTIF(FL$4:FL16,FL16))</f>
        <v/>
      </c>
      <c r="FN16">
        <f>IF(ROW()-3&gt;COUNTIF(FL$4:FL$40,"&lt;&gt;"&amp;""),"",INDEX(FL$4:FL$40,MATCH(ROW()-3,FM$4:FM$40,0)))</f>
        <v/>
      </c>
      <c r="FO16">
        <f>FO15+IF(AND(FN16&lt;&gt;"",COUNTIF(FN$4:FN16,FN16)=1),1,0)</f>
        <v/>
      </c>
      <c r="FP16">
        <f>IF(ROW()-3&gt;MAX(FO$4:FO$40),"",INDEX(FN$4:FN$40,MATCH(ROW()-3,FO$4:FO$40,0)))</f>
        <v/>
      </c>
      <c r="FQ16">
        <f>IF(AND($B$16:$AC$16,$AE$16:$AJ$16),IF('Final Calculation Sheet'!$AB$16="","",'Final Calculation Sheet'!$AB$16),"")</f>
        <v/>
      </c>
      <c r="FR16">
        <f>IF(FQ16="","",COUNTIFS(FQ$4:FQ$40,"&lt;"&amp;FQ16,FQ$4:FQ$40,"&lt;&gt;"&amp;"")+COUNTIF(FQ$4:FQ16,FQ16))</f>
        <v/>
      </c>
      <c r="FS16">
        <f>IF(ROW()-3&gt;COUNTIF(FQ$4:FQ$40,"&lt;&gt;"&amp;""),"",INDEX(FQ$4:FQ$40,MATCH(ROW()-3,FR$4:FR$40,0)))</f>
        <v/>
      </c>
      <c r="FT16">
        <f>FT15+IF(AND(FS16&lt;&gt;"",COUNTIF(FS$4:FS16,FS16)=1),1,0)</f>
        <v/>
      </c>
      <c r="FU16">
        <f>IF(ROW()-3&gt;MAX(FT$4:FT$40),"",INDEX(FS$4:FS$40,MATCH(ROW()-3,FT$4:FT$40,0)))</f>
        <v/>
      </c>
      <c r="FV16" s="55">
        <f>IF(AND($B$16:$AD$16,$AF$16:$AJ$16),IF('Final Calculation Sheet'!$AC$16="","",'Final Calculation Sheet'!$AC$16),"")</f>
        <v/>
      </c>
      <c r="FW16">
        <f>IF(FV16="","",COUNTIFS(FV$4:FV$40,"&lt;"&amp;FV16,FV$4:FV$40,"&lt;&gt;"&amp;"")+COUNTIF(FV$4:FV16,FV16))</f>
        <v/>
      </c>
      <c r="FX16" s="55">
        <f>IF(ROW()-3&gt;COUNTIF(FV$4:FV$40,"&lt;&gt;"&amp;""),"",INDEX(FV$4:FV$40,MATCH(ROW()-3,FW$4:FW$40,0)))</f>
        <v/>
      </c>
      <c r="FY16">
        <f>FY15+IF(AND(FX16&lt;&gt;"",COUNTIF(FX$4:FX16,FX16)=1),1,0)</f>
        <v/>
      </c>
      <c r="FZ16" s="55">
        <f>IF(ROW()-3&gt;MAX(FY$4:FY$40),"",INDEX(FX$4:FX$40,MATCH(ROW()-3,FY$4:FY$40,0)))</f>
        <v/>
      </c>
      <c r="GA16" s="55">
        <f>IF(AND($B$16:$AE$16,$AG$16:$AJ$16),IF('Final Calculation Sheet'!$AD$16="","",'Final Calculation Sheet'!$AD$16),"")</f>
        <v/>
      </c>
      <c r="GB16">
        <f>IF(GA16="","",COUNTIFS(GA$4:GA$40,"&lt;"&amp;GA16,GA$4:GA$40,"&lt;&gt;"&amp;"")+COUNTIF(GA$4:GA16,GA16))</f>
        <v/>
      </c>
      <c r="GC16" s="55">
        <f>IF(ROW()-3&gt;COUNTIF(GA$4:GA$40,"&lt;&gt;"&amp;""),"",INDEX(GA$4:GA$40,MATCH(ROW()-3,GB$4:GB$40,0)))</f>
        <v/>
      </c>
      <c r="GD16">
        <f>GD15+IF(AND(GC16&lt;&gt;"",COUNTIF(GC$4:GC16,GC16)=1),1,0)</f>
        <v/>
      </c>
      <c r="GE16" s="55">
        <f>IF(ROW()-3&gt;MAX(GD$4:GD$40),"",INDEX(GC$4:GC$40,MATCH(ROW()-3,GD$4:GD$40,0)))</f>
        <v/>
      </c>
      <c r="GF16">
        <f>IF(AND($B$16:$AF$16,$AH$16:$AJ$16),IF('Final Calculation Sheet'!$AE$16="","",'Final Calculation Sheet'!$AE$16),"")</f>
        <v/>
      </c>
      <c r="GG16">
        <f>IF(GF16="","",COUNTIFS(GF$4:GF$40,"&lt;"&amp;GF16,GF$4:GF$40,"&lt;&gt;"&amp;"")+COUNTIF(GF$4:GF16,GF16))</f>
        <v/>
      </c>
      <c r="GH16">
        <f>IF(ROW()-3&gt;COUNTIF(GF$4:GF$40,"&lt;&gt;"&amp;""),"",INDEX(GF$4:GF$40,MATCH(ROW()-3,GG$4:GG$40,0)))</f>
        <v/>
      </c>
      <c r="GI16">
        <f>GI15+IF(AND(GH16&lt;&gt;"",COUNTIF(GH$4:GH16,GH16)=1),1,0)</f>
        <v/>
      </c>
      <c r="GJ16">
        <f>IF(ROW()-3&gt;MAX(GI$4:GI$40),"",INDEX(GH$4:GH$40,MATCH(ROW()-3,GI$4:GI$40,0)))</f>
        <v/>
      </c>
      <c r="GK16" s="141">
        <f>IF(AND($B$16:$AG$16,$AI$16:$AJ$16),IF('Final Calculation Sheet'!$AF$16="","",'Final Calculation Sheet'!$AF$16),"")</f>
        <v/>
      </c>
      <c r="GL16">
        <f>IF(GK16="","",COUNTIFS(GK$4:GK$40,"&lt;"&amp;GK16,GK$4:GK$40,"&lt;&gt;"&amp;"")+COUNTIF(GK$4:GK16,GK16))</f>
        <v/>
      </c>
      <c r="GM16" s="141">
        <f>IF(ROW()-3&gt;COUNTIF(GK$4:GK$40,"&lt;&gt;"&amp;""),"",INDEX(GK$4:GK$40,MATCH(ROW()-3,GL$4:GL$40,0)))</f>
        <v/>
      </c>
      <c r="GN16">
        <f>GN15+IF(AND(GM16&lt;&gt;"",COUNTIF(GM$4:GM16,GM16)=1),1,0)</f>
        <v/>
      </c>
      <c r="GO16">
        <f>IF(ROW()-3&gt;MAX(GN$4:GN$40),"",INDEX(GM$4:GM$40,MATCH(ROW()-3,GN$4:GN$40,0)))</f>
        <v/>
      </c>
      <c r="GP16">
        <f>IF(AND($B$16:$AH$16,$AJ$16:$AJ$16),IF('Final Calculation Sheet'!$AG$16="","",'Final Calculation Sheet'!$AG$16),"")</f>
        <v/>
      </c>
      <c r="GQ16">
        <f>IF(GP16="","",COUNTIFS(GP$4:GP$40,"&lt;"&amp;GP16,GP$4:GP$40,"&lt;&gt;"&amp;"")+COUNTIF(GP$4:GP16,GP16))</f>
        <v/>
      </c>
      <c r="GR16">
        <f>IF(ROW()-3&gt;COUNTIF(GP$4:GP$40,"&lt;&gt;"&amp;""),"",INDEX(GP$4:GP$40,MATCH(ROW()-3,GQ$4:GQ$40,0)))</f>
        <v/>
      </c>
      <c r="GS16">
        <f>GS15+IF(AND(GR16&lt;&gt;"",COUNTIF(GR$4:GR16,GR16)=1),1,0)</f>
        <v/>
      </c>
      <c r="GT16">
        <f>IF(ROW()-3&gt;MAX(GS$4:GS$40),"",INDEX(GR$4:GR$40,MATCH(ROW()-3,GS$4:GS$40,0)))</f>
        <v/>
      </c>
    </row>
    <row r="17">
      <c r="A17" t="inlineStr">
        <is>
          <t>Final row 17</t>
        </is>
      </c>
      <c r="B17" t="b">
        <v>1</v>
      </c>
      <c r="C17">
        <f>IF($C$3=FALSE,TRUE,IF(OR(UPPER(TRIM($C$2))="(BLANK)",UPPER(TRIM($C$2))="BLANK",AND($C$2&lt;&gt;"",TRIM($C$2)="")),(IF('Final Calculation Sheet'!$F$17="","",'Final Calculation Sheet'!$F$17))="",IF(OR(UPPER(TRIM($C$2))="(NONBLANK)",UPPER(TRIM($C$2))="NONBLANK",TRIM($C$2)="&lt;&gt;"),(IF('Final Calculation Sheet'!$F$17="","",'Final Calculation Sheet'!$F$17))&lt;&gt;"",UPPER(TRIM((IF('Final Calculation Sheet'!$F$17="","",'Final Calculation Sheet'!$F$17))&amp;""))=UPPER(TRIM($C$2&amp;"")))))</f>
        <v/>
      </c>
      <c r="D17">
        <f>IF($D$3=FALSE,TRUE,IF(OR(UPPER(TRIM($D$2))="(BLANK)",UPPER(TRIM($D$2))="BLANK",AND($D$2&lt;&gt;"",TRIM($D$2)="")),(IF('Final Calculation Sheet'!$G$17="","",'Final Calculation Sheet'!$G$17))="",IF(OR(UPPER(TRIM($D$2))="(NONBLANK)",UPPER(TRIM($D$2))="NONBLANK",TRIM($D$2)="&lt;&gt;"),(IF('Final Calculation Sheet'!$G$17="","",'Final Calculation Sheet'!$G$17))&lt;&gt;"",UPPER(TRIM((IF('Final Calculation Sheet'!$G$17="","",'Final Calculation Sheet'!$G$17))&amp;""))=UPPER(TRIM($D$2&amp;"")))))</f>
        <v/>
      </c>
      <c r="E17">
        <f>IF($E$3=FALSE,TRUE,IF(OR(UPPER(TRIM($E$2))="(BLANK)",UPPER(TRIM($E$2))="BLANK",AND($E$2&lt;&gt;"",TRIM($E$2)="")),(IF('Final Calculation Sheet'!$B$17="","",'Final Calculation Sheet'!$B$17))="",IF(OR(UPPER(TRIM($E$2))="(NONBLANK)",UPPER(TRIM($E$2))="NONBLANK",TRIM($E$2)="&lt;&gt;"),(IF('Final Calculation Sheet'!$B$17="","",'Final Calculation Sheet'!$B$17))&lt;&gt;"",UPPER(TRIM((IF('Final Calculation Sheet'!$B$17="","",'Final Calculation Sheet'!$B$17))&amp;""))=UPPER(TRIM($E$2&amp;"")))))</f>
        <v/>
      </c>
      <c r="F17">
        <f>IF($F$3=FALSE,TRUE,IF(OR(UPPER(TRIM($F$2))="(BLANK)",UPPER(TRIM($F$2))="BLANK",AND($F$2&lt;&gt;"",TRIM($F$2)="")),(IF('Final Calculation Sheet'!$D$17="","",'Final Calculation Sheet'!$D$17))="",IF(OR(UPPER(TRIM($F$2))="(NONBLANK)",UPPER(TRIM($F$2))="NONBLANK",TRIM($F$2)="&lt;&gt;"),(IF('Final Calculation Sheet'!$D$17="","",'Final Calculation Sheet'!$D$17))&lt;&gt;"",UPPER(TRIM((IF('Final Calculation Sheet'!$D$17="","",'Final Calculation Sheet'!$D$17))&amp;""))=UPPER(TRIM($F$2&amp;"")))))</f>
        <v/>
      </c>
      <c r="G17">
        <f>IF($G$3=FALSE,TRUE,IF(OR(UPPER(TRIM($G$2))="(BLANK)",UPPER(TRIM($G$2))="BLANK",AND($G$2&lt;&gt;"",TRIM($G$2)="")),(IF('Final Calculation Sheet'!$A$17="","",'Final Calculation Sheet'!$A$17))="",IF(OR(UPPER(TRIM($G$2))="(NONBLANK)",UPPER(TRIM($G$2))="NONBLANK",TRIM($G$2)="&lt;&gt;"),(IF('Final Calculation Sheet'!$A$17="","",'Final Calculation Sheet'!$A$17))&lt;&gt;"",UPPER(TRIM((IF('Final Calculation Sheet'!$A$17="","",'Final Calculation Sheet'!$A$17))&amp;""))=UPPER(TRIM($G$2&amp;"")))))</f>
        <v/>
      </c>
      <c r="H17">
        <f>IF($H$3=FALSE,TRUE,IF(OR(UPPER(TRIM($H$2))="(BLANK)",UPPER(TRIM($H$2))="BLANK",AND($H$2&lt;&gt;"",TRIM($H$2)="")),(IF('Final Calculation Sheet'!$E$17="","",'Final Calculation Sheet'!$E$17))="",IF(OR(UPPER(TRIM($H$2))="(NONBLANK)",UPPER(TRIM($H$2))="NONBLANK",TRIM($H$2)="&lt;&gt;"),(IF('Final Calculation Sheet'!$E$17="","",'Final Calculation Sheet'!$E$17))&lt;&gt;"",UPPER(TRIM((IF('Final Calculation Sheet'!$E$17="","",'Final Calculation Sheet'!$E$17))&amp;""))=UPPER(TRIM($H$2&amp;"")))))</f>
        <v/>
      </c>
      <c r="I17">
        <f>IF($I$3=FALSE,TRUE,IF(OR(UPPER(TRIM($I$2))="(BLANK)",UPPER(TRIM($I$2))="BLANK",AND($I$2&lt;&gt;"",TRIM($I$2)="")),(IF('Final Calculation Sheet'!$C$17="","",'Final Calculation Sheet'!$C$17))="",IF(OR(UPPER(TRIM($I$2))="(NONBLANK)",UPPER(TRIM($I$2))="NONBLANK",TRIM($I$2)="&lt;&gt;"),(IF('Final Calculation Sheet'!$C$17="","",'Final Calculation Sheet'!$C$17))&lt;&gt;"",UPPER(TRIM((IF('Final Calculation Sheet'!$C$17="","",'Final Calculation Sheet'!$C$17))&amp;""))=UPPER(TRIM($I$2&amp;"")))))</f>
        <v/>
      </c>
      <c r="J17">
        <f>IF($J$3=FALSE,TRUE,IF(OR(UPPER(TRIM($J$2))="(BLANK)",UPPER(TRIM($J$2))="BLANK",AND($J$2&lt;&gt;"",TRIM($J$2)="")),(IF('Final Calculation Sheet'!$H$17="","",'Final Calculation Sheet'!$H$17))="",IF(OR(UPPER(TRIM($J$2))="(NONBLANK)",UPPER(TRIM($J$2))="NONBLANK",TRIM($J$2)="&lt;&gt;"),(IF('Final Calculation Sheet'!$H$17="","",'Final Calculation Sheet'!$H$17))&lt;&gt;"",UPPER(TRIM((IF('Final Calculation Sheet'!$H$17="","",'Final Calculation Sheet'!$H$17))&amp;""))=UPPER(TRIM($J$2&amp;"")))))</f>
        <v/>
      </c>
      <c r="K17">
        <f>IF($K$3=FALSE,TRUE,IF(OR(UPPER(TRIM($K$2))="(BLANK)",UPPER(TRIM($K$2))="BLANK",AND($K$2&lt;&gt;"",TRIM($K$2)="")),(IF('Final Calculation Sheet'!$I$17="","",'Final Calculation Sheet'!$I$17))="",IF(OR(UPPER(TRIM($K$2))="(NONBLANK)",UPPER(TRIM($K$2))="NONBLANK",TRIM($K$2)="&lt;&gt;"),(IF('Final Calculation Sheet'!$I$17="","",'Final Calculation Sheet'!$I$17))&lt;&gt;"",UPPER(TRIM((IF('Final Calculation Sheet'!$I$17="","",'Final Calculation Sheet'!$I$17))&amp;""))=UPPER(TRIM($K$2&amp;"")))))</f>
        <v/>
      </c>
      <c r="L17">
        <f>IF($L$3=FALSE,TRUE,IF(OR(UPPER(TRIM($L$2))="(BLANK)",UPPER(TRIM($L$2))="BLANK",AND($L$2&lt;&gt;"",TRIM($L$2)="")),(IF('Final Calculation Sheet'!$J$17="","",'Final Calculation Sheet'!$J$17))="",IF(OR(UPPER(TRIM($L$2))="(NONBLANK)",UPPER(TRIM($L$2))="NONBLANK",TRIM($L$2)="&lt;&gt;"),(IF('Final Calculation Sheet'!$J$17="","",'Final Calculation Sheet'!$J$17))&lt;&gt;"",UPPER(TRIM((IF('Final Calculation Sheet'!$J$17="","",'Final Calculation Sheet'!$J$17))&amp;""))=UPPER(TRIM($L$2&amp;"")))))</f>
        <v/>
      </c>
      <c r="M17">
        <f>IF($M$3=FALSE,TRUE,IF(OR(UPPER(TRIM($M$2))="(BLANK)",UPPER(TRIM($M$2))="BLANK",AND($M$2&lt;&gt;"",TRIM($M$2)="")),(IF('Final Calculation Sheet'!$K$17="","",'Final Calculation Sheet'!$K$17))="",IF(OR(UPPER(TRIM($M$2))="(NONBLANK)",UPPER(TRIM($M$2))="NONBLANK",TRIM($M$2)="&lt;&gt;"),(IF('Final Calculation Sheet'!$K$17="","",'Final Calculation Sheet'!$K$17))&lt;&gt;"",UPPER(TRIM((IF('Final Calculation Sheet'!$K$17="","",'Final Calculation Sheet'!$K$17))&amp;""))=UPPER(TRIM($M$2&amp;"")))))</f>
        <v/>
      </c>
      <c r="N17">
        <f>IF($N$3=FALSE,TRUE,IF(OR(UPPER(TRIM($N$2))="(BLANK)",UPPER(TRIM($N$2))="BLANK",AND($N$2&lt;&gt;"",TRIM($N$2)="")),(IF('Final Calculation Sheet'!$L$17="","",'Final Calculation Sheet'!$L$17))="",IF(OR(UPPER(TRIM($N$2))="(NONBLANK)",UPPER(TRIM($N$2))="NONBLANK",TRIM($N$2)="&lt;&gt;"),(IF('Final Calculation Sheet'!$L$17="","",'Final Calculation Sheet'!$L$17))&lt;&gt;"",UPPER(TRIM((IF('Final Calculation Sheet'!$L$17="","",'Final Calculation Sheet'!$L$17))&amp;""))=UPPER(TRIM($N$2&amp;"")))))</f>
        <v/>
      </c>
      <c r="O17">
        <f>IF($O$3=FALSE,TRUE,IF(OR(UPPER(TRIM($O$2))="(BLANK)",UPPER(TRIM($O$2))="BLANK",AND($O$2&lt;&gt;"",TRIM($O$2)="")),(IF('Final Calculation Sheet'!$M$17="","",'Final Calculation Sheet'!$M$17))="",IF(OR(UPPER(TRIM($O$2))="(NONBLANK)",UPPER(TRIM($O$2))="NONBLANK",TRIM($O$2)="&lt;&gt;"),(IF('Final Calculation Sheet'!$M$17="","",'Final Calculation Sheet'!$M$17))&lt;&gt;"",UPPER(TRIM((IF('Final Calculation Sheet'!$M$17="","",'Final Calculation Sheet'!$M$17))&amp;""))=UPPER(TRIM($O$2&amp;"")))))</f>
        <v/>
      </c>
      <c r="P17">
        <f>IF($P$3=FALSE,TRUE,IF(OR(UPPER(TRIM($P$2))="(BLANK)",UPPER(TRIM($P$2))="BLANK",AND($P$2&lt;&gt;"",TRIM($P$2)="")),(IF('Final Calculation Sheet'!$N$17="","",'Final Calculation Sheet'!$N$17))="",IF(OR(UPPER(TRIM($P$2))="(NONBLANK)",UPPER(TRIM($P$2))="NONBLANK",TRIM($P$2)="&lt;&gt;"),(IF('Final Calculation Sheet'!$N$17="","",'Final Calculation Sheet'!$N$17))&lt;&gt;"",UPPER(TRIM((IF('Final Calculation Sheet'!$N$17="","",'Final Calculation Sheet'!$N$17))&amp;""))=UPPER(TRIM($P$2&amp;"")))))</f>
        <v/>
      </c>
      <c r="Q17">
        <f>IF($Q$3=FALSE,TRUE,IF(OR(UPPER(TRIM($Q$2))="(BLANK)",UPPER(TRIM($Q$2))="BLANK",AND($Q$2&lt;&gt;"",TRIM($Q$2)="")),(IF('Final Calculation Sheet'!$O$17="","",'Final Calculation Sheet'!$O$17))="",IF(OR(UPPER(TRIM($Q$2))="(NONBLANK)",UPPER(TRIM($Q$2))="NONBLANK",TRIM($Q$2)="&lt;&gt;"),(IF('Final Calculation Sheet'!$O$17="","",'Final Calculation Sheet'!$O$17))&lt;&gt;"",UPPER(TRIM((IF('Final Calculation Sheet'!$O$17="","",'Final Calculation Sheet'!$O$17))&amp;""))=UPPER(TRIM($Q$2&amp;"")))))</f>
        <v/>
      </c>
      <c r="R17">
        <f>IF($R$3=FALSE,TRUE,IF(OR(UPPER(TRIM($R$2))="(BLANK)",UPPER(TRIM($R$2))="BLANK",AND($R$2&lt;&gt;"",TRIM($R$2)="")),(IF('Final Calculation Sheet'!$P$17="","",'Final Calculation Sheet'!$P$17))="",IF(OR(UPPER(TRIM($R$2))="(NONBLANK)",UPPER(TRIM($R$2))="NONBLANK",TRIM($R$2)="&lt;&gt;"),(IF('Final Calculation Sheet'!$P$17="","",'Final Calculation Sheet'!$P$17))&lt;&gt;"",UPPER(TRIM((IF('Final Calculation Sheet'!$P$17="","",'Final Calculation Sheet'!$P$17))&amp;""))=UPPER(TRIM($R$2&amp;"")))))</f>
        <v/>
      </c>
      <c r="S17">
        <f>IF($S$3=FALSE,TRUE,IF(OR(UPPER(TRIM($S$2))="(BLANK)",UPPER(TRIM($S$2))="BLANK",AND($S$2&lt;&gt;"",TRIM($S$2)="")),(IF('Final Calculation Sheet'!$Q$17="","",'Final Calculation Sheet'!$Q$17))="",IF(OR(UPPER(TRIM($S$2))="(NONBLANK)",UPPER(TRIM($S$2))="NONBLANK",TRIM($S$2)="&lt;&gt;"),(IF('Final Calculation Sheet'!$Q$17="","",'Final Calculation Sheet'!$Q$17))&lt;&gt;"",UPPER(TRIM((IF('Final Calculation Sheet'!$Q$17="","",'Final Calculation Sheet'!$Q$17))&amp;""))=UPPER(TRIM($S$2&amp;"")))))</f>
        <v/>
      </c>
      <c r="T17">
        <f>IF($T$3=FALSE,TRUE,IF(OR(UPPER(TRIM($T$2))="(BLANK)",UPPER(TRIM($T$2))="BLANK",AND($T$2&lt;&gt;"",TRIM($T$2)="")),(IF('Final Calculation Sheet'!$R$17="","",'Final Calculation Sheet'!$R$17))="",IF(OR(UPPER(TRIM($T$2))="(NONBLANK)",UPPER(TRIM($T$2))="NONBLANK",TRIM($T$2)="&lt;&gt;"),(IF('Final Calculation Sheet'!$R$17="","",'Final Calculation Sheet'!$R$17))&lt;&gt;"",UPPER(TRIM((IF('Final Calculation Sheet'!$R$17="","",'Final Calculation Sheet'!$R$17))&amp;""))=UPPER(TRIM($T$2&amp;"")))))</f>
        <v/>
      </c>
      <c r="U17">
        <f>IF($U$3=FALSE,TRUE,IF(OR(UPPER(TRIM($U$2))="(BLANK)",UPPER(TRIM($U$2))="BLANK",AND($U$2&lt;&gt;"",TRIM($U$2)="")),(IF('Final Calculation Sheet'!$S$17="","",'Final Calculation Sheet'!$S$17))="",IF(OR(UPPER(TRIM($U$2))="(NONBLANK)",UPPER(TRIM($U$2))="NONBLANK",TRIM($U$2)="&lt;&gt;"),(IF('Final Calculation Sheet'!$S$17="","",'Final Calculation Sheet'!$S$17))&lt;&gt;"",UPPER(TRIM((IF('Final Calculation Sheet'!$S$17="","",'Final Calculation Sheet'!$S$17))&amp;""))=UPPER(TRIM($U$2&amp;"")))))</f>
        <v/>
      </c>
      <c r="V17">
        <f>IF($V$3=FALSE,TRUE,IF(OR(UPPER(TRIM($V$2))="(BLANK)",UPPER(TRIM($V$2))="BLANK",AND($V$2&lt;&gt;"",TRIM($V$2)="")),(IF('Final Calculation Sheet'!$T$17="","",'Final Calculation Sheet'!$T$17))="",IF(OR(UPPER(TRIM($V$2))="(NONBLANK)",UPPER(TRIM($V$2))="NONBLANK",TRIM($V$2)="&lt;&gt;"),(IF('Final Calculation Sheet'!$T$17="","",'Final Calculation Sheet'!$T$17))&lt;&gt;"",UPPER(TRIM((IF('Final Calculation Sheet'!$T$17="","",'Final Calculation Sheet'!$T$17))&amp;""))=UPPER(TRIM($V$2&amp;"")))))</f>
        <v/>
      </c>
      <c r="W17">
        <f>IF($W$3=FALSE,TRUE,IF(OR(UPPER(TRIM($W$2))="(BLANK)",UPPER(TRIM($W$2))="BLANK",AND($W$2&lt;&gt;"",TRIM($W$2)="")),(IF('Final Calculation Sheet'!$U$17="","",'Final Calculation Sheet'!$U$17))="",IF(OR(UPPER(TRIM($W$2))="(NONBLANK)",UPPER(TRIM($W$2))="NONBLANK",TRIM($W$2)="&lt;&gt;"),(IF('Final Calculation Sheet'!$U$17="","",'Final Calculation Sheet'!$U$17))&lt;&gt;"",UPPER(TRIM((IF('Final Calculation Sheet'!$U$17="","",'Final Calculation Sheet'!$U$17))&amp;""))=UPPER(TRIM($W$2&amp;"")))))</f>
        <v/>
      </c>
      <c r="X17">
        <f>IF($X$3=FALSE,TRUE,IF(OR(UPPER(TRIM($X$2))="(BLANK)",UPPER(TRIM($X$2))="BLANK",AND($X$2&lt;&gt;"",TRIM($X$2)="")),(IF('Final Calculation Sheet'!$V$17="","",'Final Calculation Sheet'!$V$17))="",IF(OR(UPPER(TRIM($X$2))="(NONBLANK)",UPPER(TRIM($X$2))="NONBLANK",TRIM($X$2)="&lt;&gt;"),(IF('Final Calculation Sheet'!$V$17="","",'Final Calculation Sheet'!$V$17))&lt;&gt;"",UPPER(TRIM((IF('Final Calculation Sheet'!$V$17="","",'Final Calculation Sheet'!$V$17))&amp;""))=UPPER(TRIM($X$2&amp;"")))))</f>
        <v/>
      </c>
      <c r="Y17">
        <f>IF($Y$3=FALSE,TRUE,IF(OR(UPPER(TRIM($Y$2))="(BLANK)",UPPER(TRIM($Y$2))="BLANK",AND($Y$2&lt;&gt;"",TRIM($Y$2)="")),(IF('Final Calculation Sheet'!$W$17="","",'Final Calculation Sheet'!$W$17))="",IF(OR(UPPER(TRIM($Y$2))="(NONBLANK)",UPPER(TRIM($Y$2))="NONBLANK",TRIM($Y$2)="&lt;&gt;"),(IF('Final Calculation Sheet'!$W$17="","",'Final Calculation Sheet'!$W$17))&lt;&gt;"",UPPER(TRIM((IF('Final Calculation Sheet'!$W$17="","",'Final Calculation Sheet'!$W$17))&amp;""))=UPPER(TRIM($Y$2&amp;"")))))</f>
        <v/>
      </c>
      <c r="Z17">
        <f>IF($Z$3=FALSE,TRUE,IF(OR(UPPER(TRIM($Z$2))="(BLANK)",UPPER(TRIM($Z$2))="BLANK",AND($Z$2&lt;&gt;"",TRIM($Z$2)="")),(IF('Final Calculation Sheet'!$X$17="","",'Final Calculation Sheet'!$X$17))="",IF(OR(UPPER(TRIM($Z$2))="(NONBLANK)",UPPER(TRIM($Z$2))="NONBLANK",TRIM($Z$2)="&lt;&gt;"),(IF('Final Calculation Sheet'!$X$17="","",'Final Calculation Sheet'!$X$17))&lt;&gt;"",UPPER(TRIM((IF('Final Calculation Sheet'!$X$17="","",'Final Calculation Sheet'!$X$17))&amp;""))=UPPER(TRIM($Z$2&amp;"")))))</f>
        <v/>
      </c>
      <c r="AA17">
        <f>IF($AA$3=FALSE,TRUE,IF(OR(UPPER(TRIM($AA$2))="(BLANK)",UPPER(TRIM($AA$2))="BLANK",AND($AA$2&lt;&gt;"",TRIM($AA$2)="")),(IF('Final Calculation Sheet'!$Y$17="","",'Final Calculation Sheet'!$Y$17))="",IF(OR(UPPER(TRIM($AA$2))="(NONBLANK)",UPPER(TRIM($AA$2))="NONBLANK",TRIM($AA$2)="&lt;&gt;"),(IF('Final Calculation Sheet'!$Y$17="","",'Final Calculation Sheet'!$Y$17))&lt;&gt;"",UPPER(TRIM((IF('Final Calculation Sheet'!$Y$17="","",'Final Calculation Sheet'!$Y$17))&amp;""))=UPPER(TRIM($AA$2&amp;"")))))</f>
        <v/>
      </c>
      <c r="AB17">
        <f>IF($AB$3=FALSE,TRUE,IF(OR(UPPER(TRIM($AB$2))="(BLANK)",UPPER(TRIM($AB$2))="BLANK",AND($AB$2&lt;&gt;"",TRIM($AB$2)="")),(IF('Final Calculation Sheet'!$Z$17="","",'Final Calculation Sheet'!$Z$17))="",IF(OR(UPPER(TRIM($AB$2))="(NONBLANK)",UPPER(TRIM($AB$2))="NONBLANK",TRIM($AB$2)="&lt;&gt;"),(IF('Final Calculation Sheet'!$Z$17="","",'Final Calculation Sheet'!$Z$17))&lt;&gt;"",UPPER(TRIM((IF('Final Calculation Sheet'!$Z$17="","",'Final Calculation Sheet'!$Z$17))&amp;""))=UPPER(TRIM($AB$2&amp;"")))))</f>
        <v/>
      </c>
      <c r="AC17">
        <f>IF($AC$3=FALSE,TRUE,IF(OR(UPPER(TRIM($AC$2))="(BLANK)",UPPER(TRIM($AC$2))="BLANK",AND($AC$2&lt;&gt;"",TRIM($AC$2)="")),(IF('Final Calculation Sheet'!$AA$17="","",'Final Calculation Sheet'!$AA$17))="",IF(OR(UPPER(TRIM($AC$2))="(NONBLANK)",UPPER(TRIM($AC$2))="NONBLANK",TRIM($AC$2)="&lt;&gt;"),(IF('Final Calculation Sheet'!$AA$17="","",'Final Calculation Sheet'!$AA$17))&lt;&gt;"",UPPER(TRIM((IF('Final Calculation Sheet'!$AA$17="","",'Final Calculation Sheet'!$AA$17))&amp;""))=UPPER(TRIM($AC$2&amp;"")))))</f>
        <v/>
      </c>
      <c r="AD17">
        <f>IF($AD$3=FALSE,TRUE,IF(OR(UPPER(TRIM($AD$2))="(BLANK)",UPPER(TRIM($AD$2))="BLANK",AND($AD$2&lt;&gt;"",TRIM($AD$2)="")),(IF('Final Calculation Sheet'!$AB$17="","",'Final Calculation Sheet'!$AB$17))="",IF(OR(UPPER(TRIM($AD$2))="(NONBLANK)",UPPER(TRIM($AD$2))="NONBLANK",TRIM($AD$2)="&lt;&gt;"),(IF('Final Calculation Sheet'!$AB$17="","",'Final Calculation Sheet'!$AB$17))&lt;&gt;"",UPPER(TRIM((IF('Final Calculation Sheet'!$AB$17="","",'Final Calculation Sheet'!$AB$17))&amp;""))=UPPER(TRIM($AD$2&amp;"")))))</f>
        <v/>
      </c>
      <c r="AE17">
        <f>IF($AE$3=FALSE,TRUE,IF(OR(UPPER(TRIM($AE$2))="(BLANK)",UPPER(TRIM($AE$2))="BLANK",AND($AE$2&lt;&gt;"",TRIM($AE$2)="")),(IF('Final Calculation Sheet'!$AC$17="","",'Final Calculation Sheet'!$AC$17))="",IF(OR(UPPER(TRIM($AE$2))="(NONBLANK)",UPPER(TRIM($AE$2))="NONBLANK",TRIM($AE$2)="&lt;&gt;"),(IF('Final Calculation Sheet'!$AC$17="","",'Final Calculation Sheet'!$AC$17))&lt;&gt;"",UPPER(TRIM((IF('Final Calculation Sheet'!$AC$17="","",'Final Calculation Sheet'!$AC$17))&amp;""))=UPPER(TRIM($AE$2&amp;"")))))</f>
        <v/>
      </c>
      <c r="AF17">
        <f>IF($AF$3=FALSE,TRUE,IF(OR(UPPER(TRIM($AF$2))="(BLANK)",UPPER(TRIM($AF$2))="BLANK",AND($AF$2&lt;&gt;"",TRIM($AF$2)="")),(IF('Final Calculation Sheet'!$AD$17="","",'Final Calculation Sheet'!$AD$17))="",IF(OR(UPPER(TRIM($AF$2))="(NONBLANK)",UPPER(TRIM($AF$2))="NONBLANK",TRIM($AF$2)="&lt;&gt;"),(IF('Final Calculation Sheet'!$AD$17="","",'Final Calculation Sheet'!$AD$17))&lt;&gt;"",UPPER(TRIM((IF('Final Calculation Sheet'!$AD$17="","",'Final Calculation Sheet'!$AD$17))&amp;""))=UPPER(TRIM($AF$2&amp;"")))))</f>
        <v/>
      </c>
      <c r="AG17">
        <f>IF($AG$3=FALSE,TRUE,IF(OR(UPPER(TRIM($AG$2))="(BLANK)",UPPER(TRIM($AG$2))="BLANK",AND($AG$2&lt;&gt;"",TRIM($AG$2)="")),(IF('Final Calculation Sheet'!$AE$17="","",'Final Calculation Sheet'!$AE$17))="",IF(OR(UPPER(TRIM($AG$2))="(NONBLANK)",UPPER(TRIM($AG$2))="NONBLANK",TRIM($AG$2)="&lt;&gt;"),(IF('Final Calculation Sheet'!$AE$17="","",'Final Calculation Sheet'!$AE$17))&lt;&gt;"",UPPER(TRIM((IF('Final Calculation Sheet'!$AE$17="","",'Final Calculation Sheet'!$AE$17))&amp;""))=UPPER(TRIM($AG$2&amp;"")))))</f>
        <v/>
      </c>
      <c r="AH17">
        <f>IF($AH$3=FALSE,TRUE,IF(OR(UPPER(TRIM($AH$2))="(BLANK)",UPPER(TRIM($AH$2))="BLANK",AND($AH$2&lt;&gt;"",TRIM($AH$2)="")),(IF('Final Calculation Sheet'!$AF$17="","",'Final Calculation Sheet'!$AF$17))="",IF(OR(UPPER(TRIM($AH$2))="(NONBLANK)",UPPER(TRIM($AH$2))="NONBLANK",TRIM($AH$2)="&lt;&gt;"),(IF('Final Calculation Sheet'!$AF$17="","",'Final Calculation Sheet'!$AF$17))&lt;&gt;"",UPPER(TRIM((IF('Final Calculation Sheet'!$AF$17="","",'Final Calculation Sheet'!$AF$17))&amp;""))=UPPER(TRIM($AH$2&amp;"")))))</f>
        <v/>
      </c>
      <c r="AI17">
        <f>IF($AI$3=FALSE,TRUE,IF(OR(UPPER(TRIM($AI$2))="(BLANK)",UPPER(TRIM($AI$2))="BLANK",AND($AI$2&lt;&gt;"",TRIM($AI$2)="")),(IF('Final Calculation Sheet'!$AG$17="","",'Final Calculation Sheet'!$AG$17))="",IF(OR(UPPER(TRIM($AI$2))="(NONBLANK)",UPPER(TRIM($AI$2))="NONBLANK",TRIM($AI$2)="&lt;&gt;"),(IF('Final Calculation Sheet'!$AG$17="","",'Final Calculation Sheet'!$AG$17))&lt;&gt;"",UPPER(TRIM((IF('Final Calculation Sheet'!$AG$17="","",'Final Calculation Sheet'!$AG$17))&amp;""))=UPPER(TRIM($AI$2&amp;"")))))</f>
        <v/>
      </c>
      <c r="AJ17">
        <f>IF($AJ$3=FALSE,TRUE,IF(OR(UPPER(TRIM($AJ$2))="(BLANK)",UPPER(TRIM($AJ$2))="BLANK",AND($AJ$2&lt;&gt;"",TRIM($AJ$2)="")),(IF('Final Calculation Sheet'!$AD$17="","",IF('Final Calculation Sheet'!$AD$17&lt;=5,"SETTLED","OUTSTANDING")))="",IF(OR(UPPER(TRIM($AJ$2))="(NONBLANK)",UPPER(TRIM($AJ$2))="NONBLANK",TRIM($AJ$2)="&lt;&gt;"),(IF('Final Calculation Sheet'!$AD$17="","",IF('Final Calculation Sheet'!$AD$17&lt;=5,"SETTLED","OUTSTANDING")))&lt;&gt;"",UPPER(TRIM((IF('Final Calculation Sheet'!$AD$17="","",IF('Final Calculation Sheet'!$AD$17&lt;=5,"SETTLED","OUTSTANDING")))&amp;""))=UPPER(TRIM($AJ$2&amp;"")))))</f>
        <v/>
      </c>
      <c r="AL17">
        <f>IF(AND($B$17,$D$17:$AJ$17),IF('Final Calculation Sheet'!$F$17="","",'Final Calculation Sheet'!$F$17),"")</f>
        <v/>
      </c>
      <c r="AM17">
        <f>IF(AL17="","",COUNTIFS(AL$4:AL$40,"&lt;"&amp;AL17,AL$4:AL$40,"&lt;&gt;"&amp;"")+COUNTIF(AL$4:AL17,AL17))</f>
        <v/>
      </c>
      <c r="AN17">
        <f>IF(ROW()-3&gt;COUNTIF(AL$4:AL$40,"&lt;&gt;"&amp;""),"",INDEX(AL$4:AL$40,MATCH(ROW()-3,AM$4:AM$40,0)))</f>
        <v/>
      </c>
      <c r="AO17">
        <f>AO16+IF(AND(AN17&lt;&gt;"",COUNTIF(AN$4:AN17,AN17)=1),1,0)</f>
        <v/>
      </c>
      <c r="AP17">
        <f>IF(ROW()-3&gt;MAX(AO$4:AO$40),"",INDEX(AN$4:AN$40,MATCH(ROW()-3,AO$4:AO$40,0)))</f>
        <v/>
      </c>
      <c r="AQ17">
        <f>IF(AND($B$17:$C$17,$E$17:$AJ$17),IF('Final Calculation Sheet'!$G$17="","",'Final Calculation Sheet'!$G$17),"")</f>
        <v/>
      </c>
      <c r="AR17">
        <f>IF(AQ17="","",COUNTIFS(AQ$4:AQ$40,"&lt;"&amp;AQ17,AQ$4:AQ$40,"&lt;&gt;"&amp;"")+COUNTIF(AQ$4:AQ17,AQ17))</f>
        <v/>
      </c>
      <c r="AS17">
        <f>IF(ROW()-3&gt;COUNTIF(AQ$4:AQ$40,"&lt;&gt;"&amp;""),"",INDEX(AQ$4:AQ$40,MATCH(ROW()-3,AR$4:AR$40,0)))</f>
        <v/>
      </c>
      <c r="AT17">
        <f>AT16+IF(AND(AS17&lt;&gt;"",COUNTIF(AS$4:AS17,AS17)=1),1,0)</f>
        <v/>
      </c>
      <c r="AU17">
        <f>IF(ROW()-3&gt;MAX(AT$4:AT$40),"",INDEX(AS$4:AS$40,MATCH(ROW()-3,AT$4:AT$40,0)))</f>
        <v/>
      </c>
      <c r="AV17">
        <f>IF(AND($B$17:$D$17,$F$17:$AJ$17),IF('Final Calculation Sheet'!$B$17="","",'Final Calculation Sheet'!$B$17),"")</f>
        <v/>
      </c>
      <c r="AW17">
        <f>IF(AV17="","",COUNTIFS(AV$4:AV$40,"&lt;"&amp;AV17,AV$4:AV$40,"&lt;&gt;"&amp;"")+COUNTIF(AV$4:AV17,AV17))</f>
        <v/>
      </c>
      <c r="AX17">
        <f>IF(ROW()-3&gt;COUNTIF(AV$4:AV$40,"&lt;&gt;"&amp;""),"",INDEX(AV$4:AV$40,MATCH(ROW()-3,AW$4:AW$40,0)))</f>
        <v/>
      </c>
      <c r="AY17">
        <f>AY16+IF(AND(AX17&lt;&gt;"",COUNTIF(AX$4:AX17,AX17)=1),1,0)</f>
        <v/>
      </c>
      <c r="AZ17">
        <f>IF(ROW()-3&gt;MAX(AY$4:AY$40),"",INDEX(AX$4:AX$40,MATCH(ROW()-3,AY$4:AY$40,0)))</f>
        <v/>
      </c>
      <c r="BA17">
        <f>IF(AND($B$17:$E$17,$G$17:$AJ$17),IF('Final Calculation Sheet'!$D$17="","",'Final Calculation Sheet'!$D$17),"")</f>
        <v/>
      </c>
      <c r="BB17">
        <f>IF(BA17="","",COUNTIFS(BA$4:BA$40,"&lt;"&amp;BA17,BA$4:BA$40,"&lt;&gt;"&amp;"")+COUNTIF(BA$4:BA17,BA17))</f>
        <v/>
      </c>
      <c r="BC17">
        <f>IF(ROW()-3&gt;COUNTIF(BA$4:BA$40,"&lt;&gt;"&amp;""),"",INDEX(BA$4:BA$40,MATCH(ROW()-3,BB$4:BB$40,0)))</f>
        <v/>
      </c>
      <c r="BD17">
        <f>BD16+IF(AND(BC17&lt;&gt;"",COUNTIF(BC$4:BC17,BC17)=1),1,0)</f>
        <v/>
      </c>
      <c r="BE17">
        <f>IF(ROW()-3&gt;MAX(BD$4:BD$40),"",INDEX(BC$4:BC$40,MATCH(ROW()-3,BD$4:BD$40,0)))</f>
        <v/>
      </c>
      <c r="BF17">
        <f>IF(AND($B$17:$F$17,$H$17:$AJ$17),IF('Final Calculation Sheet'!$A$17="","",'Final Calculation Sheet'!$A$17),"")</f>
        <v/>
      </c>
      <c r="BG17">
        <f>IF(BF17="","",COUNTIFS(BF$4:BF$40,"&lt;"&amp;BF17,BF$4:BF$40,"&lt;&gt;"&amp;"")+COUNTIF(BF$4:BF17,BF17))</f>
        <v/>
      </c>
      <c r="BH17">
        <f>IF(ROW()-3&gt;COUNTIF(BF$4:BF$40,"&lt;&gt;"&amp;""),"",INDEX(BF$4:BF$40,MATCH(ROW()-3,BG$4:BG$40,0)))</f>
        <v/>
      </c>
      <c r="BI17">
        <f>BI16+IF(AND(BH17&lt;&gt;"",COUNTIF(BH$4:BH17,BH17)=1),1,0)</f>
        <v/>
      </c>
      <c r="BJ17">
        <f>IF(ROW()-3&gt;MAX(BI$4:BI$40),"",INDEX(BH$4:BH$40,MATCH(ROW()-3,BI$4:BI$40,0)))</f>
        <v/>
      </c>
      <c r="BK17">
        <f>IF(AND($B$17:$G$17,$I$17:$AJ$17),IF('Final Calculation Sheet'!$E$17="","",'Final Calculation Sheet'!$E$17),"")</f>
        <v/>
      </c>
      <c r="BL17">
        <f>IF(BK17="","",COUNTIFS(BK$4:BK$40,"&lt;"&amp;BK17,BK$4:BK$40,"&lt;&gt;"&amp;"")+COUNTIF(BK$4:BK17,BK17))</f>
        <v/>
      </c>
      <c r="BM17">
        <f>IF(ROW()-3&gt;COUNTIF(BK$4:BK$40,"&lt;&gt;"&amp;""),"",INDEX(BK$4:BK$40,MATCH(ROW()-3,BL$4:BL$40,0)))</f>
        <v/>
      </c>
      <c r="BN17">
        <f>BN16+IF(AND(BM17&lt;&gt;"",COUNTIF(BM$4:BM17,BM17)=1),1,0)</f>
        <v/>
      </c>
      <c r="BO17">
        <f>IF(ROW()-3&gt;MAX(BN$4:BN$40),"",INDEX(BM$4:BM$40,MATCH(ROW()-3,BN$4:BN$40,0)))</f>
        <v/>
      </c>
      <c r="BP17" s="55">
        <f>IF(AND($B$17:$H$17,$J$17:$AJ$17),IF('Final Calculation Sheet'!$C$17="","",'Final Calculation Sheet'!$C$17),"")</f>
        <v/>
      </c>
      <c r="BQ17">
        <f>IF(BP17="","",COUNTIFS(BP$4:BP$40,"&lt;"&amp;BP17,BP$4:BP$40,"&lt;&gt;"&amp;"")+COUNTIF(BP$4:BP17,BP17))</f>
        <v/>
      </c>
      <c r="BR17" s="55">
        <f>IF(ROW()-3&gt;COUNTIF(BP$4:BP$40,"&lt;&gt;"&amp;""),"",INDEX(BP$4:BP$40,MATCH(ROW()-3,BQ$4:BQ$40,0)))</f>
        <v/>
      </c>
      <c r="BS17">
        <f>BS16+IF(AND(BR17&lt;&gt;"",COUNTIF(BR$4:BR17,BR17)=1),1,0)</f>
        <v/>
      </c>
      <c r="BT17" s="55">
        <f>IF(ROW()-3&gt;MAX(BS$4:BS$40),"",INDEX(BR$4:BR$40,MATCH(ROW()-3,BS$4:BS$40,0)))</f>
        <v/>
      </c>
      <c r="BU17" s="55">
        <f>IF(AND($B$17:$I$17,$K$17:$AJ$17),IF('Final Calculation Sheet'!$H$17="","",'Final Calculation Sheet'!$H$17),"")</f>
        <v/>
      </c>
      <c r="BV17">
        <f>IF(BU17="","",COUNTIFS(BU$4:BU$40,"&lt;"&amp;BU17,BU$4:BU$40,"&lt;&gt;"&amp;"")+COUNTIF(BU$4:BU17,BU17))</f>
        <v/>
      </c>
      <c r="BW17" s="55">
        <f>IF(ROW()-3&gt;COUNTIF(BU$4:BU$40,"&lt;&gt;"&amp;""),"",INDEX(BU$4:BU$40,MATCH(ROW()-3,BV$4:BV$40,0)))</f>
        <v/>
      </c>
      <c r="BX17">
        <f>BX16+IF(AND(BW17&lt;&gt;"",COUNTIF(BW$4:BW17,BW17)=1),1,0)</f>
        <v/>
      </c>
      <c r="BY17" s="55">
        <f>IF(ROW()-3&gt;MAX(BX$4:BX$40),"",INDEX(BW$4:BW$40,MATCH(ROW()-3,BX$4:BX$40,0)))</f>
        <v/>
      </c>
      <c r="BZ17" s="55">
        <f>IF(AND($B$17:$J$17,$L$17:$AJ$17),IF('Final Calculation Sheet'!$I$17="","",'Final Calculation Sheet'!$I$17),"")</f>
        <v/>
      </c>
      <c r="CA17">
        <f>IF(BZ17="","",COUNTIFS(BZ$4:BZ$40,"&lt;"&amp;BZ17,BZ$4:BZ$40,"&lt;&gt;"&amp;"")+COUNTIF(BZ$4:BZ17,BZ17))</f>
        <v/>
      </c>
      <c r="CB17" s="55">
        <f>IF(ROW()-3&gt;COUNTIF(BZ$4:BZ$40,"&lt;&gt;"&amp;""),"",INDEX(BZ$4:BZ$40,MATCH(ROW()-3,CA$4:CA$40,0)))</f>
        <v/>
      </c>
      <c r="CC17">
        <f>CC16+IF(AND(CB17&lt;&gt;"",COUNTIF(CB$4:CB17,CB17)=1),1,0)</f>
        <v/>
      </c>
      <c r="CD17" s="55">
        <f>IF(ROW()-3&gt;MAX(CC$4:CC$40),"",INDEX(CB$4:CB$40,MATCH(ROW()-3,CC$4:CC$40,0)))</f>
        <v/>
      </c>
      <c r="CE17" s="55">
        <f>IF(AND($B$17:$K$17,$M$17:$AJ$17),IF('Final Calculation Sheet'!$J$17="","",'Final Calculation Sheet'!$J$17),"")</f>
        <v/>
      </c>
      <c r="CF17">
        <f>IF(CE17="","",COUNTIFS(CE$4:CE$40,"&lt;"&amp;CE17,CE$4:CE$40,"&lt;&gt;"&amp;"")+COUNTIF(CE$4:CE17,CE17))</f>
        <v/>
      </c>
      <c r="CG17" s="55">
        <f>IF(ROW()-3&gt;COUNTIF(CE$4:CE$40,"&lt;&gt;"&amp;""),"",INDEX(CE$4:CE$40,MATCH(ROW()-3,CF$4:CF$40,0)))</f>
        <v/>
      </c>
      <c r="CH17">
        <f>CH16+IF(AND(CG17&lt;&gt;"",COUNTIF(CG$4:CG17,CG17)=1),1,0)</f>
        <v/>
      </c>
      <c r="CI17" s="55">
        <f>IF(ROW()-3&gt;MAX(CH$4:CH$40),"",INDEX(CG$4:CG$40,MATCH(ROW()-3,CH$4:CH$40,0)))</f>
        <v/>
      </c>
      <c r="CJ17" s="55">
        <f>IF(AND($B$17:$L$17,$N$17:$AJ$17),IF('Final Calculation Sheet'!$K$17="","",'Final Calculation Sheet'!$K$17),"")</f>
        <v/>
      </c>
      <c r="CK17">
        <f>IF(CJ17="","",COUNTIFS(CJ$4:CJ$40,"&lt;"&amp;CJ17,CJ$4:CJ$40,"&lt;&gt;"&amp;"")+COUNTIF(CJ$4:CJ17,CJ17))</f>
        <v/>
      </c>
      <c r="CL17" s="55">
        <f>IF(ROW()-3&gt;COUNTIF(CJ$4:CJ$40,"&lt;&gt;"&amp;""),"",INDEX(CJ$4:CJ$40,MATCH(ROW()-3,CK$4:CK$40,0)))</f>
        <v/>
      </c>
      <c r="CM17">
        <f>CM16+IF(AND(CL17&lt;&gt;"",COUNTIF(CL$4:CL17,CL17)=1),1,0)</f>
        <v/>
      </c>
      <c r="CN17" s="55">
        <f>IF(ROW()-3&gt;MAX(CM$4:CM$40),"",INDEX(CL$4:CL$40,MATCH(ROW()-3,CM$4:CM$40,0)))</f>
        <v/>
      </c>
      <c r="CO17" s="55">
        <f>IF(AND($B$17:$M$17,$O$17:$AJ$17),IF('Final Calculation Sheet'!$L$17="","",'Final Calculation Sheet'!$L$17),"")</f>
        <v/>
      </c>
      <c r="CP17">
        <f>IF(CO17="","",COUNTIFS(CO$4:CO$40,"&lt;"&amp;CO17,CO$4:CO$40,"&lt;&gt;"&amp;"")+COUNTIF(CO$4:CO17,CO17))</f>
        <v/>
      </c>
      <c r="CQ17" s="55">
        <f>IF(ROW()-3&gt;COUNTIF(CO$4:CO$40,"&lt;&gt;"&amp;""),"",INDEX(CO$4:CO$40,MATCH(ROW()-3,CP$4:CP$40,0)))</f>
        <v/>
      </c>
      <c r="CR17">
        <f>CR16+IF(AND(CQ17&lt;&gt;"",COUNTIF(CQ$4:CQ17,CQ17)=1),1,0)</f>
        <v/>
      </c>
      <c r="CS17" s="55">
        <f>IF(ROW()-3&gt;MAX(CR$4:CR$40),"",INDEX(CQ$4:CQ$40,MATCH(ROW()-3,CR$4:CR$40,0)))</f>
        <v/>
      </c>
      <c r="CT17" s="55">
        <f>IF(AND($B$17:$N$17,$P$17:$AJ$17),IF('Final Calculation Sheet'!$M$17="","",'Final Calculation Sheet'!$M$17),"")</f>
        <v/>
      </c>
      <c r="CU17">
        <f>IF(CT17="","",COUNTIFS(CT$4:CT$40,"&lt;"&amp;CT17,CT$4:CT$40,"&lt;&gt;"&amp;"")+COUNTIF(CT$4:CT17,CT17))</f>
        <v/>
      </c>
      <c r="CV17" s="55">
        <f>IF(ROW()-3&gt;COUNTIF(CT$4:CT$40,"&lt;&gt;"&amp;""),"",INDEX(CT$4:CT$40,MATCH(ROW()-3,CU$4:CU$40,0)))</f>
        <v/>
      </c>
      <c r="CW17">
        <f>CW16+IF(AND(CV17&lt;&gt;"",COUNTIF(CV$4:CV17,CV17)=1),1,0)</f>
        <v/>
      </c>
      <c r="CX17" s="55">
        <f>IF(ROW()-3&gt;MAX(CW$4:CW$40),"",INDEX(CV$4:CV$40,MATCH(ROW()-3,CW$4:CW$40,0)))</f>
        <v/>
      </c>
      <c r="CY17" s="138">
        <f>IF(AND($B$17:$O$17,$Q$17:$AJ$17),IF('Final Calculation Sheet'!$N$17="","",'Final Calculation Sheet'!$N$17),"")</f>
        <v/>
      </c>
      <c r="CZ17">
        <f>IF(CY17="","",COUNTIFS(CY$4:CY$40,"&lt;"&amp;CY17,CY$4:CY$40,"&lt;&gt;"&amp;"")+COUNTIF(CY$4:CY17,CY17))</f>
        <v/>
      </c>
      <c r="DA17" s="138">
        <f>IF(ROW()-3&gt;COUNTIF(CY$4:CY$40,"&lt;&gt;"&amp;""),"",INDEX(CY$4:CY$40,MATCH(ROW()-3,CZ$4:CZ$40,0)))</f>
        <v/>
      </c>
      <c r="DB17">
        <f>DB16+IF(AND(DA17&lt;&gt;"",COUNTIF(DA$4:DA17,DA17)=1),1,0)</f>
        <v/>
      </c>
      <c r="DC17" s="138">
        <f>IF(ROW()-3&gt;MAX(DB$4:DB$40),"",INDEX(DA$4:DA$40,MATCH(ROW()-3,DB$4:DB$40,0)))</f>
        <v/>
      </c>
      <c r="DD17" s="55">
        <f>IF(AND($B$17:$P$17,$R$17:$AJ$17),IF('Final Calculation Sheet'!$O$17="","",'Final Calculation Sheet'!$O$17),"")</f>
        <v/>
      </c>
      <c r="DE17">
        <f>IF(DD17="","",COUNTIFS(DD$4:DD$40,"&lt;"&amp;DD17,DD$4:DD$40,"&lt;&gt;"&amp;"")+COUNTIF(DD$4:DD17,DD17))</f>
        <v/>
      </c>
      <c r="DF17" s="55">
        <f>IF(ROW()-3&gt;COUNTIF(DD$4:DD$40,"&lt;&gt;"&amp;""),"",INDEX(DD$4:DD$40,MATCH(ROW()-3,DE$4:DE$40,0)))</f>
        <v/>
      </c>
      <c r="DG17">
        <f>DG16+IF(AND(DF17&lt;&gt;"",COUNTIF(DF$4:DF17,DF17)=1),1,0)</f>
        <v/>
      </c>
      <c r="DH17" s="55">
        <f>IF(ROW()-3&gt;MAX(DG$4:DG$40),"",INDEX(DF$4:DF$40,MATCH(ROW()-3,DG$4:DG$40,0)))</f>
        <v/>
      </c>
      <c r="DI17" s="55">
        <f>IF(AND($B$17:$Q$17,$S$17:$AJ$17),IF('Final Calculation Sheet'!$P$17="","",'Final Calculation Sheet'!$P$17),"")</f>
        <v/>
      </c>
      <c r="DJ17">
        <f>IF(DI17="","",COUNTIFS(DI$4:DI$40,"&lt;"&amp;DI17,DI$4:DI$40,"&lt;&gt;"&amp;"")+COUNTIF(DI$4:DI17,DI17))</f>
        <v/>
      </c>
      <c r="DK17" s="55">
        <f>IF(ROW()-3&gt;COUNTIF(DI$4:DI$40,"&lt;&gt;"&amp;""),"",INDEX(DI$4:DI$40,MATCH(ROW()-3,DJ$4:DJ$40,0)))</f>
        <v/>
      </c>
      <c r="DL17">
        <f>DL16+IF(AND(DK17&lt;&gt;"",COUNTIF(DK$4:DK17,DK17)=1),1,0)</f>
        <v/>
      </c>
      <c r="DM17" s="55">
        <f>IF(ROW()-3&gt;MAX(DL$4:DL$40),"",INDEX(DK$4:DK$40,MATCH(ROW()-3,DL$4:DL$40,0)))</f>
        <v/>
      </c>
      <c r="DN17" s="139">
        <f>IF(AND($B$17:$R$17,$T$17:$AJ$17),IF('Final Calculation Sheet'!$Q$17="","",'Final Calculation Sheet'!$Q$17),"")</f>
        <v/>
      </c>
      <c r="DO17">
        <f>IF(DN17="","",COUNTIFS(DN$4:DN$40,"&lt;"&amp;DN17,DN$4:DN$40,"&lt;&gt;"&amp;"")+COUNTIF(DN$4:DN17,DN17))</f>
        <v/>
      </c>
      <c r="DP17" s="139">
        <f>IF(ROW()-3&gt;COUNTIF(DN$4:DN$40,"&lt;&gt;"&amp;""),"",INDEX(DN$4:DN$40,MATCH(ROW()-3,DO$4:DO$40,0)))</f>
        <v/>
      </c>
      <c r="DQ17">
        <f>DQ16+IF(AND(DP17&lt;&gt;"",COUNTIF(DP$4:DP17,DP17)=1),1,0)</f>
        <v/>
      </c>
      <c r="DR17" s="139">
        <f>IF(ROW()-3&gt;MAX(DQ$4:DQ$40),"",INDEX(DP$4:DP$40,MATCH(ROW()-3,DQ$4:DQ$40,0)))</f>
        <v/>
      </c>
      <c r="DS17" s="55">
        <f>IF(AND($B$17:$S$17,$U$17:$AJ$17),IF('Final Calculation Sheet'!$R$17="","",'Final Calculation Sheet'!$R$17),"")</f>
        <v/>
      </c>
      <c r="DT17">
        <f>IF(DS17="","",COUNTIFS(DS$4:DS$40,"&lt;"&amp;DS17,DS$4:DS$40,"&lt;&gt;"&amp;"")+COUNTIF(DS$4:DS17,DS17))</f>
        <v/>
      </c>
      <c r="DU17" s="55">
        <f>IF(ROW()-3&gt;COUNTIF(DS$4:DS$40,"&lt;&gt;"&amp;""),"",INDEX(DS$4:DS$40,MATCH(ROW()-3,DT$4:DT$40,0)))</f>
        <v/>
      </c>
      <c r="DV17">
        <f>DV16+IF(AND(DU17&lt;&gt;"",COUNTIF(DU$4:DU17,DU17)=1),1,0)</f>
        <v/>
      </c>
      <c r="DW17" s="55">
        <f>IF(ROW()-3&gt;MAX(DV$4:DV$40),"",INDEX(DU$4:DU$40,MATCH(ROW()-3,DV$4:DV$40,0)))</f>
        <v/>
      </c>
      <c r="DX17" s="55">
        <f>IF(AND($B$17:$T$17,$V$17:$AJ$17),IF('Final Calculation Sheet'!$S$17="","",'Final Calculation Sheet'!$S$17),"")</f>
        <v/>
      </c>
      <c r="DY17">
        <f>IF(DX17="","",COUNTIFS(DX$4:DX$40,"&lt;"&amp;DX17,DX$4:DX$40,"&lt;&gt;"&amp;"")+COUNTIF(DX$4:DX17,DX17))</f>
        <v/>
      </c>
      <c r="DZ17" s="55">
        <f>IF(ROW()-3&gt;COUNTIF(DX$4:DX$40,"&lt;&gt;"&amp;""),"",INDEX(DX$4:DX$40,MATCH(ROW()-3,DY$4:DY$40,0)))</f>
        <v/>
      </c>
      <c r="EA17">
        <f>EA16+IF(AND(DZ17&lt;&gt;"",COUNTIF(DZ$4:DZ17,DZ17)=1),1,0)</f>
        <v/>
      </c>
      <c r="EB17" s="55">
        <f>IF(ROW()-3&gt;MAX(EA$4:EA$40),"",INDEX(DZ$4:DZ$40,MATCH(ROW()-3,EA$4:EA$40,0)))</f>
        <v/>
      </c>
      <c r="EC17" s="55">
        <f>IF(AND($B$17:$U$17,$W$17:$AJ$17),IF('Final Calculation Sheet'!$T$17="","",'Final Calculation Sheet'!$T$17),"")</f>
        <v/>
      </c>
      <c r="ED17">
        <f>IF(EC17="","",COUNTIFS(EC$4:EC$40,"&lt;"&amp;EC17,EC$4:EC$40,"&lt;&gt;"&amp;"")+COUNTIF(EC$4:EC17,EC17))</f>
        <v/>
      </c>
      <c r="EE17" s="55">
        <f>IF(ROW()-3&gt;COUNTIF(EC$4:EC$40,"&lt;&gt;"&amp;""),"",INDEX(EC$4:EC$40,MATCH(ROW()-3,ED$4:ED$40,0)))</f>
        <v/>
      </c>
      <c r="EF17">
        <f>EF16+IF(AND(EE17&lt;&gt;"",COUNTIF(EE$4:EE17,EE17)=1),1,0)</f>
        <v/>
      </c>
      <c r="EG17" s="55">
        <f>IF(ROW()-3&gt;MAX(EF$4:EF$40),"",INDEX(EE$4:EE$40,MATCH(ROW()-3,EF$4:EF$40,0)))</f>
        <v/>
      </c>
      <c r="EH17" s="140">
        <f>IF(AND($B$17:$V$17,$X$17:$AJ$17),IF('Final Calculation Sheet'!$U$17="","",'Final Calculation Sheet'!$U$17),"")</f>
        <v/>
      </c>
      <c r="EI17">
        <f>IF(EH17="","",COUNTIFS(EH$4:EH$40,"&lt;"&amp;EH17,EH$4:EH$40,"&lt;&gt;"&amp;"")+COUNTIF(EH$4:EH17,EH17))</f>
        <v/>
      </c>
      <c r="EJ17" s="140">
        <f>IF(ROW()-3&gt;COUNTIF(EH$4:EH$40,"&lt;&gt;"&amp;""),"",INDEX(EH$4:EH$40,MATCH(ROW()-3,EI$4:EI$40,0)))</f>
        <v/>
      </c>
      <c r="EK17">
        <f>EK16+IF(AND(EJ17&lt;&gt;"",COUNTIF(EJ$4:EJ17,EJ17)=1),1,0)</f>
        <v/>
      </c>
      <c r="EL17" s="140">
        <f>IF(ROW()-3&gt;MAX(EK$4:EK$40),"",INDEX(EJ$4:EJ$40,MATCH(ROW()-3,EK$4:EK$40,0)))</f>
        <v/>
      </c>
      <c r="EM17">
        <f>IF(AND($B$17:$W$17,$Y$17:$AJ$17),IF('Final Calculation Sheet'!$V$17="","",'Final Calculation Sheet'!$V$17),"")</f>
        <v/>
      </c>
      <c r="EN17">
        <f>IF(EM17="","",COUNTIFS(EM$4:EM$40,"&lt;"&amp;EM17,EM$4:EM$40,"&lt;&gt;"&amp;"")+COUNTIF(EM$4:EM17,EM17))</f>
        <v/>
      </c>
      <c r="EO17">
        <f>IF(ROW()-3&gt;COUNTIF(EM$4:EM$40,"&lt;&gt;"&amp;""),"",INDEX(EM$4:EM$40,MATCH(ROW()-3,EN$4:EN$40,0)))</f>
        <v/>
      </c>
      <c r="EP17">
        <f>EP16+IF(AND(EO17&lt;&gt;"",COUNTIF(EO$4:EO17,EO17)=1),1,0)</f>
        <v/>
      </c>
      <c r="EQ17">
        <f>IF(ROW()-3&gt;MAX(EP$4:EP$40),"",INDEX(EO$4:EO$40,MATCH(ROW()-3,EP$4:EP$40,0)))</f>
        <v/>
      </c>
      <c r="ER17" s="55">
        <f>IF(AND($B$17:$X$17,$Z$17:$AJ$17),IF('Final Calculation Sheet'!$W$17="","",'Final Calculation Sheet'!$W$17),"")</f>
        <v/>
      </c>
      <c r="ES17">
        <f>IF(ER17="","",COUNTIFS(ER$4:ER$40,"&lt;"&amp;ER17,ER$4:ER$40,"&lt;&gt;"&amp;"")+COUNTIF(ER$4:ER17,ER17))</f>
        <v/>
      </c>
      <c r="ET17" s="55">
        <f>IF(ROW()-3&gt;COUNTIF(ER$4:ER$40,"&lt;&gt;"&amp;""),"",INDEX(ER$4:ER$40,MATCH(ROW()-3,ES$4:ES$40,0)))</f>
        <v/>
      </c>
      <c r="EU17">
        <f>EU16+IF(AND(ET17&lt;&gt;"",COUNTIF(ET$4:ET17,ET17)=1),1,0)</f>
        <v/>
      </c>
      <c r="EV17" s="55">
        <f>IF(ROW()-3&gt;MAX(EU$4:EU$40),"",INDEX(ET$4:ET$40,MATCH(ROW()-3,EU$4:EU$40,0)))</f>
        <v/>
      </c>
      <c r="EW17" s="55">
        <f>IF(AND($B$17:$Y$17,$AA$17:$AJ$17),IF('Final Calculation Sheet'!$X$17="","",'Final Calculation Sheet'!$X$17),"")</f>
        <v/>
      </c>
      <c r="EX17">
        <f>IF(EW17="","",COUNTIFS(EW$4:EW$40,"&lt;"&amp;EW17,EW$4:EW$40,"&lt;&gt;"&amp;"")+COUNTIF(EW$4:EW17,EW17))</f>
        <v/>
      </c>
      <c r="EY17" s="55">
        <f>IF(ROW()-3&gt;COUNTIF(EW$4:EW$40,"&lt;&gt;"&amp;""),"",INDEX(EW$4:EW$40,MATCH(ROW()-3,EX$4:EX$40,0)))</f>
        <v/>
      </c>
      <c r="EZ17">
        <f>EZ16+IF(AND(EY17&lt;&gt;"",COUNTIF(EY$4:EY17,EY17)=1),1,0)</f>
        <v/>
      </c>
      <c r="FA17">
        <f>IF(ROW()-3&gt;MAX(EZ$4:EZ$40),"",INDEX(EY$4:EY$40,MATCH(ROW()-3,EZ$4:EZ$40,0)))</f>
        <v/>
      </c>
      <c r="FB17">
        <f>IF(AND($B$17:$Z$17,$AB$17:$AJ$17),IF('Final Calculation Sheet'!$Y$17="","",'Final Calculation Sheet'!$Y$17),"")</f>
        <v/>
      </c>
      <c r="FC17">
        <f>IF(FB17="","",COUNTIFS(FB$4:FB$40,"&lt;"&amp;FB17,FB$4:FB$40,"&lt;&gt;"&amp;"")+COUNTIF(FB$4:FB17,FB17))</f>
        <v/>
      </c>
      <c r="FD17">
        <f>IF(ROW()-3&gt;COUNTIF(FB$4:FB$40,"&lt;&gt;"&amp;""),"",INDEX(FB$4:FB$40,MATCH(ROW()-3,FC$4:FC$40,0)))</f>
        <v/>
      </c>
      <c r="FE17">
        <f>FE16+IF(AND(FD17&lt;&gt;"",COUNTIF(FD$4:FD17,FD17)=1),1,0)</f>
        <v/>
      </c>
      <c r="FF17">
        <f>IF(ROW()-3&gt;MAX(FE$4:FE$40),"",INDEX(FD$4:FD$40,MATCH(ROW()-3,FE$4:FE$40,0)))</f>
        <v/>
      </c>
      <c r="FG17" s="55">
        <f>IF(AND($B$17:$AA$17,$AC$17:$AJ$17),IF('Final Calculation Sheet'!$Z$17="","",'Final Calculation Sheet'!$Z$17),"")</f>
        <v/>
      </c>
      <c r="FH17">
        <f>IF(FG17="","",COUNTIFS(FG$4:FG$40,"&lt;"&amp;FG17,FG$4:FG$40,"&lt;&gt;"&amp;"")+COUNTIF(FG$4:FG17,FG17))</f>
        <v/>
      </c>
      <c r="FI17" s="55">
        <f>IF(ROW()-3&gt;COUNTIF(FG$4:FG$40,"&lt;&gt;"&amp;""),"",INDEX(FG$4:FG$40,MATCH(ROW()-3,FH$4:FH$40,0)))</f>
        <v/>
      </c>
      <c r="FJ17">
        <f>FJ16+IF(AND(FI17&lt;&gt;"",COUNTIF(FI$4:FI17,FI17)=1),1,0)</f>
        <v/>
      </c>
      <c r="FK17" s="55">
        <f>IF(ROW()-3&gt;MAX(FJ$4:FJ$40),"",INDEX(FI$4:FI$40,MATCH(ROW()-3,FJ$4:FJ$40,0)))</f>
        <v/>
      </c>
      <c r="FL17">
        <f>IF(AND($B$17:$AB$17,$AD$17:$AJ$17),IF('Final Calculation Sheet'!$AA$17="","",'Final Calculation Sheet'!$AA$17),"")</f>
        <v/>
      </c>
      <c r="FM17">
        <f>IF(FL17="","",COUNTIFS(FL$4:FL$40,"&lt;"&amp;FL17,FL$4:FL$40,"&lt;&gt;"&amp;"")+COUNTIF(FL$4:FL17,FL17))</f>
        <v/>
      </c>
      <c r="FN17">
        <f>IF(ROW()-3&gt;COUNTIF(FL$4:FL$40,"&lt;&gt;"&amp;""),"",INDEX(FL$4:FL$40,MATCH(ROW()-3,FM$4:FM$40,0)))</f>
        <v/>
      </c>
      <c r="FO17">
        <f>FO16+IF(AND(FN17&lt;&gt;"",COUNTIF(FN$4:FN17,FN17)=1),1,0)</f>
        <v/>
      </c>
      <c r="FP17">
        <f>IF(ROW()-3&gt;MAX(FO$4:FO$40),"",INDEX(FN$4:FN$40,MATCH(ROW()-3,FO$4:FO$40,0)))</f>
        <v/>
      </c>
      <c r="FQ17">
        <f>IF(AND($B$17:$AC$17,$AE$17:$AJ$17),IF('Final Calculation Sheet'!$AB$17="","",'Final Calculation Sheet'!$AB$17),"")</f>
        <v/>
      </c>
      <c r="FR17">
        <f>IF(FQ17="","",COUNTIFS(FQ$4:FQ$40,"&lt;"&amp;FQ17,FQ$4:FQ$40,"&lt;&gt;"&amp;"")+COUNTIF(FQ$4:FQ17,FQ17))</f>
        <v/>
      </c>
      <c r="FS17">
        <f>IF(ROW()-3&gt;COUNTIF(FQ$4:FQ$40,"&lt;&gt;"&amp;""),"",INDEX(FQ$4:FQ$40,MATCH(ROW()-3,FR$4:FR$40,0)))</f>
        <v/>
      </c>
      <c r="FT17">
        <f>FT16+IF(AND(FS17&lt;&gt;"",COUNTIF(FS$4:FS17,FS17)=1),1,0)</f>
        <v/>
      </c>
      <c r="FU17">
        <f>IF(ROW()-3&gt;MAX(FT$4:FT$40),"",INDEX(FS$4:FS$40,MATCH(ROW()-3,FT$4:FT$40,0)))</f>
        <v/>
      </c>
      <c r="FV17" s="55">
        <f>IF(AND($B$17:$AD$17,$AF$17:$AJ$17),IF('Final Calculation Sheet'!$AC$17="","",'Final Calculation Sheet'!$AC$17),"")</f>
        <v/>
      </c>
      <c r="FW17">
        <f>IF(FV17="","",COUNTIFS(FV$4:FV$40,"&lt;"&amp;FV17,FV$4:FV$40,"&lt;&gt;"&amp;"")+COUNTIF(FV$4:FV17,FV17))</f>
        <v/>
      </c>
      <c r="FX17" s="55">
        <f>IF(ROW()-3&gt;COUNTIF(FV$4:FV$40,"&lt;&gt;"&amp;""),"",INDEX(FV$4:FV$40,MATCH(ROW()-3,FW$4:FW$40,0)))</f>
        <v/>
      </c>
      <c r="FY17">
        <f>FY16+IF(AND(FX17&lt;&gt;"",COUNTIF(FX$4:FX17,FX17)=1),1,0)</f>
        <v/>
      </c>
      <c r="FZ17" s="55">
        <f>IF(ROW()-3&gt;MAX(FY$4:FY$40),"",INDEX(FX$4:FX$40,MATCH(ROW()-3,FY$4:FY$40,0)))</f>
        <v/>
      </c>
      <c r="GA17" s="55">
        <f>IF(AND($B$17:$AE$17,$AG$17:$AJ$17),IF('Final Calculation Sheet'!$AD$17="","",'Final Calculation Sheet'!$AD$17),"")</f>
        <v/>
      </c>
      <c r="GB17">
        <f>IF(GA17="","",COUNTIFS(GA$4:GA$40,"&lt;"&amp;GA17,GA$4:GA$40,"&lt;&gt;"&amp;"")+COUNTIF(GA$4:GA17,GA17))</f>
        <v/>
      </c>
      <c r="GC17" s="55">
        <f>IF(ROW()-3&gt;COUNTIF(GA$4:GA$40,"&lt;&gt;"&amp;""),"",INDEX(GA$4:GA$40,MATCH(ROW()-3,GB$4:GB$40,0)))</f>
        <v/>
      </c>
      <c r="GD17">
        <f>GD16+IF(AND(GC17&lt;&gt;"",COUNTIF(GC$4:GC17,GC17)=1),1,0)</f>
        <v/>
      </c>
      <c r="GE17" s="55">
        <f>IF(ROW()-3&gt;MAX(GD$4:GD$40),"",INDEX(GC$4:GC$40,MATCH(ROW()-3,GD$4:GD$40,0)))</f>
        <v/>
      </c>
      <c r="GF17">
        <f>IF(AND($B$17:$AF$17,$AH$17:$AJ$17),IF('Final Calculation Sheet'!$AE$17="","",'Final Calculation Sheet'!$AE$17),"")</f>
        <v/>
      </c>
      <c r="GG17">
        <f>IF(GF17="","",COUNTIFS(GF$4:GF$40,"&lt;"&amp;GF17,GF$4:GF$40,"&lt;&gt;"&amp;"")+COUNTIF(GF$4:GF17,GF17))</f>
        <v/>
      </c>
      <c r="GH17">
        <f>IF(ROW()-3&gt;COUNTIF(GF$4:GF$40,"&lt;&gt;"&amp;""),"",INDEX(GF$4:GF$40,MATCH(ROW()-3,GG$4:GG$40,0)))</f>
        <v/>
      </c>
      <c r="GI17">
        <f>GI16+IF(AND(GH17&lt;&gt;"",COUNTIF(GH$4:GH17,GH17)=1),1,0)</f>
        <v/>
      </c>
      <c r="GJ17">
        <f>IF(ROW()-3&gt;MAX(GI$4:GI$40),"",INDEX(GH$4:GH$40,MATCH(ROW()-3,GI$4:GI$40,0)))</f>
        <v/>
      </c>
      <c r="GK17" s="141">
        <f>IF(AND($B$17:$AG$17,$AI$17:$AJ$17),IF('Final Calculation Sheet'!$AF$17="","",'Final Calculation Sheet'!$AF$17),"")</f>
        <v/>
      </c>
      <c r="GL17">
        <f>IF(GK17="","",COUNTIFS(GK$4:GK$40,"&lt;"&amp;GK17,GK$4:GK$40,"&lt;&gt;"&amp;"")+COUNTIF(GK$4:GK17,GK17))</f>
        <v/>
      </c>
      <c r="GM17" s="141">
        <f>IF(ROW()-3&gt;COUNTIF(GK$4:GK$40,"&lt;&gt;"&amp;""),"",INDEX(GK$4:GK$40,MATCH(ROW()-3,GL$4:GL$40,0)))</f>
        <v/>
      </c>
      <c r="GN17">
        <f>GN16+IF(AND(GM17&lt;&gt;"",COUNTIF(GM$4:GM17,GM17)=1),1,0)</f>
        <v/>
      </c>
      <c r="GO17">
        <f>IF(ROW()-3&gt;MAX(GN$4:GN$40),"",INDEX(GM$4:GM$40,MATCH(ROW()-3,GN$4:GN$40,0)))</f>
        <v/>
      </c>
      <c r="GP17">
        <f>IF(AND($B$17:$AH$17,$AJ$17:$AJ$17),IF('Final Calculation Sheet'!$AG$17="","",'Final Calculation Sheet'!$AG$17),"")</f>
        <v/>
      </c>
      <c r="GQ17">
        <f>IF(GP17="","",COUNTIFS(GP$4:GP$40,"&lt;"&amp;GP17,GP$4:GP$40,"&lt;&gt;"&amp;"")+COUNTIF(GP$4:GP17,GP17))</f>
        <v/>
      </c>
      <c r="GR17">
        <f>IF(ROW()-3&gt;COUNTIF(GP$4:GP$40,"&lt;&gt;"&amp;""),"",INDEX(GP$4:GP$40,MATCH(ROW()-3,GQ$4:GQ$40,0)))</f>
        <v/>
      </c>
      <c r="GS17">
        <f>GS16+IF(AND(GR17&lt;&gt;"",COUNTIF(GR$4:GR17,GR17)=1),1,0)</f>
        <v/>
      </c>
      <c r="GT17">
        <f>IF(ROW()-3&gt;MAX(GS$4:GS$40),"",INDEX(GR$4:GR$40,MATCH(ROW()-3,GS$4:GS$40,0)))</f>
        <v/>
      </c>
    </row>
    <row r="18">
      <c r="A18" t="inlineStr">
        <is>
          <t>Final row 18</t>
        </is>
      </c>
      <c r="B18" t="b">
        <v>1</v>
      </c>
      <c r="C18">
        <f>IF($C$3=FALSE,TRUE,IF(OR(UPPER(TRIM($C$2))="(BLANK)",UPPER(TRIM($C$2))="BLANK",AND($C$2&lt;&gt;"",TRIM($C$2)="")),(IF('Final Calculation Sheet'!$F$18="","",'Final Calculation Sheet'!$F$18))="",IF(OR(UPPER(TRIM($C$2))="(NONBLANK)",UPPER(TRIM($C$2))="NONBLANK",TRIM($C$2)="&lt;&gt;"),(IF('Final Calculation Sheet'!$F$18="","",'Final Calculation Sheet'!$F$18))&lt;&gt;"",UPPER(TRIM((IF('Final Calculation Sheet'!$F$18="","",'Final Calculation Sheet'!$F$18))&amp;""))=UPPER(TRIM($C$2&amp;"")))))</f>
        <v/>
      </c>
      <c r="D18">
        <f>IF($D$3=FALSE,TRUE,IF(OR(UPPER(TRIM($D$2))="(BLANK)",UPPER(TRIM($D$2))="BLANK",AND($D$2&lt;&gt;"",TRIM($D$2)="")),(IF('Final Calculation Sheet'!$G$18="","",'Final Calculation Sheet'!$G$18))="",IF(OR(UPPER(TRIM($D$2))="(NONBLANK)",UPPER(TRIM($D$2))="NONBLANK",TRIM($D$2)="&lt;&gt;"),(IF('Final Calculation Sheet'!$G$18="","",'Final Calculation Sheet'!$G$18))&lt;&gt;"",UPPER(TRIM((IF('Final Calculation Sheet'!$G$18="","",'Final Calculation Sheet'!$G$18))&amp;""))=UPPER(TRIM($D$2&amp;"")))))</f>
        <v/>
      </c>
      <c r="E18">
        <f>IF($E$3=FALSE,TRUE,IF(OR(UPPER(TRIM($E$2))="(BLANK)",UPPER(TRIM($E$2))="BLANK",AND($E$2&lt;&gt;"",TRIM($E$2)="")),(IF('Final Calculation Sheet'!$B$18="","",'Final Calculation Sheet'!$B$18))="",IF(OR(UPPER(TRIM($E$2))="(NONBLANK)",UPPER(TRIM($E$2))="NONBLANK",TRIM($E$2)="&lt;&gt;"),(IF('Final Calculation Sheet'!$B$18="","",'Final Calculation Sheet'!$B$18))&lt;&gt;"",UPPER(TRIM((IF('Final Calculation Sheet'!$B$18="","",'Final Calculation Sheet'!$B$18))&amp;""))=UPPER(TRIM($E$2&amp;"")))))</f>
        <v/>
      </c>
      <c r="F18">
        <f>IF($F$3=FALSE,TRUE,IF(OR(UPPER(TRIM($F$2))="(BLANK)",UPPER(TRIM($F$2))="BLANK",AND($F$2&lt;&gt;"",TRIM($F$2)="")),(IF('Final Calculation Sheet'!$D$18="","",'Final Calculation Sheet'!$D$18))="",IF(OR(UPPER(TRIM($F$2))="(NONBLANK)",UPPER(TRIM($F$2))="NONBLANK",TRIM($F$2)="&lt;&gt;"),(IF('Final Calculation Sheet'!$D$18="","",'Final Calculation Sheet'!$D$18))&lt;&gt;"",UPPER(TRIM((IF('Final Calculation Sheet'!$D$18="","",'Final Calculation Sheet'!$D$18))&amp;""))=UPPER(TRIM($F$2&amp;"")))))</f>
        <v/>
      </c>
      <c r="G18">
        <f>IF($G$3=FALSE,TRUE,IF(OR(UPPER(TRIM($G$2))="(BLANK)",UPPER(TRIM($G$2))="BLANK",AND($G$2&lt;&gt;"",TRIM($G$2)="")),(IF('Final Calculation Sheet'!$A$18="","",'Final Calculation Sheet'!$A$18))="",IF(OR(UPPER(TRIM($G$2))="(NONBLANK)",UPPER(TRIM($G$2))="NONBLANK",TRIM($G$2)="&lt;&gt;"),(IF('Final Calculation Sheet'!$A$18="","",'Final Calculation Sheet'!$A$18))&lt;&gt;"",UPPER(TRIM((IF('Final Calculation Sheet'!$A$18="","",'Final Calculation Sheet'!$A$18))&amp;""))=UPPER(TRIM($G$2&amp;"")))))</f>
        <v/>
      </c>
      <c r="H18">
        <f>IF($H$3=FALSE,TRUE,IF(OR(UPPER(TRIM($H$2))="(BLANK)",UPPER(TRIM($H$2))="BLANK",AND($H$2&lt;&gt;"",TRIM($H$2)="")),(IF('Final Calculation Sheet'!$E$18="","",'Final Calculation Sheet'!$E$18))="",IF(OR(UPPER(TRIM($H$2))="(NONBLANK)",UPPER(TRIM($H$2))="NONBLANK",TRIM($H$2)="&lt;&gt;"),(IF('Final Calculation Sheet'!$E$18="","",'Final Calculation Sheet'!$E$18))&lt;&gt;"",UPPER(TRIM((IF('Final Calculation Sheet'!$E$18="","",'Final Calculation Sheet'!$E$18))&amp;""))=UPPER(TRIM($H$2&amp;"")))))</f>
        <v/>
      </c>
      <c r="I18">
        <f>IF($I$3=FALSE,TRUE,IF(OR(UPPER(TRIM($I$2))="(BLANK)",UPPER(TRIM($I$2))="BLANK",AND($I$2&lt;&gt;"",TRIM($I$2)="")),(IF('Final Calculation Sheet'!$C$18="","",'Final Calculation Sheet'!$C$18))="",IF(OR(UPPER(TRIM($I$2))="(NONBLANK)",UPPER(TRIM($I$2))="NONBLANK",TRIM($I$2)="&lt;&gt;"),(IF('Final Calculation Sheet'!$C$18="","",'Final Calculation Sheet'!$C$18))&lt;&gt;"",UPPER(TRIM((IF('Final Calculation Sheet'!$C$18="","",'Final Calculation Sheet'!$C$18))&amp;""))=UPPER(TRIM($I$2&amp;"")))))</f>
        <v/>
      </c>
      <c r="J18">
        <f>IF($J$3=FALSE,TRUE,IF(OR(UPPER(TRIM($J$2))="(BLANK)",UPPER(TRIM($J$2))="BLANK",AND($J$2&lt;&gt;"",TRIM($J$2)="")),(IF('Final Calculation Sheet'!$H$18="","",'Final Calculation Sheet'!$H$18))="",IF(OR(UPPER(TRIM($J$2))="(NONBLANK)",UPPER(TRIM($J$2))="NONBLANK",TRIM($J$2)="&lt;&gt;"),(IF('Final Calculation Sheet'!$H$18="","",'Final Calculation Sheet'!$H$18))&lt;&gt;"",UPPER(TRIM((IF('Final Calculation Sheet'!$H$18="","",'Final Calculation Sheet'!$H$18))&amp;""))=UPPER(TRIM($J$2&amp;"")))))</f>
        <v/>
      </c>
      <c r="K18">
        <f>IF($K$3=FALSE,TRUE,IF(OR(UPPER(TRIM($K$2))="(BLANK)",UPPER(TRIM($K$2))="BLANK",AND($K$2&lt;&gt;"",TRIM($K$2)="")),(IF('Final Calculation Sheet'!$I$18="","",'Final Calculation Sheet'!$I$18))="",IF(OR(UPPER(TRIM($K$2))="(NONBLANK)",UPPER(TRIM($K$2))="NONBLANK",TRIM($K$2)="&lt;&gt;"),(IF('Final Calculation Sheet'!$I$18="","",'Final Calculation Sheet'!$I$18))&lt;&gt;"",UPPER(TRIM((IF('Final Calculation Sheet'!$I$18="","",'Final Calculation Sheet'!$I$18))&amp;""))=UPPER(TRIM($K$2&amp;"")))))</f>
        <v/>
      </c>
      <c r="L18">
        <f>IF($L$3=FALSE,TRUE,IF(OR(UPPER(TRIM($L$2))="(BLANK)",UPPER(TRIM($L$2))="BLANK",AND($L$2&lt;&gt;"",TRIM($L$2)="")),(IF('Final Calculation Sheet'!$J$18="","",'Final Calculation Sheet'!$J$18))="",IF(OR(UPPER(TRIM($L$2))="(NONBLANK)",UPPER(TRIM($L$2))="NONBLANK",TRIM($L$2)="&lt;&gt;"),(IF('Final Calculation Sheet'!$J$18="","",'Final Calculation Sheet'!$J$18))&lt;&gt;"",UPPER(TRIM((IF('Final Calculation Sheet'!$J$18="","",'Final Calculation Sheet'!$J$18))&amp;""))=UPPER(TRIM($L$2&amp;"")))))</f>
        <v/>
      </c>
      <c r="M18">
        <f>IF($M$3=FALSE,TRUE,IF(OR(UPPER(TRIM($M$2))="(BLANK)",UPPER(TRIM($M$2))="BLANK",AND($M$2&lt;&gt;"",TRIM($M$2)="")),(IF('Final Calculation Sheet'!$K$18="","",'Final Calculation Sheet'!$K$18))="",IF(OR(UPPER(TRIM($M$2))="(NONBLANK)",UPPER(TRIM($M$2))="NONBLANK",TRIM($M$2)="&lt;&gt;"),(IF('Final Calculation Sheet'!$K$18="","",'Final Calculation Sheet'!$K$18))&lt;&gt;"",UPPER(TRIM((IF('Final Calculation Sheet'!$K$18="","",'Final Calculation Sheet'!$K$18))&amp;""))=UPPER(TRIM($M$2&amp;"")))))</f>
        <v/>
      </c>
      <c r="N18">
        <f>IF($N$3=FALSE,TRUE,IF(OR(UPPER(TRIM($N$2))="(BLANK)",UPPER(TRIM($N$2))="BLANK",AND($N$2&lt;&gt;"",TRIM($N$2)="")),(IF('Final Calculation Sheet'!$L$18="","",'Final Calculation Sheet'!$L$18))="",IF(OR(UPPER(TRIM($N$2))="(NONBLANK)",UPPER(TRIM($N$2))="NONBLANK",TRIM($N$2)="&lt;&gt;"),(IF('Final Calculation Sheet'!$L$18="","",'Final Calculation Sheet'!$L$18))&lt;&gt;"",UPPER(TRIM((IF('Final Calculation Sheet'!$L$18="","",'Final Calculation Sheet'!$L$18))&amp;""))=UPPER(TRIM($N$2&amp;"")))))</f>
        <v/>
      </c>
      <c r="O18">
        <f>IF($O$3=FALSE,TRUE,IF(OR(UPPER(TRIM($O$2))="(BLANK)",UPPER(TRIM($O$2))="BLANK",AND($O$2&lt;&gt;"",TRIM($O$2)="")),(IF('Final Calculation Sheet'!$M$18="","",'Final Calculation Sheet'!$M$18))="",IF(OR(UPPER(TRIM($O$2))="(NONBLANK)",UPPER(TRIM($O$2))="NONBLANK",TRIM($O$2)="&lt;&gt;"),(IF('Final Calculation Sheet'!$M$18="","",'Final Calculation Sheet'!$M$18))&lt;&gt;"",UPPER(TRIM((IF('Final Calculation Sheet'!$M$18="","",'Final Calculation Sheet'!$M$18))&amp;""))=UPPER(TRIM($O$2&amp;"")))))</f>
        <v/>
      </c>
      <c r="P18">
        <f>IF($P$3=FALSE,TRUE,IF(OR(UPPER(TRIM($P$2))="(BLANK)",UPPER(TRIM($P$2))="BLANK",AND($P$2&lt;&gt;"",TRIM($P$2)="")),(IF('Final Calculation Sheet'!$N$18="","",'Final Calculation Sheet'!$N$18))="",IF(OR(UPPER(TRIM($P$2))="(NONBLANK)",UPPER(TRIM($P$2))="NONBLANK",TRIM($P$2)="&lt;&gt;"),(IF('Final Calculation Sheet'!$N$18="","",'Final Calculation Sheet'!$N$18))&lt;&gt;"",UPPER(TRIM((IF('Final Calculation Sheet'!$N$18="","",'Final Calculation Sheet'!$N$18))&amp;""))=UPPER(TRIM($P$2&amp;"")))))</f>
        <v/>
      </c>
      <c r="Q18">
        <f>IF($Q$3=FALSE,TRUE,IF(OR(UPPER(TRIM($Q$2))="(BLANK)",UPPER(TRIM($Q$2))="BLANK",AND($Q$2&lt;&gt;"",TRIM($Q$2)="")),(IF('Final Calculation Sheet'!$O$18="","",'Final Calculation Sheet'!$O$18))="",IF(OR(UPPER(TRIM($Q$2))="(NONBLANK)",UPPER(TRIM($Q$2))="NONBLANK",TRIM($Q$2)="&lt;&gt;"),(IF('Final Calculation Sheet'!$O$18="","",'Final Calculation Sheet'!$O$18))&lt;&gt;"",UPPER(TRIM((IF('Final Calculation Sheet'!$O$18="","",'Final Calculation Sheet'!$O$18))&amp;""))=UPPER(TRIM($Q$2&amp;"")))))</f>
        <v/>
      </c>
      <c r="R18">
        <f>IF($R$3=FALSE,TRUE,IF(OR(UPPER(TRIM($R$2))="(BLANK)",UPPER(TRIM($R$2))="BLANK",AND($R$2&lt;&gt;"",TRIM($R$2)="")),(IF('Final Calculation Sheet'!$P$18="","",'Final Calculation Sheet'!$P$18))="",IF(OR(UPPER(TRIM($R$2))="(NONBLANK)",UPPER(TRIM($R$2))="NONBLANK",TRIM($R$2)="&lt;&gt;"),(IF('Final Calculation Sheet'!$P$18="","",'Final Calculation Sheet'!$P$18))&lt;&gt;"",UPPER(TRIM((IF('Final Calculation Sheet'!$P$18="","",'Final Calculation Sheet'!$P$18))&amp;""))=UPPER(TRIM($R$2&amp;"")))))</f>
        <v/>
      </c>
      <c r="S18">
        <f>IF($S$3=FALSE,TRUE,IF(OR(UPPER(TRIM($S$2))="(BLANK)",UPPER(TRIM($S$2))="BLANK",AND($S$2&lt;&gt;"",TRIM($S$2)="")),(IF('Final Calculation Sheet'!$Q$18="","",'Final Calculation Sheet'!$Q$18))="",IF(OR(UPPER(TRIM($S$2))="(NONBLANK)",UPPER(TRIM($S$2))="NONBLANK",TRIM($S$2)="&lt;&gt;"),(IF('Final Calculation Sheet'!$Q$18="","",'Final Calculation Sheet'!$Q$18))&lt;&gt;"",UPPER(TRIM((IF('Final Calculation Sheet'!$Q$18="","",'Final Calculation Sheet'!$Q$18))&amp;""))=UPPER(TRIM($S$2&amp;"")))))</f>
        <v/>
      </c>
      <c r="T18">
        <f>IF($T$3=FALSE,TRUE,IF(OR(UPPER(TRIM($T$2))="(BLANK)",UPPER(TRIM($T$2))="BLANK",AND($T$2&lt;&gt;"",TRIM($T$2)="")),(IF('Final Calculation Sheet'!$R$18="","",'Final Calculation Sheet'!$R$18))="",IF(OR(UPPER(TRIM($T$2))="(NONBLANK)",UPPER(TRIM($T$2))="NONBLANK",TRIM($T$2)="&lt;&gt;"),(IF('Final Calculation Sheet'!$R$18="","",'Final Calculation Sheet'!$R$18))&lt;&gt;"",UPPER(TRIM((IF('Final Calculation Sheet'!$R$18="","",'Final Calculation Sheet'!$R$18))&amp;""))=UPPER(TRIM($T$2&amp;"")))))</f>
        <v/>
      </c>
      <c r="U18">
        <f>IF($U$3=FALSE,TRUE,IF(OR(UPPER(TRIM($U$2))="(BLANK)",UPPER(TRIM($U$2))="BLANK",AND($U$2&lt;&gt;"",TRIM($U$2)="")),(IF('Final Calculation Sheet'!$S$18="","",'Final Calculation Sheet'!$S$18))="",IF(OR(UPPER(TRIM($U$2))="(NONBLANK)",UPPER(TRIM($U$2))="NONBLANK",TRIM($U$2)="&lt;&gt;"),(IF('Final Calculation Sheet'!$S$18="","",'Final Calculation Sheet'!$S$18))&lt;&gt;"",UPPER(TRIM((IF('Final Calculation Sheet'!$S$18="","",'Final Calculation Sheet'!$S$18))&amp;""))=UPPER(TRIM($U$2&amp;"")))))</f>
        <v/>
      </c>
      <c r="V18">
        <f>IF($V$3=FALSE,TRUE,IF(OR(UPPER(TRIM($V$2))="(BLANK)",UPPER(TRIM($V$2))="BLANK",AND($V$2&lt;&gt;"",TRIM($V$2)="")),(IF('Final Calculation Sheet'!$T$18="","",'Final Calculation Sheet'!$T$18))="",IF(OR(UPPER(TRIM($V$2))="(NONBLANK)",UPPER(TRIM($V$2))="NONBLANK",TRIM($V$2)="&lt;&gt;"),(IF('Final Calculation Sheet'!$T$18="","",'Final Calculation Sheet'!$T$18))&lt;&gt;"",UPPER(TRIM((IF('Final Calculation Sheet'!$T$18="","",'Final Calculation Sheet'!$T$18))&amp;""))=UPPER(TRIM($V$2&amp;"")))))</f>
        <v/>
      </c>
      <c r="W18">
        <f>IF($W$3=FALSE,TRUE,IF(OR(UPPER(TRIM($W$2))="(BLANK)",UPPER(TRIM($W$2))="BLANK",AND($W$2&lt;&gt;"",TRIM($W$2)="")),(IF('Final Calculation Sheet'!$U$18="","",'Final Calculation Sheet'!$U$18))="",IF(OR(UPPER(TRIM($W$2))="(NONBLANK)",UPPER(TRIM($W$2))="NONBLANK",TRIM($W$2)="&lt;&gt;"),(IF('Final Calculation Sheet'!$U$18="","",'Final Calculation Sheet'!$U$18))&lt;&gt;"",UPPER(TRIM((IF('Final Calculation Sheet'!$U$18="","",'Final Calculation Sheet'!$U$18))&amp;""))=UPPER(TRIM($W$2&amp;"")))))</f>
        <v/>
      </c>
      <c r="X18">
        <f>IF($X$3=FALSE,TRUE,IF(OR(UPPER(TRIM($X$2))="(BLANK)",UPPER(TRIM($X$2))="BLANK",AND($X$2&lt;&gt;"",TRIM($X$2)="")),(IF('Final Calculation Sheet'!$V$18="","",'Final Calculation Sheet'!$V$18))="",IF(OR(UPPER(TRIM($X$2))="(NONBLANK)",UPPER(TRIM($X$2))="NONBLANK",TRIM($X$2)="&lt;&gt;"),(IF('Final Calculation Sheet'!$V$18="","",'Final Calculation Sheet'!$V$18))&lt;&gt;"",UPPER(TRIM((IF('Final Calculation Sheet'!$V$18="","",'Final Calculation Sheet'!$V$18))&amp;""))=UPPER(TRIM($X$2&amp;"")))))</f>
        <v/>
      </c>
      <c r="Y18">
        <f>IF($Y$3=FALSE,TRUE,IF(OR(UPPER(TRIM($Y$2))="(BLANK)",UPPER(TRIM($Y$2))="BLANK",AND($Y$2&lt;&gt;"",TRIM($Y$2)="")),(IF('Final Calculation Sheet'!$W$18="","",'Final Calculation Sheet'!$W$18))="",IF(OR(UPPER(TRIM($Y$2))="(NONBLANK)",UPPER(TRIM($Y$2))="NONBLANK",TRIM($Y$2)="&lt;&gt;"),(IF('Final Calculation Sheet'!$W$18="","",'Final Calculation Sheet'!$W$18))&lt;&gt;"",UPPER(TRIM((IF('Final Calculation Sheet'!$W$18="","",'Final Calculation Sheet'!$W$18))&amp;""))=UPPER(TRIM($Y$2&amp;"")))))</f>
        <v/>
      </c>
      <c r="Z18">
        <f>IF($Z$3=FALSE,TRUE,IF(OR(UPPER(TRIM($Z$2))="(BLANK)",UPPER(TRIM($Z$2))="BLANK",AND($Z$2&lt;&gt;"",TRIM($Z$2)="")),(IF('Final Calculation Sheet'!$X$18="","",'Final Calculation Sheet'!$X$18))="",IF(OR(UPPER(TRIM($Z$2))="(NONBLANK)",UPPER(TRIM($Z$2))="NONBLANK",TRIM($Z$2)="&lt;&gt;"),(IF('Final Calculation Sheet'!$X$18="","",'Final Calculation Sheet'!$X$18))&lt;&gt;"",UPPER(TRIM((IF('Final Calculation Sheet'!$X$18="","",'Final Calculation Sheet'!$X$18))&amp;""))=UPPER(TRIM($Z$2&amp;"")))))</f>
        <v/>
      </c>
      <c r="AA18">
        <f>IF($AA$3=FALSE,TRUE,IF(OR(UPPER(TRIM($AA$2))="(BLANK)",UPPER(TRIM($AA$2))="BLANK",AND($AA$2&lt;&gt;"",TRIM($AA$2)="")),(IF('Final Calculation Sheet'!$Y$18="","",'Final Calculation Sheet'!$Y$18))="",IF(OR(UPPER(TRIM($AA$2))="(NONBLANK)",UPPER(TRIM($AA$2))="NONBLANK",TRIM($AA$2)="&lt;&gt;"),(IF('Final Calculation Sheet'!$Y$18="","",'Final Calculation Sheet'!$Y$18))&lt;&gt;"",UPPER(TRIM((IF('Final Calculation Sheet'!$Y$18="","",'Final Calculation Sheet'!$Y$18))&amp;""))=UPPER(TRIM($AA$2&amp;"")))))</f>
        <v/>
      </c>
      <c r="AB18">
        <f>IF($AB$3=FALSE,TRUE,IF(OR(UPPER(TRIM($AB$2))="(BLANK)",UPPER(TRIM($AB$2))="BLANK",AND($AB$2&lt;&gt;"",TRIM($AB$2)="")),(IF('Final Calculation Sheet'!$Z$18="","",'Final Calculation Sheet'!$Z$18))="",IF(OR(UPPER(TRIM($AB$2))="(NONBLANK)",UPPER(TRIM($AB$2))="NONBLANK",TRIM($AB$2)="&lt;&gt;"),(IF('Final Calculation Sheet'!$Z$18="","",'Final Calculation Sheet'!$Z$18))&lt;&gt;"",UPPER(TRIM((IF('Final Calculation Sheet'!$Z$18="","",'Final Calculation Sheet'!$Z$18))&amp;""))=UPPER(TRIM($AB$2&amp;"")))))</f>
        <v/>
      </c>
      <c r="AC18">
        <f>IF($AC$3=FALSE,TRUE,IF(OR(UPPER(TRIM($AC$2))="(BLANK)",UPPER(TRIM($AC$2))="BLANK",AND($AC$2&lt;&gt;"",TRIM($AC$2)="")),(IF('Final Calculation Sheet'!$AA$18="","",'Final Calculation Sheet'!$AA$18))="",IF(OR(UPPER(TRIM($AC$2))="(NONBLANK)",UPPER(TRIM($AC$2))="NONBLANK",TRIM($AC$2)="&lt;&gt;"),(IF('Final Calculation Sheet'!$AA$18="","",'Final Calculation Sheet'!$AA$18))&lt;&gt;"",UPPER(TRIM((IF('Final Calculation Sheet'!$AA$18="","",'Final Calculation Sheet'!$AA$18))&amp;""))=UPPER(TRIM($AC$2&amp;"")))))</f>
        <v/>
      </c>
      <c r="AD18">
        <f>IF($AD$3=FALSE,TRUE,IF(OR(UPPER(TRIM($AD$2))="(BLANK)",UPPER(TRIM($AD$2))="BLANK",AND($AD$2&lt;&gt;"",TRIM($AD$2)="")),(IF('Final Calculation Sheet'!$AB$18="","",'Final Calculation Sheet'!$AB$18))="",IF(OR(UPPER(TRIM($AD$2))="(NONBLANK)",UPPER(TRIM($AD$2))="NONBLANK",TRIM($AD$2)="&lt;&gt;"),(IF('Final Calculation Sheet'!$AB$18="","",'Final Calculation Sheet'!$AB$18))&lt;&gt;"",UPPER(TRIM((IF('Final Calculation Sheet'!$AB$18="","",'Final Calculation Sheet'!$AB$18))&amp;""))=UPPER(TRIM($AD$2&amp;"")))))</f>
        <v/>
      </c>
      <c r="AE18">
        <f>IF($AE$3=FALSE,TRUE,IF(OR(UPPER(TRIM($AE$2))="(BLANK)",UPPER(TRIM($AE$2))="BLANK",AND($AE$2&lt;&gt;"",TRIM($AE$2)="")),(IF('Final Calculation Sheet'!$AC$18="","",'Final Calculation Sheet'!$AC$18))="",IF(OR(UPPER(TRIM($AE$2))="(NONBLANK)",UPPER(TRIM($AE$2))="NONBLANK",TRIM($AE$2)="&lt;&gt;"),(IF('Final Calculation Sheet'!$AC$18="","",'Final Calculation Sheet'!$AC$18))&lt;&gt;"",UPPER(TRIM((IF('Final Calculation Sheet'!$AC$18="","",'Final Calculation Sheet'!$AC$18))&amp;""))=UPPER(TRIM($AE$2&amp;"")))))</f>
        <v/>
      </c>
      <c r="AF18">
        <f>IF($AF$3=FALSE,TRUE,IF(OR(UPPER(TRIM($AF$2))="(BLANK)",UPPER(TRIM($AF$2))="BLANK",AND($AF$2&lt;&gt;"",TRIM($AF$2)="")),(IF('Final Calculation Sheet'!$AD$18="","",'Final Calculation Sheet'!$AD$18))="",IF(OR(UPPER(TRIM($AF$2))="(NONBLANK)",UPPER(TRIM($AF$2))="NONBLANK",TRIM($AF$2)="&lt;&gt;"),(IF('Final Calculation Sheet'!$AD$18="","",'Final Calculation Sheet'!$AD$18))&lt;&gt;"",UPPER(TRIM((IF('Final Calculation Sheet'!$AD$18="","",'Final Calculation Sheet'!$AD$18))&amp;""))=UPPER(TRIM($AF$2&amp;"")))))</f>
        <v/>
      </c>
      <c r="AG18">
        <f>IF($AG$3=FALSE,TRUE,IF(OR(UPPER(TRIM($AG$2))="(BLANK)",UPPER(TRIM($AG$2))="BLANK",AND($AG$2&lt;&gt;"",TRIM($AG$2)="")),(IF('Final Calculation Sheet'!$AE$18="","",'Final Calculation Sheet'!$AE$18))="",IF(OR(UPPER(TRIM($AG$2))="(NONBLANK)",UPPER(TRIM($AG$2))="NONBLANK",TRIM($AG$2)="&lt;&gt;"),(IF('Final Calculation Sheet'!$AE$18="","",'Final Calculation Sheet'!$AE$18))&lt;&gt;"",UPPER(TRIM((IF('Final Calculation Sheet'!$AE$18="","",'Final Calculation Sheet'!$AE$18))&amp;""))=UPPER(TRIM($AG$2&amp;"")))))</f>
        <v/>
      </c>
      <c r="AH18">
        <f>IF($AH$3=FALSE,TRUE,IF(OR(UPPER(TRIM($AH$2))="(BLANK)",UPPER(TRIM($AH$2))="BLANK",AND($AH$2&lt;&gt;"",TRIM($AH$2)="")),(IF('Final Calculation Sheet'!$AF$18="","",'Final Calculation Sheet'!$AF$18))="",IF(OR(UPPER(TRIM($AH$2))="(NONBLANK)",UPPER(TRIM($AH$2))="NONBLANK",TRIM($AH$2)="&lt;&gt;"),(IF('Final Calculation Sheet'!$AF$18="","",'Final Calculation Sheet'!$AF$18))&lt;&gt;"",UPPER(TRIM((IF('Final Calculation Sheet'!$AF$18="","",'Final Calculation Sheet'!$AF$18))&amp;""))=UPPER(TRIM($AH$2&amp;"")))))</f>
        <v/>
      </c>
      <c r="AI18">
        <f>IF($AI$3=FALSE,TRUE,IF(OR(UPPER(TRIM($AI$2))="(BLANK)",UPPER(TRIM($AI$2))="BLANK",AND($AI$2&lt;&gt;"",TRIM($AI$2)="")),(IF('Final Calculation Sheet'!$AG$18="","",'Final Calculation Sheet'!$AG$18))="",IF(OR(UPPER(TRIM($AI$2))="(NONBLANK)",UPPER(TRIM($AI$2))="NONBLANK",TRIM($AI$2)="&lt;&gt;"),(IF('Final Calculation Sheet'!$AG$18="","",'Final Calculation Sheet'!$AG$18))&lt;&gt;"",UPPER(TRIM((IF('Final Calculation Sheet'!$AG$18="","",'Final Calculation Sheet'!$AG$18))&amp;""))=UPPER(TRIM($AI$2&amp;"")))))</f>
        <v/>
      </c>
      <c r="AJ18">
        <f>IF($AJ$3=FALSE,TRUE,IF(OR(UPPER(TRIM($AJ$2))="(BLANK)",UPPER(TRIM($AJ$2))="BLANK",AND($AJ$2&lt;&gt;"",TRIM($AJ$2)="")),(IF('Final Calculation Sheet'!$AD$18="","",IF('Final Calculation Sheet'!$AD$18&lt;=5,"SETTLED","OUTSTANDING")))="",IF(OR(UPPER(TRIM($AJ$2))="(NONBLANK)",UPPER(TRIM($AJ$2))="NONBLANK",TRIM($AJ$2)="&lt;&gt;"),(IF('Final Calculation Sheet'!$AD$18="","",IF('Final Calculation Sheet'!$AD$18&lt;=5,"SETTLED","OUTSTANDING")))&lt;&gt;"",UPPER(TRIM((IF('Final Calculation Sheet'!$AD$18="","",IF('Final Calculation Sheet'!$AD$18&lt;=5,"SETTLED","OUTSTANDING")))&amp;""))=UPPER(TRIM($AJ$2&amp;"")))))</f>
        <v/>
      </c>
      <c r="AL18">
        <f>IF(AND($B$18,$D$18:$AJ$18),IF('Final Calculation Sheet'!$F$18="","",'Final Calculation Sheet'!$F$18),"")</f>
        <v/>
      </c>
      <c r="AM18">
        <f>IF(AL18="","",COUNTIFS(AL$4:AL$40,"&lt;"&amp;AL18,AL$4:AL$40,"&lt;&gt;"&amp;"")+COUNTIF(AL$4:AL18,AL18))</f>
        <v/>
      </c>
      <c r="AN18">
        <f>IF(ROW()-3&gt;COUNTIF(AL$4:AL$40,"&lt;&gt;"&amp;""),"",INDEX(AL$4:AL$40,MATCH(ROW()-3,AM$4:AM$40,0)))</f>
        <v/>
      </c>
      <c r="AO18">
        <f>AO17+IF(AND(AN18&lt;&gt;"",COUNTIF(AN$4:AN18,AN18)=1),1,0)</f>
        <v/>
      </c>
      <c r="AP18">
        <f>IF(ROW()-3&gt;MAX(AO$4:AO$40),"",INDEX(AN$4:AN$40,MATCH(ROW()-3,AO$4:AO$40,0)))</f>
        <v/>
      </c>
      <c r="AQ18">
        <f>IF(AND($B$18:$C$18,$E$18:$AJ$18),IF('Final Calculation Sheet'!$G$18="","",'Final Calculation Sheet'!$G$18),"")</f>
        <v/>
      </c>
      <c r="AR18">
        <f>IF(AQ18="","",COUNTIFS(AQ$4:AQ$40,"&lt;"&amp;AQ18,AQ$4:AQ$40,"&lt;&gt;"&amp;"")+COUNTIF(AQ$4:AQ18,AQ18))</f>
        <v/>
      </c>
      <c r="AS18">
        <f>IF(ROW()-3&gt;COUNTIF(AQ$4:AQ$40,"&lt;&gt;"&amp;""),"",INDEX(AQ$4:AQ$40,MATCH(ROW()-3,AR$4:AR$40,0)))</f>
        <v/>
      </c>
      <c r="AT18">
        <f>AT17+IF(AND(AS18&lt;&gt;"",COUNTIF(AS$4:AS18,AS18)=1),1,0)</f>
        <v/>
      </c>
      <c r="AU18">
        <f>IF(ROW()-3&gt;MAX(AT$4:AT$40),"",INDEX(AS$4:AS$40,MATCH(ROW()-3,AT$4:AT$40,0)))</f>
        <v/>
      </c>
      <c r="AV18">
        <f>IF(AND($B$18:$D$18,$F$18:$AJ$18),IF('Final Calculation Sheet'!$B$18="","",'Final Calculation Sheet'!$B$18),"")</f>
        <v/>
      </c>
      <c r="AW18">
        <f>IF(AV18="","",COUNTIFS(AV$4:AV$40,"&lt;"&amp;AV18,AV$4:AV$40,"&lt;&gt;"&amp;"")+COUNTIF(AV$4:AV18,AV18))</f>
        <v/>
      </c>
      <c r="AX18">
        <f>IF(ROW()-3&gt;COUNTIF(AV$4:AV$40,"&lt;&gt;"&amp;""),"",INDEX(AV$4:AV$40,MATCH(ROW()-3,AW$4:AW$40,0)))</f>
        <v/>
      </c>
      <c r="AY18">
        <f>AY17+IF(AND(AX18&lt;&gt;"",COUNTIF(AX$4:AX18,AX18)=1),1,0)</f>
        <v/>
      </c>
      <c r="AZ18">
        <f>IF(ROW()-3&gt;MAX(AY$4:AY$40),"",INDEX(AX$4:AX$40,MATCH(ROW()-3,AY$4:AY$40,0)))</f>
        <v/>
      </c>
      <c r="BA18">
        <f>IF(AND($B$18:$E$18,$G$18:$AJ$18),IF('Final Calculation Sheet'!$D$18="","",'Final Calculation Sheet'!$D$18),"")</f>
        <v/>
      </c>
      <c r="BB18">
        <f>IF(BA18="","",COUNTIFS(BA$4:BA$40,"&lt;"&amp;BA18,BA$4:BA$40,"&lt;&gt;"&amp;"")+COUNTIF(BA$4:BA18,BA18))</f>
        <v/>
      </c>
      <c r="BC18">
        <f>IF(ROW()-3&gt;COUNTIF(BA$4:BA$40,"&lt;&gt;"&amp;""),"",INDEX(BA$4:BA$40,MATCH(ROW()-3,BB$4:BB$40,0)))</f>
        <v/>
      </c>
      <c r="BD18">
        <f>BD17+IF(AND(BC18&lt;&gt;"",COUNTIF(BC$4:BC18,BC18)=1),1,0)</f>
        <v/>
      </c>
      <c r="BE18">
        <f>IF(ROW()-3&gt;MAX(BD$4:BD$40),"",INDEX(BC$4:BC$40,MATCH(ROW()-3,BD$4:BD$40,0)))</f>
        <v/>
      </c>
      <c r="BF18">
        <f>IF(AND($B$18:$F$18,$H$18:$AJ$18),IF('Final Calculation Sheet'!$A$18="","",'Final Calculation Sheet'!$A$18),"")</f>
        <v/>
      </c>
      <c r="BG18">
        <f>IF(BF18="","",COUNTIFS(BF$4:BF$40,"&lt;"&amp;BF18,BF$4:BF$40,"&lt;&gt;"&amp;"")+COUNTIF(BF$4:BF18,BF18))</f>
        <v/>
      </c>
      <c r="BH18">
        <f>IF(ROW()-3&gt;COUNTIF(BF$4:BF$40,"&lt;&gt;"&amp;""),"",INDEX(BF$4:BF$40,MATCH(ROW()-3,BG$4:BG$40,0)))</f>
        <v/>
      </c>
      <c r="BI18">
        <f>BI17+IF(AND(BH18&lt;&gt;"",COUNTIF(BH$4:BH18,BH18)=1),1,0)</f>
        <v/>
      </c>
      <c r="BJ18">
        <f>IF(ROW()-3&gt;MAX(BI$4:BI$40),"",INDEX(BH$4:BH$40,MATCH(ROW()-3,BI$4:BI$40,0)))</f>
        <v/>
      </c>
      <c r="BK18">
        <f>IF(AND($B$18:$G$18,$I$18:$AJ$18),IF('Final Calculation Sheet'!$E$18="","",'Final Calculation Sheet'!$E$18),"")</f>
        <v/>
      </c>
      <c r="BL18">
        <f>IF(BK18="","",COUNTIFS(BK$4:BK$40,"&lt;"&amp;BK18,BK$4:BK$40,"&lt;&gt;"&amp;"")+COUNTIF(BK$4:BK18,BK18))</f>
        <v/>
      </c>
      <c r="BM18">
        <f>IF(ROW()-3&gt;COUNTIF(BK$4:BK$40,"&lt;&gt;"&amp;""),"",INDEX(BK$4:BK$40,MATCH(ROW()-3,BL$4:BL$40,0)))</f>
        <v/>
      </c>
      <c r="BN18">
        <f>BN17+IF(AND(BM18&lt;&gt;"",COUNTIF(BM$4:BM18,BM18)=1),1,0)</f>
        <v/>
      </c>
      <c r="BO18">
        <f>IF(ROW()-3&gt;MAX(BN$4:BN$40),"",INDEX(BM$4:BM$40,MATCH(ROW()-3,BN$4:BN$40,0)))</f>
        <v/>
      </c>
      <c r="BP18" s="55">
        <f>IF(AND($B$18:$H$18,$J$18:$AJ$18),IF('Final Calculation Sheet'!$C$18="","",'Final Calculation Sheet'!$C$18),"")</f>
        <v/>
      </c>
      <c r="BQ18">
        <f>IF(BP18="","",COUNTIFS(BP$4:BP$40,"&lt;"&amp;BP18,BP$4:BP$40,"&lt;&gt;"&amp;"")+COUNTIF(BP$4:BP18,BP18))</f>
        <v/>
      </c>
      <c r="BR18" s="55">
        <f>IF(ROW()-3&gt;COUNTIF(BP$4:BP$40,"&lt;&gt;"&amp;""),"",INDEX(BP$4:BP$40,MATCH(ROW()-3,BQ$4:BQ$40,0)))</f>
        <v/>
      </c>
      <c r="BS18">
        <f>BS17+IF(AND(BR18&lt;&gt;"",COUNTIF(BR$4:BR18,BR18)=1),1,0)</f>
        <v/>
      </c>
      <c r="BT18" s="55">
        <f>IF(ROW()-3&gt;MAX(BS$4:BS$40),"",INDEX(BR$4:BR$40,MATCH(ROW()-3,BS$4:BS$40,0)))</f>
        <v/>
      </c>
      <c r="BU18" s="55">
        <f>IF(AND($B$18:$I$18,$K$18:$AJ$18),IF('Final Calculation Sheet'!$H$18="","",'Final Calculation Sheet'!$H$18),"")</f>
        <v/>
      </c>
      <c r="BV18">
        <f>IF(BU18="","",COUNTIFS(BU$4:BU$40,"&lt;"&amp;BU18,BU$4:BU$40,"&lt;&gt;"&amp;"")+COUNTIF(BU$4:BU18,BU18))</f>
        <v/>
      </c>
      <c r="BW18" s="55">
        <f>IF(ROW()-3&gt;COUNTIF(BU$4:BU$40,"&lt;&gt;"&amp;""),"",INDEX(BU$4:BU$40,MATCH(ROW()-3,BV$4:BV$40,0)))</f>
        <v/>
      </c>
      <c r="BX18">
        <f>BX17+IF(AND(BW18&lt;&gt;"",COUNTIF(BW$4:BW18,BW18)=1),1,0)</f>
        <v/>
      </c>
      <c r="BY18" s="55">
        <f>IF(ROW()-3&gt;MAX(BX$4:BX$40),"",INDEX(BW$4:BW$40,MATCH(ROW()-3,BX$4:BX$40,0)))</f>
        <v/>
      </c>
      <c r="BZ18" s="55">
        <f>IF(AND($B$18:$J$18,$L$18:$AJ$18),IF('Final Calculation Sheet'!$I$18="","",'Final Calculation Sheet'!$I$18),"")</f>
        <v/>
      </c>
      <c r="CA18">
        <f>IF(BZ18="","",COUNTIFS(BZ$4:BZ$40,"&lt;"&amp;BZ18,BZ$4:BZ$40,"&lt;&gt;"&amp;"")+COUNTIF(BZ$4:BZ18,BZ18))</f>
        <v/>
      </c>
      <c r="CB18" s="55">
        <f>IF(ROW()-3&gt;COUNTIF(BZ$4:BZ$40,"&lt;&gt;"&amp;""),"",INDEX(BZ$4:BZ$40,MATCH(ROW()-3,CA$4:CA$40,0)))</f>
        <v/>
      </c>
      <c r="CC18">
        <f>CC17+IF(AND(CB18&lt;&gt;"",COUNTIF(CB$4:CB18,CB18)=1),1,0)</f>
        <v/>
      </c>
      <c r="CD18" s="55">
        <f>IF(ROW()-3&gt;MAX(CC$4:CC$40),"",INDEX(CB$4:CB$40,MATCH(ROW()-3,CC$4:CC$40,0)))</f>
        <v/>
      </c>
      <c r="CE18" s="55">
        <f>IF(AND($B$18:$K$18,$M$18:$AJ$18),IF('Final Calculation Sheet'!$J$18="","",'Final Calculation Sheet'!$J$18),"")</f>
        <v/>
      </c>
      <c r="CF18">
        <f>IF(CE18="","",COUNTIFS(CE$4:CE$40,"&lt;"&amp;CE18,CE$4:CE$40,"&lt;&gt;"&amp;"")+COUNTIF(CE$4:CE18,CE18))</f>
        <v/>
      </c>
      <c r="CG18" s="55">
        <f>IF(ROW()-3&gt;COUNTIF(CE$4:CE$40,"&lt;&gt;"&amp;""),"",INDEX(CE$4:CE$40,MATCH(ROW()-3,CF$4:CF$40,0)))</f>
        <v/>
      </c>
      <c r="CH18">
        <f>CH17+IF(AND(CG18&lt;&gt;"",COUNTIF(CG$4:CG18,CG18)=1),1,0)</f>
        <v/>
      </c>
      <c r="CI18" s="55">
        <f>IF(ROW()-3&gt;MAX(CH$4:CH$40),"",INDEX(CG$4:CG$40,MATCH(ROW()-3,CH$4:CH$40,0)))</f>
        <v/>
      </c>
      <c r="CJ18" s="55">
        <f>IF(AND($B$18:$L$18,$N$18:$AJ$18),IF('Final Calculation Sheet'!$K$18="","",'Final Calculation Sheet'!$K$18),"")</f>
        <v/>
      </c>
      <c r="CK18">
        <f>IF(CJ18="","",COUNTIFS(CJ$4:CJ$40,"&lt;"&amp;CJ18,CJ$4:CJ$40,"&lt;&gt;"&amp;"")+COUNTIF(CJ$4:CJ18,CJ18))</f>
        <v/>
      </c>
      <c r="CL18" s="55">
        <f>IF(ROW()-3&gt;COUNTIF(CJ$4:CJ$40,"&lt;&gt;"&amp;""),"",INDEX(CJ$4:CJ$40,MATCH(ROW()-3,CK$4:CK$40,0)))</f>
        <v/>
      </c>
      <c r="CM18">
        <f>CM17+IF(AND(CL18&lt;&gt;"",COUNTIF(CL$4:CL18,CL18)=1),1,0)</f>
        <v/>
      </c>
      <c r="CN18" s="55">
        <f>IF(ROW()-3&gt;MAX(CM$4:CM$40),"",INDEX(CL$4:CL$40,MATCH(ROW()-3,CM$4:CM$40,0)))</f>
        <v/>
      </c>
      <c r="CO18" s="55">
        <f>IF(AND($B$18:$M$18,$O$18:$AJ$18),IF('Final Calculation Sheet'!$L$18="","",'Final Calculation Sheet'!$L$18),"")</f>
        <v/>
      </c>
      <c r="CP18">
        <f>IF(CO18="","",COUNTIFS(CO$4:CO$40,"&lt;"&amp;CO18,CO$4:CO$40,"&lt;&gt;"&amp;"")+COUNTIF(CO$4:CO18,CO18))</f>
        <v/>
      </c>
      <c r="CQ18" s="55">
        <f>IF(ROW()-3&gt;COUNTIF(CO$4:CO$40,"&lt;&gt;"&amp;""),"",INDEX(CO$4:CO$40,MATCH(ROW()-3,CP$4:CP$40,0)))</f>
        <v/>
      </c>
      <c r="CR18">
        <f>CR17+IF(AND(CQ18&lt;&gt;"",COUNTIF(CQ$4:CQ18,CQ18)=1),1,0)</f>
        <v/>
      </c>
      <c r="CS18" s="55">
        <f>IF(ROW()-3&gt;MAX(CR$4:CR$40),"",INDEX(CQ$4:CQ$40,MATCH(ROW()-3,CR$4:CR$40,0)))</f>
        <v/>
      </c>
      <c r="CT18" s="55">
        <f>IF(AND($B$18:$N$18,$P$18:$AJ$18),IF('Final Calculation Sheet'!$M$18="","",'Final Calculation Sheet'!$M$18),"")</f>
        <v/>
      </c>
      <c r="CU18">
        <f>IF(CT18="","",COUNTIFS(CT$4:CT$40,"&lt;"&amp;CT18,CT$4:CT$40,"&lt;&gt;"&amp;"")+COUNTIF(CT$4:CT18,CT18))</f>
        <v/>
      </c>
      <c r="CV18" s="55">
        <f>IF(ROW()-3&gt;COUNTIF(CT$4:CT$40,"&lt;&gt;"&amp;""),"",INDEX(CT$4:CT$40,MATCH(ROW()-3,CU$4:CU$40,0)))</f>
        <v/>
      </c>
      <c r="CW18">
        <f>CW17+IF(AND(CV18&lt;&gt;"",COUNTIF(CV$4:CV18,CV18)=1),1,0)</f>
        <v/>
      </c>
      <c r="CX18" s="55">
        <f>IF(ROW()-3&gt;MAX(CW$4:CW$40),"",INDEX(CV$4:CV$40,MATCH(ROW()-3,CW$4:CW$40,0)))</f>
        <v/>
      </c>
      <c r="CY18" s="138">
        <f>IF(AND($B$18:$O$18,$Q$18:$AJ$18),IF('Final Calculation Sheet'!$N$18="","",'Final Calculation Sheet'!$N$18),"")</f>
        <v/>
      </c>
      <c r="CZ18">
        <f>IF(CY18="","",COUNTIFS(CY$4:CY$40,"&lt;"&amp;CY18,CY$4:CY$40,"&lt;&gt;"&amp;"")+COUNTIF(CY$4:CY18,CY18))</f>
        <v/>
      </c>
      <c r="DA18" s="138">
        <f>IF(ROW()-3&gt;COUNTIF(CY$4:CY$40,"&lt;&gt;"&amp;""),"",INDEX(CY$4:CY$40,MATCH(ROW()-3,CZ$4:CZ$40,0)))</f>
        <v/>
      </c>
      <c r="DB18">
        <f>DB17+IF(AND(DA18&lt;&gt;"",COUNTIF(DA$4:DA18,DA18)=1),1,0)</f>
        <v/>
      </c>
      <c r="DC18" s="138">
        <f>IF(ROW()-3&gt;MAX(DB$4:DB$40),"",INDEX(DA$4:DA$40,MATCH(ROW()-3,DB$4:DB$40,0)))</f>
        <v/>
      </c>
      <c r="DD18" s="55">
        <f>IF(AND($B$18:$P$18,$R$18:$AJ$18),IF('Final Calculation Sheet'!$O$18="","",'Final Calculation Sheet'!$O$18),"")</f>
        <v/>
      </c>
      <c r="DE18">
        <f>IF(DD18="","",COUNTIFS(DD$4:DD$40,"&lt;"&amp;DD18,DD$4:DD$40,"&lt;&gt;"&amp;"")+COUNTIF(DD$4:DD18,DD18))</f>
        <v/>
      </c>
      <c r="DF18" s="55">
        <f>IF(ROW()-3&gt;COUNTIF(DD$4:DD$40,"&lt;&gt;"&amp;""),"",INDEX(DD$4:DD$40,MATCH(ROW()-3,DE$4:DE$40,0)))</f>
        <v/>
      </c>
      <c r="DG18">
        <f>DG17+IF(AND(DF18&lt;&gt;"",COUNTIF(DF$4:DF18,DF18)=1),1,0)</f>
        <v/>
      </c>
      <c r="DH18" s="55">
        <f>IF(ROW()-3&gt;MAX(DG$4:DG$40),"",INDEX(DF$4:DF$40,MATCH(ROW()-3,DG$4:DG$40,0)))</f>
        <v/>
      </c>
      <c r="DI18" s="55">
        <f>IF(AND($B$18:$Q$18,$S$18:$AJ$18),IF('Final Calculation Sheet'!$P$18="","",'Final Calculation Sheet'!$P$18),"")</f>
        <v/>
      </c>
      <c r="DJ18">
        <f>IF(DI18="","",COUNTIFS(DI$4:DI$40,"&lt;"&amp;DI18,DI$4:DI$40,"&lt;&gt;"&amp;"")+COUNTIF(DI$4:DI18,DI18))</f>
        <v/>
      </c>
      <c r="DK18" s="55">
        <f>IF(ROW()-3&gt;COUNTIF(DI$4:DI$40,"&lt;&gt;"&amp;""),"",INDEX(DI$4:DI$40,MATCH(ROW()-3,DJ$4:DJ$40,0)))</f>
        <v/>
      </c>
      <c r="DL18">
        <f>DL17+IF(AND(DK18&lt;&gt;"",COUNTIF(DK$4:DK18,DK18)=1),1,0)</f>
        <v/>
      </c>
      <c r="DM18" s="55">
        <f>IF(ROW()-3&gt;MAX(DL$4:DL$40),"",INDEX(DK$4:DK$40,MATCH(ROW()-3,DL$4:DL$40,0)))</f>
        <v/>
      </c>
      <c r="DN18" s="139">
        <f>IF(AND($B$18:$R$18,$T$18:$AJ$18),IF('Final Calculation Sheet'!$Q$18="","",'Final Calculation Sheet'!$Q$18),"")</f>
        <v/>
      </c>
      <c r="DO18">
        <f>IF(DN18="","",COUNTIFS(DN$4:DN$40,"&lt;"&amp;DN18,DN$4:DN$40,"&lt;&gt;"&amp;"")+COUNTIF(DN$4:DN18,DN18))</f>
        <v/>
      </c>
      <c r="DP18" s="139">
        <f>IF(ROW()-3&gt;COUNTIF(DN$4:DN$40,"&lt;&gt;"&amp;""),"",INDEX(DN$4:DN$40,MATCH(ROW()-3,DO$4:DO$40,0)))</f>
        <v/>
      </c>
      <c r="DQ18">
        <f>DQ17+IF(AND(DP18&lt;&gt;"",COUNTIF(DP$4:DP18,DP18)=1),1,0)</f>
        <v/>
      </c>
      <c r="DR18" s="139">
        <f>IF(ROW()-3&gt;MAX(DQ$4:DQ$40),"",INDEX(DP$4:DP$40,MATCH(ROW()-3,DQ$4:DQ$40,0)))</f>
        <v/>
      </c>
      <c r="DS18" s="55">
        <f>IF(AND($B$18:$S$18,$U$18:$AJ$18),IF('Final Calculation Sheet'!$R$18="","",'Final Calculation Sheet'!$R$18),"")</f>
        <v/>
      </c>
      <c r="DT18">
        <f>IF(DS18="","",COUNTIFS(DS$4:DS$40,"&lt;"&amp;DS18,DS$4:DS$40,"&lt;&gt;"&amp;"")+COUNTIF(DS$4:DS18,DS18))</f>
        <v/>
      </c>
      <c r="DU18" s="55">
        <f>IF(ROW()-3&gt;COUNTIF(DS$4:DS$40,"&lt;&gt;"&amp;""),"",INDEX(DS$4:DS$40,MATCH(ROW()-3,DT$4:DT$40,0)))</f>
        <v/>
      </c>
      <c r="DV18">
        <f>DV17+IF(AND(DU18&lt;&gt;"",COUNTIF(DU$4:DU18,DU18)=1),1,0)</f>
        <v/>
      </c>
      <c r="DW18" s="55">
        <f>IF(ROW()-3&gt;MAX(DV$4:DV$40),"",INDEX(DU$4:DU$40,MATCH(ROW()-3,DV$4:DV$40,0)))</f>
        <v/>
      </c>
      <c r="DX18" s="55">
        <f>IF(AND($B$18:$T$18,$V$18:$AJ$18),IF('Final Calculation Sheet'!$S$18="","",'Final Calculation Sheet'!$S$18),"")</f>
        <v/>
      </c>
      <c r="DY18">
        <f>IF(DX18="","",COUNTIFS(DX$4:DX$40,"&lt;"&amp;DX18,DX$4:DX$40,"&lt;&gt;"&amp;"")+COUNTIF(DX$4:DX18,DX18))</f>
        <v/>
      </c>
      <c r="DZ18" s="55">
        <f>IF(ROW()-3&gt;COUNTIF(DX$4:DX$40,"&lt;&gt;"&amp;""),"",INDEX(DX$4:DX$40,MATCH(ROW()-3,DY$4:DY$40,0)))</f>
        <v/>
      </c>
      <c r="EA18">
        <f>EA17+IF(AND(DZ18&lt;&gt;"",COUNTIF(DZ$4:DZ18,DZ18)=1),1,0)</f>
        <v/>
      </c>
      <c r="EB18" s="55">
        <f>IF(ROW()-3&gt;MAX(EA$4:EA$40),"",INDEX(DZ$4:DZ$40,MATCH(ROW()-3,EA$4:EA$40,0)))</f>
        <v/>
      </c>
      <c r="EC18" s="55">
        <f>IF(AND($B$18:$U$18,$W$18:$AJ$18),IF('Final Calculation Sheet'!$T$18="","",'Final Calculation Sheet'!$T$18),"")</f>
        <v/>
      </c>
      <c r="ED18">
        <f>IF(EC18="","",COUNTIFS(EC$4:EC$40,"&lt;"&amp;EC18,EC$4:EC$40,"&lt;&gt;"&amp;"")+COUNTIF(EC$4:EC18,EC18))</f>
        <v/>
      </c>
      <c r="EE18" s="55">
        <f>IF(ROW()-3&gt;COUNTIF(EC$4:EC$40,"&lt;&gt;"&amp;""),"",INDEX(EC$4:EC$40,MATCH(ROW()-3,ED$4:ED$40,0)))</f>
        <v/>
      </c>
      <c r="EF18">
        <f>EF17+IF(AND(EE18&lt;&gt;"",COUNTIF(EE$4:EE18,EE18)=1),1,0)</f>
        <v/>
      </c>
      <c r="EG18" s="55">
        <f>IF(ROW()-3&gt;MAX(EF$4:EF$40),"",INDEX(EE$4:EE$40,MATCH(ROW()-3,EF$4:EF$40,0)))</f>
        <v/>
      </c>
      <c r="EH18" s="140">
        <f>IF(AND($B$18:$V$18,$X$18:$AJ$18),IF('Final Calculation Sheet'!$U$18="","",'Final Calculation Sheet'!$U$18),"")</f>
        <v/>
      </c>
      <c r="EI18">
        <f>IF(EH18="","",COUNTIFS(EH$4:EH$40,"&lt;"&amp;EH18,EH$4:EH$40,"&lt;&gt;"&amp;"")+COUNTIF(EH$4:EH18,EH18))</f>
        <v/>
      </c>
      <c r="EJ18" s="140">
        <f>IF(ROW()-3&gt;COUNTIF(EH$4:EH$40,"&lt;&gt;"&amp;""),"",INDEX(EH$4:EH$40,MATCH(ROW()-3,EI$4:EI$40,0)))</f>
        <v/>
      </c>
      <c r="EK18">
        <f>EK17+IF(AND(EJ18&lt;&gt;"",COUNTIF(EJ$4:EJ18,EJ18)=1),1,0)</f>
        <v/>
      </c>
      <c r="EL18" s="140">
        <f>IF(ROW()-3&gt;MAX(EK$4:EK$40),"",INDEX(EJ$4:EJ$40,MATCH(ROW()-3,EK$4:EK$40,0)))</f>
        <v/>
      </c>
      <c r="EM18">
        <f>IF(AND($B$18:$W$18,$Y$18:$AJ$18),IF('Final Calculation Sheet'!$V$18="","",'Final Calculation Sheet'!$V$18),"")</f>
        <v/>
      </c>
      <c r="EN18">
        <f>IF(EM18="","",COUNTIFS(EM$4:EM$40,"&lt;"&amp;EM18,EM$4:EM$40,"&lt;&gt;"&amp;"")+COUNTIF(EM$4:EM18,EM18))</f>
        <v/>
      </c>
      <c r="EO18">
        <f>IF(ROW()-3&gt;COUNTIF(EM$4:EM$40,"&lt;&gt;"&amp;""),"",INDEX(EM$4:EM$40,MATCH(ROW()-3,EN$4:EN$40,0)))</f>
        <v/>
      </c>
      <c r="EP18">
        <f>EP17+IF(AND(EO18&lt;&gt;"",COUNTIF(EO$4:EO18,EO18)=1),1,0)</f>
        <v/>
      </c>
      <c r="EQ18">
        <f>IF(ROW()-3&gt;MAX(EP$4:EP$40),"",INDEX(EO$4:EO$40,MATCH(ROW()-3,EP$4:EP$40,0)))</f>
        <v/>
      </c>
      <c r="ER18" s="55">
        <f>IF(AND($B$18:$X$18,$Z$18:$AJ$18),IF('Final Calculation Sheet'!$W$18="","",'Final Calculation Sheet'!$W$18),"")</f>
        <v/>
      </c>
      <c r="ES18">
        <f>IF(ER18="","",COUNTIFS(ER$4:ER$40,"&lt;"&amp;ER18,ER$4:ER$40,"&lt;&gt;"&amp;"")+COUNTIF(ER$4:ER18,ER18))</f>
        <v/>
      </c>
      <c r="ET18" s="55">
        <f>IF(ROW()-3&gt;COUNTIF(ER$4:ER$40,"&lt;&gt;"&amp;""),"",INDEX(ER$4:ER$40,MATCH(ROW()-3,ES$4:ES$40,0)))</f>
        <v/>
      </c>
      <c r="EU18">
        <f>EU17+IF(AND(ET18&lt;&gt;"",COUNTIF(ET$4:ET18,ET18)=1),1,0)</f>
        <v/>
      </c>
      <c r="EV18" s="55">
        <f>IF(ROW()-3&gt;MAX(EU$4:EU$40),"",INDEX(ET$4:ET$40,MATCH(ROW()-3,EU$4:EU$40,0)))</f>
        <v/>
      </c>
      <c r="EW18" s="55">
        <f>IF(AND($B$18:$Y$18,$AA$18:$AJ$18),IF('Final Calculation Sheet'!$X$18="","",'Final Calculation Sheet'!$X$18),"")</f>
        <v/>
      </c>
      <c r="EX18">
        <f>IF(EW18="","",COUNTIFS(EW$4:EW$40,"&lt;"&amp;EW18,EW$4:EW$40,"&lt;&gt;"&amp;"")+COUNTIF(EW$4:EW18,EW18))</f>
        <v/>
      </c>
      <c r="EY18" s="55">
        <f>IF(ROW()-3&gt;COUNTIF(EW$4:EW$40,"&lt;&gt;"&amp;""),"",INDEX(EW$4:EW$40,MATCH(ROW()-3,EX$4:EX$40,0)))</f>
        <v/>
      </c>
      <c r="EZ18">
        <f>EZ17+IF(AND(EY18&lt;&gt;"",COUNTIF(EY$4:EY18,EY18)=1),1,0)</f>
        <v/>
      </c>
      <c r="FA18">
        <f>IF(ROW()-3&gt;MAX(EZ$4:EZ$40),"",INDEX(EY$4:EY$40,MATCH(ROW()-3,EZ$4:EZ$40,0)))</f>
        <v/>
      </c>
      <c r="FB18">
        <f>IF(AND($B$18:$Z$18,$AB$18:$AJ$18),IF('Final Calculation Sheet'!$Y$18="","",'Final Calculation Sheet'!$Y$18),"")</f>
        <v/>
      </c>
      <c r="FC18">
        <f>IF(FB18="","",COUNTIFS(FB$4:FB$40,"&lt;"&amp;FB18,FB$4:FB$40,"&lt;&gt;"&amp;"")+COUNTIF(FB$4:FB18,FB18))</f>
        <v/>
      </c>
      <c r="FD18">
        <f>IF(ROW()-3&gt;COUNTIF(FB$4:FB$40,"&lt;&gt;"&amp;""),"",INDEX(FB$4:FB$40,MATCH(ROW()-3,FC$4:FC$40,0)))</f>
        <v/>
      </c>
      <c r="FE18">
        <f>FE17+IF(AND(FD18&lt;&gt;"",COUNTIF(FD$4:FD18,FD18)=1),1,0)</f>
        <v/>
      </c>
      <c r="FF18">
        <f>IF(ROW()-3&gt;MAX(FE$4:FE$40),"",INDEX(FD$4:FD$40,MATCH(ROW()-3,FE$4:FE$40,0)))</f>
        <v/>
      </c>
      <c r="FG18" s="55">
        <f>IF(AND($B$18:$AA$18,$AC$18:$AJ$18),IF('Final Calculation Sheet'!$Z$18="","",'Final Calculation Sheet'!$Z$18),"")</f>
        <v/>
      </c>
      <c r="FH18">
        <f>IF(FG18="","",COUNTIFS(FG$4:FG$40,"&lt;"&amp;FG18,FG$4:FG$40,"&lt;&gt;"&amp;"")+COUNTIF(FG$4:FG18,FG18))</f>
        <v/>
      </c>
      <c r="FI18" s="55">
        <f>IF(ROW()-3&gt;COUNTIF(FG$4:FG$40,"&lt;&gt;"&amp;""),"",INDEX(FG$4:FG$40,MATCH(ROW()-3,FH$4:FH$40,0)))</f>
        <v/>
      </c>
      <c r="FJ18">
        <f>FJ17+IF(AND(FI18&lt;&gt;"",COUNTIF(FI$4:FI18,FI18)=1),1,0)</f>
        <v/>
      </c>
      <c r="FK18" s="55">
        <f>IF(ROW()-3&gt;MAX(FJ$4:FJ$40),"",INDEX(FI$4:FI$40,MATCH(ROW()-3,FJ$4:FJ$40,0)))</f>
        <v/>
      </c>
      <c r="FL18">
        <f>IF(AND($B$18:$AB$18,$AD$18:$AJ$18),IF('Final Calculation Sheet'!$AA$18="","",'Final Calculation Sheet'!$AA$18),"")</f>
        <v/>
      </c>
      <c r="FM18">
        <f>IF(FL18="","",COUNTIFS(FL$4:FL$40,"&lt;"&amp;FL18,FL$4:FL$40,"&lt;&gt;"&amp;"")+COUNTIF(FL$4:FL18,FL18))</f>
        <v/>
      </c>
      <c r="FN18">
        <f>IF(ROW()-3&gt;COUNTIF(FL$4:FL$40,"&lt;&gt;"&amp;""),"",INDEX(FL$4:FL$40,MATCH(ROW()-3,FM$4:FM$40,0)))</f>
        <v/>
      </c>
      <c r="FO18">
        <f>FO17+IF(AND(FN18&lt;&gt;"",COUNTIF(FN$4:FN18,FN18)=1),1,0)</f>
        <v/>
      </c>
      <c r="FP18">
        <f>IF(ROW()-3&gt;MAX(FO$4:FO$40),"",INDEX(FN$4:FN$40,MATCH(ROW()-3,FO$4:FO$40,0)))</f>
        <v/>
      </c>
      <c r="FQ18">
        <f>IF(AND($B$18:$AC$18,$AE$18:$AJ$18),IF('Final Calculation Sheet'!$AB$18="","",'Final Calculation Sheet'!$AB$18),"")</f>
        <v/>
      </c>
      <c r="FR18">
        <f>IF(FQ18="","",COUNTIFS(FQ$4:FQ$40,"&lt;"&amp;FQ18,FQ$4:FQ$40,"&lt;&gt;"&amp;"")+COUNTIF(FQ$4:FQ18,FQ18))</f>
        <v/>
      </c>
      <c r="FS18">
        <f>IF(ROW()-3&gt;COUNTIF(FQ$4:FQ$40,"&lt;&gt;"&amp;""),"",INDEX(FQ$4:FQ$40,MATCH(ROW()-3,FR$4:FR$40,0)))</f>
        <v/>
      </c>
      <c r="FT18">
        <f>FT17+IF(AND(FS18&lt;&gt;"",COUNTIF(FS$4:FS18,FS18)=1),1,0)</f>
        <v/>
      </c>
      <c r="FU18">
        <f>IF(ROW()-3&gt;MAX(FT$4:FT$40),"",INDEX(FS$4:FS$40,MATCH(ROW()-3,FT$4:FT$40,0)))</f>
        <v/>
      </c>
      <c r="FV18" s="55">
        <f>IF(AND($B$18:$AD$18,$AF$18:$AJ$18),IF('Final Calculation Sheet'!$AC$18="","",'Final Calculation Sheet'!$AC$18),"")</f>
        <v/>
      </c>
      <c r="FW18">
        <f>IF(FV18="","",COUNTIFS(FV$4:FV$40,"&lt;"&amp;FV18,FV$4:FV$40,"&lt;&gt;"&amp;"")+COUNTIF(FV$4:FV18,FV18))</f>
        <v/>
      </c>
      <c r="FX18" s="55">
        <f>IF(ROW()-3&gt;COUNTIF(FV$4:FV$40,"&lt;&gt;"&amp;""),"",INDEX(FV$4:FV$40,MATCH(ROW()-3,FW$4:FW$40,0)))</f>
        <v/>
      </c>
      <c r="FY18">
        <f>FY17+IF(AND(FX18&lt;&gt;"",COUNTIF(FX$4:FX18,FX18)=1),1,0)</f>
        <v/>
      </c>
      <c r="FZ18" s="55">
        <f>IF(ROW()-3&gt;MAX(FY$4:FY$40),"",INDEX(FX$4:FX$40,MATCH(ROW()-3,FY$4:FY$40,0)))</f>
        <v/>
      </c>
      <c r="GA18" s="55">
        <f>IF(AND($B$18:$AE$18,$AG$18:$AJ$18),IF('Final Calculation Sheet'!$AD$18="","",'Final Calculation Sheet'!$AD$18),"")</f>
        <v/>
      </c>
      <c r="GB18">
        <f>IF(GA18="","",COUNTIFS(GA$4:GA$40,"&lt;"&amp;GA18,GA$4:GA$40,"&lt;&gt;"&amp;"")+COUNTIF(GA$4:GA18,GA18))</f>
        <v/>
      </c>
      <c r="GC18" s="55">
        <f>IF(ROW()-3&gt;COUNTIF(GA$4:GA$40,"&lt;&gt;"&amp;""),"",INDEX(GA$4:GA$40,MATCH(ROW()-3,GB$4:GB$40,0)))</f>
        <v/>
      </c>
      <c r="GD18">
        <f>GD17+IF(AND(GC18&lt;&gt;"",COUNTIF(GC$4:GC18,GC18)=1),1,0)</f>
        <v/>
      </c>
      <c r="GE18" s="55">
        <f>IF(ROW()-3&gt;MAX(GD$4:GD$40),"",INDEX(GC$4:GC$40,MATCH(ROW()-3,GD$4:GD$40,0)))</f>
        <v/>
      </c>
      <c r="GF18">
        <f>IF(AND($B$18:$AF$18,$AH$18:$AJ$18),IF('Final Calculation Sheet'!$AE$18="","",'Final Calculation Sheet'!$AE$18),"")</f>
        <v/>
      </c>
      <c r="GG18">
        <f>IF(GF18="","",COUNTIFS(GF$4:GF$40,"&lt;"&amp;GF18,GF$4:GF$40,"&lt;&gt;"&amp;"")+COUNTIF(GF$4:GF18,GF18))</f>
        <v/>
      </c>
      <c r="GH18">
        <f>IF(ROW()-3&gt;COUNTIF(GF$4:GF$40,"&lt;&gt;"&amp;""),"",INDEX(GF$4:GF$40,MATCH(ROW()-3,GG$4:GG$40,0)))</f>
        <v/>
      </c>
      <c r="GI18">
        <f>GI17+IF(AND(GH18&lt;&gt;"",COUNTIF(GH$4:GH18,GH18)=1),1,0)</f>
        <v/>
      </c>
      <c r="GJ18">
        <f>IF(ROW()-3&gt;MAX(GI$4:GI$40),"",INDEX(GH$4:GH$40,MATCH(ROW()-3,GI$4:GI$40,0)))</f>
        <v/>
      </c>
      <c r="GK18" s="141">
        <f>IF(AND($B$18:$AG$18,$AI$18:$AJ$18),IF('Final Calculation Sheet'!$AF$18="","",'Final Calculation Sheet'!$AF$18),"")</f>
        <v/>
      </c>
      <c r="GL18">
        <f>IF(GK18="","",COUNTIFS(GK$4:GK$40,"&lt;"&amp;GK18,GK$4:GK$40,"&lt;&gt;"&amp;"")+COUNTIF(GK$4:GK18,GK18))</f>
        <v/>
      </c>
      <c r="GM18" s="141">
        <f>IF(ROW()-3&gt;COUNTIF(GK$4:GK$40,"&lt;&gt;"&amp;""),"",INDEX(GK$4:GK$40,MATCH(ROW()-3,GL$4:GL$40,0)))</f>
        <v/>
      </c>
      <c r="GN18">
        <f>GN17+IF(AND(GM18&lt;&gt;"",COUNTIF(GM$4:GM18,GM18)=1),1,0)</f>
        <v/>
      </c>
      <c r="GO18">
        <f>IF(ROW()-3&gt;MAX(GN$4:GN$40),"",INDEX(GM$4:GM$40,MATCH(ROW()-3,GN$4:GN$40,0)))</f>
        <v/>
      </c>
      <c r="GP18">
        <f>IF(AND($B$18:$AH$18,$AJ$18:$AJ$18),IF('Final Calculation Sheet'!$AG$18="","",'Final Calculation Sheet'!$AG$18),"")</f>
        <v/>
      </c>
      <c r="GQ18">
        <f>IF(GP18="","",COUNTIFS(GP$4:GP$40,"&lt;"&amp;GP18,GP$4:GP$40,"&lt;&gt;"&amp;"")+COUNTIF(GP$4:GP18,GP18))</f>
        <v/>
      </c>
      <c r="GR18">
        <f>IF(ROW()-3&gt;COUNTIF(GP$4:GP$40,"&lt;&gt;"&amp;""),"",INDEX(GP$4:GP$40,MATCH(ROW()-3,GQ$4:GQ$40,0)))</f>
        <v/>
      </c>
      <c r="GS18">
        <f>GS17+IF(AND(GR18&lt;&gt;"",COUNTIF(GR$4:GR18,GR18)=1),1,0)</f>
        <v/>
      </c>
      <c r="GT18">
        <f>IF(ROW()-3&gt;MAX(GS$4:GS$40),"",INDEX(GR$4:GR$40,MATCH(ROW()-3,GS$4:GS$40,0)))</f>
        <v/>
      </c>
    </row>
    <row r="19">
      <c r="A19" t="inlineStr">
        <is>
          <t>Final row 19</t>
        </is>
      </c>
      <c r="B19" t="b">
        <v>1</v>
      </c>
      <c r="C19">
        <f>IF($C$3=FALSE,TRUE,IF(OR(UPPER(TRIM($C$2))="(BLANK)",UPPER(TRIM($C$2))="BLANK",AND($C$2&lt;&gt;"",TRIM($C$2)="")),(IF('Final Calculation Sheet'!$F$19="","",'Final Calculation Sheet'!$F$19))="",IF(OR(UPPER(TRIM($C$2))="(NONBLANK)",UPPER(TRIM($C$2))="NONBLANK",TRIM($C$2)="&lt;&gt;"),(IF('Final Calculation Sheet'!$F$19="","",'Final Calculation Sheet'!$F$19))&lt;&gt;"",UPPER(TRIM((IF('Final Calculation Sheet'!$F$19="","",'Final Calculation Sheet'!$F$19))&amp;""))=UPPER(TRIM($C$2&amp;"")))))</f>
        <v/>
      </c>
      <c r="D19">
        <f>IF($D$3=FALSE,TRUE,IF(OR(UPPER(TRIM($D$2))="(BLANK)",UPPER(TRIM($D$2))="BLANK",AND($D$2&lt;&gt;"",TRIM($D$2)="")),(IF('Final Calculation Sheet'!$G$19="","",'Final Calculation Sheet'!$G$19))="",IF(OR(UPPER(TRIM($D$2))="(NONBLANK)",UPPER(TRIM($D$2))="NONBLANK",TRIM($D$2)="&lt;&gt;"),(IF('Final Calculation Sheet'!$G$19="","",'Final Calculation Sheet'!$G$19))&lt;&gt;"",UPPER(TRIM((IF('Final Calculation Sheet'!$G$19="","",'Final Calculation Sheet'!$G$19))&amp;""))=UPPER(TRIM($D$2&amp;"")))))</f>
        <v/>
      </c>
      <c r="E19">
        <f>IF($E$3=FALSE,TRUE,IF(OR(UPPER(TRIM($E$2))="(BLANK)",UPPER(TRIM($E$2))="BLANK",AND($E$2&lt;&gt;"",TRIM($E$2)="")),(IF('Final Calculation Sheet'!$B$19="","",'Final Calculation Sheet'!$B$19))="",IF(OR(UPPER(TRIM($E$2))="(NONBLANK)",UPPER(TRIM($E$2))="NONBLANK",TRIM($E$2)="&lt;&gt;"),(IF('Final Calculation Sheet'!$B$19="","",'Final Calculation Sheet'!$B$19))&lt;&gt;"",UPPER(TRIM((IF('Final Calculation Sheet'!$B$19="","",'Final Calculation Sheet'!$B$19))&amp;""))=UPPER(TRIM($E$2&amp;"")))))</f>
        <v/>
      </c>
      <c r="F19">
        <f>IF($F$3=FALSE,TRUE,IF(OR(UPPER(TRIM($F$2))="(BLANK)",UPPER(TRIM($F$2))="BLANK",AND($F$2&lt;&gt;"",TRIM($F$2)="")),(IF('Final Calculation Sheet'!$D$19="","",'Final Calculation Sheet'!$D$19))="",IF(OR(UPPER(TRIM($F$2))="(NONBLANK)",UPPER(TRIM($F$2))="NONBLANK",TRIM($F$2)="&lt;&gt;"),(IF('Final Calculation Sheet'!$D$19="","",'Final Calculation Sheet'!$D$19))&lt;&gt;"",UPPER(TRIM((IF('Final Calculation Sheet'!$D$19="","",'Final Calculation Sheet'!$D$19))&amp;""))=UPPER(TRIM($F$2&amp;"")))))</f>
        <v/>
      </c>
      <c r="G19">
        <f>IF($G$3=FALSE,TRUE,IF(OR(UPPER(TRIM($G$2))="(BLANK)",UPPER(TRIM($G$2))="BLANK",AND($G$2&lt;&gt;"",TRIM($G$2)="")),(IF('Final Calculation Sheet'!$A$19="","",'Final Calculation Sheet'!$A$19))="",IF(OR(UPPER(TRIM($G$2))="(NONBLANK)",UPPER(TRIM($G$2))="NONBLANK",TRIM($G$2)="&lt;&gt;"),(IF('Final Calculation Sheet'!$A$19="","",'Final Calculation Sheet'!$A$19))&lt;&gt;"",UPPER(TRIM((IF('Final Calculation Sheet'!$A$19="","",'Final Calculation Sheet'!$A$19))&amp;""))=UPPER(TRIM($G$2&amp;"")))))</f>
        <v/>
      </c>
      <c r="H19">
        <f>IF($H$3=FALSE,TRUE,IF(OR(UPPER(TRIM($H$2))="(BLANK)",UPPER(TRIM($H$2))="BLANK",AND($H$2&lt;&gt;"",TRIM($H$2)="")),(IF('Final Calculation Sheet'!$E$19="","",'Final Calculation Sheet'!$E$19))="",IF(OR(UPPER(TRIM($H$2))="(NONBLANK)",UPPER(TRIM($H$2))="NONBLANK",TRIM($H$2)="&lt;&gt;"),(IF('Final Calculation Sheet'!$E$19="","",'Final Calculation Sheet'!$E$19))&lt;&gt;"",UPPER(TRIM((IF('Final Calculation Sheet'!$E$19="","",'Final Calculation Sheet'!$E$19))&amp;""))=UPPER(TRIM($H$2&amp;"")))))</f>
        <v/>
      </c>
      <c r="I19">
        <f>IF($I$3=FALSE,TRUE,IF(OR(UPPER(TRIM($I$2))="(BLANK)",UPPER(TRIM($I$2))="BLANK",AND($I$2&lt;&gt;"",TRIM($I$2)="")),(IF('Final Calculation Sheet'!$C$19="","",'Final Calculation Sheet'!$C$19))="",IF(OR(UPPER(TRIM($I$2))="(NONBLANK)",UPPER(TRIM($I$2))="NONBLANK",TRIM($I$2)="&lt;&gt;"),(IF('Final Calculation Sheet'!$C$19="","",'Final Calculation Sheet'!$C$19))&lt;&gt;"",UPPER(TRIM((IF('Final Calculation Sheet'!$C$19="","",'Final Calculation Sheet'!$C$19))&amp;""))=UPPER(TRIM($I$2&amp;"")))))</f>
        <v/>
      </c>
      <c r="J19">
        <f>IF($J$3=FALSE,TRUE,IF(OR(UPPER(TRIM($J$2))="(BLANK)",UPPER(TRIM($J$2))="BLANK",AND($J$2&lt;&gt;"",TRIM($J$2)="")),(IF('Final Calculation Sheet'!$H$19="","",'Final Calculation Sheet'!$H$19))="",IF(OR(UPPER(TRIM($J$2))="(NONBLANK)",UPPER(TRIM($J$2))="NONBLANK",TRIM($J$2)="&lt;&gt;"),(IF('Final Calculation Sheet'!$H$19="","",'Final Calculation Sheet'!$H$19))&lt;&gt;"",UPPER(TRIM((IF('Final Calculation Sheet'!$H$19="","",'Final Calculation Sheet'!$H$19))&amp;""))=UPPER(TRIM($J$2&amp;"")))))</f>
        <v/>
      </c>
      <c r="K19">
        <f>IF($K$3=FALSE,TRUE,IF(OR(UPPER(TRIM($K$2))="(BLANK)",UPPER(TRIM($K$2))="BLANK",AND($K$2&lt;&gt;"",TRIM($K$2)="")),(IF('Final Calculation Sheet'!$I$19="","",'Final Calculation Sheet'!$I$19))="",IF(OR(UPPER(TRIM($K$2))="(NONBLANK)",UPPER(TRIM($K$2))="NONBLANK",TRIM($K$2)="&lt;&gt;"),(IF('Final Calculation Sheet'!$I$19="","",'Final Calculation Sheet'!$I$19))&lt;&gt;"",UPPER(TRIM((IF('Final Calculation Sheet'!$I$19="","",'Final Calculation Sheet'!$I$19))&amp;""))=UPPER(TRIM($K$2&amp;"")))))</f>
        <v/>
      </c>
      <c r="L19">
        <f>IF($L$3=FALSE,TRUE,IF(OR(UPPER(TRIM($L$2))="(BLANK)",UPPER(TRIM($L$2))="BLANK",AND($L$2&lt;&gt;"",TRIM($L$2)="")),(IF('Final Calculation Sheet'!$J$19="","",'Final Calculation Sheet'!$J$19))="",IF(OR(UPPER(TRIM($L$2))="(NONBLANK)",UPPER(TRIM($L$2))="NONBLANK",TRIM($L$2)="&lt;&gt;"),(IF('Final Calculation Sheet'!$J$19="","",'Final Calculation Sheet'!$J$19))&lt;&gt;"",UPPER(TRIM((IF('Final Calculation Sheet'!$J$19="","",'Final Calculation Sheet'!$J$19))&amp;""))=UPPER(TRIM($L$2&amp;"")))))</f>
        <v/>
      </c>
      <c r="M19">
        <f>IF($M$3=FALSE,TRUE,IF(OR(UPPER(TRIM($M$2))="(BLANK)",UPPER(TRIM($M$2))="BLANK",AND($M$2&lt;&gt;"",TRIM($M$2)="")),(IF('Final Calculation Sheet'!$K$19="","",'Final Calculation Sheet'!$K$19))="",IF(OR(UPPER(TRIM($M$2))="(NONBLANK)",UPPER(TRIM($M$2))="NONBLANK",TRIM($M$2)="&lt;&gt;"),(IF('Final Calculation Sheet'!$K$19="","",'Final Calculation Sheet'!$K$19))&lt;&gt;"",UPPER(TRIM((IF('Final Calculation Sheet'!$K$19="","",'Final Calculation Sheet'!$K$19))&amp;""))=UPPER(TRIM($M$2&amp;"")))))</f>
        <v/>
      </c>
      <c r="N19">
        <f>IF($N$3=FALSE,TRUE,IF(OR(UPPER(TRIM($N$2))="(BLANK)",UPPER(TRIM($N$2))="BLANK",AND($N$2&lt;&gt;"",TRIM($N$2)="")),(IF('Final Calculation Sheet'!$L$19="","",'Final Calculation Sheet'!$L$19))="",IF(OR(UPPER(TRIM($N$2))="(NONBLANK)",UPPER(TRIM($N$2))="NONBLANK",TRIM($N$2)="&lt;&gt;"),(IF('Final Calculation Sheet'!$L$19="","",'Final Calculation Sheet'!$L$19))&lt;&gt;"",UPPER(TRIM((IF('Final Calculation Sheet'!$L$19="","",'Final Calculation Sheet'!$L$19))&amp;""))=UPPER(TRIM($N$2&amp;"")))))</f>
        <v/>
      </c>
      <c r="O19">
        <f>IF($O$3=FALSE,TRUE,IF(OR(UPPER(TRIM($O$2))="(BLANK)",UPPER(TRIM($O$2))="BLANK",AND($O$2&lt;&gt;"",TRIM($O$2)="")),(IF('Final Calculation Sheet'!$M$19="","",'Final Calculation Sheet'!$M$19))="",IF(OR(UPPER(TRIM($O$2))="(NONBLANK)",UPPER(TRIM($O$2))="NONBLANK",TRIM($O$2)="&lt;&gt;"),(IF('Final Calculation Sheet'!$M$19="","",'Final Calculation Sheet'!$M$19))&lt;&gt;"",UPPER(TRIM((IF('Final Calculation Sheet'!$M$19="","",'Final Calculation Sheet'!$M$19))&amp;""))=UPPER(TRIM($O$2&amp;"")))))</f>
        <v/>
      </c>
      <c r="P19">
        <f>IF($P$3=FALSE,TRUE,IF(OR(UPPER(TRIM($P$2))="(BLANK)",UPPER(TRIM($P$2))="BLANK",AND($P$2&lt;&gt;"",TRIM($P$2)="")),(IF('Final Calculation Sheet'!$N$19="","",'Final Calculation Sheet'!$N$19))="",IF(OR(UPPER(TRIM($P$2))="(NONBLANK)",UPPER(TRIM($P$2))="NONBLANK",TRIM($P$2)="&lt;&gt;"),(IF('Final Calculation Sheet'!$N$19="","",'Final Calculation Sheet'!$N$19))&lt;&gt;"",UPPER(TRIM((IF('Final Calculation Sheet'!$N$19="","",'Final Calculation Sheet'!$N$19))&amp;""))=UPPER(TRIM($P$2&amp;"")))))</f>
        <v/>
      </c>
      <c r="Q19">
        <f>IF($Q$3=FALSE,TRUE,IF(OR(UPPER(TRIM($Q$2))="(BLANK)",UPPER(TRIM($Q$2))="BLANK",AND($Q$2&lt;&gt;"",TRIM($Q$2)="")),(IF('Final Calculation Sheet'!$O$19="","",'Final Calculation Sheet'!$O$19))="",IF(OR(UPPER(TRIM($Q$2))="(NONBLANK)",UPPER(TRIM($Q$2))="NONBLANK",TRIM($Q$2)="&lt;&gt;"),(IF('Final Calculation Sheet'!$O$19="","",'Final Calculation Sheet'!$O$19))&lt;&gt;"",UPPER(TRIM((IF('Final Calculation Sheet'!$O$19="","",'Final Calculation Sheet'!$O$19))&amp;""))=UPPER(TRIM($Q$2&amp;"")))))</f>
        <v/>
      </c>
      <c r="R19">
        <f>IF($R$3=FALSE,TRUE,IF(OR(UPPER(TRIM($R$2))="(BLANK)",UPPER(TRIM($R$2))="BLANK",AND($R$2&lt;&gt;"",TRIM($R$2)="")),(IF('Final Calculation Sheet'!$P$19="","",'Final Calculation Sheet'!$P$19))="",IF(OR(UPPER(TRIM($R$2))="(NONBLANK)",UPPER(TRIM($R$2))="NONBLANK",TRIM($R$2)="&lt;&gt;"),(IF('Final Calculation Sheet'!$P$19="","",'Final Calculation Sheet'!$P$19))&lt;&gt;"",UPPER(TRIM((IF('Final Calculation Sheet'!$P$19="","",'Final Calculation Sheet'!$P$19))&amp;""))=UPPER(TRIM($R$2&amp;"")))))</f>
        <v/>
      </c>
      <c r="S19">
        <f>IF($S$3=FALSE,TRUE,IF(OR(UPPER(TRIM($S$2))="(BLANK)",UPPER(TRIM($S$2))="BLANK",AND($S$2&lt;&gt;"",TRIM($S$2)="")),(IF('Final Calculation Sheet'!$Q$19="","",'Final Calculation Sheet'!$Q$19))="",IF(OR(UPPER(TRIM($S$2))="(NONBLANK)",UPPER(TRIM($S$2))="NONBLANK",TRIM($S$2)="&lt;&gt;"),(IF('Final Calculation Sheet'!$Q$19="","",'Final Calculation Sheet'!$Q$19))&lt;&gt;"",UPPER(TRIM((IF('Final Calculation Sheet'!$Q$19="","",'Final Calculation Sheet'!$Q$19))&amp;""))=UPPER(TRIM($S$2&amp;"")))))</f>
        <v/>
      </c>
      <c r="T19">
        <f>IF($T$3=FALSE,TRUE,IF(OR(UPPER(TRIM($T$2))="(BLANK)",UPPER(TRIM($T$2))="BLANK",AND($T$2&lt;&gt;"",TRIM($T$2)="")),(IF('Final Calculation Sheet'!$R$19="","",'Final Calculation Sheet'!$R$19))="",IF(OR(UPPER(TRIM($T$2))="(NONBLANK)",UPPER(TRIM($T$2))="NONBLANK",TRIM($T$2)="&lt;&gt;"),(IF('Final Calculation Sheet'!$R$19="","",'Final Calculation Sheet'!$R$19))&lt;&gt;"",UPPER(TRIM((IF('Final Calculation Sheet'!$R$19="","",'Final Calculation Sheet'!$R$19))&amp;""))=UPPER(TRIM($T$2&amp;"")))))</f>
        <v/>
      </c>
      <c r="U19">
        <f>IF($U$3=FALSE,TRUE,IF(OR(UPPER(TRIM($U$2))="(BLANK)",UPPER(TRIM($U$2))="BLANK",AND($U$2&lt;&gt;"",TRIM($U$2)="")),(IF('Final Calculation Sheet'!$S$19="","",'Final Calculation Sheet'!$S$19))="",IF(OR(UPPER(TRIM($U$2))="(NONBLANK)",UPPER(TRIM($U$2))="NONBLANK",TRIM($U$2)="&lt;&gt;"),(IF('Final Calculation Sheet'!$S$19="","",'Final Calculation Sheet'!$S$19))&lt;&gt;"",UPPER(TRIM((IF('Final Calculation Sheet'!$S$19="","",'Final Calculation Sheet'!$S$19))&amp;""))=UPPER(TRIM($U$2&amp;"")))))</f>
        <v/>
      </c>
      <c r="V19">
        <f>IF($V$3=FALSE,TRUE,IF(OR(UPPER(TRIM($V$2))="(BLANK)",UPPER(TRIM($V$2))="BLANK",AND($V$2&lt;&gt;"",TRIM($V$2)="")),(IF('Final Calculation Sheet'!$T$19="","",'Final Calculation Sheet'!$T$19))="",IF(OR(UPPER(TRIM($V$2))="(NONBLANK)",UPPER(TRIM($V$2))="NONBLANK",TRIM($V$2)="&lt;&gt;"),(IF('Final Calculation Sheet'!$T$19="","",'Final Calculation Sheet'!$T$19))&lt;&gt;"",UPPER(TRIM((IF('Final Calculation Sheet'!$T$19="","",'Final Calculation Sheet'!$T$19))&amp;""))=UPPER(TRIM($V$2&amp;"")))))</f>
        <v/>
      </c>
      <c r="W19">
        <f>IF($W$3=FALSE,TRUE,IF(OR(UPPER(TRIM($W$2))="(BLANK)",UPPER(TRIM($W$2))="BLANK",AND($W$2&lt;&gt;"",TRIM($W$2)="")),(IF('Final Calculation Sheet'!$U$19="","",'Final Calculation Sheet'!$U$19))="",IF(OR(UPPER(TRIM($W$2))="(NONBLANK)",UPPER(TRIM($W$2))="NONBLANK",TRIM($W$2)="&lt;&gt;"),(IF('Final Calculation Sheet'!$U$19="","",'Final Calculation Sheet'!$U$19))&lt;&gt;"",UPPER(TRIM((IF('Final Calculation Sheet'!$U$19="","",'Final Calculation Sheet'!$U$19))&amp;""))=UPPER(TRIM($W$2&amp;"")))))</f>
        <v/>
      </c>
      <c r="X19">
        <f>IF($X$3=FALSE,TRUE,IF(OR(UPPER(TRIM($X$2))="(BLANK)",UPPER(TRIM($X$2))="BLANK",AND($X$2&lt;&gt;"",TRIM($X$2)="")),(IF('Final Calculation Sheet'!$V$19="","",'Final Calculation Sheet'!$V$19))="",IF(OR(UPPER(TRIM($X$2))="(NONBLANK)",UPPER(TRIM($X$2))="NONBLANK",TRIM($X$2)="&lt;&gt;"),(IF('Final Calculation Sheet'!$V$19="","",'Final Calculation Sheet'!$V$19))&lt;&gt;"",UPPER(TRIM((IF('Final Calculation Sheet'!$V$19="","",'Final Calculation Sheet'!$V$19))&amp;""))=UPPER(TRIM($X$2&amp;"")))))</f>
        <v/>
      </c>
      <c r="Y19">
        <f>IF($Y$3=FALSE,TRUE,IF(OR(UPPER(TRIM($Y$2))="(BLANK)",UPPER(TRIM($Y$2))="BLANK",AND($Y$2&lt;&gt;"",TRIM($Y$2)="")),(IF('Final Calculation Sheet'!$W$19="","",'Final Calculation Sheet'!$W$19))="",IF(OR(UPPER(TRIM($Y$2))="(NONBLANK)",UPPER(TRIM($Y$2))="NONBLANK",TRIM($Y$2)="&lt;&gt;"),(IF('Final Calculation Sheet'!$W$19="","",'Final Calculation Sheet'!$W$19))&lt;&gt;"",UPPER(TRIM((IF('Final Calculation Sheet'!$W$19="","",'Final Calculation Sheet'!$W$19))&amp;""))=UPPER(TRIM($Y$2&amp;"")))))</f>
        <v/>
      </c>
      <c r="Z19">
        <f>IF($Z$3=FALSE,TRUE,IF(OR(UPPER(TRIM($Z$2))="(BLANK)",UPPER(TRIM($Z$2))="BLANK",AND($Z$2&lt;&gt;"",TRIM($Z$2)="")),(IF('Final Calculation Sheet'!$X$19="","",'Final Calculation Sheet'!$X$19))="",IF(OR(UPPER(TRIM($Z$2))="(NONBLANK)",UPPER(TRIM($Z$2))="NONBLANK",TRIM($Z$2)="&lt;&gt;"),(IF('Final Calculation Sheet'!$X$19="","",'Final Calculation Sheet'!$X$19))&lt;&gt;"",UPPER(TRIM((IF('Final Calculation Sheet'!$X$19="","",'Final Calculation Sheet'!$X$19))&amp;""))=UPPER(TRIM($Z$2&amp;"")))))</f>
        <v/>
      </c>
      <c r="AA19">
        <f>IF($AA$3=FALSE,TRUE,IF(OR(UPPER(TRIM($AA$2))="(BLANK)",UPPER(TRIM($AA$2))="BLANK",AND($AA$2&lt;&gt;"",TRIM($AA$2)="")),(IF('Final Calculation Sheet'!$Y$19="","",'Final Calculation Sheet'!$Y$19))="",IF(OR(UPPER(TRIM($AA$2))="(NONBLANK)",UPPER(TRIM($AA$2))="NONBLANK",TRIM($AA$2)="&lt;&gt;"),(IF('Final Calculation Sheet'!$Y$19="","",'Final Calculation Sheet'!$Y$19))&lt;&gt;"",UPPER(TRIM((IF('Final Calculation Sheet'!$Y$19="","",'Final Calculation Sheet'!$Y$19))&amp;""))=UPPER(TRIM($AA$2&amp;"")))))</f>
        <v/>
      </c>
      <c r="AB19">
        <f>IF($AB$3=FALSE,TRUE,IF(OR(UPPER(TRIM($AB$2))="(BLANK)",UPPER(TRIM($AB$2))="BLANK",AND($AB$2&lt;&gt;"",TRIM($AB$2)="")),(IF('Final Calculation Sheet'!$Z$19="","",'Final Calculation Sheet'!$Z$19))="",IF(OR(UPPER(TRIM($AB$2))="(NONBLANK)",UPPER(TRIM($AB$2))="NONBLANK",TRIM($AB$2)="&lt;&gt;"),(IF('Final Calculation Sheet'!$Z$19="","",'Final Calculation Sheet'!$Z$19))&lt;&gt;"",UPPER(TRIM((IF('Final Calculation Sheet'!$Z$19="","",'Final Calculation Sheet'!$Z$19))&amp;""))=UPPER(TRIM($AB$2&amp;"")))))</f>
        <v/>
      </c>
      <c r="AC19">
        <f>IF($AC$3=FALSE,TRUE,IF(OR(UPPER(TRIM($AC$2))="(BLANK)",UPPER(TRIM($AC$2))="BLANK",AND($AC$2&lt;&gt;"",TRIM($AC$2)="")),(IF('Final Calculation Sheet'!$AA$19="","",'Final Calculation Sheet'!$AA$19))="",IF(OR(UPPER(TRIM($AC$2))="(NONBLANK)",UPPER(TRIM($AC$2))="NONBLANK",TRIM($AC$2)="&lt;&gt;"),(IF('Final Calculation Sheet'!$AA$19="","",'Final Calculation Sheet'!$AA$19))&lt;&gt;"",UPPER(TRIM((IF('Final Calculation Sheet'!$AA$19="","",'Final Calculation Sheet'!$AA$19))&amp;""))=UPPER(TRIM($AC$2&amp;"")))))</f>
        <v/>
      </c>
      <c r="AD19">
        <f>IF($AD$3=FALSE,TRUE,IF(OR(UPPER(TRIM($AD$2))="(BLANK)",UPPER(TRIM($AD$2))="BLANK",AND($AD$2&lt;&gt;"",TRIM($AD$2)="")),(IF('Final Calculation Sheet'!$AB$19="","",'Final Calculation Sheet'!$AB$19))="",IF(OR(UPPER(TRIM($AD$2))="(NONBLANK)",UPPER(TRIM($AD$2))="NONBLANK",TRIM($AD$2)="&lt;&gt;"),(IF('Final Calculation Sheet'!$AB$19="","",'Final Calculation Sheet'!$AB$19))&lt;&gt;"",UPPER(TRIM((IF('Final Calculation Sheet'!$AB$19="","",'Final Calculation Sheet'!$AB$19))&amp;""))=UPPER(TRIM($AD$2&amp;"")))))</f>
        <v/>
      </c>
      <c r="AE19">
        <f>IF($AE$3=FALSE,TRUE,IF(OR(UPPER(TRIM($AE$2))="(BLANK)",UPPER(TRIM($AE$2))="BLANK",AND($AE$2&lt;&gt;"",TRIM($AE$2)="")),(IF('Final Calculation Sheet'!$AC$19="","",'Final Calculation Sheet'!$AC$19))="",IF(OR(UPPER(TRIM($AE$2))="(NONBLANK)",UPPER(TRIM($AE$2))="NONBLANK",TRIM($AE$2)="&lt;&gt;"),(IF('Final Calculation Sheet'!$AC$19="","",'Final Calculation Sheet'!$AC$19))&lt;&gt;"",UPPER(TRIM((IF('Final Calculation Sheet'!$AC$19="","",'Final Calculation Sheet'!$AC$19))&amp;""))=UPPER(TRIM($AE$2&amp;"")))))</f>
        <v/>
      </c>
      <c r="AF19">
        <f>IF($AF$3=FALSE,TRUE,IF(OR(UPPER(TRIM($AF$2))="(BLANK)",UPPER(TRIM($AF$2))="BLANK",AND($AF$2&lt;&gt;"",TRIM($AF$2)="")),(IF('Final Calculation Sheet'!$AD$19="","",'Final Calculation Sheet'!$AD$19))="",IF(OR(UPPER(TRIM($AF$2))="(NONBLANK)",UPPER(TRIM($AF$2))="NONBLANK",TRIM($AF$2)="&lt;&gt;"),(IF('Final Calculation Sheet'!$AD$19="","",'Final Calculation Sheet'!$AD$19))&lt;&gt;"",UPPER(TRIM((IF('Final Calculation Sheet'!$AD$19="","",'Final Calculation Sheet'!$AD$19))&amp;""))=UPPER(TRIM($AF$2&amp;"")))))</f>
        <v/>
      </c>
      <c r="AG19">
        <f>IF($AG$3=FALSE,TRUE,IF(OR(UPPER(TRIM($AG$2))="(BLANK)",UPPER(TRIM($AG$2))="BLANK",AND($AG$2&lt;&gt;"",TRIM($AG$2)="")),(IF('Final Calculation Sheet'!$AE$19="","",'Final Calculation Sheet'!$AE$19))="",IF(OR(UPPER(TRIM($AG$2))="(NONBLANK)",UPPER(TRIM($AG$2))="NONBLANK",TRIM($AG$2)="&lt;&gt;"),(IF('Final Calculation Sheet'!$AE$19="","",'Final Calculation Sheet'!$AE$19))&lt;&gt;"",UPPER(TRIM((IF('Final Calculation Sheet'!$AE$19="","",'Final Calculation Sheet'!$AE$19))&amp;""))=UPPER(TRIM($AG$2&amp;"")))))</f>
        <v/>
      </c>
      <c r="AH19">
        <f>IF($AH$3=FALSE,TRUE,IF(OR(UPPER(TRIM($AH$2))="(BLANK)",UPPER(TRIM($AH$2))="BLANK",AND($AH$2&lt;&gt;"",TRIM($AH$2)="")),(IF('Final Calculation Sheet'!$AF$19="","",'Final Calculation Sheet'!$AF$19))="",IF(OR(UPPER(TRIM($AH$2))="(NONBLANK)",UPPER(TRIM($AH$2))="NONBLANK",TRIM($AH$2)="&lt;&gt;"),(IF('Final Calculation Sheet'!$AF$19="","",'Final Calculation Sheet'!$AF$19))&lt;&gt;"",UPPER(TRIM((IF('Final Calculation Sheet'!$AF$19="","",'Final Calculation Sheet'!$AF$19))&amp;""))=UPPER(TRIM($AH$2&amp;"")))))</f>
        <v/>
      </c>
      <c r="AI19">
        <f>IF($AI$3=FALSE,TRUE,IF(OR(UPPER(TRIM($AI$2))="(BLANK)",UPPER(TRIM($AI$2))="BLANK",AND($AI$2&lt;&gt;"",TRIM($AI$2)="")),(IF('Final Calculation Sheet'!$AG$19="","",'Final Calculation Sheet'!$AG$19))="",IF(OR(UPPER(TRIM($AI$2))="(NONBLANK)",UPPER(TRIM($AI$2))="NONBLANK",TRIM($AI$2)="&lt;&gt;"),(IF('Final Calculation Sheet'!$AG$19="","",'Final Calculation Sheet'!$AG$19))&lt;&gt;"",UPPER(TRIM((IF('Final Calculation Sheet'!$AG$19="","",'Final Calculation Sheet'!$AG$19))&amp;""))=UPPER(TRIM($AI$2&amp;"")))))</f>
        <v/>
      </c>
      <c r="AJ19">
        <f>IF($AJ$3=FALSE,TRUE,IF(OR(UPPER(TRIM($AJ$2))="(BLANK)",UPPER(TRIM($AJ$2))="BLANK",AND($AJ$2&lt;&gt;"",TRIM($AJ$2)="")),(IF('Final Calculation Sheet'!$AD$19="","",IF('Final Calculation Sheet'!$AD$19&lt;=5,"SETTLED","OUTSTANDING")))="",IF(OR(UPPER(TRIM($AJ$2))="(NONBLANK)",UPPER(TRIM($AJ$2))="NONBLANK",TRIM($AJ$2)="&lt;&gt;"),(IF('Final Calculation Sheet'!$AD$19="","",IF('Final Calculation Sheet'!$AD$19&lt;=5,"SETTLED","OUTSTANDING")))&lt;&gt;"",UPPER(TRIM((IF('Final Calculation Sheet'!$AD$19="","",IF('Final Calculation Sheet'!$AD$19&lt;=5,"SETTLED","OUTSTANDING")))&amp;""))=UPPER(TRIM($AJ$2&amp;"")))))</f>
        <v/>
      </c>
      <c r="AL19">
        <f>IF(AND($B$19,$D$19:$AJ$19),IF('Final Calculation Sheet'!$F$19="","",'Final Calculation Sheet'!$F$19),"")</f>
        <v/>
      </c>
      <c r="AM19">
        <f>IF(AL19="","",COUNTIFS(AL$4:AL$40,"&lt;"&amp;AL19,AL$4:AL$40,"&lt;&gt;"&amp;"")+COUNTIF(AL$4:AL19,AL19))</f>
        <v/>
      </c>
      <c r="AN19">
        <f>IF(ROW()-3&gt;COUNTIF(AL$4:AL$40,"&lt;&gt;"&amp;""),"",INDEX(AL$4:AL$40,MATCH(ROW()-3,AM$4:AM$40,0)))</f>
        <v/>
      </c>
      <c r="AO19">
        <f>AO18+IF(AND(AN19&lt;&gt;"",COUNTIF(AN$4:AN19,AN19)=1),1,0)</f>
        <v/>
      </c>
      <c r="AP19">
        <f>IF(ROW()-3&gt;MAX(AO$4:AO$40),"",INDEX(AN$4:AN$40,MATCH(ROW()-3,AO$4:AO$40,0)))</f>
        <v/>
      </c>
      <c r="AQ19">
        <f>IF(AND($B$19:$C$19,$E$19:$AJ$19),IF('Final Calculation Sheet'!$G$19="","",'Final Calculation Sheet'!$G$19),"")</f>
        <v/>
      </c>
      <c r="AR19">
        <f>IF(AQ19="","",COUNTIFS(AQ$4:AQ$40,"&lt;"&amp;AQ19,AQ$4:AQ$40,"&lt;&gt;"&amp;"")+COUNTIF(AQ$4:AQ19,AQ19))</f>
        <v/>
      </c>
      <c r="AS19">
        <f>IF(ROW()-3&gt;COUNTIF(AQ$4:AQ$40,"&lt;&gt;"&amp;""),"",INDEX(AQ$4:AQ$40,MATCH(ROW()-3,AR$4:AR$40,0)))</f>
        <v/>
      </c>
      <c r="AT19">
        <f>AT18+IF(AND(AS19&lt;&gt;"",COUNTIF(AS$4:AS19,AS19)=1),1,0)</f>
        <v/>
      </c>
      <c r="AU19">
        <f>IF(ROW()-3&gt;MAX(AT$4:AT$40),"",INDEX(AS$4:AS$40,MATCH(ROW()-3,AT$4:AT$40,0)))</f>
        <v/>
      </c>
      <c r="AV19">
        <f>IF(AND($B$19:$D$19,$F$19:$AJ$19),IF('Final Calculation Sheet'!$B$19="","",'Final Calculation Sheet'!$B$19),"")</f>
        <v/>
      </c>
      <c r="AW19">
        <f>IF(AV19="","",COUNTIFS(AV$4:AV$40,"&lt;"&amp;AV19,AV$4:AV$40,"&lt;&gt;"&amp;"")+COUNTIF(AV$4:AV19,AV19))</f>
        <v/>
      </c>
      <c r="AX19">
        <f>IF(ROW()-3&gt;COUNTIF(AV$4:AV$40,"&lt;&gt;"&amp;""),"",INDEX(AV$4:AV$40,MATCH(ROW()-3,AW$4:AW$40,0)))</f>
        <v/>
      </c>
      <c r="AY19">
        <f>AY18+IF(AND(AX19&lt;&gt;"",COUNTIF(AX$4:AX19,AX19)=1),1,0)</f>
        <v/>
      </c>
      <c r="AZ19">
        <f>IF(ROW()-3&gt;MAX(AY$4:AY$40),"",INDEX(AX$4:AX$40,MATCH(ROW()-3,AY$4:AY$40,0)))</f>
        <v/>
      </c>
      <c r="BA19">
        <f>IF(AND($B$19:$E$19,$G$19:$AJ$19),IF('Final Calculation Sheet'!$D$19="","",'Final Calculation Sheet'!$D$19),"")</f>
        <v/>
      </c>
      <c r="BB19">
        <f>IF(BA19="","",COUNTIFS(BA$4:BA$40,"&lt;"&amp;BA19,BA$4:BA$40,"&lt;&gt;"&amp;"")+COUNTIF(BA$4:BA19,BA19))</f>
        <v/>
      </c>
      <c r="BC19">
        <f>IF(ROW()-3&gt;COUNTIF(BA$4:BA$40,"&lt;&gt;"&amp;""),"",INDEX(BA$4:BA$40,MATCH(ROW()-3,BB$4:BB$40,0)))</f>
        <v/>
      </c>
      <c r="BD19">
        <f>BD18+IF(AND(BC19&lt;&gt;"",COUNTIF(BC$4:BC19,BC19)=1),1,0)</f>
        <v/>
      </c>
      <c r="BE19">
        <f>IF(ROW()-3&gt;MAX(BD$4:BD$40),"",INDEX(BC$4:BC$40,MATCH(ROW()-3,BD$4:BD$40,0)))</f>
        <v/>
      </c>
      <c r="BF19">
        <f>IF(AND($B$19:$F$19,$H$19:$AJ$19),IF('Final Calculation Sheet'!$A$19="","",'Final Calculation Sheet'!$A$19),"")</f>
        <v/>
      </c>
      <c r="BG19">
        <f>IF(BF19="","",COUNTIFS(BF$4:BF$40,"&lt;"&amp;BF19,BF$4:BF$40,"&lt;&gt;"&amp;"")+COUNTIF(BF$4:BF19,BF19))</f>
        <v/>
      </c>
      <c r="BH19">
        <f>IF(ROW()-3&gt;COUNTIF(BF$4:BF$40,"&lt;&gt;"&amp;""),"",INDEX(BF$4:BF$40,MATCH(ROW()-3,BG$4:BG$40,0)))</f>
        <v/>
      </c>
      <c r="BI19">
        <f>BI18+IF(AND(BH19&lt;&gt;"",COUNTIF(BH$4:BH19,BH19)=1),1,0)</f>
        <v/>
      </c>
      <c r="BJ19">
        <f>IF(ROW()-3&gt;MAX(BI$4:BI$40),"",INDEX(BH$4:BH$40,MATCH(ROW()-3,BI$4:BI$40,0)))</f>
        <v/>
      </c>
      <c r="BK19">
        <f>IF(AND($B$19:$G$19,$I$19:$AJ$19),IF('Final Calculation Sheet'!$E$19="","",'Final Calculation Sheet'!$E$19),"")</f>
        <v/>
      </c>
      <c r="BL19">
        <f>IF(BK19="","",COUNTIFS(BK$4:BK$40,"&lt;"&amp;BK19,BK$4:BK$40,"&lt;&gt;"&amp;"")+COUNTIF(BK$4:BK19,BK19))</f>
        <v/>
      </c>
      <c r="BM19">
        <f>IF(ROW()-3&gt;COUNTIF(BK$4:BK$40,"&lt;&gt;"&amp;""),"",INDEX(BK$4:BK$40,MATCH(ROW()-3,BL$4:BL$40,0)))</f>
        <v/>
      </c>
      <c r="BN19">
        <f>BN18+IF(AND(BM19&lt;&gt;"",COUNTIF(BM$4:BM19,BM19)=1),1,0)</f>
        <v/>
      </c>
      <c r="BO19">
        <f>IF(ROW()-3&gt;MAX(BN$4:BN$40),"",INDEX(BM$4:BM$40,MATCH(ROW()-3,BN$4:BN$40,0)))</f>
        <v/>
      </c>
      <c r="BP19" s="55">
        <f>IF(AND($B$19:$H$19,$J$19:$AJ$19),IF('Final Calculation Sheet'!$C$19="","",'Final Calculation Sheet'!$C$19),"")</f>
        <v/>
      </c>
      <c r="BQ19">
        <f>IF(BP19="","",COUNTIFS(BP$4:BP$40,"&lt;"&amp;BP19,BP$4:BP$40,"&lt;&gt;"&amp;"")+COUNTIF(BP$4:BP19,BP19))</f>
        <v/>
      </c>
      <c r="BR19" s="55">
        <f>IF(ROW()-3&gt;COUNTIF(BP$4:BP$40,"&lt;&gt;"&amp;""),"",INDEX(BP$4:BP$40,MATCH(ROW()-3,BQ$4:BQ$40,0)))</f>
        <v/>
      </c>
      <c r="BS19">
        <f>BS18+IF(AND(BR19&lt;&gt;"",COUNTIF(BR$4:BR19,BR19)=1),1,0)</f>
        <v/>
      </c>
      <c r="BT19" s="55">
        <f>IF(ROW()-3&gt;MAX(BS$4:BS$40),"",INDEX(BR$4:BR$40,MATCH(ROW()-3,BS$4:BS$40,0)))</f>
        <v/>
      </c>
      <c r="BU19" s="55">
        <f>IF(AND($B$19:$I$19,$K$19:$AJ$19),IF('Final Calculation Sheet'!$H$19="","",'Final Calculation Sheet'!$H$19),"")</f>
        <v/>
      </c>
      <c r="BV19">
        <f>IF(BU19="","",COUNTIFS(BU$4:BU$40,"&lt;"&amp;BU19,BU$4:BU$40,"&lt;&gt;"&amp;"")+COUNTIF(BU$4:BU19,BU19))</f>
        <v/>
      </c>
      <c r="BW19" s="55">
        <f>IF(ROW()-3&gt;COUNTIF(BU$4:BU$40,"&lt;&gt;"&amp;""),"",INDEX(BU$4:BU$40,MATCH(ROW()-3,BV$4:BV$40,0)))</f>
        <v/>
      </c>
      <c r="BX19">
        <f>BX18+IF(AND(BW19&lt;&gt;"",COUNTIF(BW$4:BW19,BW19)=1),1,0)</f>
        <v/>
      </c>
      <c r="BY19" s="55">
        <f>IF(ROW()-3&gt;MAX(BX$4:BX$40),"",INDEX(BW$4:BW$40,MATCH(ROW()-3,BX$4:BX$40,0)))</f>
        <v/>
      </c>
      <c r="BZ19" s="55">
        <f>IF(AND($B$19:$J$19,$L$19:$AJ$19),IF('Final Calculation Sheet'!$I$19="","",'Final Calculation Sheet'!$I$19),"")</f>
        <v/>
      </c>
      <c r="CA19">
        <f>IF(BZ19="","",COUNTIFS(BZ$4:BZ$40,"&lt;"&amp;BZ19,BZ$4:BZ$40,"&lt;&gt;"&amp;"")+COUNTIF(BZ$4:BZ19,BZ19))</f>
        <v/>
      </c>
      <c r="CB19" s="55">
        <f>IF(ROW()-3&gt;COUNTIF(BZ$4:BZ$40,"&lt;&gt;"&amp;""),"",INDEX(BZ$4:BZ$40,MATCH(ROW()-3,CA$4:CA$40,0)))</f>
        <v/>
      </c>
      <c r="CC19">
        <f>CC18+IF(AND(CB19&lt;&gt;"",COUNTIF(CB$4:CB19,CB19)=1),1,0)</f>
        <v/>
      </c>
      <c r="CD19" s="55">
        <f>IF(ROW()-3&gt;MAX(CC$4:CC$40),"",INDEX(CB$4:CB$40,MATCH(ROW()-3,CC$4:CC$40,0)))</f>
        <v/>
      </c>
      <c r="CE19" s="55">
        <f>IF(AND($B$19:$K$19,$M$19:$AJ$19),IF('Final Calculation Sheet'!$J$19="","",'Final Calculation Sheet'!$J$19),"")</f>
        <v/>
      </c>
      <c r="CF19">
        <f>IF(CE19="","",COUNTIFS(CE$4:CE$40,"&lt;"&amp;CE19,CE$4:CE$40,"&lt;&gt;"&amp;"")+COUNTIF(CE$4:CE19,CE19))</f>
        <v/>
      </c>
      <c r="CG19" s="55">
        <f>IF(ROW()-3&gt;COUNTIF(CE$4:CE$40,"&lt;&gt;"&amp;""),"",INDEX(CE$4:CE$40,MATCH(ROW()-3,CF$4:CF$40,0)))</f>
        <v/>
      </c>
      <c r="CH19">
        <f>CH18+IF(AND(CG19&lt;&gt;"",COUNTIF(CG$4:CG19,CG19)=1),1,0)</f>
        <v/>
      </c>
      <c r="CI19" s="55">
        <f>IF(ROW()-3&gt;MAX(CH$4:CH$40),"",INDEX(CG$4:CG$40,MATCH(ROW()-3,CH$4:CH$40,0)))</f>
        <v/>
      </c>
      <c r="CJ19" s="55">
        <f>IF(AND($B$19:$L$19,$N$19:$AJ$19),IF('Final Calculation Sheet'!$K$19="","",'Final Calculation Sheet'!$K$19),"")</f>
        <v/>
      </c>
      <c r="CK19">
        <f>IF(CJ19="","",COUNTIFS(CJ$4:CJ$40,"&lt;"&amp;CJ19,CJ$4:CJ$40,"&lt;&gt;"&amp;"")+COUNTIF(CJ$4:CJ19,CJ19))</f>
        <v/>
      </c>
      <c r="CL19" s="55">
        <f>IF(ROW()-3&gt;COUNTIF(CJ$4:CJ$40,"&lt;&gt;"&amp;""),"",INDEX(CJ$4:CJ$40,MATCH(ROW()-3,CK$4:CK$40,0)))</f>
        <v/>
      </c>
      <c r="CM19">
        <f>CM18+IF(AND(CL19&lt;&gt;"",COUNTIF(CL$4:CL19,CL19)=1),1,0)</f>
        <v/>
      </c>
      <c r="CN19" s="55">
        <f>IF(ROW()-3&gt;MAX(CM$4:CM$40),"",INDEX(CL$4:CL$40,MATCH(ROW()-3,CM$4:CM$40,0)))</f>
        <v/>
      </c>
      <c r="CO19" s="55">
        <f>IF(AND($B$19:$M$19,$O$19:$AJ$19),IF('Final Calculation Sheet'!$L$19="","",'Final Calculation Sheet'!$L$19),"")</f>
        <v/>
      </c>
      <c r="CP19">
        <f>IF(CO19="","",COUNTIFS(CO$4:CO$40,"&lt;"&amp;CO19,CO$4:CO$40,"&lt;&gt;"&amp;"")+COUNTIF(CO$4:CO19,CO19))</f>
        <v/>
      </c>
      <c r="CQ19" s="55">
        <f>IF(ROW()-3&gt;COUNTIF(CO$4:CO$40,"&lt;&gt;"&amp;""),"",INDEX(CO$4:CO$40,MATCH(ROW()-3,CP$4:CP$40,0)))</f>
        <v/>
      </c>
      <c r="CR19">
        <f>CR18+IF(AND(CQ19&lt;&gt;"",COUNTIF(CQ$4:CQ19,CQ19)=1),1,0)</f>
        <v/>
      </c>
      <c r="CS19" s="55">
        <f>IF(ROW()-3&gt;MAX(CR$4:CR$40),"",INDEX(CQ$4:CQ$40,MATCH(ROW()-3,CR$4:CR$40,0)))</f>
        <v/>
      </c>
      <c r="CT19" s="55">
        <f>IF(AND($B$19:$N$19,$P$19:$AJ$19),IF('Final Calculation Sheet'!$M$19="","",'Final Calculation Sheet'!$M$19),"")</f>
        <v/>
      </c>
      <c r="CU19">
        <f>IF(CT19="","",COUNTIFS(CT$4:CT$40,"&lt;"&amp;CT19,CT$4:CT$40,"&lt;&gt;"&amp;"")+COUNTIF(CT$4:CT19,CT19))</f>
        <v/>
      </c>
      <c r="CV19" s="55">
        <f>IF(ROW()-3&gt;COUNTIF(CT$4:CT$40,"&lt;&gt;"&amp;""),"",INDEX(CT$4:CT$40,MATCH(ROW()-3,CU$4:CU$40,0)))</f>
        <v/>
      </c>
      <c r="CW19">
        <f>CW18+IF(AND(CV19&lt;&gt;"",COUNTIF(CV$4:CV19,CV19)=1),1,0)</f>
        <v/>
      </c>
      <c r="CX19" s="55">
        <f>IF(ROW()-3&gt;MAX(CW$4:CW$40),"",INDEX(CV$4:CV$40,MATCH(ROW()-3,CW$4:CW$40,0)))</f>
        <v/>
      </c>
      <c r="CY19" s="138">
        <f>IF(AND($B$19:$O$19,$Q$19:$AJ$19),IF('Final Calculation Sheet'!$N$19="","",'Final Calculation Sheet'!$N$19),"")</f>
        <v/>
      </c>
      <c r="CZ19">
        <f>IF(CY19="","",COUNTIFS(CY$4:CY$40,"&lt;"&amp;CY19,CY$4:CY$40,"&lt;&gt;"&amp;"")+COUNTIF(CY$4:CY19,CY19))</f>
        <v/>
      </c>
      <c r="DA19" s="138">
        <f>IF(ROW()-3&gt;COUNTIF(CY$4:CY$40,"&lt;&gt;"&amp;""),"",INDEX(CY$4:CY$40,MATCH(ROW()-3,CZ$4:CZ$40,0)))</f>
        <v/>
      </c>
      <c r="DB19">
        <f>DB18+IF(AND(DA19&lt;&gt;"",COUNTIF(DA$4:DA19,DA19)=1),1,0)</f>
        <v/>
      </c>
      <c r="DC19" s="138">
        <f>IF(ROW()-3&gt;MAX(DB$4:DB$40),"",INDEX(DA$4:DA$40,MATCH(ROW()-3,DB$4:DB$40,0)))</f>
        <v/>
      </c>
      <c r="DD19" s="55">
        <f>IF(AND($B$19:$P$19,$R$19:$AJ$19),IF('Final Calculation Sheet'!$O$19="","",'Final Calculation Sheet'!$O$19),"")</f>
        <v/>
      </c>
      <c r="DE19">
        <f>IF(DD19="","",COUNTIFS(DD$4:DD$40,"&lt;"&amp;DD19,DD$4:DD$40,"&lt;&gt;"&amp;"")+COUNTIF(DD$4:DD19,DD19))</f>
        <v/>
      </c>
      <c r="DF19" s="55">
        <f>IF(ROW()-3&gt;COUNTIF(DD$4:DD$40,"&lt;&gt;"&amp;""),"",INDEX(DD$4:DD$40,MATCH(ROW()-3,DE$4:DE$40,0)))</f>
        <v/>
      </c>
      <c r="DG19">
        <f>DG18+IF(AND(DF19&lt;&gt;"",COUNTIF(DF$4:DF19,DF19)=1),1,0)</f>
        <v/>
      </c>
      <c r="DH19" s="55">
        <f>IF(ROW()-3&gt;MAX(DG$4:DG$40),"",INDEX(DF$4:DF$40,MATCH(ROW()-3,DG$4:DG$40,0)))</f>
        <v/>
      </c>
      <c r="DI19" s="55">
        <f>IF(AND($B$19:$Q$19,$S$19:$AJ$19),IF('Final Calculation Sheet'!$P$19="","",'Final Calculation Sheet'!$P$19),"")</f>
        <v/>
      </c>
      <c r="DJ19">
        <f>IF(DI19="","",COUNTIFS(DI$4:DI$40,"&lt;"&amp;DI19,DI$4:DI$40,"&lt;&gt;"&amp;"")+COUNTIF(DI$4:DI19,DI19))</f>
        <v/>
      </c>
      <c r="DK19" s="55">
        <f>IF(ROW()-3&gt;COUNTIF(DI$4:DI$40,"&lt;&gt;"&amp;""),"",INDEX(DI$4:DI$40,MATCH(ROW()-3,DJ$4:DJ$40,0)))</f>
        <v/>
      </c>
      <c r="DL19">
        <f>DL18+IF(AND(DK19&lt;&gt;"",COUNTIF(DK$4:DK19,DK19)=1),1,0)</f>
        <v/>
      </c>
      <c r="DM19" s="55">
        <f>IF(ROW()-3&gt;MAX(DL$4:DL$40),"",INDEX(DK$4:DK$40,MATCH(ROW()-3,DL$4:DL$40,0)))</f>
        <v/>
      </c>
      <c r="DN19" s="139">
        <f>IF(AND($B$19:$R$19,$T$19:$AJ$19),IF('Final Calculation Sheet'!$Q$19="","",'Final Calculation Sheet'!$Q$19),"")</f>
        <v/>
      </c>
      <c r="DO19">
        <f>IF(DN19="","",COUNTIFS(DN$4:DN$40,"&lt;"&amp;DN19,DN$4:DN$40,"&lt;&gt;"&amp;"")+COUNTIF(DN$4:DN19,DN19))</f>
        <v/>
      </c>
      <c r="DP19" s="139">
        <f>IF(ROW()-3&gt;COUNTIF(DN$4:DN$40,"&lt;&gt;"&amp;""),"",INDEX(DN$4:DN$40,MATCH(ROW()-3,DO$4:DO$40,0)))</f>
        <v/>
      </c>
      <c r="DQ19">
        <f>DQ18+IF(AND(DP19&lt;&gt;"",COUNTIF(DP$4:DP19,DP19)=1),1,0)</f>
        <v/>
      </c>
      <c r="DR19" s="139">
        <f>IF(ROW()-3&gt;MAX(DQ$4:DQ$40),"",INDEX(DP$4:DP$40,MATCH(ROW()-3,DQ$4:DQ$40,0)))</f>
        <v/>
      </c>
      <c r="DS19" s="55">
        <f>IF(AND($B$19:$S$19,$U$19:$AJ$19),IF('Final Calculation Sheet'!$R$19="","",'Final Calculation Sheet'!$R$19),"")</f>
        <v/>
      </c>
      <c r="DT19">
        <f>IF(DS19="","",COUNTIFS(DS$4:DS$40,"&lt;"&amp;DS19,DS$4:DS$40,"&lt;&gt;"&amp;"")+COUNTIF(DS$4:DS19,DS19))</f>
        <v/>
      </c>
      <c r="DU19" s="55">
        <f>IF(ROW()-3&gt;COUNTIF(DS$4:DS$40,"&lt;&gt;"&amp;""),"",INDEX(DS$4:DS$40,MATCH(ROW()-3,DT$4:DT$40,0)))</f>
        <v/>
      </c>
      <c r="DV19">
        <f>DV18+IF(AND(DU19&lt;&gt;"",COUNTIF(DU$4:DU19,DU19)=1),1,0)</f>
        <v/>
      </c>
      <c r="DW19" s="55">
        <f>IF(ROW()-3&gt;MAX(DV$4:DV$40),"",INDEX(DU$4:DU$40,MATCH(ROW()-3,DV$4:DV$40,0)))</f>
        <v/>
      </c>
      <c r="DX19" s="55">
        <f>IF(AND($B$19:$T$19,$V$19:$AJ$19),IF('Final Calculation Sheet'!$S$19="","",'Final Calculation Sheet'!$S$19),"")</f>
        <v/>
      </c>
      <c r="DY19">
        <f>IF(DX19="","",COUNTIFS(DX$4:DX$40,"&lt;"&amp;DX19,DX$4:DX$40,"&lt;&gt;"&amp;"")+COUNTIF(DX$4:DX19,DX19))</f>
        <v/>
      </c>
      <c r="DZ19" s="55">
        <f>IF(ROW()-3&gt;COUNTIF(DX$4:DX$40,"&lt;&gt;"&amp;""),"",INDEX(DX$4:DX$40,MATCH(ROW()-3,DY$4:DY$40,0)))</f>
        <v/>
      </c>
      <c r="EA19">
        <f>EA18+IF(AND(DZ19&lt;&gt;"",COUNTIF(DZ$4:DZ19,DZ19)=1),1,0)</f>
        <v/>
      </c>
      <c r="EB19" s="55">
        <f>IF(ROW()-3&gt;MAX(EA$4:EA$40),"",INDEX(DZ$4:DZ$40,MATCH(ROW()-3,EA$4:EA$40,0)))</f>
        <v/>
      </c>
      <c r="EC19" s="55">
        <f>IF(AND($B$19:$U$19,$W$19:$AJ$19),IF('Final Calculation Sheet'!$T$19="","",'Final Calculation Sheet'!$T$19),"")</f>
        <v/>
      </c>
      <c r="ED19">
        <f>IF(EC19="","",COUNTIFS(EC$4:EC$40,"&lt;"&amp;EC19,EC$4:EC$40,"&lt;&gt;"&amp;"")+COUNTIF(EC$4:EC19,EC19))</f>
        <v/>
      </c>
      <c r="EE19" s="55">
        <f>IF(ROW()-3&gt;COUNTIF(EC$4:EC$40,"&lt;&gt;"&amp;""),"",INDEX(EC$4:EC$40,MATCH(ROW()-3,ED$4:ED$40,0)))</f>
        <v/>
      </c>
      <c r="EF19">
        <f>EF18+IF(AND(EE19&lt;&gt;"",COUNTIF(EE$4:EE19,EE19)=1),1,0)</f>
        <v/>
      </c>
      <c r="EG19" s="55">
        <f>IF(ROW()-3&gt;MAX(EF$4:EF$40),"",INDEX(EE$4:EE$40,MATCH(ROW()-3,EF$4:EF$40,0)))</f>
        <v/>
      </c>
      <c r="EH19" s="140">
        <f>IF(AND($B$19:$V$19,$X$19:$AJ$19),IF('Final Calculation Sheet'!$U$19="","",'Final Calculation Sheet'!$U$19),"")</f>
        <v/>
      </c>
      <c r="EI19">
        <f>IF(EH19="","",COUNTIFS(EH$4:EH$40,"&lt;"&amp;EH19,EH$4:EH$40,"&lt;&gt;"&amp;"")+COUNTIF(EH$4:EH19,EH19))</f>
        <v/>
      </c>
      <c r="EJ19" s="140">
        <f>IF(ROW()-3&gt;COUNTIF(EH$4:EH$40,"&lt;&gt;"&amp;""),"",INDEX(EH$4:EH$40,MATCH(ROW()-3,EI$4:EI$40,0)))</f>
        <v/>
      </c>
      <c r="EK19">
        <f>EK18+IF(AND(EJ19&lt;&gt;"",COUNTIF(EJ$4:EJ19,EJ19)=1),1,0)</f>
        <v/>
      </c>
      <c r="EL19" s="140">
        <f>IF(ROW()-3&gt;MAX(EK$4:EK$40),"",INDEX(EJ$4:EJ$40,MATCH(ROW()-3,EK$4:EK$40,0)))</f>
        <v/>
      </c>
      <c r="EM19">
        <f>IF(AND($B$19:$W$19,$Y$19:$AJ$19),IF('Final Calculation Sheet'!$V$19="","",'Final Calculation Sheet'!$V$19),"")</f>
        <v/>
      </c>
      <c r="EN19">
        <f>IF(EM19="","",COUNTIFS(EM$4:EM$40,"&lt;"&amp;EM19,EM$4:EM$40,"&lt;&gt;"&amp;"")+COUNTIF(EM$4:EM19,EM19))</f>
        <v/>
      </c>
      <c r="EO19">
        <f>IF(ROW()-3&gt;COUNTIF(EM$4:EM$40,"&lt;&gt;"&amp;""),"",INDEX(EM$4:EM$40,MATCH(ROW()-3,EN$4:EN$40,0)))</f>
        <v/>
      </c>
      <c r="EP19">
        <f>EP18+IF(AND(EO19&lt;&gt;"",COUNTIF(EO$4:EO19,EO19)=1),1,0)</f>
        <v/>
      </c>
      <c r="EQ19">
        <f>IF(ROW()-3&gt;MAX(EP$4:EP$40),"",INDEX(EO$4:EO$40,MATCH(ROW()-3,EP$4:EP$40,0)))</f>
        <v/>
      </c>
      <c r="ER19" s="55">
        <f>IF(AND($B$19:$X$19,$Z$19:$AJ$19),IF('Final Calculation Sheet'!$W$19="","",'Final Calculation Sheet'!$W$19),"")</f>
        <v/>
      </c>
      <c r="ES19">
        <f>IF(ER19="","",COUNTIFS(ER$4:ER$40,"&lt;"&amp;ER19,ER$4:ER$40,"&lt;&gt;"&amp;"")+COUNTIF(ER$4:ER19,ER19))</f>
        <v/>
      </c>
      <c r="ET19" s="55">
        <f>IF(ROW()-3&gt;COUNTIF(ER$4:ER$40,"&lt;&gt;"&amp;""),"",INDEX(ER$4:ER$40,MATCH(ROW()-3,ES$4:ES$40,0)))</f>
        <v/>
      </c>
      <c r="EU19">
        <f>EU18+IF(AND(ET19&lt;&gt;"",COUNTIF(ET$4:ET19,ET19)=1),1,0)</f>
        <v/>
      </c>
      <c r="EV19" s="55">
        <f>IF(ROW()-3&gt;MAX(EU$4:EU$40),"",INDEX(ET$4:ET$40,MATCH(ROW()-3,EU$4:EU$40,0)))</f>
        <v/>
      </c>
      <c r="EW19" s="55">
        <f>IF(AND($B$19:$Y$19,$AA$19:$AJ$19),IF('Final Calculation Sheet'!$X$19="","",'Final Calculation Sheet'!$X$19),"")</f>
        <v/>
      </c>
      <c r="EX19">
        <f>IF(EW19="","",COUNTIFS(EW$4:EW$40,"&lt;"&amp;EW19,EW$4:EW$40,"&lt;&gt;"&amp;"")+COUNTIF(EW$4:EW19,EW19))</f>
        <v/>
      </c>
      <c r="EY19" s="55">
        <f>IF(ROW()-3&gt;COUNTIF(EW$4:EW$40,"&lt;&gt;"&amp;""),"",INDEX(EW$4:EW$40,MATCH(ROW()-3,EX$4:EX$40,0)))</f>
        <v/>
      </c>
      <c r="EZ19">
        <f>EZ18+IF(AND(EY19&lt;&gt;"",COUNTIF(EY$4:EY19,EY19)=1),1,0)</f>
        <v/>
      </c>
      <c r="FA19">
        <f>IF(ROW()-3&gt;MAX(EZ$4:EZ$40),"",INDEX(EY$4:EY$40,MATCH(ROW()-3,EZ$4:EZ$40,0)))</f>
        <v/>
      </c>
      <c r="FB19">
        <f>IF(AND($B$19:$Z$19,$AB$19:$AJ$19),IF('Final Calculation Sheet'!$Y$19="","",'Final Calculation Sheet'!$Y$19),"")</f>
        <v/>
      </c>
      <c r="FC19">
        <f>IF(FB19="","",COUNTIFS(FB$4:FB$40,"&lt;"&amp;FB19,FB$4:FB$40,"&lt;&gt;"&amp;"")+COUNTIF(FB$4:FB19,FB19))</f>
        <v/>
      </c>
      <c r="FD19">
        <f>IF(ROW()-3&gt;COUNTIF(FB$4:FB$40,"&lt;&gt;"&amp;""),"",INDEX(FB$4:FB$40,MATCH(ROW()-3,FC$4:FC$40,0)))</f>
        <v/>
      </c>
      <c r="FE19">
        <f>FE18+IF(AND(FD19&lt;&gt;"",COUNTIF(FD$4:FD19,FD19)=1),1,0)</f>
        <v/>
      </c>
      <c r="FF19">
        <f>IF(ROW()-3&gt;MAX(FE$4:FE$40),"",INDEX(FD$4:FD$40,MATCH(ROW()-3,FE$4:FE$40,0)))</f>
        <v/>
      </c>
      <c r="FG19" s="55">
        <f>IF(AND($B$19:$AA$19,$AC$19:$AJ$19),IF('Final Calculation Sheet'!$Z$19="","",'Final Calculation Sheet'!$Z$19),"")</f>
        <v/>
      </c>
      <c r="FH19">
        <f>IF(FG19="","",COUNTIFS(FG$4:FG$40,"&lt;"&amp;FG19,FG$4:FG$40,"&lt;&gt;"&amp;"")+COUNTIF(FG$4:FG19,FG19))</f>
        <v/>
      </c>
      <c r="FI19" s="55">
        <f>IF(ROW()-3&gt;COUNTIF(FG$4:FG$40,"&lt;&gt;"&amp;""),"",INDEX(FG$4:FG$40,MATCH(ROW()-3,FH$4:FH$40,0)))</f>
        <v/>
      </c>
      <c r="FJ19">
        <f>FJ18+IF(AND(FI19&lt;&gt;"",COUNTIF(FI$4:FI19,FI19)=1),1,0)</f>
        <v/>
      </c>
      <c r="FK19" s="55">
        <f>IF(ROW()-3&gt;MAX(FJ$4:FJ$40),"",INDEX(FI$4:FI$40,MATCH(ROW()-3,FJ$4:FJ$40,0)))</f>
        <v/>
      </c>
      <c r="FL19">
        <f>IF(AND($B$19:$AB$19,$AD$19:$AJ$19),IF('Final Calculation Sheet'!$AA$19="","",'Final Calculation Sheet'!$AA$19),"")</f>
        <v/>
      </c>
      <c r="FM19">
        <f>IF(FL19="","",COUNTIFS(FL$4:FL$40,"&lt;"&amp;FL19,FL$4:FL$40,"&lt;&gt;"&amp;"")+COUNTIF(FL$4:FL19,FL19))</f>
        <v/>
      </c>
      <c r="FN19">
        <f>IF(ROW()-3&gt;COUNTIF(FL$4:FL$40,"&lt;&gt;"&amp;""),"",INDEX(FL$4:FL$40,MATCH(ROW()-3,FM$4:FM$40,0)))</f>
        <v/>
      </c>
      <c r="FO19">
        <f>FO18+IF(AND(FN19&lt;&gt;"",COUNTIF(FN$4:FN19,FN19)=1),1,0)</f>
        <v/>
      </c>
      <c r="FP19">
        <f>IF(ROW()-3&gt;MAX(FO$4:FO$40),"",INDEX(FN$4:FN$40,MATCH(ROW()-3,FO$4:FO$40,0)))</f>
        <v/>
      </c>
      <c r="FQ19">
        <f>IF(AND($B$19:$AC$19,$AE$19:$AJ$19),IF('Final Calculation Sheet'!$AB$19="","",'Final Calculation Sheet'!$AB$19),"")</f>
        <v/>
      </c>
      <c r="FR19">
        <f>IF(FQ19="","",COUNTIFS(FQ$4:FQ$40,"&lt;"&amp;FQ19,FQ$4:FQ$40,"&lt;&gt;"&amp;"")+COUNTIF(FQ$4:FQ19,FQ19))</f>
        <v/>
      </c>
      <c r="FS19">
        <f>IF(ROW()-3&gt;COUNTIF(FQ$4:FQ$40,"&lt;&gt;"&amp;""),"",INDEX(FQ$4:FQ$40,MATCH(ROW()-3,FR$4:FR$40,0)))</f>
        <v/>
      </c>
      <c r="FT19">
        <f>FT18+IF(AND(FS19&lt;&gt;"",COUNTIF(FS$4:FS19,FS19)=1),1,0)</f>
        <v/>
      </c>
      <c r="FU19">
        <f>IF(ROW()-3&gt;MAX(FT$4:FT$40),"",INDEX(FS$4:FS$40,MATCH(ROW()-3,FT$4:FT$40,0)))</f>
        <v/>
      </c>
      <c r="FV19" s="55">
        <f>IF(AND($B$19:$AD$19,$AF$19:$AJ$19),IF('Final Calculation Sheet'!$AC$19="","",'Final Calculation Sheet'!$AC$19),"")</f>
        <v/>
      </c>
      <c r="FW19">
        <f>IF(FV19="","",COUNTIFS(FV$4:FV$40,"&lt;"&amp;FV19,FV$4:FV$40,"&lt;&gt;"&amp;"")+COUNTIF(FV$4:FV19,FV19))</f>
        <v/>
      </c>
      <c r="FX19" s="55">
        <f>IF(ROW()-3&gt;COUNTIF(FV$4:FV$40,"&lt;&gt;"&amp;""),"",INDEX(FV$4:FV$40,MATCH(ROW()-3,FW$4:FW$40,0)))</f>
        <v/>
      </c>
      <c r="FY19">
        <f>FY18+IF(AND(FX19&lt;&gt;"",COUNTIF(FX$4:FX19,FX19)=1),1,0)</f>
        <v/>
      </c>
      <c r="FZ19" s="55">
        <f>IF(ROW()-3&gt;MAX(FY$4:FY$40),"",INDEX(FX$4:FX$40,MATCH(ROW()-3,FY$4:FY$40,0)))</f>
        <v/>
      </c>
      <c r="GA19" s="55">
        <f>IF(AND($B$19:$AE$19,$AG$19:$AJ$19),IF('Final Calculation Sheet'!$AD$19="","",'Final Calculation Sheet'!$AD$19),"")</f>
        <v/>
      </c>
      <c r="GB19">
        <f>IF(GA19="","",COUNTIFS(GA$4:GA$40,"&lt;"&amp;GA19,GA$4:GA$40,"&lt;&gt;"&amp;"")+COUNTIF(GA$4:GA19,GA19))</f>
        <v/>
      </c>
      <c r="GC19" s="55">
        <f>IF(ROW()-3&gt;COUNTIF(GA$4:GA$40,"&lt;&gt;"&amp;""),"",INDEX(GA$4:GA$40,MATCH(ROW()-3,GB$4:GB$40,0)))</f>
        <v/>
      </c>
      <c r="GD19">
        <f>GD18+IF(AND(GC19&lt;&gt;"",COUNTIF(GC$4:GC19,GC19)=1),1,0)</f>
        <v/>
      </c>
      <c r="GE19" s="55">
        <f>IF(ROW()-3&gt;MAX(GD$4:GD$40),"",INDEX(GC$4:GC$40,MATCH(ROW()-3,GD$4:GD$40,0)))</f>
        <v/>
      </c>
      <c r="GF19">
        <f>IF(AND($B$19:$AF$19,$AH$19:$AJ$19),IF('Final Calculation Sheet'!$AE$19="","",'Final Calculation Sheet'!$AE$19),"")</f>
        <v/>
      </c>
      <c r="GG19">
        <f>IF(GF19="","",COUNTIFS(GF$4:GF$40,"&lt;"&amp;GF19,GF$4:GF$40,"&lt;&gt;"&amp;"")+COUNTIF(GF$4:GF19,GF19))</f>
        <v/>
      </c>
      <c r="GH19">
        <f>IF(ROW()-3&gt;COUNTIF(GF$4:GF$40,"&lt;&gt;"&amp;""),"",INDEX(GF$4:GF$40,MATCH(ROW()-3,GG$4:GG$40,0)))</f>
        <v/>
      </c>
      <c r="GI19">
        <f>GI18+IF(AND(GH19&lt;&gt;"",COUNTIF(GH$4:GH19,GH19)=1),1,0)</f>
        <v/>
      </c>
      <c r="GJ19">
        <f>IF(ROW()-3&gt;MAX(GI$4:GI$40),"",INDEX(GH$4:GH$40,MATCH(ROW()-3,GI$4:GI$40,0)))</f>
        <v/>
      </c>
      <c r="GK19" s="141">
        <f>IF(AND($B$19:$AG$19,$AI$19:$AJ$19),IF('Final Calculation Sheet'!$AF$19="","",'Final Calculation Sheet'!$AF$19),"")</f>
        <v/>
      </c>
      <c r="GL19">
        <f>IF(GK19="","",COUNTIFS(GK$4:GK$40,"&lt;"&amp;GK19,GK$4:GK$40,"&lt;&gt;"&amp;"")+COUNTIF(GK$4:GK19,GK19))</f>
        <v/>
      </c>
      <c r="GM19" s="141">
        <f>IF(ROW()-3&gt;COUNTIF(GK$4:GK$40,"&lt;&gt;"&amp;""),"",INDEX(GK$4:GK$40,MATCH(ROW()-3,GL$4:GL$40,0)))</f>
        <v/>
      </c>
      <c r="GN19">
        <f>GN18+IF(AND(GM19&lt;&gt;"",COUNTIF(GM$4:GM19,GM19)=1),1,0)</f>
        <v/>
      </c>
      <c r="GO19">
        <f>IF(ROW()-3&gt;MAX(GN$4:GN$40),"",INDEX(GM$4:GM$40,MATCH(ROW()-3,GN$4:GN$40,0)))</f>
        <v/>
      </c>
      <c r="GP19">
        <f>IF(AND($B$19:$AH$19,$AJ$19:$AJ$19),IF('Final Calculation Sheet'!$AG$19="","",'Final Calculation Sheet'!$AG$19),"")</f>
        <v/>
      </c>
      <c r="GQ19">
        <f>IF(GP19="","",COUNTIFS(GP$4:GP$40,"&lt;"&amp;GP19,GP$4:GP$40,"&lt;&gt;"&amp;"")+COUNTIF(GP$4:GP19,GP19))</f>
        <v/>
      </c>
      <c r="GR19">
        <f>IF(ROW()-3&gt;COUNTIF(GP$4:GP$40,"&lt;&gt;"&amp;""),"",INDEX(GP$4:GP$40,MATCH(ROW()-3,GQ$4:GQ$40,0)))</f>
        <v/>
      </c>
      <c r="GS19">
        <f>GS18+IF(AND(GR19&lt;&gt;"",COUNTIF(GR$4:GR19,GR19)=1),1,0)</f>
        <v/>
      </c>
      <c r="GT19">
        <f>IF(ROW()-3&gt;MAX(GS$4:GS$40),"",INDEX(GR$4:GR$40,MATCH(ROW()-3,GS$4:GS$40,0)))</f>
        <v/>
      </c>
    </row>
    <row r="20">
      <c r="A20" t="inlineStr">
        <is>
          <t>Final row 20</t>
        </is>
      </c>
      <c r="B20" t="b">
        <v>1</v>
      </c>
      <c r="C20">
        <f>IF($C$3=FALSE,TRUE,IF(OR(UPPER(TRIM($C$2))="(BLANK)",UPPER(TRIM($C$2))="BLANK",AND($C$2&lt;&gt;"",TRIM($C$2)="")),(IF('Final Calculation Sheet'!$F$20="","",'Final Calculation Sheet'!$F$20))="",IF(OR(UPPER(TRIM($C$2))="(NONBLANK)",UPPER(TRIM($C$2))="NONBLANK",TRIM($C$2)="&lt;&gt;"),(IF('Final Calculation Sheet'!$F$20="","",'Final Calculation Sheet'!$F$20))&lt;&gt;"",UPPER(TRIM((IF('Final Calculation Sheet'!$F$20="","",'Final Calculation Sheet'!$F$20))&amp;""))=UPPER(TRIM($C$2&amp;"")))))</f>
        <v/>
      </c>
      <c r="D20">
        <f>IF($D$3=FALSE,TRUE,IF(OR(UPPER(TRIM($D$2))="(BLANK)",UPPER(TRIM($D$2))="BLANK",AND($D$2&lt;&gt;"",TRIM($D$2)="")),(IF('Final Calculation Sheet'!$G$20="","",'Final Calculation Sheet'!$G$20))="",IF(OR(UPPER(TRIM($D$2))="(NONBLANK)",UPPER(TRIM($D$2))="NONBLANK",TRIM($D$2)="&lt;&gt;"),(IF('Final Calculation Sheet'!$G$20="","",'Final Calculation Sheet'!$G$20))&lt;&gt;"",UPPER(TRIM((IF('Final Calculation Sheet'!$G$20="","",'Final Calculation Sheet'!$G$20))&amp;""))=UPPER(TRIM($D$2&amp;"")))))</f>
        <v/>
      </c>
      <c r="E20">
        <f>IF($E$3=FALSE,TRUE,IF(OR(UPPER(TRIM($E$2))="(BLANK)",UPPER(TRIM($E$2))="BLANK",AND($E$2&lt;&gt;"",TRIM($E$2)="")),(IF('Final Calculation Sheet'!$B$20="","",'Final Calculation Sheet'!$B$20))="",IF(OR(UPPER(TRIM($E$2))="(NONBLANK)",UPPER(TRIM($E$2))="NONBLANK",TRIM($E$2)="&lt;&gt;"),(IF('Final Calculation Sheet'!$B$20="","",'Final Calculation Sheet'!$B$20))&lt;&gt;"",UPPER(TRIM((IF('Final Calculation Sheet'!$B$20="","",'Final Calculation Sheet'!$B$20))&amp;""))=UPPER(TRIM($E$2&amp;"")))))</f>
        <v/>
      </c>
      <c r="F20">
        <f>IF($F$3=FALSE,TRUE,IF(OR(UPPER(TRIM($F$2))="(BLANK)",UPPER(TRIM($F$2))="BLANK",AND($F$2&lt;&gt;"",TRIM($F$2)="")),(IF('Final Calculation Sheet'!$D$20="","",'Final Calculation Sheet'!$D$20))="",IF(OR(UPPER(TRIM($F$2))="(NONBLANK)",UPPER(TRIM($F$2))="NONBLANK",TRIM($F$2)="&lt;&gt;"),(IF('Final Calculation Sheet'!$D$20="","",'Final Calculation Sheet'!$D$20))&lt;&gt;"",UPPER(TRIM((IF('Final Calculation Sheet'!$D$20="","",'Final Calculation Sheet'!$D$20))&amp;""))=UPPER(TRIM($F$2&amp;"")))))</f>
        <v/>
      </c>
      <c r="G20">
        <f>IF($G$3=FALSE,TRUE,IF(OR(UPPER(TRIM($G$2))="(BLANK)",UPPER(TRIM($G$2))="BLANK",AND($G$2&lt;&gt;"",TRIM($G$2)="")),(IF('Final Calculation Sheet'!$A$20="","",'Final Calculation Sheet'!$A$20))="",IF(OR(UPPER(TRIM($G$2))="(NONBLANK)",UPPER(TRIM($G$2))="NONBLANK",TRIM($G$2)="&lt;&gt;"),(IF('Final Calculation Sheet'!$A$20="","",'Final Calculation Sheet'!$A$20))&lt;&gt;"",UPPER(TRIM((IF('Final Calculation Sheet'!$A$20="","",'Final Calculation Sheet'!$A$20))&amp;""))=UPPER(TRIM($G$2&amp;"")))))</f>
        <v/>
      </c>
      <c r="H20">
        <f>IF($H$3=FALSE,TRUE,IF(OR(UPPER(TRIM($H$2))="(BLANK)",UPPER(TRIM($H$2))="BLANK",AND($H$2&lt;&gt;"",TRIM($H$2)="")),(IF('Final Calculation Sheet'!$E$20="","",'Final Calculation Sheet'!$E$20))="",IF(OR(UPPER(TRIM($H$2))="(NONBLANK)",UPPER(TRIM($H$2))="NONBLANK",TRIM($H$2)="&lt;&gt;"),(IF('Final Calculation Sheet'!$E$20="","",'Final Calculation Sheet'!$E$20))&lt;&gt;"",UPPER(TRIM((IF('Final Calculation Sheet'!$E$20="","",'Final Calculation Sheet'!$E$20))&amp;""))=UPPER(TRIM($H$2&amp;"")))))</f>
        <v/>
      </c>
      <c r="I20">
        <f>IF($I$3=FALSE,TRUE,IF(OR(UPPER(TRIM($I$2))="(BLANK)",UPPER(TRIM($I$2))="BLANK",AND($I$2&lt;&gt;"",TRIM($I$2)="")),(IF('Final Calculation Sheet'!$C$20="","",'Final Calculation Sheet'!$C$20))="",IF(OR(UPPER(TRIM($I$2))="(NONBLANK)",UPPER(TRIM($I$2))="NONBLANK",TRIM($I$2)="&lt;&gt;"),(IF('Final Calculation Sheet'!$C$20="","",'Final Calculation Sheet'!$C$20))&lt;&gt;"",UPPER(TRIM((IF('Final Calculation Sheet'!$C$20="","",'Final Calculation Sheet'!$C$20))&amp;""))=UPPER(TRIM($I$2&amp;"")))))</f>
        <v/>
      </c>
      <c r="J20">
        <f>IF($J$3=FALSE,TRUE,IF(OR(UPPER(TRIM($J$2))="(BLANK)",UPPER(TRIM($J$2))="BLANK",AND($J$2&lt;&gt;"",TRIM($J$2)="")),(IF('Final Calculation Sheet'!$H$20="","",'Final Calculation Sheet'!$H$20))="",IF(OR(UPPER(TRIM($J$2))="(NONBLANK)",UPPER(TRIM($J$2))="NONBLANK",TRIM($J$2)="&lt;&gt;"),(IF('Final Calculation Sheet'!$H$20="","",'Final Calculation Sheet'!$H$20))&lt;&gt;"",UPPER(TRIM((IF('Final Calculation Sheet'!$H$20="","",'Final Calculation Sheet'!$H$20))&amp;""))=UPPER(TRIM($J$2&amp;"")))))</f>
        <v/>
      </c>
      <c r="K20">
        <f>IF($K$3=FALSE,TRUE,IF(OR(UPPER(TRIM($K$2))="(BLANK)",UPPER(TRIM($K$2))="BLANK",AND($K$2&lt;&gt;"",TRIM($K$2)="")),(IF('Final Calculation Sheet'!$I$20="","",'Final Calculation Sheet'!$I$20))="",IF(OR(UPPER(TRIM($K$2))="(NONBLANK)",UPPER(TRIM($K$2))="NONBLANK",TRIM($K$2)="&lt;&gt;"),(IF('Final Calculation Sheet'!$I$20="","",'Final Calculation Sheet'!$I$20))&lt;&gt;"",UPPER(TRIM((IF('Final Calculation Sheet'!$I$20="","",'Final Calculation Sheet'!$I$20))&amp;""))=UPPER(TRIM($K$2&amp;"")))))</f>
        <v/>
      </c>
      <c r="L20">
        <f>IF($L$3=FALSE,TRUE,IF(OR(UPPER(TRIM($L$2))="(BLANK)",UPPER(TRIM($L$2))="BLANK",AND($L$2&lt;&gt;"",TRIM($L$2)="")),(IF('Final Calculation Sheet'!$J$20="","",'Final Calculation Sheet'!$J$20))="",IF(OR(UPPER(TRIM($L$2))="(NONBLANK)",UPPER(TRIM($L$2))="NONBLANK",TRIM($L$2)="&lt;&gt;"),(IF('Final Calculation Sheet'!$J$20="","",'Final Calculation Sheet'!$J$20))&lt;&gt;"",UPPER(TRIM((IF('Final Calculation Sheet'!$J$20="","",'Final Calculation Sheet'!$J$20))&amp;""))=UPPER(TRIM($L$2&amp;"")))))</f>
        <v/>
      </c>
      <c r="M20">
        <f>IF($M$3=FALSE,TRUE,IF(OR(UPPER(TRIM($M$2))="(BLANK)",UPPER(TRIM($M$2))="BLANK",AND($M$2&lt;&gt;"",TRIM($M$2)="")),(IF('Final Calculation Sheet'!$K$20="","",'Final Calculation Sheet'!$K$20))="",IF(OR(UPPER(TRIM($M$2))="(NONBLANK)",UPPER(TRIM($M$2))="NONBLANK",TRIM($M$2)="&lt;&gt;"),(IF('Final Calculation Sheet'!$K$20="","",'Final Calculation Sheet'!$K$20))&lt;&gt;"",UPPER(TRIM((IF('Final Calculation Sheet'!$K$20="","",'Final Calculation Sheet'!$K$20))&amp;""))=UPPER(TRIM($M$2&amp;"")))))</f>
        <v/>
      </c>
      <c r="N20">
        <f>IF($N$3=FALSE,TRUE,IF(OR(UPPER(TRIM($N$2))="(BLANK)",UPPER(TRIM($N$2))="BLANK",AND($N$2&lt;&gt;"",TRIM($N$2)="")),(IF('Final Calculation Sheet'!$L$20="","",'Final Calculation Sheet'!$L$20))="",IF(OR(UPPER(TRIM($N$2))="(NONBLANK)",UPPER(TRIM($N$2))="NONBLANK",TRIM($N$2)="&lt;&gt;"),(IF('Final Calculation Sheet'!$L$20="","",'Final Calculation Sheet'!$L$20))&lt;&gt;"",UPPER(TRIM((IF('Final Calculation Sheet'!$L$20="","",'Final Calculation Sheet'!$L$20))&amp;""))=UPPER(TRIM($N$2&amp;"")))))</f>
        <v/>
      </c>
      <c r="O20">
        <f>IF($O$3=FALSE,TRUE,IF(OR(UPPER(TRIM($O$2))="(BLANK)",UPPER(TRIM($O$2))="BLANK",AND($O$2&lt;&gt;"",TRIM($O$2)="")),(IF('Final Calculation Sheet'!$M$20="","",'Final Calculation Sheet'!$M$20))="",IF(OR(UPPER(TRIM($O$2))="(NONBLANK)",UPPER(TRIM($O$2))="NONBLANK",TRIM($O$2)="&lt;&gt;"),(IF('Final Calculation Sheet'!$M$20="","",'Final Calculation Sheet'!$M$20))&lt;&gt;"",UPPER(TRIM((IF('Final Calculation Sheet'!$M$20="","",'Final Calculation Sheet'!$M$20))&amp;""))=UPPER(TRIM($O$2&amp;"")))))</f>
        <v/>
      </c>
      <c r="P20">
        <f>IF($P$3=FALSE,TRUE,IF(OR(UPPER(TRIM($P$2))="(BLANK)",UPPER(TRIM($P$2))="BLANK",AND($P$2&lt;&gt;"",TRIM($P$2)="")),(IF('Final Calculation Sheet'!$N$20="","",'Final Calculation Sheet'!$N$20))="",IF(OR(UPPER(TRIM($P$2))="(NONBLANK)",UPPER(TRIM($P$2))="NONBLANK",TRIM($P$2)="&lt;&gt;"),(IF('Final Calculation Sheet'!$N$20="","",'Final Calculation Sheet'!$N$20))&lt;&gt;"",UPPER(TRIM((IF('Final Calculation Sheet'!$N$20="","",'Final Calculation Sheet'!$N$20))&amp;""))=UPPER(TRIM($P$2&amp;"")))))</f>
        <v/>
      </c>
      <c r="Q20">
        <f>IF($Q$3=FALSE,TRUE,IF(OR(UPPER(TRIM($Q$2))="(BLANK)",UPPER(TRIM($Q$2))="BLANK",AND($Q$2&lt;&gt;"",TRIM($Q$2)="")),(IF('Final Calculation Sheet'!$O$20="","",'Final Calculation Sheet'!$O$20))="",IF(OR(UPPER(TRIM($Q$2))="(NONBLANK)",UPPER(TRIM($Q$2))="NONBLANK",TRIM($Q$2)="&lt;&gt;"),(IF('Final Calculation Sheet'!$O$20="","",'Final Calculation Sheet'!$O$20))&lt;&gt;"",UPPER(TRIM((IF('Final Calculation Sheet'!$O$20="","",'Final Calculation Sheet'!$O$20))&amp;""))=UPPER(TRIM($Q$2&amp;"")))))</f>
        <v/>
      </c>
      <c r="R20">
        <f>IF($R$3=FALSE,TRUE,IF(OR(UPPER(TRIM($R$2))="(BLANK)",UPPER(TRIM($R$2))="BLANK",AND($R$2&lt;&gt;"",TRIM($R$2)="")),(IF('Final Calculation Sheet'!$P$20="","",'Final Calculation Sheet'!$P$20))="",IF(OR(UPPER(TRIM($R$2))="(NONBLANK)",UPPER(TRIM($R$2))="NONBLANK",TRIM($R$2)="&lt;&gt;"),(IF('Final Calculation Sheet'!$P$20="","",'Final Calculation Sheet'!$P$20))&lt;&gt;"",UPPER(TRIM((IF('Final Calculation Sheet'!$P$20="","",'Final Calculation Sheet'!$P$20))&amp;""))=UPPER(TRIM($R$2&amp;"")))))</f>
        <v/>
      </c>
      <c r="S20">
        <f>IF($S$3=FALSE,TRUE,IF(OR(UPPER(TRIM($S$2))="(BLANK)",UPPER(TRIM($S$2))="BLANK",AND($S$2&lt;&gt;"",TRIM($S$2)="")),(IF('Final Calculation Sheet'!$Q$20="","",'Final Calculation Sheet'!$Q$20))="",IF(OR(UPPER(TRIM($S$2))="(NONBLANK)",UPPER(TRIM($S$2))="NONBLANK",TRIM($S$2)="&lt;&gt;"),(IF('Final Calculation Sheet'!$Q$20="","",'Final Calculation Sheet'!$Q$20))&lt;&gt;"",UPPER(TRIM((IF('Final Calculation Sheet'!$Q$20="","",'Final Calculation Sheet'!$Q$20))&amp;""))=UPPER(TRIM($S$2&amp;"")))))</f>
        <v/>
      </c>
      <c r="T20">
        <f>IF($T$3=FALSE,TRUE,IF(OR(UPPER(TRIM($T$2))="(BLANK)",UPPER(TRIM($T$2))="BLANK",AND($T$2&lt;&gt;"",TRIM($T$2)="")),(IF('Final Calculation Sheet'!$R$20="","",'Final Calculation Sheet'!$R$20))="",IF(OR(UPPER(TRIM($T$2))="(NONBLANK)",UPPER(TRIM($T$2))="NONBLANK",TRIM($T$2)="&lt;&gt;"),(IF('Final Calculation Sheet'!$R$20="","",'Final Calculation Sheet'!$R$20))&lt;&gt;"",UPPER(TRIM((IF('Final Calculation Sheet'!$R$20="","",'Final Calculation Sheet'!$R$20))&amp;""))=UPPER(TRIM($T$2&amp;"")))))</f>
        <v/>
      </c>
      <c r="U20">
        <f>IF($U$3=FALSE,TRUE,IF(OR(UPPER(TRIM($U$2))="(BLANK)",UPPER(TRIM($U$2))="BLANK",AND($U$2&lt;&gt;"",TRIM($U$2)="")),(IF('Final Calculation Sheet'!$S$20="","",'Final Calculation Sheet'!$S$20))="",IF(OR(UPPER(TRIM($U$2))="(NONBLANK)",UPPER(TRIM($U$2))="NONBLANK",TRIM($U$2)="&lt;&gt;"),(IF('Final Calculation Sheet'!$S$20="","",'Final Calculation Sheet'!$S$20))&lt;&gt;"",UPPER(TRIM((IF('Final Calculation Sheet'!$S$20="","",'Final Calculation Sheet'!$S$20))&amp;""))=UPPER(TRIM($U$2&amp;"")))))</f>
        <v/>
      </c>
      <c r="V20">
        <f>IF($V$3=FALSE,TRUE,IF(OR(UPPER(TRIM($V$2))="(BLANK)",UPPER(TRIM($V$2))="BLANK",AND($V$2&lt;&gt;"",TRIM($V$2)="")),(IF('Final Calculation Sheet'!$T$20="","",'Final Calculation Sheet'!$T$20))="",IF(OR(UPPER(TRIM($V$2))="(NONBLANK)",UPPER(TRIM($V$2))="NONBLANK",TRIM($V$2)="&lt;&gt;"),(IF('Final Calculation Sheet'!$T$20="","",'Final Calculation Sheet'!$T$20))&lt;&gt;"",UPPER(TRIM((IF('Final Calculation Sheet'!$T$20="","",'Final Calculation Sheet'!$T$20))&amp;""))=UPPER(TRIM($V$2&amp;"")))))</f>
        <v/>
      </c>
      <c r="W20">
        <f>IF($W$3=FALSE,TRUE,IF(OR(UPPER(TRIM($W$2))="(BLANK)",UPPER(TRIM($W$2))="BLANK",AND($W$2&lt;&gt;"",TRIM($W$2)="")),(IF('Final Calculation Sheet'!$U$20="","",'Final Calculation Sheet'!$U$20))="",IF(OR(UPPER(TRIM($W$2))="(NONBLANK)",UPPER(TRIM($W$2))="NONBLANK",TRIM($W$2)="&lt;&gt;"),(IF('Final Calculation Sheet'!$U$20="","",'Final Calculation Sheet'!$U$20))&lt;&gt;"",UPPER(TRIM((IF('Final Calculation Sheet'!$U$20="","",'Final Calculation Sheet'!$U$20))&amp;""))=UPPER(TRIM($W$2&amp;"")))))</f>
        <v/>
      </c>
      <c r="X20">
        <f>IF($X$3=FALSE,TRUE,IF(OR(UPPER(TRIM($X$2))="(BLANK)",UPPER(TRIM($X$2))="BLANK",AND($X$2&lt;&gt;"",TRIM($X$2)="")),(IF('Final Calculation Sheet'!$V$20="","",'Final Calculation Sheet'!$V$20))="",IF(OR(UPPER(TRIM($X$2))="(NONBLANK)",UPPER(TRIM($X$2))="NONBLANK",TRIM($X$2)="&lt;&gt;"),(IF('Final Calculation Sheet'!$V$20="","",'Final Calculation Sheet'!$V$20))&lt;&gt;"",UPPER(TRIM((IF('Final Calculation Sheet'!$V$20="","",'Final Calculation Sheet'!$V$20))&amp;""))=UPPER(TRIM($X$2&amp;"")))))</f>
        <v/>
      </c>
      <c r="Y20">
        <f>IF($Y$3=FALSE,TRUE,IF(OR(UPPER(TRIM($Y$2))="(BLANK)",UPPER(TRIM($Y$2))="BLANK",AND($Y$2&lt;&gt;"",TRIM($Y$2)="")),(IF('Final Calculation Sheet'!$W$20="","",'Final Calculation Sheet'!$W$20))="",IF(OR(UPPER(TRIM($Y$2))="(NONBLANK)",UPPER(TRIM($Y$2))="NONBLANK",TRIM($Y$2)="&lt;&gt;"),(IF('Final Calculation Sheet'!$W$20="","",'Final Calculation Sheet'!$W$20))&lt;&gt;"",UPPER(TRIM((IF('Final Calculation Sheet'!$W$20="","",'Final Calculation Sheet'!$W$20))&amp;""))=UPPER(TRIM($Y$2&amp;"")))))</f>
        <v/>
      </c>
      <c r="Z20">
        <f>IF($Z$3=FALSE,TRUE,IF(OR(UPPER(TRIM($Z$2))="(BLANK)",UPPER(TRIM($Z$2))="BLANK",AND($Z$2&lt;&gt;"",TRIM($Z$2)="")),(IF('Final Calculation Sheet'!$X$20="","",'Final Calculation Sheet'!$X$20))="",IF(OR(UPPER(TRIM($Z$2))="(NONBLANK)",UPPER(TRIM($Z$2))="NONBLANK",TRIM($Z$2)="&lt;&gt;"),(IF('Final Calculation Sheet'!$X$20="","",'Final Calculation Sheet'!$X$20))&lt;&gt;"",UPPER(TRIM((IF('Final Calculation Sheet'!$X$20="","",'Final Calculation Sheet'!$X$20))&amp;""))=UPPER(TRIM($Z$2&amp;"")))))</f>
        <v/>
      </c>
      <c r="AA20">
        <f>IF($AA$3=FALSE,TRUE,IF(OR(UPPER(TRIM($AA$2))="(BLANK)",UPPER(TRIM($AA$2))="BLANK",AND($AA$2&lt;&gt;"",TRIM($AA$2)="")),(IF('Final Calculation Sheet'!$Y$20="","",'Final Calculation Sheet'!$Y$20))="",IF(OR(UPPER(TRIM($AA$2))="(NONBLANK)",UPPER(TRIM($AA$2))="NONBLANK",TRIM($AA$2)="&lt;&gt;"),(IF('Final Calculation Sheet'!$Y$20="","",'Final Calculation Sheet'!$Y$20))&lt;&gt;"",UPPER(TRIM((IF('Final Calculation Sheet'!$Y$20="","",'Final Calculation Sheet'!$Y$20))&amp;""))=UPPER(TRIM($AA$2&amp;"")))))</f>
        <v/>
      </c>
      <c r="AB20">
        <f>IF($AB$3=FALSE,TRUE,IF(OR(UPPER(TRIM($AB$2))="(BLANK)",UPPER(TRIM($AB$2))="BLANK",AND($AB$2&lt;&gt;"",TRIM($AB$2)="")),(IF('Final Calculation Sheet'!$Z$20="","",'Final Calculation Sheet'!$Z$20))="",IF(OR(UPPER(TRIM($AB$2))="(NONBLANK)",UPPER(TRIM($AB$2))="NONBLANK",TRIM($AB$2)="&lt;&gt;"),(IF('Final Calculation Sheet'!$Z$20="","",'Final Calculation Sheet'!$Z$20))&lt;&gt;"",UPPER(TRIM((IF('Final Calculation Sheet'!$Z$20="","",'Final Calculation Sheet'!$Z$20))&amp;""))=UPPER(TRIM($AB$2&amp;"")))))</f>
        <v/>
      </c>
      <c r="AC20">
        <f>IF($AC$3=FALSE,TRUE,IF(OR(UPPER(TRIM($AC$2))="(BLANK)",UPPER(TRIM($AC$2))="BLANK",AND($AC$2&lt;&gt;"",TRIM($AC$2)="")),(IF('Final Calculation Sheet'!$AA$20="","",'Final Calculation Sheet'!$AA$20))="",IF(OR(UPPER(TRIM($AC$2))="(NONBLANK)",UPPER(TRIM($AC$2))="NONBLANK",TRIM($AC$2)="&lt;&gt;"),(IF('Final Calculation Sheet'!$AA$20="","",'Final Calculation Sheet'!$AA$20))&lt;&gt;"",UPPER(TRIM((IF('Final Calculation Sheet'!$AA$20="","",'Final Calculation Sheet'!$AA$20))&amp;""))=UPPER(TRIM($AC$2&amp;"")))))</f>
        <v/>
      </c>
      <c r="AD20">
        <f>IF($AD$3=FALSE,TRUE,IF(OR(UPPER(TRIM($AD$2))="(BLANK)",UPPER(TRIM($AD$2))="BLANK",AND($AD$2&lt;&gt;"",TRIM($AD$2)="")),(IF('Final Calculation Sheet'!$AB$20="","",'Final Calculation Sheet'!$AB$20))="",IF(OR(UPPER(TRIM($AD$2))="(NONBLANK)",UPPER(TRIM($AD$2))="NONBLANK",TRIM($AD$2)="&lt;&gt;"),(IF('Final Calculation Sheet'!$AB$20="","",'Final Calculation Sheet'!$AB$20))&lt;&gt;"",UPPER(TRIM((IF('Final Calculation Sheet'!$AB$20="","",'Final Calculation Sheet'!$AB$20))&amp;""))=UPPER(TRIM($AD$2&amp;"")))))</f>
        <v/>
      </c>
      <c r="AE20">
        <f>IF($AE$3=FALSE,TRUE,IF(OR(UPPER(TRIM($AE$2))="(BLANK)",UPPER(TRIM($AE$2))="BLANK",AND($AE$2&lt;&gt;"",TRIM($AE$2)="")),(IF('Final Calculation Sheet'!$AC$20="","",'Final Calculation Sheet'!$AC$20))="",IF(OR(UPPER(TRIM($AE$2))="(NONBLANK)",UPPER(TRIM($AE$2))="NONBLANK",TRIM($AE$2)="&lt;&gt;"),(IF('Final Calculation Sheet'!$AC$20="","",'Final Calculation Sheet'!$AC$20))&lt;&gt;"",UPPER(TRIM((IF('Final Calculation Sheet'!$AC$20="","",'Final Calculation Sheet'!$AC$20))&amp;""))=UPPER(TRIM($AE$2&amp;"")))))</f>
        <v/>
      </c>
      <c r="AF20">
        <f>IF($AF$3=FALSE,TRUE,IF(OR(UPPER(TRIM($AF$2))="(BLANK)",UPPER(TRIM($AF$2))="BLANK",AND($AF$2&lt;&gt;"",TRIM($AF$2)="")),(IF('Final Calculation Sheet'!$AD$20="","",'Final Calculation Sheet'!$AD$20))="",IF(OR(UPPER(TRIM($AF$2))="(NONBLANK)",UPPER(TRIM($AF$2))="NONBLANK",TRIM($AF$2)="&lt;&gt;"),(IF('Final Calculation Sheet'!$AD$20="","",'Final Calculation Sheet'!$AD$20))&lt;&gt;"",UPPER(TRIM((IF('Final Calculation Sheet'!$AD$20="","",'Final Calculation Sheet'!$AD$20))&amp;""))=UPPER(TRIM($AF$2&amp;"")))))</f>
        <v/>
      </c>
      <c r="AG20">
        <f>IF($AG$3=FALSE,TRUE,IF(OR(UPPER(TRIM($AG$2))="(BLANK)",UPPER(TRIM($AG$2))="BLANK",AND($AG$2&lt;&gt;"",TRIM($AG$2)="")),(IF('Final Calculation Sheet'!$AE$20="","",'Final Calculation Sheet'!$AE$20))="",IF(OR(UPPER(TRIM($AG$2))="(NONBLANK)",UPPER(TRIM($AG$2))="NONBLANK",TRIM($AG$2)="&lt;&gt;"),(IF('Final Calculation Sheet'!$AE$20="","",'Final Calculation Sheet'!$AE$20))&lt;&gt;"",UPPER(TRIM((IF('Final Calculation Sheet'!$AE$20="","",'Final Calculation Sheet'!$AE$20))&amp;""))=UPPER(TRIM($AG$2&amp;"")))))</f>
        <v/>
      </c>
      <c r="AH20">
        <f>IF($AH$3=FALSE,TRUE,IF(OR(UPPER(TRIM($AH$2))="(BLANK)",UPPER(TRIM($AH$2))="BLANK",AND($AH$2&lt;&gt;"",TRIM($AH$2)="")),(IF('Final Calculation Sheet'!$AF$20="","",'Final Calculation Sheet'!$AF$20))="",IF(OR(UPPER(TRIM($AH$2))="(NONBLANK)",UPPER(TRIM($AH$2))="NONBLANK",TRIM($AH$2)="&lt;&gt;"),(IF('Final Calculation Sheet'!$AF$20="","",'Final Calculation Sheet'!$AF$20))&lt;&gt;"",UPPER(TRIM((IF('Final Calculation Sheet'!$AF$20="","",'Final Calculation Sheet'!$AF$20))&amp;""))=UPPER(TRIM($AH$2&amp;"")))))</f>
        <v/>
      </c>
      <c r="AI20">
        <f>IF($AI$3=FALSE,TRUE,IF(OR(UPPER(TRIM($AI$2))="(BLANK)",UPPER(TRIM($AI$2))="BLANK",AND($AI$2&lt;&gt;"",TRIM($AI$2)="")),(IF('Final Calculation Sheet'!$AG$20="","",'Final Calculation Sheet'!$AG$20))="",IF(OR(UPPER(TRIM($AI$2))="(NONBLANK)",UPPER(TRIM($AI$2))="NONBLANK",TRIM($AI$2)="&lt;&gt;"),(IF('Final Calculation Sheet'!$AG$20="","",'Final Calculation Sheet'!$AG$20))&lt;&gt;"",UPPER(TRIM((IF('Final Calculation Sheet'!$AG$20="","",'Final Calculation Sheet'!$AG$20))&amp;""))=UPPER(TRIM($AI$2&amp;"")))))</f>
        <v/>
      </c>
      <c r="AJ20">
        <f>IF($AJ$3=FALSE,TRUE,IF(OR(UPPER(TRIM($AJ$2))="(BLANK)",UPPER(TRIM($AJ$2))="BLANK",AND($AJ$2&lt;&gt;"",TRIM($AJ$2)="")),(IF('Final Calculation Sheet'!$AD$20="","",IF('Final Calculation Sheet'!$AD$20&lt;=5,"SETTLED","OUTSTANDING")))="",IF(OR(UPPER(TRIM($AJ$2))="(NONBLANK)",UPPER(TRIM($AJ$2))="NONBLANK",TRIM($AJ$2)="&lt;&gt;"),(IF('Final Calculation Sheet'!$AD$20="","",IF('Final Calculation Sheet'!$AD$20&lt;=5,"SETTLED","OUTSTANDING")))&lt;&gt;"",UPPER(TRIM((IF('Final Calculation Sheet'!$AD$20="","",IF('Final Calculation Sheet'!$AD$20&lt;=5,"SETTLED","OUTSTANDING")))&amp;""))=UPPER(TRIM($AJ$2&amp;"")))))</f>
        <v/>
      </c>
      <c r="AL20">
        <f>IF(AND($B$20,$D$20:$AJ$20),IF('Final Calculation Sheet'!$F$20="","",'Final Calculation Sheet'!$F$20),"")</f>
        <v/>
      </c>
      <c r="AM20">
        <f>IF(AL20="","",COUNTIFS(AL$4:AL$40,"&lt;"&amp;AL20,AL$4:AL$40,"&lt;&gt;"&amp;"")+COUNTIF(AL$4:AL20,AL20))</f>
        <v/>
      </c>
      <c r="AN20">
        <f>IF(ROW()-3&gt;COUNTIF(AL$4:AL$40,"&lt;&gt;"&amp;""),"",INDEX(AL$4:AL$40,MATCH(ROW()-3,AM$4:AM$40,0)))</f>
        <v/>
      </c>
      <c r="AO20">
        <f>AO19+IF(AND(AN20&lt;&gt;"",COUNTIF(AN$4:AN20,AN20)=1),1,0)</f>
        <v/>
      </c>
      <c r="AP20">
        <f>IF(ROW()-3&gt;MAX(AO$4:AO$40),"",INDEX(AN$4:AN$40,MATCH(ROW()-3,AO$4:AO$40,0)))</f>
        <v/>
      </c>
      <c r="AQ20">
        <f>IF(AND($B$20:$C$20,$E$20:$AJ$20),IF('Final Calculation Sheet'!$G$20="","",'Final Calculation Sheet'!$G$20),"")</f>
        <v/>
      </c>
      <c r="AR20">
        <f>IF(AQ20="","",COUNTIFS(AQ$4:AQ$40,"&lt;"&amp;AQ20,AQ$4:AQ$40,"&lt;&gt;"&amp;"")+COUNTIF(AQ$4:AQ20,AQ20))</f>
        <v/>
      </c>
      <c r="AS20">
        <f>IF(ROW()-3&gt;COUNTIF(AQ$4:AQ$40,"&lt;&gt;"&amp;""),"",INDEX(AQ$4:AQ$40,MATCH(ROW()-3,AR$4:AR$40,0)))</f>
        <v/>
      </c>
      <c r="AT20">
        <f>AT19+IF(AND(AS20&lt;&gt;"",COUNTIF(AS$4:AS20,AS20)=1),1,0)</f>
        <v/>
      </c>
      <c r="AU20">
        <f>IF(ROW()-3&gt;MAX(AT$4:AT$40),"",INDEX(AS$4:AS$40,MATCH(ROW()-3,AT$4:AT$40,0)))</f>
        <v/>
      </c>
      <c r="AV20">
        <f>IF(AND($B$20:$D$20,$F$20:$AJ$20),IF('Final Calculation Sheet'!$B$20="","",'Final Calculation Sheet'!$B$20),"")</f>
        <v/>
      </c>
      <c r="AW20">
        <f>IF(AV20="","",COUNTIFS(AV$4:AV$40,"&lt;"&amp;AV20,AV$4:AV$40,"&lt;&gt;"&amp;"")+COUNTIF(AV$4:AV20,AV20))</f>
        <v/>
      </c>
      <c r="AX20">
        <f>IF(ROW()-3&gt;COUNTIF(AV$4:AV$40,"&lt;&gt;"&amp;""),"",INDEX(AV$4:AV$40,MATCH(ROW()-3,AW$4:AW$40,0)))</f>
        <v/>
      </c>
      <c r="AY20">
        <f>AY19+IF(AND(AX20&lt;&gt;"",COUNTIF(AX$4:AX20,AX20)=1),1,0)</f>
        <v/>
      </c>
      <c r="AZ20">
        <f>IF(ROW()-3&gt;MAX(AY$4:AY$40),"",INDEX(AX$4:AX$40,MATCH(ROW()-3,AY$4:AY$40,0)))</f>
        <v/>
      </c>
      <c r="BA20">
        <f>IF(AND($B$20:$E$20,$G$20:$AJ$20),IF('Final Calculation Sheet'!$D$20="","",'Final Calculation Sheet'!$D$20),"")</f>
        <v/>
      </c>
      <c r="BB20">
        <f>IF(BA20="","",COUNTIFS(BA$4:BA$40,"&lt;"&amp;BA20,BA$4:BA$40,"&lt;&gt;"&amp;"")+COUNTIF(BA$4:BA20,BA20))</f>
        <v/>
      </c>
      <c r="BC20">
        <f>IF(ROW()-3&gt;COUNTIF(BA$4:BA$40,"&lt;&gt;"&amp;""),"",INDEX(BA$4:BA$40,MATCH(ROW()-3,BB$4:BB$40,0)))</f>
        <v/>
      </c>
      <c r="BD20">
        <f>BD19+IF(AND(BC20&lt;&gt;"",COUNTIF(BC$4:BC20,BC20)=1),1,0)</f>
        <v/>
      </c>
      <c r="BE20">
        <f>IF(ROW()-3&gt;MAX(BD$4:BD$40),"",INDEX(BC$4:BC$40,MATCH(ROW()-3,BD$4:BD$40,0)))</f>
        <v/>
      </c>
      <c r="BF20">
        <f>IF(AND($B$20:$F$20,$H$20:$AJ$20),IF('Final Calculation Sheet'!$A$20="","",'Final Calculation Sheet'!$A$20),"")</f>
        <v/>
      </c>
      <c r="BG20">
        <f>IF(BF20="","",COUNTIFS(BF$4:BF$40,"&lt;"&amp;BF20,BF$4:BF$40,"&lt;&gt;"&amp;"")+COUNTIF(BF$4:BF20,BF20))</f>
        <v/>
      </c>
      <c r="BH20">
        <f>IF(ROW()-3&gt;COUNTIF(BF$4:BF$40,"&lt;&gt;"&amp;""),"",INDEX(BF$4:BF$40,MATCH(ROW()-3,BG$4:BG$40,0)))</f>
        <v/>
      </c>
      <c r="BI20">
        <f>BI19+IF(AND(BH20&lt;&gt;"",COUNTIF(BH$4:BH20,BH20)=1),1,0)</f>
        <v/>
      </c>
      <c r="BJ20">
        <f>IF(ROW()-3&gt;MAX(BI$4:BI$40),"",INDEX(BH$4:BH$40,MATCH(ROW()-3,BI$4:BI$40,0)))</f>
        <v/>
      </c>
      <c r="BK20">
        <f>IF(AND($B$20:$G$20,$I$20:$AJ$20),IF('Final Calculation Sheet'!$E$20="","",'Final Calculation Sheet'!$E$20),"")</f>
        <v/>
      </c>
      <c r="BL20">
        <f>IF(BK20="","",COUNTIFS(BK$4:BK$40,"&lt;"&amp;BK20,BK$4:BK$40,"&lt;&gt;"&amp;"")+COUNTIF(BK$4:BK20,BK20))</f>
        <v/>
      </c>
      <c r="BM20">
        <f>IF(ROW()-3&gt;COUNTIF(BK$4:BK$40,"&lt;&gt;"&amp;""),"",INDEX(BK$4:BK$40,MATCH(ROW()-3,BL$4:BL$40,0)))</f>
        <v/>
      </c>
      <c r="BN20">
        <f>BN19+IF(AND(BM20&lt;&gt;"",COUNTIF(BM$4:BM20,BM20)=1),1,0)</f>
        <v/>
      </c>
      <c r="BO20">
        <f>IF(ROW()-3&gt;MAX(BN$4:BN$40),"",INDEX(BM$4:BM$40,MATCH(ROW()-3,BN$4:BN$40,0)))</f>
        <v/>
      </c>
      <c r="BP20" s="55">
        <f>IF(AND($B$20:$H$20,$J$20:$AJ$20),IF('Final Calculation Sheet'!$C$20="","",'Final Calculation Sheet'!$C$20),"")</f>
        <v/>
      </c>
      <c r="BQ20">
        <f>IF(BP20="","",COUNTIFS(BP$4:BP$40,"&lt;"&amp;BP20,BP$4:BP$40,"&lt;&gt;"&amp;"")+COUNTIF(BP$4:BP20,BP20))</f>
        <v/>
      </c>
      <c r="BR20" s="55">
        <f>IF(ROW()-3&gt;COUNTIF(BP$4:BP$40,"&lt;&gt;"&amp;""),"",INDEX(BP$4:BP$40,MATCH(ROW()-3,BQ$4:BQ$40,0)))</f>
        <v/>
      </c>
      <c r="BS20">
        <f>BS19+IF(AND(BR20&lt;&gt;"",COUNTIF(BR$4:BR20,BR20)=1),1,0)</f>
        <v/>
      </c>
      <c r="BT20" s="55">
        <f>IF(ROW()-3&gt;MAX(BS$4:BS$40),"",INDEX(BR$4:BR$40,MATCH(ROW()-3,BS$4:BS$40,0)))</f>
        <v/>
      </c>
      <c r="BU20" s="55">
        <f>IF(AND($B$20:$I$20,$K$20:$AJ$20),IF('Final Calculation Sheet'!$H$20="","",'Final Calculation Sheet'!$H$20),"")</f>
        <v/>
      </c>
      <c r="BV20">
        <f>IF(BU20="","",COUNTIFS(BU$4:BU$40,"&lt;"&amp;BU20,BU$4:BU$40,"&lt;&gt;"&amp;"")+COUNTIF(BU$4:BU20,BU20))</f>
        <v/>
      </c>
      <c r="BW20" s="55">
        <f>IF(ROW()-3&gt;COUNTIF(BU$4:BU$40,"&lt;&gt;"&amp;""),"",INDEX(BU$4:BU$40,MATCH(ROW()-3,BV$4:BV$40,0)))</f>
        <v/>
      </c>
      <c r="BX20">
        <f>BX19+IF(AND(BW20&lt;&gt;"",COUNTIF(BW$4:BW20,BW20)=1),1,0)</f>
        <v/>
      </c>
      <c r="BY20" s="55">
        <f>IF(ROW()-3&gt;MAX(BX$4:BX$40),"",INDEX(BW$4:BW$40,MATCH(ROW()-3,BX$4:BX$40,0)))</f>
        <v/>
      </c>
      <c r="BZ20" s="55">
        <f>IF(AND($B$20:$J$20,$L$20:$AJ$20),IF('Final Calculation Sheet'!$I$20="","",'Final Calculation Sheet'!$I$20),"")</f>
        <v/>
      </c>
      <c r="CA20">
        <f>IF(BZ20="","",COUNTIFS(BZ$4:BZ$40,"&lt;"&amp;BZ20,BZ$4:BZ$40,"&lt;&gt;"&amp;"")+COUNTIF(BZ$4:BZ20,BZ20))</f>
        <v/>
      </c>
      <c r="CB20" s="55">
        <f>IF(ROW()-3&gt;COUNTIF(BZ$4:BZ$40,"&lt;&gt;"&amp;""),"",INDEX(BZ$4:BZ$40,MATCH(ROW()-3,CA$4:CA$40,0)))</f>
        <v/>
      </c>
      <c r="CC20">
        <f>CC19+IF(AND(CB20&lt;&gt;"",COUNTIF(CB$4:CB20,CB20)=1),1,0)</f>
        <v/>
      </c>
      <c r="CD20" s="55">
        <f>IF(ROW()-3&gt;MAX(CC$4:CC$40),"",INDEX(CB$4:CB$40,MATCH(ROW()-3,CC$4:CC$40,0)))</f>
        <v/>
      </c>
      <c r="CE20" s="55">
        <f>IF(AND($B$20:$K$20,$M$20:$AJ$20),IF('Final Calculation Sheet'!$J$20="","",'Final Calculation Sheet'!$J$20),"")</f>
        <v/>
      </c>
      <c r="CF20">
        <f>IF(CE20="","",COUNTIFS(CE$4:CE$40,"&lt;"&amp;CE20,CE$4:CE$40,"&lt;&gt;"&amp;"")+COUNTIF(CE$4:CE20,CE20))</f>
        <v/>
      </c>
      <c r="CG20" s="55">
        <f>IF(ROW()-3&gt;COUNTIF(CE$4:CE$40,"&lt;&gt;"&amp;""),"",INDEX(CE$4:CE$40,MATCH(ROW()-3,CF$4:CF$40,0)))</f>
        <v/>
      </c>
      <c r="CH20">
        <f>CH19+IF(AND(CG20&lt;&gt;"",COUNTIF(CG$4:CG20,CG20)=1),1,0)</f>
        <v/>
      </c>
      <c r="CI20" s="55">
        <f>IF(ROW()-3&gt;MAX(CH$4:CH$40),"",INDEX(CG$4:CG$40,MATCH(ROW()-3,CH$4:CH$40,0)))</f>
        <v/>
      </c>
      <c r="CJ20" s="55">
        <f>IF(AND($B$20:$L$20,$N$20:$AJ$20),IF('Final Calculation Sheet'!$K$20="","",'Final Calculation Sheet'!$K$20),"")</f>
        <v/>
      </c>
      <c r="CK20">
        <f>IF(CJ20="","",COUNTIFS(CJ$4:CJ$40,"&lt;"&amp;CJ20,CJ$4:CJ$40,"&lt;&gt;"&amp;"")+COUNTIF(CJ$4:CJ20,CJ20))</f>
        <v/>
      </c>
      <c r="CL20" s="55">
        <f>IF(ROW()-3&gt;COUNTIF(CJ$4:CJ$40,"&lt;&gt;"&amp;""),"",INDEX(CJ$4:CJ$40,MATCH(ROW()-3,CK$4:CK$40,0)))</f>
        <v/>
      </c>
      <c r="CM20">
        <f>CM19+IF(AND(CL20&lt;&gt;"",COUNTIF(CL$4:CL20,CL20)=1),1,0)</f>
        <v/>
      </c>
      <c r="CN20" s="55">
        <f>IF(ROW()-3&gt;MAX(CM$4:CM$40),"",INDEX(CL$4:CL$40,MATCH(ROW()-3,CM$4:CM$40,0)))</f>
        <v/>
      </c>
      <c r="CO20" s="55">
        <f>IF(AND($B$20:$M$20,$O$20:$AJ$20),IF('Final Calculation Sheet'!$L$20="","",'Final Calculation Sheet'!$L$20),"")</f>
        <v/>
      </c>
      <c r="CP20">
        <f>IF(CO20="","",COUNTIFS(CO$4:CO$40,"&lt;"&amp;CO20,CO$4:CO$40,"&lt;&gt;"&amp;"")+COUNTIF(CO$4:CO20,CO20))</f>
        <v/>
      </c>
      <c r="CQ20" s="55">
        <f>IF(ROW()-3&gt;COUNTIF(CO$4:CO$40,"&lt;&gt;"&amp;""),"",INDEX(CO$4:CO$40,MATCH(ROW()-3,CP$4:CP$40,0)))</f>
        <v/>
      </c>
      <c r="CR20">
        <f>CR19+IF(AND(CQ20&lt;&gt;"",COUNTIF(CQ$4:CQ20,CQ20)=1),1,0)</f>
        <v/>
      </c>
      <c r="CS20" s="55">
        <f>IF(ROW()-3&gt;MAX(CR$4:CR$40),"",INDEX(CQ$4:CQ$40,MATCH(ROW()-3,CR$4:CR$40,0)))</f>
        <v/>
      </c>
      <c r="CT20" s="55">
        <f>IF(AND($B$20:$N$20,$P$20:$AJ$20),IF('Final Calculation Sheet'!$M$20="","",'Final Calculation Sheet'!$M$20),"")</f>
        <v/>
      </c>
      <c r="CU20">
        <f>IF(CT20="","",COUNTIFS(CT$4:CT$40,"&lt;"&amp;CT20,CT$4:CT$40,"&lt;&gt;"&amp;"")+COUNTIF(CT$4:CT20,CT20))</f>
        <v/>
      </c>
      <c r="CV20" s="55">
        <f>IF(ROW()-3&gt;COUNTIF(CT$4:CT$40,"&lt;&gt;"&amp;""),"",INDEX(CT$4:CT$40,MATCH(ROW()-3,CU$4:CU$40,0)))</f>
        <v/>
      </c>
      <c r="CW20">
        <f>CW19+IF(AND(CV20&lt;&gt;"",COUNTIF(CV$4:CV20,CV20)=1),1,0)</f>
        <v/>
      </c>
      <c r="CX20" s="55">
        <f>IF(ROW()-3&gt;MAX(CW$4:CW$40),"",INDEX(CV$4:CV$40,MATCH(ROW()-3,CW$4:CW$40,0)))</f>
        <v/>
      </c>
      <c r="CY20" s="138">
        <f>IF(AND($B$20:$O$20,$Q$20:$AJ$20),IF('Final Calculation Sheet'!$N$20="","",'Final Calculation Sheet'!$N$20),"")</f>
        <v/>
      </c>
      <c r="CZ20">
        <f>IF(CY20="","",COUNTIFS(CY$4:CY$40,"&lt;"&amp;CY20,CY$4:CY$40,"&lt;&gt;"&amp;"")+COUNTIF(CY$4:CY20,CY20))</f>
        <v/>
      </c>
      <c r="DA20" s="138">
        <f>IF(ROW()-3&gt;COUNTIF(CY$4:CY$40,"&lt;&gt;"&amp;""),"",INDEX(CY$4:CY$40,MATCH(ROW()-3,CZ$4:CZ$40,0)))</f>
        <v/>
      </c>
      <c r="DB20">
        <f>DB19+IF(AND(DA20&lt;&gt;"",COUNTIF(DA$4:DA20,DA20)=1),1,0)</f>
        <v/>
      </c>
      <c r="DC20" s="138">
        <f>IF(ROW()-3&gt;MAX(DB$4:DB$40),"",INDEX(DA$4:DA$40,MATCH(ROW()-3,DB$4:DB$40,0)))</f>
        <v/>
      </c>
      <c r="DD20" s="55">
        <f>IF(AND($B$20:$P$20,$R$20:$AJ$20),IF('Final Calculation Sheet'!$O$20="","",'Final Calculation Sheet'!$O$20),"")</f>
        <v/>
      </c>
      <c r="DE20">
        <f>IF(DD20="","",COUNTIFS(DD$4:DD$40,"&lt;"&amp;DD20,DD$4:DD$40,"&lt;&gt;"&amp;"")+COUNTIF(DD$4:DD20,DD20))</f>
        <v/>
      </c>
      <c r="DF20" s="55">
        <f>IF(ROW()-3&gt;COUNTIF(DD$4:DD$40,"&lt;&gt;"&amp;""),"",INDEX(DD$4:DD$40,MATCH(ROW()-3,DE$4:DE$40,0)))</f>
        <v/>
      </c>
      <c r="DG20">
        <f>DG19+IF(AND(DF20&lt;&gt;"",COUNTIF(DF$4:DF20,DF20)=1),1,0)</f>
        <v/>
      </c>
      <c r="DH20" s="55">
        <f>IF(ROW()-3&gt;MAX(DG$4:DG$40),"",INDEX(DF$4:DF$40,MATCH(ROW()-3,DG$4:DG$40,0)))</f>
        <v/>
      </c>
      <c r="DI20" s="55">
        <f>IF(AND($B$20:$Q$20,$S$20:$AJ$20),IF('Final Calculation Sheet'!$P$20="","",'Final Calculation Sheet'!$P$20),"")</f>
        <v/>
      </c>
      <c r="DJ20">
        <f>IF(DI20="","",COUNTIFS(DI$4:DI$40,"&lt;"&amp;DI20,DI$4:DI$40,"&lt;&gt;"&amp;"")+COUNTIF(DI$4:DI20,DI20))</f>
        <v/>
      </c>
      <c r="DK20" s="55">
        <f>IF(ROW()-3&gt;COUNTIF(DI$4:DI$40,"&lt;&gt;"&amp;""),"",INDEX(DI$4:DI$40,MATCH(ROW()-3,DJ$4:DJ$40,0)))</f>
        <v/>
      </c>
      <c r="DL20">
        <f>DL19+IF(AND(DK20&lt;&gt;"",COUNTIF(DK$4:DK20,DK20)=1),1,0)</f>
        <v/>
      </c>
      <c r="DM20" s="55">
        <f>IF(ROW()-3&gt;MAX(DL$4:DL$40),"",INDEX(DK$4:DK$40,MATCH(ROW()-3,DL$4:DL$40,0)))</f>
        <v/>
      </c>
      <c r="DN20" s="139">
        <f>IF(AND($B$20:$R$20,$T$20:$AJ$20),IF('Final Calculation Sheet'!$Q$20="","",'Final Calculation Sheet'!$Q$20),"")</f>
        <v/>
      </c>
      <c r="DO20">
        <f>IF(DN20="","",COUNTIFS(DN$4:DN$40,"&lt;"&amp;DN20,DN$4:DN$40,"&lt;&gt;"&amp;"")+COUNTIF(DN$4:DN20,DN20))</f>
        <v/>
      </c>
      <c r="DP20" s="139">
        <f>IF(ROW()-3&gt;COUNTIF(DN$4:DN$40,"&lt;&gt;"&amp;""),"",INDEX(DN$4:DN$40,MATCH(ROW()-3,DO$4:DO$40,0)))</f>
        <v/>
      </c>
      <c r="DQ20">
        <f>DQ19+IF(AND(DP20&lt;&gt;"",COUNTIF(DP$4:DP20,DP20)=1),1,0)</f>
        <v/>
      </c>
      <c r="DR20" s="139">
        <f>IF(ROW()-3&gt;MAX(DQ$4:DQ$40),"",INDEX(DP$4:DP$40,MATCH(ROW()-3,DQ$4:DQ$40,0)))</f>
        <v/>
      </c>
      <c r="DS20" s="55">
        <f>IF(AND($B$20:$S$20,$U$20:$AJ$20),IF('Final Calculation Sheet'!$R$20="","",'Final Calculation Sheet'!$R$20),"")</f>
        <v/>
      </c>
      <c r="DT20">
        <f>IF(DS20="","",COUNTIFS(DS$4:DS$40,"&lt;"&amp;DS20,DS$4:DS$40,"&lt;&gt;"&amp;"")+COUNTIF(DS$4:DS20,DS20))</f>
        <v/>
      </c>
      <c r="DU20" s="55">
        <f>IF(ROW()-3&gt;COUNTIF(DS$4:DS$40,"&lt;&gt;"&amp;""),"",INDEX(DS$4:DS$40,MATCH(ROW()-3,DT$4:DT$40,0)))</f>
        <v/>
      </c>
      <c r="DV20">
        <f>DV19+IF(AND(DU20&lt;&gt;"",COUNTIF(DU$4:DU20,DU20)=1),1,0)</f>
        <v/>
      </c>
      <c r="DW20" s="55">
        <f>IF(ROW()-3&gt;MAX(DV$4:DV$40),"",INDEX(DU$4:DU$40,MATCH(ROW()-3,DV$4:DV$40,0)))</f>
        <v/>
      </c>
      <c r="DX20" s="55">
        <f>IF(AND($B$20:$T$20,$V$20:$AJ$20),IF('Final Calculation Sheet'!$S$20="","",'Final Calculation Sheet'!$S$20),"")</f>
        <v/>
      </c>
      <c r="DY20">
        <f>IF(DX20="","",COUNTIFS(DX$4:DX$40,"&lt;"&amp;DX20,DX$4:DX$40,"&lt;&gt;"&amp;"")+COUNTIF(DX$4:DX20,DX20))</f>
        <v/>
      </c>
      <c r="DZ20" s="55">
        <f>IF(ROW()-3&gt;COUNTIF(DX$4:DX$40,"&lt;&gt;"&amp;""),"",INDEX(DX$4:DX$40,MATCH(ROW()-3,DY$4:DY$40,0)))</f>
        <v/>
      </c>
      <c r="EA20">
        <f>EA19+IF(AND(DZ20&lt;&gt;"",COUNTIF(DZ$4:DZ20,DZ20)=1),1,0)</f>
        <v/>
      </c>
      <c r="EB20" s="55">
        <f>IF(ROW()-3&gt;MAX(EA$4:EA$40),"",INDEX(DZ$4:DZ$40,MATCH(ROW()-3,EA$4:EA$40,0)))</f>
        <v/>
      </c>
      <c r="EC20" s="55">
        <f>IF(AND($B$20:$U$20,$W$20:$AJ$20),IF('Final Calculation Sheet'!$T$20="","",'Final Calculation Sheet'!$T$20),"")</f>
        <v/>
      </c>
      <c r="ED20">
        <f>IF(EC20="","",COUNTIFS(EC$4:EC$40,"&lt;"&amp;EC20,EC$4:EC$40,"&lt;&gt;"&amp;"")+COUNTIF(EC$4:EC20,EC20))</f>
        <v/>
      </c>
      <c r="EE20" s="55">
        <f>IF(ROW()-3&gt;COUNTIF(EC$4:EC$40,"&lt;&gt;"&amp;""),"",INDEX(EC$4:EC$40,MATCH(ROW()-3,ED$4:ED$40,0)))</f>
        <v/>
      </c>
      <c r="EF20">
        <f>EF19+IF(AND(EE20&lt;&gt;"",COUNTIF(EE$4:EE20,EE20)=1),1,0)</f>
        <v/>
      </c>
      <c r="EG20" s="55">
        <f>IF(ROW()-3&gt;MAX(EF$4:EF$40),"",INDEX(EE$4:EE$40,MATCH(ROW()-3,EF$4:EF$40,0)))</f>
        <v/>
      </c>
      <c r="EH20" s="140">
        <f>IF(AND($B$20:$V$20,$X$20:$AJ$20),IF('Final Calculation Sheet'!$U$20="","",'Final Calculation Sheet'!$U$20),"")</f>
        <v/>
      </c>
      <c r="EI20">
        <f>IF(EH20="","",COUNTIFS(EH$4:EH$40,"&lt;"&amp;EH20,EH$4:EH$40,"&lt;&gt;"&amp;"")+COUNTIF(EH$4:EH20,EH20))</f>
        <v/>
      </c>
      <c r="EJ20" s="140">
        <f>IF(ROW()-3&gt;COUNTIF(EH$4:EH$40,"&lt;&gt;"&amp;""),"",INDEX(EH$4:EH$40,MATCH(ROW()-3,EI$4:EI$40,0)))</f>
        <v/>
      </c>
      <c r="EK20">
        <f>EK19+IF(AND(EJ20&lt;&gt;"",COUNTIF(EJ$4:EJ20,EJ20)=1),1,0)</f>
        <v/>
      </c>
      <c r="EL20" s="140">
        <f>IF(ROW()-3&gt;MAX(EK$4:EK$40),"",INDEX(EJ$4:EJ$40,MATCH(ROW()-3,EK$4:EK$40,0)))</f>
        <v/>
      </c>
      <c r="EM20">
        <f>IF(AND($B$20:$W$20,$Y$20:$AJ$20),IF('Final Calculation Sheet'!$V$20="","",'Final Calculation Sheet'!$V$20),"")</f>
        <v/>
      </c>
      <c r="EN20">
        <f>IF(EM20="","",COUNTIFS(EM$4:EM$40,"&lt;"&amp;EM20,EM$4:EM$40,"&lt;&gt;"&amp;"")+COUNTIF(EM$4:EM20,EM20))</f>
        <v/>
      </c>
      <c r="EO20">
        <f>IF(ROW()-3&gt;COUNTIF(EM$4:EM$40,"&lt;&gt;"&amp;""),"",INDEX(EM$4:EM$40,MATCH(ROW()-3,EN$4:EN$40,0)))</f>
        <v/>
      </c>
      <c r="EP20">
        <f>EP19+IF(AND(EO20&lt;&gt;"",COUNTIF(EO$4:EO20,EO20)=1),1,0)</f>
        <v/>
      </c>
      <c r="EQ20">
        <f>IF(ROW()-3&gt;MAX(EP$4:EP$40),"",INDEX(EO$4:EO$40,MATCH(ROW()-3,EP$4:EP$40,0)))</f>
        <v/>
      </c>
      <c r="ER20" s="55">
        <f>IF(AND($B$20:$X$20,$Z$20:$AJ$20),IF('Final Calculation Sheet'!$W$20="","",'Final Calculation Sheet'!$W$20),"")</f>
        <v/>
      </c>
      <c r="ES20">
        <f>IF(ER20="","",COUNTIFS(ER$4:ER$40,"&lt;"&amp;ER20,ER$4:ER$40,"&lt;&gt;"&amp;"")+COUNTIF(ER$4:ER20,ER20))</f>
        <v/>
      </c>
      <c r="ET20" s="55">
        <f>IF(ROW()-3&gt;COUNTIF(ER$4:ER$40,"&lt;&gt;"&amp;""),"",INDEX(ER$4:ER$40,MATCH(ROW()-3,ES$4:ES$40,0)))</f>
        <v/>
      </c>
      <c r="EU20">
        <f>EU19+IF(AND(ET20&lt;&gt;"",COUNTIF(ET$4:ET20,ET20)=1),1,0)</f>
        <v/>
      </c>
      <c r="EV20" s="55">
        <f>IF(ROW()-3&gt;MAX(EU$4:EU$40),"",INDEX(ET$4:ET$40,MATCH(ROW()-3,EU$4:EU$40,0)))</f>
        <v/>
      </c>
      <c r="EW20" s="55">
        <f>IF(AND($B$20:$Y$20,$AA$20:$AJ$20),IF('Final Calculation Sheet'!$X$20="","",'Final Calculation Sheet'!$X$20),"")</f>
        <v/>
      </c>
      <c r="EX20">
        <f>IF(EW20="","",COUNTIFS(EW$4:EW$40,"&lt;"&amp;EW20,EW$4:EW$40,"&lt;&gt;"&amp;"")+COUNTIF(EW$4:EW20,EW20))</f>
        <v/>
      </c>
      <c r="EY20" s="55">
        <f>IF(ROW()-3&gt;COUNTIF(EW$4:EW$40,"&lt;&gt;"&amp;""),"",INDEX(EW$4:EW$40,MATCH(ROW()-3,EX$4:EX$40,0)))</f>
        <v/>
      </c>
      <c r="EZ20">
        <f>EZ19+IF(AND(EY20&lt;&gt;"",COUNTIF(EY$4:EY20,EY20)=1),1,0)</f>
        <v/>
      </c>
      <c r="FA20">
        <f>IF(ROW()-3&gt;MAX(EZ$4:EZ$40),"",INDEX(EY$4:EY$40,MATCH(ROW()-3,EZ$4:EZ$40,0)))</f>
        <v/>
      </c>
      <c r="FB20">
        <f>IF(AND($B$20:$Z$20,$AB$20:$AJ$20),IF('Final Calculation Sheet'!$Y$20="","",'Final Calculation Sheet'!$Y$20),"")</f>
        <v/>
      </c>
      <c r="FC20">
        <f>IF(FB20="","",COUNTIFS(FB$4:FB$40,"&lt;"&amp;FB20,FB$4:FB$40,"&lt;&gt;"&amp;"")+COUNTIF(FB$4:FB20,FB20))</f>
        <v/>
      </c>
      <c r="FD20">
        <f>IF(ROW()-3&gt;COUNTIF(FB$4:FB$40,"&lt;&gt;"&amp;""),"",INDEX(FB$4:FB$40,MATCH(ROW()-3,FC$4:FC$40,0)))</f>
        <v/>
      </c>
      <c r="FE20">
        <f>FE19+IF(AND(FD20&lt;&gt;"",COUNTIF(FD$4:FD20,FD20)=1),1,0)</f>
        <v/>
      </c>
      <c r="FF20">
        <f>IF(ROW()-3&gt;MAX(FE$4:FE$40),"",INDEX(FD$4:FD$40,MATCH(ROW()-3,FE$4:FE$40,0)))</f>
        <v/>
      </c>
      <c r="FG20" s="55">
        <f>IF(AND($B$20:$AA$20,$AC$20:$AJ$20),IF('Final Calculation Sheet'!$Z$20="","",'Final Calculation Sheet'!$Z$20),"")</f>
        <v/>
      </c>
      <c r="FH20">
        <f>IF(FG20="","",COUNTIFS(FG$4:FG$40,"&lt;"&amp;FG20,FG$4:FG$40,"&lt;&gt;"&amp;"")+COUNTIF(FG$4:FG20,FG20))</f>
        <v/>
      </c>
      <c r="FI20" s="55">
        <f>IF(ROW()-3&gt;COUNTIF(FG$4:FG$40,"&lt;&gt;"&amp;""),"",INDEX(FG$4:FG$40,MATCH(ROW()-3,FH$4:FH$40,0)))</f>
        <v/>
      </c>
      <c r="FJ20">
        <f>FJ19+IF(AND(FI20&lt;&gt;"",COUNTIF(FI$4:FI20,FI20)=1),1,0)</f>
        <v/>
      </c>
      <c r="FK20" s="55">
        <f>IF(ROW()-3&gt;MAX(FJ$4:FJ$40),"",INDEX(FI$4:FI$40,MATCH(ROW()-3,FJ$4:FJ$40,0)))</f>
        <v/>
      </c>
      <c r="FL20">
        <f>IF(AND($B$20:$AB$20,$AD$20:$AJ$20),IF('Final Calculation Sheet'!$AA$20="","",'Final Calculation Sheet'!$AA$20),"")</f>
        <v/>
      </c>
      <c r="FM20">
        <f>IF(FL20="","",COUNTIFS(FL$4:FL$40,"&lt;"&amp;FL20,FL$4:FL$40,"&lt;&gt;"&amp;"")+COUNTIF(FL$4:FL20,FL20))</f>
        <v/>
      </c>
      <c r="FN20">
        <f>IF(ROW()-3&gt;COUNTIF(FL$4:FL$40,"&lt;&gt;"&amp;""),"",INDEX(FL$4:FL$40,MATCH(ROW()-3,FM$4:FM$40,0)))</f>
        <v/>
      </c>
      <c r="FO20">
        <f>FO19+IF(AND(FN20&lt;&gt;"",COUNTIF(FN$4:FN20,FN20)=1),1,0)</f>
        <v/>
      </c>
      <c r="FP20">
        <f>IF(ROW()-3&gt;MAX(FO$4:FO$40),"",INDEX(FN$4:FN$40,MATCH(ROW()-3,FO$4:FO$40,0)))</f>
        <v/>
      </c>
      <c r="FQ20">
        <f>IF(AND($B$20:$AC$20,$AE$20:$AJ$20),IF('Final Calculation Sheet'!$AB$20="","",'Final Calculation Sheet'!$AB$20),"")</f>
        <v/>
      </c>
      <c r="FR20">
        <f>IF(FQ20="","",COUNTIFS(FQ$4:FQ$40,"&lt;"&amp;FQ20,FQ$4:FQ$40,"&lt;&gt;"&amp;"")+COUNTIF(FQ$4:FQ20,FQ20))</f>
        <v/>
      </c>
      <c r="FS20">
        <f>IF(ROW()-3&gt;COUNTIF(FQ$4:FQ$40,"&lt;&gt;"&amp;""),"",INDEX(FQ$4:FQ$40,MATCH(ROW()-3,FR$4:FR$40,0)))</f>
        <v/>
      </c>
      <c r="FT20">
        <f>FT19+IF(AND(FS20&lt;&gt;"",COUNTIF(FS$4:FS20,FS20)=1),1,0)</f>
        <v/>
      </c>
      <c r="FU20">
        <f>IF(ROW()-3&gt;MAX(FT$4:FT$40),"",INDEX(FS$4:FS$40,MATCH(ROW()-3,FT$4:FT$40,0)))</f>
        <v/>
      </c>
      <c r="FV20" s="55">
        <f>IF(AND($B$20:$AD$20,$AF$20:$AJ$20),IF('Final Calculation Sheet'!$AC$20="","",'Final Calculation Sheet'!$AC$20),"")</f>
        <v/>
      </c>
      <c r="FW20">
        <f>IF(FV20="","",COUNTIFS(FV$4:FV$40,"&lt;"&amp;FV20,FV$4:FV$40,"&lt;&gt;"&amp;"")+COUNTIF(FV$4:FV20,FV20))</f>
        <v/>
      </c>
      <c r="FX20" s="55">
        <f>IF(ROW()-3&gt;COUNTIF(FV$4:FV$40,"&lt;&gt;"&amp;""),"",INDEX(FV$4:FV$40,MATCH(ROW()-3,FW$4:FW$40,0)))</f>
        <v/>
      </c>
      <c r="FY20">
        <f>FY19+IF(AND(FX20&lt;&gt;"",COUNTIF(FX$4:FX20,FX20)=1),1,0)</f>
        <v/>
      </c>
      <c r="FZ20" s="55">
        <f>IF(ROW()-3&gt;MAX(FY$4:FY$40),"",INDEX(FX$4:FX$40,MATCH(ROW()-3,FY$4:FY$40,0)))</f>
        <v/>
      </c>
      <c r="GA20" s="55">
        <f>IF(AND($B$20:$AE$20,$AG$20:$AJ$20),IF('Final Calculation Sheet'!$AD$20="","",'Final Calculation Sheet'!$AD$20),"")</f>
        <v/>
      </c>
      <c r="GB20">
        <f>IF(GA20="","",COUNTIFS(GA$4:GA$40,"&lt;"&amp;GA20,GA$4:GA$40,"&lt;&gt;"&amp;"")+COUNTIF(GA$4:GA20,GA20))</f>
        <v/>
      </c>
      <c r="GC20" s="55">
        <f>IF(ROW()-3&gt;COUNTIF(GA$4:GA$40,"&lt;&gt;"&amp;""),"",INDEX(GA$4:GA$40,MATCH(ROW()-3,GB$4:GB$40,0)))</f>
        <v/>
      </c>
      <c r="GD20">
        <f>GD19+IF(AND(GC20&lt;&gt;"",COUNTIF(GC$4:GC20,GC20)=1),1,0)</f>
        <v/>
      </c>
      <c r="GE20" s="55">
        <f>IF(ROW()-3&gt;MAX(GD$4:GD$40),"",INDEX(GC$4:GC$40,MATCH(ROW()-3,GD$4:GD$40,0)))</f>
        <v/>
      </c>
      <c r="GF20">
        <f>IF(AND($B$20:$AF$20,$AH$20:$AJ$20),IF('Final Calculation Sheet'!$AE$20="","",'Final Calculation Sheet'!$AE$20),"")</f>
        <v/>
      </c>
      <c r="GG20">
        <f>IF(GF20="","",COUNTIFS(GF$4:GF$40,"&lt;"&amp;GF20,GF$4:GF$40,"&lt;&gt;"&amp;"")+COUNTIF(GF$4:GF20,GF20))</f>
        <v/>
      </c>
      <c r="GH20">
        <f>IF(ROW()-3&gt;COUNTIF(GF$4:GF$40,"&lt;&gt;"&amp;""),"",INDEX(GF$4:GF$40,MATCH(ROW()-3,GG$4:GG$40,0)))</f>
        <v/>
      </c>
      <c r="GI20">
        <f>GI19+IF(AND(GH20&lt;&gt;"",COUNTIF(GH$4:GH20,GH20)=1),1,0)</f>
        <v/>
      </c>
      <c r="GJ20">
        <f>IF(ROW()-3&gt;MAX(GI$4:GI$40),"",INDEX(GH$4:GH$40,MATCH(ROW()-3,GI$4:GI$40,0)))</f>
        <v/>
      </c>
      <c r="GK20" s="141">
        <f>IF(AND($B$20:$AG$20,$AI$20:$AJ$20),IF('Final Calculation Sheet'!$AF$20="","",'Final Calculation Sheet'!$AF$20),"")</f>
        <v/>
      </c>
      <c r="GL20">
        <f>IF(GK20="","",COUNTIFS(GK$4:GK$40,"&lt;"&amp;GK20,GK$4:GK$40,"&lt;&gt;"&amp;"")+COUNTIF(GK$4:GK20,GK20))</f>
        <v/>
      </c>
      <c r="GM20" s="141">
        <f>IF(ROW()-3&gt;COUNTIF(GK$4:GK$40,"&lt;&gt;"&amp;""),"",INDEX(GK$4:GK$40,MATCH(ROW()-3,GL$4:GL$40,0)))</f>
        <v/>
      </c>
      <c r="GN20">
        <f>GN19+IF(AND(GM20&lt;&gt;"",COUNTIF(GM$4:GM20,GM20)=1),1,0)</f>
        <v/>
      </c>
      <c r="GO20">
        <f>IF(ROW()-3&gt;MAX(GN$4:GN$40),"",INDEX(GM$4:GM$40,MATCH(ROW()-3,GN$4:GN$40,0)))</f>
        <v/>
      </c>
      <c r="GP20">
        <f>IF(AND($B$20:$AH$20,$AJ$20:$AJ$20),IF('Final Calculation Sheet'!$AG$20="","",'Final Calculation Sheet'!$AG$20),"")</f>
        <v/>
      </c>
      <c r="GQ20">
        <f>IF(GP20="","",COUNTIFS(GP$4:GP$40,"&lt;"&amp;GP20,GP$4:GP$40,"&lt;&gt;"&amp;"")+COUNTIF(GP$4:GP20,GP20))</f>
        <v/>
      </c>
      <c r="GR20">
        <f>IF(ROW()-3&gt;COUNTIF(GP$4:GP$40,"&lt;&gt;"&amp;""),"",INDEX(GP$4:GP$40,MATCH(ROW()-3,GQ$4:GQ$40,0)))</f>
        <v/>
      </c>
      <c r="GS20">
        <f>GS19+IF(AND(GR20&lt;&gt;"",COUNTIF(GR$4:GR20,GR20)=1),1,0)</f>
        <v/>
      </c>
      <c r="GT20">
        <f>IF(ROW()-3&gt;MAX(GS$4:GS$40),"",INDEX(GR$4:GR$40,MATCH(ROW()-3,GS$4:GS$40,0)))</f>
        <v/>
      </c>
    </row>
    <row r="21">
      <c r="A21" t="inlineStr">
        <is>
          <t>Final row 21</t>
        </is>
      </c>
      <c r="B21" t="b">
        <v>1</v>
      </c>
      <c r="C21">
        <f>IF($C$3=FALSE,TRUE,IF(OR(UPPER(TRIM($C$2))="(BLANK)",UPPER(TRIM($C$2))="BLANK",AND($C$2&lt;&gt;"",TRIM($C$2)="")),(IF('Final Calculation Sheet'!$F$21="","",'Final Calculation Sheet'!$F$21))="",IF(OR(UPPER(TRIM($C$2))="(NONBLANK)",UPPER(TRIM($C$2))="NONBLANK",TRIM($C$2)="&lt;&gt;"),(IF('Final Calculation Sheet'!$F$21="","",'Final Calculation Sheet'!$F$21))&lt;&gt;"",UPPER(TRIM((IF('Final Calculation Sheet'!$F$21="","",'Final Calculation Sheet'!$F$21))&amp;""))=UPPER(TRIM($C$2&amp;"")))))</f>
        <v/>
      </c>
      <c r="D21">
        <f>IF($D$3=FALSE,TRUE,IF(OR(UPPER(TRIM($D$2))="(BLANK)",UPPER(TRIM($D$2))="BLANK",AND($D$2&lt;&gt;"",TRIM($D$2)="")),(IF('Final Calculation Sheet'!$G$21="","",'Final Calculation Sheet'!$G$21))="",IF(OR(UPPER(TRIM($D$2))="(NONBLANK)",UPPER(TRIM($D$2))="NONBLANK",TRIM($D$2)="&lt;&gt;"),(IF('Final Calculation Sheet'!$G$21="","",'Final Calculation Sheet'!$G$21))&lt;&gt;"",UPPER(TRIM((IF('Final Calculation Sheet'!$G$21="","",'Final Calculation Sheet'!$G$21))&amp;""))=UPPER(TRIM($D$2&amp;"")))))</f>
        <v/>
      </c>
      <c r="E21">
        <f>IF($E$3=FALSE,TRUE,IF(OR(UPPER(TRIM($E$2))="(BLANK)",UPPER(TRIM($E$2))="BLANK",AND($E$2&lt;&gt;"",TRIM($E$2)="")),(IF('Final Calculation Sheet'!$B$21="","",'Final Calculation Sheet'!$B$21))="",IF(OR(UPPER(TRIM($E$2))="(NONBLANK)",UPPER(TRIM($E$2))="NONBLANK",TRIM($E$2)="&lt;&gt;"),(IF('Final Calculation Sheet'!$B$21="","",'Final Calculation Sheet'!$B$21))&lt;&gt;"",UPPER(TRIM((IF('Final Calculation Sheet'!$B$21="","",'Final Calculation Sheet'!$B$21))&amp;""))=UPPER(TRIM($E$2&amp;"")))))</f>
        <v/>
      </c>
      <c r="F21">
        <f>IF($F$3=FALSE,TRUE,IF(OR(UPPER(TRIM($F$2))="(BLANK)",UPPER(TRIM($F$2))="BLANK",AND($F$2&lt;&gt;"",TRIM($F$2)="")),(IF('Final Calculation Sheet'!$D$21="","",'Final Calculation Sheet'!$D$21))="",IF(OR(UPPER(TRIM($F$2))="(NONBLANK)",UPPER(TRIM($F$2))="NONBLANK",TRIM($F$2)="&lt;&gt;"),(IF('Final Calculation Sheet'!$D$21="","",'Final Calculation Sheet'!$D$21))&lt;&gt;"",UPPER(TRIM((IF('Final Calculation Sheet'!$D$21="","",'Final Calculation Sheet'!$D$21))&amp;""))=UPPER(TRIM($F$2&amp;"")))))</f>
        <v/>
      </c>
      <c r="G21">
        <f>IF($G$3=FALSE,TRUE,IF(OR(UPPER(TRIM($G$2))="(BLANK)",UPPER(TRIM($G$2))="BLANK",AND($G$2&lt;&gt;"",TRIM($G$2)="")),(IF('Final Calculation Sheet'!$A$21="","",'Final Calculation Sheet'!$A$21))="",IF(OR(UPPER(TRIM($G$2))="(NONBLANK)",UPPER(TRIM($G$2))="NONBLANK",TRIM($G$2)="&lt;&gt;"),(IF('Final Calculation Sheet'!$A$21="","",'Final Calculation Sheet'!$A$21))&lt;&gt;"",UPPER(TRIM((IF('Final Calculation Sheet'!$A$21="","",'Final Calculation Sheet'!$A$21))&amp;""))=UPPER(TRIM($G$2&amp;"")))))</f>
        <v/>
      </c>
      <c r="H21">
        <f>IF($H$3=FALSE,TRUE,IF(OR(UPPER(TRIM($H$2))="(BLANK)",UPPER(TRIM($H$2))="BLANK",AND($H$2&lt;&gt;"",TRIM($H$2)="")),(IF('Final Calculation Sheet'!$E$21="","",'Final Calculation Sheet'!$E$21))="",IF(OR(UPPER(TRIM($H$2))="(NONBLANK)",UPPER(TRIM($H$2))="NONBLANK",TRIM($H$2)="&lt;&gt;"),(IF('Final Calculation Sheet'!$E$21="","",'Final Calculation Sheet'!$E$21))&lt;&gt;"",UPPER(TRIM((IF('Final Calculation Sheet'!$E$21="","",'Final Calculation Sheet'!$E$21))&amp;""))=UPPER(TRIM($H$2&amp;"")))))</f>
        <v/>
      </c>
      <c r="I21">
        <f>IF($I$3=FALSE,TRUE,IF(OR(UPPER(TRIM($I$2))="(BLANK)",UPPER(TRIM($I$2))="BLANK",AND($I$2&lt;&gt;"",TRIM($I$2)="")),(IF('Final Calculation Sheet'!$C$21="","",'Final Calculation Sheet'!$C$21))="",IF(OR(UPPER(TRIM($I$2))="(NONBLANK)",UPPER(TRIM($I$2))="NONBLANK",TRIM($I$2)="&lt;&gt;"),(IF('Final Calculation Sheet'!$C$21="","",'Final Calculation Sheet'!$C$21))&lt;&gt;"",UPPER(TRIM((IF('Final Calculation Sheet'!$C$21="","",'Final Calculation Sheet'!$C$21))&amp;""))=UPPER(TRIM($I$2&amp;"")))))</f>
        <v/>
      </c>
      <c r="J21">
        <f>IF($J$3=FALSE,TRUE,IF(OR(UPPER(TRIM($J$2))="(BLANK)",UPPER(TRIM($J$2))="BLANK",AND($J$2&lt;&gt;"",TRIM($J$2)="")),(IF('Final Calculation Sheet'!$H$21="","",'Final Calculation Sheet'!$H$21))="",IF(OR(UPPER(TRIM($J$2))="(NONBLANK)",UPPER(TRIM($J$2))="NONBLANK",TRIM($J$2)="&lt;&gt;"),(IF('Final Calculation Sheet'!$H$21="","",'Final Calculation Sheet'!$H$21))&lt;&gt;"",UPPER(TRIM((IF('Final Calculation Sheet'!$H$21="","",'Final Calculation Sheet'!$H$21))&amp;""))=UPPER(TRIM($J$2&amp;"")))))</f>
        <v/>
      </c>
      <c r="K21">
        <f>IF($K$3=FALSE,TRUE,IF(OR(UPPER(TRIM($K$2))="(BLANK)",UPPER(TRIM($K$2))="BLANK",AND($K$2&lt;&gt;"",TRIM($K$2)="")),(IF('Final Calculation Sheet'!$I$21="","",'Final Calculation Sheet'!$I$21))="",IF(OR(UPPER(TRIM($K$2))="(NONBLANK)",UPPER(TRIM($K$2))="NONBLANK",TRIM($K$2)="&lt;&gt;"),(IF('Final Calculation Sheet'!$I$21="","",'Final Calculation Sheet'!$I$21))&lt;&gt;"",UPPER(TRIM((IF('Final Calculation Sheet'!$I$21="","",'Final Calculation Sheet'!$I$21))&amp;""))=UPPER(TRIM($K$2&amp;"")))))</f>
        <v/>
      </c>
      <c r="L21">
        <f>IF($L$3=FALSE,TRUE,IF(OR(UPPER(TRIM($L$2))="(BLANK)",UPPER(TRIM($L$2))="BLANK",AND($L$2&lt;&gt;"",TRIM($L$2)="")),(IF('Final Calculation Sheet'!$J$21="","",'Final Calculation Sheet'!$J$21))="",IF(OR(UPPER(TRIM($L$2))="(NONBLANK)",UPPER(TRIM($L$2))="NONBLANK",TRIM($L$2)="&lt;&gt;"),(IF('Final Calculation Sheet'!$J$21="","",'Final Calculation Sheet'!$J$21))&lt;&gt;"",UPPER(TRIM((IF('Final Calculation Sheet'!$J$21="","",'Final Calculation Sheet'!$J$21))&amp;""))=UPPER(TRIM($L$2&amp;"")))))</f>
        <v/>
      </c>
      <c r="M21">
        <f>IF($M$3=FALSE,TRUE,IF(OR(UPPER(TRIM($M$2))="(BLANK)",UPPER(TRIM($M$2))="BLANK",AND($M$2&lt;&gt;"",TRIM($M$2)="")),(IF('Final Calculation Sheet'!$K$21="","",'Final Calculation Sheet'!$K$21))="",IF(OR(UPPER(TRIM($M$2))="(NONBLANK)",UPPER(TRIM($M$2))="NONBLANK",TRIM($M$2)="&lt;&gt;"),(IF('Final Calculation Sheet'!$K$21="","",'Final Calculation Sheet'!$K$21))&lt;&gt;"",UPPER(TRIM((IF('Final Calculation Sheet'!$K$21="","",'Final Calculation Sheet'!$K$21))&amp;""))=UPPER(TRIM($M$2&amp;"")))))</f>
        <v/>
      </c>
      <c r="N21">
        <f>IF($N$3=FALSE,TRUE,IF(OR(UPPER(TRIM($N$2))="(BLANK)",UPPER(TRIM($N$2))="BLANK",AND($N$2&lt;&gt;"",TRIM($N$2)="")),(IF('Final Calculation Sheet'!$L$21="","",'Final Calculation Sheet'!$L$21))="",IF(OR(UPPER(TRIM($N$2))="(NONBLANK)",UPPER(TRIM($N$2))="NONBLANK",TRIM($N$2)="&lt;&gt;"),(IF('Final Calculation Sheet'!$L$21="","",'Final Calculation Sheet'!$L$21))&lt;&gt;"",UPPER(TRIM((IF('Final Calculation Sheet'!$L$21="","",'Final Calculation Sheet'!$L$21))&amp;""))=UPPER(TRIM($N$2&amp;"")))))</f>
        <v/>
      </c>
      <c r="O21">
        <f>IF($O$3=FALSE,TRUE,IF(OR(UPPER(TRIM($O$2))="(BLANK)",UPPER(TRIM($O$2))="BLANK",AND($O$2&lt;&gt;"",TRIM($O$2)="")),(IF('Final Calculation Sheet'!$M$21="","",'Final Calculation Sheet'!$M$21))="",IF(OR(UPPER(TRIM($O$2))="(NONBLANK)",UPPER(TRIM($O$2))="NONBLANK",TRIM($O$2)="&lt;&gt;"),(IF('Final Calculation Sheet'!$M$21="","",'Final Calculation Sheet'!$M$21))&lt;&gt;"",UPPER(TRIM((IF('Final Calculation Sheet'!$M$21="","",'Final Calculation Sheet'!$M$21))&amp;""))=UPPER(TRIM($O$2&amp;"")))))</f>
        <v/>
      </c>
      <c r="P21">
        <f>IF($P$3=FALSE,TRUE,IF(OR(UPPER(TRIM($P$2))="(BLANK)",UPPER(TRIM($P$2))="BLANK",AND($P$2&lt;&gt;"",TRIM($P$2)="")),(IF('Final Calculation Sheet'!$N$21="","",'Final Calculation Sheet'!$N$21))="",IF(OR(UPPER(TRIM($P$2))="(NONBLANK)",UPPER(TRIM($P$2))="NONBLANK",TRIM($P$2)="&lt;&gt;"),(IF('Final Calculation Sheet'!$N$21="","",'Final Calculation Sheet'!$N$21))&lt;&gt;"",UPPER(TRIM((IF('Final Calculation Sheet'!$N$21="","",'Final Calculation Sheet'!$N$21))&amp;""))=UPPER(TRIM($P$2&amp;"")))))</f>
        <v/>
      </c>
      <c r="Q21">
        <f>IF($Q$3=FALSE,TRUE,IF(OR(UPPER(TRIM($Q$2))="(BLANK)",UPPER(TRIM($Q$2))="BLANK",AND($Q$2&lt;&gt;"",TRIM($Q$2)="")),(IF('Final Calculation Sheet'!$O$21="","",'Final Calculation Sheet'!$O$21))="",IF(OR(UPPER(TRIM($Q$2))="(NONBLANK)",UPPER(TRIM($Q$2))="NONBLANK",TRIM($Q$2)="&lt;&gt;"),(IF('Final Calculation Sheet'!$O$21="","",'Final Calculation Sheet'!$O$21))&lt;&gt;"",UPPER(TRIM((IF('Final Calculation Sheet'!$O$21="","",'Final Calculation Sheet'!$O$21))&amp;""))=UPPER(TRIM($Q$2&amp;"")))))</f>
        <v/>
      </c>
      <c r="R21">
        <f>IF($R$3=FALSE,TRUE,IF(OR(UPPER(TRIM($R$2))="(BLANK)",UPPER(TRIM($R$2))="BLANK",AND($R$2&lt;&gt;"",TRIM($R$2)="")),(IF('Final Calculation Sheet'!$P$21="","",'Final Calculation Sheet'!$P$21))="",IF(OR(UPPER(TRIM($R$2))="(NONBLANK)",UPPER(TRIM($R$2))="NONBLANK",TRIM($R$2)="&lt;&gt;"),(IF('Final Calculation Sheet'!$P$21="","",'Final Calculation Sheet'!$P$21))&lt;&gt;"",UPPER(TRIM((IF('Final Calculation Sheet'!$P$21="","",'Final Calculation Sheet'!$P$21))&amp;""))=UPPER(TRIM($R$2&amp;"")))))</f>
        <v/>
      </c>
      <c r="S21">
        <f>IF($S$3=FALSE,TRUE,IF(OR(UPPER(TRIM($S$2))="(BLANK)",UPPER(TRIM($S$2))="BLANK",AND($S$2&lt;&gt;"",TRIM($S$2)="")),(IF('Final Calculation Sheet'!$Q$21="","",'Final Calculation Sheet'!$Q$21))="",IF(OR(UPPER(TRIM($S$2))="(NONBLANK)",UPPER(TRIM($S$2))="NONBLANK",TRIM($S$2)="&lt;&gt;"),(IF('Final Calculation Sheet'!$Q$21="","",'Final Calculation Sheet'!$Q$21))&lt;&gt;"",UPPER(TRIM((IF('Final Calculation Sheet'!$Q$21="","",'Final Calculation Sheet'!$Q$21))&amp;""))=UPPER(TRIM($S$2&amp;"")))))</f>
        <v/>
      </c>
      <c r="T21">
        <f>IF($T$3=FALSE,TRUE,IF(OR(UPPER(TRIM($T$2))="(BLANK)",UPPER(TRIM($T$2))="BLANK",AND($T$2&lt;&gt;"",TRIM($T$2)="")),(IF('Final Calculation Sheet'!$R$21="","",'Final Calculation Sheet'!$R$21))="",IF(OR(UPPER(TRIM($T$2))="(NONBLANK)",UPPER(TRIM($T$2))="NONBLANK",TRIM($T$2)="&lt;&gt;"),(IF('Final Calculation Sheet'!$R$21="","",'Final Calculation Sheet'!$R$21))&lt;&gt;"",UPPER(TRIM((IF('Final Calculation Sheet'!$R$21="","",'Final Calculation Sheet'!$R$21))&amp;""))=UPPER(TRIM($T$2&amp;"")))))</f>
        <v/>
      </c>
      <c r="U21">
        <f>IF($U$3=FALSE,TRUE,IF(OR(UPPER(TRIM($U$2))="(BLANK)",UPPER(TRIM($U$2))="BLANK",AND($U$2&lt;&gt;"",TRIM($U$2)="")),(IF('Final Calculation Sheet'!$S$21="","",'Final Calculation Sheet'!$S$21))="",IF(OR(UPPER(TRIM($U$2))="(NONBLANK)",UPPER(TRIM($U$2))="NONBLANK",TRIM($U$2)="&lt;&gt;"),(IF('Final Calculation Sheet'!$S$21="","",'Final Calculation Sheet'!$S$21))&lt;&gt;"",UPPER(TRIM((IF('Final Calculation Sheet'!$S$21="","",'Final Calculation Sheet'!$S$21))&amp;""))=UPPER(TRIM($U$2&amp;"")))))</f>
        <v/>
      </c>
      <c r="V21">
        <f>IF($V$3=FALSE,TRUE,IF(OR(UPPER(TRIM($V$2))="(BLANK)",UPPER(TRIM($V$2))="BLANK",AND($V$2&lt;&gt;"",TRIM($V$2)="")),(IF('Final Calculation Sheet'!$T$21="","",'Final Calculation Sheet'!$T$21))="",IF(OR(UPPER(TRIM($V$2))="(NONBLANK)",UPPER(TRIM($V$2))="NONBLANK",TRIM($V$2)="&lt;&gt;"),(IF('Final Calculation Sheet'!$T$21="","",'Final Calculation Sheet'!$T$21))&lt;&gt;"",UPPER(TRIM((IF('Final Calculation Sheet'!$T$21="","",'Final Calculation Sheet'!$T$21))&amp;""))=UPPER(TRIM($V$2&amp;"")))))</f>
        <v/>
      </c>
      <c r="W21">
        <f>IF($W$3=FALSE,TRUE,IF(OR(UPPER(TRIM($W$2))="(BLANK)",UPPER(TRIM($W$2))="BLANK",AND($W$2&lt;&gt;"",TRIM($W$2)="")),(IF('Final Calculation Sheet'!$U$21="","",'Final Calculation Sheet'!$U$21))="",IF(OR(UPPER(TRIM($W$2))="(NONBLANK)",UPPER(TRIM($W$2))="NONBLANK",TRIM($W$2)="&lt;&gt;"),(IF('Final Calculation Sheet'!$U$21="","",'Final Calculation Sheet'!$U$21))&lt;&gt;"",UPPER(TRIM((IF('Final Calculation Sheet'!$U$21="","",'Final Calculation Sheet'!$U$21))&amp;""))=UPPER(TRIM($W$2&amp;"")))))</f>
        <v/>
      </c>
      <c r="X21">
        <f>IF($X$3=FALSE,TRUE,IF(OR(UPPER(TRIM($X$2))="(BLANK)",UPPER(TRIM($X$2))="BLANK",AND($X$2&lt;&gt;"",TRIM($X$2)="")),(IF('Final Calculation Sheet'!$V$21="","",'Final Calculation Sheet'!$V$21))="",IF(OR(UPPER(TRIM($X$2))="(NONBLANK)",UPPER(TRIM($X$2))="NONBLANK",TRIM($X$2)="&lt;&gt;"),(IF('Final Calculation Sheet'!$V$21="","",'Final Calculation Sheet'!$V$21))&lt;&gt;"",UPPER(TRIM((IF('Final Calculation Sheet'!$V$21="","",'Final Calculation Sheet'!$V$21))&amp;""))=UPPER(TRIM($X$2&amp;"")))))</f>
        <v/>
      </c>
      <c r="Y21">
        <f>IF($Y$3=FALSE,TRUE,IF(OR(UPPER(TRIM($Y$2))="(BLANK)",UPPER(TRIM($Y$2))="BLANK",AND($Y$2&lt;&gt;"",TRIM($Y$2)="")),(IF('Final Calculation Sheet'!$W$21="","",'Final Calculation Sheet'!$W$21))="",IF(OR(UPPER(TRIM($Y$2))="(NONBLANK)",UPPER(TRIM($Y$2))="NONBLANK",TRIM($Y$2)="&lt;&gt;"),(IF('Final Calculation Sheet'!$W$21="","",'Final Calculation Sheet'!$W$21))&lt;&gt;"",UPPER(TRIM((IF('Final Calculation Sheet'!$W$21="","",'Final Calculation Sheet'!$W$21))&amp;""))=UPPER(TRIM($Y$2&amp;"")))))</f>
        <v/>
      </c>
      <c r="Z21">
        <f>IF($Z$3=FALSE,TRUE,IF(OR(UPPER(TRIM($Z$2))="(BLANK)",UPPER(TRIM($Z$2))="BLANK",AND($Z$2&lt;&gt;"",TRIM($Z$2)="")),(IF('Final Calculation Sheet'!$X$21="","",'Final Calculation Sheet'!$X$21))="",IF(OR(UPPER(TRIM($Z$2))="(NONBLANK)",UPPER(TRIM($Z$2))="NONBLANK",TRIM($Z$2)="&lt;&gt;"),(IF('Final Calculation Sheet'!$X$21="","",'Final Calculation Sheet'!$X$21))&lt;&gt;"",UPPER(TRIM((IF('Final Calculation Sheet'!$X$21="","",'Final Calculation Sheet'!$X$21))&amp;""))=UPPER(TRIM($Z$2&amp;"")))))</f>
        <v/>
      </c>
      <c r="AA21">
        <f>IF($AA$3=FALSE,TRUE,IF(OR(UPPER(TRIM($AA$2))="(BLANK)",UPPER(TRIM($AA$2))="BLANK",AND($AA$2&lt;&gt;"",TRIM($AA$2)="")),(IF('Final Calculation Sheet'!$Y$21="","",'Final Calculation Sheet'!$Y$21))="",IF(OR(UPPER(TRIM($AA$2))="(NONBLANK)",UPPER(TRIM($AA$2))="NONBLANK",TRIM($AA$2)="&lt;&gt;"),(IF('Final Calculation Sheet'!$Y$21="","",'Final Calculation Sheet'!$Y$21))&lt;&gt;"",UPPER(TRIM((IF('Final Calculation Sheet'!$Y$21="","",'Final Calculation Sheet'!$Y$21))&amp;""))=UPPER(TRIM($AA$2&amp;"")))))</f>
        <v/>
      </c>
      <c r="AB21">
        <f>IF($AB$3=FALSE,TRUE,IF(OR(UPPER(TRIM($AB$2))="(BLANK)",UPPER(TRIM($AB$2))="BLANK",AND($AB$2&lt;&gt;"",TRIM($AB$2)="")),(IF('Final Calculation Sheet'!$Z$21="","",'Final Calculation Sheet'!$Z$21))="",IF(OR(UPPER(TRIM($AB$2))="(NONBLANK)",UPPER(TRIM($AB$2))="NONBLANK",TRIM($AB$2)="&lt;&gt;"),(IF('Final Calculation Sheet'!$Z$21="","",'Final Calculation Sheet'!$Z$21))&lt;&gt;"",UPPER(TRIM((IF('Final Calculation Sheet'!$Z$21="","",'Final Calculation Sheet'!$Z$21))&amp;""))=UPPER(TRIM($AB$2&amp;"")))))</f>
        <v/>
      </c>
      <c r="AC21">
        <f>IF($AC$3=FALSE,TRUE,IF(OR(UPPER(TRIM($AC$2))="(BLANK)",UPPER(TRIM($AC$2))="BLANK",AND($AC$2&lt;&gt;"",TRIM($AC$2)="")),(IF('Final Calculation Sheet'!$AA$21="","",'Final Calculation Sheet'!$AA$21))="",IF(OR(UPPER(TRIM($AC$2))="(NONBLANK)",UPPER(TRIM($AC$2))="NONBLANK",TRIM($AC$2)="&lt;&gt;"),(IF('Final Calculation Sheet'!$AA$21="","",'Final Calculation Sheet'!$AA$21))&lt;&gt;"",UPPER(TRIM((IF('Final Calculation Sheet'!$AA$21="","",'Final Calculation Sheet'!$AA$21))&amp;""))=UPPER(TRIM($AC$2&amp;"")))))</f>
        <v/>
      </c>
      <c r="AD21">
        <f>IF($AD$3=FALSE,TRUE,IF(OR(UPPER(TRIM($AD$2))="(BLANK)",UPPER(TRIM($AD$2))="BLANK",AND($AD$2&lt;&gt;"",TRIM($AD$2)="")),(IF('Final Calculation Sheet'!$AB$21="","",'Final Calculation Sheet'!$AB$21))="",IF(OR(UPPER(TRIM($AD$2))="(NONBLANK)",UPPER(TRIM($AD$2))="NONBLANK",TRIM($AD$2)="&lt;&gt;"),(IF('Final Calculation Sheet'!$AB$21="","",'Final Calculation Sheet'!$AB$21))&lt;&gt;"",UPPER(TRIM((IF('Final Calculation Sheet'!$AB$21="","",'Final Calculation Sheet'!$AB$21))&amp;""))=UPPER(TRIM($AD$2&amp;"")))))</f>
        <v/>
      </c>
      <c r="AE21">
        <f>IF($AE$3=FALSE,TRUE,IF(OR(UPPER(TRIM($AE$2))="(BLANK)",UPPER(TRIM($AE$2))="BLANK",AND($AE$2&lt;&gt;"",TRIM($AE$2)="")),(IF('Final Calculation Sheet'!$AC$21="","",'Final Calculation Sheet'!$AC$21))="",IF(OR(UPPER(TRIM($AE$2))="(NONBLANK)",UPPER(TRIM($AE$2))="NONBLANK",TRIM($AE$2)="&lt;&gt;"),(IF('Final Calculation Sheet'!$AC$21="","",'Final Calculation Sheet'!$AC$21))&lt;&gt;"",UPPER(TRIM((IF('Final Calculation Sheet'!$AC$21="","",'Final Calculation Sheet'!$AC$21))&amp;""))=UPPER(TRIM($AE$2&amp;"")))))</f>
        <v/>
      </c>
      <c r="AF21">
        <f>IF($AF$3=FALSE,TRUE,IF(OR(UPPER(TRIM($AF$2))="(BLANK)",UPPER(TRIM($AF$2))="BLANK",AND($AF$2&lt;&gt;"",TRIM($AF$2)="")),(IF('Final Calculation Sheet'!$AD$21="","",'Final Calculation Sheet'!$AD$21))="",IF(OR(UPPER(TRIM($AF$2))="(NONBLANK)",UPPER(TRIM($AF$2))="NONBLANK",TRIM($AF$2)="&lt;&gt;"),(IF('Final Calculation Sheet'!$AD$21="","",'Final Calculation Sheet'!$AD$21))&lt;&gt;"",UPPER(TRIM((IF('Final Calculation Sheet'!$AD$21="","",'Final Calculation Sheet'!$AD$21))&amp;""))=UPPER(TRIM($AF$2&amp;"")))))</f>
        <v/>
      </c>
      <c r="AG21">
        <f>IF($AG$3=FALSE,TRUE,IF(OR(UPPER(TRIM($AG$2))="(BLANK)",UPPER(TRIM($AG$2))="BLANK",AND($AG$2&lt;&gt;"",TRIM($AG$2)="")),(IF('Final Calculation Sheet'!$AE$21="","",'Final Calculation Sheet'!$AE$21))="",IF(OR(UPPER(TRIM($AG$2))="(NONBLANK)",UPPER(TRIM($AG$2))="NONBLANK",TRIM($AG$2)="&lt;&gt;"),(IF('Final Calculation Sheet'!$AE$21="","",'Final Calculation Sheet'!$AE$21))&lt;&gt;"",UPPER(TRIM((IF('Final Calculation Sheet'!$AE$21="","",'Final Calculation Sheet'!$AE$21))&amp;""))=UPPER(TRIM($AG$2&amp;"")))))</f>
        <v/>
      </c>
      <c r="AH21">
        <f>IF($AH$3=FALSE,TRUE,IF(OR(UPPER(TRIM($AH$2))="(BLANK)",UPPER(TRIM($AH$2))="BLANK",AND($AH$2&lt;&gt;"",TRIM($AH$2)="")),(IF('Final Calculation Sheet'!$AF$21="","",'Final Calculation Sheet'!$AF$21))="",IF(OR(UPPER(TRIM($AH$2))="(NONBLANK)",UPPER(TRIM($AH$2))="NONBLANK",TRIM($AH$2)="&lt;&gt;"),(IF('Final Calculation Sheet'!$AF$21="","",'Final Calculation Sheet'!$AF$21))&lt;&gt;"",UPPER(TRIM((IF('Final Calculation Sheet'!$AF$21="","",'Final Calculation Sheet'!$AF$21))&amp;""))=UPPER(TRIM($AH$2&amp;"")))))</f>
        <v/>
      </c>
      <c r="AI21">
        <f>IF($AI$3=FALSE,TRUE,IF(OR(UPPER(TRIM($AI$2))="(BLANK)",UPPER(TRIM($AI$2))="BLANK",AND($AI$2&lt;&gt;"",TRIM($AI$2)="")),(IF('Final Calculation Sheet'!$AG$21="","",'Final Calculation Sheet'!$AG$21))="",IF(OR(UPPER(TRIM($AI$2))="(NONBLANK)",UPPER(TRIM($AI$2))="NONBLANK",TRIM($AI$2)="&lt;&gt;"),(IF('Final Calculation Sheet'!$AG$21="","",'Final Calculation Sheet'!$AG$21))&lt;&gt;"",UPPER(TRIM((IF('Final Calculation Sheet'!$AG$21="","",'Final Calculation Sheet'!$AG$21))&amp;""))=UPPER(TRIM($AI$2&amp;"")))))</f>
        <v/>
      </c>
      <c r="AJ21">
        <f>IF($AJ$3=FALSE,TRUE,IF(OR(UPPER(TRIM($AJ$2))="(BLANK)",UPPER(TRIM($AJ$2))="BLANK",AND($AJ$2&lt;&gt;"",TRIM($AJ$2)="")),(IF('Final Calculation Sheet'!$AD$21="","",IF('Final Calculation Sheet'!$AD$21&lt;=5,"SETTLED","OUTSTANDING")))="",IF(OR(UPPER(TRIM($AJ$2))="(NONBLANK)",UPPER(TRIM($AJ$2))="NONBLANK",TRIM($AJ$2)="&lt;&gt;"),(IF('Final Calculation Sheet'!$AD$21="","",IF('Final Calculation Sheet'!$AD$21&lt;=5,"SETTLED","OUTSTANDING")))&lt;&gt;"",UPPER(TRIM((IF('Final Calculation Sheet'!$AD$21="","",IF('Final Calculation Sheet'!$AD$21&lt;=5,"SETTLED","OUTSTANDING")))&amp;""))=UPPER(TRIM($AJ$2&amp;"")))))</f>
        <v/>
      </c>
      <c r="AL21">
        <f>IF(AND($B$21,$D$21:$AJ$21),IF('Final Calculation Sheet'!$F$21="","",'Final Calculation Sheet'!$F$21),"")</f>
        <v/>
      </c>
      <c r="AM21">
        <f>IF(AL21="","",COUNTIFS(AL$4:AL$40,"&lt;"&amp;AL21,AL$4:AL$40,"&lt;&gt;"&amp;"")+COUNTIF(AL$4:AL21,AL21))</f>
        <v/>
      </c>
      <c r="AN21">
        <f>IF(ROW()-3&gt;COUNTIF(AL$4:AL$40,"&lt;&gt;"&amp;""),"",INDEX(AL$4:AL$40,MATCH(ROW()-3,AM$4:AM$40,0)))</f>
        <v/>
      </c>
      <c r="AO21">
        <f>AO20+IF(AND(AN21&lt;&gt;"",COUNTIF(AN$4:AN21,AN21)=1),1,0)</f>
        <v/>
      </c>
      <c r="AP21">
        <f>IF(ROW()-3&gt;MAX(AO$4:AO$40),"",INDEX(AN$4:AN$40,MATCH(ROW()-3,AO$4:AO$40,0)))</f>
        <v/>
      </c>
      <c r="AQ21">
        <f>IF(AND($B$21:$C$21,$E$21:$AJ$21),IF('Final Calculation Sheet'!$G$21="","",'Final Calculation Sheet'!$G$21),"")</f>
        <v/>
      </c>
      <c r="AR21">
        <f>IF(AQ21="","",COUNTIFS(AQ$4:AQ$40,"&lt;"&amp;AQ21,AQ$4:AQ$40,"&lt;&gt;"&amp;"")+COUNTIF(AQ$4:AQ21,AQ21))</f>
        <v/>
      </c>
      <c r="AS21">
        <f>IF(ROW()-3&gt;COUNTIF(AQ$4:AQ$40,"&lt;&gt;"&amp;""),"",INDEX(AQ$4:AQ$40,MATCH(ROW()-3,AR$4:AR$40,0)))</f>
        <v/>
      </c>
      <c r="AT21">
        <f>AT20+IF(AND(AS21&lt;&gt;"",COUNTIF(AS$4:AS21,AS21)=1),1,0)</f>
        <v/>
      </c>
      <c r="AU21">
        <f>IF(ROW()-3&gt;MAX(AT$4:AT$40),"",INDEX(AS$4:AS$40,MATCH(ROW()-3,AT$4:AT$40,0)))</f>
        <v/>
      </c>
      <c r="AV21">
        <f>IF(AND($B$21:$D$21,$F$21:$AJ$21),IF('Final Calculation Sheet'!$B$21="","",'Final Calculation Sheet'!$B$21),"")</f>
        <v/>
      </c>
      <c r="AW21">
        <f>IF(AV21="","",COUNTIFS(AV$4:AV$40,"&lt;"&amp;AV21,AV$4:AV$40,"&lt;&gt;"&amp;"")+COUNTIF(AV$4:AV21,AV21))</f>
        <v/>
      </c>
      <c r="AX21">
        <f>IF(ROW()-3&gt;COUNTIF(AV$4:AV$40,"&lt;&gt;"&amp;""),"",INDEX(AV$4:AV$40,MATCH(ROW()-3,AW$4:AW$40,0)))</f>
        <v/>
      </c>
      <c r="AY21">
        <f>AY20+IF(AND(AX21&lt;&gt;"",COUNTIF(AX$4:AX21,AX21)=1),1,0)</f>
        <v/>
      </c>
      <c r="AZ21">
        <f>IF(ROW()-3&gt;MAX(AY$4:AY$40),"",INDEX(AX$4:AX$40,MATCH(ROW()-3,AY$4:AY$40,0)))</f>
        <v/>
      </c>
      <c r="BA21">
        <f>IF(AND($B$21:$E$21,$G$21:$AJ$21),IF('Final Calculation Sheet'!$D$21="","",'Final Calculation Sheet'!$D$21),"")</f>
        <v/>
      </c>
      <c r="BB21">
        <f>IF(BA21="","",COUNTIFS(BA$4:BA$40,"&lt;"&amp;BA21,BA$4:BA$40,"&lt;&gt;"&amp;"")+COUNTIF(BA$4:BA21,BA21))</f>
        <v/>
      </c>
      <c r="BC21">
        <f>IF(ROW()-3&gt;COUNTIF(BA$4:BA$40,"&lt;&gt;"&amp;""),"",INDEX(BA$4:BA$40,MATCH(ROW()-3,BB$4:BB$40,0)))</f>
        <v/>
      </c>
      <c r="BD21">
        <f>BD20+IF(AND(BC21&lt;&gt;"",COUNTIF(BC$4:BC21,BC21)=1),1,0)</f>
        <v/>
      </c>
      <c r="BE21">
        <f>IF(ROW()-3&gt;MAX(BD$4:BD$40),"",INDEX(BC$4:BC$40,MATCH(ROW()-3,BD$4:BD$40,0)))</f>
        <v/>
      </c>
      <c r="BF21">
        <f>IF(AND($B$21:$F$21,$H$21:$AJ$21),IF('Final Calculation Sheet'!$A$21="","",'Final Calculation Sheet'!$A$21),"")</f>
        <v/>
      </c>
      <c r="BG21">
        <f>IF(BF21="","",COUNTIFS(BF$4:BF$40,"&lt;"&amp;BF21,BF$4:BF$40,"&lt;&gt;"&amp;"")+COUNTIF(BF$4:BF21,BF21))</f>
        <v/>
      </c>
      <c r="BH21">
        <f>IF(ROW()-3&gt;COUNTIF(BF$4:BF$40,"&lt;&gt;"&amp;""),"",INDEX(BF$4:BF$40,MATCH(ROW()-3,BG$4:BG$40,0)))</f>
        <v/>
      </c>
      <c r="BI21">
        <f>BI20+IF(AND(BH21&lt;&gt;"",COUNTIF(BH$4:BH21,BH21)=1),1,0)</f>
        <v/>
      </c>
      <c r="BJ21">
        <f>IF(ROW()-3&gt;MAX(BI$4:BI$40),"",INDEX(BH$4:BH$40,MATCH(ROW()-3,BI$4:BI$40,0)))</f>
        <v/>
      </c>
      <c r="BK21">
        <f>IF(AND($B$21:$G$21,$I$21:$AJ$21),IF('Final Calculation Sheet'!$E$21="","",'Final Calculation Sheet'!$E$21),"")</f>
        <v/>
      </c>
      <c r="BL21">
        <f>IF(BK21="","",COUNTIFS(BK$4:BK$40,"&lt;"&amp;BK21,BK$4:BK$40,"&lt;&gt;"&amp;"")+COUNTIF(BK$4:BK21,BK21))</f>
        <v/>
      </c>
      <c r="BM21">
        <f>IF(ROW()-3&gt;COUNTIF(BK$4:BK$40,"&lt;&gt;"&amp;""),"",INDEX(BK$4:BK$40,MATCH(ROW()-3,BL$4:BL$40,0)))</f>
        <v/>
      </c>
      <c r="BN21">
        <f>BN20+IF(AND(BM21&lt;&gt;"",COUNTIF(BM$4:BM21,BM21)=1),1,0)</f>
        <v/>
      </c>
      <c r="BO21">
        <f>IF(ROW()-3&gt;MAX(BN$4:BN$40),"",INDEX(BM$4:BM$40,MATCH(ROW()-3,BN$4:BN$40,0)))</f>
        <v/>
      </c>
      <c r="BP21" s="55">
        <f>IF(AND($B$21:$H$21,$J$21:$AJ$21),IF('Final Calculation Sheet'!$C$21="","",'Final Calculation Sheet'!$C$21),"")</f>
        <v/>
      </c>
      <c r="BQ21">
        <f>IF(BP21="","",COUNTIFS(BP$4:BP$40,"&lt;"&amp;BP21,BP$4:BP$40,"&lt;&gt;"&amp;"")+COUNTIF(BP$4:BP21,BP21))</f>
        <v/>
      </c>
      <c r="BR21" s="55">
        <f>IF(ROW()-3&gt;COUNTIF(BP$4:BP$40,"&lt;&gt;"&amp;""),"",INDEX(BP$4:BP$40,MATCH(ROW()-3,BQ$4:BQ$40,0)))</f>
        <v/>
      </c>
      <c r="BS21">
        <f>BS20+IF(AND(BR21&lt;&gt;"",COUNTIF(BR$4:BR21,BR21)=1),1,0)</f>
        <v/>
      </c>
      <c r="BT21" s="55">
        <f>IF(ROW()-3&gt;MAX(BS$4:BS$40),"",INDEX(BR$4:BR$40,MATCH(ROW()-3,BS$4:BS$40,0)))</f>
        <v/>
      </c>
      <c r="BU21" s="55">
        <f>IF(AND($B$21:$I$21,$K$21:$AJ$21),IF('Final Calculation Sheet'!$H$21="","",'Final Calculation Sheet'!$H$21),"")</f>
        <v/>
      </c>
      <c r="BV21">
        <f>IF(BU21="","",COUNTIFS(BU$4:BU$40,"&lt;"&amp;BU21,BU$4:BU$40,"&lt;&gt;"&amp;"")+COUNTIF(BU$4:BU21,BU21))</f>
        <v/>
      </c>
      <c r="BW21" s="55">
        <f>IF(ROW()-3&gt;COUNTIF(BU$4:BU$40,"&lt;&gt;"&amp;""),"",INDEX(BU$4:BU$40,MATCH(ROW()-3,BV$4:BV$40,0)))</f>
        <v/>
      </c>
      <c r="BX21">
        <f>BX20+IF(AND(BW21&lt;&gt;"",COUNTIF(BW$4:BW21,BW21)=1),1,0)</f>
        <v/>
      </c>
      <c r="BY21" s="55">
        <f>IF(ROW()-3&gt;MAX(BX$4:BX$40),"",INDEX(BW$4:BW$40,MATCH(ROW()-3,BX$4:BX$40,0)))</f>
        <v/>
      </c>
      <c r="BZ21" s="55">
        <f>IF(AND($B$21:$J$21,$L$21:$AJ$21),IF('Final Calculation Sheet'!$I$21="","",'Final Calculation Sheet'!$I$21),"")</f>
        <v/>
      </c>
      <c r="CA21">
        <f>IF(BZ21="","",COUNTIFS(BZ$4:BZ$40,"&lt;"&amp;BZ21,BZ$4:BZ$40,"&lt;&gt;"&amp;"")+COUNTIF(BZ$4:BZ21,BZ21))</f>
        <v/>
      </c>
      <c r="CB21" s="55">
        <f>IF(ROW()-3&gt;COUNTIF(BZ$4:BZ$40,"&lt;&gt;"&amp;""),"",INDEX(BZ$4:BZ$40,MATCH(ROW()-3,CA$4:CA$40,0)))</f>
        <v/>
      </c>
      <c r="CC21">
        <f>CC20+IF(AND(CB21&lt;&gt;"",COUNTIF(CB$4:CB21,CB21)=1),1,0)</f>
        <v/>
      </c>
      <c r="CD21" s="55">
        <f>IF(ROW()-3&gt;MAX(CC$4:CC$40),"",INDEX(CB$4:CB$40,MATCH(ROW()-3,CC$4:CC$40,0)))</f>
        <v/>
      </c>
      <c r="CE21" s="55">
        <f>IF(AND($B$21:$K$21,$M$21:$AJ$21),IF('Final Calculation Sheet'!$J$21="","",'Final Calculation Sheet'!$J$21),"")</f>
        <v/>
      </c>
      <c r="CF21">
        <f>IF(CE21="","",COUNTIFS(CE$4:CE$40,"&lt;"&amp;CE21,CE$4:CE$40,"&lt;&gt;"&amp;"")+COUNTIF(CE$4:CE21,CE21))</f>
        <v/>
      </c>
      <c r="CG21" s="55">
        <f>IF(ROW()-3&gt;COUNTIF(CE$4:CE$40,"&lt;&gt;"&amp;""),"",INDEX(CE$4:CE$40,MATCH(ROW()-3,CF$4:CF$40,0)))</f>
        <v/>
      </c>
      <c r="CH21">
        <f>CH20+IF(AND(CG21&lt;&gt;"",COUNTIF(CG$4:CG21,CG21)=1),1,0)</f>
        <v/>
      </c>
      <c r="CI21" s="55">
        <f>IF(ROW()-3&gt;MAX(CH$4:CH$40),"",INDEX(CG$4:CG$40,MATCH(ROW()-3,CH$4:CH$40,0)))</f>
        <v/>
      </c>
      <c r="CJ21" s="55">
        <f>IF(AND($B$21:$L$21,$N$21:$AJ$21),IF('Final Calculation Sheet'!$K$21="","",'Final Calculation Sheet'!$K$21),"")</f>
        <v/>
      </c>
      <c r="CK21">
        <f>IF(CJ21="","",COUNTIFS(CJ$4:CJ$40,"&lt;"&amp;CJ21,CJ$4:CJ$40,"&lt;&gt;"&amp;"")+COUNTIF(CJ$4:CJ21,CJ21))</f>
        <v/>
      </c>
      <c r="CL21" s="55">
        <f>IF(ROW()-3&gt;COUNTIF(CJ$4:CJ$40,"&lt;&gt;"&amp;""),"",INDEX(CJ$4:CJ$40,MATCH(ROW()-3,CK$4:CK$40,0)))</f>
        <v/>
      </c>
      <c r="CM21">
        <f>CM20+IF(AND(CL21&lt;&gt;"",COUNTIF(CL$4:CL21,CL21)=1),1,0)</f>
        <v/>
      </c>
      <c r="CN21" s="55">
        <f>IF(ROW()-3&gt;MAX(CM$4:CM$40),"",INDEX(CL$4:CL$40,MATCH(ROW()-3,CM$4:CM$40,0)))</f>
        <v/>
      </c>
      <c r="CO21" s="55">
        <f>IF(AND($B$21:$M$21,$O$21:$AJ$21),IF('Final Calculation Sheet'!$L$21="","",'Final Calculation Sheet'!$L$21),"")</f>
        <v/>
      </c>
      <c r="CP21">
        <f>IF(CO21="","",COUNTIFS(CO$4:CO$40,"&lt;"&amp;CO21,CO$4:CO$40,"&lt;&gt;"&amp;"")+COUNTIF(CO$4:CO21,CO21))</f>
        <v/>
      </c>
      <c r="CQ21" s="55">
        <f>IF(ROW()-3&gt;COUNTIF(CO$4:CO$40,"&lt;&gt;"&amp;""),"",INDEX(CO$4:CO$40,MATCH(ROW()-3,CP$4:CP$40,0)))</f>
        <v/>
      </c>
      <c r="CR21">
        <f>CR20+IF(AND(CQ21&lt;&gt;"",COUNTIF(CQ$4:CQ21,CQ21)=1),1,0)</f>
        <v/>
      </c>
      <c r="CS21" s="55">
        <f>IF(ROW()-3&gt;MAX(CR$4:CR$40),"",INDEX(CQ$4:CQ$40,MATCH(ROW()-3,CR$4:CR$40,0)))</f>
        <v/>
      </c>
      <c r="CT21" s="55">
        <f>IF(AND($B$21:$N$21,$P$21:$AJ$21),IF('Final Calculation Sheet'!$M$21="","",'Final Calculation Sheet'!$M$21),"")</f>
        <v/>
      </c>
      <c r="CU21">
        <f>IF(CT21="","",COUNTIFS(CT$4:CT$40,"&lt;"&amp;CT21,CT$4:CT$40,"&lt;&gt;"&amp;"")+COUNTIF(CT$4:CT21,CT21))</f>
        <v/>
      </c>
      <c r="CV21" s="55">
        <f>IF(ROW()-3&gt;COUNTIF(CT$4:CT$40,"&lt;&gt;"&amp;""),"",INDEX(CT$4:CT$40,MATCH(ROW()-3,CU$4:CU$40,0)))</f>
        <v/>
      </c>
      <c r="CW21">
        <f>CW20+IF(AND(CV21&lt;&gt;"",COUNTIF(CV$4:CV21,CV21)=1),1,0)</f>
        <v/>
      </c>
      <c r="CX21" s="55">
        <f>IF(ROW()-3&gt;MAX(CW$4:CW$40),"",INDEX(CV$4:CV$40,MATCH(ROW()-3,CW$4:CW$40,0)))</f>
        <v/>
      </c>
      <c r="CY21" s="138">
        <f>IF(AND($B$21:$O$21,$Q$21:$AJ$21),IF('Final Calculation Sheet'!$N$21="","",'Final Calculation Sheet'!$N$21),"")</f>
        <v/>
      </c>
      <c r="CZ21">
        <f>IF(CY21="","",COUNTIFS(CY$4:CY$40,"&lt;"&amp;CY21,CY$4:CY$40,"&lt;&gt;"&amp;"")+COUNTIF(CY$4:CY21,CY21))</f>
        <v/>
      </c>
      <c r="DA21" s="138">
        <f>IF(ROW()-3&gt;COUNTIF(CY$4:CY$40,"&lt;&gt;"&amp;""),"",INDEX(CY$4:CY$40,MATCH(ROW()-3,CZ$4:CZ$40,0)))</f>
        <v/>
      </c>
      <c r="DB21">
        <f>DB20+IF(AND(DA21&lt;&gt;"",COUNTIF(DA$4:DA21,DA21)=1),1,0)</f>
        <v/>
      </c>
      <c r="DC21" s="138">
        <f>IF(ROW()-3&gt;MAX(DB$4:DB$40),"",INDEX(DA$4:DA$40,MATCH(ROW()-3,DB$4:DB$40,0)))</f>
        <v/>
      </c>
      <c r="DD21" s="55">
        <f>IF(AND($B$21:$P$21,$R$21:$AJ$21),IF('Final Calculation Sheet'!$O$21="","",'Final Calculation Sheet'!$O$21),"")</f>
        <v/>
      </c>
      <c r="DE21">
        <f>IF(DD21="","",COUNTIFS(DD$4:DD$40,"&lt;"&amp;DD21,DD$4:DD$40,"&lt;&gt;"&amp;"")+COUNTIF(DD$4:DD21,DD21))</f>
        <v/>
      </c>
      <c r="DF21" s="55">
        <f>IF(ROW()-3&gt;COUNTIF(DD$4:DD$40,"&lt;&gt;"&amp;""),"",INDEX(DD$4:DD$40,MATCH(ROW()-3,DE$4:DE$40,0)))</f>
        <v/>
      </c>
      <c r="DG21">
        <f>DG20+IF(AND(DF21&lt;&gt;"",COUNTIF(DF$4:DF21,DF21)=1),1,0)</f>
        <v/>
      </c>
      <c r="DH21" s="55">
        <f>IF(ROW()-3&gt;MAX(DG$4:DG$40),"",INDEX(DF$4:DF$40,MATCH(ROW()-3,DG$4:DG$40,0)))</f>
        <v/>
      </c>
      <c r="DI21" s="55">
        <f>IF(AND($B$21:$Q$21,$S$21:$AJ$21),IF('Final Calculation Sheet'!$P$21="","",'Final Calculation Sheet'!$P$21),"")</f>
        <v/>
      </c>
      <c r="DJ21">
        <f>IF(DI21="","",COUNTIFS(DI$4:DI$40,"&lt;"&amp;DI21,DI$4:DI$40,"&lt;&gt;"&amp;"")+COUNTIF(DI$4:DI21,DI21))</f>
        <v/>
      </c>
      <c r="DK21" s="55">
        <f>IF(ROW()-3&gt;COUNTIF(DI$4:DI$40,"&lt;&gt;"&amp;""),"",INDEX(DI$4:DI$40,MATCH(ROW()-3,DJ$4:DJ$40,0)))</f>
        <v/>
      </c>
      <c r="DL21">
        <f>DL20+IF(AND(DK21&lt;&gt;"",COUNTIF(DK$4:DK21,DK21)=1),1,0)</f>
        <v/>
      </c>
      <c r="DM21" s="55">
        <f>IF(ROW()-3&gt;MAX(DL$4:DL$40),"",INDEX(DK$4:DK$40,MATCH(ROW()-3,DL$4:DL$40,0)))</f>
        <v/>
      </c>
      <c r="DN21" s="139">
        <f>IF(AND($B$21:$R$21,$T$21:$AJ$21),IF('Final Calculation Sheet'!$Q$21="","",'Final Calculation Sheet'!$Q$21),"")</f>
        <v/>
      </c>
      <c r="DO21">
        <f>IF(DN21="","",COUNTIFS(DN$4:DN$40,"&lt;"&amp;DN21,DN$4:DN$40,"&lt;&gt;"&amp;"")+COUNTIF(DN$4:DN21,DN21))</f>
        <v/>
      </c>
      <c r="DP21" s="139">
        <f>IF(ROW()-3&gt;COUNTIF(DN$4:DN$40,"&lt;&gt;"&amp;""),"",INDEX(DN$4:DN$40,MATCH(ROW()-3,DO$4:DO$40,0)))</f>
        <v/>
      </c>
      <c r="DQ21">
        <f>DQ20+IF(AND(DP21&lt;&gt;"",COUNTIF(DP$4:DP21,DP21)=1),1,0)</f>
        <v/>
      </c>
      <c r="DR21" s="139">
        <f>IF(ROW()-3&gt;MAX(DQ$4:DQ$40),"",INDEX(DP$4:DP$40,MATCH(ROW()-3,DQ$4:DQ$40,0)))</f>
        <v/>
      </c>
      <c r="DS21" s="55">
        <f>IF(AND($B$21:$S$21,$U$21:$AJ$21),IF('Final Calculation Sheet'!$R$21="","",'Final Calculation Sheet'!$R$21),"")</f>
        <v/>
      </c>
      <c r="DT21">
        <f>IF(DS21="","",COUNTIFS(DS$4:DS$40,"&lt;"&amp;DS21,DS$4:DS$40,"&lt;&gt;"&amp;"")+COUNTIF(DS$4:DS21,DS21))</f>
        <v/>
      </c>
      <c r="DU21" s="55">
        <f>IF(ROW()-3&gt;COUNTIF(DS$4:DS$40,"&lt;&gt;"&amp;""),"",INDEX(DS$4:DS$40,MATCH(ROW()-3,DT$4:DT$40,0)))</f>
        <v/>
      </c>
      <c r="DV21">
        <f>DV20+IF(AND(DU21&lt;&gt;"",COUNTIF(DU$4:DU21,DU21)=1),1,0)</f>
        <v/>
      </c>
      <c r="DW21" s="55">
        <f>IF(ROW()-3&gt;MAX(DV$4:DV$40),"",INDEX(DU$4:DU$40,MATCH(ROW()-3,DV$4:DV$40,0)))</f>
        <v/>
      </c>
      <c r="DX21" s="55">
        <f>IF(AND($B$21:$T$21,$V$21:$AJ$21),IF('Final Calculation Sheet'!$S$21="","",'Final Calculation Sheet'!$S$21),"")</f>
        <v/>
      </c>
      <c r="DY21">
        <f>IF(DX21="","",COUNTIFS(DX$4:DX$40,"&lt;"&amp;DX21,DX$4:DX$40,"&lt;&gt;"&amp;"")+COUNTIF(DX$4:DX21,DX21))</f>
        <v/>
      </c>
      <c r="DZ21" s="55">
        <f>IF(ROW()-3&gt;COUNTIF(DX$4:DX$40,"&lt;&gt;"&amp;""),"",INDEX(DX$4:DX$40,MATCH(ROW()-3,DY$4:DY$40,0)))</f>
        <v/>
      </c>
      <c r="EA21">
        <f>EA20+IF(AND(DZ21&lt;&gt;"",COUNTIF(DZ$4:DZ21,DZ21)=1),1,0)</f>
        <v/>
      </c>
      <c r="EB21" s="55">
        <f>IF(ROW()-3&gt;MAX(EA$4:EA$40),"",INDEX(DZ$4:DZ$40,MATCH(ROW()-3,EA$4:EA$40,0)))</f>
        <v/>
      </c>
      <c r="EC21" s="55">
        <f>IF(AND($B$21:$U$21,$W$21:$AJ$21),IF('Final Calculation Sheet'!$T$21="","",'Final Calculation Sheet'!$T$21),"")</f>
        <v/>
      </c>
      <c r="ED21">
        <f>IF(EC21="","",COUNTIFS(EC$4:EC$40,"&lt;"&amp;EC21,EC$4:EC$40,"&lt;&gt;"&amp;"")+COUNTIF(EC$4:EC21,EC21))</f>
        <v/>
      </c>
      <c r="EE21" s="55">
        <f>IF(ROW()-3&gt;COUNTIF(EC$4:EC$40,"&lt;&gt;"&amp;""),"",INDEX(EC$4:EC$40,MATCH(ROW()-3,ED$4:ED$40,0)))</f>
        <v/>
      </c>
      <c r="EF21">
        <f>EF20+IF(AND(EE21&lt;&gt;"",COUNTIF(EE$4:EE21,EE21)=1),1,0)</f>
        <v/>
      </c>
      <c r="EG21" s="55">
        <f>IF(ROW()-3&gt;MAX(EF$4:EF$40),"",INDEX(EE$4:EE$40,MATCH(ROW()-3,EF$4:EF$40,0)))</f>
        <v/>
      </c>
      <c r="EH21" s="140">
        <f>IF(AND($B$21:$V$21,$X$21:$AJ$21),IF('Final Calculation Sheet'!$U$21="","",'Final Calculation Sheet'!$U$21),"")</f>
        <v/>
      </c>
      <c r="EI21">
        <f>IF(EH21="","",COUNTIFS(EH$4:EH$40,"&lt;"&amp;EH21,EH$4:EH$40,"&lt;&gt;"&amp;"")+COUNTIF(EH$4:EH21,EH21))</f>
        <v/>
      </c>
      <c r="EJ21" s="140">
        <f>IF(ROW()-3&gt;COUNTIF(EH$4:EH$40,"&lt;&gt;"&amp;""),"",INDEX(EH$4:EH$40,MATCH(ROW()-3,EI$4:EI$40,0)))</f>
        <v/>
      </c>
      <c r="EK21">
        <f>EK20+IF(AND(EJ21&lt;&gt;"",COUNTIF(EJ$4:EJ21,EJ21)=1),1,0)</f>
        <v/>
      </c>
      <c r="EL21" s="140">
        <f>IF(ROW()-3&gt;MAX(EK$4:EK$40),"",INDEX(EJ$4:EJ$40,MATCH(ROW()-3,EK$4:EK$40,0)))</f>
        <v/>
      </c>
      <c r="EM21">
        <f>IF(AND($B$21:$W$21,$Y$21:$AJ$21),IF('Final Calculation Sheet'!$V$21="","",'Final Calculation Sheet'!$V$21),"")</f>
        <v/>
      </c>
      <c r="EN21">
        <f>IF(EM21="","",COUNTIFS(EM$4:EM$40,"&lt;"&amp;EM21,EM$4:EM$40,"&lt;&gt;"&amp;"")+COUNTIF(EM$4:EM21,EM21))</f>
        <v/>
      </c>
      <c r="EO21">
        <f>IF(ROW()-3&gt;COUNTIF(EM$4:EM$40,"&lt;&gt;"&amp;""),"",INDEX(EM$4:EM$40,MATCH(ROW()-3,EN$4:EN$40,0)))</f>
        <v/>
      </c>
      <c r="EP21">
        <f>EP20+IF(AND(EO21&lt;&gt;"",COUNTIF(EO$4:EO21,EO21)=1),1,0)</f>
        <v/>
      </c>
      <c r="EQ21">
        <f>IF(ROW()-3&gt;MAX(EP$4:EP$40),"",INDEX(EO$4:EO$40,MATCH(ROW()-3,EP$4:EP$40,0)))</f>
        <v/>
      </c>
      <c r="ER21" s="55">
        <f>IF(AND($B$21:$X$21,$Z$21:$AJ$21),IF('Final Calculation Sheet'!$W$21="","",'Final Calculation Sheet'!$W$21),"")</f>
        <v/>
      </c>
      <c r="ES21">
        <f>IF(ER21="","",COUNTIFS(ER$4:ER$40,"&lt;"&amp;ER21,ER$4:ER$40,"&lt;&gt;"&amp;"")+COUNTIF(ER$4:ER21,ER21))</f>
        <v/>
      </c>
      <c r="ET21" s="55">
        <f>IF(ROW()-3&gt;COUNTIF(ER$4:ER$40,"&lt;&gt;"&amp;""),"",INDEX(ER$4:ER$40,MATCH(ROW()-3,ES$4:ES$40,0)))</f>
        <v/>
      </c>
      <c r="EU21">
        <f>EU20+IF(AND(ET21&lt;&gt;"",COUNTIF(ET$4:ET21,ET21)=1),1,0)</f>
        <v/>
      </c>
      <c r="EV21" s="55">
        <f>IF(ROW()-3&gt;MAX(EU$4:EU$40),"",INDEX(ET$4:ET$40,MATCH(ROW()-3,EU$4:EU$40,0)))</f>
        <v/>
      </c>
      <c r="EW21" s="55">
        <f>IF(AND($B$21:$Y$21,$AA$21:$AJ$21),IF('Final Calculation Sheet'!$X$21="","",'Final Calculation Sheet'!$X$21),"")</f>
        <v/>
      </c>
      <c r="EX21">
        <f>IF(EW21="","",COUNTIFS(EW$4:EW$40,"&lt;"&amp;EW21,EW$4:EW$40,"&lt;&gt;"&amp;"")+COUNTIF(EW$4:EW21,EW21))</f>
        <v/>
      </c>
      <c r="EY21" s="55">
        <f>IF(ROW()-3&gt;COUNTIF(EW$4:EW$40,"&lt;&gt;"&amp;""),"",INDEX(EW$4:EW$40,MATCH(ROW()-3,EX$4:EX$40,0)))</f>
        <v/>
      </c>
      <c r="EZ21">
        <f>EZ20+IF(AND(EY21&lt;&gt;"",COUNTIF(EY$4:EY21,EY21)=1),1,0)</f>
        <v/>
      </c>
      <c r="FA21">
        <f>IF(ROW()-3&gt;MAX(EZ$4:EZ$40),"",INDEX(EY$4:EY$40,MATCH(ROW()-3,EZ$4:EZ$40,0)))</f>
        <v/>
      </c>
      <c r="FB21">
        <f>IF(AND($B$21:$Z$21,$AB$21:$AJ$21),IF('Final Calculation Sheet'!$Y$21="","",'Final Calculation Sheet'!$Y$21),"")</f>
        <v/>
      </c>
      <c r="FC21">
        <f>IF(FB21="","",COUNTIFS(FB$4:FB$40,"&lt;"&amp;FB21,FB$4:FB$40,"&lt;&gt;"&amp;"")+COUNTIF(FB$4:FB21,FB21))</f>
        <v/>
      </c>
      <c r="FD21">
        <f>IF(ROW()-3&gt;COUNTIF(FB$4:FB$40,"&lt;&gt;"&amp;""),"",INDEX(FB$4:FB$40,MATCH(ROW()-3,FC$4:FC$40,0)))</f>
        <v/>
      </c>
      <c r="FE21">
        <f>FE20+IF(AND(FD21&lt;&gt;"",COUNTIF(FD$4:FD21,FD21)=1),1,0)</f>
        <v/>
      </c>
      <c r="FF21">
        <f>IF(ROW()-3&gt;MAX(FE$4:FE$40),"",INDEX(FD$4:FD$40,MATCH(ROW()-3,FE$4:FE$40,0)))</f>
        <v/>
      </c>
      <c r="FG21" s="55">
        <f>IF(AND($B$21:$AA$21,$AC$21:$AJ$21),IF('Final Calculation Sheet'!$Z$21="","",'Final Calculation Sheet'!$Z$21),"")</f>
        <v/>
      </c>
      <c r="FH21">
        <f>IF(FG21="","",COUNTIFS(FG$4:FG$40,"&lt;"&amp;FG21,FG$4:FG$40,"&lt;&gt;"&amp;"")+COUNTIF(FG$4:FG21,FG21))</f>
        <v/>
      </c>
      <c r="FI21" s="55">
        <f>IF(ROW()-3&gt;COUNTIF(FG$4:FG$40,"&lt;&gt;"&amp;""),"",INDEX(FG$4:FG$40,MATCH(ROW()-3,FH$4:FH$40,0)))</f>
        <v/>
      </c>
      <c r="FJ21">
        <f>FJ20+IF(AND(FI21&lt;&gt;"",COUNTIF(FI$4:FI21,FI21)=1),1,0)</f>
        <v/>
      </c>
      <c r="FK21" s="55">
        <f>IF(ROW()-3&gt;MAX(FJ$4:FJ$40),"",INDEX(FI$4:FI$40,MATCH(ROW()-3,FJ$4:FJ$40,0)))</f>
        <v/>
      </c>
      <c r="FL21">
        <f>IF(AND($B$21:$AB$21,$AD$21:$AJ$21),IF('Final Calculation Sheet'!$AA$21="","",'Final Calculation Sheet'!$AA$21),"")</f>
        <v/>
      </c>
      <c r="FM21">
        <f>IF(FL21="","",COUNTIFS(FL$4:FL$40,"&lt;"&amp;FL21,FL$4:FL$40,"&lt;&gt;"&amp;"")+COUNTIF(FL$4:FL21,FL21))</f>
        <v/>
      </c>
      <c r="FN21">
        <f>IF(ROW()-3&gt;COUNTIF(FL$4:FL$40,"&lt;&gt;"&amp;""),"",INDEX(FL$4:FL$40,MATCH(ROW()-3,FM$4:FM$40,0)))</f>
        <v/>
      </c>
      <c r="FO21">
        <f>FO20+IF(AND(FN21&lt;&gt;"",COUNTIF(FN$4:FN21,FN21)=1),1,0)</f>
        <v/>
      </c>
      <c r="FP21">
        <f>IF(ROW()-3&gt;MAX(FO$4:FO$40),"",INDEX(FN$4:FN$40,MATCH(ROW()-3,FO$4:FO$40,0)))</f>
        <v/>
      </c>
      <c r="FQ21">
        <f>IF(AND($B$21:$AC$21,$AE$21:$AJ$21),IF('Final Calculation Sheet'!$AB$21="","",'Final Calculation Sheet'!$AB$21),"")</f>
        <v/>
      </c>
      <c r="FR21">
        <f>IF(FQ21="","",COUNTIFS(FQ$4:FQ$40,"&lt;"&amp;FQ21,FQ$4:FQ$40,"&lt;&gt;"&amp;"")+COUNTIF(FQ$4:FQ21,FQ21))</f>
        <v/>
      </c>
      <c r="FS21">
        <f>IF(ROW()-3&gt;COUNTIF(FQ$4:FQ$40,"&lt;&gt;"&amp;""),"",INDEX(FQ$4:FQ$40,MATCH(ROW()-3,FR$4:FR$40,0)))</f>
        <v/>
      </c>
      <c r="FT21">
        <f>FT20+IF(AND(FS21&lt;&gt;"",COUNTIF(FS$4:FS21,FS21)=1),1,0)</f>
        <v/>
      </c>
      <c r="FU21">
        <f>IF(ROW()-3&gt;MAX(FT$4:FT$40),"",INDEX(FS$4:FS$40,MATCH(ROW()-3,FT$4:FT$40,0)))</f>
        <v/>
      </c>
      <c r="FV21" s="55">
        <f>IF(AND($B$21:$AD$21,$AF$21:$AJ$21),IF('Final Calculation Sheet'!$AC$21="","",'Final Calculation Sheet'!$AC$21),"")</f>
        <v/>
      </c>
      <c r="FW21">
        <f>IF(FV21="","",COUNTIFS(FV$4:FV$40,"&lt;"&amp;FV21,FV$4:FV$40,"&lt;&gt;"&amp;"")+COUNTIF(FV$4:FV21,FV21))</f>
        <v/>
      </c>
      <c r="FX21" s="55">
        <f>IF(ROW()-3&gt;COUNTIF(FV$4:FV$40,"&lt;&gt;"&amp;""),"",INDEX(FV$4:FV$40,MATCH(ROW()-3,FW$4:FW$40,0)))</f>
        <v/>
      </c>
      <c r="FY21">
        <f>FY20+IF(AND(FX21&lt;&gt;"",COUNTIF(FX$4:FX21,FX21)=1),1,0)</f>
        <v/>
      </c>
      <c r="FZ21" s="55">
        <f>IF(ROW()-3&gt;MAX(FY$4:FY$40),"",INDEX(FX$4:FX$40,MATCH(ROW()-3,FY$4:FY$40,0)))</f>
        <v/>
      </c>
      <c r="GA21" s="55">
        <f>IF(AND($B$21:$AE$21,$AG$21:$AJ$21),IF('Final Calculation Sheet'!$AD$21="","",'Final Calculation Sheet'!$AD$21),"")</f>
        <v/>
      </c>
      <c r="GB21">
        <f>IF(GA21="","",COUNTIFS(GA$4:GA$40,"&lt;"&amp;GA21,GA$4:GA$40,"&lt;&gt;"&amp;"")+COUNTIF(GA$4:GA21,GA21))</f>
        <v/>
      </c>
      <c r="GC21" s="55">
        <f>IF(ROW()-3&gt;COUNTIF(GA$4:GA$40,"&lt;&gt;"&amp;""),"",INDEX(GA$4:GA$40,MATCH(ROW()-3,GB$4:GB$40,0)))</f>
        <v/>
      </c>
      <c r="GD21">
        <f>GD20+IF(AND(GC21&lt;&gt;"",COUNTIF(GC$4:GC21,GC21)=1),1,0)</f>
        <v/>
      </c>
      <c r="GE21" s="55">
        <f>IF(ROW()-3&gt;MAX(GD$4:GD$40),"",INDEX(GC$4:GC$40,MATCH(ROW()-3,GD$4:GD$40,0)))</f>
        <v/>
      </c>
      <c r="GF21">
        <f>IF(AND($B$21:$AF$21,$AH$21:$AJ$21),IF('Final Calculation Sheet'!$AE$21="","",'Final Calculation Sheet'!$AE$21),"")</f>
        <v/>
      </c>
      <c r="GG21">
        <f>IF(GF21="","",COUNTIFS(GF$4:GF$40,"&lt;"&amp;GF21,GF$4:GF$40,"&lt;&gt;"&amp;"")+COUNTIF(GF$4:GF21,GF21))</f>
        <v/>
      </c>
      <c r="GH21">
        <f>IF(ROW()-3&gt;COUNTIF(GF$4:GF$40,"&lt;&gt;"&amp;""),"",INDEX(GF$4:GF$40,MATCH(ROW()-3,GG$4:GG$40,0)))</f>
        <v/>
      </c>
      <c r="GI21">
        <f>GI20+IF(AND(GH21&lt;&gt;"",COUNTIF(GH$4:GH21,GH21)=1),1,0)</f>
        <v/>
      </c>
      <c r="GJ21">
        <f>IF(ROW()-3&gt;MAX(GI$4:GI$40),"",INDEX(GH$4:GH$40,MATCH(ROW()-3,GI$4:GI$40,0)))</f>
        <v/>
      </c>
      <c r="GK21" s="141">
        <f>IF(AND($B$21:$AG$21,$AI$21:$AJ$21),IF('Final Calculation Sheet'!$AF$21="","",'Final Calculation Sheet'!$AF$21),"")</f>
        <v/>
      </c>
      <c r="GL21">
        <f>IF(GK21="","",COUNTIFS(GK$4:GK$40,"&lt;"&amp;GK21,GK$4:GK$40,"&lt;&gt;"&amp;"")+COUNTIF(GK$4:GK21,GK21))</f>
        <v/>
      </c>
      <c r="GM21" s="141">
        <f>IF(ROW()-3&gt;COUNTIF(GK$4:GK$40,"&lt;&gt;"&amp;""),"",INDEX(GK$4:GK$40,MATCH(ROW()-3,GL$4:GL$40,0)))</f>
        <v/>
      </c>
      <c r="GN21">
        <f>GN20+IF(AND(GM21&lt;&gt;"",COUNTIF(GM$4:GM21,GM21)=1),1,0)</f>
        <v/>
      </c>
      <c r="GO21">
        <f>IF(ROW()-3&gt;MAX(GN$4:GN$40),"",INDEX(GM$4:GM$40,MATCH(ROW()-3,GN$4:GN$40,0)))</f>
        <v/>
      </c>
      <c r="GP21">
        <f>IF(AND($B$21:$AH$21,$AJ$21:$AJ$21),IF('Final Calculation Sheet'!$AG$21="","",'Final Calculation Sheet'!$AG$21),"")</f>
        <v/>
      </c>
      <c r="GQ21">
        <f>IF(GP21="","",COUNTIFS(GP$4:GP$40,"&lt;"&amp;GP21,GP$4:GP$40,"&lt;&gt;"&amp;"")+COUNTIF(GP$4:GP21,GP21))</f>
        <v/>
      </c>
      <c r="GR21">
        <f>IF(ROW()-3&gt;COUNTIF(GP$4:GP$40,"&lt;&gt;"&amp;""),"",INDEX(GP$4:GP$40,MATCH(ROW()-3,GQ$4:GQ$40,0)))</f>
        <v/>
      </c>
      <c r="GS21">
        <f>GS20+IF(AND(GR21&lt;&gt;"",COUNTIF(GR$4:GR21,GR21)=1),1,0)</f>
        <v/>
      </c>
      <c r="GT21">
        <f>IF(ROW()-3&gt;MAX(GS$4:GS$40),"",INDEX(GR$4:GR$40,MATCH(ROW()-3,GS$4:GS$40,0)))</f>
        <v/>
      </c>
    </row>
    <row r="22">
      <c r="A22" t="inlineStr">
        <is>
          <t>Final row 22</t>
        </is>
      </c>
      <c r="B22" t="b">
        <v>1</v>
      </c>
      <c r="C22">
        <f>IF($C$3=FALSE,TRUE,IF(OR(UPPER(TRIM($C$2))="(BLANK)",UPPER(TRIM($C$2))="BLANK",AND($C$2&lt;&gt;"",TRIM($C$2)="")),(IF('Final Calculation Sheet'!$F$22="","",'Final Calculation Sheet'!$F$22))="",IF(OR(UPPER(TRIM($C$2))="(NONBLANK)",UPPER(TRIM($C$2))="NONBLANK",TRIM($C$2)="&lt;&gt;"),(IF('Final Calculation Sheet'!$F$22="","",'Final Calculation Sheet'!$F$22))&lt;&gt;"",UPPER(TRIM((IF('Final Calculation Sheet'!$F$22="","",'Final Calculation Sheet'!$F$22))&amp;""))=UPPER(TRIM($C$2&amp;"")))))</f>
        <v/>
      </c>
      <c r="D22">
        <f>IF($D$3=FALSE,TRUE,IF(OR(UPPER(TRIM($D$2))="(BLANK)",UPPER(TRIM($D$2))="BLANK",AND($D$2&lt;&gt;"",TRIM($D$2)="")),(IF('Final Calculation Sheet'!$G$22="","",'Final Calculation Sheet'!$G$22))="",IF(OR(UPPER(TRIM($D$2))="(NONBLANK)",UPPER(TRIM($D$2))="NONBLANK",TRIM($D$2)="&lt;&gt;"),(IF('Final Calculation Sheet'!$G$22="","",'Final Calculation Sheet'!$G$22))&lt;&gt;"",UPPER(TRIM((IF('Final Calculation Sheet'!$G$22="","",'Final Calculation Sheet'!$G$22))&amp;""))=UPPER(TRIM($D$2&amp;"")))))</f>
        <v/>
      </c>
      <c r="E22">
        <f>IF($E$3=FALSE,TRUE,IF(OR(UPPER(TRIM($E$2))="(BLANK)",UPPER(TRIM($E$2))="BLANK",AND($E$2&lt;&gt;"",TRIM($E$2)="")),(IF('Final Calculation Sheet'!$B$22="","",'Final Calculation Sheet'!$B$22))="",IF(OR(UPPER(TRIM($E$2))="(NONBLANK)",UPPER(TRIM($E$2))="NONBLANK",TRIM($E$2)="&lt;&gt;"),(IF('Final Calculation Sheet'!$B$22="","",'Final Calculation Sheet'!$B$22))&lt;&gt;"",UPPER(TRIM((IF('Final Calculation Sheet'!$B$22="","",'Final Calculation Sheet'!$B$22))&amp;""))=UPPER(TRIM($E$2&amp;"")))))</f>
        <v/>
      </c>
      <c r="F22">
        <f>IF($F$3=FALSE,TRUE,IF(OR(UPPER(TRIM($F$2))="(BLANK)",UPPER(TRIM($F$2))="BLANK",AND($F$2&lt;&gt;"",TRIM($F$2)="")),(IF('Final Calculation Sheet'!$D$22="","",'Final Calculation Sheet'!$D$22))="",IF(OR(UPPER(TRIM($F$2))="(NONBLANK)",UPPER(TRIM($F$2))="NONBLANK",TRIM($F$2)="&lt;&gt;"),(IF('Final Calculation Sheet'!$D$22="","",'Final Calculation Sheet'!$D$22))&lt;&gt;"",UPPER(TRIM((IF('Final Calculation Sheet'!$D$22="","",'Final Calculation Sheet'!$D$22))&amp;""))=UPPER(TRIM($F$2&amp;"")))))</f>
        <v/>
      </c>
      <c r="G22">
        <f>IF($G$3=FALSE,TRUE,IF(OR(UPPER(TRIM($G$2))="(BLANK)",UPPER(TRIM($G$2))="BLANK",AND($G$2&lt;&gt;"",TRIM($G$2)="")),(IF('Final Calculation Sheet'!$A$22="","",'Final Calculation Sheet'!$A$22))="",IF(OR(UPPER(TRIM($G$2))="(NONBLANK)",UPPER(TRIM($G$2))="NONBLANK",TRIM($G$2)="&lt;&gt;"),(IF('Final Calculation Sheet'!$A$22="","",'Final Calculation Sheet'!$A$22))&lt;&gt;"",UPPER(TRIM((IF('Final Calculation Sheet'!$A$22="","",'Final Calculation Sheet'!$A$22))&amp;""))=UPPER(TRIM($G$2&amp;"")))))</f>
        <v/>
      </c>
      <c r="H22">
        <f>IF($H$3=FALSE,TRUE,IF(OR(UPPER(TRIM($H$2))="(BLANK)",UPPER(TRIM($H$2))="BLANK",AND($H$2&lt;&gt;"",TRIM($H$2)="")),(IF('Final Calculation Sheet'!$E$22="","",'Final Calculation Sheet'!$E$22))="",IF(OR(UPPER(TRIM($H$2))="(NONBLANK)",UPPER(TRIM($H$2))="NONBLANK",TRIM($H$2)="&lt;&gt;"),(IF('Final Calculation Sheet'!$E$22="","",'Final Calculation Sheet'!$E$22))&lt;&gt;"",UPPER(TRIM((IF('Final Calculation Sheet'!$E$22="","",'Final Calculation Sheet'!$E$22))&amp;""))=UPPER(TRIM($H$2&amp;"")))))</f>
        <v/>
      </c>
      <c r="I22">
        <f>IF($I$3=FALSE,TRUE,IF(OR(UPPER(TRIM($I$2))="(BLANK)",UPPER(TRIM($I$2))="BLANK",AND($I$2&lt;&gt;"",TRIM($I$2)="")),(IF('Final Calculation Sheet'!$C$22="","",'Final Calculation Sheet'!$C$22))="",IF(OR(UPPER(TRIM($I$2))="(NONBLANK)",UPPER(TRIM($I$2))="NONBLANK",TRIM($I$2)="&lt;&gt;"),(IF('Final Calculation Sheet'!$C$22="","",'Final Calculation Sheet'!$C$22))&lt;&gt;"",UPPER(TRIM((IF('Final Calculation Sheet'!$C$22="","",'Final Calculation Sheet'!$C$22))&amp;""))=UPPER(TRIM($I$2&amp;"")))))</f>
        <v/>
      </c>
      <c r="J22">
        <f>IF($J$3=FALSE,TRUE,IF(OR(UPPER(TRIM($J$2))="(BLANK)",UPPER(TRIM($J$2))="BLANK",AND($J$2&lt;&gt;"",TRIM($J$2)="")),(IF('Final Calculation Sheet'!$H$22="","",'Final Calculation Sheet'!$H$22))="",IF(OR(UPPER(TRIM($J$2))="(NONBLANK)",UPPER(TRIM($J$2))="NONBLANK",TRIM($J$2)="&lt;&gt;"),(IF('Final Calculation Sheet'!$H$22="","",'Final Calculation Sheet'!$H$22))&lt;&gt;"",UPPER(TRIM((IF('Final Calculation Sheet'!$H$22="","",'Final Calculation Sheet'!$H$22))&amp;""))=UPPER(TRIM($J$2&amp;"")))))</f>
        <v/>
      </c>
      <c r="K22">
        <f>IF($K$3=FALSE,TRUE,IF(OR(UPPER(TRIM($K$2))="(BLANK)",UPPER(TRIM($K$2))="BLANK",AND($K$2&lt;&gt;"",TRIM($K$2)="")),(IF('Final Calculation Sheet'!$I$22="","",'Final Calculation Sheet'!$I$22))="",IF(OR(UPPER(TRIM($K$2))="(NONBLANK)",UPPER(TRIM($K$2))="NONBLANK",TRIM($K$2)="&lt;&gt;"),(IF('Final Calculation Sheet'!$I$22="","",'Final Calculation Sheet'!$I$22))&lt;&gt;"",UPPER(TRIM((IF('Final Calculation Sheet'!$I$22="","",'Final Calculation Sheet'!$I$22))&amp;""))=UPPER(TRIM($K$2&amp;"")))))</f>
        <v/>
      </c>
      <c r="L22">
        <f>IF($L$3=FALSE,TRUE,IF(OR(UPPER(TRIM($L$2))="(BLANK)",UPPER(TRIM($L$2))="BLANK",AND($L$2&lt;&gt;"",TRIM($L$2)="")),(IF('Final Calculation Sheet'!$J$22="","",'Final Calculation Sheet'!$J$22))="",IF(OR(UPPER(TRIM($L$2))="(NONBLANK)",UPPER(TRIM($L$2))="NONBLANK",TRIM($L$2)="&lt;&gt;"),(IF('Final Calculation Sheet'!$J$22="","",'Final Calculation Sheet'!$J$22))&lt;&gt;"",UPPER(TRIM((IF('Final Calculation Sheet'!$J$22="","",'Final Calculation Sheet'!$J$22))&amp;""))=UPPER(TRIM($L$2&amp;"")))))</f>
        <v/>
      </c>
      <c r="M22">
        <f>IF($M$3=FALSE,TRUE,IF(OR(UPPER(TRIM($M$2))="(BLANK)",UPPER(TRIM($M$2))="BLANK",AND($M$2&lt;&gt;"",TRIM($M$2)="")),(IF('Final Calculation Sheet'!$K$22="","",'Final Calculation Sheet'!$K$22))="",IF(OR(UPPER(TRIM($M$2))="(NONBLANK)",UPPER(TRIM($M$2))="NONBLANK",TRIM($M$2)="&lt;&gt;"),(IF('Final Calculation Sheet'!$K$22="","",'Final Calculation Sheet'!$K$22))&lt;&gt;"",UPPER(TRIM((IF('Final Calculation Sheet'!$K$22="","",'Final Calculation Sheet'!$K$22))&amp;""))=UPPER(TRIM($M$2&amp;"")))))</f>
        <v/>
      </c>
      <c r="N22">
        <f>IF($N$3=FALSE,TRUE,IF(OR(UPPER(TRIM($N$2))="(BLANK)",UPPER(TRIM($N$2))="BLANK",AND($N$2&lt;&gt;"",TRIM($N$2)="")),(IF('Final Calculation Sheet'!$L$22="","",'Final Calculation Sheet'!$L$22))="",IF(OR(UPPER(TRIM($N$2))="(NONBLANK)",UPPER(TRIM($N$2))="NONBLANK",TRIM($N$2)="&lt;&gt;"),(IF('Final Calculation Sheet'!$L$22="","",'Final Calculation Sheet'!$L$22))&lt;&gt;"",UPPER(TRIM((IF('Final Calculation Sheet'!$L$22="","",'Final Calculation Sheet'!$L$22))&amp;""))=UPPER(TRIM($N$2&amp;"")))))</f>
        <v/>
      </c>
      <c r="O22">
        <f>IF($O$3=FALSE,TRUE,IF(OR(UPPER(TRIM($O$2))="(BLANK)",UPPER(TRIM($O$2))="BLANK",AND($O$2&lt;&gt;"",TRIM($O$2)="")),(IF('Final Calculation Sheet'!$M$22="","",'Final Calculation Sheet'!$M$22))="",IF(OR(UPPER(TRIM($O$2))="(NONBLANK)",UPPER(TRIM($O$2))="NONBLANK",TRIM($O$2)="&lt;&gt;"),(IF('Final Calculation Sheet'!$M$22="","",'Final Calculation Sheet'!$M$22))&lt;&gt;"",UPPER(TRIM((IF('Final Calculation Sheet'!$M$22="","",'Final Calculation Sheet'!$M$22))&amp;""))=UPPER(TRIM($O$2&amp;"")))))</f>
        <v/>
      </c>
      <c r="P22">
        <f>IF($P$3=FALSE,TRUE,IF(OR(UPPER(TRIM($P$2))="(BLANK)",UPPER(TRIM($P$2))="BLANK",AND($P$2&lt;&gt;"",TRIM($P$2)="")),(IF('Final Calculation Sheet'!$N$22="","",'Final Calculation Sheet'!$N$22))="",IF(OR(UPPER(TRIM($P$2))="(NONBLANK)",UPPER(TRIM($P$2))="NONBLANK",TRIM($P$2)="&lt;&gt;"),(IF('Final Calculation Sheet'!$N$22="","",'Final Calculation Sheet'!$N$22))&lt;&gt;"",UPPER(TRIM((IF('Final Calculation Sheet'!$N$22="","",'Final Calculation Sheet'!$N$22))&amp;""))=UPPER(TRIM($P$2&amp;"")))))</f>
        <v/>
      </c>
      <c r="Q22">
        <f>IF($Q$3=FALSE,TRUE,IF(OR(UPPER(TRIM($Q$2))="(BLANK)",UPPER(TRIM($Q$2))="BLANK",AND($Q$2&lt;&gt;"",TRIM($Q$2)="")),(IF('Final Calculation Sheet'!$O$22="","",'Final Calculation Sheet'!$O$22))="",IF(OR(UPPER(TRIM($Q$2))="(NONBLANK)",UPPER(TRIM($Q$2))="NONBLANK",TRIM($Q$2)="&lt;&gt;"),(IF('Final Calculation Sheet'!$O$22="","",'Final Calculation Sheet'!$O$22))&lt;&gt;"",UPPER(TRIM((IF('Final Calculation Sheet'!$O$22="","",'Final Calculation Sheet'!$O$22))&amp;""))=UPPER(TRIM($Q$2&amp;"")))))</f>
        <v/>
      </c>
      <c r="R22">
        <f>IF($R$3=FALSE,TRUE,IF(OR(UPPER(TRIM($R$2))="(BLANK)",UPPER(TRIM($R$2))="BLANK",AND($R$2&lt;&gt;"",TRIM($R$2)="")),(IF('Final Calculation Sheet'!$P$22="","",'Final Calculation Sheet'!$P$22))="",IF(OR(UPPER(TRIM($R$2))="(NONBLANK)",UPPER(TRIM($R$2))="NONBLANK",TRIM($R$2)="&lt;&gt;"),(IF('Final Calculation Sheet'!$P$22="","",'Final Calculation Sheet'!$P$22))&lt;&gt;"",UPPER(TRIM((IF('Final Calculation Sheet'!$P$22="","",'Final Calculation Sheet'!$P$22))&amp;""))=UPPER(TRIM($R$2&amp;"")))))</f>
        <v/>
      </c>
      <c r="S22">
        <f>IF($S$3=FALSE,TRUE,IF(OR(UPPER(TRIM($S$2))="(BLANK)",UPPER(TRIM($S$2))="BLANK",AND($S$2&lt;&gt;"",TRIM($S$2)="")),(IF('Final Calculation Sheet'!$Q$22="","",'Final Calculation Sheet'!$Q$22))="",IF(OR(UPPER(TRIM($S$2))="(NONBLANK)",UPPER(TRIM($S$2))="NONBLANK",TRIM($S$2)="&lt;&gt;"),(IF('Final Calculation Sheet'!$Q$22="","",'Final Calculation Sheet'!$Q$22))&lt;&gt;"",UPPER(TRIM((IF('Final Calculation Sheet'!$Q$22="","",'Final Calculation Sheet'!$Q$22))&amp;""))=UPPER(TRIM($S$2&amp;"")))))</f>
        <v/>
      </c>
      <c r="T22">
        <f>IF($T$3=FALSE,TRUE,IF(OR(UPPER(TRIM($T$2))="(BLANK)",UPPER(TRIM($T$2))="BLANK",AND($T$2&lt;&gt;"",TRIM($T$2)="")),(IF('Final Calculation Sheet'!$R$22="","",'Final Calculation Sheet'!$R$22))="",IF(OR(UPPER(TRIM($T$2))="(NONBLANK)",UPPER(TRIM($T$2))="NONBLANK",TRIM($T$2)="&lt;&gt;"),(IF('Final Calculation Sheet'!$R$22="","",'Final Calculation Sheet'!$R$22))&lt;&gt;"",UPPER(TRIM((IF('Final Calculation Sheet'!$R$22="","",'Final Calculation Sheet'!$R$22))&amp;""))=UPPER(TRIM($T$2&amp;"")))))</f>
        <v/>
      </c>
      <c r="U22">
        <f>IF($U$3=FALSE,TRUE,IF(OR(UPPER(TRIM($U$2))="(BLANK)",UPPER(TRIM($U$2))="BLANK",AND($U$2&lt;&gt;"",TRIM($U$2)="")),(IF('Final Calculation Sheet'!$S$22="","",'Final Calculation Sheet'!$S$22))="",IF(OR(UPPER(TRIM($U$2))="(NONBLANK)",UPPER(TRIM($U$2))="NONBLANK",TRIM($U$2)="&lt;&gt;"),(IF('Final Calculation Sheet'!$S$22="","",'Final Calculation Sheet'!$S$22))&lt;&gt;"",UPPER(TRIM((IF('Final Calculation Sheet'!$S$22="","",'Final Calculation Sheet'!$S$22))&amp;""))=UPPER(TRIM($U$2&amp;"")))))</f>
        <v/>
      </c>
      <c r="V22">
        <f>IF($V$3=FALSE,TRUE,IF(OR(UPPER(TRIM($V$2))="(BLANK)",UPPER(TRIM($V$2))="BLANK",AND($V$2&lt;&gt;"",TRIM($V$2)="")),(IF('Final Calculation Sheet'!$T$22="","",'Final Calculation Sheet'!$T$22))="",IF(OR(UPPER(TRIM($V$2))="(NONBLANK)",UPPER(TRIM($V$2))="NONBLANK",TRIM($V$2)="&lt;&gt;"),(IF('Final Calculation Sheet'!$T$22="","",'Final Calculation Sheet'!$T$22))&lt;&gt;"",UPPER(TRIM((IF('Final Calculation Sheet'!$T$22="","",'Final Calculation Sheet'!$T$22))&amp;""))=UPPER(TRIM($V$2&amp;"")))))</f>
        <v/>
      </c>
      <c r="W22">
        <f>IF($W$3=FALSE,TRUE,IF(OR(UPPER(TRIM($W$2))="(BLANK)",UPPER(TRIM($W$2))="BLANK",AND($W$2&lt;&gt;"",TRIM($W$2)="")),(IF('Final Calculation Sheet'!$U$22="","",'Final Calculation Sheet'!$U$22))="",IF(OR(UPPER(TRIM($W$2))="(NONBLANK)",UPPER(TRIM($W$2))="NONBLANK",TRIM($W$2)="&lt;&gt;"),(IF('Final Calculation Sheet'!$U$22="","",'Final Calculation Sheet'!$U$22))&lt;&gt;"",UPPER(TRIM((IF('Final Calculation Sheet'!$U$22="","",'Final Calculation Sheet'!$U$22))&amp;""))=UPPER(TRIM($W$2&amp;"")))))</f>
        <v/>
      </c>
      <c r="X22">
        <f>IF($X$3=FALSE,TRUE,IF(OR(UPPER(TRIM($X$2))="(BLANK)",UPPER(TRIM($X$2))="BLANK",AND($X$2&lt;&gt;"",TRIM($X$2)="")),(IF('Final Calculation Sheet'!$V$22="","",'Final Calculation Sheet'!$V$22))="",IF(OR(UPPER(TRIM($X$2))="(NONBLANK)",UPPER(TRIM($X$2))="NONBLANK",TRIM($X$2)="&lt;&gt;"),(IF('Final Calculation Sheet'!$V$22="","",'Final Calculation Sheet'!$V$22))&lt;&gt;"",UPPER(TRIM((IF('Final Calculation Sheet'!$V$22="","",'Final Calculation Sheet'!$V$22))&amp;""))=UPPER(TRIM($X$2&amp;"")))))</f>
        <v/>
      </c>
      <c r="Y22">
        <f>IF($Y$3=FALSE,TRUE,IF(OR(UPPER(TRIM($Y$2))="(BLANK)",UPPER(TRIM($Y$2))="BLANK",AND($Y$2&lt;&gt;"",TRIM($Y$2)="")),(IF('Final Calculation Sheet'!$W$22="","",'Final Calculation Sheet'!$W$22))="",IF(OR(UPPER(TRIM($Y$2))="(NONBLANK)",UPPER(TRIM($Y$2))="NONBLANK",TRIM($Y$2)="&lt;&gt;"),(IF('Final Calculation Sheet'!$W$22="","",'Final Calculation Sheet'!$W$22))&lt;&gt;"",UPPER(TRIM((IF('Final Calculation Sheet'!$W$22="","",'Final Calculation Sheet'!$W$22))&amp;""))=UPPER(TRIM($Y$2&amp;"")))))</f>
        <v/>
      </c>
      <c r="Z22">
        <f>IF($Z$3=FALSE,TRUE,IF(OR(UPPER(TRIM($Z$2))="(BLANK)",UPPER(TRIM($Z$2))="BLANK",AND($Z$2&lt;&gt;"",TRIM($Z$2)="")),(IF('Final Calculation Sheet'!$X$22="","",'Final Calculation Sheet'!$X$22))="",IF(OR(UPPER(TRIM($Z$2))="(NONBLANK)",UPPER(TRIM($Z$2))="NONBLANK",TRIM($Z$2)="&lt;&gt;"),(IF('Final Calculation Sheet'!$X$22="","",'Final Calculation Sheet'!$X$22))&lt;&gt;"",UPPER(TRIM((IF('Final Calculation Sheet'!$X$22="","",'Final Calculation Sheet'!$X$22))&amp;""))=UPPER(TRIM($Z$2&amp;"")))))</f>
        <v/>
      </c>
      <c r="AA22">
        <f>IF($AA$3=FALSE,TRUE,IF(OR(UPPER(TRIM($AA$2))="(BLANK)",UPPER(TRIM($AA$2))="BLANK",AND($AA$2&lt;&gt;"",TRIM($AA$2)="")),(IF('Final Calculation Sheet'!$Y$22="","",'Final Calculation Sheet'!$Y$22))="",IF(OR(UPPER(TRIM($AA$2))="(NONBLANK)",UPPER(TRIM($AA$2))="NONBLANK",TRIM($AA$2)="&lt;&gt;"),(IF('Final Calculation Sheet'!$Y$22="","",'Final Calculation Sheet'!$Y$22))&lt;&gt;"",UPPER(TRIM((IF('Final Calculation Sheet'!$Y$22="","",'Final Calculation Sheet'!$Y$22))&amp;""))=UPPER(TRIM($AA$2&amp;"")))))</f>
        <v/>
      </c>
      <c r="AB22">
        <f>IF($AB$3=FALSE,TRUE,IF(OR(UPPER(TRIM($AB$2))="(BLANK)",UPPER(TRIM($AB$2))="BLANK",AND($AB$2&lt;&gt;"",TRIM($AB$2)="")),(IF('Final Calculation Sheet'!$Z$22="","",'Final Calculation Sheet'!$Z$22))="",IF(OR(UPPER(TRIM($AB$2))="(NONBLANK)",UPPER(TRIM($AB$2))="NONBLANK",TRIM($AB$2)="&lt;&gt;"),(IF('Final Calculation Sheet'!$Z$22="","",'Final Calculation Sheet'!$Z$22))&lt;&gt;"",UPPER(TRIM((IF('Final Calculation Sheet'!$Z$22="","",'Final Calculation Sheet'!$Z$22))&amp;""))=UPPER(TRIM($AB$2&amp;"")))))</f>
        <v/>
      </c>
      <c r="AC22">
        <f>IF($AC$3=FALSE,TRUE,IF(OR(UPPER(TRIM($AC$2))="(BLANK)",UPPER(TRIM($AC$2))="BLANK",AND($AC$2&lt;&gt;"",TRIM($AC$2)="")),(IF('Final Calculation Sheet'!$AA$22="","",'Final Calculation Sheet'!$AA$22))="",IF(OR(UPPER(TRIM($AC$2))="(NONBLANK)",UPPER(TRIM($AC$2))="NONBLANK",TRIM($AC$2)="&lt;&gt;"),(IF('Final Calculation Sheet'!$AA$22="","",'Final Calculation Sheet'!$AA$22))&lt;&gt;"",UPPER(TRIM((IF('Final Calculation Sheet'!$AA$22="","",'Final Calculation Sheet'!$AA$22))&amp;""))=UPPER(TRIM($AC$2&amp;"")))))</f>
        <v/>
      </c>
      <c r="AD22">
        <f>IF($AD$3=FALSE,TRUE,IF(OR(UPPER(TRIM($AD$2))="(BLANK)",UPPER(TRIM($AD$2))="BLANK",AND($AD$2&lt;&gt;"",TRIM($AD$2)="")),(IF('Final Calculation Sheet'!$AB$22="","",'Final Calculation Sheet'!$AB$22))="",IF(OR(UPPER(TRIM($AD$2))="(NONBLANK)",UPPER(TRIM($AD$2))="NONBLANK",TRIM($AD$2)="&lt;&gt;"),(IF('Final Calculation Sheet'!$AB$22="","",'Final Calculation Sheet'!$AB$22))&lt;&gt;"",UPPER(TRIM((IF('Final Calculation Sheet'!$AB$22="","",'Final Calculation Sheet'!$AB$22))&amp;""))=UPPER(TRIM($AD$2&amp;"")))))</f>
        <v/>
      </c>
      <c r="AE22">
        <f>IF($AE$3=FALSE,TRUE,IF(OR(UPPER(TRIM($AE$2))="(BLANK)",UPPER(TRIM($AE$2))="BLANK",AND($AE$2&lt;&gt;"",TRIM($AE$2)="")),(IF('Final Calculation Sheet'!$AC$22="","",'Final Calculation Sheet'!$AC$22))="",IF(OR(UPPER(TRIM($AE$2))="(NONBLANK)",UPPER(TRIM($AE$2))="NONBLANK",TRIM($AE$2)="&lt;&gt;"),(IF('Final Calculation Sheet'!$AC$22="","",'Final Calculation Sheet'!$AC$22))&lt;&gt;"",UPPER(TRIM((IF('Final Calculation Sheet'!$AC$22="","",'Final Calculation Sheet'!$AC$22))&amp;""))=UPPER(TRIM($AE$2&amp;"")))))</f>
        <v/>
      </c>
      <c r="AF22">
        <f>IF($AF$3=FALSE,TRUE,IF(OR(UPPER(TRIM($AF$2))="(BLANK)",UPPER(TRIM($AF$2))="BLANK",AND($AF$2&lt;&gt;"",TRIM($AF$2)="")),(IF('Final Calculation Sheet'!$AD$22="","",'Final Calculation Sheet'!$AD$22))="",IF(OR(UPPER(TRIM($AF$2))="(NONBLANK)",UPPER(TRIM($AF$2))="NONBLANK",TRIM($AF$2)="&lt;&gt;"),(IF('Final Calculation Sheet'!$AD$22="","",'Final Calculation Sheet'!$AD$22))&lt;&gt;"",UPPER(TRIM((IF('Final Calculation Sheet'!$AD$22="","",'Final Calculation Sheet'!$AD$22))&amp;""))=UPPER(TRIM($AF$2&amp;"")))))</f>
        <v/>
      </c>
      <c r="AG22">
        <f>IF($AG$3=FALSE,TRUE,IF(OR(UPPER(TRIM($AG$2))="(BLANK)",UPPER(TRIM($AG$2))="BLANK",AND($AG$2&lt;&gt;"",TRIM($AG$2)="")),(IF('Final Calculation Sheet'!$AE$22="","",'Final Calculation Sheet'!$AE$22))="",IF(OR(UPPER(TRIM($AG$2))="(NONBLANK)",UPPER(TRIM($AG$2))="NONBLANK",TRIM($AG$2)="&lt;&gt;"),(IF('Final Calculation Sheet'!$AE$22="","",'Final Calculation Sheet'!$AE$22))&lt;&gt;"",UPPER(TRIM((IF('Final Calculation Sheet'!$AE$22="","",'Final Calculation Sheet'!$AE$22))&amp;""))=UPPER(TRIM($AG$2&amp;"")))))</f>
        <v/>
      </c>
      <c r="AH22">
        <f>IF($AH$3=FALSE,TRUE,IF(OR(UPPER(TRIM($AH$2))="(BLANK)",UPPER(TRIM($AH$2))="BLANK",AND($AH$2&lt;&gt;"",TRIM($AH$2)="")),(IF('Final Calculation Sheet'!$AF$22="","",'Final Calculation Sheet'!$AF$22))="",IF(OR(UPPER(TRIM($AH$2))="(NONBLANK)",UPPER(TRIM($AH$2))="NONBLANK",TRIM($AH$2)="&lt;&gt;"),(IF('Final Calculation Sheet'!$AF$22="","",'Final Calculation Sheet'!$AF$22))&lt;&gt;"",UPPER(TRIM((IF('Final Calculation Sheet'!$AF$22="","",'Final Calculation Sheet'!$AF$22))&amp;""))=UPPER(TRIM($AH$2&amp;"")))))</f>
        <v/>
      </c>
      <c r="AI22">
        <f>IF($AI$3=FALSE,TRUE,IF(OR(UPPER(TRIM($AI$2))="(BLANK)",UPPER(TRIM($AI$2))="BLANK",AND($AI$2&lt;&gt;"",TRIM($AI$2)="")),(IF('Final Calculation Sheet'!$AG$22="","",'Final Calculation Sheet'!$AG$22))="",IF(OR(UPPER(TRIM($AI$2))="(NONBLANK)",UPPER(TRIM($AI$2))="NONBLANK",TRIM($AI$2)="&lt;&gt;"),(IF('Final Calculation Sheet'!$AG$22="","",'Final Calculation Sheet'!$AG$22))&lt;&gt;"",UPPER(TRIM((IF('Final Calculation Sheet'!$AG$22="","",'Final Calculation Sheet'!$AG$22))&amp;""))=UPPER(TRIM($AI$2&amp;"")))))</f>
        <v/>
      </c>
      <c r="AJ22">
        <f>IF($AJ$3=FALSE,TRUE,IF(OR(UPPER(TRIM($AJ$2))="(BLANK)",UPPER(TRIM($AJ$2))="BLANK",AND($AJ$2&lt;&gt;"",TRIM($AJ$2)="")),(IF('Final Calculation Sheet'!$AD$22="","",IF('Final Calculation Sheet'!$AD$22&lt;=5,"SETTLED","OUTSTANDING")))="",IF(OR(UPPER(TRIM($AJ$2))="(NONBLANK)",UPPER(TRIM($AJ$2))="NONBLANK",TRIM($AJ$2)="&lt;&gt;"),(IF('Final Calculation Sheet'!$AD$22="","",IF('Final Calculation Sheet'!$AD$22&lt;=5,"SETTLED","OUTSTANDING")))&lt;&gt;"",UPPER(TRIM((IF('Final Calculation Sheet'!$AD$22="","",IF('Final Calculation Sheet'!$AD$22&lt;=5,"SETTLED","OUTSTANDING")))&amp;""))=UPPER(TRIM($AJ$2&amp;"")))))</f>
        <v/>
      </c>
      <c r="AL22">
        <f>IF(AND($B$22,$D$22:$AJ$22),IF('Final Calculation Sheet'!$F$22="","",'Final Calculation Sheet'!$F$22),"")</f>
        <v/>
      </c>
      <c r="AM22">
        <f>IF(AL22="","",COUNTIFS(AL$4:AL$40,"&lt;"&amp;AL22,AL$4:AL$40,"&lt;&gt;"&amp;"")+COUNTIF(AL$4:AL22,AL22))</f>
        <v/>
      </c>
      <c r="AN22">
        <f>IF(ROW()-3&gt;COUNTIF(AL$4:AL$40,"&lt;&gt;"&amp;""),"",INDEX(AL$4:AL$40,MATCH(ROW()-3,AM$4:AM$40,0)))</f>
        <v/>
      </c>
      <c r="AO22">
        <f>AO21+IF(AND(AN22&lt;&gt;"",COUNTIF(AN$4:AN22,AN22)=1),1,0)</f>
        <v/>
      </c>
      <c r="AP22">
        <f>IF(ROW()-3&gt;MAX(AO$4:AO$40),"",INDEX(AN$4:AN$40,MATCH(ROW()-3,AO$4:AO$40,0)))</f>
        <v/>
      </c>
      <c r="AQ22">
        <f>IF(AND($B$22:$C$22,$E$22:$AJ$22),IF('Final Calculation Sheet'!$G$22="","",'Final Calculation Sheet'!$G$22),"")</f>
        <v/>
      </c>
      <c r="AR22">
        <f>IF(AQ22="","",COUNTIFS(AQ$4:AQ$40,"&lt;"&amp;AQ22,AQ$4:AQ$40,"&lt;&gt;"&amp;"")+COUNTIF(AQ$4:AQ22,AQ22))</f>
        <v/>
      </c>
      <c r="AS22">
        <f>IF(ROW()-3&gt;COUNTIF(AQ$4:AQ$40,"&lt;&gt;"&amp;""),"",INDEX(AQ$4:AQ$40,MATCH(ROW()-3,AR$4:AR$40,0)))</f>
        <v/>
      </c>
      <c r="AT22">
        <f>AT21+IF(AND(AS22&lt;&gt;"",COUNTIF(AS$4:AS22,AS22)=1),1,0)</f>
        <v/>
      </c>
      <c r="AU22">
        <f>IF(ROW()-3&gt;MAX(AT$4:AT$40),"",INDEX(AS$4:AS$40,MATCH(ROW()-3,AT$4:AT$40,0)))</f>
        <v/>
      </c>
      <c r="AV22">
        <f>IF(AND($B$22:$D$22,$F$22:$AJ$22),IF('Final Calculation Sheet'!$B$22="","",'Final Calculation Sheet'!$B$22),"")</f>
        <v/>
      </c>
      <c r="AW22">
        <f>IF(AV22="","",COUNTIFS(AV$4:AV$40,"&lt;"&amp;AV22,AV$4:AV$40,"&lt;&gt;"&amp;"")+COUNTIF(AV$4:AV22,AV22))</f>
        <v/>
      </c>
      <c r="AX22">
        <f>IF(ROW()-3&gt;COUNTIF(AV$4:AV$40,"&lt;&gt;"&amp;""),"",INDEX(AV$4:AV$40,MATCH(ROW()-3,AW$4:AW$40,0)))</f>
        <v/>
      </c>
      <c r="AY22">
        <f>AY21+IF(AND(AX22&lt;&gt;"",COUNTIF(AX$4:AX22,AX22)=1),1,0)</f>
        <v/>
      </c>
      <c r="AZ22">
        <f>IF(ROW()-3&gt;MAX(AY$4:AY$40),"",INDEX(AX$4:AX$40,MATCH(ROW()-3,AY$4:AY$40,0)))</f>
        <v/>
      </c>
      <c r="BA22">
        <f>IF(AND($B$22:$E$22,$G$22:$AJ$22),IF('Final Calculation Sheet'!$D$22="","",'Final Calculation Sheet'!$D$22),"")</f>
        <v/>
      </c>
      <c r="BB22">
        <f>IF(BA22="","",COUNTIFS(BA$4:BA$40,"&lt;"&amp;BA22,BA$4:BA$40,"&lt;&gt;"&amp;"")+COUNTIF(BA$4:BA22,BA22))</f>
        <v/>
      </c>
      <c r="BC22">
        <f>IF(ROW()-3&gt;COUNTIF(BA$4:BA$40,"&lt;&gt;"&amp;""),"",INDEX(BA$4:BA$40,MATCH(ROW()-3,BB$4:BB$40,0)))</f>
        <v/>
      </c>
      <c r="BD22">
        <f>BD21+IF(AND(BC22&lt;&gt;"",COUNTIF(BC$4:BC22,BC22)=1),1,0)</f>
        <v/>
      </c>
      <c r="BE22">
        <f>IF(ROW()-3&gt;MAX(BD$4:BD$40),"",INDEX(BC$4:BC$40,MATCH(ROW()-3,BD$4:BD$40,0)))</f>
        <v/>
      </c>
      <c r="BF22">
        <f>IF(AND($B$22:$F$22,$H$22:$AJ$22),IF('Final Calculation Sheet'!$A$22="","",'Final Calculation Sheet'!$A$22),"")</f>
        <v/>
      </c>
      <c r="BG22">
        <f>IF(BF22="","",COUNTIFS(BF$4:BF$40,"&lt;"&amp;BF22,BF$4:BF$40,"&lt;&gt;"&amp;"")+COUNTIF(BF$4:BF22,BF22))</f>
        <v/>
      </c>
      <c r="BH22">
        <f>IF(ROW()-3&gt;COUNTIF(BF$4:BF$40,"&lt;&gt;"&amp;""),"",INDEX(BF$4:BF$40,MATCH(ROW()-3,BG$4:BG$40,0)))</f>
        <v/>
      </c>
      <c r="BI22">
        <f>BI21+IF(AND(BH22&lt;&gt;"",COUNTIF(BH$4:BH22,BH22)=1),1,0)</f>
        <v/>
      </c>
      <c r="BJ22">
        <f>IF(ROW()-3&gt;MAX(BI$4:BI$40),"",INDEX(BH$4:BH$40,MATCH(ROW()-3,BI$4:BI$40,0)))</f>
        <v/>
      </c>
      <c r="BK22">
        <f>IF(AND($B$22:$G$22,$I$22:$AJ$22),IF('Final Calculation Sheet'!$E$22="","",'Final Calculation Sheet'!$E$22),"")</f>
        <v/>
      </c>
      <c r="BL22">
        <f>IF(BK22="","",COUNTIFS(BK$4:BK$40,"&lt;"&amp;BK22,BK$4:BK$40,"&lt;&gt;"&amp;"")+COUNTIF(BK$4:BK22,BK22))</f>
        <v/>
      </c>
      <c r="BM22">
        <f>IF(ROW()-3&gt;COUNTIF(BK$4:BK$40,"&lt;&gt;"&amp;""),"",INDEX(BK$4:BK$40,MATCH(ROW()-3,BL$4:BL$40,0)))</f>
        <v/>
      </c>
      <c r="BN22">
        <f>BN21+IF(AND(BM22&lt;&gt;"",COUNTIF(BM$4:BM22,BM22)=1),1,0)</f>
        <v/>
      </c>
      <c r="BO22">
        <f>IF(ROW()-3&gt;MAX(BN$4:BN$40),"",INDEX(BM$4:BM$40,MATCH(ROW()-3,BN$4:BN$40,0)))</f>
        <v/>
      </c>
      <c r="BP22" s="55">
        <f>IF(AND($B$22:$H$22,$J$22:$AJ$22),IF('Final Calculation Sheet'!$C$22="","",'Final Calculation Sheet'!$C$22),"")</f>
        <v/>
      </c>
      <c r="BQ22">
        <f>IF(BP22="","",COUNTIFS(BP$4:BP$40,"&lt;"&amp;BP22,BP$4:BP$40,"&lt;&gt;"&amp;"")+COUNTIF(BP$4:BP22,BP22))</f>
        <v/>
      </c>
      <c r="BR22" s="55">
        <f>IF(ROW()-3&gt;COUNTIF(BP$4:BP$40,"&lt;&gt;"&amp;""),"",INDEX(BP$4:BP$40,MATCH(ROW()-3,BQ$4:BQ$40,0)))</f>
        <v/>
      </c>
      <c r="BS22">
        <f>BS21+IF(AND(BR22&lt;&gt;"",COUNTIF(BR$4:BR22,BR22)=1),1,0)</f>
        <v/>
      </c>
      <c r="BT22" s="55">
        <f>IF(ROW()-3&gt;MAX(BS$4:BS$40),"",INDEX(BR$4:BR$40,MATCH(ROW()-3,BS$4:BS$40,0)))</f>
        <v/>
      </c>
      <c r="BU22" s="55">
        <f>IF(AND($B$22:$I$22,$K$22:$AJ$22),IF('Final Calculation Sheet'!$H$22="","",'Final Calculation Sheet'!$H$22),"")</f>
        <v/>
      </c>
      <c r="BV22">
        <f>IF(BU22="","",COUNTIFS(BU$4:BU$40,"&lt;"&amp;BU22,BU$4:BU$40,"&lt;&gt;"&amp;"")+COUNTIF(BU$4:BU22,BU22))</f>
        <v/>
      </c>
      <c r="BW22" s="55">
        <f>IF(ROW()-3&gt;COUNTIF(BU$4:BU$40,"&lt;&gt;"&amp;""),"",INDEX(BU$4:BU$40,MATCH(ROW()-3,BV$4:BV$40,0)))</f>
        <v/>
      </c>
      <c r="BX22">
        <f>BX21+IF(AND(BW22&lt;&gt;"",COUNTIF(BW$4:BW22,BW22)=1),1,0)</f>
        <v/>
      </c>
      <c r="BY22" s="55">
        <f>IF(ROW()-3&gt;MAX(BX$4:BX$40),"",INDEX(BW$4:BW$40,MATCH(ROW()-3,BX$4:BX$40,0)))</f>
        <v/>
      </c>
      <c r="BZ22" s="55">
        <f>IF(AND($B$22:$J$22,$L$22:$AJ$22),IF('Final Calculation Sheet'!$I$22="","",'Final Calculation Sheet'!$I$22),"")</f>
        <v/>
      </c>
      <c r="CA22">
        <f>IF(BZ22="","",COUNTIFS(BZ$4:BZ$40,"&lt;"&amp;BZ22,BZ$4:BZ$40,"&lt;&gt;"&amp;"")+COUNTIF(BZ$4:BZ22,BZ22))</f>
        <v/>
      </c>
      <c r="CB22" s="55">
        <f>IF(ROW()-3&gt;COUNTIF(BZ$4:BZ$40,"&lt;&gt;"&amp;""),"",INDEX(BZ$4:BZ$40,MATCH(ROW()-3,CA$4:CA$40,0)))</f>
        <v/>
      </c>
      <c r="CC22">
        <f>CC21+IF(AND(CB22&lt;&gt;"",COUNTIF(CB$4:CB22,CB22)=1),1,0)</f>
        <v/>
      </c>
      <c r="CD22" s="55">
        <f>IF(ROW()-3&gt;MAX(CC$4:CC$40),"",INDEX(CB$4:CB$40,MATCH(ROW()-3,CC$4:CC$40,0)))</f>
        <v/>
      </c>
      <c r="CE22" s="55">
        <f>IF(AND($B$22:$K$22,$M$22:$AJ$22),IF('Final Calculation Sheet'!$J$22="","",'Final Calculation Sheet'!$J$22),"")</f>
        <v/>
      </c>
      <c r="CF22">
        <f>IF(CE22="","",COUNTIFS(CE$4:CE$40,"&lt;"&amp;CE22,CE$4:CE$40,"&lt;&gt;"&amp;"")+COUNTIF(CE$4:CE22,CE22))</f>
        <v/>
      </c>
      <c r="CG22" s="55">
        <f>IF(ROW()-3&gt;COUNTIF(CE$4:CE$40,"&lt;&gt;"&amp;""),"",INDEX(CE$4:CE$40,MATCH(ROW()-3,CF$4:CF$40,0)))</f>
        <v/>
      </c>
      <c r="CH22">
        <f>CH21+IF(AND(CG22&lt;&gt;"",COUNTIF(CG$4:CG22,CG22)=1),1,0)</f>
        <v/>
      </c>
      <c r="CI22" s="55">
        <f>IF(ROW()-3&gt;MAX(CH$4:CH$40),"",INDEX(CG$4:CG$40,MATCH(ROW()-3,CH$4:CH$40,0)))</f>
        <v/>
      </c>
      <c r="CJ22" s="55">
        <f>IF(AND($B$22:$L$22,$N$22:$AJ$22),IF('Final Calculation Sheet'!$K$22="","",'Final Calculation Sheet'!$K$22),"")</f>
        <v/>
      </c>
      <c r="CK22">
        <f>IF(CJ22="","",COUNTIFS(CJ$4:CJ$40,"&lt;"&amp;CJ22,CJ$4:CJ$40,"&lt;&gt;"&amp;"")+COUNTIF(CJ$4:CJ22,CJ22))</f>
        <v/>
      </c>
      <c r="CL22" s="55">
        <f>IF(ROW()-3&gt;COUNTIF(CJ$4:CJ$40,"&lt;&gt;"&amp;""),"",INDEX(CJ$4:CJ$40,MATCH(ROW()-3,CK$4:CK$40,0)))</f>
        <v/>
      </c>
      <c r="CM22">
        <f>CM21+IF(AND(CL22&lt;&gt;"",COUNTIF(CL$4:CL22,CL22)=1),1,0)</f>
        <v/>
      </c>
      <c r="CN22" s="55">
        <f>IF(ROW()-3&gt;MAX(CM$4:CM$40),"",INDEX(CL$4:CL$40,MATCH(ROW()-3,CM$4:CM$40,0)))</f>
        <v/>
      </c>
      <c r="CO22" s="55">
        <f>IF(AND($B$22:$M$22,$O$22:$AJ$22),IF('Final Calculation Sheet'!$L$22="","",'Final Calculation Sheet'!$L$22),"")</f>
        <v/>
      </c>
      <c r="CP22">
        <f>IF(CO22="","",COUNTIFS(CO$4:CO$40,"&lt;"&amp;CO22,CO$4:CO$40,"&lt;&gt;"&amp;"")+COUNTIF(CO$4:CO22,CO22))</f>
        <v/>
      </c>
      <c r="CQ22" s="55">
        <f>IF(ROW()-3&gt;COUNTIF(CO$4:CO$40,"&lt;&gt;"&amp;""),"",INDEX(CO$4:CO$40,MATCH(ROW()-3,CP$4:CP$40,0)))</f>
        <v/>
      </c>
      <c r="CR22">
        <f>CR21+IF(AND(CQ22&lt;&gt;"",COUNTIF(CQ$4:CQ22,CQ22)=1),1,0)</f>
        <v/>
      </c>
      <c r="CS22" s="55">
        <f>IF(ROW()-3&gt;MAX(CR$4:CR$40),"",INDEX(CQ$4:CQ$40,MATCH(ROW()-3,CR$4:CR$40,0)))</f>
        <v/>
      </c>
      <c r="CT22" s="55">
        <f>IF(AND($B$22:$N$22,$P$22:$AJ$22),IF('Final Calculation Sheet'!$M$22="","",'Final Calculation Sheet'!$M$22),"")</f>
        <v/>
      </c>
      <c r="CU22">
        <f>IF(CT22="","",COUNTIFS(CT$4:CT$40,"&lt;"&amp;CT22,CT$4:CT$40,"&lt;&gt;"&amp;"")+COUNTIF(CT$4:CT22,CT22))</f>
        <v/>
      </c>
      <c r="CV22" s="55">
        <f>IF(ROW()-3&gt;COUNTIF(CT$4:CT$40,"&lt;&gt;"&amp;""),"",INDEX(CT$4:CT$40,MATCH(ROW()-3,CU$4:CU$40,0)))</f>
        <v/>
      </c>
      <c r="CW22">
        <f>CW21+IF(AND(CV22&lt;&gt;"",COUNTIF(CV$4:CV22,CV22)=1),1,0)</f>
        <v/>
      </c>
      <c r="CX22" s="55">
        <f>IF(ROW()-3&gt;MAX(CW$4:CW$40),"",INDEX(CV$4:CV$40,MATCH(ROW()-3,CW$4:CW$40,0)))</f>
        <v/>
      </c>
      <c r="CY22" s="138">
        <f>IF(AND($B$22:$O$22,$Q$22:$AJ$22),IF('Final Calculation Sheet'!$N$22="","",'Final Calculation Sheet'!$N$22),"")</f>
        <v/>
      </c>
      <c r="CZ22">
        <f>IF(CY22="","",COUNTIFS(CY$4:CY$40,"&lt;"&amp;CY22,CY$4:CY$40,"&lt;&gt;"&amp;"")+COUNTIF(CY$4:CY22,CY22))</f>
        <v/>
      </c>
      <c r="DA22" s="138">
        <f>IF(ROW()-3&gt;COUNTIF(CY$4:CY$40,"&lt;&gt;"&amp;""),"",INDEX(CY$4:CY$40,MATCH(ROW()-3,CZ$4:CZ$40,0)))</f>
        <v/>
      </c>
      <c r="DB22">
        <f>DB21+IF(AND(DA22&lt;&gt;"",COUNTIF(DA$4:DA22,DA22)=1),1,0)</f>
        <v/>
      </c>
      <c r="DC22" s="138">
        <f>IF(ROW()-3&gt;MAX(DB$4:DB$40),"",INDEX(DA$4:DA$40,MATCH(ROW()-3,DB$4:DB$40,0)))</f>
        <v/>
      </c>
      <c r="DD22" s="55">
        <f>IF(AND($B$22:$P$22,$R$22:$AJ$22),IF('Final Calculation Sheet'!$O$22="","",'Final Calculation Sheet'!$O$22),"")</f>
        <v/>
      </c>
      <c r="DE22">
        <f>IF(DD22="","",COUNTIFS(DD$4:DD$40,"&lt;"&amp;DD22,DD$4:DD$40,"&lt;&gt;"&amp;"")+COUNTIF(DD$4:DD22,DD22))</f>
        <v/>
      </c>
      <c r="DF22" s="55">
        <f>IF(ROW()-3&gt;COUNTIF(DD$4:DD$40,"&lt;&gt;"&amp;""),"",INDEX(DD$4:DD$40,MATCH(ROW()-3,DE$4:DE$40,0)))</f>
        <v/>
      </c>
      <c r="DG22">
        <f>DG21+IF(AND(DF22&lt;&gt;"",COUNTIF(DF$4:DF22,DF22)=1),1,0)</f>
        <v/>
      </c>
      <c r="DH22" s="55">
        <f>IF(ROW()-3&gt;MAX(DG$4:DG$40),"",INDEX(DF$4:DF$40,MATCH(ROW()-3,DG$4:DG$40,0)))</f>
        <v/>
      </c>
      <c r="DI22" s="55">
        <f>IF(AND($B$22:$Q$22,$S$22:$AJ$22),IF('Final Calculation Sheet'!$P$22="","",'Final Calculation Sheet'!$P$22),"")</f>
        <v/>
      </c>
      <c r="DJ22">
        <f>IF(DI22="","",COUNTIFS(DI$4:DI$40,"&lt;"&amp;DI22,DI$4:DI$40,"&lt;&gt;"&amp;"")+COUNTIF(DI$4:DI22,DI22))</f>
        <v/>
      </c>
      <c r="DK22" s="55">
        <f>IF(ROW()-3&gt;COUNTIF(DI$4:DI$40,"&lt;&gt;"&amp;""),"",INDEX(DI$4:DI$40,MATCH(ROW()-3,DJ$4:DJ$40,0)))</f>
        <v/>
      </c>
      <c r="DL22">
        <f>DL21+IF(AND(DK22&lt;&gt;"",COUNTIF(DK$4:DK22,DK22)=1),1,0)</f>
        <v/>
      </c>
      <c r="DM22" s="55">
        <f>IF(ROW()-3&gt;MAX(DL$4:DL$40),"",INDEX(DK$4:DK$40,MATCH(ROW()-3,DL$4:DL$40,0)))</f>
        <v/>
      </c>
      <c r="DN22" s="139">
        <f>IF(AND($B$22:$R$22,$T$22:$AJ$22),IF('Final Calculation Sheet'!$Q$22="","",'Final Calculation Sheet'!$Q$22),"")</f>
        <v/>
      </c>
      <c r="DO22">
        <f>IF(DN22="","",COUNTIFS(DN$4:DN$40,"&lt;"&amp;DN22,DN$4:DN$40,"&lt;&gt;"&amp;"")+COUNTIF(DN$4:DN22,DN22))</f>
        <v/>
      </c>
      <c r="DP22" s="139">
        <f>IF(ROW()-3&gt;COUNTIF(DN$4:DN$40,"&lt;&gt;"&amp;""),"",INDEX(DN$4:DN$40,MATCH(ROW()-3,DO$4:DO$40,0)))</f>
        <v/>
      </c>
      <c r="DQ22">
        <f>DQ21+IF(AND(DP22&lt;&gt;"",COUNTIF(DP$4:DP22,DP22)=1),1,0)</f>
        <v/>
      </c>
      <c r="DR22" s="139">
        <f>IF(ROW()-3&gt;MAX(DQ$4:DQ$40),"",INDEX(DP$4:DP$40,MATCH(ROW()-3,DQ$4:DQ$40,0)))</f>
        <v/>
      </c>
      <c r="DS22" s="55">
        <f>IF(AND($B$22:$S$22,$U$22:$AJ$22),IF('Final Calculation Sheet'!$R$22="","",'Final Calculation Sheet'!$R$22),"")</f>
        <v/>
      </c>
      <c r="DT22">
        <f>IF(DS22="","",COUNTIFS(DS$4:DS$40,"&lt;"&amp;DS22,DS$4:DS$40,"&lt;&gt;"&amp;"")+COUNTIF(DS$4:DS22,DS22))</f>
        <v/>
      </c>
      <c r="DU22" s="55">
        <f>IF(ROW()-3&gt;COUNTIF(DS$4:DS$40,"&lt;&gt;"&amp;""),"",INDEX(DS$4:DS$40,MATCH(ROW()-3,DT$4:DT$40,0)))</f>
        <v/>
      </c>
      <c r="DV22">
        <f>DV21+IF(AND(DU22&lt;&gt;"",COUNTIF(DU$4:DU22,DU22)=1),1,0)</f>
        <v/>
      </c>
      <c r="DW22" s="55">
        <f>IF(ROW()-3&gt;MAX(DV$4:DV$40),"",INDEX(DU$4:DU$40,MATCH(ROW()-3,DV$4:DV$40,0)))</f>
        <v/>
      </c>
      <c r="DX22" s="55">
        <f>IF(AND($B$22:$T$22,$V$22:$AJ$22),IF('Final Calculation Sheet'!$S$22="","",'Final Calculation Sheet'!$S$22),"")</f>
        <v/>
      </c>
      <c r="DY22">
        <f>IF(DX22="","",COUNTIFS(DX$4:DX$40,"&lt;"&amp;DX22,DX$4:DX$40,"&lt;&gt;"&amp;"")+COUNTIF(DX$4:DX22,DX22))</f>
        <v/>
      </c>
      <c r="DZ22" s="55">
        <f>IF(ROW()-3&gt;COUNTIF(DX$4:DX$40,"&lt;&gt;"&amp;""),"",INDEX(DX$4:DX$40,MATCH(ROW()-3,DY$4:DY$40,0)))</f>
        <v/>
      </c>
      <c r="EA22">
        <f>EA21+IF(AND(DZ22&lt;&gt;"",COUNTIF(DZ$4:DZ22,DZ22)=1),1,0)</f>
        <v/>
      </c>
      <c r="EB22" s="55">
        <f>IF(ROW()-3&gt;MAX(EA$4:EA$40),"",INDEX(DZ$4:DZ$40,MATCH(ROW()-3,EA$4:EA$40,0)))</f>
        <v/>
      </c>
      <c r="EC22" s="55">
        <f>IF(AND($B$22:$U$22,$W$22:$AJ$22),IF('Final Calculation Sheet'!$T$22="","",'Final Calculation Sheet'!$T$22),"")</f>
        <v/>
      </c>
      <c r="ED22">
        <f>IF(EC22="","",COUNTIFS(EC$4:EC$40,"&lt;"&amp;EC22,EC$4:EC$40,"&lt;&gt;"&amp;"")+COUNTIF(EC$4:EC22,EC22))</f>
        <v/>
      </c>
      <c r="EE22" s="55">
        <f>IF(ROW()-3&gt;COUNTIF(EC$4:EC$40,"&lt;&gt;"&amp;""),"",INDEX(EC$4:EC$40,MATCH(ROW()-3,ED$4:ED$40,0)))</f>
        <v/>
      </c>
      <c r="EF22">
        <f>EF21+IF(AND(EE22&lt;&gt;"",COUNTIF(EE$4:EE22,EE22)=1),1,0)</f>
        <v/>
      </c>
      <c r="EG22" s="55">
        <f>IF(ROW()-3&gt;MAX(EF$4:EF$40),"",INDEX(EE$4:EE$40,MATCH(ROW()-3,EF$4:EF$40,0)))</f>
        <v/>
      </c>
      <c r="EH22" s="140">
        <f>IF(AND($B$22:$V$22,$X$22:$AJ$22),IF('Final Calculation Sheet'!$U$22="","",'Final Calculation Sheet'!$U$22),"")</f>
        <v/>
      </c>
      <c r="EI22">
        <f>IF(EH22="","",COUNTIFS(EH$4:EH$40,"&lt;"&amp;EH22,EH$4:EH$40,"&lt;&gt;"&amp;"")+COUNTIF(EH$4:EH22,EH22))</f>
        <v/>
      </c>
      <c r="EJ22" s="140">
        <f>IF(ROW()-3&gt;COUNTIF(EH$4:EH$40,"&lt;&gt;"&amp;""),"",INDEX(EH$4:EH$40,MATCH(ROW()-3,EI$4:EI$40,0)))</f>
        <v/>
      </c>
      <c r="EK22">
        <f>EK21+IF(AND(EJ22&lt;&gt;"",COUNTIF(EJ$4:EJ22,EJ22)=1),1,0)</f>
        <v/>
      </c>
      <c r="EL22" s="140">
        <f>IF(ROW()-3&gt;MAX(EK$4:EK$40),"",INDEX(EJ$4:EJ$40,MATCH(ROW()-3,EK$4:EK$40,0)))</f>
        <v/>
      </c>
      <c r="EM22">
        <f>IF(AND($B$22:$W$22,$Y$22:$AJ$22),IF('Final Calculation Sheet'!$V$22="","",'Final Calculation Sheet'!$V$22),"")</f>
        <v/>
      </c>
      <c r="EN22">
        <f>IF(EM22="","",COUNTIFS(EM$4:EM$40,"&lt;"&amp;EM22,EM$4:EM$40,"&lt;&gt;"&amp;"")+COUNTIF(EM$4:EM22,EM22))</f>
        <v/>
      </c>
      <c r="EO22">
        <f>IF(ROW()-3&gt;COUNTIF(EM$4:EM$40,"&lt;&gt;"&amp;""),"",INDEX(EM$4:EM$40,MATCH(ROW()-3,EN$4:EN$40,0)))</f>
        <v/>
      </c>
      <c r="EP22">
        <f>EP21+IF(AND(EO22&lt;&gt;"",COUNTIF(EO$4:EO22,EO22)=1),1,0)</f>
        <v/>
      </c>
      <c r="EQ22">
        <f>IF(ROW()-3&gt;MAX(EP$4:EP$40),"",INDEX(EO$4:EO$40,MATCH(ROW()-3,EP$4:EP$40,0)))</f>
        <v/>
      </c>
      <c r="ER22" s="55">
        <f>IF(AND($B$22:$X$22,$Z$22:$AJ$22),IF('Final Calculation Sheet'!$W$22="","",'Final Calculation Sheet'!$W$22),"")</f>
        <v/>
      </c>
      <c r="ES22">
        <f>IF(ER22="","",COUNTIFS(ER$4:ER$40,"&lt;"&amp;ER22,ER$4:ER$40,"&lt;&gt;"&amp;"")+COUNTIF(ER$4:ER22,ER22))</f>
        <v/>
      </c>
      <c r="ET22" s="55">
        <f>IF(ROW()-3&gt;COUNTIF(ER$4:ER$40,"&lt;&gt;"&amp;""),"",INDEX(ER$4:ER$40,MATCH(ROW()-3,ES$4:ES$40,0)))</f>
        <v/>
      </c>
      <c r="EU22">
        <f>EU21+IF(AND(ET22&lt;&gt;"",COUNTIF(ET$4:ET22,ET22)=1),1,0)</f>
        <v/>
      </c>
      <c r="EV22" s="55">
        <f>IF(ROW()-3&gt;MAX(EU$4:EU$40),"",INDEX(ET$4:ET$40,MATCH(ROW()-3,EU$4:EU$40,0)))</f>
        <v/>
      </c>
      <c r="EW22" s="55">
        <f>IF(AND($B$22:$Y$22,$AA$22:$AJ$22),IF('Final Calculation Sheet'!$X$22="","",'Final Calculation Sheet'!$X$22),"")</f>
        <v/>
      </c>
      <c r="EX22">
        <f>IF(EW22="","",COUNTIFS(EW$4:EW$40,"&lt;"&amp;EW22,EW$4:EW$40,"&lt;&gt;"&amp;"")+COUNTIF(EW$4:EW22,EW22))</f>
        <v/>
      </c>
      <c r="EY22" s="55">
        <f>IF(ROW()-3&gt;COUNTIF(EW$4:EW$40,"&lt;&gt;"&amp;""),"",INDEX(EW$4:EW$40,MATCH(ROW()-3,EX$4:EX$40,0)))</f>
        <v/>
      </c>
      <c r="EZ22">
        <f>EZ21+IF(AND(EY22&lt;&gt;"",COUNTIF(EY$4:EY22,EY22)=1),1,0)</f>
        <v/>
      </c>
      <c r="FA22">
        <f>IF(ROW()-3&gt;MAX(EZ$4:EZ$40),"",INDEX(EY$4:EY$40,MATCH(ROW()-3,EZ$4:EZ$40,0)))</f>
        <v/>
      </c>
      <c r="FB22">
        <f>IF(AND($B$22:$Z$22,$AB$22:$AJ$22),IF('Final Calculation Sheet'!$Y$22="","",'Final Calculation Sheet'!$Y$22),"")</f>
        <v/>
      </c>
      <c r="FC22">
        <f>IF(FB22="","",COUNTIFS(FB$4:FB$40,"&lt;"&amp;FB22,FB$4:FB$40,"&lt;&gt;"&amp;"")+COUNTIF(FB$4:FB22,FB22))</f>
        <v/>
      </c>
      <c r="FD22">
        <f>IF(ROW()-3&gt;COUNTIF(FB$4:FB$40,"&lt;&gt;"&amp;""),"",INDEX(FB$4:FB$40,MATCH(ROW()-3,FC$4:FC$40,0)))</f>
        <v/>
      </c>
      <c r="FE22">
        <f>FE21+IF(AND(FD22&lt;&gt;"",COUNTIF(FD$4:FD22,FD22)=1),1,0)</f>
        <v/>
      </c>
      <c r="FF22">
        <f>IF(ROW()-3&gt;MAX(FE$4:FE$40),"",INDEX(FD$4:FD$40,MATCH(ROW()-3,FE$4:FE$40,0)))</f>
        <v/>
      </c>
      <c r="FG22" s="55">
        <f>IF(AND($B$22:$AA$22,$AC$22:$AJ$22),IF('Final Calculation Sheet'!$Z$22="","",'Final Calculation Sheet'!$Z$22),"")</f>
        <v/>
      </c>
      <c r="FH22">
        <f>IF(FG22="","",COUNTIFS(FG$4:FG$40,"&lt;"&amp;FG22,FG$4:FG$40,"&lt;&gt;"&amp;"")+COUNTIF(FG$4:FG22,FG22))</f>
        <v/>
      </c>
      <c r="FI22" s="55">
        <f>IF(ROW()-3&gt;COUNTIF(FG$4:FG$40,"&lt;&gt;"&amp;""),"",INDEX(FG$4:FG$40,MATCH(ROW()-3,FH$4:FH$40,0)))</f>
        <v/>
      </c>
      <c r="FJ22">
        <f>FJ21+IF(AND(FI22&lt;&gt;"",COUNTIF(FI$4:FI22,FI22)=1),1,0)</f>
        <v/>
      </c>
      <c r="FK22" s="55">
        <f>IF(ROW()-3&gt;MAX(FJ$4:FJ$40),"",INDEX(FI$4:FI$40,MATCH(ROW()-3,FJ$4:FJ$40,0)))</f>
        <v/>
      </c>
      <c r="FL22">
        <f>IF(AND($B$22:$AB$22,$AD$22:$AJ$22),IF('Final Calculation Sheet'!$AA$22="","",'Final Calculation Sheet'!$AA$22),"")</f>
        <v/>
      </c>
      <c r="FM22">
        <f>IF(FL22="","",COUNTIFS(FL$4:FL$40,"&lt;"&amp;FL22,FL$4:FL$40,"&lt;&gt;"&amp;"")+COUNTIF(FL$4:FL22,FL22))</f>
        <v/>
      </c>
      <c r="FN22">
        <f>IF(ROW()-3&gt;COUNTIF(FL$4:FL$40,"&lt;&gt;"&amp;""),"",INDEX(FL$4:FL$40,MATCH(ROW()-3,FM$4:FM$40,0)))</f>
        <v/>
      </c>
      <c r="FO22">
        <f>FO21+IF(AND(FN22&lt;&gt;"",COUNTIF(FN$4:FN22,FN22)=1),1,0)</f>
        <v/>
      </c>
      <c r="FP22">
        <f>IF(ROW()-3&gt;MAX(FO$4:FO$40),"",INDEX(FN$4:FN$40,MATCH(ROW()-3,FO$4:FO$40,0)))</f>
        <v/>
      </c>
      <c r="FQ22">
        <f>IF(AND($B$22:$AC$22,$AE$22:$AJ$22),IF('Final Calculation Sheet'!$AB$22="","",'Final Calculation Sheet'!$AB$22),"")</f>
        <v/>
      </c>
      <c r="FR22">
        <f>IF(FQ22="","",COUNTIFS(FQ$4:FQ$40,"&lt;"&amp;FQ22,FQ$4:FQ$40,"&lt;&gt;"&amp;"")+COUNTIF(FQ$4:FQ22,FQ22))</f>
        <v/>
      </c>
      <c r="FS22">
        <f>IF(ROW()-3&gt;COUNTIF(FQ$4:FQ$40,"&lt;&gt;"&amp;""),"",INDEX(FQ$4:FQ$40,MATCH(ROW()-3,FR$4:FR$40,0)))</f>
        <v/>
      </c>
      <c r="FT22">
        <f>FT21+IF(AND(FS22&lt;&gt;"",COUNTIF(FS$4:FS22,FS22)=1),1,0)</f>
        <v/>
      </c>
      <c r="FU22">
        <f>IF(ROW()-3&gt;MAX(FT$4:FT$40),"",INDEX(FS$4:FS$40,MATCH(ROW()-3,FT$4:FT$40,0)))</f>
        <v/>
      </c>
      <c r="FV22" s="55">
        <f>IF(AND($B$22:$AD$22,$AF$22:$AJ$22),IF('Final Calculation Sheet'!$AC$22="","",'Final Calculation Sheet'!$AC$22),"")</f>
        <v/>
      </c>
      <c r="FW22">
        <f>IF(FV22="","",COUNTIFS(FV$4:FV$40,"&lt;"&amp;FV22,FV$4:FV$40,"&lt;&gt;"&amp;"")+COUNTIF(FV$4:FV22,FV22))</f>
        <v/>
      </c>
      <c r="FX22" s="55">
        <f>IF(ROW()-3&gt;COUNTIF(FV$4:FV$40,"&lt;&gt;"&amp;""),"",INDEX(FV$4:FV$40,MATCH(ROW()-3,FW$4:FW$40,0)))</f>
        <v/>
      </c>
      <c r="FY22">
        <f>FY21+IF(AND(FX22&lt;&gt;"",COUNTIF(FX$4:FX22,FX22)=1),1,0)</f>
        <v/>
      </c>
      <c r="FZ22" s="55">
        <f>IF(ROW()-3&gt;MAX(FY$4:FY$40),"",INDEX(FX$4:FX$40,MATCH(ROW()-3,FY$4:FY$40,0)))</f>
        <v/>
      </c>
      <c r="GA22" s="55">
        <f>IF(AND($B$22:$AE$22,$AG$22:$AJ$22),IF('Final Calculation Sheet'!$AD$22="","",'Final Calculation Sheet'!$AD$22),"")</f>
        <v/>
      </c>
      <c r="GB22">
        <f>IF(GA22="","",COUNTIFS(GA$4:GA$40,"&lt;"&amp;GA22,GA$4:GA$40,"&lt;&gt;"&amp;"")+COUNTIF(GA$4:GA22,GA22))</f>
        <v/>
      </c>
      <c r="GC22" s="55">
        <f>IF(ROW()-3&gt;COUNTIF(GA$4:GA$40,"&lt;&gt;"&amp;""),"",INDEX(GA$4:GA$40,MATCH(ROW()-3,GB$4:GB$40,0)))</f>
        <v/>
      </c>
      <c r="GD22">
        <f>GD21+IF(AND(GC22&lt;&gt;"",COUNTIF(GC$4:GC22,GC22)=1),1,0)</f>
        <v/>
      </c>
      <c r="GE22" s="55">
        <f>IF(ROW()-3&gt;MAX(GD$4:GD$40),"",INDEX(GC$4:GC$40,MATCH(ROW()-3,GD$4:GD$40,0)))</f>
        <v/>
      </c>
      <c r="GF22">
        <f>IF(AND($B$22:$AF$22,$AH$22:$AJ$22),IF('Final Calculation Sheet'!$AE$22="","",'Final Calculation Sheet'!$AE$22),"")</f>
        <v/>
      </c>
      <c r="GG22">
        <f>IF(GF22="","",COUNTIFS(GF$4:GF$40,"&lt;"&amp;GF22,GF$4:GF$40,"&lt;&gt;"&amp;"")+COUNTIF(GF$4:GF22,GF22))</f>
        <v/>
      </c>
      <c r="GH22">
        <f>IF(ROW()-3&gt;COUNTIF(GF$4:GF$40,"&lt;&gt;"&amp;""),"",INDEX(GF$4:GF$40,MATCH(ROW()-3,GG$4:GG$40,0)))</f>
        <v/>
      </c>
      <c r="GI22">
        <f>GI21+IF(AND(GH22&lt;&gt;"",COUNTIF(GH$4:GH22,GH22)=1),1,0)</f>
        <v/>
      </c>
      <c r="GJ22">
        <f>IF(ROW()-3&gt;MAX(GI$4:GI$40),"",INDEX(GH$4:GH$40,MATCH(ROW()-3,GI$4:GI$40,0)))</f>
        <v/>
      </c>
      <c r="GK22" s="141">
        <f>IF(AND($B$22:$AG$22,$AI$22:$AJ$22),IF('Final Calculation Sheet'!$AF$22="","",'Final Calculation Sheet'!$AF$22),"")</f>
        <v/>
      </c>
      <c r="GL22">
        <f>IF(GK22="","",COUNTIFS(GK$4:GK$40,"&lt;"&amp;GK22,GK$4:GK$40,"&lt;&gt;"&amp;"")+COUNTIF(GK$4:GK22,GK22))</f>
        <v/>
      </c>
      <c r="GM22" s="141">
        <f>IF(ROW()-3&gt;COUNTIF(GK$4:GK$40,"&lt;&gt;"&amp;""),"",INDEX(GK$4:GK$40,MATCH(ROW()-3,GL$4:GL$40,0)))</f>
        <v/>
      </c>
      <c r="GN22">
        <f>GN21+IF(AND(GM22&lt;&gt;"",COUNTIF(GM$4:GM22,GM22)=1),1,0)</f>
        <v/>
      </c>
      <c r="GO22">
        <f>IF(ROW()-3&gt;MAX(GN$4:GN$40),"",INDEX(GM$4:GM$40,MATCH(ROW()-3,GN$4:GN$40,0)))</f>
        <v/>
      </c>
      <c r="GP22">
        <f>IF(AND($B$22:$AH$22,$AJ$22:$AJ$22),IF('Final Calculation Sheet'!$AG$22="","",'Final Calculation Sheet'!$AG$22),"")</f>
        <v/>
      </c>
      <c r="GQ22">
        <f>IF(GP22="","",COUNTIFS(GP$4:GP$40,"&lt;"&amp;GP22,GP$4:GP$40,"&lt;&gt;"&amp;"")+COUNTIF(GP$4:GP22,GP22))</f>
        <v/>
      </c>
      <c r="GR22">
        <f>IF(ROW()-3&gt;COUNTIF(GP$4:GP$40,"&lt;&gt;"&amp;""),"",INDEX(GP$4:GP$40,MATCH(ROW()-3,GQ$4:GQ$40,0)))</f>
        <v/>
      </c>
      <c r="GS22">
        <f>GS21+IF(AND(GR22&lt;&gt;"",COUNTIF(GR$4:GR22,GR22)=1),1,0)</f>
        <v/>
      </c>
      <c r="GT22">
        <f>IF(ROW()-3&gt;MAX(GS$4:GS$40),"",INDEX(GR$4:GR$40,MATCH(ROW()-3,GS$4:GS$40,0)))</f>
        <v/>
      </c>
    </row>
    <row r="23">
      <c r="A23" t="inlineStr">
        <is>
          <t>Final row 23</t>
        </is>
      </c>
      <c r="B23" t="b">
        <v>1</v>
      </c>
      <c r="C23">
        <f>IF($C$3=FALSE,TRUE,IF(OR(UPPER(TRIM($C$2))="(BLANK)",UPPER(TRIM($C$2))="BLANK",AND($C$2&lt;&gt;"",TRIM($C$2)="")),(IF('Final Calculation Sheet'!$F$23="","",'Final Calculation Sheet'!$F$23))="",IF(OR(UPPER(TRIM($C$2))="(NONBLANK)",UPPER(TRIM($C$2))="NONBLANK",TRIM($C$2)="&lt;&gt;"),(IF('Final Calculation Sheet'!$F$23="","",'Final Calculation Sheet'!$F$23))&lt;&gt;"",UPPER(TRIM((IF('Final Calculation Sheet'!$F$23="","",'Final Calculation Sheet'!$F$23))&amp;""))=UPPER(TRIM($C$2&amp;"")))))</f>
        <v/>
      </c>
      <c r="D23">
        <f>IF($D$3=FALSE,TRUE,IF(OR(UPPER(TRIM($D$2))="(BLANK)",UPPER(TRIM($D$2))="BLANK",AND($D$2&lt;&gt;"",TRIM($D$2)="")),(IF('Final Calculation Sheet'!$G$23="","",'Final Calculation Sheet'!$G$23))="",IF(OR(UPPER(TRIM($D$2))="(NONBLANK)",UPPER(TRIM($D$2))="NONBLANK",TRIM($D$2)="&lt;&gt;"),(IF('Final Calculation Sheet'!$G$23="","",'Final Calculation Sheet'!$G$23))&lt;&gt;"",UPPER(TRIM((IF('Final Calculation Sheet'!$G$23="","",'Final Calculation Sheet'!$G$23))&amp;""))=UPPER(TRIM($D$2&amp;"")))))</f>
        <v/>
      </c>
      <c r="E23">
        <f>IF($E$3=FALSE,TRUE,IF(OR(UPPER(TRIM($E$2))="(BLANK)",UPPER(TRIM($E$2))="BLANK",AND($E$2&lt;&gt;"",TRIM($E$2)="")),(IF('Final Calculation Sheet'!$B$23="","",'Final Calculation Sheet'!$B$23))="",IF(OR(UPPER(TRIM($E$2))="(NONBLANK)",UPPER(TRIM($E$2))="NONBLANK",TRIM($E$2)="&lt;&gt;"),(IF('Final Calculation Sheet'!$B$23="","",'Final Calculation Sheet'!$B$23))&lt;&gt;"",UPPER(TRIM((IF('Final Calculation Sheet'!$B$23="","",'Final Calculation Sheet'!$B$23))&amp;""))=UPPER(TRIM($E$2&amp;"")))))</f>
        <v/>
      </c>
      <c r="F23">
        <f>IF($F$3=FALSE,TRUE,IF(OR(UPPER(TRIM($F$2))="(BLANK)",UPPER(TRIM($F$2))="BLANK",AND($F$2&lt;&gt;"",TRIM($F$2)="")),(IF('Final Calculation Sheet'!$D$23="","",'Final Calculation Sheet'!$D$23))="",IF(OR(UPPER(TRIM($F$2))="(NONBLANK)",UPPER(TRIM($F$2))="NONBLANK",TRIM($F$2)="&lt;&gt;"),(IF('Final Calculation Sheet'!$D$23="","",'Final Calculation Sheet'!$D$23))&lt;&gt;"",UPPER(TRIM((IF('Final Calculation Sheet'!$D$23="","",'Final Calculation Sheet'!$D$23))&amp;""))=UPPER(TRIM($F$2&amp;"")))))</f>
        <v/>
      </c>
      <c r="G23">
        <f>IF($G$3=FALSE,TRUE,IF(OR(UPPER(TRIM($G$2))="(BLANK)",UPPER(TRIM($G$2))="BLANK",AND($G$2&lt;&gt;"",TRIM($G$2)="")),(IF('Final Calculation Sheet'!$A$23="","",'Final Calculation Sheet'!$A$23))="",IF(OR(UPPER(TRIM($G$2))="(NONBLANK)",UPPER(TRIM($G$2))="NONBLANK",TRIM($G$2)="&lt;&gt;"),(IF('Final Calculation Sheet'!$A$23="","",'Final Calculation Sheet'!$A$23))&lt;&gt;"",UPPER(TRIM((IF('Final Calculation Sheet'!$A$23="","",'Final Calculation Sheet'!$A$23))&amp;""))=UPPER(TRIM($G$2&amp;"")))))</f>
        <v/>
      </c>
      <c r="H23">
        <f>IF($H$3=FALSE,TRUE,IF(OR(UPPER(TRIM($H$2))="(BLANK)",UPPER(TRIM($H$2))="BLANK",AND($H$2&lt;&gt;"",TRIM($H$2)="")),(IF('Final Calculation Sheet'!$E$23="","",'Final Calculation Sheet'!$E$23))="",IF(OR(UPPER(TRIM($H$2))="(NONBLANK)",UPPER(TRIM($H$2))="NONBLANK",TRIM($H$2)="&lt;&gt;"),(IF('Final Calculation Sheet'!$E$23="","",'Final Calculation Sheet'!$E$23))&lt;&gt;"",UPPER(TRIM((IF('Final Calculation Sheet'!$E$23="","",'Final Calculation Sheet'!$E$23))&amp;""))=UPPER(TRIM($H$2&amp;"")))))</f>
        <v/>
      </c>
      <c r="I23">
        <f>IF($I$3=FALSE,TRUE,IF(OR(UPPER(TRIM($I$2))="(BLANK)",UPPER(TRIM($I$2))="BLANK",AND($I$2&lt;&gt;"",TRIM($I$2)="")),(IF('Final Calculation Sheet'!$C$23="","",'Final Calculation Sheet'!$C$23))="",IF(OR(UPPER(TRIM($I$2))="(NONBLANK)",UPPER(TRIM($I$2))="NONBLANK",TRIM($I$2)="&lt;&gt;"),(IF('Final Calculation Sheet'!$C$23="","",'Final Calculation Sheet'!$C$23))&lt;&gt;"",UPPER(TRIM((IF('Final Calculation Sheet'!$C$23="","",'Final Calculation Sheet'!$C$23))&amp;""))=UPPER(TRIM($I$2&amp;"")))))</f>
        <v/>
      </c>
      <c r="J23">
        <f>IF($J$3=FALSE,TRUE,IF(OR(UPPER(TRIM($J$2))="(BLANK)",UPPER(TRIM($J$2))="BLANK",AND($J$2&lt;&gt;"",TRIM($J$2)="")),(IF('Final Calculation Sheet'!$H$23="","",'Final Calculation Sheet'!$H$23))="",IF(OR(UPPER(TRIM($J$2))="(NONBLANK)",UPPER(TRIM($J$2))="NONBLANK",TRIM($J$2)="&lt;&gt;"),(IF('Final Calculation Sheet'!$H$23="","",'Final Calculation Sheet'!$H$23))&lt;&gt;"",UPPER(TRIM((IF('Final Calculation Sheet'!$H$23="","",'Final Calculation Sheet'!$H$23))&amp;""))=UPPER(TRIM($J$2&amp;"")))))</f>
        <v/>
      </c>
      <c r="K23">
        <f>IF($K$3=FALSE,TRUE,IF(OR(UPPER(TRIM($K$2))="(BLANK)",UPPER(TRIM($K$2))="BLANK",AND($K$2&lt;&gt;"",TRIM($K$2)="")),(IF('Final Calculation Sheet'!$I$23="","",'Final Calculation Sheet'!$I$23))="",IF(OR(UPPER(TRIM($K$2))="(NONBLANK)",UPPER(TRIM($K$2))="NONBLANK",TRIM($K$2)="&lt;&gt;"),(IF('Final Calculation Sheet'!$I$23="","",'Final Calculation Sheet'!$I$23))&lt;&gt;"",UPPER(TRIM((IF('Final Calculation Sheet'!$I$23="","",'Final Calculation Sheet'!$I$23))&amp;""))=UPPER(TRIM($K$2&amp;"")))))</f>
        <v/>
      </c>
      <c r="L23">
        <f>IF($L$3=FALSE,TRUE,IF(OR(UPPER(TRIM($L$2))="(BLANK)",UPPER(TRIM($L$2))="BLANK",AND($L$2&lt;&gt;"",TRIM($L$2)="")),(IF('Final Calculation Sheet'!$J$23="","",'Final Calculation Sheet'!$J$23))="",IF(OR(UPPER(TRIM($L$2))="(NONBLANK)",UPPER(TRIM($L$2))="NONBLANK",TRIM($L$2)="&lt;&gt;"),(IF('Final Calculation Sheet'!$J$23="","",'Final Calculation Sheet'!$J$23))&lt;&gt;"",UPPER(TRIM((IF('Final Calculation Sheet'!$J$23="","",'Final Calculation Sheet'!$J$23))&amp;""))=UPPER(TRIM($L$2&amp;"")))))</f>
        <v/>
      </c>
      <c r="M23">
        <f>IF($M$3=FALSE,TRUE,IF(OR(UPPER(TRIM($M$2))="(BLANK)",UPPER(TRIM($M$2))="BLANK",AND($M$2&lt;&gt;"",TRIM($M$2)="")),(IF('Final Calculation Sheet'!$K$23="","",'Final Calculation Sheet'!$K$23))="",IF(OR(UPPER(TRIM($M$2))="(NONBLANK)",UPPER(TRIM($M$2))="NONBLANK",TRIM($M$2)="&lt;&gt;"),(IF('Final Calculation Sheet'!$K$23="","",'Final Calculation Sheet'!$K$23))&lt;&gt;"",UPPER(TRIM((IF('Final Calculation Sheet'!$K$23="","",'Final Calculation Sheet'!$K$23))&amp;""))=UPPER(TRIM($M$2&amp;"")))))</f>
        <v/>
      </c>
      <c r="N23">
        <f>IF($N$3=FALSE,TRUE,IF(OR(UPPER(TRIM($N$2))="(BLANK)",UPPER(TRIM($N$2))="BLANK",AND($N$2&lt;&gt;"",TRIM($N$2)="")),(IF('Final Calculation Sheet'!$L$23="","",'Final Calculation Sheet'!$L$23))="",IF(OR(UPPER(TRIM($N$2))="(NONBLANK)",UPPER(TRIM($N$2))="NONBLANK",TRIM($N$2)="&lt;&gt;"),(IF('Final Calculation Sheet'!$L$23="","",'Final Calculation Sheet'!$L$23))&lt;&gt;"",UPPER(TRIM((IF('Final Calculation Sheet'!$L$23="","",'Final Calculation Sheet'!$L$23))&amp;""))=UPPER(TRIM($N$2&amp;"")))))</f>
        <v/>
      </c>
      <c r="O23">
        <f>IF($O$3=FALSE,TRUE,IF(OR(UPPER(TRIM($O$2))="(BLANK)",UPPER(TRIM($O$2))="BLANK",AND($O$2&lt;&gt;"",TRIM($O$2)="")),(IF('Final Calculation Sheet'!$M$23="","",'Final Calculation Sheet'!$M$23))="",IF(OR(UPPER(TRIM($O$2))="(NONBLANK)",UPPER(TRIM($O$2))="NONBLANK",TRIM($O$2)="&lt;&gt;"),(IF('Final Calculation Sheet'!$M$23="","",'Final Calculation Sheet'!$M$23))&lt;&gt;"",UPPER(TRIM((IF('Final Calculation Sheet'!$M$23="","",'Final Calculation Sheet'!$M$23))&amp;""))=UPPER(TRIM($O$2&amp;"")))))</f>
        <v/>
      </c>
      <c r="P23">
        <f>IF($P$3=FALSE,TRUE,IF(OR(UPPER(TRIM($P$2))="(BLANK)",UPPER(TRIM($P$2))="BLANK",AND($P$2&lt;&gt;"",TRIM($P$2)="")),(IF('Final Calculation Sheet'!$N$23="","",'Final Calculation Sheet'!$N$23))="",IF(OR(UPPER(TRIM($P$2))="(NONBLANK)",UPPER(TRIM($P$2))="NONBLANK",TRIM($P$2)="&lt;&gt;"),(IF('Final Calculation Sheet'!$N$23="","",'Final Calculation Sheet'!$N$23))&lt;&gt;"",UPPER(TRIM((IF('Final Calculation Sheet'!$N$23="","",'Final Calculation Sheet'!$N$23))&amp;""))=UPPER(TRIM($P$2&amp;"")))))</f>
        <v/>
      </c>
      <c r="Q23">
        <f>IF($Q$3=FALSE,TRUE,IF(OR(UPPER(TRIM($Q$2))="(BLANK)",UPPER(TRIM($Q$2))="BLANK",AND($Q$2&lt;&gt;"",TRIM($Q$2)="")),(IF('Final Calculation Sheet'!$O$23="","",'Final Calculation Sheet'!$O$23))="",IF(OR(UPPER(TRIM($Q$2))="(NONBLANK)",UPPER(TRIM($Q$2))="NONBLANK",TRIM($Q$2)="&lt;&gt;"),(IF('Final Calculation Sheet'!$O$23="","",'Final Calculation Sheet'!$O$23))&lt;&gt;"",UPPER(TRIM((IF('Final Calculation Sheet'!$O$23="","",'Final Calculation Sheet'!$O$23))&amp;""))=UPPER(TRIM($Q$2&amp;"")))))</f>
        <v/>
      </c>
      <c r="R23">
        <f>IF($R$3=FALSE,TRUE,IF(OR(UPPER(TRIM($R$2))="(BLANK)",UPPER(TRIM($R$2))="BLANK",AND($R$2&lt;&gt;"",TRIM($R$2)="")),(IF('Final Calculation Sheet'!$P$23="","",'Final Calculation Sheet'!$P$23))="",IF(OR(UPPER(TRIM($R$2))="(NONBLANK)",UPPER(TRIM($R$2))="NONBLANK",TRIM($R$2)="&lt;&gt;"),(IF('Final Calculation Sheet'!$P$23="","",'Final Calculation Sheet'!$P$23))&lt;&gt;"",UPPER(TRIM((IF('Final Calculation Sheet'!$P$23="","",'Final Calculation Sheet'!$P$23))&amp;""))=UPPER(TRIM($R$2&amp;"")))))</f>
        <v/>
      </c>
      <c r="S23">
        <f>IF($S$3=FALSE,TRUE,IF(OR(UPPER(TRIM($S$2))="(BLANK)",UPPER(TRIM($S$2))="BLANK",AND($S$2&lt;&gt;"",TRIM($S$2)="")),(IF('Final Calculation Sheet'!$Q$23="","",'Final Calculation Sheet'!$Q$23))="",IF(OR(UPPER(TRIM($S$2))="(NONBLANK)",UPPER(TRIM($S$2))="NONBLANK",TRIM($S$2)="&lt;&gt;"),(IF('Final Calculation Sheet'!$Q$23="","",'Final Calculation Sheet'!$Q$23))&lt;&gt;"",UPPER(TRIM((IF('Final Calculation Sheet'!$Q$23="","",'Final Calculation Sheet'!$Q$23))&amp;""))=UPPER(TRIM($S$2&amp;"")))))</f>
        <v/>
      </c>
      <c r="T23">
        <f>IF($T$3=FALSE,TRUE,IF(OR(UPPER(TRIM($T$2))="(BLANK)",UPPER(TRIM($T$2))="BLANK",AND($T$2&lt;&gt;"",TRIM($T$2)="")),(IF('Final Calculation Sheet'!$R$23="","",'Final Calculation Sheet'!$R$23))="",IF(OR(UPPER(TRIM($T$2))="(NONBLANK)",UPPER(TRIM($T$2))="NONBLANK",TRIM($T$2)="&lt;&gt;"),(IF('Final Calculation Sheet'!$R$23="","",'Final Calculation Sheet'!$R$23))&lt;&gt;"",UPPER(TRIM((IF('Final Calculation Sheet'!$R$23="","",'Final Calculation Sheet'!$R$23))&amp;""))=UPPER(TRIM($T$2&amp;"")))))</f>
        <v/>
      </c>
      <c r="U23">
        <f>IF($U$3=FALSE,TRUE,IF(OR(UPPER(TRIM($U$2))="(BLANK)",UPPER(TRIM($U$2))="BLANK",AND($U$2&lt;&gt;"",TRIM($U$2)="")),(IF('Final Calculation Sheet'!$S$23="","",'Final Calculation Sheet'!$S$23))="",IF(OR(UPPER(TRIM($U$2))="(NONBLANK)",UPPER(TRIM($U$2))="NONBLANK",TRIM($U$2)="&lt;&gt;"),(IF('Final Calculation Sheet'!$S$23="","",'Final Calculation Sheet'!$S$23))&lt;&gt;"",UPPER(TRIM((IF('Final Calculation Sheet'!$S$23="","",'Final Calculation Sheet'!$S$23))&amp;""))=UPPER(TRIM($U$2&amp;"")))))</f>
        <v/>
      </c>
      <c r="V23">
        <f>IF($V$3=FALSE,TRUE,IF(OR(UPPER(TRIM($V$2))="(BLANK)",UPPER(TRIM($V$2))="BLANK",AND($V$2&lt;&gt;"",TRIM($V$2)="")),(IF('Final Calculation Sheet'!$T$23="","",'Final Calculation Sheet'!$T$23))="",IF(OR(UPPER(TRIM($V$2))="(NONBLANK)",UPPER(TRIM($V$2))="NONBLANK",TRIM($V$2)="&lt;&gt;"),(IF('Final Calculation Sheet'!$T$23="","",'Final Calculation Sheet'!$T$23))&lt;&gt;"",UPPER(TRIM((IF('Final Calculation Sheet'!$T$23="","",'Final Calculation Sheet'!$T$23))&amp;""))=UPPER(TRIM($V$2&amp;"")))))</f>
        <v/>
      </c>
      <c r="W23">
        <f>IF($W$3=FALSE,TRUE,IF(OR(UPPER(TRIM($W$2))="(BLANK)",UPPER(TRIM($W$2))="BLANK",AND($W$2&lt;&gt;"",TRIM($W$2)="")),(IF('Final Calculation Sheet'!$U$23="","",'Final Calculation Sheet'!$U$23))="",IF(OR(UPPER(TRIM($W$2))="(NONBLANK)",UPPER(TRIM($W$2))="NONBLANK",TRIM($W$2)="&lt;&gt;"),(IF('Final Calculation Sheet'!$U$23="","",'Final Calculation Sheet'!$U$23))&lt;&gt;"",UPPER(TRIM((IF('Final Calculation Sheet'!$U$23="","",'Final Calculation Sheet'!$U$23))&amp;""))=UPPER(TRIM($W$2&amp;"")))))</f>
        <v/>
      </c>
      <c r="X23">
        <f>IF($X$3=FALSE,TRUE,IF(OR(UPPER(TRIM($X$2))="(BLANK)",UPPER(TRIM($X$2))="BLANK",AND($X$2&lt;&gt;"",TRIM($X$2)="")),(IF('Final Calculation Sheet'!$V$23="","",'Final Calculation Sheet'!$V$23))="",IF(OR(UPPER(TRIM($X$2))="(NONBLANK)",UPPER(TRIM($X$2))="NONBLANK",TRIM($X$2)="&lt;&gt;"),(IF('Final Calculation Sheet'!$V$23="","",'Final Calculation Sheet'!$V$23))&lt;&gt;"",UPPER(TRIM((IF('Final Calculation Sheet'!$V$23="","",'Final Calculation Sheet'!$V$23))&amp;""))=UPPER(TRIM($X$2&amp;"")))))</f>
        <v/>
      </c>
      <c r="Y23">
        <f>IF($Y$3=FALSE,TRUE,IF(OR(UPPER(TRIM($Y$2))="(BLANK)",UPPER(TRIM($Y$2))="BLANK",AND($Y$2&lt;&gt;"",TRIM($Y$2)="")),(IF('Final Calculation Sheet'!$W$23="","",'Final Calculation Sheet'!$W$23))="",IF(OR(UPPER(TRIM($Y$2))="(NONBLANK)",UPPER(TRIM($Y$2))="NONBLANK",TRIM($Y$2)="&lt;&gt;"),(IF('Final Calculation Sheet'!$W$23="","",'Final Calculation Sheet'!$W$23))&lt;&gt;"",UPPER(TRIM((IF('Final Calculation Sheet'!$W$23="","",'Final Calculation Sheet'!$W$23))&amp;""))=UPPER(TRIM($Y$2&amp;"")))))</f>
        <v/>
      </c>
      <c r="Z23">
        <f>IF($Z$3=FALSE,TRUE,IF(OR(UPPER(TRIM($Z$2))="(BLANK)",UPPER(TRIM($Z$2))="BLANK",AND($Z$2&lt;&gt;"",TRIM($Z$2)="")),(IF('Final Calculation Sheet'!$X$23="","",'Final Calculation Sheet'!$X$23))="",IF(OR(UPPER(TRIM($Z$2))="(NONBLANK)",UPPER(TRIM($Z$2))="NONBLANK",TRIM($Z$2)="&lt;&gt;"),(IF('Final Calculation Sheet'!$X$23="","",'Final Calculation Sheet'!$X$23))&lt;&gt;"",UPPER(TRIM((IF('Final Calculation Sheet'!$X$23="","",'Final Calculation Sheet'!$X$23))&amp;""))=UPPER(TRIM($Z$2&amp;"")))))</f>
        <v/>
      </c>
      <c r="AA23">
        <f>IF($AA$3=FALSE,TRUE,IF(OR(UPPER(TRIM($AA$2))="(BLANK)",UPPER(TRIM($AA$2))="BLANK",AND($AA$2&lt;&gt;"",TRIM($AA$2)="")),(IF('Final Calculation Sheet'!$Y$23="","",'Final Calculation Sheet'!$Y$23))="",IF(OR(UPPER(TRIM($AA$2))="(NONBLANK)",UPPER(TRIM($AA$2))="NONBLANK",TRIM($AA$2)="&lt;&gt;"),(IF('Final Calculation Sheet'!$Y$23="","",'Final Calculation Sheet'!$Y$23))&lt;&gt;"",UPPER(TRIM((IF('Final Calculation Sheet'!$Y$23="","",'Final Calculation Sheet'!$Y$23))&amp;""))=UPPER(TRIM($AA$2&amp;"")))))</f>
        <v/>
      </c>
      <c r="AB23">
        <f>IF($AB$3=FALSE,TRUE,IF(OR(UPPER(TRIM($AB$2))="(BLANK)",UPPER(TRIM($AB$2))="BLANK",AND($AB$2&lt;&gt;"",TRIM($AB$2)="")),(IF('Final Calculation Sheet'!$Z$23="","",'Final Calculation Sheet'!$Z$23))="",IF(OR(UPPER(TRIM($AB$2))="(NONBLANK)",UPPER(TRIM($AB$2))="NONBLANK",TRIM($AB$2)="&lt;&gt;"),(IF('Final Calculation Sheet'!$Z$23="","",'Final Calculation Sheet'!$Z$23))&lt;&gt;"",UPPER(TRIM((IF('Final Calculation Sheet'!$Z$23="","",'Final Calculation Sheet'!$Z$23))&amp;""))=UPPER(TRIM($AB$2&amp;"")))))</f>
        <v/>
      </c>
      <c r="AC23">
        <f>IF($AC$3=FALSE,TRUE,IF(OR(UPPER(TRIM($AC$2))="(BLANK)",UPPER(TRIM($AC$2))="BLANK",AND($AC$2&lt;&gt;"",TRIM($AC$2)="")),(IF('Final Calculation Sheet'!$AA$23="","",'Final Calculation Sheet'!$AA$23))="",IF(OR(UPPER(TRIM($AC$2))="(NONBLANK)",UPPER(TRIM($AC$2))="NONBLANK",TRIM($AC$2)="&lt;&gt;"),(IF('Final Calculation Sheet'!$AA$23="","",'Final Calculation Sheet'!$AA$23))&lt;&gt;"",UPPER(TRIM((IF('Final Calculation Sheet'!$AA$23="","",'Final Calculation Sheet'!$AA$23))&amp;""))=UPPER(TRIM($AC$2&amp;"")))))</f>
        <v/>
      </c>
      <c r="AD23">
        <f>IF($AD$3=FALSE,TRUE,IF(OR(UPPER(TRIM($AD$2))="(BLANK)",UPPER(TRIM($AD$2))="BLANK",AND($AD$2&lt;&gt;"",TRIM($AD$2)="")),(IF('Final Calculation Sheet'!$AB$23="","",'Final Calculation Sheet'!$AB$23))="",IF(OR(UPPER(TRIM($AD$2))="(NONBLANK)",UPPER(TRIM($AD$2))="NONBLANK",TRIM($AD$2)="&lt;&gt;"),(IF('Final Calculation Sheet'!$AB$23="","",'Final Calculation Sheet'!$AB$23))&lt;&gt;"",UPPER(TRIM((IF('Final Calculation Sheet'!$AB$23="","",'Final Calculation Sheet'!$AB$23))&amp;""))=UPPER(TRIM($AD$2&amp;"")))))</f>
        <v/>
      </c>
      <c r="AE23">
        <f>IF($AE$3=FALSE,TRUE,IF(OR(UPPER(TRIM($AE$2))="(BLANK)",UPPER(TRIM($AE$2))="BLANK",AND($AE$2&lt;&gt;"",TRIM($AE$2)="")),(IF('Final Calculation Sheet'!$AC$23="","",'Final Calculation Sheet'!$AC$23))="",IF(OR(UPPER(TRIM($AE$2))="(NONBLANK)",UPPER(TRIM($AE$2))="NONBLANK",TRIM($AE$2)="&lt;&gt;"),(IF('Final Calculation Sheet'!$AC$23="","",'Final Calculation Sheet'!$AC$23))&lt;&gt;"",UPPER(TRIM((IF('Final Calculation Sheet'!$AC$23="","",'Final Calculation Sheet'!$AC$23))&amp;""))=UPPER(TRIM($AE$2&amp;"")))))</f>
        <v/>
      </c>
      <c r="AF23">
        <f>IF($AF$3=FALSE,TRUE,IF(OR(UPPER(TRIM($AF$2))="(BLANK)",UPPER(TRIM($AF$2))="BLANK",AND($AF$2&lt;&gt;"",TRIM($AF$2)="")),(IF('Final Calculation Sheet'!$AD$23="","",'Final Calculation Sheet'!$AD$23))="",IF(OR(UPPER(TRIM($AF$2))="(NONBLANK)",UPPER(TRIM($AF$2))="NONBLANK",TRIM($AF$2)="&lt;&gt;"),(IF('Final Calculation Sheet'!$AD$23="","",'Final Calculation Sheet'!$AD$23))&lt;&gt;"",UPPER(TRIM((IF('Final Calculation Sheet'!$AD$23="","",'Final Calculation Sheet'!$AD$23))&amp;""))=UPPER(TRIM($AF$2&amp;"")))))</f>
        <v/>
      </c>
      <c r="AG23">
        <f>IF($AG$3=FALSE,TRUE,IF(OR(UPPER(TRIM($AG$2))="(BLANK)",UPPER(TRIM($AG$2))="BLANK",AND($AG$2&lt;&gt;"",TRIM($AG$2)="")),(IF('Final Calculation Sheet'!$AE$23="","",'Final Calculation Sheet'!$AE$23))="",IF(OR(UPPER(TRIM($AG$2))="(NONBLANK)",UPPER(TRIM($AG$2))="NONBLANK",TRIM($AG$2)="&lt;&gt;"),(IF('Final Calculation Sheet'!$AE$23="","",'Final Calculation Sheet'!$AE$23))&lt;&gt;"",UPPER(TRIM((IF('Final Calculation Sheet'!$AE$23="","",'Final Calculation Sheet'!$AE$23))&amp;""))=UPPER(TRIM($AG$2&amp;"")))))</f>
        <v/>
      </c>
      <c r="AH23">
        <f>IF($AH$3=FALSE,TRUE,IF(OR(UPPER(TRIM($AH$2))="(BLANK)",UPPER(TRIM($AH$2))="BLANK",AND($AH$2&lt;&gt;"",TRIM($AH$2)="")),(IF('Final Calculation Sheet'!$AF$23="","",'Final Calculation Sheet'!$AF$23))="",IF(OR(UPPER(TRIM($AH$2))="(NONBLANK)",UPPER(TRIM($AH$2))="NONBLANK",TRIM($AH$2)="&lt;&gt;"),(IF('Final Calculation Sheet'!$AF$23="","",'Final Calculation Sheet'!$AF$23))&lt;&gt;"",UPPER(TRIM((IF('Final Calculation Sheet'!$AF$23="","",'Final Calculation Sheet'!$AF$23))&amp;""))=UPPER(TRIM($AH$2&amp;"")))))</f>
        <v/>
      </c>
      <c r="AI23">
        <f>IF($AI$3=FALSE,TRUE,IF(OR(UPPER(TRIM($AI$2))="(BLANK)",UPPER(TRIM($AI$2))="BLANK",AND($AI$2&lt;&gt;"",TRIM($AI$2)="")),(IF('Final Calculation Sheet'!$AG$23="","",'Final Calculation Sheet'!$AG$23))="",IF(OR(UPPER(TRIM($AI$2))="(NONBLANK)",UPPER(TRIM($AI$2))="NONBLANK",TRIM($AI$2)="&lt;&gt;"),(IF('Final Calculation Sheet'!$AG$23="","",'Final Calculation Sheet'!$AG$23))&lt;&gt;"",UPPER(TRIM((IF('Final Calculation Sheet'!$AG$23="","",'Final Calculation Sheet'!$AG$23))&amp;""))=UPPER(TRIM($AI$2&amp;"")))))</f>
        <v/>
      </c>
      <c r="AJ23">
        <f>IF($AJ$3=FALSE,TRUE,IF(OR(UPPER(TRIM($AJ$2))="(BLANK)",UPPER(TRIM($AJ$2))="BLANK",AND($AJ$2&lt;&gt;"",TRIM($AJ$2)="")),(IF('Final Calculation Sheet'!$AD$23="","",IF('Final Calculation Sheet'!$AD$23&lt;=5,"SETTLED","OUTSTANDING")))="",IF(OR(UPPER(TRIM($AJ$2))="(NONBLANK)",UPPER(TRIM($AJ$2))="NONBLANK",TRIM($AJ$2)="&lt;&gt;"),(IF('Final Calculation Sheet'!$AD$23="","",IF('Final Calculation Sheet'!$AD$23&lt;=5,"SETTLED","OUTSTANDING")))&lt;&gt;"",UPPER(TRIM((IF('Final Calculation Sheet'!$AD$23="","",IF('Final Calculation Sheet'!$AD$23&lt;=5,"SETTLED","OUTSTANDING")))&amp;""))=UPPER(TRIM($AJ$2&amp;"")))))</f>
        <v/>
      </c>
      <c r="AL23">
        <f>IF(AND($B$23,$D$23:$AJ$23),IF('Final Calculation Sheet'!$F$23="","",'Final Calculation Sheet'!$F$23),"")</f>
        <v/>
      </c>
      <c r="AM23">
        <f>IF(AL23="","",COUNTIFS(AL$4:AL$40,"&lt;"&amp;AL23,AL$4:AL$40,"&lt;&gt;"&amp;"")+COUNTIF(AL$4:AL23,AL23))</f>
        <v/>
      </c>
      <c r="AN23">
        <f>IF(ROW()-3&gt;COUNTIF(AL$4:AL$40,"&lt;&gt;"&amp;""),"",INDEX(AL$4:AL$40,MATCH(ROW()-3,AM$4:AM$40,0)))</f>
        <v/>
      </c>
      <c r="AO23">
        <f>AO22+IF(AND(AN23&lt;&gt;"",COUNTIF(AN$4:AN23,AN23)=1),1,0)</f>
        <v/>
      </c>
      <c r="AP23">
        <f>IF(ROW()-3&gt;MAX(AO$4:AO$40),"",INDEX(AN$4:AN$40,MATCH(ROW()-3,AO$4:AO$40,0)))</f>
        <v/>
      </c>
      <c r="AQ23">
        <f>IF(AND($B$23:$C$23,$E$23:$AJ$23),IF('Final Calculation Sheet'!$G$23="","",'Final Calculation Sheet'!$G$23),"")</f>
        <v/>
      </c>
      <c r="AR23">
        <f>IF(AQ23="","",COUNTIFS(AQ$4:AQ$40,"&lt;"&amp;AQ23,AQ$4:AQ$40,"&lt;&gt;"&amp;"")+COUNTIF(AQ$4:AQ23,AQ23))</f>
        <v/>
      </c>
      <c r="AS23">
        <f>IF(ROW()-3&gt;COUNTIF(AQ$4:AQ$40,"&lt;&gt;"&amp;""),"",INDEX(AQ$4:AQ$40,MATCH(ROW()-3,AR$4:AR$40,0)))</f>
        <v/>
      </c>
      <c r="AT23">
        <f>AT22+IF(AND(AS23&lt;&gt;"",COUNTIF(AS$4:AS23,AS23)=1),1,0)</f>
        <v/>
      </c>
      <c r="AU23">
        <f>IF(ROW()-3&gt;MAX(AT$4:AT$40),"",INDEX(AS$4:AS$40,MATCH(ROW()-3,AT$4:AT$40,0)))</f>
        <v/>
      </c>
      <c r="AV23">
        <f>IF(AND($B$23:$D$23,$F$23:$AJ$23),IF('Final Calculation Sheet'!$B$23="","",'Final Calculation Sheet'!$B$23),"")</f>
        <v/>
      </c>
      <c r="AW23">
        <f>IF(AV23="","",COUNTIFS(AV$4:AV$40,"&lt;"&amp;AV23,AV$4:AV$40,"&lt;&gt;"&amp;"")+COUNTIF(AV$4:AV23,AV23))</f>
        <v/>
      </c>
      <c r="AX23">
        <f>IF(ROW()-3&gt;COUNTIF(AV$4:AV$40,"&lt;&gt;"&amp;""),"",INDEX(AV$4:AV$40,MATCH(ROW()-3,AW$4:AW$40,0)))</f>
        <v/>
      </c>
      <c r="AY23">
        <f>AY22+IF(AND(AX23&lt;&gt;"",COUNTIF(AX$4:AX23,AX23)=1),1,0)</f>
        <v/>
      </c>
      <c r="AZ23">
        <f>IF(ROW()-3&gt;MAX(AY$4:AY$40),"",INDEX(AX$4:AX$40,MATCH(ROW()-3,AY$4:AY$40,0)))</f>
        <v/>
      </c>
      <c r="BA23">
        <f>IF(AND($B$23:$E$23,$G$23:$AJ$23),IF('Final Calculation Sheet'!$D$23="","",'Final Calculation Sheet'!$D$23),"")</f>
        <v/>
      </c>
      <c r="BB23">
        <f>IF(BA23="","",COUNTIFS(BA$4:BA$40,"&lt;"&amp;BA23,BA$4:BA$40,"&lt;&gt;"&amp;"")+COUNTIF(BA$4:BA23,BA23))</f>
        <v/>
      </c>
      <c r="BC23">
        <f>IF(ROW()-3&gt;COUNTIF(BA$4:BA$40,"&lt;&gt;"&amp;""),"",INDEX(BA$4:BA$40,MATCH(ROW()-3,BB$4:BB$40,0)))</f>
        <v/>
      </c>
      <c r="BD23">
        <f>BD22+IF(AND(BC23&lt;&gt;"",COUNTIF(BC$4:BC23,BC23)=1),1,0)</f>
        <v/>
      </c>
      <c r="BE23">
        <f>IF(ROW()-3&gt;MAX(BD$4:BD$40),"",INDEX(BC$4:BC$40,MATCH(ROW()-3,BD$4:BD$40,0)))</f>
        <v/>
      </c>
      <c r="BF23">
        <f>IF(AND($B$23:$F$23,$H$23:$AJ$23),IF('Final Calculation Sheet'!$A$23="","",'Final Calculation Sheet'!$A$23),"")</f>
        <v/>
      </c>
      <c r="BG23">
        <f>IF(BF23="","",COUNTIFS(BF$4:BF$40,"&lt;"&amp;BF23,BF$4:BF$40,"&lt;&gt;"&amp;"")+COUNTIF(BF$4:BF23,BF23))</f>
        <v/>
      </c>
      <c r="BH23">
        <f>IF(ROW()-3&gt;COUNTIF(BF$4:BF$40,"&lt;&gt;"&amp;""),"",INDEX(BF$4:BF$40,MATCH(ROW()-3,BG$4:BG$40,0)))</f>
        <v/>
      </c>
      <c r="BI23">
        <f>BI22+IF(AND(BH23&lt;&gt;"",COUNTIF(BH$4:BH23,BH23)=1),1,0)</f>
        <v/>
      </c>
      <c r="BJ23">
        <f>IF(ROW()-3&gt;MAX(BI$4:BI$40),"",INDEX(BH$4:BH$40,MATCH(ROW()-3,BI$4:BI$40,0)))</f>
        <v/>
      </c>
      <c r="BK23">
        <f>IF(AND($B$23:$G$23,$I$23:$AJ$23),IF('Final Calculation Sheet'!$E$23="","",'Final Calculation Sheet'!$E$23),"")</f>
        <v/>
      </c>
      <c r="BL23">
        <f>IF(BK23="","",COUNTIFS(BK$4:BK$40,"&lt;"&amp;BK23,BK$4:BK$40,"&lt;&gt;"&amp;"")+COUNTIF(BK$4:BK23,BK23))</f>
        <v/>
      </c>
      <c r="BM23">
        <f>IF(ROW()-3&gt;COUNTIF(BK$4:BK$40,"&lt;&gt;"&amp;""),"",INDEX(BK$4:BK$40,MATCH(ROW()-3,BL$4:BL$40,0)))</f>
        <v/>
      </c>
      <c r="BN23">
        <f>BN22+IF(AND(BM23&lt;&gt;"",COUNTIF(BM$4:BM23,BM23)=1),1,0)</f>
        <v/>
      </c>
      <c r="BO23">
        <f>IF(ROW()-3&gt;MAX(BN$4:BN$40),"",INDEX(BM$4:BM$40,MATCH(ROW()-3,BN$4:BN$40,0)))</f>
        <v/>
      </c>
      <c r="BP23" s="55">
        <f>IF(AND($B$23:$H$23,$J$23:$AJ$23),IF('Final Calculation Sheet'!$C$23="","",'Final Calculation Sheet'!$C$23),"")</f>
        <v/>
      </c>
      <c r="BQ23">
        <f>IF(BP23="","",COUNTIFS(BP$4:BP$40,"&lt;"&amp;BP23,BP$4:BP$40,"&lt;&gt;"&amp;"")+COUNTIF(BP$4:BP23,BP23))</f>
        <v/>
      </c>
      <c r="BR23" s="55">
        <f>IF(ROW()-3&gt;COUNTIF(BP$4:BP$40,"&lt;&gt;"&amp;""),"",INDEX(BP$4:BP$40,MATCH(ROW()-3,BQ$4:BQ$40,0)))</f>
        <v/>
      </c>
      <c r="BS23">
        <f>BS22+IF(AND(BR23&lt;&gt;"",COUNTIF(BR$4:BR23,BR23)=1),1,0)</f>
        <v/>
      </c>
      <c r="BT23" s="55">
        <f>IF(ROW()-3&gt;MAX(BS$4:BS$40),"",INDEX(BR$4:BR$40,MATCH(ROW()-3,BS$4:BS$40,0)))</f>
        <v/>
      </c>
      <c r="BU23" s="55">
        <f>IF(AND($B$23:$I$23,$K$23:$AJ$23),IF('Final Calculation Sheet'!$H$23="","",'Final Calculation Sheet'!$H$23),"")</f>
        <v/>
      </c>
      <c r="BV23">
        <f>IF(BU23="","",COUNTIFS(BU$4:BU$40,"&lt;"&amp;BU23,BU$4:BU$40,"&lt;&gt;"&amp;"")+COUNTIF(BU$4:BU23,BU23))</f>
        <v/>
      </c>
      <c r="BW23" s="55">
        <f>IF(ROW()-3&gt;COUNTIF(BU$4:BU$40,"&lt;&gt;"&amp;""),"",INDEX(BU$4:BU$40,MATCH(ROW()-3,BV$4:BV$40,0)))</f>
        <v/>
      </c>
      <c r="BX23">
        <f>BX22+IF(AND(BW23&lt;&gt;"",COUNTIF(BW$4:BW23,BW23)=1),1,0)</f>
        <v/>
      </c>
      <c r="BY23" s="55">
        <f>IF(ROW()-3&gt;MAX(BX$4:BX$40),"",INDEX(BW$4:BW$40,MATCH(ROW()-3,BX$4:BX$40,0)))</f>
        <v/>
      </c>
      <c r="BZ23" s="55">
        <f>IF(AND($B$23:$J$23,$L$23:$AJ$23),IF('Final Calculation Sheet'!$I$23="","",'Final Calculation Sheet'!$I$23),"")</f>
        <v/>
      </c>
      <c r="CA23">
        <f>IF(BZ23="","",COUNTIFS(BZ$4:BZ$40,"&lt;"&amp;BZ23,BZ$4:BZ$40,"&lt;&gt;"&amp;"")+COUNTIF(BZ$4:BZ23,BZ23))</f>
        <v/>
      </c>
      <c r="CB23" s="55">
        <f>IF(ROW()-3&gt;COUNTIF(BZ$4:BZ$40,"&lt;&gt;"&amp;""),"",INDEX(BZ$4:BZ$40,MATCH(ROW()-3,CA$4:CA$40,0)))</f>
        <v/>
      </c>
      <c r="CC23">
        <f>CC22+IF(AND(CB23&lt;&gt;"",COUNTIF(CB$4:CB23,CB23)=1),1,0)</f>
        <v/>
      </c>
      <c r="CD23" s="55">
        <f>IF(ROW()-3&gt;MAX(CC$4:CC$40),"",INDEX(CB$4:CB$40,MATCH(ROW()-3,CC$4:CC$40,0)))</f>
        <v/>
      </c>
      <c r="CE23" s="55">
        <f>IF(AND($B$23:$K$23,$M$23:$AJ$23),IF('Final Calculation Sheet'!$J$23="","",'Final Calculation Sheet'!$J$23),"")</f>
        <v/>
      </c>
      <c r="CF23">
        <f>IF(CE23="","",COUNTIFS(CE$4:CE$40,"&lt;"&amp;CE23,CE$4:CE$40,"&lt;&gt;"&amp;"")+COUNTIF(CE$4:CE23,CE23))</f>
        <v/>
      </c>
      <c r="CG23" s="55">
        <f>IF(ROW()-3&gt;COUNTIF(CE$4:CE$40,"&lt;&gt;"&amp;""),"",INDEX(CE$4:CE$40,MATCH(ROW()-3,CF$4:CF$40,0)))</f>
        <v/>
      </c>
      <c r="CH23">
        <f>CH22+IF(AND(CG23&lt;&gt;"",COUNTIF(CG$4:CG23,CG23)=1),1,0)</f>
        <v/>
      </c>
      <c r="CI23" s="55">
        <f>IF(ROW()-3&gt;MAX(CH$4:CH$40),"",INDEX(CG$4:CG$40,MATCH(ROW()-3,CH$4:CH$40,0)))</f>
        <v/>
      </c>
      <c r="CJ23" s="55">
        <f>IF(AND($B$23:$L$23,$N$23:$AJ$23),IF('Final Calculation Sheet'!$K$23="","",'Final Calculation Sheet'!$K$23),"")</f>
        <v/>
      </c>
      <c r="CK23">
        <f>IF(CJ23="","",COUNTIFS(CJ$4:CJ$40,"&lt;"&amp;CJ23,CJ$4:CJ$40,"&lt;&gt;"&amp;"")+COUNTIF(CJ$4:CJ23,CJ23))</f>
        <v/>
      </c>
      <c r="CL23" s="55">
        <f>IF(ROW()-3&gt;COUNTIF(CJ$4:CJ$40,"&lt;&gt;"&amp;""),"",INDEX(CJ$4:CJ$40,MATCH(ROW()-3,CK$4:CK$40,0)))</f>
        <v/>
      </c>
      <c r="CM23">
        <f>CM22+IF(AND(CL23&lt;&gt;"",COUNTIF(CL$4:CL23,CL23)=1),1,0)</f>
        <v/>
      </c>
      <c r="CN23" s="55">
        <f>IF(ROW()-3&gt;MAX(CM$4:CM$40),"",INDEX(CL$4:CL$40,MATCH(ROW()-3,CM$4:CM$40,0)))</f>
        <v/>
      </c>
      <c r="CO23" s="55">
        <f>IF(AND($B$23:$M$23,$O$23:$AJ$23),IF('Final Calculation Sheet'!$L$23="","",'Final Calculation Sheet'!$L$23),"")</f>
        <v/>
      </c>
      <c r="CP23">
        <f>IF(CO23="","",COUNTIFS(CO$4:CO$40,"&lt;"&amp;CO23,CO$4:CO$40,"&lt;&gt;"&amp;"")+COUNTIF(CO$4:CO23,CO23))</f>
        <v/>
      </c>
      <c r="CQ23" s="55">
        <f>IF(ROW()-3&gt;COUNTIF(CO$4:CO$40,"&lt;&gt;"&amp;""),"",INDEX(CO$4:CO$40,MATCH(ROW()-3,CP$4:CP$40,0)))</f>
        <v/>
      </c>
      <c r="CR23">
        <f>CR22+IF(AND(CQ23&lt;&gt;"",COUNTIF(CQ$4:CQ23,CQ23)=1),1,0)</f>
        <v/>
      </c>
      <c r="CS23" s="55">
        <f>IF(ROW()-3&gt;MAX(CR$4:CR$40),"",INDEX(CQ$4:CQ$40,MATCH(ROW()-3,CR$4:CR$40,0)))</f>
        <v/>
      </c>
      <c r="CT23" s="55">
        <f>IF(AND($B$23:$N$23,$P$23:$AJ$23),IF('Final Calculation Sheet'!$M$23="","",'Final Calculation Sheet'!$M$23),"")</f>
        <v/>
      </c>
      <c r="CU23">
        <f>IF(CT23="","",COUNTIFS(CT$4:CT$40,"&lt;"&amp;CT23,CT$4:CT$40,"&lt;&gt;"&amp;"")+COUNTIF(CT$4:CT23,CT23))</f>
        <v/>
      </c>
      <c r="CV23" s="55">
        <f>IF(ROW()-3&gt;COUNTIF(CT$4:CT$40,"&lt;&gt;"&amp;""),"",INDEX(CT$4:CT$40,MATCH(ROW()-3,CU$4:CU$40,0)))</f>
        <v/>
      </c>
      <c r="CW23">
        <f>CW22+IF(AND(CV23&lt;&gt;"",COUNTIF(CV$4:CV23,CV23)=1),1,0)</f>
        <v/>
      </c>
      <c r="CX23" s="55">
        <f>IF(ROW()-3&gt;MAX(CW$4:CW$40),"",INDEX(CV$4:CV$40,MATCH(ROW()-3,CW$4:CW$40,0)))</f>
        <v/>
      </c>
      <c r="CY23" s="138">
        <f>IF(AND($B$23:$O$23,$Q$23:$AJ$23),IF('Final Calculation Sheet'!$N$23="","",'Final Calculation Sheet'!$N$23),"")</f>
        <v/>
      </c>
      <c r="CZ23">
        <f>IF(CY23="","",COUNTIFS(CY$4:CY$40,"&lt;"&amp;CY23,CY$4:CY$40,"&lt;&gt;"&amp;"")+COUNTIF(CY$4:CY23,CY23))</f>
        <v/>
      </c>
      <c r="DA23" s="138">
        <f>IF(ROW()-3&gt;COUNTIF(CY$4:CY$40,"&lt;&gt;"&amp;""),"",INDEX(CY$4:CY$40,MATCH(ROW()-3,CZ$4:CZ$40,0)))</f>
        <v/>
      </c>
      <c r="DB23">
        <f>DB22+IF(AND(DA23&lt;&gt;"",COUNTIF(DA$4:DA23,DA23)=1),1,0)</f>
        <v/>
      </c>
      <c r="DC23" s="138">
        <f>IF(ROW()-3&gt;MAX(DB$4:DB$40),"",INDEX(DA$4:DA$40,MATCH(ROW()-3,DB$4:DB$40,0)))</f>
        <v/>
      </c>
      <c r="DD23" s="55">
        <f>IF(AND($B$23:$P$23,$R$23:$AJ$23),IF('Final Calculation Sheet'!$O$23="","",'Final Calculation Sheet'!$O$23),"")</f>
        <v/>
      </c>
      <c r="DE23">
        <f>IF(DD23="","",COUNTIFS(DD$4:DD$40,"&lt;"&amp;DD23,DD$4:DD$40,"&lt;&gt;"&amp;"")+COUNTIF(DD$4:DD23,DD23))</f>
        <v/>
      </c>
      <c r="DF23" s="55">
        <f>IF(ROW()-3&gt;COUNTIF(DD$4:DD$40,"&lt;&gt;"&amp;""),"",INDEX(DD$4:DD$40,MATCH(ROW()-3,DE$4:DE$40,0)))</f>
        <v/>
      </c>
      <c r="DG23">
        <f>DG22+IF(AND(DF23&lt;&gt;"",COUNTIF(DF$4:DF23,DF23)=1),1,0)</f>
        <v/>
      </c>
      <c r="DH23" s="55">
        <f>IF(ROW()-3&gt;MAX(DG$4:DG$40),"",INDEX(DF$4:DF$40,MATCH(ROW()-3,DG$4:DG$40,0)))</f>
        <v/>
      </c>
      <c r="DI23" s="55">
        <f>IF(AND($B$23:$Q$23,$S$23:$AJ$23),IF('Final Calculation Sheet'!$P$23="","",'Final Calculation Sheet'!$P$23),"")</f>
        <v/>
      </c>
      <c r="DJ23">
        <f>IF(DI23="","",COUNTIFS(DI$4:DI$40,"&lt;"&amp;DI23,DI$4:DI$40,"&lt;&gt;"&amp;"")+COUNTIF(DI$4:DI23,DI23))</f>
        <v/>
      </c>
      <c r="DK23" s="55">
        <f>IF(ROW()-3&gt;COUNTIF(DI$4:DI$40,"&lt;&gt;"&amp;""),"",INDEX(DI$4:DI$40,MATCH(ROW()-3,DJ$4:DJ$40,0)))</f>
        <v/>
      </c>
      <c r="DL23">
        <f>DL22+IF(AND(DK23&lt;&gt;"",COUNTIF(DK$4:DK23,DK23)=1),1,0)</f>
        <v/>
      </c>
      <c r="DM23" s="55">
        <f>IF(ROW()-3&gt;MAX(DL$4:DL$40),"",INDEX(DK$4:DK$40,MATCH(ROW()-3,DL$4:DL$40,0)))</f>
        <v/>
      </c>
      <c r="DN23" s="139">
        <f>IF(AND($B$23:$R$23,$T$23:$AJ$23),IF('Final Calculation Sheet'!$Q$23="","",'Final Calculation Sheet'!$Q$23),"")</f>
        <v/>
      </c>
      <c r="DO23">
        <f>IF(DN23="","",COUNTIFS(DN$4:DN$40,"&lt;"&amp;DN23,DN$4:DN$40,"&lt;&gt;"&amp;"")+COUNTIF(DN$4:DN23,DN23))</f>
        <v/>
      </c>
      <c r="DP23" s="139">
        <f>IF(ROW()-3&gt;COUNTIF(DN$4:DN$40,"&lt;&gt;"&amp;""),"",INDEX(DN$4:DN$40,MATCH(ROW()-3,DO$4:DO$40,0)))</f>
        <v/>
      </c>
      <c r="DQ23">
        <f>DQ22+IF(AND(DP23&lt;&gt;"",COUNTIF(DP$4:DP23,DP23)=1),1,0)</f>
        <v/>
      </c>
      <c r="DR23" s="139">
        <f>IF(ROW()-3&gt;MAX(DQ$4:DQ$40),"",INDEX(DP$4:DP$40,MATCH(ROW()-3,DQ$4:DQ$40,0)))</f>
        <v/>
      </c>
      <c r="DS23" s="55">
        <f>IF(AND($B$23:$S$23,$U$23:$AJ$23),IF('Final Calculation Sheet'!$R$23="","",'Final Calculation Sheet'!$R$23),"")</f>
        <v/>
      </c>
      <c r="DT23">
        <f>IF(DS23="","",COUNTIFS(DS$4:DS$40,"&lt;"&amp;DS23,DS$4:DS$40,"&lt;&gt;"&amp;"")+COUNTIF(DS$4:DS23,DS23))</f>
        <v/>
      </c>
      <c r="DU23" s="55">
        <f>IF(ROW()-3&gt;COUNTIF(DS$4:DS$40,"&lt;&gt;"&amp;""),"",INDEX(DS$4:DS$40,MATCH(ROW()-3,DT$4:DT$40,0)))</f>
        <v/>
      </c>
      <c r="DV23">
        <f>DV22+IF(AND(DU23&lt;&gt;"",COUNTIF(DU$4:DU23,DU23)=1),1,0)</f>
        <v/>
      </c>
      <c r="DW23" s="55">
        <f>IF(ROW()-3&gt;MAX(DV$4:DV$40),"",INDEX(DU$4:DU$40,MATCH(ROW()-3,DV$4:DV$40,0)))</f>
        <v/>
      </c>
      <c r="DX23" s="55">
        <f>IF(AND($B$23:$T$23,$V$23:$AJ$23),IF('Final Calculation Sheet'!$S$23="","",'Final Calculation Sheet'!$S$23),"")</f>
        <v/>
      </c>
      <c r="DY23">
        <f>IF(DX23="","",COUNTIFS(DX$4:DX$40,"&lt;"&amp;DX23,DX$4:DX$40,"&lt;&gt;"&amp;"")+COUNTIF(DX$4:DX23,DX23))</f>
        <v/>
      </c>
      <c r="DZ23" s="55">
        <f>IF(ROW()-3&gt;COUNTIF(DX$4:DX$40,"&lt;&gt;"&amp;""),"",INDEX(DX$4:DX$40,MATCH(ROW()-3,DY$4:DY$40,0)))</f>
        <v/>
      </c>
      <c r="EA23">
        <f>EA22+IF(AND(DZ23&lt;&gt;"",COUNTIF(DZ$4:DZ23,DZ23)=1),1,0)</f>
        <v/>
      </c>
      <c r="EB23" s="55">
        <f>IF(ROW()-3&gt;MAX(EA$4:EA$40),"",INDEX(DZ$4:DZ$40,MATCH(ROW()-3,EA$4:EA$40,0)))</f>
        <v/>
      </c>
      <c r="EC23" s="55">
        <f>IF(AND($B$23:$U$23,$W$23:$AJ$23),IF('Final Calculation Sheet'!$T$23="","",'Final Calculation Sheet'!$T$23),"")</f>
        <v/>
      </c>
      <c r="ED23">
        <f>IF(EC23="","",COUNTIFS(EC$4:EC$40,"&lt;"&amp;EC23,EC$4:EC$40,"&lt;&gt;"&amp;"")+COUNTIF(EC$4:EC23,EC23))</f>
        <v/>
      </c>
      <c r="EE23" s="55">
        <f>IF(ROW()-3&gt;COUNTIF(EC$4:EC$40,"&lt;&gt;"&amp;""),"",INDEX(EC$4:EC$40,MATCH(ROW()-3,ED$4:ED$40,0)))</f>
        <v/>
      </c>
      <c r="EF23">
        <f>EF22+IF(AND(EE23&lt;&gt;"",COUNTIF(EE$4:EE23,EE23)=1),1,0)</f>
        <v/>
      </c>
      <c r="EG23" s="55">
        <f>IF(ROW()-3&gt;MAX(EF$4:EF$40),"",INDEX(EE$4:EE$40,MATCH(ROW()-3,EF$4:EF$40,0)))</f>
        <v/>
      </c>
      <c r="EH23" s="140">
        <f>IF(AND($B$23:$V$23,$X$23:$AJ$23),IF('Final Calculation Sheet'!$U$23="","",'Final Calculation Sheet'!$U$23),"")</f>
        <v/>
      </c>
      <c r="EI23">
        <f>IF(EH23="","",COUNTIFS(EH$4:EH$40,"&lt;"&amp;EH23,EH$4:EH$40,"&lt;&gt;"&amp;"")+COUNTIF(EH$4:EH23,EH23))</f>
        <v/>
      </c>
      <c r="EJ23" s="140">
        <f>IF(ROW()-3&gt;COUNTIF(EH$4:EH$40,"&lt;&gt;"&amp;""),"",INDEX(EH$4:EH$40,MATCH(ROW()-3,EI$4:EI$40,0)))</f>
        <v/>
      </c>
      <c r="EK23">
        <f>EK22+IF(AND(EJ23&lt;&gt;"",COUNTIF(EJ$4:EJ23,EJ23)=1),1,0)</f>
        <v/>
      </c>
      <c r="EL23" s="140">
        <f>IF(ROW()-3&gt;MAX(EK$4:EK$40),"",INDEX(EJ$4:EJ$40,MATCH(ROW()-3,EK$4:EK$40,0)))</f>
        <v/>
      </c>
      <c r="EM23">
        <f>IF(AND($B$23:$W$23,$Y$23:$AJ$23),IF('Final Calculation Sheet'!$V$23="","",'Final Calculation Sheet'!$V$23),"")</f>
        <v/>
      </c>
      <c r="EN23">
        <f>IF(EM23="","",COUNTIFS(EM$4:EM$40,"&lt;"&amp;EM23,EM$4:EM$40,"&lt;&gt;"&amp;"")+COUNTIF(EM$4:EM23,EM23))</f>
        <v/>
      </c>
      <c r="EO23">
        <f>IF(ROW()-3&gt;COUNTIF(EM$4:EM$40,"&lt;&gt;"&amp;""),"",INDEX(EM$4:EM$40,MATCH(ROW()-3,EN$4:EN$40,0)))</f>
        <v/>
      </c>
      <c r="EP23">
        <f>EP22+IF(AND(EO23&lt;&gt;"",COUNTIF(EO$4:EO23,EO23)=1),1,0)</f>
        <v/>
      </c>
      <c r="EQ23">
        <f>IF(ROW()-3&gt;MAX(EP$4:EP$40),"",INDEX(EO$4:EO$40,MATCH(ROW()-3,EP$4:EP$40,0)))</f>
        <v/>
      </c>
      <c r="ER23" s="55">
        <f>IF(AND($B$23:$X$23,$Z$23:$AJ$23),IF('Final Calculation Sheet'!$W$23="","",'Final Calculation Sheet'!$W$23),"")</f>
        <v/>
      </c>
      <c r="ES23">
        <f>IF(ER23="","",COUNTIFS(ER$4:ER$40,"&lt;"&amp;ER23,ER$4:ER$40,"&lt;&gt;"&amp;"")+COUNTIF(ER$4:ER23,ER23))</f>
        <v/>
      </c>
      <c r="ET23" s="55">
        <f>IF(ROW()-3&gt;COUNTIF(ER$4:ER$40,"&lt;&gt;"&amp;""),"",INDEX(ER$4:ER$40,MATCH(ROW()-3,ES$4:ES$40,0)))</f>
        <v/>
      </c>
      <c r="EU23">
        <f>EU22+IF(AND(ET23&lt;&gt;"",COUNTIF(ET$4:ET23,ET23)=1),1,0)</f>
        <v/>
      </c>
      <c r="EV23" s="55">
        <f>IF(ROW()-3&gt;MAX(EU$4:EU$40),"",INDEX(ET$4:ET$40,MATCH(ROW()-3,EU$4:EU$40,0)))</f>
        <v/>
      </c>
      <c r="EW23" s="55">
        <f>IF(AND($B$23:$Y$23,$AA$23:$AJ$23),IF('Final Calculation Sheet'!$X$23="","",'Final Calculation Sheet'!$X$23),"")</f>
        <v/>
      </c>
      <c r="EX23">
        <f>IF(EW23="","",COUNTIFS(EW$4:EW$40,"&lt;"&amp;EW23,EW$4:EW$40,"&lt;&gt;"&amp;"")+COUNTIF(EW$4:EW23,EW23))</f>
        <v/>
      </c>
      <c r="EY23" s="55">
        <f>IF(ROW()-3&gt;COUNTIF(EW$4:EW$40,"&lt;&gt;"&amp;""),"",INDEX(EW$4:EW$40,MATCH(ROW()-3,EX$4:EX$40,0)))</f>
        <v/>
      </c>
      <c r="EZ23">
        <f>EZ22+IF(AND(EY23&lt;&gt;"",COUNTIF(EY$4:EY23,EY23)=1),1,0)</f>
        <v/>
      </c>
      <c r="FA23">
        <f>IF(ROW()-3&gt;MAX(EZ$4:EZ$40),"",INDEX(EY$4:EY$40,MATCH(ROW()-3,EZ$4:EZ$40,0)))</f>
        <v/>
      </c>
      <c r="FB23">
        <f>IF(AND($B$23:$Z$23,$AB$23:$AJ$23),IF('Final Calculation Sheet'!$Y$23="","",'Final Calculation Sheet'!$Y$23),"")</f>
        <v/>
      </c>
      <c r="FC23">
        <f>IF(FB23="","",COUNTIFS(FB$4:FB$40,"&lt;"&amp;FB23,FB$4:FB$40,"&lt;&gt;"&amp;"")+COUNTIF(FB$4:FB23,FB23))</f>
        <v/>
      </c>
      <c r="FD23">
        <f>IF(ROW()-3&gt;COUNTIF(FB$4:FB$40,"&lt;&gt;"&amp;""),"",INDEX(FB$4:FB$40,MATCH(ROW()-3,FC$4:FC$40,0)))</f>
        <v/>
      </c>
      <c r="FE23">
        <f>FE22+IF(AND(FD23&lt;&gt;"",COUNTIF(FD$4:FD23,FD23)=1),1,0)</f>
        <v/>
      </c>
      <c r="FF23">
        <f>IF(ROW()-3&gt;MAX(FE$4:FE$40),"",INDEX(FD$4:FD$40,MATCH(ROW()-3,FE$4:FE$40,0)))</f>
        <v/>
      </c>
      <c r="FG23" s="55">
        <f>IF(AND($B$23:$AA$23,$AC$23:$AJ$23),IF('Final Calculation Sheet'!$Z$23="","",'Final Calculation Sheet'!$Z$23),"")</f>
        <v/>
      </c>
      <c r="FH23">
        <f>IF(FG23="","",COUNTIFS(FG$4:FG$40,"&lt;"&amp;FG23,FG$4:FG$40,"&lt;&gt;"&amp;"")+COUNTIF(FG$4:FG23,FG23))</f>
        <v/>
      </c>
      <c r="FI23" s="55">
        <f>IF(ROW()-3&gt;COUNTIF(FG$4:FG$40,"&lt;&gt;"&amp;""),"",INDEX(FG$4:FG$40,MATCH(ROW()-3,FH$4:FH$40,0)))</f>
        <v/>
      </c>
      <c r="FJ23">
        <f>FJ22+IF(AND(FI23&lt;&gt;"",COUNTIF(FI$4:FI23,FI23)=1),1,0)</f>
        <v/>
      </c>
      <c r="FK23" s="55">
        <f>IF(ROW()-3&gt;MAX(FJ$4:FJ$40),"",INDEX(FI$4:FI$40,MATCH(ROW()-3,FJ$4:FJ$40,0)))</f>
        <v/>
      </c>
      <c r="FL23">
        <f>IF(AND($B$23:$AB$23,$AD$23:$AJ$23),IF('Final Calculation Sheet'!$AA$23="","",'Final Calculation Sheet'!$AA$23),"")</f>
        <v/>
      </c>
      <c r="FM23">
        <f>IF(FL23="","",COUNTIFS(FL$4:FL$40,"&lt;"&amp;FL23,FL$4:FL$40,"&lt;&gt;"&amp;"")+COUNTIF(FL$4:FL23,FL23))</f>
        <v/>
      </c>
      <c r="FN23">
        <f>IF(ROW()-3&gt;COUNTIF(FL$4:FL$40,"&lt;&gt;"&amp;""),"",INDEX(FL$4:FL$40,MATCH(ROW()-3,FM$4:FM$40,0)))</f>
        <v/>
      </c>
      <c r="FO23">
        <f>FO22+IF(AND(FN23&lt;&gt;"",COUNTIF(FN$4:FN23,FN23)=1),1,0)</f>
        <v/>
      </c>
      <c r="FP23">
        <f>IF(ROW()-3&gt;MAX(FO$4:FO$40),"",INDEX(FN$4:FN$40,MATCH(ROW()-3,FO$4:FO$40,0)))</f>
        <v/>
      </c>
      <c r="FQ23">
        <f>IF(AND($B$23:$AC$23,$AE$23:$AJ$23),IF('Final Calculation Sheet'!$AB$23="","",'Final Calculation Sheet'!$AB$23),"")</f>
        <v/>
      </c>
      <c r="FR23">
        <f>IF(FQ23="","",COUNTIFS(FQ$4:FQ$40,"&lt;"&amp;FQ23,FQ$4:FQ$40,"&lt;&gt;"&amp;"")+COUNTIF(FQ$4:FQ23,FQ23))</f>
        <v/>
      </c>
      <c r="FS23">
        <f>IF(ROW()-3&gt;COUNTIF(FQ$4:FQ$40,"&lt;&gt;"&amp;""),"",INDEX(FQ$4:FQ$40,MATCH(ROW()-3,FR$4:FR$40,0)))</f>
        <v/>
      </c>
      <c r="FT23">
        <f>FT22+IF(AND(FS23&lt;&gt;"",COUNTIF(FS$4:FS23,FS23)=1),1,0)</f>
        <v/>
      </c>
      <c r="FU23">
        <f>IF(ROW()-3&gt;MAX(FT$4:FT$40),"",INDEX(FS$4:FS$40,MATCH(ROW()-3,FT$4:FT$40,0)))</f>
        <v/>
      </c>
      <c r="FV23" s="55">
        <f>IF(AND($B$23:$AD$23,$AF$23:$AJ$23),IF('Final Calculation Sheet'!$AC$23="","",'Final Calculation Sheet'!$AC$23),"")</f>
        <v/>
      </c>
      <c r="FW23">
        <f>IF(FV23="","",COUNTIFS(FV$4:FV$40,"&lt;"&amp;FV23,FV$4:FV$40,"&lt;&gt;"&amp;"")+COUNTIF(FV$4:FV23,FV23))</f>
        <v/>
      </c>
      <c r="FX23" s="55">
        <f>IF(ROW()-3&gt;COUNTIF(FV$4:FV$40,"&lt;&gt;"&amp;""),"",INDEX(FV$4:FV$40,MATCH(ROW()-3,FW$4:FW$40,0)))</f>
        <v/>
      </c>
      <c r="FY23">
        <f>FY22+IF(AND(FX23&lt;&gt;"",COUNTIF(FX$4:FX23,FX23)=1),1,0)</f>
        <v/>
      </c>
      <c r="FZ23" s="55">
        <f>IF(ROW()-3&gt;MAX(FY$4:FY$40),"",INDEX(FX$4:FX$40,MATCH(ROW()-3,FY$4:FY$40,0)))</f>
        <v/>
      </c>
      <c r="GA23" s="55">
        <f>IF(AND($B$23:$AE$23,$AG$23:$AJ$23),IF('Final Calculation Sheet'!$AD$23="","",'Final Calculation Sheet'!$AD$23),"")</f>
        <v/>
      </c>
      <c r="GB23">
        <f>IF(GA23="","",COUNTIFS(GA$4:GA$40,"&lt;"&amp;GA23,GA$4:GA$40,"&lt;&gt;"&amp;"")+COUNTIF(GA$4:GA23,GA23))</f>
        <v/>
      </c>
      <c r="GC23" s="55">
        <f>IF(ROW()-3&gt;COUNTIF(GA$4:GA$40,"&lt;&gt;"&amp;""),"",INDEX(GA$4:GA$40,MATCH(ROW()-3,GB$4:GB$40,0)))</f>
        <v/>
      </c>
      <c r="GD23">
        <f>GD22+IF(AND(GC23&lt;&gt;"",COUNTIF(GC$4:GC23,GC23)=1),1,0)</f>
        <v/>
      </c>
      <c r="GE23" s="55">
        <f>IF(ROW()-3&gt;MAX(GD$4:GD$40),"",INDEX(GC$4:GC$40,MATCH(ROW()-3,GD$4:GD$40,0)))</f>
        <v/>
      </c>
      <c r="GF23">
        <f>IF(AND($B$23:$AF$23,$AH$23:$AJ$23),IF('Final Calculation Sheet'!$AE$23="","",'Final Calculation Sheet'!$AE$23),"")</f>
        <v/>
      </c>
      <c r="GG23">
        <f>IF(GF23="","",COUNTIFS(GF$4:GF$40,"&lt;"&amp;GF23,GF$4:GF$40,"&lt;&gt;"&amp;"")+COUNTIF(GF$4:GF23,GF23))</f>
        <v/>
      </c>
      <c r="GH23">
        <f>IF(ROW()-3&gt;COUNTIF(GF$4:GF$40,"&lt;&gt;"&amp;""),"",INDEX(GF$4:GF$40,MATCH(ROW()-3,GG$4:GG$40,0)))</f>
        <v/>
      </c>
      <c r="GI23">
        <f>GI22+IF(AND(GH23&lt;&gt;"",COUNTIF(GH$4:GH23,GH23)=1),1,0)</f>
        <v/>
      </c>
      <c r="GJ23">
        <f>IF(ROW()-3&gt;MAX(GI$4:GI$40),"",INDEX(GH$4:GH$40,MATCH(ROW()-3,GI$4:GI$40,0)))</f>
        <v/>
      </c>
      <c r="GK23" s="141">
        <f>IF(AND($B$23:$AG$23,$AI$23:$AJ$23),IF('Final Calculation Sheet'!$AF$23="","",'Final Calculation Sheet'!$AF$23),"")</f>
        <v/>
      </c>
      <c r="GL23">
        <f>IF(GK23="","",COUNTIFS(GK$4:GK$40,"&lt;"&amp;GK23,GK$4:GK$40,"&lt;&gt;"&amp;"")+COUNTIF(GK$4:GK23,GK23))</f>
        <v/>
      </c>
      <c r="GM23" s="141">
        <f>IF(ROW()-3&gt;COUNTIF(GK$4:GK$40,"&lt;&gt;"&amp;""),"",INDEX(GK$4:GK$40,MATCH(ROW()-3,GL$4:GL$40,0)))</f>
        <v/>
      </c>
      <c r="GN23">
        <f>GN22+IF(AND(GM23&lt;&gt;"",COUNTIF(GM$4:GM23,GM23)=1),1,0)</f>
        <v/>
      </c>
      <c r="GO23">
        <f>IF(ROW()-3&gt;MAX(GN$4:GN$40),"",INDEX(GM$4:GM$40,MATCH(ROW()-3,GN$4:GN$40,0)))</f>
        <v/>
      </c>
      <c r="GP23">
        <f>IF(AND($B$23:$AH$23,$AJ$23:$AJ$23),IF('Final Calculation Sheet'!$AG$23="","",'Final Calculation Sheet'!$AG$23),"")</f>
        <v/>
      </c>
      <c r="GQ23">
        <f>IF(GP23="","",COUNTIFS(GP$4:GP$40,"&lt;"&amp;GP23,GP$4:GP$40,"&lt;&gt;"&amp;"")+COUNTIF(GP$4:GP23,GP23))</f>
        <v/>
      </c>
      <c r="GR23">
        <f>IF(ROW()-3&gt;COUNTIF(GP$4:GP$40,"&lt;&gt;"&amp;""),"",INDEX(GP$4:GP$40,MATCH(ROW()-3,GQ$4:GQ$40,0)))</f>
        <v/>
      </c>
      <c r="GS23">
        <f>GS22+IF(AND(GR23&lt;&gt;"",COUNTIF(GR$4:GR23,GR23)=1),1,0)</f>
        <v/>
      </c>
      <c r="GT23">
        <f>IF(ROW()-3&gt;MAX(GS$4:GS$40),"",INDEX(GR$4:GR$40,MATCH(ROW()-3,GS$4:GS$40,0)))</f>
        <v/>
      </c>
    </row>
    <row r="24">
      <c r="A24" t="inlineStr">
        <is>
          <t>Final row 24</t>
        </is>
      </c>
      <c r="B24" t="b">
        <v>1</v>
      </c>
      <c r="C24">
        <f>IF($C$3=FALSE,TRUE,IF(OR(UPPER(TRIM($C$2))="(BLANK)",UPPER(TRIM($C$2))="BLANK",AND($C$2&lt;&gt;"",TRIM($C$2)="")),(IF('Final Calculation Sheet'!$F$24="","",'Final Calculation Sheet'!$F$24))="",IF(OR(UPPER(TRIM($C$2))="(NONBLANK)",UPPER(TRIM($C$2))="NONBLANK",TRIM($C$2)="&lt;&gt;"),(IF('Final Calculation Sheet'!$F$24="","",'Final Calculation Sheet'!$F$24))&lt;&gt;"",UPPER(TRIM((IF('Final Calculation Sheet'!$F$24="","",'Final Calculation Sheet'!$F$24))&amp;""))=UPPER(TRIM($C$2&amp;"")))))</f>
        <v/>
      </c>
      <c r="D24">
        <f>IF($D$3=FALSE,TRUE,IF(OR(UPPER(TRIM($D$2))="(BLANK)",UPPER(TRIM($D$2))="BLANK",AND($D$2&lt;&gt;"",TRIM($D$2)="")),(IF('Final Calculation Sheet'!$G$24="","",'Final Calculation Sheet'!$G$24))="",IF(OR(UPPER(TRIM($D$2))="(NONBLANK)",UPPER(TRIM($D$2))="NONBLANK",TRIM($D$2)="&lt;&gt;"),(IF('Final Calculation Sheet'!$G$24="","",'Final Calculation Sheet'!$G$24))&lt;&gt;"",UPPER(TRIM((IF('Final Calculation Sheet'!$G$24="","",'Final Calculation Sheet'!$G$24))&amp;""))=UPPER(TRIM($D$2&amp;"")))))</f>
        <v/>
      </c>
      <c r="E24">
        <f>IF($E$3=FALSE,TRUE,IF(OR(UPPER(TRIM($E$2))="(BLANK)",UPPER(TRIM($E$2))="BLANK",AND($E$2&lt;&gt;"",TRIM($E$2)="")),(IF('Final Calculation Sheet'!$B$24="","",'Final Calculation Sheet'!$B$24))="",IF(OR(UPPER(TRIM($E$2))="(NONBLANK)",UPPER(TRIM($E$2))="NONBLANK",TRIM($E$2)="&lt;&gt;"),(IF('Final Calculation Sheet'!$B$24="","",'Final Calculation Sheet'!$B$24))&lt;&gt;"",UPPER(TRIM((IF('Final Calculation Sheet'!$B$24="","",'Final Calculation Sheet'!$B$24))&amp;""))=UPPER(TRIM($E$2&amp;"")))))</f>
        <v/>
      </c>
      <c r="F24">
        <f>IF($F$3=FALSE,TRUE,IF(OR(UPPER(TRIM($F$2))="(BLANK)",UPPER(TRIM($F$2))="BLANK",AND($F$2&lt;&gt;"",TRIM($F$2)="")),(IF('Final Calculation Sheet'!$D$24="","",'Final Calculation Sheet'!$D$24))="",IF(OR(UPPER(TRIM($F$2))="(NONBLANK)",UPPER(TRIM($F$2))="NONBLANK",TRIM($F$2)="&lt;&gt;"),(IF('Final Calculation Sheet'!$D$24="","",'Final Calculation Sheet'!$D$24))&lt;&gt;"",UPPER(TRIM((IF('Final Calculation Sheet'!$D$24="","",'Final Calculation Sheet'!$D$24))&amp;""))=UPPER(TRIM($F$2&amp;"")))))</f>
        <v/>
      </c>
      <c r="G24">
        <f>IF($G$3=FALSE,TRUE,IF(OR(UPPER(TRIM($G$2))="(BLANK)",UPPER(TRIM($G$2))="BLANK",AND($G$2&lt;&gt;"",TRIM($G$2)="")),(IF('Final Calculation Sheet'!$A$24="","",'Final Calculation Sheet'!$A$24))="",IF(OR(UPPER(TRIM($G$2))="(NONBLANK)",UPPER(TRIM($G$2))="NONBLANK",TRIM($G$2)="&lt;&gt;"),(IF('Final Calculation Sheet'!$A$24="","",'Final Calculation Sheet'!$A$24))&lt;&gt;"",UPPER(TRIM((IF('Final Calculation Sheet'!$A$24="","",'Final Calculation Sheet'!$A$24))&amp;""))=UPPER(TRIM($G$2&amp;"")))))</f>
        <v/>
      </c>
      <c r="H24">
        <f>IF($H$3=FALSE,TRUE,IF(OR(UPPER(TRIM($H$2))="(BLANK)",UPPER(TRIM($H$2))="BLANK",AND($H$2&lt;&gt;"",TRIM($H$2)="")),(IF('Final Calculation Sheet'!$E$24="","",'Final Calculation Sheet'!$E$24))="",IF(OR(UPPER(TRIM($H$2))="(NONBLANK)",UPPER(TRIM($H$2))="NONBLANK",TRIM($H$2)="&lt;&gt;"),(IF('Final Calculation Sheet'!$E$24="","",'Final Calculation Sheet'!$E$24))&lt;&gt;"",UPPER(TRIM((IF('Final Calculation Sheet'!$E$24="","",'Final Calculation Sheet'!$E$24))&amp;""))=UPPER(TRIM($H$2&amp;"")))))</f>
        <v/>
      </c>
      <c r="I24">
        <f>IF($I$3=FALSE,TRUE,IF(OR(UPPER(TRIM($I$2))="(BLANK)",UPPER(TRIM($I$2))="BLANK",AND($I$2&lt;&gt;"",TRIM($I$2)="")),(IF('Final Calculation Sheet'!$C$24="","",'Final Calculation Sheet'!$C$24))="",IF(OR(UPPER(TRIM($I$2))="(NONBLANK)",UPPER(TRIM($I$2))="NONBLANK",TRIM($I$2)="&lt;&gt;"),(IF('Final Calculation Sheet'!$C$24="","",'Final Calculation Sheet'!$C$24))&lt;&gt;"",UPPER(TRIM((IF('Final Calculation Sheet'!$C$24="","",'Final Calculation Sheet'!$C$24))&amp;""))=UPPER(TRIM($I$2&amp;"")))))</f>
        <v/>
      </c>
      <c r="J24">
        <f>IF($J$3=FALSE,TRUE,IF(OR(UPPER(TRIM($J$2))="(BLANK)",UPPER(TRIM($J$2))="BLANK",AND($J$2&lt;&gt;"",TRIM($J$2)="")),(IF('Final Calculation Sheet'!$H$24="","",'Final Calculation Sheet'!$H$24))="",IF(OR(UPPER(TRIM($J$2))="(NONBLANK)",UPPER(TRIM($J$2))="NONBLANK",TRIM($J$2)="&lt;&gt;"),(IF('Final Calculation Sheet'!$H$24="","",'Final Calculation Sheet'!$H$24))&lt;&gt;"",UPPER(TRIM((IF('Final Calculation Sheet'!$H$24="","",'Final Calculation Sheet'!$H$24))&amp;""))=UPPER(TRIM($J$2&amp;"")))))</f>
        <v/>
      </c>
      <c r="K24">
        <f>IF($K$3=FALSE,TRUE,IF(OR(UPPER(TRIM($K$2))="(BLANK)",UPPER(TRIM($K$2))="BLANK",AND($K$2&lt;&gt;"",TRIM($K$2)="")),(IF('Final Calculation Sheet'!$I$24="","",'Final Calculation Sheet'!$I$24))="",IF(OR(UPPER(TRIM($K$2))="(NONBLANK)",UPPER(TRIM($K$2))="NONBLANK",TRIM($K$2)="&lt;&gt;"),(IF('Final Calculation Sheet'!$I$24="","",'Final Calculation Sheet'!$I$24))&lt;&gt;"",UPPER(TRIM((IF('Final Calculation Sheet'!$I$24="","",'Final Calculation Sheet'!$I$24))&amp;""))=UPPER(TRIM($K$2&amp;"")))))</f>
        <v/>
      </c>
      <c r="L24">
        <f>IF($L$3=FALSE,TRUE,IF(OR(UPPER(TRIM($L$2))="(BLANK)",UPPER(TRIM($L$2))="BLANK",AND($L$2&lt;&gt;"",TRIM($L$2)="")),(IF('Final Calculation Sheet'!$J$24="","",'Final Calculation Sheet'!$J$24))="",IF(OR(UPPER(TRIM($L$2))="(NONBLANK)",UPPER(TRIM($L$2))="NONBLANK",TRIM($L$2)="&lt;&gt;"),(IF('Final Calculation Sheet'!$J$24="","",'Final Calculation Sheet'!$J$24))&lt;&gt;"",UPPER(TRIM((IF('Final Calculation Sheet'!$J$24="","",'Final Calculation Sheet'!$J$24))&amp;""))=UPPER(TRIM($L$2&amp;"")))))</f>
        <v/>
      </c>
      <c r="M24">
        <f>IF($M$3=FALSE,TRUE,IF(OR(UPPER(TRIM($M$2))="(BLANK)",UPPER(TRIM($M$2))="BLANK",AND($M$2&lt;&gt;"",TRIM($M$2)="")),(IF('Final Calculation Sheet'!$K$24="","",'Final Calculation Sheet'!$K$24))="",IF(OR(UPPER(TRIM($M$2))="(NONBLANK)",UPPER(TRIM($M$2))="NONBLANK",TRIM($M$2)="&lt;&gt;"),(IF('Final Calculation Sheet'!$K$24="","",'Final Calculation Sheet'!$K$24))&lt;&gt;"",UPPER(TRIM((IF('Final Calculation Sheet'!$K$24="","",'Final Calculation Sheet'!$K$24))&amp;""))=UPPER(TRIM($M$2&amp;"")))))</f>
        <v/>
      </c>
      <c r="N24">
        <f>IF($N$3=FALSE,TRUE,IF(OR(UPPER(TRIM($N$2))="(BLANK)",UPPER(TRIM($N$2))="BLANK",AND($N$2&lt;&gt;"",TRIM($N$2)="")),(IF('Final Calculation Sheet'!$L$24="","",'Final Calculation Sheet'!$L$24))="",IF(OR(UPPER(TRIM($N$2))="(NONBLANK)",UPPER(TRIM($N$2))="NONBLANK",TRIM($N$2)="&lt;&gt;"),(IF('Final Calculation Sheet'!$L$24="","",'Final Calculation Sheet'!$L$24))&lt;&gt;"",UPPER(TRIM((IF('Final Calculation Sheet'!$L$24="","",'Final Calculation Sheet'!$L$24))&amp;""))=UPPER(TRIM($N$2&amp;"")))))</f>
        <v/>
      </c>
      <c r="O24">
        <f>IF($O$3=FALSE,TRUE,IF(OR(UPPER(TRIM($O$2))="(BLANK)",UPPER(TRIM($O$2))="BLANK",AND($O$2&lt;&gt;"",TRIM($O$2)="")),(IF('Final Calculation Sheet'!$M$24="","",'Final Calculation Sheet'!$M$24))="",IF(OR(UPPER(TRIM($O$2))="(NONBLANK)",UPPER(TRIM($O$2))="NONBLANK",TRIM($O$2)="&lt;&gt;"),(IF('Final Calculation Sheet'!$M$24="","",'Final Calculation Sheet'!$M$24))&lt;&gt;"",UPPER(TRIM((IF('Final Calculation Sheet'!$M$24="","",'Final Calculation Sheet'!$M$24))&amp;""))=UPPER(TRIM($O$2&amp;"")))))</f>
        <v/>
      </c>
      <c r="P24">
        <f>IF($P$3=FALSE,TRUE,IF(OR(UPPER(TRIM($P$2))="(BLANK)",UPPER(TRIM($P$2))="BLANK",AND($P$2&lt;&gt;"",TRIM($P$2)="")),(IF('Final Calculation Sheet'!$N$24="","",'Final Calculation Sheet'!$N$24))="",IF(OR(UPPER(TRIM($P$2))="(NONBLANK)",UPPER(TRIM($P$2))="NONBLANK",TRIM($P$2)="&lt;&gt;"),(IF('Final Calculation Sheet'!$N$24="","",'Final Calculation Sheet'!$N$24))&lt;&gt;"",UPPER(TRIM((IF('Final Calculation Sheet'!$N$24="","",'Final Calculation Sheet'!$N$24))&amp;""))=UPPER(TRIM($P$2&amp;"")))))</f>
        <v/>
      </c>
      <c r="Q24">
        <f>IF($Q$3=FALSE,TRUE,IF(OR(UPPER(TRIM($Q$2))="(BLANK)",UPPER(TRIM($Q$2))="BLANK",AND($Q$2&lt;&gt;"",TRIM($Q$2)="")),(IF('Final Calculation Sheet'!$O$24="","",'Final Calculation Sheet'!$O$24))="",IF(OR(UPPER(TRIM($Q$2))="(NONBLANK)",UPPER(TRIM($Q$2))="NONBLANK",TRIM($Q$2)="&lt;&gt;"),(IF('Final Calculation Sheet'!$O$24="","",'Final Calculation Sheet'!$O$24))&lt;&gt;"",UPPER(TRIM((IF('Final Calculation Sheet'!$O$24="","",'Final Calculation Sheet'!$O$24))&amp;""))=UPPER(TRIM($Q$2&amp;"")))))</f>
        <v/>
      </c>
      <c r="R24">
        <f>IF($R$3=FALSE,TRUE,IF(OR(UPPER(TRIM($R$2))="(BLANK)",UPPER(TRIM($R$2))="BLANK",AND($R$2&lt;&gt;"",TRIM($R$2)="")),(IF('Final Calculation Sheet'!$P$24="","",'Final Calculation Sheet'!$P$24))="",IF(OR(UPPER(TRIM($R$2))="(NONBLANK)",UPPER(TRIM($R$2))="NONBLANK",TRIM($R$2)="&lt;&gt;"),(IF('Final Calculation Sheet'!$P$24="","",'Final Calculation Sheet'!$P$24))&lt;&gt;"",UPPER(TRIM((IF('Final Calculation Sheet'!$P$24="","",'Final Calculation Sheet'!$P$24))&amp;""))=UPPER(TRIM($R$2&amp;"")))))</f>
        <v/>
      </c>
      <c r="S24">
        <f>IF($S$3=FALSE,TRUE,IF(OR(UPPER(TRIM($S$2))="(BLANK)",UPPER(TRIM($S$2))="BLANK",AND($S$2&lt;&gt;"",TRIM($S$2)="")),(IF('Final Calculation Sheet'!$Q$24="","",'Final Calculation Sheet'!$Q$24))="",IF(OR(UPPER(TRIM($S$2))="(NONBLANK)",UPPER(TRIM($S$2))="NONBLANK",TRIM($S$2)="&lt;&gt;"),(IF('Final Calculation Sheet'!$Q$24="","",'Final Calculation Sheet'!$Q$24))&lt;&gt;"",UPPER(TRIM((IF('Final Calculation Sheet'!$Q$24="","",'Final Calculation Sheet'!$Q$24))&amp;""))=UPPER(TRIM($S$2&amp;"")))))</f>
        <v/>
      </c>
      <c r="T24">
        <f>IF($T$3=FALSE,TRUE,IF(OR(UPPER(TRIM($T$2))="(BLANK)",UPPER(TRIM($T$2))="BLANK",AND($T$2&lt;&gt;"",TRIM($T$2)="")),(IF('Final Calculation Sheet'!$R$24="","",'Final Calculation Sheet'!$R$24))="",IF(OR(UPPER(TRIM($T$2))="(NONBLANK)",UPPER(TRIM($T$2))="NONBLANK",TRIM($T$2)="&lt;&gt;"),(IF('Final Calculation Sheet'!$R$24="","",'Final Calculation Sheet'!$R$24))&lt;&gt;"",UPPER(TRIM((IF('Final Calculation Sheet'!$R$24="","",'Final Calculation Sheet'!$R$24))&amp;""))=UPPER(TRIM($T$2&amp;"")))))</f>
        <v/>
      </c>
      <c r="U24">
        <f>IF($U$3=FALSE,TRUE,IF(OR(UPPER(TRIM($U$2))="(BLANK)",UPPER(TRIM($U$2))="BLANK",AND($U$2&lt;&gt;"",TRIM($U$2)="")),(IF('Final Calculation Sheet'!$S$24="","",'Final Calculation Sheet'!$S$24))="",IF(OR(UPPER(TRIM($U$2))="(NONBLANK)",UPPER(TRIM($U$2))="NONBLANK",TRIM($U$2)="&lt;&gt;"),(IF('Final Calculation Sheet'!$S$24="","",'Final Calculation Sheet'!$S$24))&lt;&gt;"",UPPER(TRIM((IF('Final Calculation Sheet'!$S$24="","",'Final Calculation Sheet'!$S$24))&amp;""))=UPPER(TRIM($U$2&amp;"")))))</f>
        <v/>
      </c>
      <c r="V24">
        <f>IF($V$3=FALSE,TRUE,IF(OR(UPPER(TRIM($V$2))="(BLANK)",UPPER(TRIM($V$2))="BLANK",AND($V$2&lt;&gt;"",TRIM($V$2)="")),(IF('Final Calculation Sheet'!$T$24="","",'Final Calculation Sheet'!$T$24))="",IF(OR(UPPER(TRIM($V$2))="(NONBLANK)",UPPER(TRIM($V$2))="NONBLANK",TRIM($V$2)="&lt;&gt;"),(IF('Final Calculation Sheet'!$T$24="","",'Final Calculation Sheet'!$T$24))&lt;&gt;"",UPPER(TRIM((IF('Final Calculation Sheet'!$T$24="","",'Final Calculation Sheet'!$T$24))&amp;""))=UPPER(TRIM($V$2&amp;"")))))</f>
        <v/>
      </c>
      <c r="W24">
        <f>IF($W$3=FALSE,TRUE,IF(OR(UPPER(TRIM($W$2))="(BLANK)",UPPER(TRIM($W$2))="BLANK",AND($W$2&lt;&gt;"",TRIM($W$2)="")),(IF('Final Calculation Sheet'!$U$24="","",'Final Calculation Sheet'!$U$24))="",IF(OR(UPPER(TRIM($W$2))="(NONBLANK)",UPPER(TRIM($W$2))="NONBLANK",TRIM($W$2)="&lt;&gt;"),(IF('Final Calculation Sheet'!$U$24="","",'Final Calculation Sheet'!$U$24))&lt;&gt;"",UPPER(TRIM((IF('Final Calculation Sheet'!$U$24="","",'Final Calculation Sheet'!$U$24))&amp;""))=UPPER(TRIM($W$2&amp;"")))))</f>
        <v/>
      </c>
      <c r="X24">
        <f>IF($X$3=FALSE,TRUE,IF(OR(UPPER(TRIM($X$2))="(BLANK)",UPPER(TRIM($X$2))="BLANK",AND($X$2&lt;&gt;"",TRIM($X$2)="")),(IF('Final Calculation Sheet'!$V$24="","",'Final Calculation Sheet'!$V$24))="",IF(OR(UPPER(TRIM($X$2))="(NONBLANK)",UPPER(TRIM($X$2))="NONBLANK",TRIM($X$2)="&lt;&gt;"),(IF('Final Calculation Sheet'!$V$24="","",'Final Calculation Sheet'!$V$24))&lt;&gt;"",UPPER(TRIM((IF('Final Calculation Sheet'!$V$24="","",'Final Calculation Sheet'!$V$24))&amp;""))=UPPER(TRIM($X$2&amp;"")))))</f>
        <v/>
      </c>
      <c r="Y24">
        <f>IF($Y$3=FALSE,TRUE,IF(OR(UPPER(TRIM($Y$2))="(BLANK)",UPPER(TRIM($Y$2))="BLANK",AND($Y$2&lt;&gt;"",TRIM($Y$2)="")),(IF('Final Calculation Sheet'!$W$24="","",'Final Calculation Sheet'!$W$24))="",IF(OR(UPPER(TRIM($Y$2))="(NONBLANK)",UPPER(TRIM($Y$2))="NONBLANK",TRIM($Y$2)="&lt;&gt;"),(IF('Final Calculation Sheet'!$W$24="","",'Final Calculation Sheet'!$W$24))&lt;&gt;"",UPPER(TRIM((IF('Final Calculation Sheet'!$W$24="","",'Final Calculation Sheet'!$W$24))&amp;""))=UPPER(TRIM($Y$2&amp;"")))))</f>
        <v/>
      </c>
      <c r="Z24">
        <f>IF($Z$3=FALSE,TRUE,IF(OR(UPPER(TRIM($Z$2))="(BLANK)",UPPER(TRIM($Z$2))="BLANK",AND($Z$2&lt;&gt;"",TRIM($Z$2)="")),(IF('Final Calculation Sheet'!$X$24="","",'Final Calculation Sheet'!$X$24))="",IF(OR(UPPER(TRIM($Z$2))="(NONBLANK)",UPPER(TRIM($Z$2))="NONBLANK",TRIM($Z$2)="&lt;&gt;"),(IF('Final Calculation Sheet'!$X$24="","",'Final Calculation Sheet'!$X$24))&lt;&gt;"",UPPER(TRIM((IF('Final Calculation Sheet'!$X$24="","",'Final Calculation Sheet'!$X$24))&amp;""))=UPPER(TRIM($Z$2&amp;"")))))</f>
        <v/>
      </c>
      <c r="AA24">
        <f>IF($AA$3=FALSE,TRUE,IF(OR(UPPER(TRIM($AA$2))="(BLANK)",UPPER(TRIM($AA$2))="BLANK",AND($AA$2&lt;&gt;"",TRIM($AA$2)="")),(IF('Final Calculation Sheet'!$Y$24="","",'Final Calculation Sheet'!$Y$24))="",IF(OR(UPPER(TRIM($AA$2))="(NONBLANK)",UPPER(TRIM($AA$2))="NONBLANK",TRIM($AA$2)="&lt;&gt;"),(IF('Final Calculation Sheet'!$Y$24="","",'Final Calculation Sheet'!$Y$24))&lt;&gt;"",UPPER(TRIM((IF('Final Calculation Sheet'!$Y$24="","",'Final Calculation Sheet'!$Y$24))&amp;""))=UPPER(TRIM($AA$2&amp;"")))))</f>
        <v/>
      </c>
      <c r="AB24">
        <f>IF($AB$3=FALSE,TRUE,IF(OR(UPPER(TRIM($AB$2))="(BLANK)",UPPER(TRIM($AB$2))="BLANK",AND($AB$2&lt;&gt;"",TRIM($AB$2)="")),(IF('Final Calculation Sheet'!$Z$24="","",'Final Calculation Sheet'!$Z$24))="",IF(OR(UPPER(TRIM($AB$2))="(NONBLANK)",UPPER(TRIM($AB$2))="NONBLANK",TRIM($AB$2)="&lt;&gt;"),(IF('Final Calculation Sheet'!$Z$24="","",'Final Calculation Sheet'!$Z$24))&lt;&gt;"",UPPER(TRIM((IF('Final Calculation Sheet'!$Z$24="","",'Final Calculation Sheet'!$Z$24))&amp;""))=UPPER(TRIM($AB$2&amp;"")))))</f>
        <v/>
      </c>
      <c r="AC24">
        <f>IF($AC$3=FALSE,TRUE,IF(OR(UPPER(TRIM($AC$2))="(BLANK)",UPPER(TRIM($AC$2))="BLANK",AND($AC$2&lt;&gt;"",TRIM($AC$2)="")),(IF('Final Calculation Sheet'!$AA$24="","",'Final Calculation Sheet'!$AA$24))="",IF(OR(UPPER(TRIM($AC$2))="(NONBLANK)",UPPER(TRIM($AC$2))="NONBLANK",TRIM($AC$2)="&lt;&gt;"),(IF('Final Calculation Sheet'!$AA$24="","",'Final Calculation Sheet'!$AA$24))&lt;&gt;"",UPPER(TRIM((IF('Final Calculation Sheet'!$AA$24="","",'Final Calculation Sheet'!$AA$24))&amp;""))=UPPER(TRIM($AC$2&amp;"")))))</f>
        <v/>
      </c>
      <c r="AD24">
        <f>IF($AD$3=FALSE,TRUE,IF(OR(UPPER(TRIM($AD$2))="(BLANK)",UPPER(TRIM($AD$2))="BLANK",AND($AD$2&lt;&gt;"",TRIM($AD$2)="")),(IF('Final Calculation Sheet'!$AB$24="","",'Final Calculation Sheet'!$AB$24))="",IF(OR(UPPER(TRIM($AD$2))="(NONBLANK)",UPPER(TRIM($AD$2))="NONBLANK",TRIM($AD$2)="&lt;&gt;"),(IF('Final Calculation Sheet'!$AB$24="","",'Final Calculation Sheet'!$AB$24))&lt;&gt;"",UPPER(TRIM((IF('Final Calculation Sheet'!$AB$24="","",'Final Calculation Sheet'!$AB$24))&amp;""))=UPPER(TRIM($AD$2&amp;"")))))</f>
        <v/>
      </c>
      <c r="AE24">
        <f>IF($AE$3=FALSE,TRUE,IF(OR(UPPER(TRIM($AE$2))="(BLANK)",UPPER(TRIM($AE$2))="BLANK",AND($AE$2&lt;&gt;"",TRIM($AE$2)="")),(IF('Final Calculation Sheet'!$AC$24="","",'Final Calculation Sheet'!$AC$24))="",IF(OR(UPPER(TRIM($AE$2))="(NONBLANK)",UPPER(TRIM($AE$2))="NONBLANK",TRIM($AE$2)="&lt;&gt;"),(IF('Final Calculation Sheet'!$AC$24="","",'Final Calculation Sheet'!$AC$24))&lt;&gt;"",UPPER(TRIM((IF('Final Calculation Sheet'!$AC$24="","",'Final Calculation Sheet'!$AC$24))&amp;""))=UPPER(TRIM($AE$2&amp;"")))))</f>
        <v/>
      </c>
      <c r="AF24">
        <f>IF($AF$3=FALSE,TRUE,IF(OR(UPPER(TRIM($AF$2))="(BLANK)",UPPER(TRIM($AF$2))="BLANK",AND($AF$2&lt;&gt;"",TRIM($AF$2)="")),(IF('Final Calculation Sheet'!$AD$24="","",'Final Calculation Sheet'!$AD$24))="",IF(OR(UPPER(TRIM($AF$2))="(NONBLANK)",UPPER(TRIM($AF$2))="NONBLANK",TRIM($AF$2)="&lt;&gt;"),(IF('Final Calculation Sheet'!$AD$24="","",'Final Calculation Sheet'!$AD$24))&lt;&gt;"",UPPER(TRIM((IF('Final Calculation Sheet'!$AD$24="","",'Final Calculation Sheet'!$AD$24))&amp;""))=UPPER(TRIM($AF$2&amp;"")))))</f>
        <v/>
      </c>
      <c r="AG24">
        <f>IF($AG$3=FALSE,TRUE,IF(OR(UPPER(TRIM($AG$2))="(BLANK)",UPPER(TRIM($AG$2))="BLANK",AND($AG$2&lt;&gt;"",TRIM($AG$2)="")),(IF('Final Calculation Sheet'!$AE$24="","",'Final Calculation Sheet'!$AE$24))="",IF(OR(UPPER(TRIM($AG$2))="(NONBLANK)",UPPER(TRIM($AG$2))="NONBLANK",TRIM($AG$2)="&lt;&gt;"),(IF('Final Calculation Sheet'!$AE$24="","",'Final Calculation Sheet'!$AE$24))&lt;&gt;"",UPPER(TRIM((IF('Final Calculation Sheet'!$AE$24="","",'Final Calculation Sheet'!$AE$24))&amp;""))=UPPER(TRIM($AG$2&amp;"")))))</f>
        <v/>
      </c>
      <c r="AH24">
        <f>IF($AH$3=FALSE,TRUE,IF(OR(UPPER(TRIM($AH$2))="(BLANK)",UPPER(TRIM($AH$2))="BLANK",AND($AH$2&lt;&gt;"",TRIM($AH$2)="")),(IF('Final Calculation Sheet'!$AF$24="","",'Final Calculation Sheet'!$AF$24))="",IF(OR(UPPER(TRIM($AH$2))="(NONBLANK)",UPPER(TRIM($AH$2))="NONBLANK",TRIM($AH$2)="&lt;&gt;"),(IF('Final Calculation Sheet'!$AF$24="","",'Final Calculation Sheet'!$AF$24))&lt;&gt;"",UPPER(TRIM((IF('Final Calculation Sheet'!$AF$24="","",'Final Calculation Sheet'!$AF$24))&amp;""))=UPPER(TRIM($AH$2&amp;"")))))</f>
        <v/>
      </c>
      <c r="AI24">
        <f>IF($AI$3=FALSE,TRUE,IF(OR(UPPER(TRIM($AI$2))="(BLANK)",UPPER(TRIM($AI$2))="BLANK",AND($AI$2&lt;&gt;"",TRIM($AI$2)="")),(IF('Final Calculation Sheet'!$AG$24="","",'Final Calculation Sheet'!$AG$24))="",IF(OR(UPPER(TRIM($AI$2))="(NONBLANK)",UPPER(TRIM($AI$2))="NONBLANK",TRIM($AI$2)="&lt;&gt;"),(IF('Final Calculation Sheet'!$AG$24="","",'Final Calculation Sheet'!$AG$24))&lt;&gt;"",UPPER(TRIM((IF('Final Calculation Sheet'!$AG$24="","",'Final Calculation Sheet'!$AG$24))&amp;""))=UPPER(TRIM($AI$2&amp;"")))))</f>
        <v/>
      </c>
      <c r="AJ24">
        <f>IF($AJ$3=FALSE,TRUE,IF(OR(UPPER(TRIM($AJ$2))="(BLANK)",UPPER(TRIM($AJ$2))="BLANK",AND($AJ$2&lt;&gt;"",TRIM($AJ$2)="")),(IF('Final Calculation Sheet'!$AD$24="","",IF('Final Calculation Sheet'!$AD$24&lt;=5,"SETTLED","OUTSTANDING")))="",IF(OR(UPPER(TRIM($AJ$2))="(NONBLANK)",UPPER(TRIM($AJ$2))="NONBLANK",TRIM($AJ$2)="&lt;&gt;"),(IF('Final Calculation Sheet'!$AD$24="","",IF('Final Calculation Sheet'!$AD$24&lt;=5,"SETTLED","OUTSTANDING")))&lt;&gt;"",UPPER(TRIM((IF('Final Calculation Sheet'!$AD$24="","",IF('Final Calculation Sheet'!$AD$24&lt;=5,"SETTLED","OUTSTANDING")))&amp;""))=UPPER(TRIM($AJ$2&amp;"")))))</f>
        <v/>
      </c>
      <c r="AL24">
        <f>IF(AND($B$24,$D$24:$AJ$24),IF('Final Calculation Sheet'!$F$24="","",'Final Calculation Sheet'!$F$24),"")</f>
        <v/>
      </c>
      <c r="AM24">
        <f>IF(AL24="","",COUNTIFS(AL$4:AL$40,"&lt;"&amp;AL24,AL$4:AL$40,"&lt;&gt;"&amp;"")+COUNTIF(AL$4:AL24,AL24))</f>
        <v/>
      </c>
      <c r="AN24">
        <f>IF(ROW()-3&gt;COUNTIF(AL$4:AL$40,"&lt;&gt;"&amp;""),"",INDEX(AL$4:AL$40,MATCH(ROW()-3,AM$4:AM$40,0)))</f>
        <v/>
      </c>
      <c r="AO24">
        <f>AO23+IF(AND(AN24&lt;&gt;"",COUNTIF(AN$4:AN24,AN24)=1),1,0)</f>
        <v/>
      </c>
      <c r="AP24">
        <f>IF(ROW()-3&gt;MAX(AO$4:AO$40),"",INDEX(AN$4:AN$40,MATCH(ROW()-3,AO$4:AO$40,0)))</f>
        <v/>
      </c>
      <c r="AQ24">
        <f>IF(AND($B$24:$C$24,$E$24:$AJ$24),IF('Final Calculation Sheet'!$G$24="","",'Final Calculation Sheet'!$G$24),"")</f>
        <v/>
      </c>
      <c r="AR24">
        <f>IF(AQ24="","",COUNTIFS(AQ$4:AQ$40,"&lt;"&amp;AQ24,AQ$4:AQ$40,"&lt;&gt;"&amp;"")+COUNTIF(AQ$4:AQ24,AQ24))</f>
        <v/>
      </c>
      <c r="AS24">
        <f>IF(ROW()-3&gt;COUNTIF(AQ$4:AQ$40,"&lt;&gt;"&amp;""),"",INDEX(AQ$4:AQ$40,MATCH(ROW()-3,AR$4:AR$40,0)))</f>
        <v/>
      </c>
      <c r="AT24">
        <f>AT23+IF(AND(AS24&lt;&gt;"",COUNTIF(AS$4:AS24,AS24)=1),1,0)</f>
        <v/>
      </c>
      <c r="AU24">
        <f>IF(ROW()-3&gt;MAX(AT$4:AT$40),"",INDEX(AS$4:AS$40,MATCH(ROW()-3,AT$4:AT$40,0)))</f>
        <v/>
      </c>
      <c r="AV24">
        <f>IF(AND($B$24:$D$24,$F$24:$AJ$24),IF('Final Calculation Sheet'!$B$24="","",'Final Calculation Sheet'!$B$24),"")</f>
        <v/>
      </c>
      <c r="AW24">
        <f>IF(AV24="","",COUNTIFS(AV$4:AV$40,"&lt;"&amp;AV24,AV$4:AV$40,"&lt;&gt;"&amp;"")+COUNTIF(AV$4:AV24,AV24))</f>
        <v/>
      </c>
      <c r="AX24">
        <f>IF(ROW()-3&gt;COUNTIF(AV$4:AV$40,"&lt;&gt;"&amp;""),"",INDEX(AV$4:AV$40,MATCH(ROW()-3,AW$4:AW$40,0)))</f>
        <v/>
      </c>
      <c r="AY24">
        <f>AY23+IF(AND(AX24&lt;&gt;"",COUNTIF(AX$4:AX24,AX24)=1),1,0)</f>
        <v/>
      </c>
      <c r="AZ24">
        <f>IF(ROW()-3&gt;MAX(AY$4:AY$40),"",INDEX(AX$4:AX$40,MATCH(ROW()-3,AY$4:AY$40,0)))</f>
        <v/>
      </c>
      <c r="BA24">
        <f>IF(AND($B$24:$E$24,$G$24:$AJ$24),IF('Final Calculation Sheet'!$D$24="","",'Final Calculation Sheet'!$D$24),"")</f>
        <v/>
      </c>
      <c r="BB24">
        <f>IF(BA24="","",COUNTIFS(BA$4:BA$40,"&lt;"&amp;BA24,BA$4:BA$40,"&lt;&gt;"&amp;"")+COUNTIF(BA$4:BA24,BA24))</f>
        <v/>
      </c>
      <c r="BC24">
        <f>IF(ROW()-3&gt;COUNTIF(BA$4:BA$40,"&lt;&gt;"&amp;""),"",INDEX(BA$4:BA$40,MATCH(ROW()-3,BB$4:BB$40,0)))</f>
        <v/>
      </c>
      <c r="BD24">
        <f>BD23+IF(AND(BC24&lt;&gt;"",COUNTIF(BC$4:BC24,BC24)=1),1,0)</f>
        <v/>
      </c>
      <c r="BE24">
        <f>IF(ROW()-3&gt;MAX(BD$4:BD$40),"",INDEX(BC$4:BC$40,MATCH(ROW()-3,BD$4:BD$40,0)))</f>
        <v/>
      </c>
      <c r="BF24">
        <f>IF(AND($B$24:$F$24,$H$24:$AJ$24),IF('Final Calculation Sheet'!$A$24="","",'Final Calculation Sheet'!$A$24),"")</f>
        <v/>
      </c>
      <c r="BG24">
        <f>IF(BF24="","",COUNTIFS(BF$4:BF$40,"&lt;"&amp;BF24,BF$4:BF$40,"&lt;&gt;"&amp;"")+COUNTIF(BF$4:BF24,BF24))</f>
        <v/>
      </c>
      <c r="BH24">
        <f>IF(ROW()-3&gt;COUNTIF(BF$4:BF$40,"&lt;&gt;"&amp;""),"",INDEX(BF$4:BF$40,MATCH(ROW()-3,BG$4:BG$40,0)))</f>
        <v/>
      </c>
      <c r="BI24">
        <f>BI23+IF(AND(BH24&lt;&gt;"",COUNTIF(BH$4:BH24,BH24)=1),1,0)</f>
        <v/>
      </c>
      <c r="BJ24">
        <f>IF(ROW()-3&gt;MAX(BI$4:BI$40),"",INDEX(BH$4:BH$40,MATCH(ROW()-3,BI$4:BI$40,0)))</f>
        <v/>
      </c>
      <c r="BK24">
        <f>IF(AND($B$24:$G$24,$I$24:$AJ$24),IF('Final Calculation Sheet'!$E$24="","",'Final Calculation Sheet'!$E$24),"")</f>
        <v/>
      </c>
      <c r="BL24">
        <f>IF(BK24="","",COUNTIFS(BK$4:BK$40,"&lt;"&amp;BK24,BK$4:BK$40,"&lt;&gt;"&amp;"")+COUNTIF(BK$4:BK24,BK24))</f>
        <v/>
      </c>
      <c r="BM24">
        <f>IF(ROW()-3&gt;COUNTIF(BK$4:BK$40,"&lt;&gt;"&amp;""),"",INDEX(BK$4:BK$40,MATCH(ROW()-3,BL$4:BL$40,0)))</f>
        <v/>
      </c>
      <c r="BN24">
        <f>BN23+IF(AND(BM24&lt;&gt;"",COUNTIF(BM$4:BM24,BM24)=1),1,0)</f>
        <v/>
      </c>
      <c r="BO24">
        <f>IF(ROW()-3&gt;MAX(BN$4:BN$40),"",INDEX(BM$4:BM$40,MATCH(ROW()-3,BN$4:BN$40,0)))</f>
        <v/>
      </c>
      <c r="BP24" s="55">
        <f>IF(AND($B$24:$H$24,$J$24:$AJ$24),IF('Final Calculation Sheet'!$C$24="","",'Final Calculation Sheet'!$C$24),"")</f>
        <v/>
      </c>
      <c r="BQ24">
        <f>IF(BP24="","",COUNTIFS(BP$4:BP$40,"&lt;"&amp;BP24,BP$4:BP$40,"&lt;&gt;"&amp;"")+COUNTIF(BP$4:BP24,BP24))</f>
        <v/>
      </c>
      <c r="BR24" s="55">
        <f>IF(ROW()-3&gt;COUNTIF(BP$4:BP$40,"&lt;&gt;"&amp;""),"",INDEX(BP$4:BP$40,MATCH(ROW()-3,BQ$4:BQ$40,0)))</f>
        <v/>
      </c>
      <c r="BS24">
        <f>BS23+IF(AND(BR24&lt;&gt;"",COUNTIF(BR$4:BR24,BR24)=1),1,0)</f>
        <v/>
      </c>
      <c r="BT24" s="55">
        <f>IF(ROW()-3&gt;MAX(BS$4:BS$40),"",INDEX(BR$4:BR$40,MATCH(ROW()-3,BS$4:BS$40,0)))</f>
        <v/>
      </c>
      <c r="BU24" s="55">
        <f>IF(AND($B$24:$I$24,$K$24:$AJ$24),IF('Final Calculation Sheet'!$H$24="","",'Final Calculation Sheet'!$H$24),"")</f>
        <v/>
      </c>
      <c r="BV24">
        <f>IF(BU24="","",COUNTIFS(BU$4:BU$40,"&lt;"&amp;BU24,BU$4:BU$40,"&lt;&gt;"&amp;"")+COUNTIF(BU$4:BU24,BU24))</f>
        <v/>
      </c>
      <c r="BW24" s="55">
        <f>IF(ROW()-3&gt;COUNTIF(BU$4:BU$40,"&lt;&gt;"&amp;""),"",INDEX(BU$4:BU$40,MATCH(ROW()-3,BV$4:BV$40,0)))</f>
        <v/>
      </c>
      <c r="BX24">
        <f>BX23+IF(AND(BW24&lt;&gt;"",COUNTIF(BW$4:BW24,BW24)=1),1,0)</f>
        <v/>
      </c>
      <c r="BY24" s="55">
        <f>IF(ROW()-3&gt;MAX(BX$4:BX$40),"",INDEX(BW$4:BW$40,MATCH(ROW()-3,BX$4:BX$40,0)))</f>
        <v/>
      </c>
      <c r="BZ24" s="55">
        <f>IF(AND($B$24:$J$24,$L$24:$AJ$24),IF('Final Calculation Sheet'!$I$24="","",'Final Calculation Sheet'!$I$24),"")</f>
        <v/>
      </c>
      <c r="CA24">
        <f>IF(BZ24="","",COUNTIFS(BZ$4:BZ$40,"&lt;"&amp;BZ24,BZ$4:BZ$40,"&lt;&gt;"&amp;"")+COUNTIF(BZ$4:BZ24,BZ24))</f>
        <v/>
      </c>
      <c r="CB24" s="55">
        <f>IF(ROW()-3&gt;COUNTIF(BZ$4:BZ$40,"&lt;&gt;"&amp;""),"",INDEX(BZ$4:BZ$40,MATCH(ROW()-3,CA$4:CA$40,0)))</f>
        <v/>
      </c>
      <c r="CC24">
        <f>CC23+IF(AND(CB24&lt;&gt;"",COUNTIF(CB$4:CB24,CB24)=1),1,0)</f>
        <v/>
      </c>
      <c r="CD24" s="55">
        <f>IF(ROW()-3&gt;MAX(CC$4:CC$40),"",INDEX(CB$4:CB$40,MATCH(ROW()-3,CC$4:CC$40,0)))</f>
        <v/>
      </c>
      <c r="CE24" s="55">
        <f>IF(AND($B$24:$K$24,$M$24:$AJ$24),IF('Final Calculation Sheet'!$J$24="","",'Final Calculation Sheet'!$J$24),"")</f>
        <v/>
      </c>
      <c r="CF24">
        <f>IF(CE24="","",COUNTIFS(CE$4:CE$40,"&lt;"&amp;CE24,CE$4:CE$40,"&lt;&gt;"&amp;"")+COUNTIF(CE$4:CE24,CE24))</f>
        <v/>
      </c>
      <c r="CG24" s="55">
        <f>IF(ROW()-3&gt;COUNTIF(CE$4:CE$40,"&lt;&gt;"&amp;""),"",INDEX(CE$4:CE$40,MATCH(ROW()-3,CF$4:CF$40,0)))</f>
        <v/>
      </c>
      <c r="CH24">
        <f>CH23+IF(AND(CG24&lt;&gt;"",COUNTIF(CG$4:CG24,CG24)=1),1,0)</f>
        <v/>
      </c>
      <c r="CI24" s="55">
        <f>IF(ROW()-3&gt;MAX(CH$4:CH$40),"",INDEX(CG$4:CG$40,MATCH(ROW()-3,CH$4:CH$40,0)))</f>
        <v/>
      </c>
      <c r="CJ24" s="55">
        <f>IF(AND($B$24:$L$24,$N$24:$AJ$24),IF('Final Calculation Sheet'!$K$24="","",'Final Calculation Sheet'!$K$24),"")</f>
        <v/>
      </c>
      <c r="CK24">
        <f>IF(CJ24="","",COUNTIFS(CJ$4:CJ$40,"&lt;"&amp;CJ24,CJ$4:CJ$40,"&lt;&gt;"&amp;"")+COUNTIF(CJ$4:CJ24,CJ24))</f>
        <v/>
      </c>
      <c r="CL24" s="55">
        <f>IF(ROW()-3&gt;COUNTIF(CJ$4:CJ$40,"&lt;&gt;"&amp;""),"",INDEX(CJ$4:CJ$40,MATCH(ROW()-3,CK$4:CK$40,0)))</f>
        <v/>
      </c>
      <c r="CM24">
        <f>CM23+IF(AND(CL24&lt;&gt;"",COUNTIF(CL$4:CL24,CL24)=1),1,0)</f>
        <v/>
      </c>
      <c r="CN24" s="55">
        <f>IF(ROW()-3&gt;MAX(CM$4:CM$40),"",INDEX(CL$4:CL$40,MATCH(ROW()-3,CM$4:CM$40,0)))</f>
        <v/>
      </c>
      <c r="CO24" s="55">
        <f>IF(AND($B$24:$M$24,$O$24:$AJ$24),IF('Final Calculation Sheet'!$L$24="","",'Final Calculation Sheet'!$L$24),"")</f>
        <v/>
      </c>
      <c r="CP24">
        <f>IF(CO24="","",COUNTIFS(CO$4:CO$40,"&lt;"&amp;CO24,CO$4:CO$40,"&lt;&gt;"&amp;"")+COUNTIF(CO$4:CO24,CO24))</f>
        <v/>
      </c>
      <c r="CQ24" s="55">
        <f>IF(ROW()-3&gt;COUNTIF(CO$4:CO$40,"&lt;&gt;"&amp;""),"",INDEX(CO$4:CO$40,MATCH(ROW()-3,CP$4:CP$40,0)))</f>
        <v/>
      </c>
      <c r="CR24">
        <f>CR23+IF(AND(CQ24&lt;&gt;"",COUNTIF(CQ$4:CQ24,CQ24)=1),1,0)</f>
        <v/>
      </c>
      <c r="CS24" s="55">
        <f>IF(ROW()-3&gt;MAX(CR$4:CR$40),"",INDEX(CQ$4:CQ$40,MATCH(ROW()-3,CR$4:CR$40,0)))</f>
        <v/>
      </c>
      <c r="CT24" s="55">
        <f>IF(AND($B$24:$N$24,$P$24:$AJ$24),IF('Final Calculation Sheet'!$M$24="","",'Final Calculation Sheet'!$M$24),"")</f>
        <v/>
      </c>
      <c r="CU24">
        <f>IF(CT24="","",COUNTIFS(CT$4:CT$40,"&lt;"&amp;CT24,CT$4:CT$40,"&lt;&gt;"&amp;"")+COUNTIF(CT$4:CT24,CT24))</f>
        <v/>
      </c>
      <c r="CV24" s="55">
        <f>IF(ROW()-3&gt;COUNTIF(CT$4:CT$40,"&lt;&gt;"&amp;""),"",INDEX(CT$4:CT$40,MATCH(ROW()-3,CU$4:CU$40,0)))</f>
        <v/>
      </c>
      <c r="CW24">
        <f>CW23+IF(AND(CV24&lt;&gt;"",COUNTIF(CV$4:CV24,CV24)=1),1,0)</f>
        <v/>
      </c>
      <c r="CX24" s="55">
        <f>IF(ROW()-3&gt;MAX(CW$4:CW$40),"",INDEX(CV$4:CV$40,MATCH(ROW()-3,CW$4:CW$40,0)))</f>
        <v/>
      </c>
      <c r="CY24" s="138">
        <f>IF(AND($B$24:$O$24,$Q$24:$AJ$24),IF('Final Calculation Sheet'!$N$24="","",'Final Calculation Sheet'!$N$24),"")</f>
        <v/>
      </c>
      <c r="CZ24">
        <f>IF(CY24="","",COUNTIFS(CY$4:CY$40,"&lt;"&amp;CY24,CY$4:CY$40,"&lt;&gt;"&amp;"")+COUNTIF(CY$4:CY24,CY24))</f>
        <v/>
      </c>
      <c r="DA24" s="138">
        <f>IF(ROW()-3&gt;COUNTIF(CY$4:CY$40,"&lt;&gt;"&amp;""),"",INDEX(CY$4:CY$40,MATCH(ROW()-3,CZ$4:CZ$40,0)))</f>
        <v/>
      </c>
      <c r="DB24">
        <f>DB23+IF(AND(DA24&lt;&gt;"",COUNTIF(DA$4:DA24,DA24)=1),1,0)</f>
        <v/>
      </c>
      <c r="DC24" s="138">
        <f>IF(ROW()-3&gt;MAX(DB$4:DB$40),"",INDEX(DA$4:DA$40,MATCH(ROW()-3,DB$4:DB$40,0)))</f>
        <v/>
      </c>
      <c r="DD24" s="55">
        <f>IF(AND($B$24:$P$24,$R$24:$AJ$24),IF('Final Calculation Sheet'!$O$24="","",'Final Calculation Sheet'!$O$24),"")</f>
        <v/>
      </c>
      <c r="DE24">
        <f>IF(DD24="","",COUNTIFS(DD$4:DD$40,"&lt;"&amp;DD24,DD$4:DD$40,"&lt;&gt;"&amp;"")+COUNTIF(DD$4:DD24,DD24))</f>
        <v/>
      </c>
      <c r="DF24" s="55">
        <f>IF(ROW()-3&gt;COUNTIF(DD$4:DD$40,"&lt;&gt;"&amp;""),"",INDEX(DD$4:DD$40,MATCH(ROW()-3,DE$4:DE$40,0)))</f>
        <v/>
      </c>
      <c r="DG24">
        <f>DG23+IF(AND(DF24&lt;&gt;"",COUNTIF(DF$4:DF24,DF24)=1),1,0)</f>
        <v/>
      </c>
      <c r="DH24" s="55">
        <f>IF(ROW()-3&gt;MAX(DG$4:DG$40),"",INDEX(DF$4:DF$40,MATCH(ROW()-3,DG$4:DG$40,0)))</f>
        <v/>
      </c>
      <c r="DI24" s="55">
        <f>IF(AND($B$24:$Q$24,$S$24:$AJ$24),IF('Final Calculation Sheet'!$P$24="","",'Final Calculation Sheet'!$P$24),"")</f>
        <v/>
      </c>
      <c r="DJ24">
        <f>IF(DI24="","",COUNTIFS(DI$4:DI$40,"&lt;"&amp;DI24,DI$4:DI$40,"&lt;&gt;"&amp;"")+COUNTIF(DI$4:DI24,DI24))</f>
        <v/>
      </c>
      <c r="DK24" s="55">
        <f>IF(ROW()-3&gt;COUNTIF(DI$4:DI$40,"&lt;&gt;"&amp;""),"",INDEX(DI$4:DI$40,MATCH(ROW()-3,DJ$4:DJ$40,0)))</f>
        <v/>
      </c>
      <c r="DL24">
        <f>DL23+IF(AND(DK24&lt;&gt;"",COUNTIF(DK$4:DK24,DK24)=1),1,0)</f>
        <v/>
      </c>
      <c r="DM24" s="55">
        <f>IF(ROW()-3&gt;MAX(DL$4:DL$40),"",INDEX(DK$4:DK$40,MATCH(ROW()-3,DL$4:DL$40,0)))</f>
        <v/>
      </c>
      <c r="DN24" s="139">
        <f>IF(AND($B$24:$R$24,$T$24:$AJ$24),IF('Final Calculation Sheet'!$Q$24="","",'Final Calculation Sheet'!$Q$24),"")</f>
        <v/>
      </c>
      <c r="DO24">
        <f>IF(DN24="","",COUNTIFS(DN$4:DN$40,"&lt;"&amp;DN24,DN$4:DN$40,"&lt;&gt;"&amp;"")+COUNTIF(DN$4:DN24,DN24))</f>
        <v/>
      </c>
      <c r="DP24" s="139">
        <f>IF(ROW()-3&gt;COUNTIF(DN$4:DN$40,"&lt;&gt;"&amp;""),"",INDEX(DN$4:DN$40,MATCH(ROW()-3,DO$4:DO$40,0)))</f>
        <v/>
      </c>
      <c r="DQ24">
        <f>DQ23+IF(AND(DP24&lt;&gt;"",COUNTIF(DP$4:DP24,DP24)=1),1,0)</f>
        <v/>
      </c>
      <c r="DR24" s="139">
        <f>IF(ROW()-3&gt;MAX(DQ$4:DQ$40),"",INDEX(DP$4:DP$40,MATCH(ROW()-3,DQ$4:DQ$40,0)))</f>
        <v/>
      </c>
      <c r="DS24" s="55">
        <f>IF(AND($B$24:$S$24,$U$24:$AJ$24),IF('Final Calculation Sheet'!$R$24="","",'Final Calculation Sheet'!$R$24),"")</f>
        <v/>
      </c>
      <c r="DT24">
        <f>IF(DS24="","",COUNTIFS(DS$4:DS$40,"&lt;"&amp;DS24,DS$4:DS$40,"&lt;&gt;"&amp;"")+COUNTIF(DS$4:DS24,DS24))</f>
        <v/>
      </c>
      <c r="DU24" s="55">
        <f>IF(ROW()-3&gt;COUNTIF(DS$4:DS$40,"&lt;&gt;"&amp;""),"",INDEX(DS$4:DS$40,MATCH(ROW()-3,DT$4:DT$40,0)))</f>
        <v/>
      </c>
      <c r="DV24">
        <f>DV23+IF(AND(DU24&lt;&gt;"",COUNTIF(DU$4:DU24,DU24)=1),1,0)</f>
        <v/>
      </c>
      <c r="DW24" s="55">
        <f>IF(ROW()-3&gt;MAX(DV$4:DV$40),"",INDEX(DU$4:DU$40,MATCH(ROW()-3,DV$4:DV$40,0)))</f>
        <v/>
      </c>
      <c r="DX24" s="55">
        <f>IF(AND($B$24:$T$24,$V$24:$AJ$24),IF('Final Calculation Sheet'!$S$24="","",'Final Calculation Sheet'!$S$24),"")</f>
        <v/>
      </c>
      <c r="DY24">
        <f>IF(DX24="","",COUNTIFS(DX$4:DX$40,"&lt;"&amp;DX24,DX$4:DX$40,"&lt;&gt;"&amp;"")+COUNTIF(DX$4:DX24,DX24))</f>
        <v/>
      </c>
      <c r="DZ24" s="55">
        <f>IF(ROW()-3&gt;COUNTIF(DX$4:DX$40,"&lt;&gt;"&amp;""),"",INDEX(DX$4:DX$40,MATCH(ROW()-3,DY$4:DY$40,0)))</f>
        <v/>
      </c>
      <c r="EA24">
        <f>EA23+IF(AND(DZ24&lt;&gt;"",COUNTIF(DZ$4:DZ24,DZ24)=1),1,0)</f>
        <v/>
      </c>
      <c r="EB24" s="55">
        <f>IF(ROW()-3&gt;MAX(EA$4:EA$40),"",INDEX(DZ$4:DZ$40,MATCH(ROW()-3,EA$4:EA$40,0)))</f>
        <v/>
      </c>
      <c r="EC24" s="55">
        <f>IF(AND($B$24:$U$24,$W$24:$AJ$24),IF('Final Calculation Sheet'!$T$24="","",'Final Calculation Sheet'!$T$24),"")</f>
        <v/>
      </c>
      <c r="ED24">
        <f>IF(EC24="","",COUNTIFS(EC$4:EC$40,"&lt;"&amp;EC24,EC$4:EC$40,"&lt;&gt;"&amp;"")+COUNTIF(EC$4:EC24,EC24))</f>
        <v/>
      </c>
      <c r="EE24" s="55">
        <f>IF(ROW()-3&gt;COUNTIF(EC$4:EC$40,"&lt;&gt;"&amp;""),"",INDEX(EC$4:EC$40,MATCH(ROW()-3,ED$4:ED$40,0)))</f>
        <v/>
      </c>
      <c r="EF24">
        <f>EF23+IF(AND(EE24&lt;&gt;"",COUNTIF(EE$4:EE24,EE24)=1),1,0)</f>
        <v/>
      </c>
      <c r="EG24" s="55">
        <f>IF(ROW()-3&gt;MAX(EF$4:EF$40),"",INDEX(EE$4:EE$40,MATCH(ROW()-3,EF$4:EF$40,0)))</f>
        <v/>
      </c>
      <c r="EH24" s="140">
        <f>IF(AND($B$24:$V$24,$X$24:$AJ$24),IF('Final Calculation Sheet'!$U$24="","",'Final Calculation Sheet'!$U$24),"")</f>
        <v/>
      </c>
      <c r="EI24">
        <f>IF(EH24="","",COUNTIFS(EH$4:EH$40,"&lt;"&amp;EH24,EH$4:EH$40,"&lt;&gt;"&amp;"")+COUNTIF(EH$4:EH24,EH24))</f>
        <v/>
      </c>
      <c r="EJ24" s="140">
        <f>IF(ROW()-3&gt;COUNTIF(EH$4:EH$40,"&lt;&gt;"&amp;""),"",INDEX(EH$4:EH$40,MATCH(ROW()-3,EI$4:EI$40,0)))</f>
        <v/>
      </c>
      <c r="EK24">
        <f>EK23+IF(AND(EJ24&lt;&gt;"",COUNTIF(EJ$4:EJ24,EJ24)=1),1,0)</f>
        <v/>
      </c>
      <c r="EL24" s="140">
        <f>IF(ROW()-3&gt;MAX(EK$4:EK$40),"",INDEX(EJ$4:EJ$40,MATCH(ROW()-3,EK$4:EK$40,0)))</f>
        <v/>
      </c>
      <c r="EM24">
        <f>IF(AND($B$24:$W$24,$Y$24:$AJ$24),IF('Final Calculation Sheet'!$V$24="","",'Final Calculation Sheet'!$V$24),"")</f>
        <v/>
      </c>
      <c r="EN24">
        <f>IF(EM24="","",COUNTIFS(EM$4:EM$40,"&lt;"&amp;EM24,EM$4:EM$40,"&lt;&gt;"&amp;"")+COUNTIF(EM$4:EM24,EM24))</f>
        <v/>
      </c>
      <c r="EO24">
        <f>IF(ROW()-3&gt;COUNTIF(EM$4:EM$40,"&lt;&gt;"&amp;""),"",INDEX(EM$4:EM$40,MATCH(ROW()-3,EN$4:EN$40,0)))</f>
        <v/>
      </c>
      <c r="EP24">
        <f>EP23+IF(AND(EO24&lt;&gt;"",COUNTIF(EO$4:EO24,EO24)=1),1,0)</f>
        <v/>
      </c>
      <c r="EQ24">
        <f>IF(ROW()-3&gt;MAX(EP$4:EP$40),"",INDEX(EO$4:EO$40,MATCH(ROW()-3,EP$4:EP$40,0)))</f>
        <v/>
      </c>
      <c r="ER24" s="55">
        <f>IF(AND($B$24:$X$24,$Z$24:$AJ$24),IF('Final Calculation Sheet'!$W$24="","",'Final Calculation Sheet'!$W$24),"")</f>
        <v/>
      </c>
      <c r="ES24">
        <f>IF(ER24="","",COUNTIFS(ER$4:ER$40,"&lt;"&amp;ER24,ER$4:ER$40,"&lt;&gt;"&amp;"")+COUNTIF(ER$4:ER24,ER24))</f>
        <v/>
      </c>
      <c r="ET24" s="55">
        <f>IF(ROW()-3&gt;COUNTIF(ER$4:ER$40,"&lt;&gt;"&amp;""),"",INDEX(ER$4:ER$40,MATCH(ROW()-3,ES$4:ES$40,0)))</f>
        <v/>
      </c>
      <c r="EU24">
        <f>EU23+IF(AND(ET24&lt;&gt;"",COUNTIF(ET$4:ET24,ET24)=1),1,0)</f>
        <v/>
      </c>
      <c r="EV24" s="55">
        <f>IF(ROW()-3&gt;MAX(EU$4:EU$40),"",INDEX(ET$4:ET$40,MATCH(ROW()-3,EU$4:EU$40,0)))</f>
        <v/>
      </c>
      <c r="EW24" s="55">
        <f>IF(AND($B$24:$Y$24,$AA$24:$AJ$24),IF('Final Calculation Sheet'!$X$24="","",'Final Calculation Sheet'!$X$24),"")</f>
        <v/>
      </c>
      <c r="EX24">
        <f>IF(EW24="","",COUNTIFS(EW$4:EW$40,"&lt;"&amp;EW24,EW$4:EW$40,"&lt;&gt;"&amp;"")+COUNTIF(EW$4:EW24,EW24))</f>
        <v/>
      </c>
      <c r="EY24" s="55">
        <f>IF(ROW()-3&gt;COUNTIF(EW$4:EW$40,"&lt;&gt;"&amp;""),"",INDEX(EW$4:EW$40,MATCH(ROW()-3,EX$4:EX$40,0)))</f>
        <v/>
      </c>
      <c r="EZ24">
        <f>EZ23+IF(AND(EY24&lt;&gt;"",COUNTIF(EY$4:EY24,EY24)=1),1,0)</f>
        <v/>
      </c>
      <c r="FA24">
        <f>IF(ROW()-3&gt;MAX(EZ$4:EZ$40),"",INDEX(EY$4:EY$40,MATCH(ROW()-3,EZ$4:EZ$40,0)))</f>
        <v/>
      </c>
      <c r="FB24">
        <f>IF(AND($B$24:$Z$24,$AB$24:$AJ$24),IF('Final Calculation Sheet'!$Y$24="","",'Final Calculation Sheet'!$Y$24),"")</f>
        <v/>
      </c>
      <c r="FC24">
        <f>IF(FB24="","",COUNTIFS(FB$4:FB$40,"&lt;"&amp;FB24,FB$4:FB$40,"&lt;&gt;"&amp;"")+COUNTIF(FB$4:FB24,FB24))</f>
        <v/>
      </c>
      <c r="FD24">
        <f>IF(ROW()-3&gt;COUNTIF(FB$4:FB$40,"&lt;&gt;"&amp;""),"",INDEX(FB$4:FB$40,MATCH(ROW()-3,FC$4:FC$40,0)))</f>
        <v/>
      </c>
      <c r="FE24">
        <f>FE23+IF(AND(FD24&lt;&gt;"",COUNTIF(FD$4:FD24,FD24)=1),1,0)</f>
        <v/>
      </c>
      <c r="FF24">
        <f>IF(ROW()-3&gt;MAX(FE$4:FE$40),"",INDEX(FD$4:FD$40,MATCH(ROW()-3,FE$4:FE$40,0)))</f>
        <v/>
      </c>
      <c r="FG24" s="55">
        <f>IF(AND($B$24:$AA$24,$AC$24:$AJ$24),IF('Final Calculation Sheet'!$Z$24="","",'Final Calculation Sheet'!$Z$24),"")</f>
        <v/>
      </c>
      <c r="FH24">
        <f>IF(FG24="","",COUNTIFS(FG$4:FG$40,"&lt;"&amp;FG24,FG$4:FG$40,"&lt;&gt;"&amp;"")+COUNTIF(FG$4:FG24,FG24))</f>
        <v/>
      </c>
      <c r="FI24" s="55">
        <f>IF(ROW()-3&gt;COUNTIF(FG$4:FG$40,"&lt;&gt;"&amp;""),"",INDEX(FG$4:FG$40,MATCH(ROW()-3,FH$4:FH$40,0)))</f>
        <v/>
      </c>
      <c r="FJ24">
        <f>FJ23+IF(AND(FI24&lt;&gt;"",COUNTIF(FI$4:FI24,FI24)=1),1,0)</f>
        <v/>
      </c>
      <c r="FK24" s="55">
        <f>IF(ROW()-3&gt;MAX(FJ$4:FJ$40),"",INDEX(FI$4:FI$40,MATCH(ROW()-3,FJ$4:FJ$40,0)))</f>
        <v/>
      </c>
      <c r="FL24">
        <f>IF(AND($B$24:$AB$24,$AD$24:$AJ$24),IF('Final Calculation Sheet'!$AA$24="","",'Final Calculation Sheet'!$AA$24),"")</f>
        <v/>
      </c>
      <c r="FM24">
        <f>IF(FL24="","",COUNTIFS(FL$4:FL$40,"&lt;"&amp;FL24,FL$4:FL$40,"&lt;&gt;"&amp;"")+COUNTIF(FL$4:FL24,FL24))</f>
        <v/>
      </c>
      <c r="FN24">
        <f>IF(ROW()-3&gt;COUNTIF(FL$4:FL$40,"&lt;&gt;"&amp;""),"",INDEX(FL$4:FL$40,MATCH(ROW()-3,FM$4:FM$40,0)))</f>
        <v/>
      </c>
      <c r="FO24">
        <f>FO23+IF(AND(FN24&lt;&gt;"",COUNTIF(FN$4:FN24,FN24)=1),1,0)</f>
        <v/>
      </c>
      <c r="FP24">
        <f>IF(ROW()-3&gt;MAX(FO$4:FO$40),"",INDEX(FN$4:FN$40,MATCH(ROW()-3,FO$4:FO$40,0)))</f>
        <v/>
      </c>
      <c r="FQ24">
        <f>IF(AND($B$24:$AC$24,$AE$24:$AJ$24),IF('Final Calculation Sheet'!$AB$24="","",'Final Calculation Sheet'!$AB$24),"")</f>
        <v/>
      </c>
      <c r="FR24">
        <f>IF(FQ24="","",COUNTIFS(FQ$4:FQ$40,"&lt;"&amp;FQ24,FQ$4:FQ$40,"&lt;&gt;"&amp;"")+COUNTIF(FQ$4:FQ24,FQ24))</f>
        <v/>
      </c>
      <c r="FS24">
        <f>IF(ROW()-3&gt;COUNTIF(FQ$4:FQ$40,"&lt;&gt;"&amp;""),"",INDEX(FQ$4:FQ$40,MATCH(ROW()-3,FR$4:FR$40,0)))</f>
        <v/>
      </c>
      <c r="FT24">
        <f>FT23+IF(AND(FS24&lt;&gt;"",COUNTIF(FS$4:FS24,FS24)=1),1,0)</f>
        <v/>
      </c>
      <c r="FU24">
        <f>IF(ROW()-3&gt;MAX(FT$4:FT$40),"",INDEX(FS$4:FS$40,MATCH(ROW()-3,FT$4:FT$40,0)))</f>
        <v/>
      </c>
      <c r="FV24" s="55">
        <f>IF(AND($B$24:$AD$24,$AF$24:$AJ$24),IF('Final Calculation Sheet'!$AC$24="","",'Final Calculation Sheet'!$AC$24),"")</f>
        <v/>
      </c>
      <c r="FW24">
        <f>IF(FV24="","",COUNTIFS(FV$4:FV$40,"&lt;"&amp;FV24,FV$4:FV$40,"&lt;&gt;"&amp;"")+COUNTIF(FV$4:FV24,FV24))</f>
        <v/>
      </c>
      <c r="FX24" s="55">
        <f>IF(ROW()-3&gt;COUNTIF(FV$4:FV$40,"&lt;&gt;"&amp;""),"",INDEX(FV$4:FV$40,MATCH(ROW()-3,FW$4:FW$40,0)))</f>
        <v/>
      </c>
      <c r="FY24">
        <f>FY23+IF(AND(FX24&lt;&gt;"",COUNTIF(FX$4:FX24,FX24)=1),1,0)</f>
        <v/>
      </c>
      <c r="FZ24" s="55">
        <f>IF(ROW()-3&gt;MAX(FY$4:FY$40),"",INDEX(FX$4:FX$40,MATCH(ROW()-3,FY$4:FY$40,0)))</f>
        <v/>
      </c>
      <c r="GA24" s="55">
        <f>IF(AND($B$24:$AE$24,$AG$24:$AJ$24),IF('Final Calculation Sheet'!$AD$24="","",'Final Calculation Sheet'!$AD$24),"")</f>
        <v/>
      </c>
      <c r="GB24">
        <f>IF(GA24="","",COUNTIFS(GA$4:GA$40,"&lt;"&amp;GA24,GA$4:GA$40,"&lt;&gt;"&amp;"")+COUNTIF(GA$4:GA24,GA24))</f>
        <v/>
      </c>
      <c r="GC24" s="55">
        <f>IF(ROW()-3&gt;COUNTIF(GA$4:GA$40,"&lt;&gt;"&amp;""),"",INDEX(GA$4:GA$40,MATCH(ROW()-3,GB$4:GB$40,0)))</f>
        <v/>
      </c>
      <c r="GD24">
        <f>GD23+IF(AND(GC24&lt;&gt;"",COUNTIF(GC$4:GC24,GC24)=1),1,0)</f>
        <v/>
      </c>
      <c r="GE24" s="55">
        <f>IF(ROW()-3&gt;MAX(GD$4:GD$40),"",INDEX(GC$4:GC$40,MATCH(ROW()-3,GD$4:GD$40,0)))</f>
        <v/>
      </c>
      <c r="GF24">
        <f>IF(AND($B$24:$AF$24,$AH$24:$AJ$24),IF('Final Calculation Sheet'!$AE$24="","",'Final Calculation Sheet'!$AE$24),"")</f>
        <v/>
      </c>
      <c r="GG24">
        <f>IF(GF24="","",COUNTIFS(GF$4:GF$40,"&lt;"&amp;GF24,GF$4:GF$40,"&lt;&gt;"&amp;"")+COUNTIF(GF$4:GF24,GF24))</f>
        <v/>
      </c>
      <c r="GH24">
        <f>IF(ROW()-3&gt;COUNTIF(GF$4:GF$40,"&lt;&gt;"&amp;""),"",INDEX(GF$4:GF$40,MATCH(ROW()-3,GG$4:GG$40,0)))</f>
        <v/>
      </c>
      <c r="GI24">
        <f>GI23+IF(AND(GH24&lt;&gt;"",COUNTIF(GH$4:GH24,GH24)=1),1,0)</f>
        <v/>
      </c>
      <c r="GJ24">
        <f>IF(ROW()-3&gt;MAX(GI$4:GI$40),"",INDEX(GH$4:GH$40,MATCH(ROW()-3,GI$4:GI$40,0)))</f>
        <v/>
      </c>
      <c r="GK24" s="141">
        <f>IF(AND($B$24:$AG$24,$AI$24:$AJ$24),IF('Final Calculation Sheet'!$AF$24="","",'Final Calculation Sheet'!$AF$24),"")</f>
        <v/>
      </c>
      <c r="GL24">
        <f>IF(GK24="","",COUNTIFS(GK$4:GK$40,"&lt;"&amp;GK24,GK$4:GK$40,"&lt;&gt;"&amp;"")+COUNTIF(GK$4:GK24,GK24))</f>
        <v/>
      </c>
      <c r="GM24" s="141">
        <f>IF(ROW()-3&gt;COUNTIF(GK$4:GK$40,"&lt;&gt;"&amp;""),"",INDEX(GK$4:GK$40,MATCH(ROW()-3,GL$4:GL$40,0)))</f>
        <v/>
      </c>
      <c r="GN24">
        <f>GN23+IF(AND(GM24&lt;&gt;"",COUNTIF(GM$4:GM24,GM24)=1),1,0)</f>
        <v/>
      </c>
      <c r="GO24">
        <f>IF(ROW()-3&gt;MAX(GN$4:GN$40),"",INDEX(GM$4:GM$40,MATCH(ROW()-3,GN$4:GN$40,0)))</f>
        <v/>
      </c>
      <c r="GP24">
        <f>IF(AND($B$24:$AH$24,$AJ$24:$AJ$24),IF('Final Calculation Sheet'!$AG$24="","",'Final Calculation Sheet'!$AG$24),"")</f>
        <v/>
      </c>
      <c r="GQ24">
        <f>IF(GP24="","",COUNTIFS(GP$4:GP$40,"&lt;"&amp;GP24,GP$4:GP$40,"&lt;&gt;"&amp;"")+COUNTIF(GP$4:GP24,GP24))</f>
        <v/>
      </c>
      <c r="GR24">
        <f>IF(ROW()-3&gt;COUNTIF(GP$4:GP$40,"&lt;&gt;"&amp;""),"",INDEX(GP$4:GP$40,MATCH(ROW()-3,GQ$4:GQ$40,0)))</f>
        <v/>
      </c>
      <c r="GS24">
        <f>GS23+IF(AND(GR24&lt;&gt;"",COUNTIF(GR$4:GR24,GR24)=1),1,0)</f>
        <v/>
      </c>
      <c r="GT24">
        <f>IF(ROW()-3&gt;MAX(GS$4:GS$40),"",INDEX(GR$4:GR$40,MATCH(ROW()-3,GS$4:GS$40,0)))</f>
        <v/>
      </c>
    </row>
    <row r="25">
      <c r="A25" t="inlineStr">
        <is>
          <t>Final row 25</t>
        </is>
      </c>
      <c r="B25" t="b">
        <v>1</v>
      </c>
      <c r="C25">
        <f>IF($C$3=FALSE,TRUE,IF(OR(UPPER(TRIM($C$2))="(BLANK)",UPPER(TRIM($C$2))="BLANK",AND($C$2&lt;&gt;"",TRIM($C$2)="")),(IF('Final Calculation Sheet'!$F$25="","",'Final Calculation Sheet'!$F$25))="",IF(OR(UPPER(TRIM($C$2))="(NONBLANK)",UPPER(TRIM($C$2))="NONBLANK",TRIM($C$2)="&lt;&gt;"),(IF('Final Calculation Sheet'!$F$25="","",'Final Calculation Sheet'!$F$25))&lt;&gt;"",UPPER(TRIM((IF('Final Calculation Sheet'!$F$25="","",'Final Calculation Sheet'!$F$25))&amp;""))=UPPER(TRIM($C$2&amp;"")))))</f>
        <v/>
      </c>
      <c r="D25">
        <f>IF($D$3=FALSE,TRUE,IF(OR(UPPER(TRIM($D$2))="(BLANK)",UPPER(TRIM($D$2))="BLANK",AND($D$2&lt;&gt;"",TRIM($D$2)="")),(IF('Final Calculation Sheet'!$G$25="","",'Final Calculation Sheet'!$G$25))="",IF(OR(UPPER(TRIM($D$2))="(NONBLANK)",UPPER(TRIM($D$2))="NONBLANK",TRIM($D$2)="&lt;&gt;"),(IF('Final Calculation Sheet'!$G$25="","",'Final Calculation Sheet'!$G$25))&lt;&gt;"",UPPER(TRIM((IF('Final Calculation Sheet'!$G$25="","",'Final Calculation Sheet'!$G$25))&amp;""))=UPPER(TRIM($D$2&amp;"")))))</f>
        <v/>
      </c>
      <c r="E25">
        <f>IF($E$3=FALSE,TRUE,IF(OR(UPPER(TRIM($E$2))="(BLANK)",UPPER(TRIM($E$2))="BLANK",AND($E$2&lt;&gt;"",TRIM($E$2)="")),(IF('Final Calculation Sheet'!$B$25="","",'Final Calculation Sheet'!$B$25))="",IF(OR(UPPER(TRIM($E$2))="(NONBLANK)",UPPER(TRIM($E$2))="NONBLANK",TRIM($E$2)="&lt;&gt;"),(IF('Final Calculation Sheet'!$B$25="","",'Final Calculation Sheet'!$B$25))&lt;&gt;"",UPPER(TRIM((IF('Final Calculation Sheet'!$B$25="","",'Final Calculation Sheet'!$B$25))&amp;""))=UPPER(TRIM($E$2&amp;"")))))</f>
        <v/>
      </c>
      <c r="F25">
        <f>IF($F$3=FALSE,TRUE,IF(OR(UPPER(TRIM($F$2))="(BLANK)",UPPER(TRIM($F$2))="BLANK",AND($F$2&lt;&gt;"",TRIM($F$2)="")),(IF('Final Calculation Sheet'!$D$25="","",'Final Calculation Sheet'!$D$25))="",IF(OR(UPPER(TRIM($F$2))="(NONBLANK)",UPPER(TRIM($F$2))="NONBLANK",TRIM($F$2)="&lt;&gt;"),(IF('Final Calculation Sheet'!$D$25="","",'Final Calculation Sheet'!$D$25))&lt;&gt;"",UPPER(TRIM((IF('Final Calculation Sheet'!$D$25="","",'Final Calculation Sheet'!$D$25))&amp;""))=UPPER(TRIM($F$2&amp;"")))))</f>
        <v/>
      </c>
      <c r="G25">
        <f>IF($G$3=FALSE,TRUE,IF(OR(UPPER(TRIM($G$2))="(BLANK)",UPPER(TRIM($G$2))="BLANK",AND($G$2&lt;&gt;"",TRIM($G$2)="")),(IF('Final Calculation Sheet'!$A$25="","",'Final Calculation Sheet'!$A$25))="",IF(OR(UPPER(TRIM($G$2))="(NONBLANK)",UPPER(TRIM($G$2))="NONBLANK",TRIM($G$2)="&lt;&gt;"),(IF('Final Calculation Sheet'!$A$25="","",'Final Calculation Sheet'!$A$25))&lt;&gt;"",UPPER(TRIM((IF('Final Calculation Sheet'!$A$25="","",'Final Calculation Sheet'!$A$25))&amp;""))=UPPER(TRIM($G$2&amp;"")))))</f>
        <v/>
      </c>
      <c r="H25">
        <f>IF($H$3=FALSE,TRUE,IF(OR(UPPER(TRIM($H$2))="(BLANK)",UPPER(TRIM($H$2))="BLANK",AND($H$2&lt;&gt;"",TRIM($H$2)="")),(IF('Final Calculation Sheet'!$E$25="","",'Final Calculation Sheet'!$E$25))="",IF(OR(UPPER(TRIM($H$2))="(NONBLANK)",UPPER(TRIM($H$2))="NONBLANK",TRIM($H$2)="&lt;&gt;"),(IF('Final Calculation Sheet'!$E$25="","",'Final Calculation Sheet'!$E$25))&lt;&gt;"",UPPER(TRIM((IF('Final Calculation Sheet'!$E$25="","",'Final Calculation Sheet'!$E$25))&amp;""))=UPPER(TRIM($H$2&amp;"")))))</f>
        <v/>
      </c>
      <c r="I25">
        <f>IF($I$3=FALSE,TRUE,IF(OR(UPPER(TRIM($I$2))="(BLANK)",UPPER(TRIM($I$2))="BLANK",AND($I$2&lt;&gt;"",TRIM($I$2)="")),(IF('Final Calculation Sheet'!$C$25="","",'Final Calculation Sheet'!$C$25))="",IF(OR(UPPER(TRIM($I$2))="(NONBLANK)",UPPER(TRIM($I$2))="NONBLANK",TRIM($I$2)="&lt;&gt;"),(IF('Final Calculation Sheet'!$C$25="","",'Final Calculation Sheet'!$C$25))&lt;&gt;"",UPPER(TRIM((IF('Final Calculation Sheet'!$C$25="","",'Final Calculation Sheet'!$C$25))&amp;""))=UPPER(TRIM($I$2&amp;"")))))</f>
        <v/>
      </c>
      <c r="J25">
        <f>IF($J$3=FALSE,TRUE,IF(OR(UPPER(TRIM($J$2))="(BLANK)",UPPER(TRIM($J$2))="BLANK",AND($J$2&lt;&gt;"",TRIM($J$2)="")),(IF('Final Calculation Sheet'!$H$25="","",'Final Calculation Sheet'!$H$25))="",IF(OR(UPPER(TRIM($J$2))="(NONBLANK)",UPPER(TRIM($J$2))="NONBLANK",TRIM($J$2)="&lt;&gt;"),(IF('Final Calculation Sheet'!$H$25="","",'Final Calculation Sheet'!$H$25))&lt;&gt;"",UPPER(TRIM((IF('Final Calculation Sheet'!$H$25="","",'Final Calculation Sheet'!$H$25))&amp;""))=UPPER(TRIM($J$2&amp;"")))))</f>
        <v/>
      </c>
      <c r="K25">
        <f>IF($K$3=FALSE,TRUE,IF(OR(UPPER(TRIM($K$2))="(BLANK)",UPPER(TRIM($K$2))="BLANK",AND($K$2&lt;&gt;"",TRIM($K$2)="")),(IF('Final Calculation Sheet'!$I$25="","",'Final Calculation Sheet'!$I$25))="",IF(OR(UPPER(TRIM($K$2))="(NONBLANK)",UPPER(TRIM($K$2))="NONBLANK",TRIM($K$2)="&lt;&gt;"),(IF('Final Calculation Sheet'!$I$25="","",'Final Calculation Sheet'!$I$25))&lt;&gt;"",UPPER(TRIM((IF('Final Calculation Sheet'!$I$25="","",'Final Calculation Sheet'!$I$25))&amp;""))=UPPER(TRIM($K$2&amp;"")))))</f>
        <v/>
      </c>
      <c r="L25">
        <f>IF($L$3=FALSE,TRUE,IF(OR(UPPER(TRIM($L$2))="(BLANK)",UPPER(TRIM($L$2))="BLANK",AND($L$2&lt;&gt;"",TRIM($L$2)="")),(IF('Final Calculation Sheet'!$J$25="","",'Final Calculation Sheet'!$J$25))="",IF(OR(UPPER(TRIM($L$2))="(NONBLANK)",UPPER(TRIM($L$2))="NONBLANK",TRIM($L$2)="&lt;&gt;"),(IF('Final Calculation Sheet'!$J$25="","",'Final Calculation Sheet'!$J$25))&lt;&gt;"",UPPER(TRIM((IF('Final Calculation Sheet'!$J$25="","",'Final Calculation Sheet'!$J$25))&amp;""))=UPPER(TRIM($L$2&amp;"")))))</f>
        <v/>
      </c>
      <c r="M25">
        <f>IF($M$3=FALSE,TRUE,IF(OR(UPPER(TRIM($M$2))="(BLANK)",UPPER(TRIM($M$2))="BLANK",AND($M$2&lt;&gt;"",TRIM($M$2)="")),(IF('Final Calculation Sheet'!$K$25="","",'Final Calculation Sheet'!$K$25))="",IF(OR(UPPER(TRIM($M$2))="(NONBLANK)",UPPER(TRIM($M$2))="NONBLANK",TRIM($M$2)="&lt;&gt;"),(IF('Final Calculation Sheet'!$K$25="","",'Final Calculation Sheet'!$K$25))&lt;&gt;"",UPPER(TRIM((IF('Final Calculation Sheet'!$K$25="","",'Final Calculation Sheet'!$K$25))&amp;""))=UPPER(TRIM($M$2&amp;"")))))</f>
        <v/>
      </c>
      <c r="N25">
        <f>IF($N$3=FALSE,TRUE,IF(OR(UPPER(TRIM($N$2))="(BLANK)",UPPER(TRIM($N$2))="BLANK",AND($N$2&lt;&gt;"",TRIM($N$2)="")),(IF('Final Calculation Sheet'!$L$25="","",'Final Calculation Sheet'!$L$25))="",IF(OR(UPPER(TRIM($N$2))="(NONBLANK)",UPPER(TRIM($N$2))="NONBLANK",TRIM($N$2)="&lt;&gt;"),(IF('Final Calculation Sheet'!$L$25="","",'Final Calculation Sheet'!$L$25))&lt;&gt;"",UPPER(TRIM((IF('Final Calculation Sheet'!$L$25="","",'Final Calculation Sheet'!$L$25))&amp;""))=UPPER(TRIM($N$2&amp;"")))))</f>
        <v/>
      </c>
      <c r="O25">
        <f>IF($O$3=FALSE,TRUE,IF(OR(UPPER(TRIM($O$2))="(BLANK)",UPPER(TRIM($O$2))="BLANK",AND($O$2&lt;&gt;"",TRIM($O$2)="")),(IF('Final Calculation Sheet'!$M$25="","",'Final Calculation Sheet'!$M$25))="",IF(OR(UPPER(TRIM($O$2))="(NONBLANK)",UPPER(TRIM($O$2))="NONBLANK",TRIM($O$2)="&lt;&gt;"),(IF('Final Calculation Sheet'!$M$25="","",'Final Calculation Sheet'!$M$25))&lt;&gt;"",UPPER(TRIM((IF('Final Calculation Sheet'!$M$25="","",'Final Calculation Sheet'!$M$25))&amp;""))=UPPER(TRIM($O$2&amp;"")))))</f>
        <v/>
      </c>
      <c r="P25">
        <f>IF($P$3=FALSE,TRUE,IF(OR(UPPER(TRIM($P$2))="(BLANK)",UPPER(TRIM($P$2))="BLANK",AND($P$2&lt;&gt;"",TRIM($P$2)="")),(IF('Final Calculation Sheet'!$N$25="","",'Final Calculation Sheet'!$N$25))="",IF(OR(UPPER(TRIM($P$2))="(NONBLANK)",UPPER(TRIM($P$2))="NONBLANK",TRIM($P$2)="&lt;&gt;"),(IF('Final Calculation Sheet'!$N$25="","",'Final Calculation Sheet'!$N$25))&lt;&gt;"",UPPER(TRIM((IF('Final Calculation Sheet'!$N$25="","",'Final Calculation Sheet'!$N$25))&amp;""))=UPPER(TRIM($P$2&amp;"")))))</f>
        <v/>
      </c>
      <c r="Q25">
        <f>IF($Q$3=FALSE,TRUE,IF(OR(UPPER(TRIM($Q$2))="(BLANK)",UPPER(TRIM($Q$2))="BLANK",AND($Q$2&lt;&gt;"",TRIM($Q$2)="")),(IF('Final Calculation Sheet'!$O$25="","",'Final Calculation Sheet'!$O$25))="",IF(OR(UPPER(TRIM($Q$2))="(NONBLANK)",UPPER(TRIM($Q$2))="NONBLANK",TRIM($Q$2)="&lt;&gt;"),(IF('Final Calculation Sheet'!$O$25="","",'Final Calculation Sheet'!$O$25))&lt;&gt;"",UPPER(TRIM((IF('Final Calculation Sheet'!$O$25="","",'Final Calculation Sheet'!$O$25))&amp;""))=UPPER(TRIM($Q$2&amp;"")))))</f>
        <v/>
      </c>
      <c r="R25">
        <f>IF($R$3=FALSE,TRUE,IF(OR(UPPER(TRIM($R$2))="(BLANK)",UPPER(TRIM($R$2))="BLANK",AND($R$2&lt;&gt;"",TRIM($R$2)="")),(IF('Final Calculation Sheet'!$P$25="","",'Final Calculation Sheet'!$P$25))="",IF(OR(UPPER(TRIM($R$2))="(NONBLANK)",UPPER(TRIM($R$2))="NONBLANK",TRIM($R$2)="&lt;&gt;"),(IF('Final Calculation Sheet'!$P$25="","",'Final Calculation Sheet'!$P$25))&lt;&gt;"",UPPER(TRIM((IF('Final Calculation Sheet'!$P$25="","",'Final Calculation Sheet'!$P$25))&amp;""))=UPPER(TRIM($R$2&amp;"")))))</f>
        <v/>
      </c>
      <c r="S25">
        <f>IF($S$3=FALSE,TRUE,IF(OR(UPPER(TRIM($S$2))="(BLANK)",UPPER(TRIM($S$2))="BLANK",AND($S$2&lt;&gt;"",TRIM($S$2)="")),(IF('Final Calculation Sheet'!$Q$25="","",'Final Calculation Sheet'!$Q$25))="",IF(OR(UPPER(TRIM($S$2))="(NONBLANK)",UPPER(TRIM($S$2))="NONBLANK",TRIM($S$2)="&lt;&gt;"),(IF('Final Calculation Sheet'!$Q$25="","",'Final Calculation Sheet'!$Q$25))&lt;&gt;"",UPPER(TRIM((IF('Final Calculation Sheet'!$Q$25="","",'Final Calculation Sheet'!$Q$25))&amp;""))=UPPER(TRIM($S$2&amp;"")))))</f>
        <v/>
      </c>
      <c r="T25">
        <f>IF($T$3=FALSE,TRUE,IF(OR(UPPER(TRIM($T$2))="(BLANK)",UPPER(TRIM($T$2))="BLANK",AND($T$2&lt;&gt;"",TRIM($T$2)="")),(IF('Final Calculation Sheet'!$R$25="","",'Final Calculation Sheet'!$R$25))="",IF(OR(UPPER(TRIM($T$2))="(NONBLANK)",UPPER(TRIM($T$2))="NONBLANK",TRIM($T$2)="&lt;&gt;"),(IF('Final Calculation Sheet'!$R$25="","",'Final Calculation Sheet'!$R$25))&lt;&gt;"",UPPER(TRIM((IF('Final Calculation Sheet'!$R$25="","",'Final Calculation Sheet'!$R$25))&amp;""))=UPPER(TRIM($T$2&amp;"")))))</f>
        <v/>
      </c>
      <c r="U25">
        <f>IF($U$3=FALSE,TRUE,IF(OR(UPPER(TRIM($U$2))="(BLANK)",UPPER(TRIM($U$2))="BLANK",AND($U$2&lt;&gt;"",TRIM($U$2)="")),(IF('Final Calculation Sheet'!$S$25="","",'Final Calculation Sheet'!$S$25))="",IF(OR(UPPER(TRIM($U$2))="(NONBLANK)",UPPER(TRIM($U$2))="NONBLANK",TRIM($U$2)="&lt;&gt;"),(IF('Final Calculation Sheet'!$S$25="","",'Final Calculation Sheet'!$S$25))&lt;&gt;"",UPPER(TRIM((IF('Final Calculation Sheet'!$S$25="","",'Final Calculation Sheet'!$S$25))&amp;""))=UPPER(TRIM($U$2&amp;"")))))</f>
        <v/>
      </c>
      <c r="V25">
        <f>IF($V$3=FALSE,TRUE,IF(OR(UPPER(TRIM($V$2))="(BLANK)",UPPER(TRIM($V$2))="BLANK",AND($V$2&lt;&gt;"",TRIM($V$2)="")),(IF('Final Calculation Sheet'!$T$25="","",'Final Calculation Sheet'!$T$25))="",IF(OR(UPPER(TRIM($V$2))="(NONBLANK)",UPPER(TRIM($V$2))="NONBLANK",TRIM($V$2)="&lt;&gt;"),(IF('Final Calculation Sheet'!$T$25="","",'Final Calculation Sheet'!$T$25))&lt;&gt;"",UPPER(TRIM((IF('Final Calculation Sheet'!$T$25="","",'Final Calculation Sheet'!$T$25))&amp;""))=UPPER(TRIM($V$2&amp;"")))))</f>
        <v/>
      </c>
      <c r="W25">
        <f>IF($W$3=FALSE,TRUE,IF(OR(UPPER(TRIM($W$2))="(BLANK)",UPPER(TRIM($W$2))="BLANK",AND($W$2&lt;&gt;"",TRIM($W$2)="")),(IF('Final Calculation Sheet'!$U$25="","",'Final Calculation Sheet'!$U$25))="",IF(OR(UPPER(TRIM($W$2))="(NONBLANK)",UPPER(TRIM($W$2))="NONBLANK",TRIM($W$2)="&lt;&gt;"),(IF('Final Calculation Sheet'!$U$25="","",'Final Calculation Sheet'!$U$25))&lt;&gt;"",UPPER(TRIM((IF('Final Calculation Sheet'!$U$25="","",'Final Calculation Sheet'!$U$25))&amp;""))=UPPER(TRIM($W$2&amp;"")))))</f>
        <v/>
      </c>
      <c r="X25">
        <f>IF($X$3=FALSE,TRUE,IF(OR(UPPER(TRIM($X$2))="(BLANK)",UPPER(TRIM($X$2))="BLANK",AND($X$2&lt;&gt;"",TRIM($X$2)="")),(IF('Final Calculation Sheet'!$V$25="","",'Final Calculation Sheet'!$V$25))="",IF(OR(UPPER(TRIM($X$2))="(NONBLANK)",UPPER(TRIM($X$2))="NONBLANK",TRIM($X$2)="&lt;&gt;"),(IF('Final Calculation Sheet'!$V$25="","",'Final Calculation Sheet'!$V$25))&lt;&gt;"",UPPER(TRIM((IF('Final Calculation Sheet'!$V$25="","",'Final Calculation Sheet'!$V$25))&amp;""))=UPPER(TRIM($X$2&amp;"")))))</f>
        <v/>
      </c>
      <c r="Y25">
        <f>IF($Y$3=FALSE,TRUE,IF(OR(UPPER(TRIM($Y$2))="(BLANK)",UPPER(TRIM($Y$2))="BLANK",AND($Y$2&lt;&gt;"",TRIM($Y$2)="")),(IF('Final Calculation Sheet'!$W$25="","",'Final Calculation Sheet'!$W$25))="",IF(OR(UPPER(TRIM($Y$2))="(NONBLANK)",UPPER(TRIM($Y$2))="NONBLANK",TRIM($Y$2)="&lt;&gt;"),(IF('Final Calculation Sheet'!$W$25="","",'Final Calculation Sheet'!$W$25))&lt;&gt;"",UPPER(TRIM((IF('Final Calculation Sheet'!$W$25="","",'Final Calculation Sheet'!$W$25))&amp;""))=UPPER(TRIM($Y$2&amp;"")))))</f>
        <v/>
      </c>
      <c r="Z25">
        <f>IF($Z$3=FALSE,TRUE,IF(OR(UPPER(TRIM($Z$2))="(BLANK)",UPPER(TRIM($Z$2))="BLANK",AND($Z$2&lt;&gt;"",TRIM($Z$2)="")),(IF('Final Calculation Sheet'!$X$25="","",'Final Calculation Sheet'!$X$25))="",IF(OR(UPPER(TRIM($Z$2))="(NONBLANK)",UPPER(TRIM($Z$2))="NONBLANK",TRIM($Z$2)="&lt;&gt;"),(IF('Final Calculation Sheet'!$X$25="","",'Final Calculation Sheet'!$X$25))&lt;&gt;"",UPPER(TRIM((IF('Final Calculation Sheet'!$X$25="","",'Final Calculation Sheet'!$X$25))&amp;""))=UPPER(TRIM($Z$2&amp;"")))))</f>
        <v/>
      </c>
      <c r="AA25">
        <f>IF($AA$3=FALSE,TRUE,IF(OR(UPPER(TRIM($AA$2))="(BLANK)",UPPER(TRIM($AA$2))="BLANK",AND($AA$2&lt;&gt;"",TRIM($AA$2)="")),(IF('Final Calculation Sheet'!$Y$25="","",'Final Calculation Sheet'!$Y$25))="",IF(OR(UPPER(TRIM($AA$2))="(NONBLANK)",UPPER(TRIM($AA$2))="NONBLANK",TRIM($AA$2)="&lt;&gt;"),(IF('Final Calculation Sheet'!$Y$25="","",'Final Calculation Sheet'!$Y$25))&lt;&gt;"",UPPER(TRIM((IF('Final Calculation Sheet'!$Y$25="","",'Final Calculation Sheet'!$Y$25))&amp;""))=UPPER(TRIM($AA$2&amp;"")))))</f>
        <v/>
      </c>
      <c r="AB25">
        <f>IF($AB$3=FALSE,TRUE,IF(OR(UPPER(TRIM($AB$2))="(BLANK)",UPPER(TRIM($AB$2))="BLANK",AND($AB$2&lt;&gt;"",TRIM($AB$2)="")),(IF('Final Calculation Sheet'!$Z$25="","",'Final Calculation Sheet'!$Z$25))="",IF(OR(UPPER(TRIM($AB$2))="(NONBLANK)",UPPER(TRIM($AB$2))="NONBLANK",TRIM($AB$2)="&lt;&gt;"),(IF('Final Calculation Sheet'!$Z$25="","",'Final Calculation Sheet'!$Z$25))&lt;&gt;"",UPPER(TRIM((IF('Final Calculation Sheet'!$Z$25="","",'Final Calculation Sheet'!$Z$25))&amp;""))=UPPER(TRIM($AB$2&amp;"")))))</f>
        <v/>
      </c>
      <c r="AC25">
        <f>IF($AC$3=FALSE,TRUE,IF(OR(UPPER(TRIM($AC$2))="(BLANK)",UPPER(TRIM($AC$2))="BLANK",AND($AC$2&lt;&gt;"",TRIM($AC$2)="")),(IF('Final Calculation Sheet'!$AA$25="","",'Final Calculation Sheet'!$AA$25))="",IF(OR(UPPER(TRIM($AC$2))="(NONBLANK)",UPPER(TRIM($AC$2))="NONBLANK",TRIM($AC$2)="&lt;&gt;"),(IF('Final Calculation Sheet'!$AA$25="","",'Final Calculation Sheet'!$AA$25))&lt;&gt;"",UPPER(TRIM((IF('Final Calculation Sheet'!$AA$25="","",'Final Calculation Sheet'!$AA$25))&amp;""))=UPPER(TRIM($AC$2&amp;"")))))</f>
        <v/>
      </c>
      <c r="AD25">
        <f>IF($AD$3=FALSE,TRUE,IF(OR(UPPER(TRIM($AD$2))="(BLANK)",UPPER(TRIM($AD$2))="BLANK",AND($AD$2&lt;&gt;"",TRIM($AD$2)="")),(IF('Final Calculation Sheet'!$AB$25="","",'Final Calculation Sheet'!$AB$25))="",IF(OR(UPPER(TRIM($AD$2))="(NONBLANK)",UPPER(TRIM($AD$2))="NONBLANK",TRIM($AD$2)="&lt;&gt;"),(IF('Final Calculation Sheet'!$AB$25="","",'Final Calculation Sheet'!$AB$25))&lt;&gt;"",UPPER(TRIM((IF('Final Calculation Sheet'!$AB$25="","",'Final Calculation Sheet'!$AB$25))&amp;""))=UPPER(TRIM($AD$2&amp;"")))))</f>
        <v/>
      </c>
      <c r="AE25">
        <f>IF($AE$3=FALSE,TRUE,IF(OR(UPPER(TRIM($AE$2))="(BLANK)",UPPER(TRIM($AE$2))="BLANK",AND($AE$2&lt;&gt;"",TRIM($AE$2)="")),(IF('Final Calculation Sheet'!$AC$25="","",'Final Calculation Sheet'!$AC$25))="",IF(OR(UPPER(TRIM($AE$2))="(NONBLANK)",UPPER(TRIM($AE$2))="NONBLANK",TRIM($AE$2)="&lt;&gt;"),(IF('Final Calculation Sheet'!$AC$25="","",'Final Calculation Sheet'!$AC$25))&lt;&gt;"",UPPER(TRIM((IF('Final Calculation Sheet'!$AC$25="","",'Final Calculation Sheet'!$AC$25))&amp;""))=UPPER(TRIM($AE$2&amp;"")))))</f>
        <v/>
      </c>
      <c r="AF25">
        <f>IF($AF$3=FALSE,TRUE,IF(OR(UPPER(TRIM($AF$2))="(BLANK)",UPPER(TRIM($AF$2))="BLANK",AND($AF$2&lt;&gt;"",TRIM($AF$2)="")),(IF('Final Calculation Sheet'!$AD$25="","",'Final Calculation Sheet'!$AD$25))="",IF(OR(UPPER(TRIM($AF$2))="(NONBLANK)",UPPER(TRIM($AF$2))="NONBLANK",TRIM($AF$2)="&lt;&gt;"),(IF('Final Calculation Sheet'!$AD$25="","",'Final Calculation Sheet'!$AD$25))&lt;&gt;"",UPPER(TRIM((IF('Final Calculation Sheet'!$AD$25="","",'Final Calculation Sheet'!$AD$25))&amp;""))=UPPER(TRIM($AF$2&amp;"")))))</f>
        <v/>
      </c>
      <c r="AG25">
        <f>IF($AG$3=FALSE,TRUE,IF(OR(UPPER(TRIM($AG$2))="(BLANK)",UPPER(TRIM($AG$2))="BLANK",AND($AG$2&lt;&gt;"",TRIM($AG$2)="")),(IF('Final Calculation Sheet'!$AE$25="","",'Final Calculation Sheet'!$AE$25))="",IF(OR(UPPER(TRIM($AG$2))="(NONBLANK)",UPPER(TRIM($AG$2))="NONBLANK",TRIM($AG$2)="&lt;&gt;"),(IF('Final Calculation Sheet'!$AE$25="","",'Final Calculation Sheet'!$AE$25))&lt;&gt;"",UPPER(TRIM((IF('Final Calculation Sheet'!$AE$25="","",'Final Calculation Sheet'!$AE$25))&amp;""))=UPPER(TRIM($AG$2&amp;"")))))</f>
        <v/>
      </c>
      <c r="AH25">
        <f>IF($AH$3=FALSE,TRUE,IF(OR(UPPER(TRIM($AH$2))="(BLANK)",UPPER(TRIM($AH$2))="BLANK",AND($AH$2&lt;&gt;"",TRIM($AH$2)="")),(IF('Final Calculation Sheet'!$AF$25="","",'Final Calculation Sheet'!$AF$25))="",IF(OR(UPPER(TRIM($AH$2))="(NONBLANK)",UPPER(TRIM($AH$2))="NONBLANK",TRIM($AH$2)="&lt;&gt;"),(IF('Final Calculation Sheet'!$AF$25="","",'Final Calculation Sheet'!$AF$25))&lt;&gt;"",UPPER(TRIM((IF('Final Calculation Sheet'!$AF$25="","",'Final Calculation Sheet'!$AF$25))&amp;""))=UPPER(TRIM($AH$2&amp;"")))))</f>
        <v/>
      </c>
      <c r="AI25">
        <f>IF($AI$3=FALSE,TRUE,IF(OR(UPPER(TRIM($AI$2))="(BLANK)",UPPER(TRIM($AI$2))="BLANK",AND($AI$2&lt;&gt;"",TRIM($AI$2)="")),(IF('Final Calculation Sheet'!$AG$25="","",'Final Calculation Sheet'!$AG$25))="",IF(OR(UPPER(TRIM($AI$2))="(NONBLANK)",UPPER(TRIM($AI$2))="NONBLANK",TRIM($AI$2)="&lt;&gt;"),(IF('Final Calculation Sheet'!$AG$25="","",'Final Calculation Sheet'!$AG$25))&lt;&gt;"",UPPER(TRIM((IF('Final Calculation Sheet'!$AG$25="","",'Final Calculation Sheet'!$AG$25))&amp;""))=UPPER(TRIM($AI$2&amp;"")))))</f>
        <v/>
      </c>
      <c r="AJ25">
        <f>IF($AJ$3=FALSE,TRUE,IF(OR(UPPER(TRIM($AJ$2))="(BLANK)",UPPER(TRIM($AJ$2))="BLANK",AND($AJ$2&lt;&gt;"",TRIM($AJ$2)="")),(IF('Final Calculation Sheet'!$AD$25="","",IF('Final Calculation Sheet'!$AD$25&lt;=5,"SETTLED","OUTSTANDING")))="",IF(OR(UPPER(TRIM($AJ$2))="(NONBLANK)",UPPER(TRIM($AJ$2))="NONBLANK",TRIM($AJ$2)="&lt;&gt;"),(IF('Final Calculation Sheet'!$AD$25="","",IF('Final Calculation Sheet'!$AD$25&lt;=5,"SETTLED","OUTSTANDING")))&lt;&gt;"",UPPER(TRIM((IF('Final Calculation Sheet'!$AD$25="","",IF('Final Calculation Sheet'!$AD$25&lt;=5,"SETTLED","OUTSTANDING")))&amp;""))=UPPER(TRIM($AJ$2&amp;"")))))</f>
        <v/>
      </c>
      <c r="AL25">
        <f>IF(AND($B$25,$D$25:$AJ$25),IF('Final Calculation Sheet'!$F$25="","",'Final Calculation Sheet'!$F$25),"")</f>
        <v/>
      </c>
      <c r="AM25">
        <f>IF(AL25="","",COUNTIFS(AL$4:AL$40,"&lt;"&amp;AL25,AL$4:AL$40,"&lt;&gt;"&amp;"")+COUNTIF(AL$4:AL25,AL25))</f>
        <v/>
      </c>
      <c r="AN25">
        <f>IF(ROW()-3&gt;COUNTIF(AL$4:AL$40,"&lt;&gt;"&amp;""),"",INDEX(AL$4:AL$40,MATCH(ROW()-3,AM$4:AM$40,0)))</f>
        <v/>
      </c>
      <c r="AO25">
        <f>AO24+IF(AND(AN25&lt;&gt;"",COUNTIF(AN$4:AN25,AN25)=1),1,0)</f>
        <v/>
      </c>
      <c r="AP25">
        <f>IF(ROW()-3&gt;MAX(AO$4:AO$40),"",INDEX(AN$4:AN$40,MATCH(ROW()-3,AO$4:AO$40,0)))</f>
        <v/>
      </c>
      <c r="AQ25">
        <f>IF(AND($B$25:$C$25,$E$25:$AJ$25),IF('Final Calculation Sheet'!$G$25="","",'Final Calculation Sheet'!$G$25),"")</f>
        <v/>
      </c>
      <c r="AR25">
        <f>IF(AQ25="","",COUNTIFS(AQ$4:AQ$40,"&lt;"&amp;AQ25,AQ$4:AQ$40,"&lt;&gt;"&amp;"")+COUNTIF(AQ$4:AQ25,AQ25))</f>
        <v/>
      </c>
      <c r="AS25">
        <f>IF(ROW()-3&gt;COUNTIF(AQ$4:AQ$40,"&lt;&gt;"&amp;""),"",INDEX(AQ$4:AQ$40,MATCH(ROW()-3,AR$4:AR$40,0)))</f>
        <v/>
      </c>
      <c r="AT25">
        <f>AT24+IF(AND(AS25&lt;&gt;"",COUNTIF(AS$4:AS25,AS25)=1),1,0)</f>
        <v/>
      </c>
      <c r="AU25">
        <f>IF(ROW()-3&gt;MAX(AT$4:AT$40),"",INDEX(AS$4:AS$40,MATCH(ROW()-3,AT$4:AT$40,0)))</f>
        <v/>
      </c>
      <c r="AV25">
        <f>IF(AND($B$25:$D$25,$F$25:$AJ$25),IF('Final Calculation Sheet'!$B$25="","",'Final Calculation Sheet'!$B$25),"")</f>
        <v/>
      </c>
      <c r="AW25">
        <f>IF(AV25="","",COUNTIFS(AV$4:AV$40,"&lt;"&amp;AV25,AV$4:AV$40,"&lt;&gt;"&amp;"")+COUNTIF(AV$4:AV25,AV25))</f>
        <v/>
      </c>
      <c r="AX25">
        <f>IF(ROW()-3&gt;COUNTIF(AV$4:AV$40,"&lt;&gt;"&amp;""),"",INDEX(AV$4:AV$40,MATCH(ROW()-3,AW$4:AW$40,0)))</f>
        <v/>
      </c>
      <c r="AY25">
        <f>AY24+IF(AND(AX25&lt;&gt;"",COUNTIF(AX$4:AX25,AX25)=1),1,0)</f>
        <v/>
      </c>
      <c r="AZ25">
        <f>IF(ROW()-3&gt;MAX(AY$4:AY$40),"",INDEX(AX$4:AX$40,MATCH(ROW()-3,AY$4:AY$40,0)))</f>
        <v/>
      </c>
      <c r="BA25">
        <f>IF(AND($B$25:$E$25,$G$25:$AJ$25),IF('Final Calculation Sheet'!$D$25="","",'Final Calculation Sheet'!$D$25),"")</f>
        <v/>
      </c>
      <c r="BB25">
        <f>IF(BA25="","",COUNTIFS(BA$4:BA$40,"&lt;"&amp;BA25,BA$4:BA$40,"&lt;&gt;"&amp;"")+COUNTIF(BA$4:BA25,BA25))</f>
        <v/>
      </c>
      <c r="BC25">
        <f>IF(ROW()-3&gt;COUNTIF(BA$4:BA$40,"&lt;&gt;"&amp;""),"",INDEX(BA$4:BA$40,MATCH(ROW()-3,BB$4:BB$40,0)))</f>
        <v/>
      </c>
      <c r="BD25">
        <f>BD24+IF(AND(BC25&lt;&gt;"",COUNTIF(BC$4:BC25,BC25)=1),1,0)</f>
        <v/>
      </c>
      <c r="BE25">
        <f>IF(ROW()-3&gt;MAX(BD$4:BD$40),"",INDEX(BC$4:BC$40,MATCH(ROW()-3,BD$4:BD$40,0)))</f>
        <v/>
      </c>
      <c r="BF25">
        <f>IF(AND($B$25:$F$25,$H$25:$AJ$25),IF('Final Calculation Sheet'!$A$25="","",'Final Calculation Sheet'!$A$25),"")</f>
        <v/>
      </c>
      <c r="BG25">
        <f>IF(BF25="","",COUNTIFS(BF$4:BF$40,"&lt;"&amp;BF25,BF$4:BF$40,"&lt;&gt;"&amp;"")+COUNTIF(BF$4:BF25,BF25))</f>
        <v/>
      </c>
      <c r="BH25">
        <f>IF(ROW()-3&gt;COUNTIF(BF$4:BF$40,"&lt;&gt;"&amp;""),"",INDEX(BF$4:BF$40,MATCH(ROW()-3,BG$4:BG$40,0)))</f>
        <v/>
      </c>
      <c r="BI25">
        <f>BI24+IF(AND(BH25&lt;&gt;"",COUNTIF(BH$4:BH25,BH25)=1),1,0)</f>
        <v/>
      </c>
      <c r="BJ25">
        <f>IF(ROW()-3&gt;MAX(BI$4:BI$40),"",INDEX(BH$4:BH$40,MATCH(ROW()-3,BI$4:BI$40,0)))</f>
        <v/>
      </c>
      <c r="BK25">
        <f>IF(AND($B$25:$G$25,$I$25:$AJ$25),IF('Final Calculation Sheet'!$E$25="","",'Final Calculation Sheet'!$E$25),"")</f>
        <v/>
      </c>
      <c r="BL25">
        <f>IF(BK25="","",COUNTIFS(BK$4:BK$40,"&lt;"&amp;BK25,BK$4:BK$40,"&lt;&gt;"&amp;"")+COUNTIF(BK$4:BK25,BK25))</f>
        <v/>
      </c>
      <c r="BM25">
        <f>IF(ROW()-3&gt;COUNTIF(BK$4:BK$40,"&lt;&gt;"&amp;""),"",INDEX(BK$4:BK$40,MATCH(ROW()-3,BL$4:BL$40,0)))</f>
        <v/>
      </c>
      <c r="BN25">
        <f>BN24+IF(AND(BM25&lt;&gt;"",COUNTIF(BM$4:BM25,BM25)=1),1,0)</f>
        <v/>
      </c>
      <c r="BO25">
        <f>IF(ROW()-3&gt;MAX(BN$4:BN$40),"",INDEX(BM$4:BM$40,MATCH(ROW()-3,BN$4:BN$40,0)))</f>
        <v/>
      </c>
      <c r="BP25" s="55">
        <f>IF(AND($B$25:$H$25,$J$25:$AJ$25),IF('Final Calculation Sheet'!$C$25="","",'Final Calculation Sheet'!$C$25),"")</f>
        <v/>
      </c>
      <c r="BQ25">
        <f>IF(BP25="","",COUNTIFS(BP$4:BP$40,"&lt;"&amp;BP25,BP$4:BP$40,"&lt;&gt;"&amp;"")+COUNTIF(BP$4:BP25,BP25))</f>
        <v/>
      </c>
      <c r="BR25" s="55">
        <f>IF(ROW()-3&gt;COUNTIF(BP$4:BP$40,"&lt;&gt;"&amp;""),"",INDEX(BP$4:BP$40,MATCH(ROW()-3,BQ$4:BQ$40,0)))</f>
        <v/>
      </c>
      <c r="BS25">
        <f>BS24+IF(AND(BR25&lt;&gt;"",COUNTIF(BR$4:BR25,BR25)=1),1,0)</f>
        <v/>
      </c>
      <c r="BT25" s="55">
        <f>IF(ROW()-3&gt;MAX(BS$4:BS$40),"",INDEX(BR$4:BR$40,MATCH(ROW()-3,BS$4:BS$40,0)))</f>
        <v/>
      </c>
      <c r="BU25" s="55">
        <f>IF(AND($B$25:$I$25,$K$25:$AJ$25),IF('Final Calculation Sheet'!$H$25="","",'Final Calculation Sheet'!$H$25),"")</f>
        <v/>
      </c>
      <c r="BV25">
        <f>IF(BU25="","",COUNTIFS(BU$4:BU$40,"&lt;"&amp;BU25,BU$4:BU$40,"&lt;&gt;"&amp;"")+COUNTIF(BU$4:BU25,BU25))</f>
        <v/>
      </c>
      <c r="BW25" s="55">
        <f>IF(ROW()-3&gt;COUNTIF(BU$4:BU$40,"&lt;&gt;"&amp;""),"",INDEX(BU$4:BU$40,MATCH(ROW()-3,BV$4:BV$40,0)))</f>
        <v/>
      </c>
      <c r="BX25">
        <f>BX24+IF(AND(BW25&lt;&gt;"",COUNTIF(BW$4:BW25,BW25)=1),1,0)</f>
        <v/>
      </c>
      <c r="BY25" s="55">
        <f>IF(ROW()-3&gt;MAX(BX$4:BX$40),"",INDEX(BW$4:BW$40,MATCH(ROW()-3,BX$4:BX$40,0)))</f>
        <v/>
      </c>
      <c r="BZ25" s="55">
        <f>IF(AND($B$25:$J$25,$L$25:$AJ$25),IF('Final Calculation Sheet'!$I$25="","",'Final Calculation Sheet'!$I$25),"")</f>
        <v/>
      </c>
      <c r="CA25">
        <f>IF(BZ25="","",COUNTIFS(BZ$4:BZ$40,"&lt;"&amp;BZ25,BZ$4:BZ$40,"&lt;&gt;"&amp;"")+COUNTIF(BZ$4:BZ25,BZ25))</f>
        <v/>
      </c>
      <c r="CB25" s="55">
        <f>IF(ROW()-3&gt;COUNTIF(BZ$4:BZ$40,"&lt;&gt;"&amp;""),"",INDEX(BZ$4:BZ$40,MATCH(ROW()-3,CA$4:CA$40,0)))</f>
        <v/>
      </c>
      <c r="CC25">
        <f>CC24+IF(AND(CB25&lt;&gt;"",COUNTIF(CB$4:CB25,CB25)=1),1,0)</f>
        <v/>
      </c>
      <c r="CD25" s="55">
        <f>IF(ROW()-3&gt;MAX(CC$4:CC$40),"",INDEX(CB$4:CB$40,MATCH(ROW()-3,CC$4:CC$40,0)))</f>
        <v/>
      </c>
      <c r="CE25" s="55">
        <f>IF(AND($B$25:$K$25,$M$25:$AJ$25),IF('Final Calculation Sheet'!$J$25="","",'Final Calculation Sheet'!$J$25),"")</f>
        <v/>
      </c>
      <c r="CF25">
        <f>IF(CE25="","",COUNTIFS(CE$4:CE$40,"&lt;"&amp;CE25,CE$4:CE$40,"&lt;&gt;"&amp;"")+COUNTIF(CE$4:CE25,CE25))</f>
        <v/>
      </c>
      <c r="CG25" s="55">
        <f>IF(ROW()-3&gt;COUNTIF(CE$4:CE$40,"&lt;&gt;"&amp;""),"",INDEX(CE$4:CE$40,MATCH(ROW()-3,CF$4:CF$40,0)))</f>
        <v/>
      </c>
      <c r="CH25">
        <f>CH24+IF(AND(CG25&lt;&gt;"",COUNTIF(CG$4:CG25,CG25)=1),1,0)</f>
        <v/>
      </c>
      <c r="CI25" s="55">
        <f>IF(ROW()-3&gt;MAX(CH$4:CH$40),"",INDEX(CG$4:CG$40,MATCH(ROW()-3,CH$4:CH$40,0)))</f>
        <v/>
      </c>
      <c r="CJ25" s="55">
        <f>IF(AND($B$25:$L$25,$N$25:$AJ$25),IF('Final Calculation Sheet'!$K$25="","",'Final Calculation Sheet'!$K$25),"")</f>
        <v/>
      </c>
      <c r="CK25">
        <f>IF(CJ25="","",COUNTIFS(CJ$4:CJ$40,"&lt;"&amp;CJ25,CJ$4:CJ$40,"&lt;&gt;"&amp;"")+COUNTIF(CJ$4:CJ25,CJ25))</f>
        <v/>
      </c>
      <c r="CL25" s="55">
        <f>IF(ROW()-3&gt;COUNTIF(CJ$4:CJ$40,"&lt;&gt;"&amp;""),"",INDEX(CJ$4:CJ$40,MATCH(ROW()-3,CK$4:CK$40,0)))</f>
        <v/>
      </c>
      <c r="CM25">
        <f>CM24+IF(AND(CL25&lt;&gt;"",COUNTIF(CL$4:CL25,CL25)=1),1,0)</f>
        <v/>
      </c>
      <c r="CN25" s="55">
        <f>IF(ROW()-3&gt;MAX(CM$4:CM$40),"",INDEX(CL$4:CL$40,MATCH(ROW()-3,CM$4:CM$40,0)))</f>
        <v/>
      </c>
      <c r="CO25" s="55">
        <f>IF(AND($B$25:$M$25,$O$25:$AJ$25),IF('Final Calculation Sheet'!$L$25="","",'Final Calculation Sheet'!$L$25),"")</f>
        <v/>
      </c>
      <c r="CP25">
        <f>IF(CO25="","",COUNTIFS(CO$4:CO$40,"&lt;"&amp;CO25,CO$4:CO$40,"&lt;&gt;"&amp;"")+COUNTIF(CO$4:CO25,CO25))</f>
        <v/>
      </c>
      <c r="CQ25" s="55">
        <f>IF(ROW()-3&gt;COUNTIF(CO$4:CO$40,"&lt;&gt;"&amp;""),"",INDEX(CO$4:CO$40,MATCH(ROW()-3,CP$4:CP$40,0)))</f>
        <v/>
      </c>
      <c r="CR25">
        <f>CR24+IF(AND(CQ25&lt;&gt;"",COUNTIF(CQ$4:CQ25,CQ25)=1),1,0)</f>
        <v/>
      </c>
      <c r="CS25" s="55">
        <f>IF(ROW()-3&gt;MAX(CR$4:CR$40),"",INDEX(CQ$4:CQ$40,MATCH(ROW()-3,CR$4:CR$40,0)))</f>
        <v/>
      </c>
      <c r="CT25" s="55">
        <f>IF(AND($B$25:$N$25,$P$25:$AJ$25),IF('Final Calculation Sheet'!$M$25="","",'Final Calculation Sheet'!$M$25),"")</f>
        <v/>
      </c>
      <c r="CU25">
        <f>IF(CT25="","",COUNTIFS(CT$4:CT$40,"&lt;"&amp;CT25,CT$4:CT$40,"&lt;&gt;"&amp;"")+COUNTIF(CT$4:CT25,CT25))</f>
        <v/>
      </c>
      <c r="CV25" s="55">
        <f>IF(ROW()-3&gt;COUNTIF(CT$4:CT$40,"&lt;&gt;"&amp;""),"",INDEX(CT$4:CT$40,MATCH(ROW()-3,CU$4:CU$40,0)))</f>
        <v/>
      </c>
      <c r="CW25">
        <f>CW24+IF(AND(CV25&lt;&gt;"",COUNTIF(CV$4:CV25,CV25)=1),1,0)</f>
        <v/>
      </c>
      <c r="CX25" s="55">
        <f>IF(ROW()-3&gt;MAX(CW$4:CW$40),"",INDEX(CV$4:CV$40,MATCH(ROW()-3,CW$4:CW$40,0)))</f>
        <v/>
      </c>
      <c r="CY25" s="138">
        <f>IF(AND($B$25:$O$25,$Q$25:$AJ$25),IF('Final Calculation Sheet'!$N$25="","",'Final Calculation Sheet'!$N$25),"")</f>
        <v/>
      </c>
      <c r="CZ25">
        <f>IF(CY25="","",COUNTIFS(CY$4:CY$40,"&lt;"&amp;CY25,CY$4:CY$40,"&lt;&gt;"&amp;"")+COUNTIF(CY$4:CY25,CY25))</f>
        <v/>
      </c>
      <c r="DA25" s="138">
        <f>IF(ROW()-3&gt;COUNTIF(CY$4:CY$40,"&lt;&gt;"&amp;""),"",INDEX(CY$4:CY$40,MATCH(ROW()-3,CZ$4:CZ$40,0)))</f>
        <v/>
      </c>
      <c r="DB25">
        <f>DB24+IF(AND(DA25&lt;&gt;"",COUNTIF(DA$4:DA25,DA25)=1),1,0)</f>
        <v/>
      </c>
      <c r="DC25" s="138">
        <f>IF(ROW()-3&gt;MAX(DB$4:DB$40),"",INDEX(DA$4:DA$40,MATCH(ROW()-3,DB$4:DB$40,0)))</f>
        <v/>
      </c>
      <c r="DD25" s="55">
        <f>IF(AND($B$25:$P$25,$R$25:$AJ$25),IF('Final Calculation Sheet'!$O$25="","",'Final Calculation Sheet'!$O$25),"")</f>
        <v/>
      </c>
      <c r="DE25">
        <f>IF(DD25="","",COUNTIFS(DD$4:DD$40,"&lt;"&amp;DD25,DD$4:DD$40,"&lt;&gt;"&amp;"")+COUNTIF(DD$4:DD25,DD25))</f>
        <v/>
      </c>
      <c r="DF25" s="55">
        <f>IF(ROW()-3&gt;COUNTIF(DD$4:DD$40,"&lt;&gt;"&amp;""),"",INDEX(DD$4:DD$40,MATCH(ROW()-3,DE$4:DE$40,0)))</f>
        <v/>
      </c>
      <c r="DG25">
        <f>DG24+IF(AND(DF25&lt;&gt;"",COUNTIF(DF$4:DF25,DF25)=1),1,0)</f>
        <v/>
      </c>
      <c r="DH25" s="55">
        <f>IF(ROW()-3&gt;MAX(DG$4:DG$40),"",INDEX(DF$4:DF$40,MATCH(ROW()-3,DG$4:DG$40,0)))</f>
        <v/>
      </c>
      <c r="DI25" s="55">
        <f>IF(AND($B$25:$Q$25,$S$25:$AJ$25),IF('Final Calculation Sheet'!$P$25="","",'Final Calculation Sheet'!$P$25),"")</f>
        <v/>
      </c>
      <c r="DJ25">
        <f>IF(DI25="","",COUNTIFS(DI$4:DI$40,"&lt;"&amp;DI25,DI$4:DI$40,"&lt;&gt;"&amp;"")+COUNTIF(DI$4:DI25,DI25))</f>
        <v/>
      </c>
      <c r="DK25" s="55">
        <f>IF(ROW()-3&gt;COUNTIF(DI$4:DI$40,"&lt;&gt;"&amp;""),"",INDEX(DI$4:DI$40,MATCH(ROW()-3,DJ$4:DJ$40,0)))</f>
        <v/>
      </c>
      <c r="DL25">
        <f>DL24+IF(AND(DK25&lt;&gt;"",COUNTIF(DK$4:DK25,DK25)=1),1,0)</f>
        <v/>
      </c>
      <c r="DM25" s="55">
        <f>IF(ROW()-3&gt;MAX(DL$4:DL$40),"",INDEX(DK$4:DK$40,MATCH(ROW()-3,DL$4:DL$40,0)))</f>
        <v/>
      </c>
      <c r="DN25" s="139">
        <f>IF(AND($B$25:$R$25,$T$25:$AJ$25),IF('Final Calculation Sheet'!$Q$25="","",'Final Calculation Sheet'!$Q$25),"")</f>
        <v/>
      </c>
      <c r="DO25">
        <f>IF(DN25="","",COUNTIFS(DN$4:DN$40,"&lt;"&amp;DN25,DN$4:DN$40,"&lt;&gt;"&amp;"")+COUNTIF(DN$4:DN25,DN25))</f>
        <v/>
      </c>
      <c r="DP25" s="139">
        <f>IF(ROW()-3&gt;COUNTIF(DN$4:DN$40,"&lt;&gt;"&amp;""),"",INDEX(DN$4:DN$40,MATCH(ROW()-3,DO$4:DO$40,0)))</f>
        <v/>
      </c>
      <c r="DQ25">
        <f>DQ24+IF(AND(DP25&lt;&gt;"",COUNTIF(DP$4:DP25,DP25)=1),1,0)</f>
        <v/>
      </c>
      <c r="DR25" s="139">
        <f>IF(ROW()-3&gt;MAX(DQ$4:DQ$40),"",INDEX(DP$4:DP$40,MATCH(ROW()-3,DQ$4:DQ$40,0)))</f>
        <v/>
      </c>
      <c r="DS25" s="55">
        <f>IF(AND($B$25:$S$25,$U$25:$AJ$25),IF('Final Calculation Sheet'!$R$25="","",'Final Calculation Sheet'!$R$25),"")</f>
        <v/>
      </c>
      <c r="DT25">
        <f>IF(DS25="","",COUNTIFS(DS$4:DS$40,"&lt;"&amp;DS25,DS$4:DS$40,"&lt;&gt;"&amp;"")+COUNTIF(DS$4:DS25,DS25))</f>
        <v/>
      </c>
      <c r="DU25" s="55">
        <f>IF(ROW()-3&gt;COUNTIF(DS$4:DS$40,"&lt;&gt;"&amp;""),"",INDEX(DS$4:DS$40,MATCH(ROW()-3,DT$4:DT$40,0)))</f>
        <v/>
      </c>
      <c r="DV25">
        <f>DV24+IF(AND(DU25&lt;&gt;"",COUNTIF(DU$4:DU25,DU25)=1),1,0)</f>
        <v/>
      </c>
      <c r="DW25" s="55">
        <f>IF(ROW()-3&gt;MAX(DV$4:DV$40),"",INDEX(DU$4:DU$40,MATCH(ROW()-3,DV$4:DV$40,0)))</f>
        <v/>
      </c>
      <c r="DX25" s="55">
        <f>IF(AND($B$25:$T$25,$V$25:$AJ$25),IF('Final Calculation Sheet'!$S$25="","",'Final Calculation Sheet'!$S$25),"")</f>
        <v/>
      </c>
      <c r="DY25">
        <f>IF(DX25="","",COUNTIFS(DX$4:DX$40,"&lt;"&amp;DX25,DX$4:DX$40,"&lt;&gt;"&amp;"")+COUNTIF(DX$4:DX25,DX25))</f>
        <v/>
      </c>
      <c r="DZ25" s="55">
        <f>IF(ROW()-3&gt;COUNTIF(DX$4:DX$40,"&lt;&gt;"&amp;""),"",INDEX(DX$4:DX$40,MATCH(ROW()-3,DY$4:DY$40,0)))</f>
        <v/>
      </c>
      <c r="EA25">
        <f>EA24+IF(AND(DZ25&lt;&gt;"",COUNTIF(DZ$4:DZ25,DZ25)=1),1,0)</f>
        <v/>
      </c>
      <c r="EB25" s="55">
        <f>IF(ROW()-3&gt;MAX(EA$4:EA$40),"",INDEX(DZ$4:DZ$40,MATCH(ROW()-3,EA$4:EA$40,0)))</f>
        <v/>
      </c>
      <c r="EC25" s="55">
        <f>IF(AND($B$25:$U$25,$W$25:$AJ$25),IF('Final Calculation Sheet'!$T$25="","",'Final Calculation Sheet'!$T$25),"")</f>
        <v/>
      </c>
      <c r="ED25">
        <f>IF(EC25="","",COUNTIFS(EC$4:EC$40,"&lt;"&amp;EC25,EC$4:EC$40,"&lt;&gt;"&amp;"")+COUNTIF(EC$4:EC25,EC25))</f>
        <v/>
      </c>
      <c r="EE25" s="55">
        <f>IF(ROW()-3&gt;COUNTIF(EC$4:EC$40,"&lt;&gt;"&amp;""),"",INDEX(EC$4:EC$40,MATCH(ROW()-3,ED$4:ED$40,0)))</f>
        <v/>
      </c>
      <c r="EF25">
        <f>EF24+IF(AND(EE25&lt;&gt;"",COUNTIF(EE$4:EE25,EE25)=1),1,0)</f>
        <v/>
      </c>
      <c r="EG25" s="55">
        <f>IF(ROW()-3&gt;MAX(EF$4:EF$40),"",INDEX(EE$4:EE$40,MATCH(ROW()-3,EF$4:EF$40,0)))</f>
        <v/>
      </c>
      <c r="EH25" s="140">
        <f>IF(AND($B$25:$V$25,$X$25:$AJ$25),IF('Final Calculation Sheet'!$U$25="","",'Final Calculation Sheet'!$U$25),"")</f>
        <v/>
      </c>
      <c r="EI25">
        <f>IF(EH25="","",COUNTIFS(EH$4:EH$40,"&lt;"&amp;EH25,EH$4:EH$40,"&lt;&gt;"&amp;"")+COUNTIF(EH$4:EH25,EH25))</f>
        <v/>
      </c>
      <c r="EJ25" s="140">
        <f>IF(ROW()-3&gt;COUNTIF(EH$4:EH$40,"&lt;&gt;"&amp;""),"",INDEX(EH$4:EH$40,MATCH(ROW()-3,EI$4:EI$40,0)))</f>
        <v/>
      </c>
      <c r="EK25">
        <f>EK24+IF(AND(EJ25&lt;&gt;"",COUNTIF(EJ$4:EJ25,EJ25)=1),1,0)</f>
        <v/>
      </c>
      <c r="EL25" s="140">
        <f>IF(ROW()-3&gt;MAX(EK$4:EK$40),"",INDEX(EJ$4:EJ$40,MATCH(ROW()-3,EK$4:EK$40,0)))</f>
        <v/>
      </c>
      <c r="EM25">
        <f>IF(AND($B$25:$W$25,$Y$25:$AJ$25),IF('Final Calculation Sheet'!$V$25="","",'Final Calculation Sheet'!$V$25),"")</f>
        <v/>
      </c>
      <c r="EN25">
        <f>IF(EM25="","",COUNTIFS(EM$4:EM$40,"&lt;"&amp;EM25,EM$4:EM$40,"&lt;&gt;"&amp;"")+COUNTIF(EM$4:EM25,EM25))</f>
        <v/>
      </c>
      <c r="EO25">
        <f>IF(ROW()-3&gt;COUNTIF(EM$4:EM$40,"&lt;&gt;"&amp;""),"",INDEX(EM$4:EM$40,MATCH(ROW()-3,EN$4:EN$40,0)))</f>
        <v/>
      </c>
      <c r="EP25">
        <f>EP24+IF(AND(EO25&lt;&gt;"",COUNTIF(EO$4:EO25,EO25)=1),1,0)</f>
        <v/>
      </c>
      <c r="EQ25">
        <f>IF(ROW()-3&gt;MAX(EP$4:EP$40),"",INDEX(EO$4:EO$40,MATCH(ROW()-3,EP$4:EP$40,0)))</f>
        <v/>
      </c>
      <c r="ER25" s="55">
        <f>IF(AND($B$25:$X$25,$Z$25:$AJ$25),IF('Final Calculation Sheet'!$W$25="","",'Final Calculation Sheet'!$W$25),"")</f>
        <v/>
      </c>
      <c r="ES25">
        <f>IF(ER25="","",COUNTIFS(ER$4:ER$40,"&lt;"&amp;ER25,ER$4:ER$40,"&lt;&gt;"&amp;"")+COUNTIF(ER$4:ER25,ER25))</f>
        <v/>
      </c>
      <c r="ET25" s="55">
        <f>IF(ROW()-3&gt;COUNTIF(ER$4:ER$40,"&lt;&gt;"&amp;""),"",INDEX(ER$4:ER$40,MATCH(ROW()-3,ES$4:ES$40,0)))</f>
        <v/>
      </c>
      <c r="EU25">
        <f>EU24+IF(AND(ET25&lt;&gt;"",COUNTIF(ET$4:ET25,ET25)=1),1,0)</f>
        <v/>
      </c>
      <c r="EV25" s="55">
        <f>IF(ROW()-3&gt;MAX(EU$4:EU$40),"",INDEX(ET$4:ET$40,MATCH(ROW()-3,EU$4:EU$40,0)))</f>
        <v/>
      </c>
      <c r="EW25" s="55">
        <f>IF(AND($B$25:$Y$25,$AA$25:$AJ$25),IF('Final Calculation Sheet'!$X$25="","",'Final Calculation Sheet'!$X$25),"")</f>
        <v/>
      </c>
      <c r="EX25">
        <f>IF(EW25="","",COUNTIFS(EW$4:EW$40,"&lt;"&amp;EW25,EW$4:EW$40,"&lt;&gt;"&amp;"")+COUNTIF(EW$4:EW25,EW25))</f>
        <v/>
      </c>
      <c r="EY25" s="55">
        <f>IF(ROW()-3&gt;COUNTIF(EW$4:EW$40,"&lt;&gt;"&amp;""),"",INDEX(EW$4:EW$40,MATCH(ROW()-3,EX$4:EX$40,0)))</f>
        <v/>
      </c>
      <c r="EZ25">
        <f>EZ24+IF(AND(EY25&lt;&gt;"",COUNTIF(EY$4:EY25,EY25)=1),1,0)</f>
        <v/>
      </c>
      <c r="FA25">
        <f>IF(ROW()-3&gt;MAX(EZ$4:EZ$40),"",INDEX(EY$4:EY$40,MATCH(ROW()-3,EZ$4:EZ$40,0)))</f>
        <v/>
      </c>
      <c r="FB25">
        <f>IF(AND($B$25:$Z$25,$AB$25:$AJ$25),IF('Final Calculation Sheet'!$Y$25="","",'Final Calculation Sheet'!$Y$25),"")</f>
        <v/>
      </c>
      <c r="FC25">
        <f>IF(FB25="","",COUNTIFS(FB$4:FB$40,"&lt;"&amp;FB25,FB$4:FB$40,"&lt;&gt;"&amp;"")+COUNTIF(FB$4:FB25,FB25))</f>
        <v/>
      </c>
      <c r="FD25">
        <f>IF(ROW()-3&gt;COUNTIF(FB$4:FB$40,"&lt;&gt;"&amp;""),"",INDEX(FB$4:FB$40,MATCH(ROW()-3,FC$4:FC$40,0)))</f>
        <v/>
      </c>
      <c r="FE25">
        <f>FE24+IF(AND(FD25&lt;&gt;"",COUNTIF(FD$4:FD25,FD25)=1),1,0)</f>
        <v/>
      </c>
      <c r="FF25">
        <f>IF(ROW()-3&gt;MAX(FE$4:FE$40),"",INDEX(FD$4:FD$40,MATCH(ROW()-3,FE$4:FE$40,0)))</f>
        <v/>
      </c>
      <c r="FG25" s="55">
        <f>IF(AND($B$25:$AA$25,$AC$25:$AJ$25),IF('Final Calculation Sheet'!$Z$25="","",'Final Calculation Sheet'!$Z$25),"")</f>
        <v/>
      </c>
      <c r="FH25">
        <f>IF(FG25="","",COUNTIFS(FG$4:FG$40,"&lt;"&amp;FG25,FG$4:FG$40,"&lt;&gt;"&amp;"")+COUNTIF(FG$4:FG25,FG25))</f>
        <v/>
      </c>
      <c r="FI25" s="55">
        <f>IF(ROW()-3&gt;COUNTIF(FG$4:FG$40,"&lt;&gt;"&amp;""),"",INDEX(FG$4:FG$40,MATCH(ROW()-3,FH$4:FH$40,0)))</f>
        <v/>
      </c>
      <c r="FJ25">
        <f>FJ24+IF(AND(FI25&lt;&gt;"",COUNTIF(FI$4:FI25,FI25)=1),1,0)</f>
        <v/>
      </c>
      <c r="FK25" s="55">
        <f>IF(ROW()-3&gt;MAX(FJ$4:FJ$40),"",INDEX(FI$4:FI$40,MATCH(ROW()-3,FJ$4:FJ$40,0)))</f>
        <v/>
      </c>
      <c r="FL25">
        <f>IF(AND($B$25:$AB$25,$AD$25:$AJ$25),IF('Final Calculation Sheet'!$AA$25="","",'Final Calculation Sheet'!$AA$25),"")</f>
        <v/>
      </c>
      <c r="FM25">
        <f>IF(FL25="","",COUNTIFS(FL$4:FL$40,"&lt;"&amp;FL25,FL$4:FL$40,"&lt;&gt;"&amp;"")+COUNTIF(FL$4:FL25,FL25))</f>
        <v/>
      </c>
      <c r="FN25">
        <f>IF(ROW()-3&gt;COUNTIF(FL$4:FL$40,"&lt;&gt;"&amp;""),"",INDEX(FL$4:FL$40,MATCH(ROW()-3,FM$4:FM$40,0)))</f>
        <v/>
      </c>
      <c r="FO25">
        <f>FO24+IF(AND(FN25&lt;&gt;"",COUNTIF(FN$4:FN25,FN25)=1),1,0)</f>
        <v/>
      </c>
      <c r="FP25">
        <f>IF(ROW()-3&gt;MAX(FO$4:FO$40),"",INDEX(FN$4:FN$40,MATCH(ROW()-3,FO$4:FO$40,0)))</f>
        <v/>
      </c>
      <c r="FQ25">
        <f>IF(AND($B$25:$AC$25,$AE$25:$AJ$25),IF('Final Calculation Sheet'!$AB$25="","",'Final Calculation Sheet'!$AB$25),"")</f>
        <v/>
      </c>
      <c r="FR25">
        <f>IF(FQ25="","",COUNTIFS(FQ$4:FQ$40,"&lt;"&amp;FQ25,FQ$4:FQ$40,"&lt;&gt;"&amp;"")+COUNTIF(FQ$4:FQ25,FQ25))</f>
        <v/>
      </c>
      <c r="FS25">
        <f>IF(ROW()-3&gt;COUNTIF(FQ$4:FQ$40,"&lt;&gt;"&amp;""),"",INDEX(FQ$4:FQ$40,MATCH(ROW()-3,FR$4:FR$40,0)))</f>
        <v/>
      </c>
      <c r="FT25">
        <f>FT24+IF(AND(FS25&lt;&gt;"",COUNTIF(FS$4:FS25,FS25)=1),1,0)</f>
        <v/>
      </c>
      <c r="FU25">
        <f>IF(ROW()-3&gt;MAX(FT$4:FT$40),"",INDEX(FS$4:FS$40,MATCH(ROW()-3,FT$4:FT$40,0)))</f>
        <v/>
      </c>
      <c r="FV25" s="55">
        <f>IF(AND($B$25:$AD$25,$AF$25:$AJ$25),IF('Final Calculation Sheet'!$AC$25="","",'Final Calculation Sheet'!$AC$25),"")</f>
        <v/>
      </c>
      <c r="FW25">
        <f>IF(FV25="","",COUNTIFS(FV$4:FV$40,"&lt;"&amp;FV25,FV$4:FV$40,"&lt;&gt;"&amp;"")+COUNTIF(FV$4:FV25,FV25))</f>
        <v/>
      </c>
      <c r="FX25" s="55">
        <f>IF(ROW()-3&gt;COUNTIF(FV$4:FV$40,"&lt;&gt;"&amp;""),"",INDEX(FV$4:FV$40,MATCH(ROW()-3,FW$4:FW$40,0)))</f>
        <v/>
      </c>
      <c r="FY25">
        <f>FY24+IF(AND(FX25&lt;&gt;"",COUNTIF(FX$4:FX25,FX25)=1),1,0)</f>
        <v/>
      </c>
      <c r="FZ25" s="55">
        <f>IF(ROW()-3&gt;MAX(FY$4:FY$40),"",INDEX(FX$4:FX$40,MATCH(ROW()-3,FY$4:FY$40,0)))</f>
        <v/>
      </c>
      <c r="GA25" s="55">
        <f>IF(AND($B$25:$AE$25,$AG$25:$AJ$25),IF('Final Calculation Sheet'!$AD$25="","",'Final Calculation Sheet'!$AD$25),"")</f>
        <v/>
      </c>
      <c r="GB25">
        <f>IF(GA25="","",COUNTIFS(GA$4:GA$40,"&lt;"&amp;GA25,GA$4:GA$40,"&lt;&gt;"&amp;"")+COUNTIF(GA$4:GA25,GA25))</f>
        <v/>
      </c>
      <c r="GC25" s="55">
        <f>IF(ROW()-3&gt;COUNTIF(GA$4:GA$40,"&lt;&gt;"&amp;""),"",INDEX(GA$4:GA$40,MATCH(ROW()-3,GB$4:GB$40,0)))</f>
        <v/>
      </c>
      <c r="GD25">
        <f>GD24+IF(AND(GC25&lt;&gt;"",COUNTIF(GC$4:GC25,GC25)=1),1,0)</f>
        <v/>
      </c>
      <c r="GE25" s="55">
        <f>IF(ROW()-3&gt;MAX(GD$4:GD$40),"",INDEX(GC$4:GC$40,MATCH(ROW()-3,GD$4:GD$40,0)))</f>
        <v/>
      </c>
      <c r="GF25">
        <f>IF(AND($B$25:$AF$25,$AH$25:$AJ$25),IF('Final Calculation Sheet'!$AE$25="","",'Final Calculation Sheet'!$AE$25),"")</f>
        <v/>
      </c>
      <c r="GG25">
        <f>IF(GF25="","",COUNTIFS(GF$4:GF$40,"&lt;"&amp;GF25,GF$4:GF$40,"&lt;&gt;"&amp;"")+COUNTIF(GF$4:GF25,GF25))</f>
        <v/>
      </c>
      <c r="GH25">
        <f>IF(ROW()-3&gt;COUNTIF(GF$4:GF$40,"&lt;&gt;"&amp;""),"",INDEX(GF$4:GF$40,MATCH(ROW()-3,GG$4:GG$40,0)))</f>
        <v/>
      </c>
      <c r="GI25">
        <f>GI24+IF(AND(GH25&lt;&gt;"",COUNTIF(GH$4:GH25,GH25)=1),1,0)</f>
        <v/>
      </c>
      <c r="GJ25">
        <f>IF(ROW()-3&gt;MAX(GI$4:GI$40),"",INDEX(GH$4:GH$40,MATCH(ROW()-3,GI$4:GI$40,0)))</f>
        <v/>
      </c>
      <c r="GK25" s="141">
        <f>IF(AND($B$25:$AG$25,$AI$25:$AJ$25),IF('Final Calculation Sheet'!$AF$25="","",'Final Calculation Sheet'!$AF$25),"")</f>
        <v/>
      </c>
      <c r="GL25">
        <f>IF(GK25="","",COUNTIFS(GK$4:GK$40,"&lt;"&amp;GK25,GK$4:GK$40,"&lt;&gt;"&amp;"")+COUNTIF(GK$4:GK25,GK25))</f>
        <v/>
      </c>
      <c r="GM25" s="141">
        <f>IF(ROW()-3&gt;COUNTIF(GK$4:GK$40,"&lt;&gt;"&amp;""),"",INDEX(GK$4:GK$40,MATCH(ROW()-3,GL$4:GL$40,0)))</f>
        <v/>
      </c>
      <c r="GN25">
        <f>GN24+IF(AND(GM25&lt;&gt;"",COUNTIF(GM$4:GM25,GM25)=1),1,0)</f>
        <v/>
      </c>
      <c r="GO25">
        <f>IF(ROW()-3&gt;MAX(GN$4:GN$40),"",INDEX(GM$4:GM$40,MATCH(ROW()-3,GN$4:GN$40,0)))</f>
        <v/>
      </c>
      <c r="GP25">
        <f>IF(AND($B$25:$AH$25,$AJ$25:$AJ$25),IF('Final Calculation Sheet'!$AG$25="","",'Final Calculation Sheet'!$AG$25),"")</f>
        <v/>
      </c>
      <c r="GQ25">
        <f>IF(GP25="","",COUNTIFS(GP$4:GP$40,"&lt;"&amp;GP25,GP$4:GP$40,"&lt;&gt;"&amp;"")+COUNTIF(GP$4:GP25,GP25))</f>
        <v/>
      </c>
      <c r="GR25">
        <f>IF(ROW()-3&gt;COUNTIF(GP$4:GP$40,"&lt;&gt;"&amp;""),"",INDEX(GP$4:GP$40,MATCH(ROW()-3,GQ$4:GQ$40,0)))</f>
        <v/>
      </c>
      <c r="GS25">
        <f>GS24+IF(AND(GR25&lt;&gt;"",COUNTIF(GR$4:GR25,GR25)=1),1,0)</f>
        <v/>
      </c>
      <c r="GT25">
        <f>IF(ROW()-3&gt;MAX(GS$4:GS$40),"",INDEX(GR$4:GR$40,MATCH(ROW()-3,GS$4:GS$40,0)))</f>
        <v/>
      </c>
    </row>
    <row r="26">
      <c r="A26" t="inlineStr">
        <is>
          <t>Final row 26</t>
        </is>
      </c>
      <c r="B26" t="b">
        <v>1</v>
      </c>
      <c r="C26">
        <f>IF($C$3=FALSE,TRUE,IF(OR(UPPER(TRIM($C$2))="(BLANK)",UPPER(TRIM($C$2))="BLANK",AND($C$2&lt;&gt;"",TRIM($C$2)="")),(IF('Final Calculation Sheet'!$F$26="","",'Final Calculation Sheet'!$F$26))="",IF(OR(UPPER(TRIM($C$2))="(NONBLANK)",UPPER(TRIM($C$2))="NONBLANK",TRIM($C$2)="&lt;&gt;"),(IF('Final Calculation Sheet'!$F$26="","",'Final Calculation Sheet'!$F$26))&lt;&gt;"",UPPER(TRIM((IF('Final Calculation Sheet'!$F$26="","",'Final Calculation Sheet'!$F$26))&amp;""))=UPPER(TRIM($C$2&amp;"")))))</f>
        <v/>
      </c>
      <c r="D26">
        <f>IF($D$3=FALSE,TRUE,IF(OR(UPPER(TRIM($D$2))="(BLANK)",UPPER(TRIM($D$2))="BLANK",AND($D$2&lt;&gt;"",TRIM($D$2)="")),(IF('Final Calculation Sheet'!$G$26="","",'Final Calculation Sheet'!$G$26))="",IF(OR(UPPER(TRIM($D$2))="(NONBLANK)",UPPER(TRIM($D$2))="NONBLANK",TRIM($D$2)="&lt;&gt;"),(IF('Final Calculation Sheet'!$G$26="","",'Final Calculation Sheet'!$G$26))&lt;&gt;"",UPPER(TRIM((IF('Final Calculation Sheet'!$G$26="","",'Final Calculation Sheet'!$G$26))&amp;""))=UPPER(TRIM($D$2&amp;"")))))</f>
        <v/>
      </c>
      <c r="E26">
        <f>IF($E$3=FALSE,TRUE,IF(OR(UPPER(TRIM($E$2))="(BLANK)",UPPER(TRIM($E$2))="BLANK",AND($E$2&lt;&gt;"",TRIM($E$2)="")),(IF('Final Calculation Sheet'!$B$26="","",'Final Calculation Sheet'!$B$26))="",IF(OR(UPPER(TRIM($E$2))="(NONBLANK)",UPPER(TRIM($E$2))="NONBLANK",TRIM($E$2)="&lt;&gt;"),(IF('Final Calculation Sheet'!$B$26="","",'Final Calculation Sheet'!$B$26))&lt;&gt;"",UPPER(TRIM((IF('Final Calculation Sheet'!$B$26="","",'Final Calculation Sheet'!$B$26))&amp;""))=UPPER(TRIM($E$2&amp;"")))))</f>
        <v/>
      </c>
      <c r="F26">
        <f>IF($F$3=FALSE,TRUE,IF(OR(UPPER(TRIM($F$2))="(BLANK)",UPPER(TRIM($F$2))="BLANK",AND($F$2&lt;&gt;"",TRIM($F$2)="")),(IF('Final Calculation Sheet'!$D$26="","",'Final Calculation Sheet'!$D$26))="",IF(OR(UPPER(TRIM($F$2))="(NONBLANK)",UPPER(TRIM($F$2))="NONBLANK",TRIM($F$2)="&lt;&gt;"),(IF('Final Calculation Sheet'!$D$26="","",'Final Calculation Sheet'!$D$26))&lt;&gt;"",UPPER(TRIM((IF('Final Calculation Sheet'!$D$26="","",'Final Calculation Sheet'!$D$26))&amp;""))=UPPER(TRIM($F$2&amp;"")))))</f>
        <v/>
      </c>
      <c r="G26">
        <f>IF($G$3=FALSE,TRUE,IF(OR(UPPER(TRIM($G$2))="(BLANK)",UPPER(TRIM($G$2))="BLANK",AND($G$2&lt;&gt;"",TRIM($G$2)="")),(IF('Final Calculation Sheet'!$A$26="","",'Final Calculation Sheet'!$A$26))="",IF(OR(UPPER(TRIM($G$2))="(NONBLANK)",UPPER(TRIM($G$2))="NONBLANK",TRIM($G$2)="&lt;&gt;"),(IF('Final Calculation Sheet'!$A$26="","",'Final Calculation Sheet'!$A$26))&lt;&gt;"",UPPER(TRIM((IF('Final Calculation Sheet'!$A$26="","",'Final Calculation Sheet'!$A$26))&amp;""))=UPPER(TRIM($G$2&amp;"")))))</f>
        <v/>
      </c>
      <c r="H26">
        <f>IF($H$3=FALSE,TRUE,IF(OR(UPPER(TRIM($H$2))="(BLANK)",UPPER(TRIM($H$2))="BLANK",AND($H$2&lt;&gt;"",TRIM($H$2)="")),(IF('Final Calculation Sheet'!$E$26="","",'Final Calculation Sheet'!$E$26))="",IF(OR(UPPER(TRIM($H$2))="(NONBLANK)",UPPER(TRIM($H$2))="NONBLANK",TRIM($H$2)="&lt;&gt;"),(IF('Final Calculation Sheet'!$E$26="","",'Final Calculation Sheet'!$E$26))&lt;&gt;"",UPPER(TRIM((IF('Final Calculation Sheet'!$E$26="","",'Final Calculation Sheet'!$E$26))&amp;""))=UPPER(TRIM($H$2&amp;"")))))</f>
        <v/>
      </c>
      <c r="I26">
        <f>IF($I$3=FALSE,TRUE,IF(OR(UPPER(TRIM($I$2))="(BLANK)",UPPER(TRIM($I$2))="BLANK",AND($I$2&lt;&gt;"",TRIM($I$2)="")),(IF('Final Calculation Sheet'!$C$26="","",'Final Calculation Sheet'!$C$26))="",IF(OR(UPPER(TRIM($I$2))="(NONBLANK)",UPPER(TRIM($I$2))="NONBLANK",TRIM($I$2)="&lt;&gt;"),(IF('Final Calculation Sheet'!$C$26="","",'Final Calculation Sheet'!$C$26))&lt;&gt;"",UPPER(TRIM((IF('Final Calculation Sheet'!$C$26="","",'Final Calculation Sheet'!$C$26))&amp;""))=UPPER(TRIM($I$2&amp;"")))))</f>
        <v/>
      </c>
      <c r="J26">
        <f>IF($J$3=FALSE,TRUE,IF(OR(UPPER(TRIM($J$2))="(BLANK)",UPPER(TRIM($J$2))="BLANK",AND($J$2&lt;&gt;"",TRIM($J$2)="")),(IF('Final Calculation Sheet'!$H$26="","",'Final Calculation Sheet'!$H$26))="",IF(OR(UPPER(TRIM($J$2))="(NONBLANK)",UPPER(TRIM($J$2))="NONBLANK",TRIM($J$2)="&lt;&gt;"),(IF('Final Calculation Sheet'!$H$26="","",'Final Calculation Sheet'!$H$26))&lt;&gt;"",UPPER(TRIM((IF('Final Calculation Sheet'!$H$26="","",'Final Calculation Sheet'!$H$26))&amp;""))=UPPER(TRIM($J$2&amp;"")))))</f>
        <v/>
      </c>
      <c r="K26">
        <f>IF($K$3=FALSE,TRUE,IF(OR(UPPER(TRIM($K$2))="(BLANK)",UPPER(TRIM($K$2))="BLANK",AND($K$2&lt;&gt;"",TRIM($K$2)="")),(IF('Final Calculation Sheet'!$I$26="","",'Final Calculation Sheet'!$I$26))="",IF(OR(UPPER(TRIM($K$2))="(NONBLANK)",UPPER(TRIM($K$2))="NONBLANK",TRIM($K$2)="&lt;&gt;"),(IF('Final Calculation Sheet'!$I$26="","",'Final Calculation Sheet'!$I$26))&lt;&gt;"",UPPER(TRIM((IF('Final Calculation Sheet'!$I$26="","",'Final Calculation Sheet'!$I$26))&amp;""))=UPPER(TRIM($K$2&amp;"")))))</f>
        <v/>
      </c>
      <c r="L26">
        <f>IF($L$3=FALSE,TRUE,IF(OR(UPPER(TRIM($L$2))="(BLANK)",UPPER(TRIM($L$2))="BLANK",AND($L$2&lt;&gt;"",TRIM($L$2)="")),(IF('Final Calculation Sheet'!$J$26="","",'Final Calculation Sheet'!$J$26))="",IF(OR(UPPER(TRIM($L$2))="(NONBLANK)",UPPER(TRIM($L$2))="NONBLANK",TRIM($L$2)="&lt;&gt;"),(IF('Final Calculation Sheet'!$J$26="","",'Final Calculation Sheet'!$J$26))&lt;&gt;"",UPPER(TRIM((IF('Final Calculation Sheet'!$J$26="","",'Final Calculation Sheet'!$J$26))&amp;""))=UPPER(TRIM($L$2&amp;"")))))</f>
        <v/>
      </c>
      <c r="M26">
        <f>IF($M$3=FALSE,TRUE,IF(OR(UPPER(TRIM($M$2))="(BLANK)",UPPER(TRIM($M$2))="BLANK",AND($M$2&lt;&gt;"",TRIM($M$2)="")),(IF('Final Calculation Sheet'!$K$26="","",'Final Calculation Sheet'!$K$26))="",IF(OR(UPPER(TRIM($M$2))="(NONBLANK)",UPPER(TRIM($M$2))="NONBLANK",TRIM($M$2)="&lt;&gt;"),(IF('Final Calculation Sheet'!$K$26="","",'Final Calculation Sheet'!$K$26))&lt;&gt;"",UPPER(TRIM((IF('Final Calculation Sheet'!$K$26="","",'Final Calculation Sheet'!$K$26))&amp;""))=UPPER(TRIM($M$2&amp;"")))))</f>
        <v/>
      </c>
      <c r="N26">
        <f>IF($N$3=FALSE,TRUE,IF(OR(UPPER(TRIM($N$2))="(BLANK)",UPPER(TRIM($N$2))="BLANK",AND($N$2&lt;&gt;"",TRIM($N$2)="")),(IF('Final Calculation Sheet'!$L$26="","",'Final Calculation Sheet'!$L$26))="",IF(OR(UPPER(TRIM($N$2))="(NONBLANK)",UPPER(TRIM($N$2))="NONBLANK",TRIM($N$2)="&lt;&gt;"),(IF('Final Calculation Sheet'!$L$26="","",'Final Calculation Sheet'!$L$26))&lt;&gt;"",UPPER(TRIM((IF('Final Calculation Sheet'!$L$26="","",'Final Calculation Sheet'!$L$26))&amp;""))=UPPER(TRIM($N$2&amp;"")))))</f>
        <v/>
      </c>
      <c r="O26">
        <f>IF($O$3=FALSE,TRUE,IF(OR(UPPER(TRIM($O$2))="(BLANK)",UPPER(TRIM($O$2))="BLANK",AND($O$2&lt;&gt;"",TRIM($O$2)="")),(IF('Final Calculation Sheet'!$M$26="","",'Final Calculation Sheet'!$M$26))="",IF(OR(UPPER(TRIM($O$2))="(NONBLANK)",UPPER(TRIM($O$2))="NONBLANK",TRIM($O$2)="&lt;&gt;"),(IF('Final Calculation Sheet'!$M$26="","",'Final Calculation Sheet'!$M$26))&lt;&gt;"",UPPER(TRIM((IF('Final Calculation Sheet'!$M$26="","",'Final Calculation Sheet'!$M$26))&amp;""))=UPPER(TRIM($O$2&amp;"")))))</f>
        <v/>
      </c>
      <c r="P26">
        <f>IF($P$3=FALSE,TRUE,IF(OR(UPPER(TRIM($P$2))="(BLANK)",UPPER(TRIM($P$2))="BLANK",AND($P$2&lt;&gt;"",TRIM($P$2)="")),(IF('Final Calculation Sheet'!$N$26="","",'Final Calculation Sheet'!$N$26))="",IF(OR(UPPER(TRIM($P$2))="(NONBLANK)",UPPER(TRIM($P$2))="NONBLANK",TRIM($P$2)="&lt;&gt;"),(IF('Final Calculation Sheet'!$N$26="","",'Final Calculation Sheet'!$N$26))&lt;&gt;"",UPPER(TRIM((IF('Final Calculation Sheet'!$N$26="","",'Final Calculation Sheet'!$N$26))&amp;""))=UPPER(TRIM($P$2&amp;"")))))</f>
        <v/>
      </c>
      <c r="Q26">
        <f>IF($Q$3=FALSE,TRUE,IF(OR(UPPER(TRIM($Q$2))="(BLANK)",UPPER(TRIM($Q$2))="BLANK",AND($Q$2&lt;&gt;"",TRIM($Q$2)="")),(IF('Final Calculation Sheet'!$O$26="","",'Final Calculation Sheet'!$O$26))="",IF(OR(UPPER(TRIM($Q$2))="(NONBLANK)",UPPER(TRIM($Q$2))="NONBLANK",TRIM($Q$2)="&lt;&gt;"),(IF('Final Calculation Sheet'!$O$26="","",'Final Calculation Sheet'!$O$26))&lt;&gt;"",UPPER(TRIM((IF('Final Calculation Sheet'!$O$26="","",'Final Calculation Sheet'!$O$26))&amp;""))=UPPER(TRIM($Q$2&amp;"")))))</f>
        <v/>
      </c>
      <c r="R26">
        <f>IF($R$3=FALSE,TRUE,IF(OR(UPPER(TRIM($R$2))="(BLANK)",UPPER(TRIM($R$2))="BLANK",AND($R$2&lt;&gt;"",TRIM($R$2)="")),(IF('Final Calculation Sheet'!$P$26="","",'Final Calculation Sheet'!$P$26))="",IF(OR(UPPER(TRIM($R$2))="(NONBLANK)",UPPER(TRIM($R$2))="NONBLANK",TRIM($R$2)="&lt;&gt;"),(IF('Final Calculation Sheet'!$P$26="","",'Final Calculation Sheet'!$P$26))&lt;&gt;"",UPPER(TRIM((IF('Final Calculation Sheet'!$P$26="","",'Final Calculation Sheet'!$P$26))&amp;""))=UPPER(TRIM($R$2&amp;"")))))</f>
        <v/>
      </c>
      <c r="S26">
        <f>IF($S$3=FALSE,TRUE,IF(OR(UPPER(TRIM($S$2))="(BLANK)",UPPER(TRIM($S$2))="BLANK",AND($S$2&lt;&gt;"",TRIM($S$2)="")),(IF('Final Calculation Sheet'!$Q$26="","",'Final Calculation Sheet'!$Q$26))="",IF(OR(UPPER(TRIM($S$2))="(NONBLANK)",UPPER(TRIM($S$2))="NONBLANK",TRIM($S$2)="&lt;&gt;"),(IF('Final Calculation Sheet'!$Q$26="","",'Final Calculation Sheet'!$Q$26))&lt;&gt;"",UPPER(TRIM((IF('Final Calculation Sheet'!$Q$26="","",'Final Calculation Sheet'!$Q$26))&amp;""))=UPPER(TRIM($S$2&amp;"")))))</f>
        <v/>
      </c>
      <c r="T26">
        <f>IF($T$3=FALSE,TRUE,IF(OR(UPPER(TRIM($T$2))="(BLANK)",UPPER(TRIM($T$2))="BLANK",AND($T$2&lt;&gt;"",TRIM($T$2)="")),(IF('Final Calculation Sheet'!$R$26="","",'Final Calculation Sheet'!$R$26))="",IF(OR(UPPER(TRIM($T$2))="(NONBLANK)",UPPER(TRIM($T$2))="NONBLANK",TRIM($T$2)="&lt;&gt;"),(IF('Final Calculation Sheet'!$R$26="","",'Final Calculation Sheet'!$R$26))&lt;&gt;"",UPPER(TRIM((IF('Final Calculation Sheet'!$R$26="","",'Final Calculation Sheet'!$R$26))&amp;""))=UPPER(TRIM($T$2&amp;"")))))</f>
        <v/>
      </c>
      <c r="U26">
        <f>IF($U$3=FALSE,TRUE,IF(OR(UPPER(TRIM($U$2))="(BLANK)",UPPER(TRIM($U$2))="BLANK",AND($U$2&lt;&gt;"",TRIM($U$2)="")),(IF('Final Calculation Sheet'!$S$26="","",'Final Calculation Sheet'!$S$26))="",IF(OR(UPPER(TRIM($U$2))="(NONBLANK)",UPPER(TRIM($U$2))="NONBLANK",TRIM($U$2)="&lt;&gt;"),(IF('Final Calculation Sheet'!$S$26="","",'Final Calculation Sheet'!$S$26))&lt;&gt;"",UPPER(TRIM((IF('Final Calculation Sheet'!$S$26="","",'Final Calculation Sheet'!$S$26))&amp;""))=UPPER(TRIM($U$2&amp;"")))))</f>
        <v/>
      </c>
      <c r="V26">
        <f>IF($V$3=FALSE,TRUE,IF(OR(UPPER(TRIM($V$2))="(BLANK)",UPPER(TRIM($V$2))="BLANK",AND($V$2&lt;&gt;"",TRIM($V$2)="")),(IF('Final Calculation Sheet'!$T$26="","",'Final Calculation Sheet'!$T$26))="",IF(OR(UPPER(TRIM($V$2))="(NONBLANK)",UPPER(TRIM($V$2))="NONBLANK",TRIM($V$2)="&lt;&gt;"),(IF('Final Calculation Sheet'!$T$26="","",'Final Calculation Sheet'!$T$26))&lt;&gt;"",UPPER(TRIM((IF('Final Calculation Sheet'!$T$26="","",'Final Calculation Sheet'!$T$26))&amp;""))=UPPER(TRIM($V$2&amp;"")))))</f>
        <v/>
      </c>
      <c r="W26">
        <f>IF($W$3=FALSE,TRUE,IF(OR(UPPER(TRIM($W$2))="(BLANK)",UPPER(TRIM($W$2))="BLANK",AND($W$2&lt;&gt;"",TRIM($W$2)="")),(IF('Final Calculation Sheet'!$U$26="","",'Final Calculation Sheet'!$U$26))="",IF(OR(UPPER(TRIM($W$2))="(NONBLANK)",UPPER(TRIM($W$2))="NONBLANK",TRIM($W$2)="&lt;&gt;"),(IF('Final Calculation Sheet'!$U$26="","",'Final Calculation Sheet'!$U$26))&lt;&gt;"",UPPER(TRIM((IF('Final Calculation Sheet'!$U$26="","",'Final Calculation Sheet'!$U$26))&amp;""))=UPPER(TRIM($W$2&amp;"")))))</f>
        <v/>
      </c>
      <c r="X26">
        <f>IF($X$3=FALSE,TRUE,IF(OR(UPPER(TRIM($X$2))="(BLANK)",UPPER(TRIM($X$2))="BLANK",AND($X$2&lt;&gt;"",TRIM($X$2)="")),(IF('Final Calculation Sheet'!$V$26="","",'Final Calculation Sheet'!$V$26))="",IF(OR(UPPER(TRIM($X$2))="(NONBLANK)",UPPER(TRIM($X$2))="NONBLANK",TRIM($X$2)="&lt;&gt;"),(IF('Final Calculation Sheet'!$V$26="","",'Final Calculation Sheet'!$V$26))&lt;&gt;"",UPPER(TRIM((IF('Final Calculation Sheet'!$V$26="","",'Final Calculation Sheet'!$V$26))&amp;""))=UPPER(TRIM($X$2&amp;"")))))</f>
        <v/>
      </c>
      <c r="Y26">
        <f>IF($Y$3=FALSE,TRUE,IF(OR(UPPER(TRIM($Y$2))="(BLANK)",UPPER(TRIM($Y$2))="BLANK",AND($Y$2&lt;&gt;"",TRIM($Y$2)="")),(IF('Final Calculation Sheet'!$W$26="","",'Final Calculation Sheet'!$W$26))="",IF(OR(UPPER(TRIM($Y$2))="(NONBLANK)",UPPER(TRIM($Y$2))="NONBLANK",TRIM($Y$2)="&lt;&gt;"),(IF('Final Calculation Sheet'!$W$26="","",'Final Calculation Sheet'!$W$26))&lt;&gt;"",UPPER(TRIM((IF('Final Calculation Sheet'!$W$26="","",'Final Calculation Sheet'!$W$26))&amp;""))=UPPER(TRIM($Y$2&amp;"")))))</f>
        <v/>
      </c>
      <c r="Z26">
        <f>IF($Z$3=FALSE,TRUE,IF(OR(UPPER(TRIM($Z$2))="(BLANK)",UPPER(TRIM($Z$2))="BLANK",AND($Z$2&lt;&gt;"",TRIM($Z$2)="")),(IF('Final Calculation Sheet'!$X$26="","",'Final Calculation Sheet'!$X$26))="",IF(OR(UPPER(TRIM($Z$2))="(NONBLANK)",UPPER(TRIM($Z$2))="NONBLANK",TRIM($Z$2)="&lt;&gt;"),(IF('Final Calculation Sheet'!$X$26="","",'Final Calculation Sheet'!$X$26))&lt;&gt;"",UPPER(TRIM((IF('Final Calculation Sheet'!$X$26="","",'Final Calculation Sheet'!$X$26))&amp;""))=UPPER(TRIM($Z$2&amp;"")))))</f>
        <v/>
      </c>
      <c r="AA26">
        <f>IF($AA$3=FALSE,TRUE,IF(OR(UPPER(TRIM($AA$2))="(BLANK)",UPPER(TRIM($AA$2))="BLANK",AND($AA$2&lt;&gt;"",TRIM($AA$2)="")),(IF('Final Calculation Sheet'!$Y$26="","",'Final Calculation Sheet'!$Y$26))="",IF(OR(UPPER(TRIM($AA$2))="(NONBLANK)",UPPER(TRIM($AA$2))="NONBLANK",TRIM($AA$2)="&lt;&gt;"),(IF('Final Calculation Sheet'!$Y$26="","",'Final Calculation Sheet'!$Y$26))&lt;&gt;"",UPPER(TRIM((IF('Final Calculation Sheet'!$Y$26="","",'Final Calculation Sheet'!$Y$26))&amp;""))=UPPER(TRIM($AA$2&amp;"")))))</f>
        <v/>
      </c>
      <c r="AB26">
        <f>IF($AB$3=FALSE,TRUE,IF(OR(UPPER(TRIM($AB$2))="(BLANK)",UPPER(TRIM($AB$2))="BLANK",AND($AB$2&lt;&gt;"",TRIM($AB$2)="")),(IF('Final Calculation Sheet'!$Z$26="","",'Final Calculation Sheet'!$Z$26))="",IF(OR(UPPER(TRIM($AB$2))="(NONBLANK)",UPPER(TRIM($AB$2))="NONBLANK",TRIM($AB$2)="&lt;&gt;"),(IF('Final Calculation Sheet'!$Z$26="","",'Final Calculation Sheet'!$Z$26))&lt;&gt;"",UPPER(TRIM((IF('Final Calculation Sheet'!$Z$26="","",'Final Calculation Sheet'!$Z$26))&amp;""))=UPPER(TRIM($AB$2&amp;"")))))</f>
        <v/>
      </c>
      <c r="AC26">
        <f>IF($AC$3=FALSE,TRUE,IF(OR(UPPER(TRIM($AC$2))="(BLANK)",UPPER(TRIM($AC$2))="BLANK",AND($AC$2&lt;&gt;"",TRIM($AC$2)="")),(IF('Final Calculation Sheet'!$AA$26="","",'Final Calculation Sheet'!$AA$26))="",IF(OR(UPPER(TRIM($AC$2))="(NONBLANK)",UPPER(TRIM($AC$2))="NONBLANK",TRIM($AC$2)="&lt;&gt;"),(IF('Final Calculation Sheet'!$AA$26="","",'Final Calculation Sheet'!$AA$26))&lt;&gt;"",UPPER(TRIM((IF('Final Calculation Sheet'!$AA$26="","",'Final Calculation Sheet'!$AA$26))&amp;""))=UPPER(TRIM($AC$2&amp;"")))))</f>
        <v/>
      </c>
      <c r="AD26">
        <f>IF($AD$3=FALSE,TRUE,IF(OR(UPPER(TRIM($AD$2))="(BLANK)",UPPER(TRIM($AD$2))="BLANK",AND($AD$2&lt;&gt;"",TRIM($AD$2)="")),(IF('Final Calculation Sheet'!$AB$26="","",'Final Calculation Sheet'!$AB$26))="",IF(OR(UPPER(TRIM($AD$2))="(NONBLANK)",UPPER(TRIM($AD$2))="NONBLANK",TRIM($AD$2)="&lt;&gt;"),(IF('Final Calculation Sheet'!$AB$26="","",'Final Calculation Sheet'!$AB$26))&lt;&gt;"",UPPER(TRIM((IF('Final Calculation Sheet'!$AB$26="","",'Final Calculation Sheet'!$AB$26))&amp;""))=UPPER(TRIM($AD$2&amp;"")))))</f>
        <v/>
      </c>
      <c r="AE26">
        <f>IF($AE$3=FALSE,TRUE,IF(OR(UPPER(TRIM($AE$2))="(BLANK)",UPPER(TRIM($AE$2))="BLANK",AND($AE$2&lt;&gt;"",TRIM($AE$2)="")),(IF('Final Calculation Sheet'!$AC$26="","",'Final Calculation Sheet'!$AC$26))="",IF(OR(UPPER(TRIM($AE$2))="(NONBLANK)",UPPER(TRIM($AE$2))="NONBLANK",TRIM($AE$2)="&lt;&gt;"),(IF('Final Calculation Sheet'!$AC$26="","",'Final Calculation Sheet'!$AC$26))&lt;&gt;"",UPPER(TRIM((IF('Final Calculation Sheet'!$AC$26="","",'Final Calculation Sheet'!$AC$26))&amp;""))=UPPER(TRIM($AE$2&amp;"")))))</f>
        <v/>
      </c>
      <c r="AF26">
        <f>IF($AF$3=FALSE,TRUE,IF(OR(UPPER(TRIM($AF$2))="(BLANK)",UPPER(TRIM($AF$2))="BLANK",AND($AF$2&lt;&gt;"",TRIM($AF$2)="")),(IF('Final Calculation Sheet'!$AD$26="","",'Final Calculation Sheet'!$AD$26))="",IF(OR(UPPER(TRIM($AF$2))="(NONBLANK)",UPPER(TRIM($AF$2))="NONBLANK",TRIM($AF$2)="&lt;&gt;"),(IF('Final Calculation Sheet'!$AD$26="","",'Final Calculation Sheet'!$AD$26))&lt;&gt;"",UPPER(TRIM((IF('Final Calculation Sheet'!$AD$26="","",'Final Calculation Sheet'!$AD$26))&amp;""))=UPPER(TRIM($AF$2&amp;"")))))</f>
        <v/>
      </c>
      <c r="AG26">
        <f>IF($AG$3=FALSE,TRUE,IF(OR(UPPER(TRIM($AG$2))="(BLANK)",UPPER(TRIM($AG$2))="BLANK",AND($AG$2&lt;&gt;"",TRIM($AG$2)="")),(IF('Final Calculation Sheet'!$AE$26="","",'Final Calculation Sheet'!$AE$26))="",IF(OR(UPPER(TRIM($AG$2))="(NONBLANK)",UPPER(TRIM($AG$2))="NONBLANK",TRIM($AG$2)="&lt;&gt;"),(IF('Final Calculation Sheet'!$AE$26="","",'Final Calculation Sheet'!$AE$26))&lt;&gt;"",UPPER(TRIM((IF('Final Calculation Sheet'!$AE$26="","",'Final Calculation Sheet'!$AE$26))&amp;""))=UPPER(TRIM($AG$2&amp;"")))))</f>
        <v/>
      </c>
      <c r="AH26">
        <f>IF($AH$3=FALSE,TRUE,IF(OR(UPPER(TRIM($AH$2))="(BLANK)",UPPER(TRIM($AH$2))="BLANK",AND($AH$2&lt;&gt;"",TRIM($AH$2)="")),(IF('Final Calculation Sheet'!$AF$26="","",'Final Calculation Sheet'!$AF$26))="",IF(OR(UPPER(TRIM($AH$2))="(NONBLANK)",UPPER(TRIM($AH$2))="NONBLANK",TRIM($AH$2)="&lt;&gt;"),(IF('Final Calculation Sheet'!$AF$26="","",'Final Calculation Sheet'!$AF$26))&lt;&gt;"",UPPER(TRIM((IF('Final Calculation Sheet'!$AF$26="","",'Final Calculation Sheet'!$AF$26))&amp;""))=UPPER(TRIM($AH$2&amp;"")))))</f>
        <v/>
      </c>
      <c r="AI26">
        <f>IF($AI$3=FALSE,TRUE,IF(OR(UPPER(TRIM($AI$2))="(BLANK)",UPPER(TRIM($AI$2))="BLANK",AND($AI$2&lt;&gt;"",TRIM($AI$2)="")),(IF('Final Calculation Sheet'!$AG$26="","",'Final Calculation Sheet'!$AG$26))="",IF(OR(UPPER(TRIM($AI$2))="(NONBLANK)",UPPER(TRIM($AI$2))="NONBLANK",TRIM($AI$2)="&lt;&gt;"),(IF('Final Calculation Sheet'!$AG$26="","",'Final Calculation Sheet'!$AG$26))&lt;&gt;"",UPPER(TRIM((IF('Final Calculation Sheet'!$AG$26="","",'Final Calculation Sheet'!$AG$26))&amp;""))=UPPER(TRIM($AI$2&amp;"")))))</f>
        <v/>
      </c>
      <c r="AJ26">
        <f>IF($AJ$3=FALSE,TRUE,IF(OR(UPPER(TRIM($AJ$2))="(BLANK)",UPPER(TRIM($AJ$2))="BLANK",AND($AJ$2&lt;&gt;"",TRIM($AJ$2)="")),(IF('Final Calculation Sheet'!$AD$26="","",IF('Final Calculation Sheet'!$AD$26&lt;=5,"SETTLED","OUTSTANDING")))="",IF(OR(UPPER(TRIM($AJ$2))="(NONBLANK)",UPPER(TRIM($AJ$2))="NONBLANK",TRIM($AJ$2)="&lt;&gt;"),(IF('Final Calculation Sheet'!$AD$26="","",IF('Final Calculation Sheet'!$AD$26&lt;=5,"SETTLED","OUTSTANDING")))&lt;&gt;"",UPPER(TRIM((IF('Final Calculation Sheet'!$AD$26="","",IF('Final Calculation Sheet'!$AD$26&lt;=5,"SETTLED","OUTSTANDING")))&amp;""))=UPPER(TRIM($AJ$2&amp;"")))))</f>
        <v/>
      </c>
      <c r="AL26">
        <f>IF(AND($B$26,$D$26:$AJ$26),IF('Final Calculation Sheet'!$F$26="","",'Final Calculation Sheet'!$F$26),"")</f>
        <v/>
      </c>
      <c r="AM26">
        <f>IF(AL26="","",COUNTIFS(AL$4:AL$40,"&lt;"&amp;AL26,AL$4:AL$40,"&lt;&gt;"&amp;"")+COUNTIF(AL$4:AL26,AL26))</f>
        <v/>
      </c>
      <c r="AN26">
        <f>IF(ROW()-3&gt;COUNTIF(AL$4:AL$40,"&lt;&gt;"&amp;""),"",INDEX(AL$4:AL$40,MATCH(ROW()-3,AM$4:AM$40,0)))</f>
        <v/>
      </c>
      <c r="AO26">
        <f>AO25+IF(AND(AN26&lt;&gt;"",COUNTIF(AN$4:AN26,AN26)=1),1,0)</f>
        <v/>
      </c>
      <c r="AP26">
        <f>IF(ROW()-3&gt;MAX(AO$4:AO$40),"",INDEX(AN$4:AN$40,MATCH(ROW()-3,AO$4:AO$40,0)))</f>
        <v/>
      </c>
      <c r="AQ26">
        <f>IF(AND($B$26:$C$26,$E$26:$AJ$26),IF('Final Calculation Sheet'!$G$26="","",'Final Calculation Sheet'!$G$26),"")</f>
        <v/>
      </c>
      <c r="AR26">
        <f>IF(AQ26="","",COUNTIFS(AQ$4:AQ$40,"&lt;"&amp;AQ26,AQ$4:AQ$40,"&lt;&gt;"&amp;"")+COUNTIF(AQ$4:AQ26,AQ26))</f>
        <v/>
      </c>
      <c r="AS26">
        <f>IF(ROW()-3&gt;COUNTIF(AQ$4:AQ$40,"&lt;&gt;"&amp;""),"",INDEX(AQ$4:AQ$40,MATCH(ROW()-3,AR$4:AR$40,0)))</f>
        <v/>
      </c>
      <c r="AT26">
        <f>AT25+IF(AND(AS26&lt;&gt;"",COUNTIF(AS$4:AS26,AS26)=1),1,0)</f>
        <v/>
      </c>
      <c r="AU26">
        <f>IF(ROW()-3&gt;MAX(AT$4:AT$40),"",INDEX(AS$4:AS$40,MATCH(ROW()-3,AT$4:AT$40,0)))</f>
        <v/>
      </c>
      <c r="AV26">
        <f>IF(AND($B$26:$D$26,$F$26:$AJ$26),IF('Final Calculation Sheet'!$B$26="","",'Final Calculation Sheet'!$B$26),"")</f>
        <v/>
      </c>
      <c r="AW26">
        <f>IF(AV26="","",COUNTIFS(AV$4:AV$40,"&lt;"&amp;AV26,AV$4:AV$40,"&lt;&gt;"&amp;"")+COUNTIF(AV$4:AV26,AV26))</f>
        <v/>
      </c>
      <c r="AX26">
        <f>IF(ROW()-3&gt;COUNTIF(AV$4:AV$40,"&lt;&gt;"&amp;""),"",INDEX(AV$4:AV$40,MATCH(ROW()-3,AW$4:AW$40,0)))</f>
        <v/>
      </c>
      <c r="AY26">
        <f>AY25+IF(AND(AX26&lt;&gt;"",COUNTIF(AX$4:AX26,AX26)=1),1,0)</f>
        <v/>
      </c>
      <c r="AZ26">
        <f>IF(ROW()-3&gt;MAX(AY$4:AY$40),"",INDEX(AX$4:AX$40,MATCH(ROW()-3,AY$4:AY$40,0)))</f>
        <v/>
      </c>
      <c r="BA26">
        <f>IF(AND($B$26:$E$26,$G$26:$AJ$26),IF('Final Calculation Sheet'!$D$26="","",'Final Calculation Sheet'!$D$26),"")</f>
        <v/>
      </c>
      <c r="BB26">
        <f>IF(BA26="","",COUNTIFS(BA$4:BA$40,"&lt;"&amp;BA26,BA$4:BA$40,"&lt;&gt;"&amp;"")+COUNTIF(BA$4:BA26,BA26))</f>
        <v/>
      </c>
      <c r="BC26">
        <f>IF(ROW()-3&gt;COUNTIF(BA$4:BA$40,"&lt;&gt;"&amp;""),"",INDEX(BA$4:BA$40,MATCH(ROW()-3,BB$4:BB$40,0)))</f>
        <v/>
      </c>
      <c r="BD26">
        <f>BD25+IF(AND(BC26&lt;&gt;"",COUNTIF(BC$4:BC26,BC26)=1),1,0)</f>
        <v/>
      </c>
      <c r="BE26">
        <f>IF(ROW()-3&gt;MAX(BD$4:BD$40),"",INDEX(BC$4:BC$40,MATCH(ROW()-3,BD$4:BD$40,0)))</f>
        <v/>
      </c>
      <c r="BF26">
        <f>IF(AND($B$26:$F$26,$H$26:$AJ$26),IF('Final Calculation Sheet'!$A$26="","",'Final Calculation Sheet'!$A$26),"")</f>
        <v/>
      </c>
      <c r="BG26">
        <f>IF(BF26="","",COUNTIFS(BF$4:BF$40,"&lt;"&amp;BF26,BF$4:BF$40,"&lt;&gt;"&amp;"")+COUNTIF(BF$4:BF26,BF26))</f>
        <v/>
      </c>
      <c r="BH26">
        <f>IF(ROW()-3&gt;COUNTIF(BF$4:BF$40,"&lt;&gt;"&amp;""),"",INDEX(BF$4:BF$40,MATCH(ROW()-3,BG$4:BG$40,0)))</f>
        <v/>
      </c>
      <c r="BI26">
        <f>BI25+IF(AND(BH26&lt;&gt;"",COUNTIF(BH$4:BH26,BH26)=1),1,0)</f>
        <v/>
      </c>
      <c r="BJ26">
        <f>IF(ROW()-3&gt;MAX(BI$4:BI$40),"",INDEX(BH$4:BH$40,MATCH(ROW()-3,BI$4:BI$40,0)))</f>
        <v/>
      </c>
      <c r="BK26">
        <f>IF(AND($B$26:$G$26,$I$26:$AJ$26),IF('Final Calculation Sheet'!$E$26="","",'Final Calculation Sheet'!$E$26),"")</f>
        <v/>
      </c>
      <c r="BL26">
        <f>IF(BK26="","",COUNTIFS(BK$4:BK$40,"&lt;"&amp;BK26,BK$4:BK$40,"&lt;&gt;"&amp;"")+COUNTIF(BK$4:BK26,BK26))</f>
        <v/>
      </c>
      <c r="BM26">
        <f>IF(ROW()-3&gt;COUNTIF(BK$4:BK$40,"&lt;&gt;"&amp;""),"",INDEX(BK$4:BK$40,MATCH(ROW()-3,BL$4:BL$40,0)))</f>
        <v/>
      </c>
      <c r="BN26">
        <f>BN25+IF(AND(BM26&lt;&gt;"",COUNTIF(BM$4:BM26,BM26)=1),1,0)</f>
        <v/>
      </c>
      <c r="BO26">
        <f>IF(ROW()-3&gt;MAX(BN$4:BN$40),"",INDEX(BM$4:BM$40,MATCH(ROW()-3,BN$4:BN$40,0)))</f>
        <v/>
      </c>
      <c r="BP26" s="55">
        <f>IF(AND($B$26:$H$26,$J$26:$AJ$26),IF('Final Calculation Sheet'!$C$26="","",'Final Calculation Sheet'!$C$26),"")</f>
        <v/>
      </c>
      <c r="BQ26">
        <f>IF(BP26="","",COUNTIFS(BP$4:BP$40,"&lt;"&amp;BP26,BP$4:BP$40,"&lt;&gt;"&amp;"")+COUNTIF(BP$4:BP26,BP26))</f>
        <v/>
      </c>
      <c r="BR26" s="55">
        <f>IF(ROW()-3&gt;COUNTIF(BP$4:BP$40,"&lt;&gt;"&amp;""),"",INDEX(BP$4:BP$40,MATCH(ROW()-3,BQ$4:BQ$40,0)))</f>
        <v/>
      </c>
      <c r="BS26">
        <f>BS25+IF(AND(BR26&lt;&gt;"",COUNTIF(BR$4:BR26,BR26)=1),1,0)</f>
        <v/>
      </c>
      <c r="BT26" s="55">
        <f>IF(ROW()-3&gt;MAX(BS$4:BS$40),"",INDEX(BR$4:BR$40,MATCH(ROW()-3,BS$4:BS$40,0)))</f>
        <v/>
      </c>
      <c r="BU26" s="55">
        <f>IF(AND($B$26:$I$26,$K$26:$AJ$26),IF('Final Calculation Sheet'!$H$26="","",'Final Calculation Sheet'!$H$26),"")</f>
        <v/>
      </c>
      <c r="BV26">
        <f>IF(BU26="","",COUNTIFS(BU$4:BU$40,"&lt;"&amp;BU26,BU$4:BU$40,"&lt;&gt;"&amp;"")+COUNTIF(BU$4:BU26,BU26))</f>
        <v/>
      </c>
      <c r="BW26" s="55">
        <f>IF(ROW()-3&gt;COUNTIF(BU$4:BU$40,"&lt;&gt;"&amp;""),"",INDEX(BU$4:BU$40,MATCH(ROW()-3,BV$4:BV$40,0)))</f>
        <v/>
      </c>
      <c r="BX26">
        <f>BX25+IF(AND(BW26&lt;&gt;"",COUNTIF(BW$4:BW26,BW26)=1),1,0)</f>
        <v/>
      </c>
      <c r="BY26" s="55">
        <f>IF(ROW()-3&gt;MAX(BX$4:BX$40),"",INDEX(BW$4:BW$40,MATCH(ROW()-3,BX$4:BX$40,0)))</f>
        <v/>
      </c>
      <c r="BZ26" s="55">
        <f>IF(AND($B$26:$J$26,$L$26:$AJ$26),IF('Final Calculation Sheet'!$I$26="","",'Final Calculation Sheet'!$I$26),"")</f>
        <v/>
      </c>
      <c r="CA26">
        <f>IF(BZ26="","",COUNTIFS(BZ$4:BZ$40,"&lt;"&amp;BZ26,BZ$4:BZ$40,"&lt;&gt;"&amp;"")+COUNTIF(BZ$4:BZ26,BZ26))</f>
        <v/>
      </c>
      <c r="CB26" s="55">
        <f>IF(ROW()-3&gt;COUNTIF(BZ$4:BZ$40,"&lt;&gt;"&amp;""),"",INDEX(BZ$4:BZ$40,MATCH(ROW()-3,CA$4:CA$40,0)))</f>
        <v/>
      </c>
      <c r="CC26">
        <f>CC25+IF(AND(CB26&lt;&gt;"",COUNTIF(CB$4:CB26,CB26)=1),1,0)</f>
        <v/>
      </c>
      <c r="CD26" s="55">
        <f>IF(ROW()-3&gt;MAX(CC$4:CC$40),"",INDEX(CB$4:CB$40,MATCH(ROW()-3,CC$4:CC$40,0)))</f>
        <v/>
      </c>
      <c r="CE26" s="55">
        <f>IF(AND($B$26:$K$26,$M$26:$AJ$26),IF('Final Calculation Sheet'!$J$26="","",'Final Calculation Sheet'!$J$26),"")</f>
        <v/>
      </c>
      <c r="CF26">
        <f>IF(CE26="","",COUNTIFS(CE$4:CE$40,"&lt;"&amp;CE26,CE$4:CE$40,"&lt;&gt;"&amp;"")+COUNTIF(CE$4:CE26,CE26))</f>
        <v/>
      </c>
      <c r="CG26" s="55">
        <f>IF(ROW()-3&gt;COUNTIF(CE$4:CE$40,"&lt;&gt;"&amp;""),"",INDEX(CE$4:CE$40,MATCH(ROW()-3,CF$4:CF$40,0)))</f>
        <v/>
      </c>
      <c r="CH26">
        <f>CH25+IF(AND(CG26&lt;&gt;"",COUNTIF(CG$4:CG26,CG26)=1),1,0)</f>
        <v/>
      </c>
      <c r="CI26" s="55">
        <f>IF(ROW()-3&gt;MAX(CH$4:CH$40),"",INDEX(CG$4:CG$40,MATCH(ROW()-3,CH$4:CH$40,0)))</f>
        <v/>
      </c>
      <c r="CJ26" s="55">
        <f>IF(AND($B$26:$L$26,$N$26:$AJ$26),IF('Final Calculation Sheet'!$K$26="","",'Final Calculation Sheet'!$K$26),"")</f>
        <v/>
      </c>
      <c r="CK26">
        <f>IF(CJ26="","",COUNTIFS(CJ$4:CJ$40,"&lt;"&amp;CJ26,CJ$4:CJ$40,"&lt;&gt;"&amp;"")+COUNTIF(CJ$4:CJ26,CJ26))</f>
        <v/>
      </c>
      <c r="CL26" s="55">
        <f>IF(ROW()-3&gt;COUNTIF(CJ$4:CJ$40,"&lt;&gt;"&amp;""),"",INDEX(CJ$4:CJ$40,MATCH(ROW()-3,CK$4:CK$40,0)))</f>
        <v/>
      </c>
      <c r="CM26">
        <f>CM25+IF(AND(CL26&lt;&gt;"",COUNTIF(CL$4:CL26,CL26)=1),1,0)</f>
        <v/>
      </c>
      <c r="CN26" s="55">
        <f>IF(ROW()-3&gt;MAX(CM$4:CM$40),"",INDEX(CL$4:CL$40,MATCH(ROW()-3,CM$4:CM$40,0)))</f>
        <v/>
      </c>
      <c r="CO26" s="55">
        <f>IF(AND($B$26:$M$26,$O$26:$AJ$26),IF('Final Calculation Sheet'!$L$26="","",'Final Calculation Sheet'!$L$26),"")</f>
        <v/>
      </c>
      <c r="CP26">
        <f>IF(CO26="","",COUNTIFS(CO$4:CO$40,"&lt;"&amp;CO26,CO$4:CO$40,"&lt;&gt;"&amp;"")+COUNTIF(CO$4:CO26,CO26))</f>
        <v/>
      </c>
      <c r="CQ26" s="55">
        <f>IF(ROW()-3&gt;COUNTIF(CO$4:CO$40,"&lt;&gt;"&amp;""),"",INDEX(CO$4:CO$40,MATCH(ROW()-3,CP$4:CP$40,0)))</f>
        <v/>
      </c>
      <c r="CR26">
        <f>CR25+IF(AND(CQ26&lt;&gt;"",COUNTIF(CQ$4:CQ26,CQ26)=1),1,0)</f>
        <v/>
      </c>
      <c r="CS26" s="55">
        <f>IF(ROW()-3&gt;MAX(CR$4:CR$40),"",INDEX(CQ$4:CQ$40,MATCH(ROW()-3,CR$4:CR$40,0)))</f>
        <v/>
      </c>
      <c r="CT26" s="55">
        <f>IF(AND($B$26:$N$26,$P$26:$AJ$26),IF('Final Calculation Sheet'!$M$26="","",'Final Calculation Sheet'!$M$26),"")</f>
        <v/>
      </c>
      <c r="CU26">
        <f>IF(CT26="","",COUNTIFS(CT$4:CT$40,"&lt;"&amp;CT26,CT$4:CT$40,"&lt;&gt;"&amp;"")+COUNTIF(CT$4:CT26,CT26))</f>
        <v/>
      </c>
      <c r="CV26" s="55">
        <f>IF(ROW()-3&gt;COUNTIF(CT$4:CT$40,"&lt;&gt;"&amp;""),"",INDEX(CT$4:CT$40,MATCH(ROW()-3,CU$4:CU$40,0)))</f>
        <v/>
      </c>
      <c r="CW26">
        <f>CW25+IF(AND(CV26&lt;&gt;"",COUNTIF(CV$4:CV26,CV26)=1),1,0)</f>
        <v/>
      </c>
      <c r="CX26" s="55">
        <f>IF(ROW()-3&gt;MAX(CW$4:CW$40),"",INDEX(CV$4:CV$40,MATCH(ROW()-3,CW$4:CW$40,0)))</f>
        <v/>
      </c>
      <c r="CY26" s="138">
        <f>IF(AND($B$26:$O$26,$Q$26:$AJ$26),IF('Final Calculation Sheet'!$N$26="","",'Final Calculation Sheet'!$N$26),"")</f>
        <v/>
      </c>
      <c r="CZ26">
        <f>IF(CY26="","",COUNTIFS(CY$4:CY$40,"&lt;"&amp;CY26,CY$4:CY$40,"&lt;&gt;"&amp;"")+COUNTIF(CY$4:CY26,CY26))</f>
        <v/>
      </c>
      <c r="DA26" s="138">
        <f>IF(ROW()-3&gt;COUNTIF(CY$4:CY$40,"&lt;&gt;"&amp;""),"",INDEX(CY$4:CY$40,MATCH(ROW()-3,CZ$4:CZ$40,0)))</f>
        <v/>
      </c>
      <c r="DB26">
        <f>DB25+IF(AND(DA26&lt;&gt;"",COUNTIF(DA$4:DA26,DA26)=1),1,0)</f>
        <v/>
      </c>
      <c r="DC26" s="138">
        <f>IF(ROW()-3&gt;MAX(DB$4:DB$40),"",INDEX(DA$4:DA$40,MATCH(ROW()-3,DB$4:DB$40,0)))</f>
        <v/>
      </c>
      <c r="DD26" s="55">
        <f>IF(AND($B$26:$P$26,$R$26:$AJ$26),IF('Final Calculation Sheet'!$O$26="","",'Final Calculation Sheet'!$O$26),"")</f>
        <v/>
      </c>
      <c r="DE26">
        <f>IF(DD26="","",COUNTIFS(DD$4:DD$40,"&lt;"&amp;DD26,DD$4:DD$40,"&lt;&gt;"&amp;"")+COUNTIF(DD$4:DD26,DD26))</f>
        <v/>
      </c>
      <c r="DF26" s="55">
        <f>IF(ROW()-3&gt;COUNTIF(DD$4:DD$40,"&lt;&gt;"&amp;""),"",INDEX(DD$4:DD$40,MATCH(ROW()-3,DE$4:DE$40,0)))</f>
        <v/>
      </c>
      <c r="DG26">
        <f>DG25+IF(AND(DF26&lt;&gt;"",COUNTIF(DF$4:DF26,DF26)=1),1,0)</f>
        <v/>
      </c>
      <c r="DH26" s="55">
        <f>IF(ROW()-3&gt;MAX(DG$4:DG$40),"",INDEX(DF$4:DF$40,MATCH(ROW()-3,DG$4:DG$40,0)))</f>
        <v/>
      </c>
      <c r="DI26" s="55">
        <f>IF(AND($B$26:$Q$26,$S$26:$AJ$26),IF('Final Calculation Sheet'!$P$26="","",'Final Calculation Sheet'!$P$26),"")</f>
        <v/>
      </c>
      <c r="DJ26">
        <f>IF(DI26="","",COUNTIFS(DI$4:DI$40,"&lt;"&amp;DI26,DI$4:DI$40,"&lt;&gt;"&amp;"")+COUNTIF(DI$4:DI26,DI26))</f>
        <v/>
      </c>
      <c r="DK26" s="55">
        <f>IF(ROW()-3&gt;COUNTIF(DI$4:DI$40,"&lt;&gt;"&amp;""),"",INDEX(DI$4:DI$40,MATCH(ROW()-3,DJ$4:DJ$40,0)))</f>
        <v/>
      </c>
      <c r="DL26">
        <f>DL25+IF(AND(DK26&lt;&gt;"",COUNTIF(DK$4:DK26,DK26)=1),1,0)</f>
        <v/>
      </c>
      <c r="DM26" s="55">
        <f>IF(ROW()-3&gt;MAX(DL$4:DL$40),"",INDEX(DK$4:DK$40,MATCH(ROW()-3,DL$4:DL$40,0)))</f>
        <v/>
      </c>
      <c r="DN26" s="139">
        <f>IF(AND($B$26:$R$26,$T$26:$AJ$26),IF('Final Calculation Sheet'!$Q$26="","",'Final Calculation Sheet'!$Q$26),"")</f>
        <v/>
      </c>
      <c r="DO26">
        <f>IF(DN26="","",COUNTIFS(DN$4:DN$40,"&lt;"&amp;DN26,DN$4:DN$40,"&lt;&gt;"&amp;"")+COUNTIF(DN$4:DN26,DN26))</f>
        <v/>
      </c>
      <c r="DP26" s="139">
        <f>IF(ROW()-3&gt;COUNTIF(DN$4:DN$40,"&lt;&gt;"&amp;""),"",INDEX(DN$4:DN$40,MATCH(ROW()-3,DO$4:DO$40,0)))</f>
        <v/>
      </c>
      <c r="DQ26">
        <f>DQ25+IF(AND(DP26&lt;&gt;"",COUNTIF(DP$4:DP26,DP26)=1),1,0)</f>
        <v/>
      </c>
      <c r="DR26" s="139">
        <f>IF(ROW()-3&gt;MAX(DQ$4:DQ$40),"",INDEX(DP$4:DP$40,MATCH(ROW()-3,DQ$4:DQ$40,0)))</f>
        <v/>
      </c>
      <c r="DS26" s="55">
        <f>IF(AND($B$26:$S$26,$U$26:$AJ$26),IF('Final Calculation Sheet'!$R$26="","",'Final Calculation Sheet'!$R$26),"")</f>
        <v/>
      </c>
      <c r="DT26">
        <f>IF(DS26="","",COUNTIFS(DS$4:DS$40,"&lt;"&amp;DS26,DS$4:DS$40,"&lt;&gt;"&amp;"")+COUNTIF(DS$4:DS26,DS26))</f>
        <v/>
      </c>
      <c r="DU26" s="55">
        <f>IF(ROW()-3&gt;COUNTIF(DS$4:DS$40,"&lt;&gt;"&amp;""),"",INDEX(DS$4:DS$40,MATCH(ROW()-3,DT$4:DT$40,0)))</f>
        <v/>
      </c>
      <c r="DV26">
        <f>DV25+IF(AND(DU26&lt;&gt;"",COUNTIF(DU$4:DU26,DU26)=1),1,0)</f>
        <v/>
      </c>
      <c r="DW26" s="55">
        <f>IF(ROW()-3&gt;MAX(DV$4:DV$40),"",INDEX(DU$4:DU$40,MATCH(ROW()-3,DV$4:DV$40,0)))</f>
        <v/>
      </c>
      <c r="DX26" s="55">
        <f>IF(AND($B$26:$T$26,$V$26:$AJ$26),IF('Final Calculation Sheet'!$S$26="","",'Final Calculation Sheet'!$S$26),"")</f>
        <v/>
      </c>
      <c r="DY26">
        <f>IF(DX26="","",COUNTIFS(DX$4:DX$40,"&lt;"&amp;DX26,DX$4:DX$40,"&lt;&gt;"&amp;"")+COUNTIF(DX$4:DX26,DX26))</f>
        <v/>
      </c>
      <c r="DZ26" s="55">
        <f>IF(ROW()-3&gt;COUNTIF(DX$4:DX$40,"&lt;&gt;"&amp;""),"",INDEX(DX$4:DX$40,MATCH(ROW()-3,DY$4:DY$40,0)))</f>
        <v/>
      </c>
      <c r="EA26">
        <f>EA25+IF(AND(DZ26&lt;&gt;"",COUNTIF(DZ$4:DZ26,DZ26)=1),1,0)</f>
        <v/>
      </c>
      <c r="EB26" s="55">
        <f>IF(ROW()-3&gt;MAX(EA$4:EA$40),"",INDEX(DZ$4:DZ$40,MATCH(ROW()-3,EA$4:EA$40,0)))</f>
        <v/>
      </c>
      <c r="EC26" s="55">
        <f>IF(AND($B$26:$U$26,$W$26:$AJ$26),IF('Final Calculation Sheet'!$T$26="","",'Final Calculation Sheet'!$T$26),"")</f>
        <v/>
      </c>
      <c r="ED26">
        <f>IF(EC26="","",COUNTIFS(EC$4:EC$40,"&lt;"&amp;EC26,EC$4:EC$40,"&lt;&gt;"&amp;"")+COUNTIF(EC$4:EC26,EC26))</f>
        <v/>
      </c>
      <c r="EE26" s="55">
        <f>IF(ROW()-3&gt;COUNTIF(EC$4:EC$40,"&lt;&gt;"&amp;""),"",INDEX(EC$4:EC$40,MATCH(ROW()-3,ED$4:ED$40,0)))</f>
        <v/>
      </c>
      <c r="EF26">
        <f>EF25+IF(AND(EE26&lt;&gt;"",COUNTIF(EE$4:EE26,EE26)=1),1,0)</f>
        <v/>
      </c>
      <c r="EG26" s="55">
        <f>IF(ROW()-3&gt;MAX(EF$4:EF$40),"",INDEX(EE$4:EE$40,MATCH(ROW()-3,EF$4:EF$40,0)))</f>
        <v/>
      </c>
      <c r="EH26" s="140">
        <f>IF(AND($B$26:$V$26,$X$26:$AJ$26),IF('Final Calculation Sheet'!$U$26="","",'Final Calculation Sheet'!$U$26),"")</f>
        <v/>
      </c>
      <c r="EI26">
        <f>IF(EH26="","",COUNTIFS(EH$4:EH$40,"&lt;"&amp;EH26,EH$4:EH$40,"&lt;&gt;"&amp;"")+COUNTIF(EH$4:EH26,EH26))</f>
        <v/>
      </c>
      <c r="EJ26" s="140">
        <f>IF(ROW()-3&gt;COUNTIF(EH$4:EH$40,"&lt;&gt;"&amp;""),"",INDEX(EH$4:EH$40,MATCH(ROW()-3,EI$4:EI$40,0)))</f>
        <v/>
      </c>
      <c r="EK26">
        <f>EK25+IF(AND(EJ26&lt;&gt;"",COUNTIF(EJ$4:EJ26,EJ26)=1),1,0)</f>
        <v/>
      </c>
      <c r="EL26" s="140">
        <f>IF(ROW()-3&gt;MAX(EK$4:EK$40),"",INDEX(EJ$4:EJ$40,MATCH(ROW()-3,EK$4:EK$40,0)))</f>
        <v/>
      </c>
      <c r="EM26">
        <f>IF(AND($B$26:$W$26,$Y$26:$AJ$26),IF('Final Calculation Sheet'!$V$26="","",'Final Calculation Sheet'!$V$26),"")</f>
        <v/>
      </c>
      <c r="EN26">
        <f>IF(EM26="","",COUNTIFS(EM$4:EM$40,"&lt;"&amp;EM26,EM$4:EM$40,"&lt;&gt;"&amp;"")+COUNTIF(EM$4:EM26,EM26))</f>
        <v/>
      </c>
      <c r="EO26">
        <f>IF(ROW()-3&gt;COUNTIF(EM$4:EM$40,"&lt;&gt;"&amp;""),"",INDEX(EM$4:EM$40,MATCH(ROW()-3,EN$4:EN$40,0)))</f>
        <v/>
      </c>
      <c r="EP26">
        <f>EP25+IF(AND(EO26&lt;&gt;"",COUNTIF(EO$4:EO26,EO26)=1),1,0)</f>
        <v/>
      </c>
      <c r="EQ26">
        <f>IF(ROW()-3&gt;MAX(EP$4:EP$40),"",INDEX(EO$4:EO$40,MATCH(ROW()-3,EP$4:EP$40,0)))</f>
        <v/>
      </c>
      <c r="ER26" s="55">
        <f>IF(AND($B$26:$X$26,$Z$26:$AJ$26),IF('Final Calculation Sheet'!$W$26="","",'Final Calculation Sheet'!$W$26),"")</f>
        <v/>
      </c>
      <c r="ES26">
        <f>IF(ER26="","",COUNTIFS(ER$4:ER$40,"&lt;"&amp;ER26,ER$4:ER$40,"&lt;&gt;"&amp;"")+COUNTIF(ER$4:ER26,ER26))</f>
        <v/>
      </c>
      <c r="ET26" s="55">
        <f>IF(ROW()-3&gt;COUNTIF(ER$4:ER$40,"&lt;&gt;"&amp;""),"",INDEX(ER$4:ER$40,MATCH(ROW()-3,ES$4:ES$40,0)))</f>
        <v/>
      </c>
      <c r="EU26">
        <f>EU25+IF(AND(ET26&lt;&gt;"",COUNTIF(ET$4:ET26,ET26)=1),1,0)</f>
        <v/>
      </c>
      <c r="EV26" s="55">
        <f>IF(ROW()-3&gt;MAX(EU$4:EU$40),"",INDEX(ET$4:ET$40,MATCH(ROW()-3,EU$4:EU$40,0)))</f>
        <v/>
      </c>
      <c r="EW26" s="55">
        <f>IF(AND($B$26:$Y$26,$AA$26:$AJ$26),IF('Final Calculation Sheet'!$X$26="","",'Final Calculation Sheet'!$X$26),"")</f>
        <v/>
      </c>
      <c r="EX26">
        <f>IF(EW26="","",COUNTIFS(EW$4:EW$40,"&lt;"&amp;EW26,EW$4:EW$40,"&lt;&gt;"&amp;"")+COUNTIF(EW$4:EW26,EW26))</f>
        <v/>
      </c>
      <c r="EY26" s="55">
        <f>IF(ROW()-3&gt;COUNTIF(EW$4:EW$40,"&lt;&gt;"&amp;""),"",INDEX(EW$4:EW$40,MATCH(ROW()-3,EX$4:EX$40,0)))</f>
        <v/>
      </c>
      <c r="EZ26">
        <f>EZ25+IF(AND(EY26&lt;&gt;"",COUNTIF(EY$4:EY26,EY26)=1),1,0)</f>
        <v/>
      </c>
      <c r="FA26">
        <f>IF(ROW()-3&gt;MAX(EZ$4:EZ$40),"",INDEX(EY$4:EY$40,MATCH(ROW()-3,EZ$4:EZ$40,0)))</f>
        <v/>
      </c>
      <c r="FB26">
        <f>IF(AND($B$26:$Z$26,$AB$26:$AJ$26),IF('Final Calculation Sheet'!$Y$26="","",'Final Calculation Sheet'!$Y$26),"")</f>
        <v/>
      </c>
      <c r="FC26">
        <f>IF(FB26="","",COUNTIFS(FB$4:FB$40,"&lt;"&amp;FB26,FB$4:FB$40,"&lt;&gt;"&amp;"")+COUNTIF(FB$4:FB26,FB26))</f>
        <v/>
      </c>
      <c r="FD26">
        <f>IF(ROW()-3&gt;COUNTIF(FB$4:FB$40,"&lt;&gt;"&amp;""),"",INDEX(FB$4:FB$40,MATCH(ROW()-3,FC$4:FC$40,0)))</f>
        <v/>
      </c>
      <c r="FE26">
        <f>FE25+IF(AND(FD26&lt;&gt;"",COUNTIF(FD$4:FD26,FD26)=1),1,0)</f>
        <v/>
      </c>
      <c r="FF26">
        <f>IF(ROW()-3&gt;MAX(FE$4:FE$40),"",INDEX(FD$4:FD$40,MATCH(ROW()-3,FE$4:FE$40,0)))</f>
        <v/>
      </c>
      <c r="FG26" s="55">
        <f>IF(AND($B$26:$AA$26,$AC$26:$AJ$26),IF('Final Calculation Sheet'!$Z$26="","",'Final Calculation Sheet'!$Z$26),"")</f>
        <v/>
      </c>
      <c r="FH26">
        <f>IF(FG26="","",COUNTIFS(FG$4:FG$40,"&lt;"&amp;FG26,FG$4:FG$40,"&lt;&gt;"&amp;"")+COUNTIF(FG$4:FG26,FG26))</f>
        <v/>
      </c>
      <c r="FI26" s="55">
        <f>IF(ROW()-3&gt;COUNTIF(FG$4:FG$40,"&lt;&gt;"&amp;""),"",INDEX(FG$4:FG$40,MATCH(ROW()-3,FH$4:FH$40,0)))</f>
        <v/>
      </c>
      <c r="FJ26">
        <f>FJ25+IF(AND(FI26&lt;&gt;"",COUNTIF(FI$4:FI26,FI26)=1),1,0)</f>
        <v/>
      </c>
      <c r="FK26" s="55">
        <f>IF(ROW()-3&gt;MAX(FJ$4:FJ$40),"",INDEX(FI$4:FI$40,MATCH(ROW()-3,FJ$4:FJ$40,0)))</f>
        <v/>
      </c>
      <c r="FL26">
        <f>IF(AND($B$26:$AB$26,$AD$26:$AJ$26),IF('Final Calculation Sheet'!$AA$26="","",'Final Calculation Sheet'!$AA$26),"")</f>
        <v/>
      </c>
      <c r="FM26">
        <f>IF(FL26="","",COUNTIFS(FL$4:FL$40,"&lt;"&amp;FL26,FL$4:FL$40,"&lt;&gt;"&amp;"")+COUNTIF(FL$4:FL26,FL26))</f>
        <v/>
      </c>
      <c r="FN26">
        <f>IF(ROW()-3&gt;COUNTIF(FL$4:FL$40,"&lt;&gt;"&amp;""),"",INDEX(FL$4:FL$40,MATCH(ROW()-3,FM$4:FM$40,0)))</f>
        <v/>
      </c>
      <c r="FO26">
        <f>FO25+IF(AND(FN26&lt;&gt;"",COUNTIF(FN$4:FN26,FN26)=1),1,0)</f>
        <v/>
      </c>
      <c r="FP26">
        <f>IF(ROW()-3&gt;MAX(FO$4:FO$40),"",INDEX(FN$4:FN$40,MATCH(ROW()-3,FO$4:FO$40,0)))</f>
        <v/>
      </c>
      <c r="FQ26">
        <f>IF(AND($B$26:$AC$26,$AE$26:$AJ$26),IF('Final Calculation Sheet'!$AB$26="","",'Final Calculation Sheet'!$AB$26),"")</f>
        <v/>
      </c>
      <c r="FR26">
        <f>IF(FQ26="","",COUNTIFS(FQ$4:FQ$40,"&lt;"&amp;FQ26,FQ$4:FQ$40,"&lt;&gt;"&amp;"")+COUNTIF(FQ$4:FQ26,FQ26))</f>
        <v/>
      </c>
      <c r="FS26">
        <f>IF(ROW()-3&gt;COUNTIF(FQ$4:FQ$40,"&lt;&gt;"&amp;""),"",INDEX(FQ$4:FQ$40,MATCH(ROW()-3,FR$4:FR$40,0)))</f>
        <v/>
      </c>
      <c r="FT26">
        <f>FT25+IF(AND(FS26&lt;&gt;"",COUNTIF(FS$4:FS26,FS26)=1),1,0)</f>
        <v/>
      </c>
      <c r="FU26">
        <f>IF(ROW()-3&gt;MAX(FT$4:FT$40),"",INDEX(FS$4:FS$40,MATCH(ROW()-3,FT$4:FT$40,0)))</f>
        <v/>
      </c>
      <c r="FV26" s="55">
        <f>IF(AND($B$26:$AD$26,$AF$26:$AJ$26),IF('Final Calculation Sheet'!$AC$26="","",'Final Calculation Sheet'!$AC$26),"")</f>
        <v/>
      </c>
      <c r="FW26">
        <f>IF(FV26="","",COUNTIFS(FV$4:FV$40,"&lt;"&amp;FV26,FV$4:FV$40,"&lt;&gt;"&amp;"")+COUNTIF(FV$4:FV26,FV26))</f>
        <v/>
      </c>
      <c r="FX26" s="55">
        <f>IF(ROW()-3&gt;COUNTIF(FV$4:FV$40,"&lt;&gt;"&amp;""),"",INDEX(FV$4:FV$40,MATCH(ROW()-3,FW$4:FW$40,0)))</f>
        <v/>
      </c>
      <c r="FY26">
        <f>FY25+IF(AND(FX26&lt;&gt;"",COUNTIF(FX$4:FX26,FX26)=1),1,0)</f>
        <v/>
      </c>
      <c r="FZ26" s="55">
        <f>IF(ROW()-3&gt;MAX(FY$4:FY$40),"",INDEX(FX$4:FX$40,MATCH(ROW()-3,FY$4:FY$40,0)))</f>
        <v/>
      </c>
      <c r="GA26" s="55">
        <f>IF(AND($B$26:$AE$26,$AG$26:$AJ$26),IF('Final Calculation Sheet'!$AD$26="","",'Final Calculation Sheet'!$AD$26),"")</f>
        <v/>
      </c>
      <c r="GB26">
        <f>IF(GA26="","",COUNTIFS(GA$4:GA$40,"&lt;"&amp;GA26,GA$4:GA$40,"&lt;&gt;"&amp;"")+COUNTIF(GA$4:GA26,GA26))</f>
        <v/>
      </c>
      <c r="GC26" s="55">
        <f>IF(ROW()-3&gt;COUNTIF(GA$4:GA$40,"&lt;&gt;"&amp;""),"",INDEX(GA$4:GA$40,MATCH(ROW()-3,GB$4:GB$40,0)))</f>
        <v/>
      </c>
      <c r="GD26">
        <f>GD25+IF(AND(GC26&lt;&gt;"",COUNTIF(GC$4:GC26,GC26)=1),1,0)</f>
        <v/>
      </c>
      <c r="GE26" s="55">
        <f>IF(ROW()-3&gt;MAX(GD$4:GD$40),"",INDEX(GC$4:GC$40,MATCH(ROW()-3,GD$4:GD$40,0)))</f>
        <v/>
      </c>
      <c r="GF26">
        <f>IF(AND($B$26:$AF$26,$AH$26:$AJ$26),IF('Final Calculation Sheet'!$AE$26="","",'Final Calculation Sheet'!$AE$26),"")</f>
        <v/>
      </c>
      <c r="GG26">
        <f>IF(GF26="","",COUNTIFS(GF$4:GF$40,"&lt;"&amp;GF26,GF$4:GF$40,"&lt;&gt;"&amp;"")+COUNTIF(GF$4:GF26,GF26))</f>
        <v/>
      </c>
      <c r="GH26">
        <f>IF(ROW()-3&gt;COUNTIF(GF$4:GF$40,"&lt;&gt;"&amp;""),"",INDEX(GF$4:GF$40,MATCH(ROW()-3,GG$4:GG$40,0)))</f>
        <v/>
      </c>
      <c r="GI26">
        <f>GI25+IF(AND(GH26&lt;&gt;"",COUNTIF(GH$4:GH26,GH26)=1),1,0)</f>
        <v/>
      </c>
      <c r="GJ26">
        <f>IF(ROW()-3&gt;MAX(GI$4:GI$40),"",INDEX(GH$4:GH$40,MATCH(ROW()-3,GI$4:GI$40,0)))</f>
        <v/>
      </c>
      <c r="GK26" s="141">
        <f>IF(AND($B$26:$AG$26,$AI$26:$AJ$26),IF('Final Calculation Sheet'!$AF$26="","",'Final Calculation Sheet'!$AF$26),"")</f>
        <v/>
      </c>
      <c r="GL26">
        <f>IF(GK26="","",COUNTIFS(GK$4:GK$40,"&lt;"&amp;GK26,GK$4:GK$40,"&lt;&gt;"&amp;"")+COUNTIF(GK$4:GK26,GK26))</f>
        <v/>
      </c>
      <c r="GM26" s="141">
        <f>IF(ROW()-3&gt;COUNTIF(GK$4:GK$40,"&lt;&gt;"&amp;""),"",INDEX(GK$4:GK$40,MATCH(ROW()-3,GL$4:GL$40,0)))</f>
        <v/>
      </c>
      <c r="GN26">
        <f>GN25+IF(AND(GM26&lt;&gt;"",COUNTIF(GM$4:GM26,GM26)=1),1,0)</f>
        <v/>
      </c>
      <c r="GO26">
        <f>IF(ROW()-3&gt;MAX(GN$4:GN$40),"",INDEX(GM$4:GM$40,MATCH(ROW()-3,GN$4:GN$40,0)))</f>
        <v/>
      </c>
      <c r="GP26">
        <f>IF(AND($B$26:$AH$26,$AJ$26:$AJ$26),IF('Final Calculation Sheet'!$AG$26="","",'Final Calculation Sheet'!$AG$26),"")</f>
        <v/>
      </c>
      <c r="GQ26">
        <f>IF(GP26="","",COUNTIFS(GP$4:GP$40,"&lt;"&amp;GP26,GP$4:GP$40,"&lt;&gt;"&amp;"")+COUNTIF(GP$4:GP26,GP26))</f>
        <v/>
      </c>
      <c r="GR26">
        <f>IF(ROW()-3&gt;COUNTIF(GP$4:GP$40,"&lt;&gt;"&amp;""),"",INDEX(GP$4:GP$40,MATCH(ROW()-3,GQ$4:GQ$40,0)))</f>
        <v/>
      </c>
      <c r="GS26">
        <f>GS25+IF(AND(GR26&lt;&gt;"",COUNTIF(GR$4:GR26,GR26)=1),1,0)</f>
        <v/>
      </c>
      <c r="GT26">
        <f>IF(ROW()-3&gt;MAX(GS$4:GS$40),"",INDEX(GR$4:GR$40,MATCH(ROW()-3,GS$4:GS$40,0)))</f>
        <v/>
      </c>
    </row>
    <row r="27">
      <c r="A27" t="inlineStr">
        <is>
          <t>Final row 27</t>
        </is>
      </c>
      <c r="B27" t="b">
        <v>1</v>
      </c>
      <c r="C27">
        <f>IF($C$3=FALSE,TRUE,IF(OR(UPPER(TRIM($C$2))="(BLANK)",UPPER(TRIM($C$2))="BLANK",AND($C$2&lt;&gt;"",TRIM($C$2)="")),(IF('Final Calculation Sheet'!$F$27="","",'Final Calculation Sheet'!$F$27))="",IF(OR(UPPER(TRIM($C$2))="(NONBLANK)",UPPER(TRIM($C$2))="NONBLANK",TRIM($C$2)="&lt;&gt;"),(IF('Final Calculation Sheet'!$F$27="","",'Final Calculation Sheet'!$F$27))&lt;&gt;"",UPPER(TRIM((IF('Final Calculation Sheet'!$F$27="","",'Final Calculation Sheet'!$F$27))&amp;""))=UPPER(TRIM($C$2&amp;"")))))</f>
        <v/>
      </c>
      <c r="D27">
        <f>IF($D$3=FALSE,TRUE,IF(OR(UPPER(TRIM($D$2))="(BLANK)",UPPER(TRIM($D$2))="BLANK",AND($D$2&lt;&gt;"",TRIM($D$2)="")),(IF('Final Calculation Sheet'!$G$27="","",'Final Calculation Sheet'!$G$27))="",IF(OR(UPPER(TRIM($D$2))="(NONBLANK)",UPPER(TRIM($D$2))="NONBLANK",TRIM($D$2)="&lt;&gt;"),(IF('Final Calculation Sheet'!$G$27="","",'Final Calculation Sheet'!$G$27))&lt;&gt;"",UPPER(TRIM((IF('Final Calculation Sheet'!$G$27="","",'Final Calculation Sheet'!$G$27))&amp;""))=UPPER(TRIM($D$2&amp;"")))))</f>
        <v/>
      </c>
      <c r="E27">
        <f>IF($E$3=FALSE,TRUE,IF(OR(UPPER(TRIM($E$2))="(BLANK)",UPPER(TRIM($E$2))="BLANK",AND($E$2&lt;&gt;"",TRIM($E$2)="")),(IF('Final Calculation Sheet'!$B$27="","",'Final Calculation Sheet'!$B$27))="",IF(OR(UPPER(TRIM($E$2))="(NONBLANK)",UPPER(TRIM($E$2))="NONBLANK",TRIM($E$2)="&lt;&gt;"),(IF('Final Calculation Sheet'!$B$27="","",'Final Calculation Sheet'!$B$27))&lt;&gt;"",UPPER(TRIM((IF('Final Calculation Sheet'!$B$27="","",'Final Calculation Sheet'!$B$27))&amp;""))=UPPER(TRIM($E$2&amp;"")))))</f>
        <v/>
      </c>
      <c r="F27">
        <f>IF($F$3=FALSE,TRUE,IF(OR(UPPER(TRIM($F$2))="(BLANK)",UPPER(TRIM($F$2))="BLANK",AND($F$2&lt;&gt;"",TRIM($F$2)="")),(IF('Final Calculation Sheet'!$D$27="","",'Final Calculation Sheet'!$D$27))="",IF(OR(UPPER(TRIM($F$2))="(NONBLANK)",UPPER(TRIM($F$2))="NONBLANK",TRIM($F$2)="&lt;&gt;"),(IF('Final Calculation Sheet'!$D$27="","",'Final Calculation Sheet'!$D$27))&lt;&gt;"",UPPER(TRIM((IF('Final Calculation Sheet'!$D$27="","",'Final Calculation Sheet'!$D$27))&amp;""))=UPPER(TRIM($F$2&amp;"")))))</f>
        <v/>
      </c>
      <c r="G27">
        <f>IF($G$3=FALSE,TRUE,IF(OR(UPPER(TRIM($G$2))="(BLANK)",UPPER(TRIM($G$2))="BLANK",AND($G$2&lt;&gt;"",TRIM($G$2)="")),(IF('Final Calculation Sheet'!$A$27="","",'Final Calculation Sheet'!$A$27))="",IF(OR(UPPER(TRIM($G$2))="(NONBLANK)",UPPER(TRIM($G$2))="NONBLANK",TRIM($G$2)="&lt;&gt;"),(IF('Final Calculation Sheet'!$A$27="","",'Final Calculation Sheet'!$A$27))&lt;&gt;"",UPPER(TRIM((IF('Final Calculation Sheet'!$A$27="","",'Final Calculation Sheet'!$A$27))&amp;""))=UPPER(TRIM($G$2&amp;"")))))</f>
        <v/>
      </c>
      <c r="H27">
        <f>IF($H$3=FALSE,TRUE,IF(OR(UPPER(TRIM($H$2))="(BLANK)",UPPER(TRIM($H$2))="BLANK",AND($H$2&lt;&gt;"",TRIM($H$2)="")),(IF('Final Calculation Sheet'!$E$27="","",'Final Calculation Sheet'!$E$27))="",IF(OR(UPPER(TRIM($H$2))="(NONBLANK)",UPPER(TRIM($H$2))="NONBLANK",TRIM($H$2)="&lt;&gt;"),(IF('Final Calculation Sheet'!$E$27="","",'Final Calculation Sheet'!$E$27))&lt;&gt;"",UPPER(TRIM((IF('Final Calculation Sheet'!$E$27="","",'Final Calculation Sheet'!$E$27))&amp;""))=UPPER(TRIM($H$2&amp;"")))))</f>
        <v/>
      </c>
      <c r="I27">
        <f>IF($I$3=FALSE,TRUE,IF(OR(UPPER(TRIM($I$2))="(BLANK)",UPPER(TRIM($I$2))="BLANK",AND($I$2&lt;&gt;"",TRIM($I$2)="")),(IF('Final Calculation Sheet'!$C$27="","",'Final Calculation Sheet'!$C$27))="",IF(OR(UPPER(TRIM($I$2))="(NONBLANK)",UPPER(TRIM($I$2))="NONBLANK",TRIM($I$2)="&lt;&gt;"),(IF('Final Calculation Sheet'!$C$27="","",'Final Calculation Sheet'!$C$27))&lt;&gt;"",UPPER(TRIM((IF('Final Calculation Sheet'!$C$27="","",'Final Calculation Sheet'!$C$27))&amp;""))=UPPER(TRIM($I$2&amp;"")))))</f>
        <v/>
      </c>
      <c r="J27">
        <f>IF($J$3=FALSE,TRUE,IF(OR(UPPER(TRIM($J$2))="(BLANK)",UPPER(TRIM($J$2))="BLANK",AND($J$2&lt;&gt;"",TRIM($J$2)="")),(IF('Final Calculation Sheet'!$H$27="","",'Final Calculation Sheet'!$H$27))="",IF(OR(UPPER(TRIM($J$2))="(NONBLANK)",UPPER(TRIM($J$2))="NONBLANK",TRIM($J$2)="&lt;&gt;"),(IF('Final Calculation Sheet'!$H$27="","",'Final Calculation Sheet'!$H$27))&lt;&gt;"",UPPER(TRIM((IF('Final Calculation Sheet'!$H$27="","",'Final Calculation Sheet'!$H$27))&amp;""))=UPPER(TRIM($J$2&amp;"")))))</f>
        <v/>
      </c>
      <c r="K27">
        <f>IF($K$3=FALSE,TRUE,IF(OR(UPPER(TRIM($K$2))="(BLANK)",UPPER(TRIM($K$2))="BLANK",AND($K$2&lt;&gt;"",TRIM($K$2)="")),(IF('Final Calculation Sheet'!$I$27="","",'Final Calculation Sheet'!$I$27))="",IF(OR(UPPER(TRIM($K$2))="(NONBLANK)",UPPER(TRIM($K$2))="NONBLANK",TRIM($K$2)="&lt;&gt;"),(IF('Final Calculation Sheet'!$I$27="","",'Final Calculation Sheet'!$I$27))&lt;&gt;"",UPPER(TRIM((IF('Final Calculation Sheet'!$I$27="","",'Final Calculation Sheet'!$I$27))&amp;""))=UPPER(TRIM($K$2&amp;"")))))</f>
        <v/>
      </c>
      <c r="L27">
        <f>IF($L$3=FALSE,TRUE,IF(OR(UPPER(TRIM($L$2))="(BLANK)",UPPER(TRIM($L$2))="BLANK",AND($L$2&lt;&gt;"",TRIM($L$2)="")),(IF('Final Calculation Sheet'!$J$27="","",'Final Calculation Sheet'!$J$27))="",IF(OR(UPPER(TRIM($L$2))="(NONBLANK)",UPPER(TRIM($L$2))="NONBLANK",TRIM($L$2)="&lt;&gt;"),(IF('Final Calculation Sheet'!$J$27="","",'Final Calculation Sheet'!$J$27))&lt;&gt;"",UPPER(TRIM((IF('Final Calculation Sheet'!$J$27="","",'Final Calculation Sheet'!$J$27))&amp;""))=UPPER(TRIM($L$2&amp;"")))))</f>
        <v/>
      </c>
      <c r="M27">
        <f>IF($M$3=FALSE,TRUE,IF(OR(UPPER(TRIM($M$2))="(BLANK)",UPPER(TRIM($M$2))="BLANK",AND($M$2&lt;&gt;"",TRIM($M$2)="")),(IF('Final Calculation Sheet'!$K$27="","",'Final Calculation Sheet'!$K$27))="",IF(OR(UPPER(TRIM($M$2))="(NONBLANK)",UPPER(TRIM($M$2))="NONBLANK",TRIM($M$2)="&lt;&gt;"),(IF('Final Calculation Sheet'!$K$27="","",'Final Calculation Sheet'!$K$27))&lt;&gt;"",UPPER(TRIM((IF('Final Calculation Sheet'!$K$27="","",'Final Calculation Sheet'!$K$27))&amp;""))=UPPER(TRIM($M$2&amp;"")))))</f>
        <v/>
      </c>
      <c r="N27">
        <f>IF($N$3=FALSE,TRUE,IF(OR(UPPER(TRIM($N$2))="(BLANK)",UPPER(TRIM($N$2))="BLANK",AND($N$2&lt;&gt;"",TRIM($N$2)="")),(IF('Final Calculation Sheet'!$L$27="","",'Final Calculation Sheet'!$L$27))="",IF(OR(UPPER(TRIM($N$2))="(NONBLANK)",UPPER(TRIM($N$2))="NONBLANK",TRIM($N$2)="&lt;&gt;"),(IF('Final Calculation Sheet'!$L$27="","",'Final Calculation Sheet'!$L$27))&lt;&gt;"",UPPER(TRIM((IF('Final Calculation Sheet'!$L$27="","",'Final Calculation Sheet'!$L$27))&amp;""))=UPPER(TRIM($N$2&amp;"")))))</f>
        <v/>
      </c>
      <c r="O27">
        <f>IF($O$3=FALSE,TRUE,IF(OR(UPPER(TRIM($O$2))="(BLANK)",UPPER(TRIM($O$2))="BLANK",AND($O$2&lt;&gt;"",TRIM($O$2)="")),(IF('Final Calculation Sheet'!$M$27="","",'Final Calculation Sheet'!$M$27))="",IF(OR(UPPER(TRIM($O$2))="(NONBLANK)",UPPER(TRIM($O$2))="NONBLANK",TRIM($O$2)="&lt;&gt;"),(IF('Final Calculation Sheet'!$M$27="","",'Final Calculation Sheet'!$M$27))&lt;&gt;"",UPPER(TRIM((IF('Final Calculation Sheet'!$M$27="","",'Final Calculation Sheet'!$M$27))&amp;""))=UPPER(TRIM($O$2&amp;"")))))</f>
        <v/>
      </c>
      <c r="P27">
        <f>IF($P$3=FALSE,TRUE,IF(OR(UPPER(TRIM($P$2))="(BLANK)",UPPER(TRIM($P$2))="BLANK",AND($P$2&lt;&gt;"",TRIM($P$2)="")),(IF('Final Calculation Sheet'!$N$27="","",'Final Calculation Sheet'!$N$27))="",IF(OR(UPPER(TRIM($P$2))="(NONBLANK)",UPPER(TRIM($P$2))="NONBLANK",TRIM($P$2)="&lt;&gt;"),(IF('Final Calculation Sheet'!$N$27="","",'Final Calculation Sheet'!$N$27))&lt;&gt;"",UPPER(TRIM((IF('Final Calculation Sheet'!$N$27="","",'Final Calculation Sheet'!$N$27))&amp;""))=UPPER(TRIM($P$2&amp;"")))))</f>
        <v/>
      </c>
      <c r="Q27">
        <f>IF($Q$3=FALSE,TRUE,IF(OR(UPPER(TRIM($Q$2))="(BLANK)",UPPER(TRIM($Q$2))="BLANK",AND($Q$2&lt;&gt;"",TRIM($Q$2)="")),(IF('Final Calculation Sheet'!$O$27="","",'Final Calculation Sheet'!$O$27))="",IF(OR(UPPER(TRIM($Q$2))="(NONBLANK)",UPPER(TRIM($Q$2))="NONBLANK",TRIM($Q$2)="&lt;&gt;"),(IF('Final Calculation Sheet'!$O$27="","",'Final Calculation Sheet'!$O$27))&lt;&gt;"",UPPER(TRIM((IF('Final Calculation Sheet'!$O$27="","",'Final Calculation Sheet'!$O$27))&amp;""))=UPPER(TRIM($Q$2&amp;"")))))</f>
        <v/>
      </c>
      <c r="R27">
        <f>IF($R$3=FALSE,TRUE,IF(OR(UPPER(TRIM($R$2))="(BLANK)",UPPER(TRIM($R$2))="BLANK",AND($R$2&lt;&gt;"",TRIM($R$2)="")),(IF('Final Calculation Sheet'!$P$27="","",'Final Calculation Sheet'!$P$27))="",IF(OR(UPPER(TRIM($R$2))="(NONBLANK)",UPPER(TRIM($R$2))="NONBLANK",TRIM($R$2)="&lt;&gt;"),(IF('Final Calculation Sheet'!$P$27="","",'Final Calculation Sheet'!$P$27))&lt;&gt;"",UPPER(TRIM((IF('Final Calculation Sheet'!$P$27="","",'Final Calculation Sheet'!$P$27))&amp;""))=UPPER(TRIM($R$2&amp;"")))))</f>
        <v/>
      </c>
      <c r="S27">
        <f>IF($S$3=FALSE,TRUE,IF(OR(UPPER(TRIM($S$2))="(BLANK)",UPPER(TRIM($S$2))="BLANK",AND($S$2&lt;&gt;"",TRIM($S$2)="")),(IF('Final Calculation Sheet'!$Q$27="","",'Final Calculation Sheet'!$Q$27))="",IF(OR(UPPER(TRIM($S$2))="(NONBLANK)",UPPER(TRIM($S$2))="NONBLANK",TRIM($S$2)="&lt;&gt;"),(IF('Final Calculation Sheet'!$Q$27="","",'Final Calculation Sheet'!$Q$27))&lt;&gt;"",UPPER(TRIM((IF('Final Calculation Sheet'!$Q$27="","",'Final Calculation Sheet'!$Q$27))&amp;""))=UPPER(TRIM($S$2&amp;"")))))</f>
        <v/>
      </c>
      <c r="T27">
        <f>IF($T$3=FALSE,TRUE,IF(OR(UPPER(TRIM($T$2))="(BLANK)",UPPER(TRIM($T$2))="BLANK",AND($T$2&lt;&gt;"",TRIM($T$2)="")),(IF('Final Calculation Sheet'!$R$27="","",'Final Calculation Sheet'!$R$27))="",IF(OR(UPPER(TRIM($T$2))="(NONBLANK)",UPPER(TRIM($T$2))="NONBLANK",TRIM($T$2)="&lt;&gt;"),(IF('Final Calculation Sheet'!$R$27="","",'Final Calculation Sheet'!$R$27))&lt;&gt;"",UPPER(TRIM((IF('Final Calculation Sheet'!$R$27="","",'Final Calculation Sheet'!$R$27))&amp;""))=UPPER(TRIM($T$2&amp;"")))))</f>
        <v/>
      </c>
      <c r="U27">
        <f>IF($U$3=FALSE,TRUE,IF(OR(UPPER(TRIM($U$2))="(BLANK)",UPPER(TRIM($U$2))="BLANK",AND($U$2&lt;&gt;"",TRIM($U$2)="")),(IF('Final Calculation Sheet'!$S$27="","",'Final Calculation Sheet'!$S$27))="",IF(OR(UPPER(TRIM($U$2))="(NONBLANK)",UPPER(TRIM($U$2))="NONBLANK",TRIM($U$2)="&lt;&gt;"),(IF('Final Calculation Sheet'!$S$27="","",'Final Calculation Sheet'!$S$27))&lt;&gt;"",UPPER(TRIM((IF('Final Calculation Sheet'!$S$27="","",'Final Calculation Sheet'!$S$27))&amp;""))=UPPER(TRIM($U$2&amp;"")))))</f>
        <v/>
      </c>
      <c r="V27">
        <f>IF($V$3=FALSE,TRUE,IF(OR(UPPER(TRIM($V$2))="(BLANK)",UPPER(TRIM($V$2))="BLANK",AND($V$2&lt;&gt;"",TRIM($V$2)="")),(IF('Final Calculation Sheet'!$T$27="","",'Final Calculation Sheet'!$T$27))="",IF(OR(UPPER(TRIM($V$2))="(NONBLANK)",UPPER(TRIM($V$2))="NONBLANK",TRIM($V$2)="&lt;&gt;"),(IF('Final Calculation Sheet'!$T$27="","",'Final Calculation Sheet'!$T$27))&lt;&gt;"",UPPER(TRIM((IF('Final Calculation Sheet'!$T$27="","",'Final Calculation Sheet'!$T$27))&amp;""))=UPPER(TRIM($V$2&amp;"")))))</f>
        <v/>
      </c>
      <c r="W27">
        <f>IF($W$3=FALSE,TRUE,IF(OR(UPPER(TRIM($W$2))="(BLANK)",UPPER(TRIM($W$2))="BLANK",AND($W$2&lt;&gt;"",TRIM($W$2)="")),(IF('Final Calculation Sheet'!$U$27="","",'Final Calculation Sheet'!$U$27))="",IF(OR(UPPER(TRIM($W$2))="(NONBLANK)",UPPER(TRIM($W$2))="NONBLANK",TRIM($W$2)="&lt;&gt;"),(IF('Final Calculation Sheet'!$U$27="","",'Final Calculation Sheet'!$U$27))&lt;&gt;"",UPPER(TRIM((IF('Final Calculation Sheet'!$U$27="","",'Final Calculation Sheet'!$U$27))&amp;""))=UPPER(TRIM($W$2&amp;"")))))</f>
        <v/>
      </c>
      <c r="X27">
        <f>IF($X$3=FALSE,TRUE,IF(OR(UPPER(TRIM($X$2))="(BLANK)",UPPER(TRIM($X$2))="BLANK",AND($X$2&lt;&gt;"",TRIM($X$2)="")),(IF('Final Calculation Sheet'!$V$27="","",'Final Calculation Sheet'!$V$27))="",IF(OR(UPPER(TRIM($X$2))="(NONBLANK)",UPPER(TRIM($X$2))="NONBLANK",TRIM($X$2)="&lt;&gt;"),(IF('Final Calculation Sheet'!$V$27="","",'Final Calculation Sheet'!$V$27))&lt;&gt;"",UPPER(TRIM((IF('Final Calculation Sheet'!$V$27="","",'Final Calculation Sheet'!$V$27))&amp;""))=UPPER(TRIM($X$2&amp;"")))))</f>
        <v/>
      </c>
      <c r="Y27">
        <f>IF($Y$3=FALSE,TRUE,IF(OR(UPPER(TRIM($Y$2))="(BLANK)",UPPER(TRIM($Y$2))="BLANK",AND($Y$2&lt;&gt;"",TRIM($Y$2)="")),(IF('Final Calculation Sheet'!$W$27="","",'Final Calculation Sheet'!$W$27))="",IF(OR(UPPER(TRIM($Y$2))="(NONBLANK)",UPPER(TRIM($Y$2))="NONBLANK",TRIM($Y$2)="&lt;&gt;"),(IF('Final Calculation Sheet'!$W$27="","",'Final Calculation Sheet'!$W$27))&lt;&gt;"",UPPER(TRIM((IF('Final Calculation Sheet'!$W$27="","",'Final Calculation Sheet'!$W$27))&amp;""))=UPPER(TRIM($Y$2&amp;"")))))</f>
        <v/>
      </c>
      <c r="Z27">
        <f>IF($Z$3=FALSE,TRUE,IF(OR(UPPER(TRIM($Z$2))="(BLANK)",UPPER(TRIM($Z$2))="BLANK",AND($Z$2&lt;&gt;"",TRIM($Z$2)="")),(IF('Final Calculation Sheet'!$X$27="","",'Final Calculation Sheet'!$X$27))="",IF(OR(UPPER(TRIM($Z$2))="(NONBLANK)",UPPER(TRIM($Z$2))="NONBLANK",TRIM($Z$2)="&lt;&gt;"),(IF('Final Calculation Sheet'!$X$27="","",'Final Calculation Sheet'!$X$27))&lt;&gt;"",UPPER(TRIM((IF('Final Calculation Sheet'!$X$27="","",'Final Calculation Sheet'!$X$27))&amp;""))=UPPER(TRIM($Z$2&amp;"")))))</f>
        <v/>
      </c>
      <c r="AA27">
        <f>IF($AA$3=FALSE,TRUE,IF(OR(UPPER(TRIM($AA$2))="(BLANK)",UPPER(TRIM($AA$2))="BLANK",AND($AA$2&lt;&gt;"",TRIM($AA$2)="")),(IF('Final Calculation Sheet'!$Y$27="","",'Final Calculation Sheet'!$Y$27))="",IF(OR(UPPER(TRIM($AA$2))="(NONBLANK)",UPPER(TRIM($AA$2))="NONBLANK",TRIM($AA$2)="&lt;&gt;"),(IF('Final Calculation Sheet'!$Y$27="","",'Final Calculation Sheet'!$Y$27))&lt;&gt;"",UPPER(TRIM((IF('Final Calculation Sheet'!$Y$27="","",'Final Calculation Sheet'!$Y$27))&amp;""))=UPPER(TRIM($AA$2&amp;"")))))</f>
        <v/>
      </c>
      <c r="AB27">
        <f>IF($AB$3=FALSE,TRUE,IF(OR(UPPER(TRIM($AB$2))="(BLANK)",UPPER(TRIM($AB$2))="BLANK",AND($AB$2&lt;&gt;"",TRIM($AB$2)="")),(IF('Final Calculation Sheet'!$Z$27="","",'Final Calculation Sheet'!$Z$27))="",IF(OR(UPPER(TRIM($AB$2))="(NONBLANK)",UPPER(TRIM($AB$2))="NONBLANK",TRIM($AB$2)="&lt;&gt;"),(IF('Final Calculation Sheet'!$Z$27="","",'Final Calculation Sheet'!$Z$27))&lt;&gt;"",UPPER(TRIM((IF('Final Calculation Sheet'!$Z$27="","",'Final Calculation Sheet'!$Z$27))&amp;""))=UPPER(TRIM($AB$2&amp;"")))))</f>
        <v/>
      </c>
      <c r="AC27">
        <f>IF($AC$3=FALSE,TRUE,IF(OR(UPPER(TRIM($AC$2))="(BLANK)",UPPER(TRIM($AC$2))="BLANK",AND($AC$2&lt;&gt;"",TRIM($AC$2)="")),(IF('Final Calculation Sheet'!$AA$27="","",'Final Calculation Sheet'!$AA$27))="",IF(OR(UPPER(TRIM($AC$2))="(NONBLANK)",UPPER(TRIM($AC$2))="NONBLANK",TRIM($AC$2)="&lt;&gt;"),(IF('Final Calculation Sheet'!$AA$27="","",'Final Calculation Sheet'!$AA$27))&lt;&gt;"",UPPER(TRIM((IF('Final Calculation Sheet'!$AA$27="","",'Final Calculation Sheet'!$AA$27))&amp;""))=UPPER(TRIM($AC$2&amp;"")))))</f>
        <v/>
      </c>
      <c r="AD27">
        <f>IF($AD$3=FALSE,TRUE,IF(OR(UPPER(TRIM($AD$2))="(BLANK)",UPPER(TRIM($AD$2))="BLANK",AND($AD$2&lt;&gt;"",TRIM($AD$2)="")),(IF('Final Calculation Sheet'!$AB$27="","",'Final Calculation Sheet'!$AB$27))="",IF(OR(UPPER(TRIM($AD$2))="(NONBLANK)",UPPER(TRIM($AD$2))="NONBLANK",TRIM($AD$2)="&lt;&gt;"),(IF('Final Calculation Sheet'!$AB$27="","",'Final Calculation Sheet'!$AB$27))&lt;&gt;"",UPPER(TRIM((IF('Final Calculation Sheet'!$AB$27="","",'Final Calculation Sheet'!$AB$27))&amp;""))=UPPER(TRIM($AD$2&amp;"")))))</f>
        <v/>
      </c>
      <c r="AE27">
        <f>IF($AE$3=FALSE,TRUE,IF(OR(UPPER(TRIM($AE$2))="(BLANK)",UPPER(TRIM($AE$2))="BLANK",AND($AE$2&lt;&gt;"",TRIM($AE$2)="")),(IF('Final Calculation Sheet'!$AC$27="","",'Final Calculation Sheet'!$AC$27))="",IF(OR(UPPER(TRIM($AE$2))="(NONBLANK)",UPPER(TRIM($AE$2))="NONBLANK",TRIM($AE$2)="&lt;&gt;"),(IF('Final Calculation Sheet'!$AC$27="","",'Final Calculation Sheet'!$AC$27))&lt;&gt;"",UPPER(TRIM((IF('Final Calculation Sheet'!$AC$27="","",'Final Calculation Sheet'!$AC$27))&amp;""))=UPPER(TRIM($AE$2&amp;"")))))</f>
        <v/>
      </c>
      <c r="AF27">
        <f>IF($AF$3=FALSE,TRUE,IF(OR(UPPER(TRIM($AF$2))="(BLANK)",UPPER(TRIM($AF$2))="BLANK",AND($AF$2&lt;&gt;"",TRIM($AF$2)="")),(IF('Final Calculation Sheet'!$AD$27="","",'Final Calculation Sheet'!$AD$27))="",IF(OR(UPPER(TRIM($AF$2))="(NONBLANK)",UPPER(TRIM($AF$2))="NONBLANK",TRIM($AF$2)="&lt;&gt;"),(IF('Final Calculation Sheet'!$AD$27="","",'Final Calculation Sheet'!$AD$27))&lt;&gt;"",UPPER(TRIM((IF('Final Calculation Sheet'!$AD$27="","",'Final Calculation Sheet'!$AD$27))&amp;""))=UPPER(TRIM($AF$2&amp;"")))))</f>
        <v/>
      </c>
      <c r="AG27">
        <f>IF($AG$3=FALSE,TRUE,IF(OR(UPPER(TRIM($AG$2))="(BLANK)",UPPER(TRIM($AG$2))="BLANK",AND($AG$2&lt;&gt;"",TRIM($AG$2)="")),(IF('Final Calculation Sheet'!$AE$27="","",'Final Calculation Sheet'!$AE$27))="",IF(OR(UPPER(TRIM($AG$2))="(NONBLANK)",UPPER(TRIM($AG$2))="NONBLANK",TRIM($AG$2)="&lt;&gt;"),(IF('Final Calculation Sheet'!$AE$27="","",'Final Calculation Sheet'!$AE$27))&lt;&gt;"",UPPER(TRIM((IF('Final Calculation Sheet'!$AE$27="","",'Final Calculation Sheet'!$AE$27))&amp;""))=UPPER(TRIM($AG$2&amp;"")))))</f>
        <v/>
      </c>
      <c r="AH27">
        <f>IF($AH$3=FALSE,TRUE,IF(OR(UPPER(TRIM($AH$2))="(BLANK)",UPPER(TRIM($AH$2))="BLANK",AND($AH$2&lt;&gt;"",TRIM($AH$2)="")),(IF('Final Calculation Sheet'!$AF$27="","",'Final Calculation Sheet'!$AF$27))="",IF(OR(UPPER(TRIM($AH$2))="(NONBLANK)",UPPER(TRIM($AH$2))="NONBLANK",TRIM($AH$2)="&lt;&gt;"),(IF('Final Calculation Sheet'!$AF$27="","",'Final Calculation Sheet'!$AF$27))&lt;&gt;"",UPPER(TRIM((IF('Final Calculation Sheet'!$AF$27="","",'Final Calculation Sheet'!$AF$27))&amp;""))=UPPER(TRIM($AH$2&amp;"")))))</f>
        <v/>
      </c>
      <c r="AI27">
        <f>IF($AI$3=FALSE,TRUE,IF(OR(UPPER(TRIM($AI$2))="(BLANK)",UPPER(TRIM($AI$2))="BLANK",AND($AI$2&lt;&gt;"",TRIM($AI$2)="")),(IF('Final Calculation Sheet'!$AG$27="","",'Final Calculation Sheet'!$AG$27))="",IF(OR(UPPER(TRIM($AI$2))="(NONBLANK)",UPPER(TRIM($AI$2))="NONBLANK",TRIM($AI$2)="&lt;&gt;"),(IF('Final Calculation Sheet'!$AG$27="","",'Final Calculation Sheet'!$AG$27))&lt;&gt;"",UPPER(TRIM((IF('Final Calculation Sheet'!$AG$27="","",'Final Calculation Sheet'!$AG$27))&amp;""))=UPPER(TRIM($AI$2&amp;"")))))</f>
        <v/>
      </c>
      <c r="AJ27">
        <f>IF($AJ$3=FALSE,TRUE,IF(OR(UPPER(TRIM($AJ$2))="(BLANK)",UPPER(TRIM($AJ$2))="BLANK",AND($AJ$2&lt;&gt;"",TRIM($AJ$2)="")),(IF('Final Calculation Sheet'!$AD$27="","",IF('Final Calculation Sheet'!$AD$27&lt;=5,"SETTLED","OUTSTANDING")))="",IF(OR(UPPER(TRIM($AJ$2))="(NONBLANK)",UPPER(TRIM($AJ$2))="NONBLANK",TRIM($AJ$2)="&lt;&gt;"),(IF('Final Calculation Sheet'!$AD$27="","",IF('Final Calculation Sheet'!$AD$27&lt;=5,"SETTLED","OUTSTANDING")))&lt;&gt;"",UPPER(TRIM((IF('Final Calculation Sheet'!$AD$27="","",IF('Final Calculation Sheet'!$AD$27&lt;=5,"SETTLED","OUTSTANDING")))&amp;""))=UPPER(TRIM($AJ$2&amp;"")))))</f>
        <v/>
      </c>
      <c r="AL27">
        <f>IF(AND($B$27,$D$27:$AJ$27),IF('Final Calculation Sheet'!$F$27="","",'Final Calculation Sheet'!$F$27),"")</f>
        <v/>
      </c>
      <c r="AM27">
        <f>IF(AL27="","",COUNTIFS(AL$4:AL$40,"&lt;"&amp;AL27,AL$4:AL$40,"&lt;&gt;"&amp;"")+COUNTIF(AL$4:AL27,AL27))</f>
        <v/>
      </c>
      <c r="AN27">
        <f>IF(ROW()-3&gt;COUNTIF(AL$4:AL$40,"&lt;&gt;"&amp;""),"",INDEX(AL$4:AL$40,MATCH(ROW()-3,AM$4:AM$40,0)))</f>
        <v/>
      </c>
      <c r="AO27">
        <f>AO26+IF(AND(AN27&lt;&gt;"",COUNTIF(AN$4:AN27,AN27)=1),1,0)</f>
        <v/>
      </c>
      <c r="AP27">
        <f>IF(ROW()-3&gt;MAX(AO$4:AO$40),"",INDEX(AN$4:AN$40,MATCH(ROW()-3,AO$4:AO$40,0)))</f>
        <v/>
      </c>
      <c r="AQ27">
        <f>IF(AND($B$27:$C$27,$E$27:$AJ$27),IF('Final Calculation Sheet'!$G$27="","",'Final Calculation Sheet'!$G$27),"")</f>
        <v/>
      </c>
      <c r="AR27">
        <f>IF(AQ27="","",COUNTIFS(AQ$4:AQ$40,"&lt;"&amp;AQ27,AQ$4:AQ$40,"&lt;&gt;"&amp;"")+COUNTIF(AQ$4:AQ27,AQ27))</f>
        <v/>
      </c>
      <c r="AS27">
        <f>IF(ROW()-3&gt;COUNTIF(AQ$4:AQ$40,"&lt;&gt;"&amp;""),"",INDEX(AQ$4:AQ$40,MATCH(ROW()-3,AR$4:AR$40,0)))</f>
        <v/>
      </c>
      <c r="AT27">
        <f>AT26+IF(AND(AS27&lt;&gt;"",COUNTIF(AS$4:AS27,AS27)=1),1,0)</f>
        <v/>
      </c>
      <c r="AU27">
        <f>IF(ROW()-3&gt;MAX(AT$4:AT$40),"",INDEX(AS$4:AS$40,MATCH(ROW()-3,AT$4:AT$40,0)))</f>
        <v/>
      </c>
      <c r="AV27">
        <f>IF(AND($B$27:$D$27,$F$27:$AJ$27),IF('Final Calculation Sheet'!$B$27="","",'Final Calculation Sheet'!$B$27),"")</f>
        <v/>
      </c>
      <c r="AW27">
        <f>IF(AV27="","",COUNTIFS(AV$4:AV$40,"&lt;"&amp;AV27,AV$4:AV$40,"&lt;&gt;"&amp;"")+COUNTIF(AV$4:AV27,AV27))</f>
        <v/>
      </c>
      <c r="AX27">
        <f>IF(ROW()-3&gt;COUNTIF(AV$4:AV$40,"&lt;&gt;"&amp;""),"",INDEX(AV$4:AV$40,MATCH(ROW()-3,AW$4:AW$40,0)))</f>
        <v/>
      </c>
      <c r="AY27">
        <f>AY26+IF(AND(AX27&lt;&gt;"",COUNTIF(AX$4:AX27,AX27)=1),1,0)</f>
        <v/>
      </c>
      <c r="AZ27">
        <f>IF(ROW()-3&gt;MAX(AY$4:AY$40),"",INDEX(AX$4:AX$40,MATCH(ROW()-3,AY$4:AY$40,0)))</f>
        <v/>
      </c>
      <c r="BA27">
        <f>IF(AND($B$27:$E$27,$G$27:$AJ$27),IF('Final Calculation Sheet'!$D$27="","",'Final Calculation Sheet'!$D$27),"")</f>
        <v/>
      </c>
      <c r="BB27">
        <f>IF(BA27="","",COUNTIFS(BA$4:BA$40,"&lt;"&amp;BA27,BA$4:BA$40,"&lt;&gt;"&amp;"")+COUNTIF(BA$4:BA27,BA27))</f>
        <v/>
      </c>
      <c r="BC27">
        <f>IF(ROW()-3&gt;COUNTIF(BA$4:BA$40,"&lt;&gt;"&amp;""),"",INDEX(BA$4:BA$40,MATCH(ROW()-3,BB$4:BB$40,0)))</f>
        <v/>
      </c>
      <c r="BD27">
        <f>BD26+IF(AND(BC27&lt;&gt;"",COUNTIF(BC$4:BC27,BC27)=1),1,0)</f>
        <v/>
      </c>
      <c r="BE27">
        <f>IF(ROW()-3&gt;MAX(BD$4:BD$40),"",INDEX(BC$4:BC$40,MATCH(ROW()-3,BD$4:BD$40,0)))</f>
        <v/>
      </c>
      <c r="BF27">
        <f>IF(AND($B$27:$F$27,$H$27:$AJ$27),IF('Final Calculation Sheet'!$A$27="","",'Final Calculation Sheet'!$A$27),"")</f>
        <v/>
      </c>
      <c r="BG27">
        <f>IF(BF27="","",COUNTIFS(BF$4:BF$40,"&lt;"&amp;BF27,BF$4:BF$40,"&lt;&gt;"&amp;"")+COUNTIF(BF$4:BF27,BF27))</f>
        <v/>
      </c>
      <c r="BH27">
        <f>IF(ROW()-3&gt;COUNTIF(BF$4:BF$40,"&lt;&gt;"&amp;""),"",INDEX(BF$4:BF$40,MATCH(ROW()-3,BG$4:BG$40,0)))</f>
        <v/>
      </c>
      <c r="BI27">
        <f>BI26+IF(AND(BH27&lt;&gt;"",COUNTIF(BH$4:BH27,BH27)=1),1,0)</f>
        <v/>
      </c>
      <c r="BJ27">
        <f>IF(ROW()-3&gt;MAX(BI$4:BI$40),"",INDEX(BH$4:BH$40,MATCH(ROW()-3,BI$4:BI$40,0)))</f>
        <v/>
      </c>
      <c r="BK27">
        <f>IF(AND($B$27:$G$27,$I$27:$AJ$27),IF('Final Calculation Sheet'!$E$27="","",'Final Calculation Sheet'!$E$27),"")</f>
        <v/>
      </c>
      <c r="BL27">
        <f>IF(BK27="","",COUNTIFS(BK$4:BK$40,"&lt;"&amp;BK27,BK$4:BK$40,"&lt;&gt;"&amp;"")+COUNTIF(BK$4:BK27,BK27))</f>
        <v/>
      </c>
      <c r="BM27">
        <f>IF(ROW()-3&gt;COUNTIF(BK$4:BK$40,"&lt;&gt;"&amp;""),"",INDEX(BK$4:BK$40,MATCH(ROW()-3,BL$4:BL$40,0)))</f>
        <v/>
      </c>
      <c r="BN27">
        <f>BN26+IF(AND(BM27&lt;&gt;"",COUNTIF(BM$4:BM27,BM27)=1),1,0)</f>
        <v/>
      </c>
      <c r="BO27">
        <f>IF(ROW()-3&gt;MAX(BN$4:BN$40),"",INDEX(BM$4:BM$40,MATCH(ROW()-3,BN$4:BN$40,0)))</f>
        <v/>
      </c>
      <c r="BP27" s="55">
        <f>IF(AND($B$27:$H$27,$J$27:$AJ$27),IF('Final Calculation Sheet'!$C$27="","",'Final Calculation Sheet'!$C$27),"")</f>
        <v/>
      </c>
      <c r="BQ27">
        <f>IF(BP27="","",COUNTIFS(BP$4:BP$40,"&lt;"&amp;BP27,BP$4:BP$40,"&lt;&gt;"&amp;"")+COUNTIF(BP$4:BP27,BP27))</f>
        <v/>
      </c>
      <c r="BR27" s="55">
        <f>IF(ROW()-3&gt;COUNTIF(BP$4:BP$40,"&lt;&gt;"&amp;""),"",INDEX(BP$4:BP$40,MATCH(ROW()-3,BQ$4:BQ$40,0)))</f>
        <v/>
      </c>
      <c r="BS27">
        <f>BS26+IF(AND(BR27&lt;&gt;"",COUNTIF(BR$4:BR27,BR27)=1),1,0)</f>
        <v/>
      </c>
      <c r="BT27" s="55">
        <f>IF(ROW()-3&gt;MAX(BS$4:BS$40),"",INDEX(BR$4:BR$40,MATCH(ROW()-3,BS$4:BS$40,0)))</f>
        <v/>
      </c>
      <c r="BU27" s="55">
        <f>IF(AND($B$27:$I$27,$K$27:$AJ$27),IF('Final Calculation Sheet'!$H$27="","",'Final Calculation Sheet'!$H$27),"")</f>
        <v/>
      </c>
      <c r="BV27">
        <f>IF(BU27="","",COUNTIFS(BU$4:BU$40,"&lt;"&amp;BU27,BU$4:BU$40,"&lt;&gt;"&amp;"")+COUNTIF(BU$4:BU27,BU27))</f>
        <v/>
      </c>
      <c r="BW27" s="55">
        <f>IF(ROW()-3&gt;COUNTIF(BU$4:BU$40,"&lt;&gt;"&amp;""),"",INDEX(BU$4:BU$40,MATCH(ROW()-3,BV$4:BV$40,0)))</f>
        <v/>
      </c>
      <c r="BX27">
        <f>BX26+IF(AND(BW27&lt;&gt;"",COUNTIF(BW$4:BW27,BW27)=1),1,0)</f>
        <v/>
      </c>
      <c r="BY27" s="55">
        <f>IF(ROW()-3&gt;MAX(BX$4:BX$40),"",INDEX(BW$4:BW$40,MATCH(ROW()-3,BX$4:BX$40,0)))</f>
        <v/>
      </c>
      <c r="BZ27" s="55">
        <f>IF(AND($B$27:$J$27,$L$27:$AJ$27),IF('Final Calculation Sheet'!$I$27="","",'Final Calculation Sheet'!$I$27),"")</f>
        <v/>
      </c>
      <c r="CA27">
        <f>IF(BZ27="","",COUNTIFS(BZ$4:BZ$40,"&lt;"&amp;BZ27,BZ$4:BZ$40,"&lt;&gt;"&amp;"")+COUNTIF(BZ$4:BZ27,BZ27))</f>
        <v/>
      </c>
      <c r="CB27" s="55">
        <f>IF(ROW()-3&gt;COUNTIF(BZ$4:BZ$40,"&lt;&gt;"&amp;""),"",INDEX(BZ$4:BZ$40,MATCH(ROW()-3,CA$4:CA$40,0)))</f>
        <v/>
      </c>
      <c r="CC27">
        <f>CC26+IF(AND(CB27&lt;&gt;"",COUNTIF(CB$4:CB27,CB27)=1),1,0)</f>
        <v/>
      </c>
      <c r="CD27" s="55">
        <f>IF(ROW()-3&gt;MAX(CC$4:CC$40),"",INDEX(CB$4:CB$40,MATCH(ROW()-3,CC$4:CC$40,0)))</f>
        <v/>
      </c>
      <c r="CE27" s="55">
        <f>IF(AND($B$27:$K$27,$M$27:$AJ$27),IF('Final Calculation Sheet'!$J$27="","",'Final Calculation Sheet'!$J$27),"")</f>
        <v/>
      </c>
      <c r="CF27">
        <f>IF(CE27="","",COUNTIFS(CE$4:CE$40,"&lt;"&amp;CE27,CE$4:CE$40,"&lt;&gt;"&amp;"")+COUNTIF(CE$4:CE27,CE27))</f>
        <v/>
      </c>
      <c r="CG27" s="55">
        <f>IF(ROW()-3&gt;COUNTIF(CE$4:CE$40,"&lt;&gt;"&amp;""),"",INDEX(CE$4:CE$40,MATCH(ROW()-3,CF$4:CF$40,0)))</f>
        <v/>
      </c>
      <c r="CH27">
        <f>CH26+IF(AND(CG27&lt;&gt;"",COUNTIF(CG$4:CG27,CG27)=1),1,0)</f>
        <v/>
      </c>
      <c r="CI27" s="55">
        <f>IF(ROW()-3&gt;MAX(CH$4:CH$40),"",INDEX(CG$4:CG$40,MATCH(ROW()-3,CH$4:CH$40,0)))</f>
        <v/>
      </c>
      <c r="CJ27" s="55">
        <f>IF(AND($B$27:$L$27,$N$27:$AJ$27),IF('Final Calculation Sheet'!$K$27="","",'Final Calculation Sheet'!$K$27),"")</f>
        <v/>
      </c>
      <c r="CK27">
        <f>IF(CJ27="","",COUNTIFS(CJ$4:CJ$40,"&lt;"&amp;CJ27,CJ$4:CJ$40,"&lt;&gt;"&amp;"")+COUNTIF(CJ$4:CJ27,CJ27))</f>
        <v/>
      </c>
      <c r="CL27" s="55">
        <f>IF(ROW()-3&gt;COUNTIF(CJ$4:CJ$40,"&lt;&gt;"&amp;""),"",INDEX(CJ$4:CJ$40,MATCH(ROW()-3,CK$4:CK$40,0)))</f>
        <v/>
      </c>
      <c r="CM27">
        <f>CM26+IF(AND(CL27&lt;&gt;"",COUNTIF(CL$4:CL27,CL27)=1),1,0)</f>
        <v/>
      </c>
      <c r="CN27" s="55">
        <f>IF(ROW()-3&gt;MAX(CM$4:CM$40),"",INDEX(CL$4:CL$40,MATCH(ROW()-3,CM$4:CM$40,0)))</f>
        <v/>
      </c>
      <c r="CO27" s="55">
        <f>IF(AND($B$27:$M$27,$O$27:$AJ$27),IF('Final Calculation Sheet'!$L$27="","",'Final Calculation Sheet'!$L$27),"")</f>
        <v/>
      </c>
      <c r="CP27">
        <f>IF(CO27="","",COUNTIFS(CO$4:CO$40,"&lt;"&amp;CO27,CO$4:CO$40,"&lt;&gt;"&amp;"")+COUNTIF(CO$4:CO27,CO27))</f>
        <v/>
      </c>
      <c r="CQ27" s="55">
        <f>IF(ROW()-3&gt;COUNTIF(CO$4:CO$40,"&lt;&gt;"&amp;""),"",INDEX(CO$4:CO$40,MATCH(ROW()-3,CP$4:CP$40,0)))</f>
        <v/>
      </c>
      <c r="CR27">
        <f>CR26+IF(AND(CQ27&lt;&gt;"",COUNTIF(CQ$4:CQ27,CQ27)=1),1,0)</f>
        <v/>
      </c>
      <c r="CS27" s="55">
        <f>IF(ROW()-3&gt;MAX(CR$4:CR$40),"",INDEX(CQ$4:CQ$40,MATCH(ROW()-3,CR$4:CR$40,0)))</f>
        <v/>
      </c>
      <c r="CT27" s="55">
        <f>IF(AND($B$27:$N$27,$P$27:$AJ$27),IF('Final Calculation Sheet'!$M$27="","",'Final Calculation Sheet'!$M$27),"")</f>
        <v/>
      </c>
      <c r="CU27">
        <f>IF(CT27="","",COUNTIFS(CT$4:CT$40,"&lt;"&amp;CT27,CT$4:CT$40,"&lt;&gt;"&amp;"")+COUNTIF(CT$4:CT27,CT27))</f>
        <v/>
      </c>
      <c r="CV27" s="55">
        <f>IF(ROW()-3&gt;COUNTIF(CT$4:CT$40,"&lt;&gt;"&amp;""),"",INDEX(CT$4:CT$40,MATCH(ROW()-3,CU$4:CU$40,0)))</f>
        <v/>
      </c>
      <c r="CW27">
        <f>CW26+IF(AND(CV27&lt;&gt;"",COUNTIF(CV$4:CV27,CV27)=1),1,0)</f>
        <v/>
      </c>
      <c r="CX27" s="55">
        <f>IF(ROW()-3&gt;MAX(CW$4:CW$40),"",INDEX(CV$4:CV$40,MATCH(ROW()-3,CW$4:CW$40,0)))</f>
        <v/>
      </c>
      <c r="CY27" s="138">
        <f>IF(AND($B$27:$O$27,$Q$27:$AJ$27),IF('Final Calculation Sheet'!$N$27="","",'Final Calculation Sheet'!$N$27),"")</f>
        <v/>
      </c>
      <c r="CZ27">
        <f>IF(CY27="","",COUNTIFS(CY$4:CY$40,"&lt;"&amp;CY27,CY$4:CY$40,"&lt;&gt;"&amp;"")+COUNTIF(CY$4:CY27,CY27))</f>
        <v/>
      </c>
      <c r="DA27" s="138">
        <f>IF(ROW()-3&gt;COUNTIF(CY$4:CY$40,"&lt;&gt;"&amp;""),"",INDEX(CY$4:CY$40,MATCH(ROW()-3,CZ$4:CZ$40,0)))</f>
        <v/>
      </c>
      <c r="DB27">
        <f>DB26+IF(AND(DA27&lt;&gt;"",COUNTIF(DA$4:DA27,DA27)=1),1,0)</f>
        <v/>
      </c>
      <c r="DC27" s="138">
        <f>IF(ROW()-3&gt;MAX(DB$4:DB$40),"",INDEX(DA$4:DA$40,MATCH(ROW()-3,DB$4:DB$40,0)))</f>
        <v/>
      </c>
      <c r="DD27" s="55">
        <f>IF(AND($B$27:$P$27,$R$27:$AJ$27),IF('Final Calculation Sheet'!$O$27="","",'Final Calculation Sheet'!$O$27),"")</f>
        <v/>
      </c>
      <c r="DE27">
        <f>IF(DD27="","",COUNTIFS(DD$4:DD$40,"&lt;"&amp;DD27,DD$4:DD$40,"&lt;&gt;"&amp;"")+COUNTIF(DD$4:DD27,DD27))</f>
        <v/>
      </c>
      <c r="DF27" s="55">
        <f>IF(ROW()-3&gt;COUNTIF(DD$4:DD$40,"&lt;&gt;"&amp;""),"",INDEX(DD$4:DD$40,MATCH(ROW()-3,DE$4:DE$40,0)))</f>
        <v/>
      </c>
      <c r="DG27">
        <f>DG26+IF(AND(DF27&lt;&gt;"",COUNTIF(DF$4:DF27,DF27)=1),1,0)</f>
        <v/>
      </c>
      <c r="DH27" s="55">
        <f>IF(ROW()-3&gt;MAX(DG$4:DG$40),"",INDEX(DF$4:DF$40,MATCH(ROW()-3,DG$4:DG$40,0)))</f>
        <v/>
      </c>
      <c r="DI27" s="55">
        <f>IF(AND($B$27:$Q$27,$S$27:$AJ$27),IF('Final Calculation Sheet'!$P$27="","",'Final Calculation Sheet'!$P$27),"")</f>
        <v/>
      </c>
      <c r="DJ27">
        <f>IF(DI27="","",COUNTIFS(DI$4:DI$40,"&lt;"&amp;DI27,DI$4:DI$40,"&lt;&gt;"&amp;"")+COUNTIF(DI$4:DI27,DI27))</f>
        <v/>
      </c>
      <c r="DK27" s="55">
        <f>IF(ROW()-3&gt;COUNTIF(DI$4:DI$40,"&lt;&gt;"&amp;""),"",INDEX(DI$4:DI$40,MATCH(ROW()-3,DJ$4:DJ$40,0)))</f>
        <v/>
      </c>
      <c r="DL27">
        <f>DL26+IF(AND(DK27&lt;&gt;"",COUNTIF(DK$4:DK27,DK27)=1),1,0)</f>
        <v/>
      </c>
      <c r="DM27" s="55">
        <f>IF(ROW()-3&gt;MAX(DL$4:DL$40),"",INDEX(DK$4:DK$40,MATCH(ROW()-3,DL$4:DL$40,0)))</f>
        <v/>
      </c>
      <c r="DN27" s="139">
        <f>IF(AND($B$27:$R$27,$T$27:$AJ$27),IF('Final Calculation Sheet'!$Q$27="","",'Final Calculation Sheet'!$Q$27),"")</f>
        <v/>
      </c>
      <c r="DO27">
        <f>IF(DN27="","",COUNTIFS(DN$4:DN$40,"&lt;"&amp;DN27,DN$4:DN$40,"&lt;&gt;"&amp;"")+COUNTIF(DN$4:DN27,DN27))</f>
        <v/>
      </c>
      <c r="DP27" s="139">
        <f>IF(ROW()-3&gt;COUNTIF(DN$4:DN$40,"&lt;&gt;"&amp;""),"",INDEX(DN$4:DN$40,MATCH(ROW()-3,DO$4:DO$40,0)))</f>
        <v/>
      </c>
      <c r="DQ27">
        <f>DQ26+IF(AND(DP27&lt;&gt;"",COUNTIF(DP$4:DP27,DP27)=1),1,0)</f>
        <v/>
      </c>
      <c r="DR27" s="139">
        <f>IF(ROW()-3&gt;MAX(DQ$4:DQ$40),"",INDEX(DP$4:DP$40,MATCH(ROW()-3,DQ$4:DQ$40,0)))</f>
        <v/>
      </c>
      <c r="DS27" s="55">
        <f>IF(AND($B$27:$S$27,$U$27:$AJ$27),IF('Final Calculation Sheet'!$R$27="","",'Final Calculation Sheet'!$R$27),"")</f>
        <v/>
      </c>
      <c r="DT27">
        <f>IF(DS27="","",COUNTIFS(DS$4:DS$40,"&lt;"&amp;DS27,DS$4:DS$40,"&lt;&gt;"&amp;"")+COUNTIF(DS$4:DS27,DS27))</f>
        <v/>
      </c>
      <c r="DU27" s="55">
        <f>IF(ROW()-3&gt;COUNTIF(DS$4:DS$40,"&lt;&gt;"&amp;""),"",INDEX(DS$4:DS$40,MATCH(ROW()-3,DT$4:DT$40,0)))</f>
        <v/>
      </c>
      <c r="DV27">
        <f>DV26+IF(AND(DU27&lt;&gt;"",COUNTIF(DU$4:DU27,DU27)=1),1,0)</f>
        <v/>
      </c>
      <c r="DW27" s="55">
        <f>IF(ROW()-3&gt;MAX(DV$4:DV$40),"",INDEX(DU$4:DU$40,MATCH(ROW()-3,DV$4:DV$40,0)))</f>
        <v/>
      </c>
      <c r="DX27" s="55">
        <f>IF(AND($B$27:$T$27,$V$27:$AJ$27),IF('Final Calculation Sheet'!$S$27="","",'Final Calculation Sheet'!$S$27),"")</f>
        <v/>
      </c>
      <c r="DY27">
        <f>IF(DX27="","",COUNTIFS(DX$4:DX$40,"&lt;"&amp;DX27,DX$4:DX$40,"&lt;&gt;"&amp;"")+COUNTIF(DX$4:DX27,DX27))</f>
        <v/>
      </c>
      <c r="DZ27" s="55">
        <f>IF(ROW()-3&gt;COUNTIF(DX$4:DX$40,"&lt;&gt;"&amp;""),"",INDEX(DX$4:DX$40,MATCH(ROW()-3,DY$4:DY$40,0)))</f>
        <v/>
      </c>
      <c r="EA27">
        <f>EA26+IF(AND(DZ27&lt;&gt;"",COUNTIF(DZ$4:DZ27,DZ27)=1),1,0)</f>
        <v/>
      </c>
      <c r="EB27" s="55">
        <f>IF(ROW()-3&gt;MAX(EA$4:EA$40),"",INDEX(DZ$4:DZ$40,MATCH(ROW()-3,EA$4:EA$40,0)))</f>
        <v/>
      </c>
      <c r="EC27" s="55">
        <f>IF(AND($B$27:$U$27,$W$27:$AJ$27),IF('Final Calculation Sheet'!$T$27="","",'Final Calculation Sheet'!$T$27),"")</f>
        <v/>
      </c>
      <c r="ED27">
        <f>IF(EC27="","",COUNTIFS(EC$4:EC$40,"&lt;"&amp;EC27,EC$4:EC$40,"&lt;&gt;"&amp;"")+COUNTIF(EC$4:EC27,EC27))</f>
        <v/>
      </c>
      <c r="EE27" s="55">
        <f>IF(ROW()-3&gt;COUNTIF(EC$4:EC$40,"&lt;&gt;"&amp;""),"",INDEX(EC$4:EC$40,MATCH(ROW()-3,ED$4:ED$40,0)))</f>
        <v/>
      </c>
      <c r="EF27">
        <f>EF26+IF(AND(EE27&lt;&gt;"",COUNTIF(EE$4:EE27,EE27)=1),1,0)</f>
        <v/>
      </c>
      <c r="EG27" s="55">
        <f>IF(ROW()-3&gt;MAX(EF$4:EF$40),"",INDEX(EE$4:EE$40,MATCH(ROW()-3,EF$4:EF$40,0)))</f>
        <v/>
      </c>
      <c r="EH27" s="140">
        <f>IF(AND($B$27:$V$27,$X$27:$AJ$27),IF('Final Calculation Sheet'!$U$27="","",'Final Calculation Sheet'!$U$27),"")</f>
        <v/>
      </c>
      <c r="EI27">
        <f>IF(EH27="","",COUNTIFS(EH$4:EH$40,"&lt;"&amp;EH27,EH$4:EH$40,"&lt;&gt;"&amp;"")+COUNTIF(EH$4:EH27,EH27))</f>
        <v/>
      </c>
      <c r="EJ27" s="140">
        <f>IF(ROW()-3&gt;COUNTIF(EH$4:EH$40,"&lt;&gt;"&amp;""),"",INDEX(EH$4:EH$40,MATCH(ROW()-3,EI$4:EI$40,0)))</f>
        <v/>
      </c>
      <c r="EK27">
        <f>EK26+IF(AND(EJ27&lt;&gt;"",COUNTIF(EJ$4:EJ27,EJ27)=1),1,0)</f>
        <v/>
      </c>
      <c r="EL27" s="140">
        <f>IF(ROW()-3&gt;MAX(EK$4:EK$40),"",INDEX(EJ$4:EJ$40,MATCH(ROW()-3,EK$4:EK$40,0)))</f>
        <v/>
      </c>
      <c r="EM27">
        <f>IF(AND($B$27:$W$27,$Y$27:$AJ$27),IF('Final Calculation Sheet'!$V$27="","",'Final Calculation Sheet'!$V$27),"")</f>
        <v/>
      </c>
      <c r="EN27">
        <f>IF(EM27="","",COUNTIFS(EM$4:EM$40,"&lt;"&amp;EM27,EM$4:EM$40,"&lt;&gt;"&amp;"")+COUNTIF(EM$4:EM27,EM27))</f>
        <v/>
      </c>
      <c r="EO27">
        <f>IF(ROW()-3&gt;COUNTIF(EM$4:EM$40,"&lt;&gt;"&amp;""),"",INDEX(EM$4:EM$40,MATCH(ROW()-3,EN$4:EN$40,0)))</f>
        <v/>
      </c>
      <c r="EP27">
        <f>EP26+IF(AND(EO27&lt;&gt;"",COUNTIF(EO$4:EO27,EO27)=1),1,0)</f>
        <v/>
      </c>
      <c r="EQ27">
        <f>IF(ROW()-3&gt;MAX(EP$4:EP$40),"",INDEX(EO$4:EO$40,MATCH(ROW()-3,EP$4:EP$40,0)))</f>
        <v/>
      </c>
      <c r="ER27" s="55">
        <f>IF(AND($B$27:$X$27,$Z$27:$AJ$27),IF('Final Calculation Sheet'!$W$27="","",'Final Calculation Sheet'!$W$27),"")</f>
        <v/>
      </c>
      <c r="ES27">
        <f>IF(ER27="","",COUNTIFS(ER$4:ER$40,"&lt;"&amp;ER27,ER$4:ER$40,"&lt;&gt;"&amp;"")+COUNTIF(ER$4:ER27,ER27))</f>
        <v/>
      </c>
      <c r="ET27" s="55">
        <f>IF(ROW()-3&gt;COUNTIF(ER$4:ER$40,"&lt;&gt;"&amp;""),"",INDEX(ER$4:ER$40,MATCH(ROW()-3,ES$4:ES$40,0)))</f>
        <v/>
      </c>
      <c r="EU27">
        <f>EU26+IF(AND(ET27&lt;&gt;"",COUNTIF(ET$4:ET27,ET27)=1),1,0)</f>
        <v/>
      </c>
      <c r="EV27" s="55">
        <f>IF(ROW()-3&gt;MAX(EU$4:EU$40),"",INDEX(ET$4:ET$40,MATCH(ROW()-3,EU$4:EU$40,0)))</f>
        <v/>
      </c>
      <c r="EW27" s="55">
        <f>IF(AND($B$27:$Y$27,$AA$27:$AJ$27),IF('Final Calculation Sheet'!$X$27="","",'Final Calculation Sheet'!$X$27),"")</f>
        <v/>
      </c>
      <c r="EX27">
        <f>IF(EW27="","",COUNTIFS(EW$4:EW$40,"&lt;"&amp;EW27,EW$4:EW$40,"&lt;&gt;"&amp;"")+COUNTIF(EW$4:EW27,EW27))</f>
        <v/>
      </c>
      <c r="EY27" s="55">
        <f>IF(ROW()-3&gt;COUNTIF(EW$4:EW$40,"&lt;&gt;"&amp;""),"",INDEX(EW$4:EW$40,MATCH(ROW()-3,EX$4:EX$40,0)))</f>
        <v/>
      </c>
      <c r="EZ27">
        <f>EZ26+IF(AND(EY27&lt;&gt;"",COUNTIF(EY$4:EY27,EY27)=1),1,0)</f>
        <v/>
      </c>
      <c r="FA27">
        <f>IF(ROW()-3&gt;MAX(EZ$4:EZ$40),"",INDEX(EY$4:EY$40,MATCH(ROW()-3,EZ$4:EZ$40,0)))</f>
        <v/>
      </c>
      <c r="FB27">
        <f>IF(AND($B$27:$Z$27,$AB$27:$AJ$27),IF('Final Calculation Sheet'!$Y$27="","",'Final Calculation Sheet'!$Y$27),"")</f>
        <v/>
      </c>
      <c r="FC27">
        <f>IF(FB27="","",COUNTIFS(FB$4:FB$40,"&lt;"&amp;FB27,FB$4:FB$40,"&lt;&gt;"&amp;"")+COUNTIF(FB$4:FB27,FB27))</f>
        <v/>
      </c>
      <c r="FD27">
        <f>IF(ROW()-3&gt;COUNTIF(FB$4:FB$40,"&lt;&gt;"&amp;""),"",INDEX(FB$4:FB$40,MATCH(ROW()-3,FC$4:FC$40,0)))</f>
        <v/>
      </c>
      <c r="FE27">
        <f>FE26+IF(AND(FD27&lt;&gt;"",COUNTIF(FD$4:FD27,FD27)=1),1,0)</f>
        <v/>
      </c>
      <c r="FF27">
        <f>IF(ROW()-3&gt;MAX(FE$4:FE$40),"",INDEX(FD$4:FD$40,MATCH(ROW()-3,FE$4:FE$40,0)))</f>
        <v/>
      </c>
      <c r="FG27" s="55">
        <f>IF(AND($B$27:$AA$27,$AC$27:$AJ$27),IF('Final Calculation Sheet'!$Z$27="","",'Final Calculation Sheet'!$Z$27),"")</f>
        <v/>
      </c>
      <c r="FH27">
        <f>IF(FG27="","",COUNTIFS(FG$4:FG$40,"&lt;"&amp;FG27,FG$4:FG$40,"&lt;&gt;"&amp;"")+COUNTIF(FG$4:FG27,FG27))</f>
        <v/>
      </c>
      <c r="FI27" s="55">
        <f>IF(ROW()-3&gt;COUNTIF(FG$4:FG$40,"&lt;&gt;"&amp;""),"",INDEX(FG$4:FG$40,MATCH(ROW()-3,FH$4:FH$40,0)))</f>
        <v/>
      </c>
      <c r="FJ27">
        <f>FJ26+IF(AND(FI27&lt;&gt;"",COUNTIF(FI$4:FI27,FI27)=1),1,0)</f>
        <v/>
      </c>
      <c r="FK27" s="55">
        <f>IF(ROW()-3&gt;MAX(FJ$4:FJ$40),"",INDEX(FI$4:FI$40,MATCH(ROW()-3,FJ$4:FJ$40,0)))</f>
        <v/>
      </c>
      <c r="FL27">
        <f>IF(AND($B$27:$AB$27,$AD$27:$AJ$27),IF('Final Calculation Sheet'!$AA$27="","",'Final Calculation Sheet'!$AA$27),"")</f>
        <v/>
      </c>
      <c r="FM27">
        <f>IF(FL27="","",COUNTIFS(FL$4:FL$40,"&lt;"&amp;FL27,FL$4:FL$40,"&lt;&gt;"&amp;"")+COUNTIF(FL$4:FL27,FL27))</f>
        <v/>
      </c>
      <c r="FN27">
        <f>IF(ROW()-3&gt;COUNTIF(FL$4:FL$40,"&lt;&gt;"&amp;""),"",INDEX(FL$4:FL$40,MATCH(ROW()-3,FM$4:FM$40,0)))</f>
        <v/>
      </c>
      <c r="FO27">
        <f>FO26+IF(AND(FN27&lt;&gt;"",COUNTIF(FN$4:FN27,FN27)=1),1,0)</f>
        <v/>
      </c>
      <c r="FP27">
        <f>IF(ROW()-3&gt;MAX(FO$4:FO$40),"",INDEX(FN$4:FN$40,MATCH(ROW()-3,FO$4:FO$40,0)))</f>
        <v/>
      </c>
      <c r="FQ27">
        <f>IF(AND($B$27:$AC$27,$AE$27:$AJ$27),IF('Final Calculation Sheet'!$AB$27="","",'Final Calculation Sheet'!$AB$27),"")</f>
        <v/>
      </c>
      <c r="FR27">
        <f>IF(FQ27="","",COUNTIFS(FQ$4:FQ$40,"&lt;"&amp;FQ27,FQ$4:FQ$40,"&lt;&gt;"&amp;"")+COUNTIF(FQ$4:FQ27,FQ27))</f>
        <v/>
      </c>
      <c r="FS27">
        <f>IF(ROW()-3&gt;COUNTIF(FQ$4:FQ$40,"&lt;&gt;"&amp;""),"",INDEX(FQ$4:FQ$40,MATCH(ROW()-3,FR$4:FR$40,0)))</f>
        <v/>
      </c>
      <c r="FT27">
        <f>FT26+IF(AND(FS27&lt;&gt;"",COUNTIF(FS$4:FS27,FS27)=1),1,0)</f>
        <v/>
      </c>
      <c r="FU27">
        <f>IF(ROW()-3&gt;MAX(FT$4:FT$40),"",INDEX(FS$4:FS$40,MATCH(ROW()-3,FT$4:FT$40,0)))</f>
        <v/>
      </c>
      <c r="FV27" s="55">
        <f>IF(AND($B$27:$AD$27,$AF$27:$AJ$27),IF('Final Calculation Sheet'!$AC$27="","",'Final Calculation Sheet'!$AC$27),"")</f>
        <v/>
      </c>
      <c r="FW27">
        <f>IF(FV27="","",COUNTIFS(FV$4:FV$40,"&lt;"&amp;FV27,FV$4:FV$40,"&lt;&gt;"&amp;"")+COUNTIF(FV$4:FV27,FV27))</f>
        <v/>
      </c>
      <c r="FX27" s="55">
        <f>IF(ROW()-3&gt;COUNTIF(FV$4:FV$40,"&lt;&gt;"&amp;""),"",INDEX(FV$4:FV$40,MATCH(ROW()-3,FW$4:FW$40,0)))</f>
        <v/>
      </c>
      <c r="FY27">
        <f>FY26+IF(AND(FX27&lt;&gt;"",COUNTIF(FX$4:FX27,FX27)=1),1,0)</f>
        <v/>
      </c>
      <c r="FZ27" s="55">
        <f>IF(ROW()-3&gt;MAX(FY$4:FY$40),"",INDEX(FX$4:FX$40,MATCH(ROW()-3,FY$4:FY$40,0)))</f>
        <v/>
      </c>
      <c r="GA27" s="55">
        <f>IF(AND($B$27:$AE$27,$AG$27:$AJ$27),IF('Final Calculation Sheet'!$AD$27="","",'Final Calculation Sheet'!$AD$27),"")</f>
        <v/>
      </c>
      <c r="GB27">
        <f>IF(GA27="","",COUNTIFS(GA$4:GA$40,"&lt;"&amp;GA27,GA$4:GA$40,"&lt;&gt;"&amp;"")+COUNTIF(GA$4:GA27,GA27))</f>
        <v/>
      </c>
      <c r="GC27" s="55">
        <f>IF(ROW()-3&gt;COUNTIF(GA$4:GA$40,"&lt;&gt;"&amp;""),"",INDEX(GA$4:GA$40,MATCH(ROW()-3,GB$4:GB$40,0)))</f>
        <v/>
      </c>
      <c r="GD27">
        <f>GD26+IF(AND(GC27&lt;&gt;"",COUNTIF(GC$4:GC27,GC27)=1),1,0)</f>
        <v/>
      </c>
      <c r="GE27" s="55">
        <f>IF(ROW()-3&gt;MAX(GD$4:GD$40),"",INDEX(GC$4:GC$40,MATCH(ROW()-3,GD$4:GD$40,0)))</f>
        <v/>
      </c>
      <c r="GF27">
        <f>IF(AND($B$27:$AF$27,$AH$27:$AJ$27),IF('Final Calculation Sheet'!$AE$27="","",'Final Calculation Sheet'!$AE$27),"")</f>
        <v/>
      </c>
      <c r="GG27">
        <f>IF(GF27="","",COUNTIFS(GF$4:GF$40,"&lt;"&amp;GF27,GF$4:GF$40,"&lt;&gt;"&amp;"")+COUNTIF(GF$4:GF27,GF27))</f>
        <v/>
      </c>
      <c r="GH27">
        <f>IF(ROW()-3&gt;COUNTIF(GF$4:GF$40,"&lt;&gt;"&amp;""),"",INDEX(GF$4:GF$40,MATCH(ROW()-3,GG$4:GG$40,0)))</f>
        <v/>
      </c>
      <c r="GI27">
        <f>GI26+IF(AND(GH27&lt;&gt;"",COUNTIF(GH$4:GH27,GH27)=1),1,0)</f>
        <v/>
      </c>
      <c r="GJ27">
        <f>IF(ROW()-3&gt;MAX(GI$4:GI$40),"",INDEX(GH$4:GH$40,MATCH(ROW()-3,GI$4:GI$40,0)))</f>
        <v/>
      </c>
      <c r="GK27" s="141">
        <f>IF(AND($B$27:$AG$27,$AI$27:$AJ$27),IF('Final Calculation Sheet'!$AF$27="","",'Final Calculation Sheet'!$AF$27),"")</f>
        <v/>
      </c>
      <c r="GL27">
        <f>IF(GK27="","",COUNTIFS(GK$4:GK$40,"&lt;"&amp;GK27,GK$4:GK$40,"&lt;&gt;"&amp;"")+COUNTIF(GK$4:GK27,GK27))</f>
        <v/>
      </c>
      <c r="GM27" s="141">
        <f>IF(ROW()-3&gt;COUNTIF(GK$4:GK$40,"&lt;&gt;"&amp;""),"",INDEX(GK$4:GK$40,MATCH(ROW()-3,GL$4:GL$40,0)))</f>
        <v/>
      </c>
      <c r="GN27">
        <f>GN26+IF(AND(GM27&lt;&gt;"",COUNTIF(GM$4:GM27,GM27)=1),1,0)</f>
        <v/>
      </c>
      <c r="GO27">
        <f>IF(ROW()-3&gt;MAX(GN$4:GN$40),"",INDEX(GM$4:GM$40,MATCH(ROW()-3,GN$4:GN$40,0)))</f>
        <v/>
      </c>
      <c r="GP27">
        <f>IF(AND($B$27:$AH$27,$AJ$27:$AJ$27),IF('Final Calculation Sheet'!$AG$27="","",'Final Calculation Sheet'!$AG$27),"")</f>
        <v/>
      </c>
      <c r="GQ27">
        <f>IF(GP27="","",COUNTIFS(GP$4:GP$40,"&lt;"&amp;GP27,GP$4:GP$40,"&lt;&gt;"&amp;"")+COUNTIF(GP$4:GP27,GP27))</f>
        <v/>
      </c>
      <c r="GR27">
        <f>IF(ROW()-3&gt;COUNTIF(GP$4:GP$40,"&lt;&gt;"&amp;""),"",INDEX(GP$4:GP$40,MATCH(ROW()-3,GQ$4:GQ$40,0)))</f>
        <v/>
      </c>
      <c r="GS27">
        <f>GS26+IF(AND(GR27&lt;&gt;"",COUNTIF(GR$4:GR27,GR27)=1),1,0)</f>
        <v/>
      </c>
      <c r="GT27">
        <f>IF(ROW()-3&gt;MAX(GS$4:GS$40),"",INDEX(GR$4:GR$40,MATCH(ROW()-3,GS$4:GS$40,0)))</f>
        <v/>
      </c>
    </row>
    <row r="28">
      <c r="A28" t="inlineStr">
        <is>
          <t>Final row 28</t>
        </is>
      </c>
      <c r="B28" t="b">
        <v>1</v>
      </c>
      <c r="C28">
        <f>IF($C$3=FALSE,TRUE,IF(OR(UPPER(TRIM($C$2))="(BLANK)",UPPER(TRIM($C$2))="BLANK",AND($C$2&lt;&gt;"",TRIM($C$2)="")),(IF('Final Calculation Sheet'!$F$28="","",'Final Calculation Sheet'!$F$28))="",IF(OR(UPPER(TRIM($C$2))="(NONBLANK)",UPPER(TRIM($C$2))="NONBLANK",TRIM($C$2)="&lt;&gt;"),(IF('Final Calculation Sheet'!$F$28="","",'Final Calculation Sheet'!$F$28))&lt;&gt;"",UPPER(TRIM((IF('Final Calculation Sheet'!$F$28="","",'Final Calculation Sheet'!$F$28))&amp;""))=UPPER(TRIM($C$2&amp;"")))))</f>
        <v/>
      </c>
      <c r="D28">
        <f>IF($D$3=FALSE,TRUE,IF(OR(UPPER(TRIM($D$2))="(BLANK)",UPPER(TRIM($D$2))="BLANK",AND($D$2&lt;&gt;"",TRIM($D$2)="")),(IF('Final Calculation Sheet'!$G$28="","",'Final Calculation Sheet'!$G$28))="",IF(OR(UPPER(TRIM($D$2))="(NONBLANK)",UPPER(TRIM($D$2))="NONBLANK",TRIM($D$2)="&lt;&gt;"),(IF('Final Calculation Sheet'!$G$28="","",'Final Calculation Sheet'!$G$28))&lt;&gt;"",UPPER(TRIM((IF('Final Calculation Sheet'!$G$28="","",'Final Calculation Sheet'!$G$28))&amp;""))=UPPER(TRIM($D$2&amp;"")))))</f>
        <v/>
      </c>
      <c r="E28">
        <f>IF($E$3=FALSE,TRUE,IF(OR(UPPER(TRIM($E$2))="(BLANK)",UPPER(TRIM($E$2))="BLANK",AND($E$2&lt;&gt;"",TRIM($E$2)="")),(IF('Final Calculation Sheet'!$B$28="","",'Final Calculation Sheet'!$B$28))="",IF(OR(UPPER(TRIM($E$2))="(NONBLANK)",UPPER(TRIM($E$2))="NONBLANK",TRIM($E$2)="&lt;&gt;"),(IF('Final Calculation Sheet'!$B$28="","",'Final Calculation Sheet'!$B$28))&lt;&gt;"",UPPER(TRIM((IF('Final Calculation Sheet'!$B$28="","",'Final Calculation Sheet'!$B$28))&amp;""))=UPPER(TRIM($E$2&amp;"")))))</f>
        <v/>
      </c>
      <c r="F28">
        <f>IF($F$3=FALSE,TRUE,IF(OR(UPPER(TRIM($F$2))="(BLANK)",UPPER(TRIM($F$2))="BLANK",AND($F$2&lt;&gt;"",TRIM($F$2)="")),(IF('Final Calculation Sheet'!$D$28="","",'Final Calculation Sheet'!$D$28))="",IF(OR(UPPER(TRIM($F$2))="(NONBLANK)",UPPER(TRIM($F$2))="NONBLANK",TRIM($F$2)="&lt;&gt;"),(IF('Final Calculation Sheet'!$D$28="","",'Final Calculation Sheet'!$D$28))&lt;&gt;"",UPPER(TRIM((IF('Final Calculation Sheet'!$D$28="","",'Final Calculation Sheet'!$D$28))&amp;""))=UPPER(TRIM($F$2&amp;"")))))</f>
        <v/>
      </c>
      <c r="G28">
        <f>IF($G$3=FALSE,TRUE,IF(OR(UPPER(TRIM($G$2))="(BLANK)",UPPER(TRIM($G$2))="BLANK",AND($G$2&lt;&gt;"",TRIM($G$2)="")),(IF('Final Calculation Sheet'!$A$28="","",'Final Calculation Sheet'!$A$28))="",IF(OR(UPPER(TRIM($G$2))="(NONBLANK)",UPPER(TRIM($G$2))="NONBLANK",TRIM($G$2)="&lt;&gt;"),(IF('Final Calculation Sheet'!$A$28="","",'Final Calculation Sheet'!$A$28))&lt;&gt;"",UPPER(TRIM((IF('Final Calculation Sheet'!$A$28="","",'Final Calculation Sheet'!$A$28))&amp;""))=UPPER(TRIM($G$2&amp;"")))))</f>
        <v/>
      </c>
      <c r="H28">
        <f>IF($H$3=FALSE,TRUE,IF(OR(UPPER(TRIM($H$2))="(BLANK)",UPPER(TRIM($H$2))="BLANK",AND($H$2&lt;&gt;"",TRIM($H$2)="")),(IF('Final Calculation Sheet'!$E$28="","",'Final Calculation Sheet'!$E$28))="",IF(OR(UPPER(TRIM($H$2))="(NONBLANK)",UPPER(TRIM($H$2))="NONBLANK",TRIM($H$2)="&lt;&gt;"),(IF('Final Calculation Sheet'!$E$28="","",'Final Calculation Sheet'!$E$28))&lt;&gt;"",UPPER(TRIM((IF('Final Calculation Sheet'!$E$28="","",'Final Calculation Sheet'!$E$28))&amp;""))=UPPER(TRIM($H$2&amp;"")))))</f>
        <v/>
      </c>
      <c r="I28">
        <f>IF($I$3=FALSE,TRUE,IF(OR(UPPER(TRIM($I$2))="(BLANK)",UPPER(TRIM($I$2))="BLANK",AND($I$2&lt;&gt;"",TRIM($I$2)="")),(IF('Final Calculation Sheet'!$C$28="","",'Final Calculation Sheet'!$C$28))="",IF(OR(UPPER(TRIM($I$2))="(NONBLANK)",UPPER(TRIM($I$2))="NONBLANK",TRIM($I$2)="&lt;&gt;"),(IF('Final Calculation Sheet'!$C$28="","",'Final Calculation Sheet'!$C$28))&lt;&gt;"",UPPER(TRIM((IF('Final Calculation Sheet'!$C$28="","",'Final Calculation Sheet'!$C$28))&amp;""))=UPPER(TRIM($I$2&amp;"")))))</f>
        <v/>
      </c>
      <c r="J28">
        <f>IF($J$3=FALSE,TRUE,IF(OR(UPPER(TRIM($J$2))="(BLANK)",UPPER(TRIM($J$2))="BLANK",AND($J$2&lt;&gt;"",TRIM($J$2)="")),(IF('Final Calculation Sheet'!$H$28="","",'Final Calculation Sheet'!$H$28))="",IF(OR(UPPER(TRIM($J$2))="(NONBLANK)",UPPER(TRIM($J$2))="NONBLANK",TRIM($J$2)="&lt;&gt;"),(IF('Final Calculation Sheet'!$H$28="","",'Final Calculation Sheet'!$H$28))&lt;&gt;"",UPPER(TRIM((IF('Final Calculation Sheet'!$H$28="","",'Final Calculation Sheet'!$H$28))&amp;""))=UPPER(TRIM($J$2&amp;"")))))</f>
        <v/>
      </c>
      <c r="K28">
        <f>IF($K$3=FALSE,TRUE,IF(OR(UPPER(TRIM($K$2))="(BLANK)",UPPER(TRIM($K$2))="BLANK",AND($K$2&lt;&gt;"",TRIM($K$2)="")),(IF('Final Calculation Sheet'!$I$28="","",'Final Calculation Sheet'!$I$28))="",IF(OR(UPPER(TRIM($K$2))="(NONBLANK)",UPPER(TRIM($K$2))="NONBLANK",TRIM($K$2)="&lt;&gt;"),(IF('Final Calculation Sheet'!$I$28="","",'Final Calculation Sheet'!$I$28))&lt;&gt;"",UPPER(TRIM((IF('Final Calculation Sheet'!$I$28="","",'Final Calculation Sheet'!$I$28))&amp;""))=UPPER(TRIM($K$2&amp;"")))))</f>
        <v/>
      </c>
      <c r="L28">
        <f>IF($L$3=FALSE,TRUE,IF(OR(UPPER(TRIM($L$2))="(BLANK)",UPPER(TRIM($L$2))="BLANK",AND($L$2&lt;&gt;"",TRIM($L$2)="")),(IF('Final Calculation Sheet'!$J$28="","",'Final Calculation Sheet'!$J$28))="",IF(OR(UPPER(TRIM($L$2))="(NONBLANK)",UPPER(TRIM($L$2))="NONBLANK",TRIM($L$2)="&lt;&gt;"),(IF('Final Calculation Sheet'!$J$28="","",'Final Calculation Sheet'!$J$28))&lt;&gt;"",UPPER(TRIM((IF('Final Calculation Sheet'!$J$28="","",'Final Calculation Sheet'!$J$28))&amp;""))=UPPER(TRIM($L$2&amp;"")))))</f>
        <v/>
      </c>
      <c r="M28">
        <f>IF($M$3=FALSE,TRUE,IF(OR(UPPER(TRIM($M$2))="(BLANK)",UPPER(TRIM($M$2))="BLANK",AND($M$2&lt;&gt;"",TRIM($M$2)="")),(IF('Final Calculation Sheet'!$K$28="","",'Final Calculation Sheet'!$K$28))="",IF(OR(UPPER(TRIM($M$2))="(NONBLANK)",UPPER(TRIM($M$2))="NONBLANK",TRIM($M$2)="&lt;&gt;"),(IF('Final Calculation Sheet'!$K$28="","",'Final Calculation Sheet'!$K$28))&lt;&gt;"",UPPER(TRIM((IF('Final Calculation Sheet'!$K$28="","",'Final Calculation Sheet'!$K$28))&amp;""))=UPPER(TRIM($M$2&amp;"")))))</f>
        <v/>
      </c>
      <c r="N28">
        <f>IF($N$3=FALSE,TRUE,IF(OR(UPPER(TRIM($N$2))="(BLANK)",UPPER(TRIM($N$2))="BLANK",AND($N$2&lt;&gt;"",TRIM($N$2)="")),(IF('Final Calculation Sheet'!$L$28="","",'Final Calculation Sheet'!$L$28))="",IF(OR(UPPER(TRIM($N$2))="(NONBLANK)",UPPER(TRIM($N$2))="NONBLANK",TRIM($N$2)="&lt;&gt;"),(IF('Final Calculation Sheet'!$L$28="","",'Final Calculation Sheet'!$L$28))&lt;&gt;"",UPPER(TRIM((IF('Final Calculation Sheet'!$L$28="","",'Final Calculation Sheet'!$L$28))&amp;""))=UPPER(TRIM($N$2&amp;"")))))</f>
        <v/>
      </c>
      <c r="O28">
        <f>IF($O$3=FALSE,TRUE,IF(OR(UPPER(TRIM($O$2))="(BLANK)",UPPER(TRIM($O$2))="BLANK",AND($O$2&lt;&gt;"",TRIM($O$2)="")),(IF('Final Calculation Sheet'!$M$28="","",'Final Calculation Sheet'!$M$28))="",IF(OR(UPPER(TRIM($O$2))="(NONBLANK)",UPPER(TRIM($O$2))="NONBLANK",TRIM($O$2)="&lt;&gt;"),(IF('Final Calculation Sheet'!$M$28="","",'Final Calculation Sheet'!$M$28))&lt;&gt;"",UPPER(TRIM((IF('Final Calculation Sheet'!$M$28="","",'Final Calculation Sheet'!$M$28))&amp;""))=UPPER(TRIM($O$2&amp;"")))))</f>
        <v/>
      </c>
      <c r="P28">
        <f>IF($P$3=FALSE,TRUE,IF(OR(UPPER(TRIM($P$2))="(BLANK)",UPPER(TRIM($P$2))="BLANK",AND($P$2&lt;&gt;"",TRIM($P$2)="")),(IF('Final Calculation Sheet'!$N$28="","",'Final Calculation Sheet'!$N$28))="",IF(OR(UPPER(TRIM($P$2))="(NONBLANK)",UPPER(TRIM($P$2))="NONBLANK",TRIM($P$2)="&lt;&gt;"),(IF('Final Calculation Sheet'!$N$28="","",'Final Calculation Sheet'!$N$28))&lt;&gt;"",UPPER(TRIM((IF('Final Calculation Sheet'!$N$28="","",'Final Calculation Sheet'!$N$28))&amp;""))=UPPER(TRIM($P$2&amp;"")))))</f>
        <v/>
      </c>
      <c r="Q28">
        <f>IF($Q$3=FALSE,TRUE,IF(OR(UPPER(TRIM($Q$2))="(BLANK)",UPPER(TRIM($Q$2))="BLANK",AND($Q$2&lt;&gt;"",TRIM($Q$2)="")),(IF('Final Calculation Sheet'!$O$28="","",'Final Calculation Sheet'!$O$28))="",IF(OR(UPPER(TRIM($Q$2))="(NONBLANK)",UPPER(TRIM($Q$2))="NONBLANK",TRIM($Q$2)="&lt;&gt;"),(IF('Final Calculation Sheet'!$O$28="","",'Final Calculation Sheet'!$O$28))&lt;&gt;"",UPPER(TRIM((IF('Final Calculation Sheet'!$O$28="","",'Final Calculation Sheet'!$O$28))&amp;""))=UPPER(TRIM($Q$2&amp;"")))))</f>
        <v/>
      </c>
      <c r="R28">
        <f>IF($R$3=FALSE,TRUE,IF(OR(UPPER(TRIM($R$2))="(BLANK)",UPPER(TRIM($R$2))="BLANK",AND($R$2&lt;&gt;"",TRIM($R$2)="")),(IF('Final Calculation Sheet'!$P$28="","",'Final Calculation Sheet'!$P$28))="",IF(OR(UPPER(TRIM($R$2))="(NONBLANK)",UPPER(TRIM($R$2))="NONBLANK",TRIM($R$2)="&lt;&gt;"),(IF('Final Calculation Sheet'!$P$28="","",'Final Calculation Sheet'!$P$28))&lt;&gt;"",UPPER(TRIM((IF('Final Calculation Sheet'!$P$28="","",'Final Calculation Sheet'!$P$28))&amp;""))=UPPER(TRIM($R$2&amp;"")))))</f>
        <v/>
      </c>
      <c r="S28">
        <f>IF($S$3=FALSE,TRUE,IF(OR(UPPER(TRIM($S$2))="(BLANK)",UPPER(TRIM($S$2))="BLANK",AND($S$2&lt;&gt;"",TRIM($S$2)="")),(IF('Final Calculation Sheet'!$Q$28="","",'Final Calculation Sheet'!$Q$28))="",IF(OR(UPPER(TRIM($S$2))="(NONBLANK)",UPPER(TRIM($S$2))="NONBLANK",TRIM($S$2)="&lt;&gt;"),(IF('Final Calculation Sheet'!$Q$28="","",'Final Calculation Sheet'!$Q$28))&lt;&gt;"",UPPER(TRIM((IF('Final Calculation Sheet'!$Q$28="","",'Final Calculation Sheet'!$Q$28))&amp;""))=UPPER(TRIM($S$2&amp;"")))))</f>
        <v/>
      </c>
      <c r="T28">
        <f>IF($T$3=FALSE,TRUE,IF(OR(UPPER(TRIM($T$2))="(BLANK)",UPPER(TRIM($T$2))="BLANK",AND($T$2&lt;&gt;"",TRIM($T$2)="")),(IF('Final Calculation Sheet'!$R$28="","",'Final Calculation Sheet'!$R$28))="",IF(OR(UPPER(TRIM($T$2))="(NONBLANK)",UPPER(TRIM($T$2))="NONBLANK",TRIM($T$2)="&lt;&gt;"),(IF('Final Calculation Sheet'!$R$28="","",'Final Calculation Sheet'!$R$28))&lt;&gt;"",UPPER(TRIM((IF('Final Calculation Sheet'!$R$28="","",'Final Calculation Sheet'!$R$28))&amp;""))=UPPER(TRIM($T$2&amp;"")))))</f>
        <v/>
      </c>
      <c r="U28">
        <f>IF($U$3=FALSE,TRUE,IF(OR(UPPER(TRIM($U$2))="(BLANK)",UPPER(TRIM($U$2))="BLANK",AND($U$2&lt;&gt;"",TRIM($U$2)="")),(IF('Final Calculation Sheet'!$S$28="","",'Final Calculation Sheet'!$S$28))="",IF(OR(UPPER(TRIM($U$2))="(NONBLANK)",UPPER(TRIM($U$2))="NONBLANK",TRIM($U$2)="&lt;&gt;"),(IF('Final Calculation Sheet'!$S$28="","",'Final Calculation Sheet'!$S$28))&lt;&gt;"",UPPER(TRIM((IF('Final Calculation Sheet'!$S$28="","",'Final Calculation Sheet'!$S$28))&amp;""))=UPPER(TRIM($U$2&amp;"")))))</f>
        <v/>
      </c>
      <c r="V28">
        <f>IF($V$3=FALSE,TRUE,IF(OR(UPPER(TRIM($V$2))="(BLANK)",UPPER(TRIM($V$2))="BLANK",AND($V$2&lt;&gt;"",TRIM($V$2)="")),(IF('Final Calculation Sheet'!$T$28="","",'Final Calculation Sheet'!$T$28))="",IF(OR(UPPER(TRIM($V$2))="(NONBLANK)",UPPER(TRIM($V$2))="NONBLANK",TRIM($V$2)="&lt;&gt;"),(IF('Final Calculation Sheet'!$T$28="","",'Final Calculation Sheet'!$T$28))&lt;&gt;"",UPPER(TRIM((IF('Final Calculation Sheet'!$T$28="","",'Final Calculation Sheet'!$T$28))&amp;""))=UPPER(TRIM($V$2&amp;"")))))</f>
        <v/>
      </c>
      <c r="W28">
        <f>IF($W$3=FALSE,TRUE,IF(OR(UPPER(TRIM($W$2))="(BLANK)",UPPER(TRIM($W$2))="BLANK",AND($W$2&lt;&gt;"",TRIM($W$2)="")),(IF('Final Calculation Sheet'!$U$28="","",'Final Calculation Sheet'!$U$28))="",IF(OR(UPPER(TRIM($W$2))="(NONBLANK)",UPPER(TRIM($W$2))="NONBLANK",TRIM($W$2)="&lt;&gt;"),(IF('Final Calculation Sheet'!$U$28="","",'Final Calculation Sheet'!$U$28))&lt;&gt;"",UPPER(TRIM((IF('Final Calculation Sheet'!$U$28="","",'Final Calculation Sheet'!$U$28))&amp;""))=UPPER(TRIM($W$2&amp;"")))))</f>
        <v/>
      </c>
      <c r="X28">
        <f>IF($X$3=FALSE,TRUE,IF(OR(UPPER(TRIM($X$2))="(BLANK)",UPPER(TRIM($X$2))="BLANK",AND($X$2&lt;&gt;"",TRIM($X$2)="")),(IF('Final Calculation Sheet'!$V$28="","",'Final Calculation Sheet'!$V$28))="",IF(OR(UPPER(TRIM($X$2))="(NONBLANK)",UPPER(TRIM($X$2))="NONBLANK",TRIM($X$2)="&lt;&gt;"),(IF('Final Calculation Sheet'!$V$28="","",'Final Calculation Sheet'!$V$28))&lt;&gt;"",UPPER(TRIM((IF('Final Calculation Sheet'!$V$28="","",'Final Calculation Sheet'!$V$28))&amp;""))=UPPER(TRIM($X$2&amp;"")))))</f>
        <v/>
      </c>
      <c r="Y28">
        <f>IF($Y$3=FALSE,TRUE,IF(OR(UPPER(TRIM($Y$2))="(BLANK)",UPPER(TRIM($Y$2))="BLANK",AND($Y$2&lt;&gt;"",TRIM($Y$2)="")),(IF('Final Calculation Sheet'!$W$28="","",'Final Calculation Sheet'!$W$28))="",IF(OR(UPPER(TRIM($Y$2))="(NONBLANK)",UPPER(TRIM($Y$2))="NONBLANK",TRIM($Y$2)="&lt;&gt;"),(IF('Final Calculation Sheet'!$W$28="","",'Final Calculation Sheet'!$W$28))&lt;&gt;"",UPPER(TRIM((IF('Final Calculation Sheet'!$W$28="","",'Final Calculation Sheet'!$W$28))&amp;""))=UPPER(TRIM($Y$2&amp;"")))))</f>
        <v/>
      </c>
      <c r="Z28">
        <f>IF($Z$3=FALSE,TRUE,IF(OR(UPPER(TRIM($Z$2))="(BLANK)",UPPER(TRIM($Z$2))="BLANK",AND($Z$2&lt;&gt;"",TRIM($Z$2)="")),(IF('Final Calculation Sheet'!$X$28="","",'Final Calculation Sheet'!$X$28))="",IF(OR(UPPER(TRIM($Z$2))="(NONBLANK)",UPPER(TRIM($Z$2))="NONBLANK",TRIM($Z$2)="&lt;&gt;"),(IF('Final Calculation Sheet'!$X$28="","",'Final Calculation Sheet'!$X$28))&lt;&gt;"",UPPER(TRIM((IF('Final Calculation Sheet'!$X$28="","",'Final Calculation Sheet'!$X$28))&amp;""))=UPPER(TRIM($Z$2&amp;"")))))</f>
        <v/>
      </c>
      <c r="AA28">
        <f>IF($AA$3=FALSE,TRUE,IF(OR(UPPER(TRIM($AA$2))="(BLANK)",UPPER(TRIM($AA$2))="BLANK",AND($AA$2&lt;&gt;"",TRIM($AA$2)="")),(IF('Final Calculation Sheet'!$Y$28="","",'Final Calculation Sheet'!$Y$28))="",IF(OR(UPPER(TRIM($AA$2))="(NONBLANK)",UPPER(TRIM($AA$2))="NONBLANK",TRIM($AA$2)="&lt;&gt;"),(IF('Final Calculation Sheet'!$Y$28="","",'Final Calculation Sheet'!$Y$28))&lt;&gt;"",UPPER(TRIM((IF('Final Calculation Sheet'!$Y$28="","",'Final Calculation Sheet'!$Y$28))&amp;""))=UPPER(TRIM($AA$2&amp;"")))))</f>
        <v/>
      </c>
      <c r="AB28">
        <f>IF($AB$3=FALSE,TRUE,IF(OR(UPPER(TRIM($AB$2))="(BLANK)",UPPER(TRIM($AB$2))="BLANK",AND($AB$2&lt;&gt;"",TRIM($AB$2)="")),(IF('Final Calculation Sheet'!$Z$28="","",'Final Calculation Sheet'!$Z$28))="",IF(OR(UPPER(TRIM($AB$2))="(NONBLANK)",UPPER(TRIM($AB$2))="NONBLANK",TRIM($AB$2)="&lt;&gt;"),(IF('Final Calculation Sheet'!$Z$28="","",'Final Calculation Sheet'!$Z$28))&lt;&gt;"",UPPER(TRIM((IF('Final Calculation Sheet'!$Z$28="","",'Final Calculation Sheet'!$Z$28))&amp;""))=UPPER(TRIM($AB$2&amp;"")))))</f>
        <v/>
      </c>
      <c r="AC28">
        <f>IF($AC$3=FALSE,TRUE,IF(OR(UPPER(TRIM($AC$2))="(BLANK)",UPPER(TRIM($AC$2))="BLANK",AND($AC$2&lt;&gt;"",TRIM($AC$2)="")),(IF('Final Calculation Sheet'!$AA$28="","",'Final Calculation Sheet'!$AA$28))="",IF(OR(UPPER(TRIM($AC$2))="(NONBLANK)",UPPER(TRIM($AC$2))="NONBLANK",TRIM($AC$2)="&lt;&gt;"),(IF('Final Calculation Sheet'!$AA$28="","",'Final Calculation Sheet'!$AA$28))&lt;&gt;"",UPPER(TRIM((IF('Final Calculation Sheet'!$AA$28="","",'Final Calculation Sheet'!$AA$28))&amp;""))=UPPER(TRIM($AC$2&amp;"")))))</f>
        <v/>
      </c>
      <c r="AD28">
        <f>IF($AD$3=FALSE,TRUE,IF(OR(UPPER(TRIM($AD$2))="(BLANK)",UPPER(TRIM($AD$2))="BLANK",AND($AD$2&lt;&gt;"",TRIM($AD$2)="")),(IF('Final Calculation Sheet'!$AB$28="","",'Final Calculation Sheet'!$AB$28))="",IF(OR(UPPER(TRIM($AD$2))="(NONBLANK)",UPPER(TRIM($AD$2))="NONBLANK",TRIM($AD$2)="&lt;&gt;"),(IF('Final Calculation Sheet'!$AB$28="","",'Final Calculation Sheet'!$AB$28))&lt;&gt;"",UPPER(TRIM((IF('Final Calculation Sheet'!$AB$28="","",'Final Calculation Sheet'!$AB$28))&amp;""))=UPPER(TRIM($AD$2&amp;"")))))</f>
        <v/>
      </c>
      <c r="AE28">
        <f>IF($AE$3=FALSE,TRUE,IF(OR(UPPER(TRIM($AE$2))="(BLANK)",UPPER(TRIM($AE$2))="BLANK",AND($AE$2&lt;&gt;"",TRIM($AE$2)="")),(IF('Final Calculation Sheet'!$AC$28="","",'Final Calculation Sheet'!$AC$28))="",IF(OR(UPPER(TRIM($AE$2))="(NONBLANK)",UPPER(TRIM($AE$2))="NONBLANK",TRIM($AE$2)="&lt;&gt;"),(IF('Final Calculation Sheet'!$AC$28="","",'Final Calculation Sheet'!$AC$28))&lt;&gt;"",UPPER(TRIM((IF('Final Calculation Sheet'!$AC$28="","",'Final Calculation Sheet'!$AC$28))&amp;""))=UPPER(TRIM($AE$2&amp;"")))))</f>
        <v/>
      </c>
      <c r="AF28">
        <f>IF($AF$3=FALSE,TRUE,IF(OR(UPPER(TRIM($AF$2))="(BLANK)",UPPER(TRIM($AF$2))="BLANK",AND($AF$2&lt;&gt;"",TRIM($AF$2)="")),(IF('Final Calculation Sheet'!$AD$28="","",'Final Calculation Sheet'!$AD$28))="",IF(OR(UPPER(TRIM($AF$2))="(NONBLANK)",UPPER(TRIM($AF$2))="NONBLANK",TRIM($AF$2)="&lt;&gt;"),(IF('Final Calculation Sheet'!$AD$28="","",'Final Calculation Sheet'!$AD$28))&lt;&gt;"",UPPER(TRIM((IF('Final Calculation Sheet'!$AD$28="","",'Final Calculation Sheet'!$AD$28))&amp;""))=UPPER(TRIM($AF$2&amp;"")))))</f>
        <v/>
      </c>
      <c r="AG28">
        <f>IF($AG$3=FALSE,TRUE,IF(OR(UPPER(TRIM($AG$2))="(BLANK)",UPPER(TRIM($AG$2))="BLANK",AND($AG$2&lt;&gt;"",TRIM($AG$2)="")),(IF('Final Calculation Sheet'!$AE$28="","",'Final Calculation Sheet'!$AE$28))="",IF(OR(UPPER(TRIM($AG$2))="(NONBLANK)",UPPER(TRIM($AG$2))="NONBLANK",TRIM($AG$2)="&lt;&gt;"),(IF('Final Calculation Sheet'!$AE$28="","",'Final Calculation Sheet'!$AE$28))&lt;&gt;"",UPPER(TRIM((IF('Final Calculation Sheet'!$AE$28="","",'Final Calculation Sheet'!$AE$28))&amp;""))=UPPER(TRIM($AG$2&amp;"")))))</f>
        <v/>
      </c>
      <c r="AH28">
        <f>IF($AH$3=FALSE,TRUE,IF(OR(UPPER(TRIM($AH$2))="(BLANK)",UPPER(TRIM($AH$2))="BLANK",AND($AH$2&lt;&gt;"",TRIM($AH$2)="")),(IF('Final Calculation Sheet'!$AF$28="","",'Final Calculation Sheet'!$AF$28))="",IF(OR(UPPER(TRIM($AH$2))="(NONBLANK)",UPPER(TRIM($AH$2))="NONBLANK",TRIM($AH$2)="&lt;&gt;"),(IF('Final Calculation Sheet'!$AF$28="","",'Final Calculation Sheet'!$AF$28))&lt;&gt;"",UPPER(TRIM((IF('Final Calculation Sheet'!$AF$28="","",'Final Calculation Sheet'!$AF$28))&amp;""))=UPPER(TRIM($AH$2&amp;"")))))</f>
        <v/>
      </c>
      <c r="AI28">
        <f>IF($AI$3=FALSE,TRUE,IF(OR(UPPER(TRIM($AI$2))="(BLANK)",UPPER(TRIM($AI$2))="BLANK",AND($AI$2&lt;&gt;"",TRIM($AI$2)="")),(IF('Final Calculation Sheet'!$AG$28="","",'Final Calculation Sheet'!$AG$28))="",IF(OR(UPPER(TRIM($AI$2))="(NONBLANK)",UPPER(TRIM($AI$2))="NONBLANK",TRIM($AI$2)="&lt;&gt;"),(IF('Final Calculation Sheet'!$AG$28="","",'Final Calculation Sheet'!$AG$28))&lt;&gt;"",UPPER(TRIM((IF('Final Calculation Sheet'!$AG$28="","",'Final Calculation Sheet'!$AG$28))&amp;""))=UPPER(TRIM($AI$2&amp;"")))))</f>
        <v/>
      </c>
      <c r="AJ28">
        <f>IF($AJ$3=FALSE,TRUE,IF(OR(UPPER(TRIM($AJ$2))="(BLANK)",UPPER(TRIM($AJ$2))="BLANK",AND($AJ$2&lt;&gt;"",TRIM($AJ$2)="")),(IF('Final Calculation Sheet'!$AD$28="","",IF('Final Calculation Sheet'!$AD$28&lt;=5,"SETTLED","OUTSTANDING")))="",IF(OR(UPPER(TRIM($AJ$2))="(NONBLANK)",UPPER(TRIM($AJ$2))="NONBLANK",TRIM($AJ$2)="&lt;&gt;"),(IF('Final Calculation Sheet'!$AD$28="","",IF('Final Calculation Sheet'!$AD$28&lt;=5,"SETTLED","OUTSTANDING")))&lt;&gt;"",UPPER(TRIM((IF('Final Calculation Sheet'!$AD$28="","",IF('Final Calculation Sheet'!$AD$28&lt;=5,"SETTLED","OUTSTANDING")))&amp;""))=UPPER(TRIM($AJ$2&amp;"")))))</f>
        <v/>
      </c>
      <c r="AL28">
        <f>IF(AND($B$28,$D$28:$AJ$28),IF('Final Calculation Sheet'!$F$28="","",'Final Calculation Sheet'!$F$28),"")</f>
        <v/>
      </c>
      <c r="AM28">
        <f>IF(AL28="","",COUNTIFS(AL$4:AL$40,"&lt;"&amp;AL28,AL$4:AL$40,"&lt;&gt;"&amp;"")+COUNTIF(AL$4:AL28,AL28))</f>
        <v/>
      </c>
      <c r="AN28">
        <f>IF(ROW()-3&gt;COUNTIF(AL$4:AL$40,"&lt;&gt;"&amp;""),"",INDEX(AL$4:AL$40,MATCH(ROW()-3,AM$4:AM$40,0)))</f>
        <v/>
      </c>
      <c r="AO28">
        <f>AO27+IF(AND(AN28&lt;&gt;"",COUNTIF(AN$4:AN28,AN28)=1),1,0)</f>
        <v/>
      </c>
      <c r="AP28">
        <f>IF(ROW()-3&gt;MAX(AO$4:AO$40),"",INDEX(AN$4:AN$40,MATCH(ROW()-3,AO$4:AO$40,0)))</f>
        <v/>
      </c>
      <c r="AQ28">
        <f>IF(AND($B$28:$C$28,$E$28:$AJ$28),IF('Final Calculation Sheet'!$G$28="","",'Final Calculation Sheet'!$G$28),"")</f>
        <v/>
      </c>
      <c r="AR28">
        <f>IF(AQ28="","",COUNTIFS(AQ$4:AQ$40,"&lt;"&amp;AQ28,AQ$4:AQ$40,"&lt;&gt;"&amp;"")+COUNTIF(AQ$4:AQ28,AQ28))</f>
        <v/>
      </c>
      <c r="AS28">
        <f>IF(ROW()-3&gt;COUNTIF(AQ$4:AQ$40,"&lt;&gt;"&amp;""),"",INDEX(AQ$4:AQ$40,MATCH(ROW()-3,AR$4:AR$40,0)))</f>
        <v/>
      </c>
      <c r="AT28">
        <f>AT27+IF(AND(AS28&lt;&gt;"",COUNTIF(AS$4:AS28,AS28)=1),1,0)</f>
        <v/>
      </c>
      <c r="AU28">
        <f>IF(ROW()-3&gt;MAX(AT$4:AT$40),"",INDEX(AS$4:AS$40,MATCH(ROW()-3,AT$4:AT$40,0)))</f>
        <v/>
      </c>
      <c r="AV28">
        <f>IF(AND($B$28:$D$28,$F$28:$AJ$28),IF('Final Calculation Sheet'!$B$28="","",'Final Calculation Sheet'!$B$28),"")</f>
        <v/>
      </c>
      <c r="AW28">
        <f>IF(AV28="","",COUNTIFS(AV$4:AV$40,"&lt;"&amp;AV28,AV$4:AV$40,"&lt;&gt;"&amp;"")+COUNTIF(AV$4:AV28,AV28))</f>
        <v/>
      </c>
      <c r="AX28">
        <f>IF(ROW()-3&gt;COUNTIF(AV$4:AV$40,"&lt;&gt;"&amp;""),"",INDEX(AV$4:AV$40,MATCH(ROW()-3,AW$4:AW$40,0)))</f>
        <v/>
      </c>
      <c r="AY28">
        <f>AY27+IF(AND(AX28&lt;&gt;"",COUNTIF(AX$4:AX28,AX28)=1),1,0)</f>
        <v/>
      </c>
      <c r="AZ28">
        <f>IF(ROW()-3&gt;MAX(AY$4:AY$40),"",INDEX(AX$4:AX$40,MATCH(ROW()-3,AY$4:AY$40,0)))</f>
        <v/>
      </c>
      <c r="BA28">
        <f>IF(AND($B$28:$E$28,$G$28:$AJ$28),IF('Final Calculation Sheet'!$D$28="","",'Final Calculation Sheet'!$D$28),"")</f>
        <v/>
      </c>
      <c r="BB28">
        <f>IF(BA28="","",COUNTIFS(BA$4:BA$40,"&lt;"&amp;BA28,BA$4:BA$40,"&lt;&gt;"&amp;"")+COUNTIF(BA$4:BA28,BA28))</f>
        <v/>
      </c>
      <c r="BC28">
        <f>IF(ROW()-3&gt;COUNTIF(BA$4:BA$40,"&lt;&gt;"&amp;""),"",INDEX(BA$4:BA$40,MATCH(ROW()-3,BB$4:BB$40,0)))</f>
        <v/>
      </c>
      <c r="BD28">
        <f>BD27+IF(AND(BC28&lt;&gt;"",COUNTIF(BC$4:BC28,BC28)=1),1,0)</f>
        <v/>
      </c>
      <c r="BE28">
        <f>IF(ROW()-3&gt;MAX(BD$4:BD$40),"",INDEX(BC$4:BC$40,MATCH(ROW()-3,BD$4:BD$40,0)))</f>
        <v/>
      </c>
      <c r="BF28">
        <f>IF(AND($B$28:$F$28,$H$28:$AJ$28),IF('Final Calculation Sheet'!$A$28="","",'Final Calculation Sheet'!$A$28),"")</f>
        <v/>
      </c>
      <c r="BG28">
        <f>IF(BF28="","",COUNTIFS(BF$4:BF$40,"&lt;"&amp;BF28,BF$4:BF$40,"&lt;&gt;"&amp;"")+COUNTIF(BF$4:BF28,BF28))</f>
        <v/>
      </c>
      <c r="BH28">
        <f>IF(ROW()-3&gt;COUNTIF(BF$4:BF$40,"&lt;&gt;"&amp;""),"",INDEX(BF$4:BF$40,MATCH(ROW()-3,BG$4:BG$40,0)))</f>
        <v/>
      </c>
      <c r="BI28">
        <f>BI27+IF(AND(BH28&lt;&gt;"",COUNTIF(BH$4:BH28,BH28)=1),1,0)</f>
        <v/>
      </c>
      <c r="BJ28">
        <f>IF(ROW()-3&gt;MAX(BI$4:BI$40),"",INDEX(BH$4:BH$40,MATCH(ROW()-3,BI$4:BI$40,0)))</f>
        <v/>
      </c>
      <c r="BK28">
        <f>IF(AND($B$28:$G$28,$I$28:$AJ$28),IF('Final Calculation Sheet'!$E$28="","",'Final Calculation Sheet'!$E$28),"")</f>
        <v/>
      </c>
      <c r="BL28">
        <f>IF(BK28="","",COUNTIFS(BK$4:BK$40,"&lt;"&amp;BK28,BK$4:BK$40,"&lt;&gt;"&amp;"")+COUNTIF(BK$4:BK28,BK28))</f>
        <v/>
      </c>
      <c r="BM28">
        <f>IF(ROW()-3&gt;COUNTIF(BK$4:BK$40,"&lt;&gt;"&amp;""),"",INDEX(BK$4:BK$40,MATCH(ROW()-3,BL$4:BL$40,0)))</f>
        <v/>
      </c>
      <c r="BN28">
        <f>BN27+IF(AND(BM28&lt;&gt;"",COUNTIF(BM$4:BM28,BM28)=1),1,0)</f>
        <v/>
      </c>
      <c r="BO28">
        <f>IF(ROW()-3&gt;MAX(BN$4:BN$40),"",INDEX(BM$4:BM$40,MATCH(ROW()-3,BN$4:BN$40,0)))</f>
        <v/>
      </c>
      <c r="BP28" s="55">
        <f>IF(AND($B$28:$H$28,$J$28:$AJ$28),IF('Final Calculation Sheet'!$C$28="","",'Final Calculation Sheet'!$C$28),"")</f>
        <v/>
      </c>
      <c r="BQ28">
        <f>IF(BP28="","",COUNTIFS(BP$4:BP$40,"&lt;"&amp;BP28,BP$4:BP$40,"&lt;&gt;"&amp;"")+COUNTIF(BP$4:BP28,BP28))</f>
        <v/>
      </c>
      <c r="BR28" s="55">
        <f>IF(ROW()-3&gt;COUNTIF(BP$4:BP$40,"&lt;&gt;"&amp;""),"",INDEX(BP$4:BP$40,MATCH(ROW()-3,BQ$4:BQ$40,0)))</f>
        <v/>
      </c>
      <c r="BS28">
        <f>BS27+IF(AND(BR28&lt;&gt;"",COUNTIF(BR$4:BR28,BR28)=1),1,0)</f>
        <v/>
      </c>
      <c r="BT28" s="55">
        <f>IF(ROW()-3&gt;MAX(BS$4:BS$40),"",INDEX(BR$4:BR$40,MATCH(ROW()-3,BS$4:BS$40,0)))</f>
        <v/>
      </c>
      <c r="BU28" s="55">
        <f>IF(AND($B$28:$I$28,$K$28:$AJ$28),IF('Final Calculation Sheet'!$H$28="","",'Final Calculation Sheet'!$H$28),"")</f>
        <v/>
      </c>
      <c r="BV28">
        <f>IF(BU28="","",COUNTIFS(BU$4:BU$40,"&lt;"&amp;BU28,BU$4:BU$40,"&lt;&gt;"&amp;"")+COUNTIF(BU$4:BU28,BU28))</f>
        <v/>
      </c>
      <c r="BW28" s="55">
        <f>IF(ROW()-3&gt;COUNTIF(BU$4:BU$40,"&lt;&gt;"&amp;""),"",INDEX(BU$4:BU$40,MATCH(ROW()-3,BV$4:BV$40,0)))</f>
        <v/>
      </c>
      <c r="BX28">
        <f>BX27+IF(AND(BW28&lt;&gt;"",COUNTIF(BW$4:BW28,BW28)=1),1,0)</f>
        <v/>
      </c>
      <c r="BY28" s="55">
        <f>IF(ROW()-3&gt;MAX(BX$4:BX$40),"",INDEX(BW$4:BW$40,MATCH(ROW()-3,BX$4:BX$40,0)))</f>
        <v/>
      </c>
      <c r="BZ28" s="55">
        <f>IF(AND($B$28:$J$28,$L$28:$AJ$28),IF('Final Calculation Sheet'!$I$28="","",'Final Calculation Sheet'!$I$28),"")</f>
        <v/>
      </c>
      <c r="CA28">
        <f>IF(BZ28="","",COUNTIFS(BZ$4:BZ$40,"&lt;"&amp;BZ28,BZ$4:BZ$40,"&lt;&gt;"&amp;"")+COUNTIF(BZ$4:BZ28,BZ28))</f>
        <v/>
      </c>
      <c r="CB28" s="55">
        <f>IF(ROW()-3&gt;COUNTIF(BZ$4:BZ$40,"&lt;&gt;"&amp;""),"",INDEX(BZ$4:BZ$40,MATCH(ROW()-3,CA$4:CA$40,0)))</f>
        <v/>
      </c>
      <c r="CC28">
        <f>CC27+IF(AND(CB28&lt;&gt;"",COUNTIF(CB$4:CB28,CB28)=1),1,0)</f>
        <v/>
      </c>
      <c r="CD28" s="55">
        <f>IF(ROW()-3&gt;MAX(CC$4:CC$40),"",INDEX(CB$4:CB$40,MATCH(ROW()-3,CC$4:CC$40,0)))</f>
        <v/>
      </c>
      <c r="CE28" s="55">
        <f>IF(AND($B$28:$K$28,$M$28:$AJ$28),IF('Final Calculation Sheet'!$J$28="","",'Final Calculation Sheet'!$J$28),"")</f>
        <v/>
      </c>
      <c r="CF28">
        <f>IF(CE28="","",COUNTIFS(CE$4:CE$40,"&lt;"&amp;CE28,CE$4:CE$40,"&lt;&gt;"&amp;"")+COUNTIF(CE$4:CE28,CE28))</f>
        <v/>
      </c>
      <c r="CG28" s="55">
        <f>IF(ROW()-3&gt;COUNTIF(CE$4:CE$40,"&lt;&gt;"&amp;""),"",INDEX(CE$4:CE$40,MATCH(ROW()-3,CF$4:CF$40,0)))</f>
        <v/>
      </c>
      <c r="CH28">
        <f>CH27+IF(AND(CG28&lt;&gt;"",COUNTIF(CG$4:CG28,CG28)=1),1,0)</f>
        <v/>
      </c>
      <c r="CI28" s="55">
        <f>IF(ROW()-3&gt;MAX(CH$4:CH$40),"",INDEX(CG$4:CG$40,MATCH(ROW()-3,CH$4:CH$40,0)))</f>
        <v/>
      </c>
      <c r="CJ28" s="55">
        <f>IF(AND($B$28:$L$28,$N$28:$AJ$28),IF('Final Calculation Sheet'!$K$28="","",'Final Calculation Sheet'!$K$28),"")</f>
        <v/>
      </c>
      <c r="CK28">
        <f>IF(CJ28="","",COUNTIFS(CJ$4:CJ$40,"&lt;"&amp;CJ28,CJ$4:CJ$40,"&lt;&gt;"&amp;"")+COUNTIF(CJ$4:CJ28,CJ28))</f>
        <v/>
      </c>
      <c r="CL28" s="55">
        <f>IF(ROW()-3&gt;COUNTIF(CJ$4:CJ$40,"&lt;&gt;"&amp;""),"",INDEX(CJ$4:CJ$40,MATCH(ROW()-3,CK$4:CK$40,0)))</f>
        <v/>
      </c>
      <c r="CM28">
        <f>CM27+IF(AND(CL28&lt;&gt;"",COUNTIF(CL$4:CL28,CL28)=1),1,0)</f>
        <v/>
      </c>
      <c r="CN28" s="55">
        <f>IF(ROW()-3&gt;MAX(CM$4:CM$40),"",INDEX(CL$4:CL$40,MATCH(ROW()-3,CM$4:CM$40,0)))</f>
        <v/>
      </c>
      <c r="CO28" s="55">
        <f>IF(AND($B$28:$M$28,$O$28:$AJ$28),IF('Final Calculation Sheet'!$L$28="","",'Final Calculation Sheet'!$L$28),"")</f>
        <v/>
      </c>
      <c r="CP28">
        <f>IF(CO28="","",COUNTIFS(CO$4:CO$40,"&lt;"&amp;CO28,CO$4:CO$40,"&lt;&gt;"&amp;"")+COUNTIF(CO$4:CO28,CO28))</f>
        <v/>
      </c>
      <c r="CQ28" s="55">
        <f>IF(ROW()-3&gt;COUNTIF(CO$4:CO$40,"&lt;&gt;"&amp;""),"",INDEX(CO$4:CO$40,MATCH(ROW()-3,CP$4:CP$40,0)))</f>
        <v/>
      </c>
      <c r="CR28">
        <f>CR27+IF(AND(CQ28&lt;&gt;"",COUNTIF(CQ$4:CQ28,CQ28)=1),1,0)</f>
        <v/>
      </c>
      <c r="CS28" s="55">
        <f>IF(ROW()-3&gt;MAX(CR$4:CR$40),"",INDEX(CQ$4:CQ$40,MATCH(ROW()-3,CR$4:CR$40,0)))</f>
        <v/>
      </c>
      <c r="CT28" s="55">
        <f>IF(AND($B$28:$N$28,$P$28:$AJ$28),IF('Final Calculation Sheet'!$M$28="","",'Final Calculation Sheet'!$M$28),"")</f>
        <v/>
      </c>
      <c r="CU28">
        <f>IF(CT28="","",COUNTIFS(CT$4:CT$40,"&lt;"&amp;CT28,CT$4:CT$40,"&lt;&gt;"&amp;"")+COUNTIF(CT$4:CT28,CT28))</f>
        <v/>
      </c>
      <c r="CV28" s="55">
        <f>IF(ROW()-3&gt;COUNTIF(CT$4:CT$40,"&lt;&gt;"&amp;""),"",INDEX(CT$4:CT$40,MATCH(ROW()-3,CU$4:CU$40,0)))</f>
        <v/>
      </c>
      <c r="CW28">
        <f>CW27+IF(AND(CV28&lt;&gt;"",COUNTIF(CV$4:CV28,CV28)=1),1,0)</f>
        <v/>
      </c>
      <c r="CX28" s="55">
        <f>IF(ROW()-3&gt;MAX(CW$4:CW$40),"",INDEX(CV$4:CV$40,MATCH(ROW()-3,CW$4:CW$40,0)))</f>
        <v/>
      </c>
      <c r="CY28" s="138">
        <f>IF(AND($B$28:$O$28,$Q$28:$AJ$28),IF('Final Calculation Sheet'!$N$28="","",'Final Calculation Sheet'!$N$28),"")</f>
        <v/>
      </c>
      <c r="CZ28">
        <f>IF(CY28="","",COUNTIFS(CY$4:CY$40,"&lt;"&amp;CY28,CY$4:CY$40,"&lt;&gt;"&amp;"")+COUNTIF(CY$4:CY28,CY28))</f>
        <v/>
      </c>
      <c r="DA28" s="138">
        <f>IF(ROW()-3&gt;COUNTIF(CY$4:CY$40,"&lt;&gt;"&amp;""),"",INDEX(CY$4:CY$40,MATCH(ROW()-3,CZ$4:CZ$40,0)))</f>
        <v/>
      </c>
      <c r="DB28">
        <f>DB27+IF(AND(DA28&lt;&gt;"",COUNTIF(DA$4:DA28,DA28)=1),1,0)</f>
        <v/>
      </c>
      <c r="DC28" s="138">
        <f>IF(ROW()-3&gt;MAX(DB$4:DB$40),"",INDEX(DA$4:DA$40,MATCH(ROW()-3,DB$4:DB$40,0)))</f>
        <v/>
      </c>
      <c r="DD28" s="55">
        <f>IF(AND($B$28:$P$28,$R$28:$AJ$28),IF('Final Calculation Sheet'!$O$28="","",'Final Calculation Sheet'!$O$28),"")</f>
        <v/>
      </c>
      <c r="DE28">
        <f>IF(DD28="","",COUNTIFS(DD$4:DD$40,"&lt;"&amp;DD28,DD$4:DD$40,"&lt;&gt;"&amp;"")+COUNTIF(DD$4:DD28,DD28))</f>
        <v/>
      </c>
      <c r="DF28" s="55">
        <f>IF(ROW()-3&gt;COUNTIF(DD$4:DD$40,"&lt;&gt;"&amp;""),"",INDEX(DD$4:DD$40,MATCH(ROW()-3,DE$4:DE$40,0)))</f>
        <v/>
      </c>
      <c r="DG28">
        <f>DG27+IF(AND(DF28&lt;&gt;"",COUNTIF(DF$4:DF28,DF28)=1),1,0)</f>
        <v/>
      </c>
      <c r="DH28" s="55">
        <f>IF(ROW()-3&gt;MAX(DG$4:DG$40),"",INDEX(DF$4:DF$40,MATCH(ROW()-3,DG$4:DG$40,0)))</f>
        <v/>
      </c>
      <c r="DI28" s="55">
        <f>IF(AND($B$28:$Q$28,$S$28:$AJ$28),IF('Final Calculation Sheet'!$P$28="","",'Final Calculation Sheet'!$P$28),"")</f>
        <v/>
      </c>
      <c r="DJ28">
        <f>IF(DI28="","",COUNTIFS(DI$4:DI$40,"&lt;"&amp;DI28,DI$4:DI$40,"&lt;&gt;"&amp;"")+COUNTIF(DI$4:DI28,DI28))</f>
        <v/>
      </c>
      <c r="DK28" s="55">
        <f>IF(ROW()-3&gt;COUNTIF(DI$4:DI$40,"&lt;&gt;"&amp;""),"",INDEX(DI$4:DI$40,MATCH(ROW()-3,DJ$4:DJ$40,0)))</f>
        <v/>
      </c>
      <c r="DL28">
        <f>DL27+IF(AND(DK28&lt;&gt;"",COUNTIF(DK$4:DK28,DK28)=1),1,0)</f>
        <v/>
      </c>
      <c r="DM28" s="55">
        <f>IF(ROW()-3&gt;MAX(DL$4:DL$40),"",INDEX(DK$4:DK$40,MATCH(ROW()-3,DL$4:DL$40,0)))</f>
        <v/>
      </c>
      <c r="DN28" s="139">
        <f>IF(AND($B$28:$R$28,$T$28:$AJ$28),IF('Final Calculation Sheet'!$Q$28="","",'Final Calculation Sheet'!$Q$28),"")</f>
        <v/>
      </c>
      <c r="DO28">
        <f>IF(DN28="","",COUNTIFS(DN$4:DN$40,"&lt;"&amp;DN28,DN$4:DN$40,"&lt;&gt;"&amp;"")+COUNTIF(DN$4:DN28,DN28))</f>
        <v/>
      </c>
      <c r="DP28" s="139">
        <f>IF(ROW()-3&gt;COUNTIF(DN$4:DN$40,"&lt;&gt;"&amp;""),"",INDEX(DN$4:DN$40,MATCH(ROW()-3,DO$4:DO$40,0)))</f>
        <v/>
      </c>
      <c r="DQ28">
        <f>DQ27+IF(AND(DP28&lt;&gt;"",COUNTIF(DP$4:DP28,DP28)=1),1,0)</f>
        <v/>
      </c>
      <c r="DR28" s="139">
        <f>IF(ROW()-3&gt;MAX(DQ$4:DQ$40),"",INDEX(DP$4:DP$40,MATCH(ROW()-3,DQ$4:DQ$40,0)))</f>
        <v/>
      </c>
      <c r="DS28" s="55">
        <f>IF(AND($B$28:$S$28,$U$28:$AJ$28),IF('Final Calculation Sheet'!$R$28="","",'Final Calculation Sheet'!$R$28),"")</f>
        <v/>
      </c>
      <c r="DT28">
        <f>IF(DS28="","",COUNTIFS(DS$4:DS$40,"&lt;"&amp;DS28,DS$4:DS$40,"&lt;&gt;"&amp;"")+COUNTIF(DS$4:DS28,DS28))</f>
        <v/>
      </c>
      <c r="DU28" s="55">
        <f>IF(ROW()-3&gt;COUNTIF(DS$4:DS$40,"&lt;&gt;"&amp;""),"",INDEX(DS$4:DS$40,MATCH(ROW()-3,DT$4:DT$40,0)))</f>
        <v/>
      </c>
      <c r="DV28">
        <f>DV27+IF(AND(DU28&lt;&gt;"",COUNTIF(DU$4:DU28,DU28)=1),1,0)</f>
        <v/>
      </c>
      <c r="DW28" s="55">
        <f>IF(ROW()-3&gt;MAX(DV$4:DV$40),"",INDEX(DU$4:DU$40,MATCH(ROW()-3,DV$4:DV$40,0)))</f>
        <v/>
      </c>
      <c r="DX28" s="55">
        <f>IF(AND($B$28:$T$28,$V$28:$AJ$28),IF('Final Calculation Sheet'!$S$28="","",'Final Calculation Sheet'!$S$28),"")</f>
        <v/>
      </c>
      <c r="DY28">
        <f>IF(DX28="","",COUNTIFS(DX$4:DX$40,"&lt;"&amp;DX28,DX$4:DX$40,"&lt;&gt;"&amp;"")+COUNTIF(DX$4:DX28,DX28))</f>
        <v/>
      </c>
      <c r="DZ28" s="55">
        <f>IF(ROW()-3&gt;COUNTIF(DX$4:DX$40,"&lt;&gt;"&amp;""),"",INDEX(DX$4:DX$40,MATCH(ROW()-3,DY$4:DY$40,0)))</f>
        <v/>
      </c>
      <c r="EA28">
        <f>EA27+IF(AND(DZ28&lt;&gt;"",COUNTIF(DZ$4:DZ28,DZ28)=1),1,0)</f>
        <v/>
      </c>
      <c r="EB28" s="55">
        <f>IF(ROW()-3&gt;MAX(EA$4:EA$40),"",INDEX(DZ$4:DZ$40,MATCH(ROW()-3,EA$4:EA$40,0)))</f>
        <v/>
      </c>
      <c r="EC28" s="55">
        <f>IF(AND($B$28:$U$28,$W$28:$AJ$28),IF('Final Calculation Sheet'!$T$28="","",'Final Calculation Sheet'!$T$28),"")</f>
        <v/>
      </c>
      <c r="ED28">
        <f>IF(EC28="","",COUNTIFS(EC$4:EC$40,"&lt;"&amp;EC28,EC$4:EC$40,"&lt;&gt;"&amp;"")+COUNTIF(EC$4:EC28,EC28))</f>
        <v/>
      </c>
      <c r="EE28" s="55">
        <f>IF(ROW()-3&gt;COUNTIF(EC$4:EC$40,"&lt;&gt;"&amp;""),"",INDEX(EC$4:EC$40,MATCH(ROW()-3,ED$4:ED$40,0)))</f>
        <v/>
      </c>
      <c r="EF28">
        <f>EF27+IF(AND(EE28&lt;&gt;"",COUNTIF(EE$4:EE28,EE28)=1),1,0)</f>
        <v/>
      </c>
      <c r="EG28" s="55">
        <f>IF(ROW()-3&gt;MAX(EF$4:EF$40),"",INDEX(EE$4:EE$40,MATCH(ROW()-3,EF$4:EF$40,0)))</f>
        <v/>
      </c>
      <c r="EH28" s="140">
        <f>IF(AND($B$28:$V$28,$X$28:$AJ$28),IF('Final Calculation Sheet'!$U$28="","",'Final Calculation Sheet'!$U$28),"")</f>
        <v/>
      </c>
      <c r="EI28">
        <f>IF(EH28="","",COUNTIFS(EH$4:EH$40,"&lt;"&amp;EH28,EH$4:EH$40,"&lt;&gt;"&amp;"")+COUNTIF(EH$4:EH28,EH28))</f>
        <v/>
      </c>
      <c r="EJ28" s="140">
        <f>IF(ROW()-3&gt;COUNTIF(EH$4:EH$40,"&lt;&gt;"&amp;""),"",INDEX(EH$4:EH$40,MATCH(ROW()-3,EI$4:EI$40,0)))</f>
        <v/>
      </c>
      <c r="EK28">
        <f>EK27+IF(AND(EJ28&lt;&gt;"",COUNTIF(EJ$4:EJ28,EJ28)=1),1,0)</f>
        <v/>
      </c>
      <c r="EL28" s="140">
        <f>IF(ROW()-3&gt;MAX(EK$4:EK$40),"",INDEX(EJ$4:EJ$40,MATCH(ROW()-3,EK$4:EK$40,0)))</f>
        <v/>
      </c>
      <c r="EM28">
        <f>IF(AND($B$28:$W$28,$Y$28:$AJ$28),IF('Final Calculation Sheet'!$V$28="","",'Final Calculation Sheet'!$V$28),"")</f>
        <v/>
      </c>
      <c r="EN28">
        <f>IF(EM28="","",COUNTIFS(EM$4:EM$40,"&lt;"&amp;EM28,EM$4:EM$40,"&lt;&gt;"&amp;"")+COUNTIF(EM$4:EM28,EM28))</f>
        <v/>
      </c>
      <c r="EO28">
        <f>IF(ROW()-3&gt;COUNTIF(EM$4:EM$40,"&lt;&gt;"&amp;""),"",INDEX(EM$4:EM$40,MATCH(ROW()-3,EN$4:EN$40,0)))</f>
        <v/>
      </c>
      <c r="EP28">
        <f>EP27+IF(AND(EO28&lt;&gt;"",COUNTIF(EO$4:EO28,EO28)=1),1,0)</f>
        <v/>
      </c>
      <c r="EQ28">
        <f>IF(ROW()-3&gt;MAX(EP$4:EP$40),"",INDEX(EO$4:EO$40,MATCH(ROW()-3,EP$4:EP$40,0)))</f>
        <v/>
      </c>
      <c r="ER28" s="55">
        <f>IF(AND($B$28:$X$28,$Z$28:$AJ$28),IF('Final Calculation Sheet'!$W$28="","",'Final Calculation Sheet'!$W$28),"")</f>
        <v/>
      </c>
      <c r="ES28">
        <f>IF(ER28="","",COUNTIFS(ER$4:ER$40,"&lt;"&amp;ER28,ER$4:ER$40,"&lt;&gt;"&amp;"")+COUNTIF(ER$4:ER28,ER28))</f>
        <v/>
      </c>
      <c r="ET28" s="55">
        <f>IF(ROW()-3&gt;COUNTIF(ER$4:ER$40,"&lt;&gt;"&amp;""),"",INDEX(ER$4:ER$40,MATCH(ROW()-3,ES$4:ES$40,0)))</f>
        <v/>
      </c>
      <c r="EU28">
        <f>EU27+IF(AND(ET28&lt;&gt;"",COUNTIF(ET$4:ET28,ET28)=1),1,0)</f>
        <v/>
      </c>
      <c r="EV28" s="55">
        <f>IF(ROW()-3&gt;MAX(EU$4:EU$40),"",INDEX(ET$4:ET$40,MATCH(ROW()-3,EU$4:EU$40,0)))</f>
        <v/>
      </c>
      <c r="EW28" s="55">
        <f>IF(AND($B$28:$Y$28,$AA$28:$AJ$28),IF('Final Calculation Sheet'!$X$28="","",'Final Calculation Sheet'!$X$28),"")</f>
        <v/>
      </c>
      <c r="EX28">
        <f>IF(EW28="","",COUNTIFS(EW$4:EW$40,"&lt;"&amp;EW28,EW$4:EW$40,"&lt;&gt;"&amp;"")+COUNTIF(EW$4:EW28,EW28))</f>
        <v/>
      </c>
      <c r="EY28" s="55">
        <f>IF(ROW()-3&gt;COUNTIF(EW$4:EW$40,"&lt;&gt;"&amp;""),"",INDEX(EW$4:EW$40,MATCH(ROW()-3,EX$4:EX$40,0)))</f>
        <v/>
      </c>
      <c r="EZ28">
        <f>EZ27+IF(AND(EY28&lt;&gt;"",COUNTIF(EY$4:EY28,EY28)=1),1,0)</f>
        <v/>
      </c>
      <c r="FA28">
        <f>IF(ROW()-3&gt;MAX(EZ$4:EZ$40),"",INDEX(EY$4:EY$40,MATCH(ROW()-3,EZ$4:EZ$40,0)))</f>
        <v/>
      </c>
      <c r="FB28">
        <f>IF(AND($B$28:$Z$28,$AB$28:$AJ$28),IF('Final Calculation Sheet'!$Y$28="","",'Final Calculation Sheet'!$Y$28),"")</f>
        <v/>
      </c>
      <c r="FC28">
        <f>IF(FB28="","",COUNTIFS(FB$4:FB$40,"&lt;"&amp;FB28,FB$4:FB$40,"&lt;&gt;"&amp;"")+COUNTIF(FB$4:FB28,FB28))</f>
        <v/>
      </c>
      <c r="FD28">
        <f>IF(ROW()-3&gt;COUNTIF(FB$4:FB$40,"&lt;&gt;"&amp;""),"",INDEX(FB$4:FB$40,MATCH(ROW()-3,FC$4:FC$40,0)))</f>
        <v/>
      </c>
      <c r="FE28">
        <f>FE27+IF(AND(FD28&lt;&gt;"",COUNTIF(FD$4:FD28,FD28)=1),1,0)</f>
        <v/>
      </c>
      <c r="FF28">
        <f>IF(ROW()-3&gt;MAX(FE$4:FE$40),"",INDEX(FD$4:FD$40,MATCH(ROW()-3,FE$4:FE$40,0)))</f>
        <v/>
      </c>
      <c r="FG28" s="55">
        <f>IF(AND($B$28:$AA$28,$AC$28:$AJ$28),IF('Final Calculation Sheet'!$Z$28="","",'Final Calculation Sheet'!$Z$28),"")</f>
        <v/>
      </c>
      <c r="FH28">
        <f>IF(FG28="","",COUNTIFS(FG$4:FG$40,"&lt;"&amp;FG28,FG$4:FG$40,"&lt;&gt;"&amp;"")+COUNTIF(FG$4:FG28,FG28))</f>
        <v/>
      </c>
      <c r="FI28" s="55">
        <f>IF(ROW()-3&gt;COUNTIF(FG$4:FG$40,"&lt;&gt;"&amp;""),"",INDEX(FG$4:FG$40,MATCH(ROW()-3,FH$4:FH$40,0)))</f>
        <v/>
      </c>
      <c r="FJ28">
        <f>FJ27+IF(AND(FI28&lt;&gt;"",COUNTIF(FI$4:FI28,FI28)=1),1,0)</f>
        <v/>
      </c>
      <c r="FK28" s="55">
        <f>IF(ROW()-3&gt;MAX(FJ$4:FJ$40),"",INDEX(FI$4:FI$40,MATCH(ROW()-3,FJ$4:FJ$40,0)))</f>
        <v/>
      </c>
      <c r="FL28">
        <f>IF(AND($B$28:$AB$28,$AD$28:$AJ$28),IF('Final Calculation Sheet'!$AA$28="","",'Final Calculation Sheet'!$AA$28),"")</f>
        <v/>
      </c>
      <c r="FM28">
        <f>IF(FL28="","",COUNTIFS(FL$4:FL$40,"&lt;"&amp;FL28,FL$4:FL$40,"&lt;&gt;"&amp;"")+COUNTIF(FL$4:FL28,FL28))</f>
        <v/>
      </c>
      <c r="FN28">
        <f>IF(ROW()-3&gt;COUNTIF(FL$4:FL$40,"&lt;&gt;"&amp;""),"",INDEX(FL$4:FL$40,MATCH(ROW()-3,FM$4:FM$40,0)))</f>
        <v/>
      </c>
      <c r="FO28">
        <f>FO27+IF(AND(FN28&lt;&gt;"",COUNTIF(FN$4:FN28,FN28)=1),1,0)</f>
        <v/>
      </c>
      <c r="FP28">
        <f>IF(ROW()-3&gt;MAX(FO$4:FO$40),"",INDEX(FN$4:FN$40,MATCH(ROW()-3,FO$4:FO$40,0)))</f>
        <v/>
      </c>
      <c r="FQ28">
        <f>IF(AND($B$28:$AC$28,$AE$28:$AJ$28),IF('Final Calculation Sheet'!$AB$28="","",'Final Calculation Sheet'!$AB$28),"")</f>
        <v/>
      </c>
      <c r="FR28">
        <f>IF(FQ28="","",COUNTIFS(FQ$4:FQ$40,"&lt;"&amp;FQ28,FQ$4:FQ$40,"&lt;&gt;"&amp;"")+COUNTIF(FQ$4:FQ28,FQ28))</f>
        <v/>
      </c>
      <c r="FS28">
        <f>IF(ROW()-3&gt;COUNTIF(FQ$4:FQ$40,"&lt;&gt;"&amp;""),"",INDEX(FQ$4:FQ$40,MATCH(ROW()-3,FR$4:FR$40,0)))</f>
        <v/>
      </c>
      <c r="FT28">
        <f>FT27+IF(AND(FS28&lt;&gt;"",COUNTIF(FS$4:FS28,FS28)=1),1,0)</f>
        <v/>
      </c>
      <c r="FU28">
        <f>IF(ROW()-3&gt;MAX(FT$4:FT$40),"",INDEX(FS$4:FS$40,MATCH(ROW()-3,FT$4:FT$40,0)))</f>
        <v/>
      </c>
      <c r="FV28" s="55">
        <f>IF(AND($B$28:$AD$28,$AF$28:$AJ$28),IF('Final Calculation Sheet'!$AC$28="","",'Final Calculation Sheet'!$AC$28),"")</f>
        <v/>
      </c>
      <c r="FW28">
        <f>IF(FV28="","",COUNTIFS(FV$4:FV$40,"&lt;"&amp;FV28,FV$4:FV$40,"&lt;&gt;"&amp;"")+COUNTIF(FV$4:FV28,FV28))</f>
        <v/>
      </c>
      <c r="FX28" s="55">
        <f>IF(ROW()-3&gt;COUNTIF(FV$4:FV$40,"&lt;&gt;"&amp;""),"",INDEX(FV$4:FV$40,MATCH(ROW()-3,FW$4:FW$40,0)))</f>
        <v/>
      </c>
      <c r="FY28">
        <f>FY27+IF(AND(FX28&lt;&gt;"",COUNTIF(FX$4:FX28,FX28)=1),1,0)</f>
        <v/>
      </c>
      <c r="FZ28" s="55">
        <f>IF(ROW()-3&gt;MAX(FY$4:FY$40),"",INDEX(FX$4:FX$40,MATCH(ROW()-3,FY$4:FY$40,0)))</f>
        <v/>
      </c>
      <c r="GA28" s="55">
        <f>IF(AND($B$28:$AE$28,$AG$28:$AJ$28),IF('Final Calculation Sheet'!$AD$28="","",'Final Calculation Sheet'!$AD$28),"")</f>
        <v/>
      </c>
      <c r="GB28">
        <f>IF(GA28="","",COUNTIFS(GA$4:GA$40,"&lt;"&amp;GA28,GA$4:GA$40,"&lt;&gt;"&amp;"")+COUNTIF(GA$4:GA28,GA28))</f>
        <v/>
      </c>
      <c r="GC28" s="55">
        <f>IF(ROW()-3&gt;COUNTIF(GA$4:GA$40,"&lt;&gt;"&amp;""),"",INDEX(GA$4:GA$40,MATCH(ROW()-3,GB$4:GB$40,0)))</f>
        <v/>
      </c>
      <c r="GD28">
        <f>GD27+IF(AND(GC28&lt;&gt;"",COUNTIF(GC$4:GC28,GC28)=1),1,0)</f>
        <v/>
      </c>
      <c r="GE28" s="55">
        <f>IF(ROW()-3&gt;MAX(GD$4:GD$40),"",INDEX(GC$4:GC$40,MATCH(ROW()-3,GD$4:GD$40,0)))</f>
        <v/>
      </c>
      <c r="GF28">
        <f>IF(AND($B$28:$AF$28,$AH$28:$AJ$28),IF('Final Calculation Sheet'!$AE$28="","",'Final Calculation Sheet'!$AE$28),"")</f>
        <v/>
      </c>
      <c r="GG28">
        <f>IF(GF28="","",COUNTIFS(GF$4:GF$40,"&lt;"&amp;GF28,GF$4:GF$40,"&lt;&gt;"&amp;"")+COUNTIF(GF$4:GF28,GF28))</f>
        <v/>
      </c>
      <c r="GH28">
        <f>IF(ROW()-3&gt;COUNTIF(GF$4:GF$40,"&lt;&gt;"&amp;""),"",INDEX(GF$4:GF$40,MATCH(ROW()-3,GG$4:GG$40,0)))</f>
        <v/>
      </c>
      <c r="GI28">
        <f>GI27+IF(AND(GH28&lt;&gt;"",COUNTIF(GH$4:GH28,GH28)=1),1,0)</f>
        <v/>
      </c>
      <c r="GJ28">
        <f>IF(ROW()-3&gt;MAX(GI$4:GI$40),"",INDEX(GH$4:GH$40,MATCH(ROW()-3,GI$4:GI$40,0)))</f>
        <v/>
      </c>
      <c r="GK28" s="141">
        <f>IF(AND($B$28:$AG$28,$AI$28:$AJ$28),IF('Final Calculation Sheet'!$AF$28="","",'Final Calculation Sheet'!$AF$28),"")</f>
        <v/>
      </c>
      <c r="GL28">
        <f>IF(GK28="","",COUNTIFS(GK$4:GK$40,"&lt;"&amp;GK28,GK$4:GK$40,"&lt;&gt;"&amp;"")+COUNTIF(GK$4:GK28,GK28))</f>
        <v/>
      </c>
      <c r="GM28" s="141">
        <f>IF(ROW()-3&gt;COUNTIF(GK$4:GK$40,"&lt;&gt;"&amp;""),"",INDEX(GK$4:GK$40,MATCH(ROW()-3,GL$4:GL$40,0)))</f>
        <v/>
      </c>
      <c r="GN28">
        <f>GN27+IF(AND(GM28&lt;&gt;"",COUNTIF(GM$4:GM28,GM28)=1),1,0)</f>
        <v/>
      </c>
      <c r="GO28">
        <f>IF(ROW()-3&gt;MAX(GN$4:GN$40),"",INDEX(GM$4:GM$40,MATCH(ROW()-3,GN$4:GN$40,0)))</f>
        <v/>
      </c>
      <c r="GP28">
        <f>IF(AND($B$28:$AH$28,$AJ$28:$AJ$28),IF('Final Calculation Sheet'!$AG$28="","",'Final Calculation Sheet'!$AG$28),"")</f>
        <v/>
      </c>
      <c r="GQ28">
        <f>IF(GP28="","",COUNTIFS(GP$4:GP$40,"&lt;"&amp;GP28,GP$4:GP$40,"&lt;&gt;"&amp;"")+COUNTIF(GP$4:GP28,GP28))</f>
        <v/>
      </c>
      <c r="GR28">
        <f>IF(ROW()-3&gt;COUNTIF(GP$4:GP$40,"&lt;&gt;"&amp;""),"",INDEX(GP$4:GP$40,MATCH(ROW()-3,GQ$4:GQ$40,0)))</f>
        <v/>
      </c>
      <c r="GS28">
        <f>GS27+IF(AND(GR28&lt;&gt;"",COUNTIF(GR$4:GR28,GR28)=1),1,0)</f>
        <v/>
      </c>
      <c r="GT28">
        <f>IF(ROW()-3&gt;MAX(GS$4:GS$40),"",INDEX(GR$4:GR$40,MATCH(ROW()-3,GS$4:GS$40,0)))</f>
        <v/>
      </c>
    </row>
    <row r="29">
      <c r="A29" t="inlineStr">
        <is>
          <t>Final row 29</t>
        </is>
      </c>
      <c r="B29" t="b">
        <v>1</v>
      </c>
      <c r="C29">
        <f>IF($C$3=FALSE,TRUE,IF(OR(UPPER(TRIM($C$2))="(BLANK)",UPPER(TRIM($C$2))="BLANK",AND($C$2&lt;&gt;"",TRIM($C$2)="")),(IF('Final Calculation Sheet'!$F$29="","",'Final Calculation Sheet'!$F$29))="",IF(OR(UPPER(TRIM($C$2))="(NONBLANK)",UPPER(TRIM($C$2))="NONBLANK",TRIM($C$2)="&lt;&gt;"),(IF('Final Calculation Sheet'!$F$29="","",'Final Calculation Sheet'!$F$29))&lt;&gt;"",UPPER(TRIM((IF('Final Calculation Sheet'!$F$29="","",'Final Calculation Sheet'!$F$29))&amp;""))=UPPER(TRIM($C$2&amp;"")))))</f>
        <v/>
      </c>
      <c r="D29">
        <f>IF($D$3=FALSE,TRUE,IF(OR(UPPER(TRIM($D$2))="(BLANK)",UPPER(TRIM($D$2))="BLANK",AND($D$2&lt;&gt;"",TRIM($D$2)="")),(IF('Final Calculation Sheet'!$G$29="","",'Final Calculation Sheet'!$G$29))="",IF(OR(UPPER(TRIM($D$2))="(NONBLANK)",UPPER(TRIM($D$2))="NONBLANK",TRIM($D$2)="&lt;&gt;"),(IF('Final Calculation Sheet'!$G$29="","",'Final Calculation Sheet'!$G$29))&lt;&gt;"",UPPER(TRIM((IF('Final Calculation Sheet'!$G$29="","",'Final Calculation Sheet'!$G$29))&amp;""))=UPPER(TRIM($D$2&amp;"")))))</f>
        <v/>
      </c>
      <c r="E29">
        <f>IF($E$3=FALSE,TRUE,IF(OR(UPPER(TRIM($E$2))="(BLANK)",UPPER(TRIM($E$2))="BLANK",AND($E$2&lt;&gt;"",TRIM($E$2)="")),(IF('Final Calculation Sheet'!$B$29="","",'Final Calculation Sheet'!$B$29))="",IF(OR(UPPER(TRIM($E$2))="(NONBLANK)",UPPER(TRIM($E$2))="NONBLANK",TRIM($E$2)="&lt;&gt;"),(IF('Final Calculation Sheet'!$B$29="","",'Final Calculation Sheet'!$B$29))&lt;&gt;"",UPPER(TRIM((IF('Final Calculation Sheet'!$B$29="","",'Final Calculation Sheet'!$B$29))&amp;""))=UPPER(TRIM($E$2&amp;"")))))</f>
        <v/>
      </c>
      <c r="F29">
        <f>IF($F$3=FALSE,TRUE,IF(OR(UPPER(TRIM($F$2))="(BLANK)",UPPER(TRIM($F$2))="BLANK",AND($F$2&lt;&gt;"",TRIM($F$2)="")),(IF('Final Calculation Sheet'!$D$29="","",'Final Calculation Sheet'!$D$29))="",IF(OR(UPPER(TRIM($F$2))="(NONBLANK)",UPPER(TRIM($F$2))="NONBLANK",TRIM($F$2)="&lt;&gt;"),(IF('Final Calculation Sheet'!$D$29="","",'Final Calculation Sheet'!$D$29))&lt;&gt;"",UPPER(TRIM((IF('Final Calculation Sheet'!$D$29="","",'Final Calculation Sheet'!$D$29))&amp;""))=UPPER(TRIM($F$2&amp;"")))))</f>
        <v/>
      </c>
      <c r="G29">
        <f>IF($G$3=FALSE,TRUE,IF(OR(UPPER(TRIM($G$2))="(BLANK)",UPPER(TRIM($G$2))="BLANK",AND($G$2&lt;&gt;"",TRIM($G$2)="")),(IF('Final Calculation Sheet'!$A$29="","",'Final Calculation Sheet'!$A$29))="",IF(OR(UPPER(TRIM($G$2))="(NONBLANK)",UPPER(TRIM($G$2))="NONBLANK",TRIM($G$2)="&lt;&gt;"),(IF('Final Calculation Sheet'!$A$29="","",'Final Calculation Sheet'!$A$29))&lt;&gt;"",UPPER(TRIM((IF('Final Calculation Sheet'!$A$29="","",'Final Calculation Sheet'!$A$29))&amp;""))=UPPER(TRIM($G$2&amp;"")))))</f>
        <v/>
      </c>
      <c r="H29">
        <f>IF($H$3=FALSE,TRUE,IF(OR(UPPER(TRIM($H$2))="(BLANK)",UPPER(TRIM($H$2))="BLANK",AND($H$2&lt;&gt;"",TRIM($H$2)="")),(IF('Final Calculation Sheet'!$E$29="","",'Final Calculation Sheet'!$E$29))="",IF(OR(UPPER(TRIM($H$2))="(NONBLANK)",UPPER(TRIM($H$2))="NONBLANK",TRIM($H$2)="&lt;&gt;"),(IF('Final Calculation Sheet'!$E$29="","",'Final Calculation Sheet'!$E$29))&lt;&gt;"",UPPER(TRIM((IF('Final Calculation Sheet'!$E$29="","",'Final Calculation Sheet'!$E$29))&amp;""))=UPPER(TRIM($H$2&amp;"")))))</f>
        <v/>
      </c>
      <c r="I29">
        <f>IF($I$3=FALSE,TRUE,IF(OR(UPPER(TRIM($I$2))="(BLANK)",UPPER(TRIM($I$2))="BLANK",AND($I$2&lt;&gt;"",TRIM($I$2)="")),(IF('Final Calculation Sheet'!$C$29="","",'Final Calculation Sheet'!$C$29))="",IF(OR(UPPER(TRIM($I$2))="(NONBLANK)",UPPER(TRIM($I$2))="NONBLANK",TRIM($I$2)="&lt;&gt;"),(IF('Final Calculation Sheet'!$C$29="","",'Final Calculation Sheet'!$C$29))&lt;&gt;"",UPPER(TRIM((IF('Final Calculation Sheet'!$C$29="","",'Final Calculation Sheet'!$C$29))&amp;""))=UPPER(TRIM($I$2&amp;"")))))</f>
        <v/>
      </c>
      <c r="J29">
        <f>IF($J$3=FALSE,TRUE,IF(OR(UPPER(TRIM($J$2))="(BLANK)",UPPER(TRIM($J$2))="BLANK",AND($J$2&lt;&gt;"",TRIM($J$2)="")),(IF('Final Calculation Sheet'!$H$29="","",'Final Calculation Sheet'!$H$29))="",IF(OR(UPPER(TRIM($J$2))="(NONBLANK)",UPPER(TRIM($J$2))="NONBLANK",TRIM($J$2)="&lt;&gt;"),(IF('Final Calculation Sheet'!$H$29="","",'Final Calculation Sheet'!$H$29))&lt;&gt;"",UPPER(TRIM((IF('Final Calculation Sheet'!$H$29="","",'Final Calculation Sheet'!$H$29))&amp;""))=UPPER(TRIM($J$2&amp;"")))))</f>
        <v/>
      </c>
      <c r="K29">
        <f>IF($K$3=FALSE,TRUE,IF(OR(UPPER(TRIM($K$2))="(BLANK)",UPPER(TRIM($K$2))="BLANK",AND($K$2&lt;&gt;"",TRIM($K$2)="")),(IF('Final Calculation Sheet'!$I$29="","",'Final Calculation Sheet'!$I$29))="",IF(OR(UPPER(TRIM($K$2))="(NONBLANK)",UPPER(TRIM($K$2))="NONBLANK",TRIM($K$2)="&lt;&gt;"),(IF('Final Calculation Sheet'!$I$29="","",'Final Calculation Sheet'!$I$29))&lt;&gt;"",UPPER(TRIM((IF('Final Calculation Sheet'!$I$29="","",'Final Calculation Sheet'!$I$29))&amp;""))=UPPER(TRIM($K$2&amp;"")))))</f>
        <v/>
      </c>
      <c r="L29">
        <f>IF($L$3=FALSE,TRUE,IF(OR(UPPER(TRIM($L$2))="(BLANK)",UPPER(TRIM($L$2))="BLANK",AND($L$2&lt;&gt;"",TRIM($L$2)="")),(IF('Final Calculation Sheet'!$J$29="","",'Final Calculation Sheet'!$J$29))="",IF(OR(UPPER(TRIM($L$2))="(NONBLANK)",UPPER(TRIM($L$2))="NONBLANK",TRIM($L$2)="&lt;&gt;"),(IF('Final Calculation Sheet'!$J$29="","",'Final Calculation Sheet'!$J$29))&lt;&gt;"",UPPER(TRIM((IF('Final Calculation Sheet'!$J$29="","",'Final Calculation Sheet'!$J$29))&amp;""))=UPPER(TRIM($L$2&amp;"")))))</f>
        <v/>
      </c>
      <c r="M29">
        <f>IF($M$3=FALSE,TRUE,IF(OR(UPPER(TRIM($M$2))="(BLANK)",UPPER(TRIM($M$2))="BLANK",AND($M$2&lt;&gt;"",TRIM($M$2)="")),(IF('Final Calculation Sheet'!$K$29="","",'Final Calculation Sheet'!$K$29))="",IF(OR(UPPER(TRIM($M$2))="(NONBLANK)",UPPER(TRIM($M$2))="NONBLANK",TRIM($M$2)="&lt;&gt;"),(IF('Final Calculation Sheet'!$K$29="","",'Final Calculation Sheet'!$K$29))&lt;&gt;"",UPPER(TRIM((IF('Final Calculation Sheet'!$K$29="","",'Final Calculation Sheet'!$K$29))&amp;""))=UPPER(TRIM($M$2&amp;"")))))</f>
        <v/>
      </c>
      <c r="N29">
        <f>IF($N$3=FALSE,TRUE,IF(OR(UPPER(TRIM($N$2))="(BLANK)",UPPER(TRIM($N$2))="BLANK",AND($N$2&lt;&gt;"",TRIM($N$2)="")),(IF('Final Calculation Sheet'!$L$29="","",'Final Calculation Sheet'!$L$29))="",IF(OR(UPPER(TRIM($N$2))="(NONBLANK)",UPPER(TRIM($N$2))="NONBLANK",TRIM($N$2)="&lt;&gt;"),(IF('Final Calculation Sheet'!$L$29="","",'Final Calculation Sheet'!$L$29))&lt;&gt;"",UPPER(TRIM((IF('Final Calculation Sheet'!$L$29="","",'Final Calculation Sheet'!$L$29))&amp;""))=UPPER(TRIM($N$2&amp;"")))))</f>
        <v/>
      </c>
      <c r="O29">
        <f>IF($O$3=FALSE,TRUE,IF(OR(UPPER(TRIM($O$2))="(BLANK)",UPPER(TRIM($O$2))="BLANK",AND($O$2&lt;&gt;"",TRIM($O$2)="")),(IF('Final Calculation Sheet'!$M$29="","",'Final Calculation Sheet'!$M$29))="",IF(OR(UPPER(TRIM($O$2))="(NONBLANK)",UPPER(TRIM($O$2))="NONBLANK",TRIM($O$2)="&lt;&gt;"),(IF('Final Calculation Sheet'!$M$29="","",'Final Calculation Sheet'!$M$29))&lt;&gt;"",UPPER(TRIM((IF('Final Calculation Sheet'!$M$29="","",'Final Calculation Sheet'!$M$29))&amp;""))=UPPER(TRIM($O$2&amp;"")))))</f>
        <v/>
      </c>
      <c r="P29">
        <f>IF($P$3=FALSE,TRUE,IF(OR(UPPER(TRIM($P$2))="(BLANK)",UPPER(TRIM($P$2))="BLANK",AND($P$2&lt;&gt;"",TRIM($P$2)="")),(IF('Final Calculation Sheet'!$N$29="","",'Final Calculation Sheet'!$N$29))="",IF(OR(UPPER(TRIM($P$2))="(NONBLANK)",UPPER(TRIM($P$2))="NONBLANK",TRIM($P$2)="&lt;&gt;"),(IF('Final Calculation Sheet'!$N$29="","",'Final Calculation Sheet'!$N$29))&lt;&gt;"",UPPER(TRIM((IF('Final Calculation Sheet'!$N$29="","",'Final Calculation Sheet'!$N$29))&amp;""))=UPPER(TRIM($P$2&amp;"")))))</f>
        <v/>
      </c>
      <c r="Q29">
        <f>IF($Q$3=FALSE,TRUE,IF(OR(UPPER(TRIM($Q$2))="(BLANK)",UPPER(TRIM($Q$2))="BLANK",AND($Q$2&lt;&gt;"",TRIM($Q$2)="")),(IF('Final Calculation Sheet'!$O$29="","",'Final Calculation Sheet'!$O$29))="",IF(OR(UPPER(TRIM($Q$2))="(NONBLANK)",UPPER(TRIM($Q$2))="NONBLANK",TRIM($Q$2)="&lt;&gt;"),(IF('Final Calculation Sheet'!$O$29="","",'Final Calculation Sheet'!$O$29))&lt;&gt;"",UPPER(TRIM((IF('Final Calculation Sheet'!$O$29="","",'Final Calculation Sheet'!$O$29))&amp;""))=UPPER(TRIM($Q$2&amp;"")))))</f>
        <v/>
      </c>
      <c r="R29">
        <f>IF($R$3=FALSE,TRUE,IF(OR(UPPER(TRIM($R$2))="(BLANK)",UPPER(TRIM($R$2))="BLANK",AND($R$2&lt;&gt;"",TRIM($R$2)="")),(IF('Final Calculation Sheet'!$P$29="","",'Final Calculation Sheet'!$P$29))="",IF(OR(UPPER(TRIM($R$2))="(NONBLANK)",UPPER(TRIM($R$2))="NONBLANK",TRIM($R$2)="&lt;&gt;"),(IF('Final Calculation Sheet'!$P$29="","",'Final Calculation Sheet'!$P$29))&lt;&gt;"",UPPER(TRIM((IF('Final Calculation Sheet'!$P$29="","",'Final Calculation Sheet'!$P$29))&amp;""))=UPPER(TRIM($R$2&amp;"")))))</f>
        <v/>
      </c>
      <c r="S29">
        <f>IF($S$3=FALSE,TRUE,IF(OR(UPPER(TRIM($S$2))="(BLANK)",UPPER(TRIM($S$2))="BLANK",AND($S$2&lt;&gt;"",TRIM($S$2)="")),(IF('Final Calculation Sheet'!$Q$29="","",'Final Calculation Sheet'!$Q$29))="",IF(OR(UPPER(TRIM($S$2))="(NONBLANK)",UPPER(TRIM($S$2))="NONBLANK",TRIM($S$2)="&lt;&gt;"),(IF('Final Calculation Sheet'!$Q$29="","",'Final Calculation Sheet'!$Q$29))&lt;&gt;"",UPPER(TRIM((IF('Final Calculation Sheet'!$Q$29="","",'Final Calculation Sheet'!$Q$29))&amp;""))=UPPER(TRIM($S$2&amp;"")))))</f>
        <v/>
      </c>
      <c r="T29">
        <f>IF($T$3=FALSE,TRUE,IF(OR(UPPER(TRIM($T$2))="(BLANK)",UPPER(TRIM($T$2))="BLANK",AND($T$2&lt;&gt;"",TRIM($T$2)="")),(IF('Final Calculation Sheet'!$R$29="","",'Final Calculation Sheet'!$R$29))="",IF(OR(UPPER(TRIM($T$2))="(NONBLANK)",UPPER(TRIM($T$2))="NONBLANK",TRIM($T$2)="&lt;&gt;"),(IF('Final Calculation Sheet'!$R$29="","",'Final Calculation Sheet'!$R$29))&lt;&gt;"",UPPER(TRIM((IF('Final Calculation Sheet'!$R$29="","",'Final Calculation Sheet'!$R$29))&amp;""))=UPPER(TRIM($T$2&amp;"")))))</f>
        <v/>
      </c>
      <c r="U29">
        <f>IF($U$3=FALSE,TRUE,IF(OR(UPPER(TRIM($U$2))="(BLANK)",UPPER(TRIM($U$2))="BLANK",AND($U$2&lt;&gt;"",TRIM($U$2)="")),(IF('Final Calculation Sheet'!$S$29="","",'Final Calculation Sheet'!$S$29))="",IF(OR(UPPER(TRIM($U$2))="(NONBLANK)",UPPER(TRIM($U$2))="NONBLANK",TRIM($U$2)="&lt;&gt;"),(IF('Final Calculation Sheet'!$S$29="","",'Final Calculation Sheet'!$S$29))&lt;&gt;"",UPPER(TRIM((IF('Final Calculation Sheet'!$S$29="","",'Final Calculation Sheet'!$S$29))&amp;""))=UPPER(TRIM($U$2&amp;"")))))</f>
        <v/>
      </c>
      <c r="V29">
        <f>IF($V$3=FALSE,TRUE,IF(OR(UPPER(TRIM($V$2))="(BLANK)",UPPER(TRIM($V$2))="BLANK",AND($V$2&lt;&gt;"",TRIM($V$2)="")),(IF('Final Calculation Sheet'!$T$29="","",'Final Calculation Sheet'!$T$29))="",IF(OR(UPPER(TRIM($V$2))="(NONBLANK)",UPPER(TRIM($V$2))="NONBLANK",TRIM($V$2)="&lt;&gt;"),(IF('Final Calculation Sheet'!$T$29="","",'Final Calculation Sheet'!$T$29))&lt;&gt;"",UPPER(TRIM((IF('Final Calculation Sheet'!$T$29="","",'Final Calculation Sheet'!$T$29))&amp;""))=UPPER(TRIM($V$2&amp;"")))))</f>
        <v/>
      </c>
      <c r="W29">
        <f>IF($W$3=FALSE,TRUE,IF(OR(UPPER(TRIM($W$2))="(BLANK)",UPPER(TRIM($W$2))="BLANK",AND($W$2&lt;&gt;"",TRIM($W$2)="")),(IF('Final Calculation Sheet'!$U$29="","",'Final Calculation Sheet'!$U$29))="",IF(OR(UPPER(TRIM($W$2))="(NONBLANK)",UPPER(TRIM($W$2))="NONBLANK",TRIM($W$2)="&lt;&gt;"),(IF('Final Calculation Sheet'!$U$29="","",'Final Calculation Sheet'!$U$29))&lt;&gt;"",UPPER(TRIM((IF('Final Calculation Sheet'!$U$29="","",'Final Calculation Sheet'!$U$29))&amp;""))=UPPER(TRIM($W$2&amp;"")))))</f>
        <v/>
      </c>
      <c r="X29">
        <f>IF($X$3=FALSE,TRUE,IF(OR(UPPER(TRIM($X$2))="(BLANK)",UPPER(TRIM($X$2))="BLANK",AND($X$2&lt;&gt;"",TRIM($X$2)="")),(IF('Final Calculation Sheet'!$V$29="","",'Final Calculation Sheet'!$V$29))="",IF(OR(UPPER(TRIM($X$2))="(NONBLANK)",UPPER(TRIM($X$2))="NONBLANK",TRIM($X$2)="&lt;&gt;"),(IF('Final Calculation Sheet'!$V$29="","",'Final Calculation Sheet'!$V$29))&lt;&gt;"",UPPER(TRIM((IF('Final Calculation Sheet'!$V$29="","",'Final Calculation Sheet'!$V$29))&amp;""))=UPPER(TRIM($X$2&amp;"")))))</f>
        <v/>
      </c>
      <c r="Y29">
        <f>IF($Y$3=FALSE,TRUE,IF(OR(UPPER(TRIM($Y$2))="(BLANK)",UPPER(TRIM($Y$2))="BLANK",AND($Y$2&lt;&gt;"",TRIM($Y$2)="")),(IF('Final Calculation Sheet'!$W$29="","",'Final Calculation Sheet'!$W$29))="",IF(OR(UPPER(TRIM($Y$2))="(NONBLANK)",UPPER(TRIM($Y$2))="NONBLANK",TRIM($Y$2)="&lt;&gt;"),(IF('Final Calculation Sheet'!$W$29="","",'Final Calculation Sheet'!$W$29))&lt;&gt;"",UPPER(TRIM((IF('Final Calculation Sheet'!$W$29="","",'Final Calculation Sheet'!$W$29))&amp;""))=UPPER(TRIM($Y$2&amp;"")))))</f>
        <v/>
      </c>
      <c r="Z29">
        <f>IF($Z$3=FALSE,TRUE,IF(OR(UPPER(TRIM($Z$2))="(BLANK)",UPPER(TRIM($Z$2))="BLANK",AND($Z$2&lt;&gt;"",TRIM($Z$2)="")),(IF('Final Calculation Sheet'!$X$29="","",'Final Calculation Sheet'!$X$29))="",IF(OR(UPPER(TRIM($Z$2))="(NONBLANK)",UPPER(TRIM($Z$2))="NONBLANK",TRIM($Z$2)="&lt;&gt;"),(IF('Final Calculation Sheet'!$X$29="","",'Final Calculation Sheet'!$X$29))&lt;&gt;"",UPPER(TRIM((IF('Final Calculation Sheet'!$X$29="","",'Final Calculation Sheet'!$X$29))&amp;""))=UPPER(TRIM($Z$2&amp;"")))))</f>
        <v/>
      </c>
      <c r="AA29">
        <f>IF($AA$3=FALSE,TRUE,IF(OR(UPPER(TRIM($AA$2))="(BLANK)",UPPER(TRIM($AA$2))="BLANK",AND($AA$2&lt;&gt;"",TRIM($AA$2)="")),(IF('Final Calculation Sheet'!$Y$29="","",'Final Calculation Sheet'!$Y$29))="",IF(OR(UPPER(TRIM($AA$2))="(NONBLANK)",UPPER(TRIM($AA$2))="NONBLANK",TRIM($AA$2)="&lt;&gt;"),(IF('Final Calculation Sheet'!$Y$29="","",'Final Calculation Sheet'!$Y$29))&lt;&gt;"",UPPER(TRIM((IF('Final Calculation Sheet'!$Y$29="","",'Final Calculation Sheet'!$Y$29))&amp;""))=UPPER(TRIM($AA$2&amp;"")))))</f>
        <v/>
      </c>
      <c r="AB29">
        <f>IF($AB$3=FALSE,TRUE,IF(OR(UPPER(TRIM($AB$2))="(BLANK)",UPPER(TRIM($AB$2))="BLANK",AND($AB$2&lt;&gt;"",TRIM($AB$2)="")),(IF('Final Calculation Sheet'!$Z$29="","",'Final Calculation Sheet'!$Z$29))="",IF(OR(UPPER(TRIM($AB$2))="(NONBLANK)",UPPER(TRIM($AB$2))="NONBLANK",TRIM($AB$2)="&lt;&gt;"),(IF('Final Calculation Sheet'!$Z$29="","",'Final Calculation Sheet'!$Z$29))&lt;&gt;"",UPPER(TRIM((IF('Final Calculation Sheet'!$Z$29="","",'Final Calculation Sheet'!$Z$29))&amp;""))=UPPER(TRIM($AB$2&amp;"")))))</f>
        <v/>
      </c>
      <c r="AC29">
        <f>IF($AC$3=FALSE,TRUE,IF(OR(UPPER(TRIM($AC$2))="(BLANK)",UPPER(TRIM($AC$2))="BLANK",AND($AC$2&lt;&gt;"",TRIM($AC$2)="")),(IF('Final Calculation Sheet'!$AA$29="","",'Final Calculation Sheet'!$AA$29))="",IF(OR(UPPER(TRIM($AC$2))="(NONBLANK)",UPPER(TRIM($AC$2))="NONBLANK",TRIM($AC$2)="&lt;&gt;"),(IF('Final Calculation Sheet'!$AA$29="","",'Final Calculation Sheet'!$AA$29))&lt;&gt;"",UPPER(TRIM((IF('Final Calculation Sheet'!$AA$29="","",'Final Calculation Sheet'!$AA$29))&amp;""))=UPPER(TRIM($AC$2&amp;"")))))</f>
        <v/>
      </c>
      <c r="AD29">
        <f>IF($AD$3=FALSE,TRUE,IF(OR(UPPER(TRIM($AD$2))="(BLANK)",UPPER(TRIM($AD$2))="BLANK",AND($AD$2&lt;&gt;"",TRIM($AD$2)="")),(IF('Final Calculation Sheet'!$AB$29="","",'Final Calculation Sheet'!$AB$29))="",IF(OR(UPPER(TRIM($AD$2))="(NONBLANK)",UPPER(TRIM($AD$2))="NONBLANK",TRIM($AD$2)="&lt;&gt;"),(IF('Final Calculation Sheet'!$AB$29="","",'Final Calculation Sheet'!$AB$29))&lt;&gt;"",UPPER(TRIM((IF('Final Calculation Sheet'!$AB$29="","",'Final Calculation Sheet'!$AB$29))&amp;""))=UPPER(TRIM($AD$2&amp;"")))))</f>
        <v/>
      </c>
      <c r="AE29">
        <f>IF($AE$3=FALSE,TRUE,IF(OR(UPPER(TRIM($AE$2))="(BLANK)",UPPER(TRIM($AE$2))="BLANK",AND($AE$2&lt;&gt;"",TRIM($AE$2)="")),(IF('Final Calculation Sheet'!$AC$29="","",'Final Calculation Sheet'!$AC$29))="",IF(OR(UPPER(TRIM($AE$2))="(NONBLANK)",UPPER(TRIM($AE$2))="NONBLANK",TRIM($AE$2)="&lt;&gt;"),(IF('Final Calculation Sheet'!$AC$29="","",'Final Calculation Sheet'!$AC$29))&lt;&gt;"",UPPER(TRIM((IF('Final Calculation Sheet'!$AC$29="","",'Final Calculation Sheet'!$AC$29))&amp;""))=UPPER(TRIM($AE$2&amp;"")))))</f>
        <v/>
      </c>
      <c r="AF29">
        <f>IF($AF$3=FALSE,TRUE,IF(OR(UPPER(TRIM($AF$2))="(BLANK)",UPPER(TRIM($AF$2))="BLANK",AND($AF$2&lt;&gt;"",TRIM($AF$2)="")),(IF('Final Calculation Sheet'!$AD$29="","",'Final Calculation Sheet'!$AD$29))="",IF(OR(UPPER(TRIM($AF$2))="(NONBLANK)",UPPER(TRIM($AF$2))="NONBLANK",TRIM($AF$2)="&lt;&gt;"),(IF('Final Calculation Sheet'!$AD$29="","",'Final Calculation Sheet'!$AD$29))&lt;&gt;"",UPPER(TRIM((IF('Final Calculation Sheet'!$AD$29="","",'Final Calculation Sheet'!$AD$29))&amp;""))=UPPER(TRIM($AF$2&amp;"")))))</f>
        <v/>
      </c>
      <c r="AG29">
        <f>IF($AG$3=FALSE,TRUE,IF(OR(UPPER(TRIM($AG$2))="(BLANK)",UPPER(TRIM($AG$2))="BLANK",AND($AG$2&lt;&gt;"",TRIM($AG$2)="")),(IF('Final Calculation Sheet'!$AE$29="","",'Final Calculation Sheet'!$AE$29))="",IF(OR(UPPER(TRIM($AG$2))="(NONBLANK)",UPPER(TRIM($AG$2))="NONBLANK",TRIM($AG$2)="&lt;&gt;"),(IF('Final Calculation Sheet'!$AE$29="","",'Final Calculation Sheet'!$AE$29))&lt;&gt;"",UPPER(TRIM((IF('Final Calculation Sheet'!$AE$29="","",'Final Calculation Sheet'!$AE$29))&amp;""))=UPPER(TRIM($AG$2&amp;"")))))</f>
        <v/>
      </c>
      <c r="AH29">
        <f>IF($AH$3=FALSE,TRUE,IF(OR(UPPER(TRIM($AH$2))="(BLANK)",UPPER(TRIM($AH$2))="BLANK",AND($AH$2&lt;&gt;"",TRIM($AH$2)="")),(IF('Final Calculation Sheet'!$AF$29="","",'Final Calculation Sheet'!$AF$29))="",IF(OR(UPPER(TRIM($AH$2))="(NONBLANK)",UPPER(TRIM($AH$2))="NONBLANK",TRIM($AH$2)="&lt;&gt;"),(IF('Final Calculation Sheet'!$AF$29="","",'Final Calculation Sheet'!$AF$29))&lt;&gt;"",UPPER(TRIM((IF('Final Calculation Sheet'!$AF$29="","",'Final Calculation Sheet'!$AF$29))&amp;""))=UPPER(TRIM($AH$2&amp;"")))))</f>
        <v/>
      </c>
      <c r="AI29">
        <f>IF($AI$3=FALSE,TRUE,IF(OR(UPPER(TRIM($AI$2))="(BLANK)",UPPER(TRIM($AI$2))="BLANK",AND($AI$2&lt;&gt;"",TRIM($AI$2)="")),(IF('Final Calculation Sheet'!$AG$29="","",'Final Calculation Sheet'!$AG$29))="",IF(OR(UPPER(TRIM($AI$2))="(NONBLANK)",UPPER(TRIM($AI$2))="NONBLANK",TRIM($AI$2)="&lt;&gt;"),(IF('Final Calculation Sheet'!$AG$29="","",'Final Calculation Sheet'!$AG$29))&lt;&gt;"",UPPER(TRIM((IF('Final Calculation Sheet'!$AG$29="","",'Final Calculation Sheet'!$AG$29))&amp;""))=UPPER(TRIM($AI$2&amp;"")))))</f>
        <v/>
      </c>
      <c r="AJ29">
        <f>IF($AJ$3=FALSE,TRUE,IF(OR(UPPER(TRIM($AJ$2))="(BLANK)",UPPER(TRIM($AJ$2))="BLANK",AND($AJ$2&lt;&gt;"",TRIM($AJ$2)="")),(IF('Final Calculation Sheet'!$AD$29="","",IF('Final Calculation Sheet'!$AD$29&lt;=5,"SETTLED","OUTSTANDING")))="",IF(OR(UPPER(TRIM($AJ$2))="(NONBLANK)",UPPER(TRIM($AJ$2))="NONBLANK",TRIM($AJ$2)="&lt;&gt;"),(IF('Final Calculation Sheet'!$AD$29="","",IF('Final Calculation Sheet'!$AD$29&lt;=5,"SETTLED","OUTSTANDING")))&lt;&gt;"",UPPER(TRIM((IF('Final Calculation Sheet'!$AD$29="","",IF('Final Calculation Sheet'!$AD$29&lt;=5,"SETTLED","OUTSTANDING")))&amp;""))=UPPER(TRIM($AJ$2&amp;"")))))</f>
        <v/>
      </c>
      <c r="AL29">
        <f>IF(AND($B$29,$D$29:$AJ$29),IF('Final Calculation Sheet'!$F$29="","",'Final Calculation Sheet'!$F$29),"")</f>
        <v/>
      </c>
      <c r="AM29">
        <f>IF(AL29="","",COUNTIFS(AL$4:AL$40,"&lt;"&amp;AL29,AL$4:AL$40,"&lt;&gt;"&amp;"")+COUNTIF(AL$4:AL29,AL29))</f>
        <v/>
      </c>
      <c r="AN29">
        <f>IF(ROW()-3&gt;COUNTIF(AL$4:AL$40,"&lt;&gt;"&amp;""),"",INDEX(AL$4:AL$40,MATCH(ROW()-3,AM$4:AM$40,0)))</f>
        <v/>
      </c>
      <c r="AO29">
        <f>AO28+IF(AND(AN29&lt;&gt;"",COUNTIF(AN$4:AN29,AN29)=1),1,0)</f>
        <v/>
      </c>
      <c r="AP29">
        <f>IF(ROW()-3&gt;MAX(AO$4:AO$40),"",INDEX(AN$4:AN$40,MATCH(ROW()-3,AO$4:AO$40,0)))</f>
        <v/>
      </c>
      <c r="AQ29">
        <f>IF(AND($B$29:$C$29,$E$29:$AJ$29),IF('Final Calculation Sheet'!$G$29="","",'Final Calculation Sheet'!$G$29),"")</f>
        <v/>
      </c>
      <c r="AR29">
        <f>IF(AQ29="","",COUNTIFS(AQ$4:AQ$40,"&lt;"&amp;AQ29,AQ$4:AQ$40,"&lt;&gt;"&amp;"")+COUNTIF(AQ$4:AQ29,AQ29))</f>
        <v/>
      </c>
      <c r="AS29">
        <f>IF(ROW()-3&gt;COUNTIF(AQ$4:AQ$40,"&lt;&gt;"&amp;""),"",INDEX(AQ$4:AQ$40,MATCH(ROW()-3,AR$4:AR$40,0)))</f>
        <v/>
      </c>
      <c r="AT29">
        <f>AT28+IF(AND(AS29&lt;&gt;"",COUNTIF(AS$4:AS29,AS29)=1),1,0)</f>
        <v/>
      </c>
      <c r="AU29">
        <f>IF(ROW()-3&gt;MAX(AT$4:AT$40),"",INDEX(AS$4:AS$40,MATCH(ROW()-3,AT$4:AT$40,0)))</f>
        <v/>
      </c>
      <c r="AV29">
        <f>IF(AND($B$29:$D$29,$F$29:$AJ$29),IF('Final Calculation Sheet'!$B$29="","",'Final Calculation Sheet'!$B$29),"")</f>
        <v/>
      </c>
      <c r="AW29">
        <f>IF(AV29="","",COUNTIFS(AV$4:AV$40,"&lt;"&amp;AV29,AV$4:AV$40,"&lt;&gt;"&amp;"")+COUNTIF(AV$4:AV29,AV29))</f>
        <v/>
      </c>
      <c r="AX29">
        <f>IF(ROW()-3&gt;COUNTIF(AV$4:AV$40,"&lt;&gt;"&amp;""),"",INDEX(AV$4:AV$40,MATCH(ROW()-3,AW$4:AW$40,0)))</f>
        <v/>
      </c>
      <c r="AY29">
        <f>AY28+IF(AND(AX29&lt;&gt;"",COUNTIF(AX$4:AX29,AX29)=1),1,0)</f>
        <v/>
      </c>
      <c r="AZ29">
        <f>IF(ROW()-3&gt;MAX(AY$4:AY$40),"",INDEX(AX$4:AX$40,MATCH(ROW()-3,AY$4:AY$40,0)))</f>
        <v/>
      </c>
      <c r="BA29">
        <f>IF(AND($B$29:$E$29,$G$29:$AJ$29),IF('Final Calculation Sheet'!$D$29="","",'Final Calculation Sheet'!$D$29),"")</f>
        <v/>
      </c>
      <c r="BB29">
        <f>IF(BA29="","",COUNTIFS(BA$4:BA$40,"&lt;"&amp;BA29,BA$4:BA$40,"&lt;&gt;"&amp;"")+COUNTIF(BA$4:BA29,BA29))</f>
        <v/>
      </c>
      <c r="BC29">
        <f>IF(ROW()-3&gt;COUNTIF(BA$4:BA$40,"&lt;&gt;"&amp;""),"",INDEX(BA$4:BA$40,MATCH(ROW()-3,BB$4:BB$40,0)))</f>
        <v/>
      </c>
      <c r="BD29">
        <f>BD28+IF(AND(BC29&lt;&gt;"",COUNTIF(BC$4:BC29,BC29)=1),1,0)</f>
        <v/>
      </c>
      <c r="BE29">
        <f>IF(ROW()-3&gt;MAX(BD$4:BD$40),"",INDEX(BC$4:BC$40,MATCH(ROW()-3,BD$4:BD$40,0)))</f>
        <v/>
      </c>
      <c r="BF29">
        <f>IF(AND($B$29:$F$29,$H$29:$AJ$29),IF('Final Calculation Sheet'!$A$29="","",'Final Calculation Sheet'!$A$29),"")</f>
        <v/>
      </c>
      <c r="BG29">
        <f>IF(BF29="","",COUNTIFS(BF$4:BF$40,"&lt;"&amp;BF29,BF$4:BF$40,"&lt;&gt;"&amp;"")+COUNTIF(BF$4:BF29,BF29))</f>
        <v/>
      </c>
      <c r="BH29">
        <f>IF(ROW()-3&gt;COUNTIF(BF$4:BF$40,"&lt;&gt;"&amp;""),"",INDEX(BF$4:BF$40,MATCH(ROW()-3,BG$4:BG$40,0)))</f>
        <v/>
      </c>
      <c r="BI29">
        <f>BI28+IF(AND(BH29&lt;&gt;"",COUNTIF(BH$4:BH29,BH29)=1),1,0)</f>
        <v/>
      </c>
      <c r="BJ29">
        <f>IF(ROW()-3&gt;MAX(BI$4:BI$40),"",INDEX(BH$4:BH$40,MATCH(ROW()-3,BI$4:BI$40,0)))</f>
        <v/>
      </c>
      <c r="BK29">
        <f>IF(AND($B$29:$G$29,$I$29:$AJ$29),IF('Final Calculation Sheet'!$E$29="","",'Final Calculation Sheet'!$E$29),"")</f>
        <v/>
      </c>
      <c r="BL29">
        <f>IF(BK29="","",COUNTIFS(BK$4:BK$40,"&lt;"&amp;BK29,BK$4:BK$40,"&lt;&gt;"&amp;"")+COUNTIF(BK$4:BK29,BK29))</f>
        <v/>
      </c>
      <c r="BM29">
        <f>IF(ROW()-3&gt;COUNTIF(BK$4:BK$40,"&lt;&gt;"&amp;""),"",INDEX(BK$4:BK$40,MATCH(ROW()-3,BL$4:BL$40,0)))</f>
        <v/>
      </c>
      <c r="BN29">
        <f>BN28+IF(AND(BM29&lt;&gt;"",COUNTIF(BM$4:BM29,BM29)=1),1,0)</f>
        <v/>
      </c>
      <c r="BO29">
        <f>IF(ROW()-3&gt;MAX(BN$4:BN$40),"",INDEX(BM$4:BM$40,MATCH(ROW()-3,BN$4:BN$40,0)))</f>
        <v/>
      </c>
      <c r="BP29" s="55">
        <f>IF(AND($B$29:$H$29,$J$29:$AJ$29),IF('Final Calculation Sheet'!$C$29="","",'Final Calculation Sheet'!$C$29),"")</f>
        <v/>
      </c>
      <c r="BQ29">
        <f>IF(BP29="","",COUNTIFS(BP$4:BP$40,"&lt;"&amp;BP29,BP$4:BP$40,"&lt;&gt;"&amp;"")+COUNTIF(BP$4:BP29,BP29))</f>
        <v/>
      </c>
      <c r="BR29" s="55">
        <f>IF(ROW()-3&gt;COUNTIF(BP$4:BP$40,"&lt;&gt;"&amp;""),"",INDEX(BP$4:BP$40,MATCH(ROW()-3,BQ$4:BQ$40,0)))</f>
        <v/>
      </c>
      <c r="BS29">
        <f>BS28+IF(AND(BR29&lt;&gt;"",COUNTIF(BR$4:BR29,BR29)=1),1,0)</f>
        <v/>
      </c>
      <c r="BT29" s="55">
        <f>IF(ROW()-3&gt;MAX(BS$4:BS$40),"",INDEX(BR$4:BR$40,MATCH(ROW()-3,BS$4:BS$40,0)))</f>
        <v/>
      </c>
      <c r="BU29" s="55">
        <f>IF(AND($B$29:$I$29,$K$29:$AJ$29),IF('Final Calculation Sheet'!$H$29="","",'Final Calculation Sheet'!$H$29),"")</f>
        <v/>
      </c>
      <c r="BV29">
        <f>IF(BU29="","",COUNTIFS(BU$4:BU$40,"&lt;"&amp;BU29,BU$4:BU$40,"&lt;&gt;"&amp;"")+COUNTIF(BU$4:BU29,BU29))</f>
        <v/>
      </c>
      <c r="BW29" s="55">
        <f>IF(ROW()-3&gt;COUNTIF(BU$4:BU$40,"&lt;&gt;"&amp;""),"",INDEX(BU$4:BU$40,MATCH(ROW()-3,BV$4:BV$40,0)))</f>
        <v/>
      </c>
      <c r="BX29">
        <f>BX28+IF(AND(BW29&lt;&gt;"",COUNTIF(BW$4:BW29,BW29)=1),1,0)</f>
        <v/>
      </c>
      <c r="BY29" s="55">
        <f>IF(ROW()-3&gt;MAX(BX$4:BX$40),"",INDEX(BW$4:BW$40,MATCH(ROW()-3,BX$4:BX$40,0)))</f>
        <v/>
      </c>
      <c r="BZ29" s="55">
        <f>IF(AND($B$29:$J$29,$L$29:$AJ$29),IF('Final Calculation Sheet'!$I$29="","",'Final Calculation Sheet'!$I$29),"")</f>
        <v/>
      </c>
      <c r="CA29">
        <f>IF(BZ29="","",COUNTIFS(BZ$4:BZ$40,"&lt;"&amp;BZ29,BZ$4:BZ$40,"&lt;&gt;"&amp;"")+COUNTIF(BZ$4:BZ29,BZ29))</f>
        <v/>
      </c>
      <c r="CB29" s="55">
        <f>IF(ROW()-3&gt;COUNTIF(BZ$4:BZ$40,"&lt;&gt;"&amp;""),"",INDEX(BZ$4:BZ$40,MATCH(ROW()-3,CA$4:CA$40,0)))</f>
        <v/>
      </c>
      <c r="CC29">
        <f>CC28+IF(AND(CB29&lt;&gt;"",COUNTIF(CB$4:CB29,CB29)=1),1,0)</f>
        <v/>
      </c>
      <c r="CD29" s="55">
        <f>IF(ROW()-3&gt;MAX(CC$4:CC$40),"",INDEX(CB$4:CB$40,MATCH(ROW()-3,CC$4:CC$40,0)))</f>
        <v/>
      </c>
      <c r="CE29" s="55">
        <f>IF(AND($B$29:$K$29,$M$29:$AJ$29),IF('Final Calculation Sheet'!$J$29="","",'Final Calculation Sheet'!$J$29),"")</f>
        <v/>
      </c>
      <c r="CF29">
        <f>IF(CE29="","",COUNTIFS(CE$4:CE$40,"&lt;"&amp;CE29,CE$4:CE$40,"&lt;&gt;"&amp;"")+COUNTIF(CE$4:CE29,CE29))</f>
        <v/>
      </c>
      <c r="CG29" s="55">
        <f>IF(ROW()-3&gt;COUNTIF(CE$4:CE$40,"&lt;&gt;"&amp;""),"",INDEX(CE$4:CE$40,MATCH(ROW()-3,CF$4:CF$40,0)))</f>
        <v/>
      </c>
      <c r="CH29">
        <f>CH28+IF(AND(CG29&lt;&gt;"",COUNTIF(CG$4:CG29,CG29)=1),1,0)</f>
        <v/>
      </c>
      <c r="CI29" s="55">
        <f>IF(ROW()-3&gt;MAX(CH$4:CH$40),"",INDEX(CG$4:CG$40,MATCH(ROW()-3,CH$4:CH$40,0)))</f>
        <v/>
      </c>
      <c r="CJ29" s="55">
        <f>IF(AND($B$29:$L$29,$N$29:$AJ$29),IF('Final Calculation Sheet'!$K$29="","",'Final Calculation Sheet'!$K$29),"")</f>
        <v/>
      </c>
      <c r="CK29">
        <f>IF(CJ29="","",COUNTIFS(CJ$4:CJ$40,"&lt;"&amp;CJ29,CJ$4:CJ$40,"&lt;&gt;"&amp;"")+COUNTIF(CJ$4:CJ29,CJ29))</f>
        <v/>
      </c>
      <c r="CL29" s="55">
        <f>IF(ROW()-3&gt;COUNTIF(CJ$4:CJ$40,"&lt;&gt;"&amp;""),"",INDEX(CJ$4:CJ$40,MATCH(ROW()-3,CK$4:CK$40,0)))</f>
        <v/>
      </c>
      <c r="CM29">
        <f>CM28+IF(AND(CL29&lt;&gt;"",COUNTIF(CL$4:CL29,CL29)=1),1,0)</f>
        <v/>
      </c>
      <c r="CN29" s="55">
        <f>IF(ROW()-3&gt;MAX(CM$4:CM$40),"",INDEX(CL$4:CL$40,MATCH(ROW()-3,CM$4:CM$40,0)))</f>
        <v/>
      </c>
      <c r="CO29" s="55">
        <f>IF(AND($B$29:$M$29,$O$29:$AJ$29),IF('Final Calculation Sheet'!$L$29="","",'Final Calculation Sheet'!$L$29),"")</f>
        <v/>
      </c>
      <c r="CP29">
        <f>IF(CO29="","",COUNTIFS(CO$4:CO$40,"&lt;"&amp;CO29,CO$4:CO$40,"&lt;&gt;"&amp;"")+COUNTIF(CO$4:CO29,CO29))</f>
        <v/>
      </c>
      <c r="CQ29" s="55">
        <f>IF(ROW()-3&gt;COUNTIF(CO$4:CO$40,"&lt;&gt;"&amp;""),"",INDEX(CO$4:CO$40,MATCH(ROW()-3,CP$4:CP$40,0)))</f>
        <v/>
      </c>
      <c r="CR29">
        <f>CR28+IF(AND(CQ29&lt;&gt;"",COUNTIF(CQ$4:CQ29,CQ29)=1),1,0)</f>
        <v/>
      </c>
      <c r="CS29" s="55">
        <f>IF(ROW()-3&gt;MAX(CR$4:CR$40),"",INDEX(CQ$4:CQ$40,MATCH(ROW()-3,CR$4:CR$40,0)))</f>
        <v/>
      </c>
      <c r="CT29" s="55">
        <f>IF(AND($B$29:$N$29,$P$29:$AJ$29),IF('Final Calculation Sheet'!$M$29="","",'Final Calculation Sheet'!$M$29),"")</f>
        <v/>
      </c>
      <c r="CU29">
        <f>IF(CT29="","",COUNTIFS(CT$4:CT$40,"&lt;"&amp;CT29,CT$4:CT$40,"&lt;&gt;"&amp;"")+COUNTIF(CT$4:CT29,CT29))</f>
        <v/>
      </c>
      <c r="CV29" s="55">
        <f>IF(ROW()-3&gt;COUNTIF(CT$4:CT$40,"&lt;&gt;"&amp;""),"",INDEX(CT$4:CT$40,MATCH(ROW()-3,CU$4:CU$40,0)))</f>
        <v/>
      </c>
      <c r="CW29">
        <f>CW28+IF(AND(CV29&lt;&gt;"",COUNTIF(CV$4:CV29,CV29)=1),1,0)</f>
        <v/>
      </c>
      <c r="CX29" s="55">
        <f>IF(ROW()-3&gt;MAX(CW$4:CW$40),"",INDEX(CV$4:CV$40,MATCH(ROW()-3,CW$4:CW$40,0)))</f>
        <v/>
      </c>
      <c r="CY29" s="138">
        <f>IF(AND($B$29:$O$29,$Q$29:$AJ$29),IF('Final Calculation Sheet'!$N$29="","",'Final Calculation Sheet'!$N$29),"")</f>
        <v/>
      </c>
      <c r="CZ29">
        <f>IF(CY29="","",COUNTIFS(CY$4:CY$40,"&lt;"&amp;CY29,CY$4:CY$40,"&lt;&gt;"&amp;"")+COUNTIF(CY$4:CY29,CY29))</f>
        <v/>
      </c>
      <c r="DA29" s="138">
        <f>IF(ROW()-3&gt;COUNTIF(CY$4:CY$40,"&lt;&gt;"&amp;""),"",INDEX(CY$4:CY$40,MATCH(ROW()-3,CZ$4:CZ$40,0)))</f>
        <v/>
      </c>
      <c r="DB29">
        <f>DB28+IF(AND(DA29&lt;&gt;"",COUNTIF(DA$4:DA29,DA29)=1),1,0)</f>
        <v/>
      </c>
      <c r="DC29" s="138">
        <f>IF(ROW()-3&gt;MAX(DB$4:DB$40),"",INDEX(DA$4:DA$40,MATCH(ROW()-3,DB$4:DB$40,0)))</f>
        <v/>
      </c>
      <c r="DD29" s="55">
        <f>IF(AND($B$29:$P$29,$R$29:$AJ$29),IF('Final Calculation Sheet'!$O$29="","",'Final Calculation Sheet'!$O$29),"")</f>
        <v/>
      </c>
      <c r="DE29">
        <f>IF(DD29="","",COUNTIFS(DD$4:DD$40,"&lt;"&amp;DD29,DD$4:DD$40,"&lt;&gt;"&amp;"")+COUNTIF(DD$4:DD29,DD29))</f>
        <v/>
      </c>
      <c r="DF29" s="55">
        <f>IF(ROW()-3&gt;COUNTIF(DD$4:DD$40,"&lt;&gt;"&amp;""),"",INDEX(DD$4:DD$40,MATCH(ROW()-3,DE$4:DE$40,0)))</f>
        <v/>
      </c>
      <c r="DG29">
        <f>DG28+IF(AND(DF29&lt;&gt;"",COUNTIF(DF$4:DF29,DF29)=1),1,0)</f>
        <v/>
      </c>
      <c r="DH29" s="55">
        <f>IF(ROW()-3&gt;MAX(DG$4:DG$40),"",INDEX(DF$4:DF$40,MATCH(ROW()-3,DG$4:DG$40,0)))</f>
        <v/>
      </c>
      <c r="DI29" s="55">
        <f>IF(AND($B$29:$Q$29,$S$29:$AJ$29),IF('Final Calculation Sheet'!$P$29="","",'Final Calculation Sheet'!$P$29),"")</f>
        <v/>
      </c>
      <c r="DJ29">
        <f>IF(DI29="","",COUNTIFS(DI$4:DI$40,"&lt;"&amp;DI29,DI$4:DI$40,"&lt;&gt;"&amp;"")+COUNTIF(DI$4:DI29,DI29))</f>
        <v/>
      </c>
      <c r="DK29" s="55">
        <f>IF(ROW()-3&gt;COUNTIF(DI$4:DI$40,"&lt;&gt;"&amp;""),"",INDEX(DI$4:DI$40,MATCH(ROW()-3,DJ$4:DJ$40,0)))</f>
        <v/>
      </c>
      <c r="DL29">
        <f>DL28+IF(AND(DK29&lt;&gt;"",COUNTIF(DK$4:DK29,DK29)=1),1,0)</f>
        <v/>
      </c>
      <c r="DM29" s="55">
        <f>IF(ROW()-3&gt;MAX(DL$4:DL$40),"",INDEX(DK$4:DK$40,MATCH(ROW()-3,DL$4:DL$40,0)))</f>
        <v/>
      </c>
      <c r="DN29" s="139">
        <f>IF(AND($B$29:$R$29,$T$29:$AJ$29),IF('Final Calculation Sheet'!$Q$29="","",'Final Calculation Sheet'!$Q$29),"")</f>
        <v/>
      </c>
      <c r="DO29">
        <f>IF(DN29="","",COUNTIFS(DN$4:DN$40,"&lt;"&amp;DN29,DN$4:DN$40,"&lt;&gt;"&amp;"")+COUNTIF(DN$4:DN29,DN29))</f>
        <v/>
      </c>
      <c r="DP29" s="139">
        <f>IF(ROW()-3&gt;COUNTIF(DN$4:DN$40,"&lt;&gt;"&amp;""),"",INDEX(DN$4:DN$40,MATCH(ROW()-3,DO$4:DO$40,0)))</f>
        <v/>
      </c>
      <c r="DQ29">
        <f>DQ28+IF(AND(DP29&lt;&gt;"",COUNTIF(DP$4:DP29,DP29)=1),1,0)</f>
        <v/>
      </c>
      <c r="DR29" s="139">
        <f>IF(ROW()-3&gt;MAX(DQ$4:DQ$40),"",INDEX(DP$4:DP$40,MATCH(ROW()-3,DQ$4:DQ$40,0)))</f>
        <v/>
      </c>
      <c r="DS29" s="55">
        <f>IF(AND($B$29:$S$29,$U$29:$AJ$29),IF('Final Calculation Sheet'!$R$29="","",'Final Calculation Sheet'!$R$29),"")</f>
        <v/>
      </c>
      <c r="DT29">
        <f>IF(DS29="","",COUNTIFS(DS$4:DS$40,"&lt;"&amp;DS29,DS$4:DS$40,"&lt;&gt;"&amp;"")+COUNTIF(DS$4:DS29,DS29))</f>
        <v/>
      </c>
      <c r="DU29" s="55">
        <f>IF(ROW()-3&gt;COUNTIF(DS$4:DS$40,"&lt;&gt;"&amp;""),"",INDEX(DS$4:DS$40,MATCH(ROW()-3,DT$4:DT$40,0)))</f>
        <v/>
      </c>
      <c r="DV29">
        <f>DV28+IF(AND(DU29&lt;&gt;"",COUNTIF(DU$4:DU29,DU29)=1),1,0)</f>
        <v/>
      </c>
      <c r="DW29" s="55">
        <f>IF(ROW()-3&gt;MAX(DV$4:DV$40),"",INDEX(DU$4:DU$40,MATCH(ROW()-3,DV$4:DV$40,0)))</f>
        <v/>
      </c>
      <c r="DX29" s="55">
        <f>IF(AND($B$29:$T$29,$V$29:$AJ$29),IF('Final Calculation Sheet'!$S$29="","",'Final Calculation Sheet'!$S$29),"")</f>
        <v/>
      </c>
      <c r="DY29">
        <f>IF(DX29="","",COUNTIFS(DX$4:DX$40,"&lt;"&amp;DX29,DX$4:DX$40,"&lt;&gt;"&amp;"")+COUNTIF(DX$4:DX29,DX29))</f>
        <v/>
      </c>
      <c r="DZ29" s="55">
        <f>IF(ROW()-3&gt;COUNTIF(DX$4:DX$40,"&lt;&gt;"&amp;""),"",INDEX(DX$4:DX$40,MATCH(ROW()-3,DY$4:DY$40,0)))</f>
        <v/>
      </c>
      <c r="EA29">
        <f>EA28+IF(AND(DZ29&lt;&gt;"",COUNTIF(DZ$4:DZ29,DZ29)=1),1,0)</f>
        <v/>
      </c>
      <c r="EB29" s="55">
        <f>IF(ROW()-3&gt;MAX(EA$4:EA$40),"",INDEX(DZ$4:DZ$40,MATCH(ROW()-3,EA$4:EA$40,0)))</f>
        <v/>
      </c>
      <c r="EC29" s="55">
        <f>IF(AND($B$29:$U$29,$W$29:$AJ$29),IF('Final Calculation Sheet'!$T$29="","",'Final Calculation Sheet'!$T$29),"")</f>
        <v/>
      </c>
      <c r="ED29">
        <f>IF(EC29="","",COUNTIFS(EC$4:EC$40,"&lt;"&amp;EC29,EC$4:EC$40,"&lt;&gt;"&amp;"")+COUNTIF(EC$4:EC29,EC29))</f>
        <v/>
      </c>
      <c r="EE29" s="55">
        <f>IF(ROW()-3&gt;COUNTIF(EC$4:EC$40,"&lt;&gt;"&amp;""),"",INDEX(EC$4:EC$40,MATCH(ROW()-3,ED$4:ED$40,0)))</f>
        <v/>
      </c>
      <c r="EF29">
        <f>EF28+IF(AND(EE29&lt;&gt;"",COUNTIF(EE$4:EE29,EE29)=1),1,0)</f>
        <v/>
      </c>
      <c r="EG29" s="55">
        <f>IF(ROW()-3&gt;MAX(EF$4:EF$40),"",INDEX(EE$4:EE$40,MATCH(ROW()-3,EF$4:EF$40,0)))</f>
        <v/>
      </c>
      <c r="EH29" s="140">
        <f>IF(AND($B$29:$V$29,$X$29:$AJ$29),IF('Final Calculation Sheet'!$U$29="","",'Final Calculation Sheet'!$U$29),"")</f>
        <v/>
      </c>
      <c r="EI29">
        <f>IF(EH29="","",COUNTIFS(EH$4:EH$40,"&lt;"&amp;EH29,EH$4:EH$40,"&lt;&gt;"&amp;"")+COUNTIF(EH$4:EH29,EH29))</f>
        <v/>
      </c>
      <c r="EJ29" s="140">
        <f>IF(ROW()-3&gt;COUNTIF(EH$4:EH$40,"&lt;&gt;"&amp;""),"",INDEX(EH$4:EH$40,MATCH(ROW()-3,EI$4:EI$40,0)))</f>
        <v/>
      </c>
      <c r="EK29">
        <f>EK28+IF(AND(EJ29&lt;&gt;"",COUNTIF(EJ$4:EJ29,EJ29)=1),1,0)</f>
        <v/>
      </c>
      <c r="EL29" s="140">
        <f>IF(ROW()-3&gt;MAX(EK$4:EK$40),"",INDEX(EJ$4:EJ$40,MATCH(ROW()-3,EK$4:EK$40,0)))</f>
        <v/>
      </c>
      <c r="EM29">
        <f>IF(AND($B$29:$W$29,$Y$29:$AJ$29),IF('Final Calculation Sheet'!$V$29="","",'Final Calculation Sheet'!$V$29),"")</f>
        <v/>
      </c>
      <c r="EN29">
        <f>IF(EM29="","",COUNTIFS(EM$4:EM$40,"&lt;"&amp;EM29,EM$4:EM$40,"&lt;&gt;"&amp;"")+COUNTIF(EM$4:EM29,EM29))</f>
        <v/>
      </c>
      <c r="EO29">
        <f>IF(ROW()-3&gt;COUNTIF(EM$4:EM$40,"&lt;&gt;"&amp;""),"",INDEX(EM$4:EM$40,MATCH(ROW()-3,EN$4:EN$40,0)))</f>
        <v/>
      </c>
      <c r="EP29">
        <f>EP28+IF(AND(EO29&lt;&gt;"",COUNTIF(EO$4:EO29,EO29)=1),1,0)</f>
        <v/>
      </c>
      <c r="EQ29">
        <f>IF(ROW()-3&gt;MAX(EP$4:EP$40),"",INDEX(EO$4:EO$40,MATCH(ROW()-3,EP$4:EP$40,0)))</f>
        <v/>
      </c>
      <c r="ER29" s="55">
        <f>IF(AND($B$29:$X$29,$Z$29:$AJ$29),IF('Final Calculation Sheet'!$W$29="","",'Final Calculation Sheet'!$W$29),"")</f>
        <v/>
      </c>
      <c r="ES29">
        <f>IF(ER29="","",COUNTIFS(ER$4:ER$40,"&lt;"&amp;ER29,ER$4:ER$40,"&lt;&gt;"&amp;"")+COUNTIF(ER$4:ER29,ER29))</f>
        <v/>
      </c>
      <c r="ET29" s="55">
        <f>IF(ROW()-3&gt;COUNTIF(ER$4:ER$40,"&lt;&gt;"&amp;""),"",INDEX(ER$4:ER$40,MATCH(ROW()-3,ES$4:ES$40,0)))</f>
        <v/>
      </c>
      <c r="EU29">
        <f>EU28+IF(AND(ET29&lt;&gt;"",COUNTIF(ET$4:ET29,ET29)=1),1,0)</f>
        <v/>
      </c>
      <c r="EV29" s="55">
        <f>IF(ROW()-3&gt;MAX(EU$4:EU$40),"",INDEX(ET$4:ET$40,MATCH(ROW()-3,EU$4:EU$40,0)))</f>
        <v/>
      </c>
      <c r="EW29" s="55">
        <f>IF(AND($B$29:$Y$29,$AA$29:$AJ$29),IF('Final Calculation Sheet'!$X$29="","",'Final Calculation Sheet'!$X$29),"")</f>
        <v/>
      </c>
      <c r="EX29">
        <f>IF(EW29="","",COUNTIFS(EW$4:EW$40,"&lt;"&amp;EW29,EW$4:EW$40,"&lt;&gt;"&amp;"")+COUNTIF(EW$4:EW29,EW29))</f>
        <v/>
      </c>
      <c r="EY29" s="55">
        <f>IF(ROW()-3&gt;COUNTIF(EW$4:EW$40,"&lt;&gt;"&amp;""),"",INDEX(EW$4:EW$40,MATCH(ROW()-3,EX$4:EX$40,0)))</f>
        <v/>
      </c>
      <c r="EZ29">
        <f>EZ28+IF(AND(EY29&lt;&gt;"",COUNTIF(EY$4:EY29,EY29)=1),1,0)</f>
        <v/>
      </c>
      <c r="FA29">
        <f>IF(ROW()-3&gt;MAX(EZ$4:EZ$40),"",INDEX(EY$4:EY$40,MATCH(ROW()-3,EZ$4:EZ$40,0)))</f>
        <v/>
      </c>
      <c r="FB29">
        <f>IF(AND($B$29:$Z$29,$AB$29:$AJ$29),IF('Final Calculation Sheet'!$Y$29="","",'Final Calculation Sheet'!$Y$29),"")</f>
        <v/>
      </c>
      <c r="FC29">
        <f>IF(FB29="","",COUNTIFS(FB$4:FB$40,"&lt;"&amp;FB29,FB$4:FB$40,"&lt;&gt;"&amp;"")+COUNTIF(FB$4:FB29,FB29))</f>
        <v/>
      </c>
      <c r="FD29">
        <f>IF(ROW()-3&gt;COUNTIF(FB$4:FB$40,"&lt;&gt;"&amp;""),"",INDEX(FB$4:FB$40,MATCH(ROW()-3,FC$4:FC$40,0)))</f>
        <v/>
      </c>
      <c r="FE29">
        <f>FE28+IF(AND(FD29&lt;&gt;"",COUNTIF(FD$4:FD29,FD29)=1),1,0)</f>
        <v/>
      </c>
      <c r="FF29">
        <f>IF(ROW()-3&gt;MAX(FE$4:FE$40),"",INDEX(FD$4:FD$40,MATCH(ROW()-3,FE$4:FE$40,0)))</f>
        <v/>
      </c>
      <c r="FG29" s="55">
        <f>IF(AND($B$29:$AA$29,$AC$29:$AJ$29),IF('Final Calculation Sheet'!$Z$29="","",'Final Calculation Sheet'!$Z$29),"")</f>
        <v/>
      </c>
      <c r="FH29">
        <f>IF(FG29="","",COUNTIFS(FG$4:FG$40,"&lt;"&amp;FG29,FG$4:FG$40,"&lt;&gt;"&amp;"")+COUNTIF(FG$4:FG29,FG29))</f>
        <v/>
      </c>
      <c r="FI29" s="55">
        <f>IF(ROW()-3&gt;COUNTIF(FG$4:FG$40,"&lt;&gt;"&amp;""),"",INDEX(FG$4:FG$40,MATCH(ROW()-3,FH$4:FH$40,0)))</f>
        <v/>
      </c>
      <c r="FJ29">
        <f>FJ28+IF(AND(FI29&lt;&gt;"",COUNTIF(FI$4:FI29,FI29)=1),1,0)</f>
        <v/>
      </c>
      <c r="FK29" s="55">
        <f>IF(ROW()-3&gt;MAX(FJ$4:FJ$40),"",INDEX(FI$4:FI$40,MATCH(ROW()-3,FJ$4:FJ$40,0)))</f>
        <v/>
      </c>
      <c r="FL29">
        <f>IF(AND($B$29:$AB$29,$AD$29:$AJ$29),IF('Final Calculation Sheet'!$AA$29="","",'Final Calculation Sheet'!$AA$29),"")</f>
        <v/>
      </c>
      <c r="FM29">
        <f>IF(FL29="","",COUNTIFS(FL$4:FL$40,"&lt;"&amp;FL29,FL$4:FL$40,"&lt;&gt;"&amp;"")+COUNTIF(FL$4:FL29,FL29))</f>
        <v/>
      </c>
      <c r="FN29">
        <f>IF(ROW()-3&gt;COUNTIF(FL$4:FL$40,"&lt;&gt;"&amp;""),"",INDEX(FL$4:FL$40,MATCH(ROW()-3,FM$4:FM$40,0)))</f>
        <v/>
      </c>
      <c r="FO29">
        <f>FO28+IF(AND(FN29&lt;&gt;"",COUNTIF(FN$4:FN29,FN29)=1),1,0)</f>
        <v/>
      </c>
      <c r="FP29">
        <f>IF(ROW()-3&gt;MAX(FO$4:FO$40),"",INDEX(FN$4:FN$40,MATCH(ROW()-3,FO$4:FO$40,0)))</f>
        <v/>
      </c>
      <c r="FQ29">
        <f>IF(AND($B$29:$AC$29,$AE$29:$AJ$29),IF('Final Calculation Sheet'!$AB$29="","",'Final Calculation Sheet'!$AB$29),"")</f>
        <v/>
      </c>
      <c r="FR29">
        <f>IF(FQ29="","",COUNTIFS(FQ$4:FQ$40,"&lt;"&amp;FQ29,FQ$4:FQ$40,"&lt;&gt;"&amp;"")+COUNTIF(FQ$4:FQ29,FQ29))</f>
        <v/>
      </c>
      <c r="FS29">
        <f>IF(ROW()-3&gt;COUNTIF(FQ$4:FQ$40,"&lt;&gt;"&amp;""),"",INDEX(FQ$4:FQ$40,MATCH(ROW()-3,FR$4:FR$40,0)))</f>
        <v/>
      </c>
      <c r="FT29">
        <f>FT28+IF(AND(FS29&lt;&gt;"",COUNTIF(FS$4:FS29,FS29)=1),1,0)</f>
        <v/>
      </c>
      <c r="FU29">
        <f>IF(ROW()-3&gt;MAX(FT$4:FT$40),"",INDEX(FS$4:FS$40,MATCH(ROW()-3,FT$4:FT$40,0)))</f>
        <v/>
      </c>
      <c r="FV29" s="55">
        <f>IF(AND($B$29:$AD$29,$AF$29:$AJ$29),IF('Final Calculation Sheet'!$AC$29="","",'Final Calculation Sheet'!$AC$29),"")</f>
        <v/>
      </c>
      <c r="FW29">
        <f>IF(FV29="","",COUNTIFS(FV$4:FV$40,"&lt;"&amp;FV29,FV$4:FV$40,"&lt;&gt;"&amp;"")+COUNTIF(FV$4:FV29,FV29))</f>
        <v/>
      </c>
      <c r="FX29" s="55">
        <f>IF(ROW()-3&gt;COUNTIF(FV$4:FV$40,"&lt;&gt;"&amp;""),"",INDEX(FV$4:FV$40,MATCH(ROW()-3,FW$4:FW$40,0)))</f>
        <v/>
      </c>
      <c r="FY29">
        <f>FY28+IF(AND(FX29&lt;&gt;"",COUNTIF(FX$4:FX29,FX29)=1),1,0)</f>
        <v/>
      </c>
      <c r="FZ29" s="55">
        <f>IF(ROW()-3&gt;MAX(FY$4:FY$40),"",INDEX(FX$4:FX$40,MATCH(ROW()-3,FY$4:FY$40,0)))</f>
        <v/>
      </c>
      <c r="GA29" s="55">
        <f>IF(AND($B$29:$AE$29,$AG$29:$AJ$29),IF('Final Calculation Sheet'!$AD$29="","",'Final Calculation Sheet'!$AD$29),"")</f>
        <v/>
      </c>
      <c r="GB29">
        <f>IF(GA29="","",COUNTIFS(GA$4:GA$40,"&lt;"&amp;GA29,GA$4:GA$40,"&lt;&gt;"&amp;"")+COUNTIF(GA$4:GA29,GA29))</f>
        <v/>
      </c>
      <c r="GC29" s="55">
        <f>IF(ROW()-3&gt;COUNTIF(GA$4:GA$40,"&lt;&gt;"&amp;""),"",INDEX(GA$4:GA$40,MATCH(ROW()-3,GB$4:GB$40,0)))</f>
        <v/>
      </c>
      <c r="GD29">
        <f>GD28+IF(AND(GC29&lt;&gt;"",COUNTIF(GC$4:GC29,GC29)=1),1,0)</f>
        <v/>
      </c>
      <c r="GE29" s="55">
        <f>IF(ROW()-3&gt;MAX(GD$4:GD$40),"",INDEX(GC$4:GC$40,MATCH(ROW()-3,GD$4:GD$40,0)))</f>
        <v/>
      </c>
      <c r="GF29">
        <f>IF(AND($B$29:$AF$29,$AH$29:$AJ$29),IF('Final Calculation Sheet'!$AE$29="","",'Final Calculation Sheet'!$AE$29),"")</f>
        <v/>
      </c>
      <c r="GG29">
        <f>IF(GF29="","",COUNTIFS(GF$4:GF$40,"&lt;"&amp;GF29,GF$4:GF$40,"&lt;&gt;"&amp;"")+COUNTIF(GF$4:GF29,GF29))</f>
        <v/>
      </c>
      <c r="GH29">
        <f>IF(ROW()-3&gt;COUNTIF(GF$4:GF$40,"&lt;&gt;"&amp;""),"",INDEX(GF$4:GF$40,MATCH(ROW()-3,GG$4:GG$40,0)))</f>
        <v/>
      </c>
      <c r="GI29">
        <f>GI28+IF(AND(GH29&lt;&gt;"",COUNTIF(GH$4:GH29,GH29)=1),1,0)</f>
        <v/>
      </c>
      <c r="GJ29">
        <f>IF(ROW()-3&gt;MAX(GI$4:GI$40),"",INDEX(GH$4:GH$40,MATCH(ROW()-3,GI$4:GI$40,0)))</f>
        <v/>
      </c>
      <c r="GK29" s="141">
        <f>IF(AND($B$29:$AG$29,$AI$29:$AJ$29),IF('Final Calculation Sheet'!$AF$29="","",'Final Calculation Sheet'!$AF$29),"")</f>
        <v/>
      </c>
      <c r="GL29">
        <f>IF(GK29="","",COUNTIFS(GK$4:GK$40,"&lt;"&amp;GK29,GK$4:GK$40,"&lt;&gt;"&amp;"")+COUNTIF(GK$4:GK29,GK29))</f>
        <v/>
      </c>
      <c r="GM29" s="141">
        <f>IF(ROW()-3&gt;COUNTIF(GK$4:GK$40,"&lt;&gt;"&amp;""),"",INDEX(GK$4:GK$40,MATCH(ROW()-3,GL$4:GL$40,0)))</f>
        <v/>
      </c>
      <c r="GN29">
        <f>GN28+IF(AND(GM29&lt;&gt;"",COUNTIF(GM$4:GM29,GM29)=1),1,0)</f>
        <v/>
      </c>
      <c r="GO29">
        <f>IF(ROW()-3&gt;MAX(GN$4:GN$40),"",INDEX(GM$4:GM$40,MATCH(ROW()-3,GN$4:GN$40,0)))</f>
        <v/>
      </c>
      <c r="GP29">
        <f>IF(AND($B$29:$AH$29,$AJ$29:$AJ$29),IF('Final Calculation Sheet'!$AG$29="","",'Final Calculation Sheet'!$AG$29),"")</f>
        <v/>
      </c>
      <c r="GQ29">
        <f>IF(GP29="","",COUNTIFS(GP$4:GP$40,"&lt;"&amp;GP29,GP$4:GP$40,"&lt;&gt;"&amp;"")+COUNTIF(GP$4:GP29,GP29))</f>
        <v/>
      </c>
      <c r="GR29">
        <f>IF(ROW()-3&gt;COUNTIF(GP$4:GP$40,"&lt;&gt;"&amp;""),"",INDEX(GP$4:GP$40,MATCH(ROW()-3,GQ$4:GQ$40,0)))</f>
        <v/>
      </c>
      <c r="GS29">
        <f>GS28+IF(AND(GR29&lt;&gt;"",COUNTIF(GR$4:GR29,GR29)=1),1,0)</f>
        <v/>
      </c>
      <c r="GT29">
        <f>IF(ROW()-3&gt;MAX(GS$4:GS$40),"",INDEX(GR$4:GR$40,MATCH(ROW()-3,GS$4:GS$40,0)))</f>
        <v/>
      </c>
    </row>
    <row r="30">
      <c r="A30" t="inlineStr">
        <is>
          <t>Final row 30</t>
        </is>
      </c>
      <c r="B30" t="b">
        <v>1</v>
      </c>
      <c r="C30">
        <f>IF($C$3=FALSE,TRUE,IF(OR(UPPER(TRIM($C$2))="(BLANK)",UPPER(TRIM($C$2))="BLANK",AND($C$2&lt;&gt;"",TRIM($C$2)="")),(IF('Final Calculation Sheet'!$F$30="","",'Final Calculation Sheet'!$F$30))="",IF(OR(UPPER(TRIM($C$2))="(NONBLANK)",UPPER(TRIM($C$2))="NONBLANK",TRIM($C$2)="&lt;&gt;"),(IF('Final Calculation Sheet'!$F$30="","",'Final Calculation Sheet'!$F$30))&lt;&gt;"",UPPER(TRIM((IF('Final Calculation Sheet'!$F$30="","",'Final Calculation Sheet'!$F$30))&amp;""))=UPPER(TRIM($C$2&amp;"")))))</f>
        <v/>
      </c>
      <c r="D30">
        <f>IF($D$3=FALSE,TRUE,IF(OR(UPPER(TRIM($D$2))="(BLANK)",UPPER(TRIM($D$2))="BLANK",AND($D$2&lt;&gt;"",TRIM($D$2)="")),(IF('Final Calculation Sheet'!$G$30="","",'Final Calculation Sheet'!$G$30))="",IF(OR(UPPER(TRIM($D$2))="(NONBLANK)",UPPER(TRIM($D$2))="NONBLANK",TRIM($D$2)="&lt;&gt;"),(IF('Final Calculation Sheet'!$G$30="","",'Final Calculation Sheet'!$G$30))&lt;&gt;"",UPPER(TRIM((IF('Final Calculation Sheet'!$G$30="","",'Final Calculation Sheet'!$G$30))&amp;""))=UPPER(TRIM($D$2&amp;"")))))</f>
        <v/>
      </c>
      <c r="E30">
        <f>IF($E$3=FALSE,TRUE,IF(OR(UPPER(TRIM($E$2))="(BLANK)",UPPER(TRIM($E$2))="BLANK",AND($E$2&lt;&gt;"",TRIM($E$2)="")),(IF('Final Calculation Sheet'!$B$30="","",'Final Calculation Sheet'!$B$30))="",IF(OR(UPPER(TRIM($E$2))="(NONBLANK)",UPPER(TRIM($E$2))="NONBLANK",TRIM($E$2)="&lt;&gt;"),(IF('Final Calculation Sheet'!$B$30="","",'Final Calculation Sheet'!$B$30))&lt;&gt;"",UPPER(TRIM((IF('Final Calculation Sheet'!$B$30="","",'Final Calculation Sheet'!$B$30))&amp;""))=UPPER(TRIM($E$2&amp;"")))))</f>
        <v/>
      </c>
      <c r="F30">
        <f>IF($F$3=FALSE,TRUE,IF(OR(UPPER(TRIM($F$2))="(BLANK)",UPPER(TRIM($F$2))="BLANK",AND($F$2&lt;&gt;"",TRIM($F$2)="")),(IF('Final Calculation Sheet'!$D$30="","",'Final Calculation Sheet'!$D$30))="",IF(OR(UPPER(TRIM($F$2))="(NONBLANK)",UPPER(TRIM($F$2))="NONBLANK",TRIM($F$2)="&lt;&gt;"),(IF('Final Calculation Sheet'!$D$30="","",'Final Calculation Sheet'!$D$30))&lt;&gt;"",UPPER(TRIM((IF('Final Calculation Sheet'!$D$30="","",'Final Calculation Sheet'!$D$30))&amp;""))=UPPER(TRIM($F$2&amp;"")))))</f>
        <v/>
      </c>
      <c r="G30">
        <f>IF($G$3=FALSE,TRUE,IF(OR(UPPER(TRIM($G$2))="(BLANK)",UPPER(TRIM($G$2))="BLANK",AND($G$2&lt;&gt;"",TRIM($G$2)="")),(IF('Final Calculation Sheet'!$A$30="","",'Final Calculation Sheet'!$A$30))="",IF(OR(UPPER(TRIM($G$2))="(NONBLANK)",UPPER(TRIM($G$2))="NONBLANK",TRIM($G$2)="&lt;&gt;"),(IF('Final Calculation Sheet'!$A$30="","",'Final Calculation Sheet'!$A$30))&lt;&gt;"",UPPER(TRIM((IF('Final Calculation Sheet'!$A$30="","",'Final Calculation Sheet'!$A$30))&amp;""))=UPPER(TRIM($G$2&amp;"")))))</f>
        <v/>
      </c>
      <c r="H30">
        <f>IF($H$3=FALSE,TRUE,IF(OR(UPPER(TRIM($H$2))="(BLANK)",UPPER(TRIM($H$2))="BLANK",AND($H$2&lt;&gt;"",TRIM($H$2)="")),(IF('Final Calculation Sheet'!$E$30="","",'Final Calculation Sheet'!$E$30))="",IF(OR(UPPER(TRIM($H$2))="(NONBLANK)",UPPER(TRIM($H$2))="NONBLANK",TRIM($H$2)="&lt;&gt;"),(IF('Final Calculation Sheet'!$E$30="","",'Final Calculation Sheet'!$E$30))&lt;&gt;"",UPPER(TRIM((IF('Final Calculation Sheet'!$E$30="","",'Final Calculation Sheet'!$E$30))&amp;""))=UPPER(TRIM($H$2&amp;"")))))</f>
        <v/>
      </c>
      <c r="I30">
        <f>IF($I$3=FALSE,TRUE,IF(OR(UPPER(TRIM($I$2))="(BLANK)",UPPER(TRIM($I$2))="BLANK",AND($I$2&lt;&gt;"",TRIM($I$2)="")),(IF('Final Calculation Sheet'!$C$30="","",'Final Calculation Sheet'!$C$30))="",IF(OR(UPPER(TRIM($I$2))="(NONBLANK)",UPPER(TRIM($I$2))="NONBLANK",TRIM($I$2)="&lt;&gt;"),(IF('Final Calculation Sheet'!$C$30="","",'Final Calculation Sheet'!$C$30))&lt;&gt;"",UPPER(TRIM((IF('Final Calculation Sheet'!$C$30="","",'Final Calculation Sheet'!$C$30))&amp;""))=UPPER(TRIM($I$2&amp;"")))))</f>
        <v/>
      </c>
      <c r="J30">
        <f>IF($J$3=FALSE,TRUE,IF(OR(UPPER(TRIM($J$2))="(BLANK)",UPPER(TRIM($J$2))="BLANK",AND($J$2&lt;&gt;"",TRIM($J$2)="")),(IF('Final Calculation Sheet'!$H$30="","",'Final Calculation Sheet'!$H$30))="",IF(OR(UPPER(TRIM($J$2))="(NONBLANK)",UPPER(TRIM($J$2))="NONBLANK",TRIM($J$2)="&lt;&gt;"),(IF('Final Calculation Sheet'!$H$30="","",'Final Calculation Sheet'!$H$30))&lt;&gt;"",UPPER(TRIM((IF('Final Calculation Sheet'!$H$30="","",'Final Calculation Sheet'!$H$30))&amp;""))=UPPER(TRIM($J$2&amp;"")))))</f>
        <v/>
      </c>
      <c r="K30">
        <f>IF($K$3=FALSE,TRUE,IF(OR(UPPER(TRIM($K$2))="(BLANK)",UPPER(TRIM($K$2))="BLANK",AND($K$2&lt;&gt;"",TRIM($K$2)="")),(IF('Final Calculation Sheet'!$I$30="","",'Final Calculation Sheet'!$I$30))="",IF(OR(UPPER(TRIM($K$2))="(NONBLANK)",UPPER(TRIM($K$2))="NONBLANK",TRIM($K$2)="&lt;&gt;"),(IF('Final Calculation Sheet'!$I$30="","",'Final Calculation Sheet'!$I$30))&lt;&gt;"",UPPER(TRIM((IF('Final Calculation Sheet'!$I$30="","",'Final Calculation Sheet'!$I$30))&amp;""))=UPPER(TRIM($K$2&amp;"")))))</f>
        <v/>
      </c>
      <c r="L30">
        <f>IF($L$3=FALSE,TRUE,IF(OR(UPPER(TRIM($L$2))="(BLANK)",UPPER(TRIM($L$2))="BLANK",AND($L$2&lt;&gt;"",TRIM($L$2)="")),(IF('Final Calculation Sheet'!$J$30="","",'Final Calculation Sheet'!$J$30))="",IF(OR(UPPER(TRIM($L$2))="(NONBLANK)",UPPER(TRIM($L$2))="NONBLANK",TRIM($L$2)="&lt;&gt;"),(IF('Final Calculation Sheet'!$J$30="","",'Final Calculation Sheet'!$J$30))&lt;&gt;"",UPPER(TRIM((IF('Final Calculation Sheet'!$J$30="","",'Final Calculation Sheet'!$J$30))&amp;""))=UPPER(TRIM($L$2&amp;"")))))</f>
        <v/>
      </c>
      <c r="M30">
        <f>IF($M$3=FALSE,TRUE,IF(OR(UPPER(TRIM($M$2))="(BLANK)",UPPER(TRIM($M$2))="BLANK",AND($M$2&lt;&gt;"",TRIM($M$2)="")),(IF('Final Calculation Sheet'!$K$30="","",'Final Calculation Sheet'!$K$30))="",IF(OR(UPPER(TRIM($M$2))="(NONBLANK)",UPPER(TRIM($M$2))="NONBLANK",TRIM($M$2)="&lt;&gt;"),(IF('Final Calculation Sheet'!$K$30="","",'Final Calculation Sheet'!$K$30))&lt;&gt;"",UPPER(TRIM((IF('Final Calculation Sheet'!$K$30="","",'Final Calculation Sheet'!$K$30))&amp;""))=UPPER(TRIM($M$2&amp;"")))))</f>
        <v/>
      </c>
      <c r="N30">
        <f>IF($N$3=FALSE,TRUE,IF(OR(UPPER(TRIM($N$2))="(BLANK)",UPPER(TRIM($N$2))="BLANK",AND($N$2&lt;&gt;"",TRIM($N$2)="")),(IF('Final Calculation Sheet'!$L$30="","",'Final Calculation Sheet'!$L$30))="",IF(OR(UPPER(TRIM($N$2))="(NONBLANK)",UPPER(TRIM($N$2))="NONBLANK",TRIM($N$2)="&lt;&gt;"),(IF('Final Calculation Sheet'!$L$30="","",'Final Calculation Sheet'!$L$30))&lt;&gt;"",UPPER(TRIM((IF('Final Calculation Sheet'!$L$30="","",'Final Calculation Sheet'!$L$30))&amp;""))=UPPER(TRIM($N$2&amp;"")))))</f>
        <v/>
      </c>
      <c r="O30">
        <f>IF($O$3=FALSE,TRUE,IF(OR(UPPER(TRIM($O$2))="(BLANK)",UPPER(TRIM($O$2))="BLANK",AND($O$2&lt;&gt;"",TRIM($O$2)="")),(IF('Final Calculation Sheet'!$M$30="","",'Final Calculation Sheet'!$M$30))="",IF(OR(UPPER(TRIM($O$2))="(NONBLANK)",UPPER(TRIM($O$2))="NONBLANK",TRIM($O$2)="&lt;&gt;"),(IF('Final Calculation Sheet'!$M$30="","",'Final Calculation Sheet'!$M$30))&lt;&gt;"",UPPER(TRIM((IF('Final Calculation Sheet'!$M$30="","",'Final Calculation Sheet'!$M$30))&amp;""))=UPPER(TRIM($O$2&amp;"")))))</f>
        <v/>
      </c>
      <c r="P30">
        <f>IF($P$3=FALSE,TRUE,IF(OR(UPPER(TRIM($P$2))="(BLANK)",UPPER(TRIM($P$2))="BLANK",AND($P$2&lt;&gt;"",TRIM($P$2)="")),(IF('Final Calculation Sheet'!$N$30="","",'Final Calculation Sheet'!$N$30))="",IF(OR(UPPER(TRIM($P$2))="(NONBLANK)",UPPER(TRIM($P$2))="NONBLANK",TRIM($P$2)="&lt;&gt;"),(IF('Final Calculation Sheet'!$N$30="","",'Final Calculation Sheet'!$N$30))&lt;&gt;"",UPPER(TRIM((IF('Final Calculation Sheet'!$N$30="","",'Final Calculation Sheet'!$N$30))&amp;""))=UPPER(TRIM($P$2&amp;"")))))</f>
        <v/>
      </c>
      <c r="Q30">
        <f>IF($Q$3=FALSE,TRUE,IF(OR(UPPER(TRIM($Q$2))="(BLANK)",UPPER(TRIM($Q$2))="BLANK",AND($Q$2&lt;&gt;"",TRIM($Q$2)="")),(IF('Final Calculation Sheet'!$O$30="","",'Final Calculation Sheet'!$O$30))="",IF(OR(UPPER(TRIM($Q$2))="(NONBLANK)",UPPER(TRIM($Q$2))="NONBLANK",TRIM($Q$2)="&lt;&gt;"),(IF('Final Calculation Sheet'!$O$30="","",'Final Calculation Sheet'!$O$30))&lt;&gt;"",UPPER(TRIM((IF('Final Calculation Sheet'!$O$30="","",'Final Calculation Sheet'!$O$30))&amp;""))=UPPER(TRIM($Q$2&amp;"")))))</f>
        <v/>
      </c>
      <c r="R30">
        <f>IF($R$3=FALSE,TRUE,IF(OR(UPPER(TRIM($R$2))="(BLANK)",UPPER(TRIM($R$2))="BLANK",AND($R$2&lt;&gt;"",TRIM($R$2)="")),(IF('Final Calculation Sheet'!$P$30="","",'Final Calculation Sheet'!$P$30))="",IF(OR(UPPER(TRIM($R$2))="(NONBLANK)",UPPER(TRIM($R$2))="NONBLANK",TRIM($R$2)="&lt;&gt;"),(IF('Final Calculation Sheet'!$P$30="","",'Final Calculation Sheet'!$P$30))&lt;&gt;"",UPPER(TRIM((IF('Final Calculation Sheet'!$P$30="","",'Final Calculation Sheet'!$P$30))&amp;""))=UPPER(TRIM($R$2&amp;"")))))</f>
        <v/>
      </c>
      <c r="S30">
        <f>IF($S$3=FALSE,TRUE,IF(OR(UPPER(TRIM($S$2))="(BLANK)",UPPER(TRIM($S$2))="BLANK",AND($S$2&lt;&gt;"",TRIM($S$2)="")),(IF('Final Calculation Sheet'!$Q$30="","",'Final Calculation Sheet'!$Q$30))="",IF(OR(UPPER(TRIM($S$2))="(NONBLANK)",UPPER(TRIM($S$2))="NONBLANK",TRIM($S$2)="&lt;&gt;"),(IF('Final Calculation Sheet'!$Q$30="","",'Final Calculation Sheet'!$Q$30))&lt;&gt;"",UPPER(TRIM((IF('Final Calculation Sheet'!$Q$30="","",'Final Calculation Sheet'!$Q$30))&amp;""))=UPPER(TRIM($S$2&amp;"")))))</f>
        <v/>
      </c>
      <c r="T30">
        <f>IF($T$3=FALSE,TRUE,IF(OR(UPPER(TRIM($T$2))="(BLANK)",UPPER(TRIM($T$2))="BLANK",AND($T$2&lt;&gt;"",TRIM($T$2)="")),(IF('Final Calculation Sheet'!$R$30="","",'Final Calculation Sheet'!$R$30))="",IF(OR(UPPER(TRIM($T$2))="(NONBLANK)",UPPER(TRIM($T$2))="NONBLANK",TRIM($T$2)="&lt;&gt;"),(IF('Final Calculation Sheet'!$R$30="","",'Final Calculation Sheet'!$R$30))&lt;&gt;"",UPPER(TRIM((IF('Final Calculation Sheet'!$R$30="","",'Final Calculation Sheet'!$R$30))&amp;""))=UPPER(TRIM($T$2&amp;"")))))</f>
        <v/>
      </c>
      <c r="U30">
        <f>IF($U$3=FALSE,TRUE,IF(OR(UPPER(TRIM($U$2))="(BLANK)",UPPER(TRIM($U$2))="BLANK",AND($U$2&lt;&gt;"",TRIM($U$2)="")),(IF('Final Calculation Sheet'!$S$30="","",'Final Calculation Sheet'!$S$30))="",IF(OR(UPPER(TRIM($U$2))="(NONBLANK)",UPPER(TRIM($U$2))="NONBLANK",TRIM($U$2)="&lt;&gt;"),(IF('Final Calculation Sheet'!$S$30="","",'Final Calculation Sheet'!$S$30))&lt;&gt;"",UPPER(TRIM((IF('Final Calculation Sheet'!$S$30="","",'Final Calculation Sheet'!$S$30))&amp;""))=UPPER(TRIM($U$2&amp;"")))))</f>
        <v/>
      </c>
      <c r="V30">
        <f>IF($V$3=FALSE,TRUE,IF(OR(UPPER(TRIM($V$2))="(BLANK)",UPPER(TRIM($V$2))="BLANK",AND($V$2&lt;&gt;"",TRIM($V$2)="")),(IF('Final Calculation Sheet'!$T$30="","",'Final Calculation Sheet'!$T$30))="",IF(OR(UPPER(TRIM($V$2))="(NONBLANK)",UPPER(TRIM($V$2))="NONBLANK",TRIM($V$2)="&lt;&gt;"),(IF('Final Calculation Sheet'!$T$30="","",'Final Calculation Sheet'!$T$30))&lt;&gt;"",UPPER(TRIM((IF('Final Calculation Sheet'!$T$30="","",'Final Calculation Sheet'!$T$30))&amp;""))=UPPER(TRIM($V$2&amp;"")))))</f>
        <v/>
      </c>
      <c r="W30">
        <f>IF($W$3=FALSE,TRUE,IF(OR(UPPER(TRIM($W$2))="(BLANK)",UPPER(TRIM($W$2))="BLANK",AND($W$2&lt;&gt;"",TRIM($W$2)="")),(IF('Final Calculation Sheet'!$U$30="","",'Final Calculation Sheet'!$U$30))="",IF(OR(UPPER(TRIM($W$2))="(NONBLANK)",UPPER(TRIM($W$2))="NONBLANK",TRIM($W$2)="&lt;&gt;"),(IF('Final Calculation Sheet'!$U$30="","",'Final Calculation Sheet'!$U$30))&lt;&gt;"",UPPER(TRIM((IF('Final Calculation Sheet'!$U$30="","",'Final Calculation Sheet'!$U$30))&amp;""))=UPPER(TRIM($W$2&amp;"")))))</f>
        <v/>
      </c>
      <c r="X30">
        <f>IF($X$3=FALSE,TRUE,IF(OR(UPPER(TRIM($X$2))="(BLANK)",UPPER(TRIM($X$2))="BLANK",AND($X$2&lt;&gt;"",TRIM($X$2)="")),(IF('Final Calculation Sheet'!$V$30="","",'Final Calculation Sheet'!$V$30))="",IF(OR(UPPER(TRIM($X$2))="(NONBLANK)",UPPER(TRIM($X$2))="NONBLANK",TRIM($X$2)="&lt;&gt;"),(IF('Final Calculation Sheet'!$V$30="","",'Final Calculation Sheet'!$V$30))&lt;&gt;"",UPPER(TRIM((IF('Final Calculation Sheet'!$V$30="","",'Final Calculation Sheet'!$V$30))&amp;""))=UPPER(TRIM($X$2&amp;"")))))</f>
        <v/>
      </c>
      <c r="Y30">
        <f>IF($Y$3=FALSE,TRUE,IF(OR(UPPER(TRIM($Y$2))="(BLANK)",UPPER(TRIM($Y$2))="BLANK",AND($Y$2&lt;&gt;"",TRIM($Y$2)="")),(IF('Final Calculation Sheet'!$W$30="","",'Final Calculation Sheet'!$W$30))="",IF(OR(UPPER(TRIM($Y$2))="(NONBLANK)",UPPER(TRIM($Y$2))="NONBLANK",TRIM($Y$2)="&lt;&gt;"),(IF('Final Calculation Sheet'!$W$30="","",'Final Calculation Sheet'!$W$30))&lt;&gt;"",UPPER(TRIM((IF('Final Calculation Sheet'!$W$30="","",'Final Calculation Sheet'!$W$30))&amp;""))=UPPER(TRIM($Y$2&amp;"")))))</f>
        <v/>
      </c>
      <c r="Z30">
        <f>IF($Z$3=FALSE,TRUE,IF(OR(UPPER(TRIM($Z$2))="(BLANK)",UPPER(TRIM($Z$2))="BLANK",AND($Z$2&lt;&gt;"",TRIM($Z$2)="")),(IF('Final Calculation Sheet'!$X$30="","",'Final Calculation Sheet'!$X$30))="",IF(OR(UPPER(TRIM($Z$2))="(NONBLANK)",UPPER(TRIM($Z$2))="NONBLANK",TRIM($Z$2)="&lt;&gt;"),(IF('Final Calculation Sheet'!$X$30="","",'Final Calculation Sheet'!$X$30))&lt;&gt;"",UPPER(TRIM((IF('Final Calculation Sheet'!$X$30="","",'Final Calculation Sheet'!$X$30))&amp;""))=UPPER(TRIM($Z$2&amp;"")))))</f>
        <v/>
      </c>
      <c r="AA30">
        <f>IF($AA$3=FALSE,TRUE,IF(OR(UPPER(TRIM($AA$2))="(BLANK)",UPPER(TRIM($AA$2))="BLANK",AND($AA$2&lt;&gt;"",TRIM($AA$2)="")),(IF('Final Calculation Sheet'!$Y$30="","",'Final Calculation Sheet'!$Y$30))="",IF(OR(UPPER(TRIM($AA$2))="(NONBLANK)",UPPER(TRIM($AA$2))="NONBLANK",TRIM($AA$2)="&lt;&gt;"),(IF('Final Calculation Sheet'!$Y$30="","",'Final Calculation Sheet'!$Y$30))&lt;&gt;"",UPPER(TRIM((IF('Final Calculation Sheet'!$Y$30="","",'Final Calculation Sheet'!$Y$30))&amp;""))=UPPER(TRIM($AA$2&amp;"")))))</f>
        <v/>
      </c>
      <c r="AB30">
        <f>IF($AB$3=FALSE,TRUE,IF(OR(UPPER(TRIM($AB$2))="(BLANK)",UPPER(TRIM($AB$2))="BLANK",AND($AB$2&lt;&gt;"",TRIM($AB$2)="")),(IF('Final Calculation Sheet'!$Z$30="","",'Final Calculation Sheet'!$Z$30))="",IF(OR(UPPER(TRIM($AB$2))="(NONBLANK)",UPPER(TRIM($AB$2))="NONBLANK",TRIM($AB$2)="&lt;&gt;"),(IF('Final Calculation Sheet'!$Z$30="","",'Final Calculation Sheet'!$Z$30))&lt;&gt;"",UPPER(TRIM((IF('Final Calculation Sheet'!$Z$30="","",'Final Calculation Sheet'!$Z$30))&amp;""))=UPPER(TRIM($AB$2&amp;"")))))</f>
        <v/>
      </c>
      <c r="AC30">
        <f>IF($AC$3=FALSE,TRUE,IF(OR(UPPER(TRIM($AC$2))="(BLANK)",UPPER(TRIM($AC$2))="BLANK",AND($AC$2&lt;&gt;"",TRIM($AC$2)="")),(IF('Final Calculation Sheet'!$AA$30="","",'Final Calculation Sheet'!$AA$30))="",IF(OR(UPPER(TRIM($AC$2))="(NONBLANK)",UPPER(TRIM($AC$2))="NONBLANK",TRIM($AC$2)="&lt;&gt;"),(IF('Final Calculation Sheet'!$AA$30="","",'Final Calculation Sheet'!$AA$30))&lt;&gt;"",UPPER(TRIM((IF('Final Calculation Sheet'!$AA$30="","",'Final Calculation Sheet'!$AA$30))&amp;""))=UPPER(TRIM($AC$2&amp;"")))))</f>
        <v/>
      </c>
      <c r="AD30">
        <f>IF($AD$3=FALSE,TRUE,IF(OR(UPPER(TRIM($AD$2))="(BLANK)",UPPER(TRIM($AD$2))="BLANK",AND($AD$2&lt;&gt;"",TRIM($AD$2)="")),(IF('Final Calculation Sheet'!$AB$30="","",'Final Calculation Sheet'!$AB$30))="",IF(OR(UPPER(TRIM($AD$2))="(NONBLANK)",UPPER(TRIM($AD$2))="NONBLANK",TRIM($AD$2)="&lt;&gt;"),(IF('Final Calculation Sheet'!$AB$30="","",'Final Calculation Sheet'!$AB$30))&lt;&gt;"",UPPER(TRIM((IF('Final Calculation Sheet'!$AB$30="","",'Final Calculation Sheet'!$AB$30))&amp;""))=UPPER(TRIM($AD$2&amp;"")))))</f>
        <v/>
      </c>
      <c r="AE30">
        <f>IF($AE$3=FALSE,TRUE,IF(OR(UPPER(TRIM($AE$2))="(BLANK)",UPPER(TRIM($AE$2))="BLANK",AND($AE$2&lt;&gt;"",TRIM($AE$2)="")),(IF('Final Calculation Sheet'!$AC$30="","",'Final Calculation Sheet'!$AC$30))="",IF(OR(UPPER(TRIM($AE$2))="(NONBLANK)",UPPER(TRIM($AE$2))="NONBLANK",TRIM($AE$2)="&lt;&gt;"),(IF('Final Calculation Sheet'!$AC$30="","",'Final Calculation Sheet'!$AC$30))&lt;&gt;"",UPPER(TRIM((IF('Final Calculation Sheet'!$AC$30="","",'Final Calculation Sheet'!$AC$30))&amp;""))=UPPER(TRIM($AE$2&amp;"")))))</f>
        <v/>
      </c>
      <c r="AF30">
        <f>IF($AF$3=FALSE,TRUE,IF(OR(UPPER(TRIM($AF$2))="(BLANK)",UPPER(TRIM($AF$2))="BLANK",AND($AF$2&lt;&gt;"",TRIM($AF$2)="")),(IF('Final Calculation Sheet'!$AD$30="","",'Final Calculation Sheet'!$AD$30))="",IF(OR(UPPER(TRIM($AF$2))="(NONBLANK)",UPPER(TRIM($AF$2))="NONBLANK",TRIM($AF$2)="&lt;&gt;"),(IF('Final Calculation Sheet'!$AD$30="","",'Final Calculation Sheet'!$AD$30))&lt;&gt;"",UPPER(TRIM((IF('Final Calculation Sheet'!$AD$30="","",'Final Calculation Sheet'!$AD$30))&amp;""))=UPPER(TRIM($AF$2&amp;"")))))</f>
        <v/>
      </c>
      <c r="AG30">
        <f>IF($AG$3=FALSE,TRUE,IF(OR(UPPER(TRIM($AG$2))="(BLANK)",UPPER(TRIM($AG$2))="BLANK",AND($AG$2&lt;&gt;"",TRIM($AG$2)="")),(IF('Final Calculation Sheet'!$AE$30="","",'Final Calculation Sheet'!$AE$30))="",IF(OR(UPPER(TRIM($AG$2))="(NONBLANK)",UPPER(TRIM($AG$2))="NONBLANK",TRIM($AG$2)="&lt;&gt;"),(IF('Final Calculation Sheet'!$AE$30="","",'Final Calculation Sheet'!$AE$30))&lt;&gt;"",UPPER(TRIM((IF('Final Calculation Sheet'!$AE$30="","",'Final Calculation Sheet'!$AE$30))&amp;""))=UPPER(TRIM($AG$2&amp;"")))))</f>
        <v/>
      </c>
      <c r="AH30">
        <f>IF($AH$3=FALSE,TRUE,IF(OR(UPPER(TRIM($AH$2))="(BLANK)",UPPER(TRIM($AH$2))="BLANK",AND($AH$2&lt;&gt;"",TRIM($AH$2)="")),(IF('Final Calculation Sheet'!$AF$30="","",'Final Calculation Sheet'!$AF$30))="",IF(OR(UPPER(TRIM($AH$2))="(NONBLANK)",UPPER(TRIM($AH$2))="NONBLANK",TRIM($AH$2)="&lt;&gt;"),(IF('Final Calculation Sheet'!$AF$30="","",'Final Calculation Sheet'!$AF$30))&lt;&gt;"",UPPER(TRIM((IF('Final Calculation Sheet'!$AF$30="","",'Final Calculation Sheet'!$AF$30))&amp;""))=UPPER(TRIM($AH$2&amp;"")))))</f>
        <v/>
      </c>
      <c r="AI30">
        <f>IF($AI$3=FALSE,TRUE,IF(OR(UPPER(TRIM($AI$2))="(BLANK)",UPPER(TRIM($AI$2))="BLANK",AND($AI$2&lt;&gt;"",TRIM($AI$2)="")),(IF('Final Calculation Sheet'!$AG$30="","",'Final Calculation Sheet'!$AG$30))="",IF(OR(UPPER(TRIM($AI$2))="(NONBLANK)",UPPER(TRIM($AI$2))="NONBLANK",TRIM($AI$2)="&lt;&gt;"),(IF('Final Calculation Sheet'!$AG$30="","",'Final Calculation Sheet'!$AG$30))&lt;&gt;"",UPPER(TRIM((IF('Final Calculation Sheet'!$AG$30="","",'Final Calculation Sheet'!$AG$30))&amp;""))=UPPER(TRIM($AI$2&amp;"")))))</f>
        <v/>
      </c>
      <c r="AJ30">
        <f>IF($AJ$3=FALSE,TRUE,IF(OR(UPPER(TRIM($AJ$2))="(BLANK)",UPPER(TRIM($AJ$2))="BLANK",AND($AJ$2&lt;&gt;"",TRIM($AJ$2)="")),(IF('Final Calculation Sheet'!$AD$30="","",IF('Final Calculation Sheet'!$AD$30&lt;=5,"SETTLED","OUTSTANDING")))="",IF(OR(UPPER(TRIM($AJ$2))="(NONBLANK)",UPPER(TRIM($AJ$2))="NONBLANK",TRIM($AJ$2)="&lt;&gt;"),(IF('Final Calculation Sheet'!$AD$30="","",IF('Final Calculation Sheet'!$AD$30&lt;=5,"SETTLED","OUTSTANDING")))&lt;&gt;"",UPPER(TRIM((IF('Final Calculation Sheet'!$AD$30="","",IF('Final Calculation Sheet'!$AD$30&lt;=5,"SETTLED","OUTSTANDING")))&amp;""))=UPPER(TRIM($AJ$2&amp;"")))))</f>
        <v/>
      </c>
      <c r="AL30">
        <f>IF(AND($B$30,$D$30:$AJ$30),IF('Final Calculation Sheet'!$F$30="","",'Final Calculation Sheet'!$F$30),"")</f>
        <v/>
      </c>
      <c r="AM30">
        <f>IF(AL30="","",COUNTIFS(AL$4:AL$40,"&lt;"&amp;AL30,AL$4:AL$40,"&lt;&gt;"&amp;"")+COUNTIF(AL$4:AL30,AL30))</f>
        <v/>
      </c>
      <c r="AN30">
        <f>IF(ROW()-3&gt;COUNTIF(AL$4:AL$40,"&lt;&gt;"&amp;""),"",INDEX(AL$4:AL$40,MATCH(ROW()-3,AM$4:AM$40,0)))</f>
        <v/>
      </c>
      <c r="AO30">
        <f>AO29+IF(AND(AN30&lt;&gt;"",COUNTIF(AN$4:AN30,AN30)=1),1,0)</f>
        <v/>
      </c>
      <c r="AP30">
        <f>IF(ROW()-3&gt;MAX(AO$4:AO$40),"",INDEX(AN$4:AN$40,MATCH(ROW()-3,AO$4:AO$40,0)))</f>
        <v/>
      </c>
      <c r="AQ30">
        <f>IF(AND($B$30:$C$30,$E$30:$AJ$30),IF('Final Calculation Sheet'!$G$30="","",'Final Calculation Sheet'!$G$30),"")</f>
        <v/>
      </c>
      <c r="AR30">
        <f>IF(AQ30="","",COUNTIFS(AQ$4:AQ$40,"&lt;"&amp;AQ30,AQ$4:AQ$40,"&lt;&gt;"&amp;"")+COUNTIF(AQ$4:AQ30,AQ30))</f>
        <v/>
      </c>
      <c r="AS30">
        <f>IF(ROW()-3&gt;COUNTIF(AQ$4:AQ$40,"&lt;&gt;"&amp;""),"",INDEX(AQ$4:AQ$40,MATCH(ROW()-3,AR$4:AR$40,0)))</f>
        <v/>
      </c>
      <c r="AT30">
        <f>AT29+IF(AND(AS30&lt;&gt;"",COUNTIF(AS$4:AS30,AS30)=1),1,0)</f>
        <v/>
      </c>
      <c r="AU30">
        <f>IF(ROW()-3&gt;MAX(AT$4:AT$40),"",INDEX(AS$4:AS$40,MATCH(ROW()-3,AT$4:AT$40,0)))</f>
        <v/>
      </c>
      <c r="AV30">
        <f>IF(AND($B$30:$D$30,$F$30:$AJ$30),IF('Final Calculation Sheet'!$B$30="","",'Final Calculation Sheet'!$B$30),"")</f>
        <v/>
      </c>
      <c r="AW30">
        <f>IF(AV30="","",COUNTIFS(AV$4:AV$40,"&lt;"&amp;AV30,AV$4:AV$40,"&lt;&gt;"&amp;"")+COUNTIF(AV$4:AV30,AV30))</f>
        <v/>
      </c>
      <c r="AX30">
        <f>IF(ROW()-3&gt;COUNTIF(AV$4:AV$40,"&lt;&gt;"&amp;""),"",INDEX(AV$4:AV$40,MATCH(ROW()-3,AW$4:AW$40,0)))</f>
        <v/>
      </c>
      <c r="AY30">
        <f>AY29+IF(AND(AX30&lt;&gt;"",COUNTIF(AX$4:AX30,AX30)=1),1,0)</f>
        <v/>
      </c>
      <c r="AZ30">
        <f>IF(ROW()-3&gt;MAX(AY$4:AY$40),"",INDEX(AX$4:AX$40,MATCH(ROW()-3,AY$4:AY$40,0)))</f>
        <v/>
      </c>
      <c r="BA30">
        <f>IF(AND($B$30:$E$30,$G$30:$AJ$30),IF('Final Calculation Sheet'!$D$30="","",'Final Calculation Sheet'!$D$30),"")</f>
        <v/>
      </c>
      <c r="BB30">
        <f>IF(BA30="","",COUNTIFS(BA$4:BA$40,"&lt;"&amp;BA30,BA$4:BA$40,"&lt;&gt;"&amp;"")+COUNTIF(BA$4:BA30,BA30))</f>
        <v/>
      </c>
      <c r="BC30">
        <f>IF(ROW()-3&gt;COUNTIF(BA$4:BA$40,"&lt;&gt;"&amp;""),"",INDEX(BA$4:BA$40,MATCH(ROW()-3,BB$4:BB$40,0)))</f>
        <v/>
      </c>
      <c r="BD30">
        <f>BD29+IF(AND(BC30&lt;&gt;"",COUNTIF(BC$4:BC30,BC30)=1),1,0)</f>
        <v/>
      </c>
      <c r="BE30">
        <f>IF(ROW()-3&gt;MAX(BD$4:BD$40),"",INDEX(BC$4:BC$40,MATCH(ROW()-3,BD$4:BD$40,0)))</f>
        <v/>
      </c>
      <c r="BF30">
        <f>IF(AND($B$30:$F$30,$H$30:$AJ$30),IF('Final Calculation Sheet'!$A$30="","",'Final Calculation Sheet'!$A$30),"")</f>
        <v/>
      </c>
      <c r="BG30">
        <f>IF(BF30="","",COUNTIFS(BF$4:BF$40,"&lt;"&amp;BF30,BF$4:BF$40,"&lt;&gt;"&amp;"")+COUNTIF(BF$4:BF30,BF30))</f>
        <v/>
      </c>
      <c r="BH30">
        <f>IF(ROW()-3&gt;COUNTIF(BF$4:BF$40,"&lt;&gt;"&amp;""),"",INDEX(BF$4:BF$40,MATCH(ROW()-3,BG$4:BG$40,0)))</f>
        <v/>
      </c>
      <c r="BI30">
        <f>BI29+IF(AND(BH30&lt;&gt;"",COUNTIF(BH$4:BH30,BH30)=1),1,0)</f>
        <v/>
      </c>
      <c r="BJ30">
        <f>IF(ROW()-3&gt;MAX(BI$4:BI$40),"",INDEX(BH$4:BH$40,MATCH(ROW()-3,BI$4:BI$40,0)))</f>
        <v/>
      </c>
      <c r="BK30">
        <f>IF(AND($B$30:$G$30,$I$30:$AJ$30),IF('Final Calculation Sheet'!$E$30="","",'Final Calculation Sheet'!$E$30),"")</f>
        <v/>
      </c>
      <c r="BL30">
        <f>IF(BK30="","",COUNTIFS(BK$4:BK$40,"&lt;"&amp;BK30,BK$4:BK$40,"&lt;&gt;"&amp;"")+COUNTIF(BK$4:BK30,BK30))</f>
        <v/>
      </c>
      <c r="BM30">
        <f>IF(ROW()-3&gt;COUNTIF(BK$4:BK$40,"&lt;&gt;"&amp;""),"",INDEX(BK$4:BK$40,MATCH(ROW()-3,BL$4:BL$40,0)))</f>
        <v/>
      </c>
      <c r="BN30">
        <f>BN29+IF(AND(BM30&lt;&gt;"",COUNTIF(BM$4:BM30,BM30)=1),1,0)</f>
        <v/>
      </c>
      <c r="BO30">
        <f>IF(ROW()-3&gt;MAX(BN$4:BN$40),"",INDEX(BM$4:BM$40,MATCH(ROW()-3,BN$4:BN$40,0)))</f>
        <v/>
      </c>
      <c r="BP30" s="55">
        <f>IF(AND($B$30:$H$30,$J$30:$AJ$30),IF('Final Calculation Sheet'!$C$30="","",'Final Calculation Sheet'!$C$30),"")</f>
        <v/>
      </c>
      <c r="BQ30">
        <f>IF(BP30="","",COUNTIFS(BP$4:BP$40,"&lt;"&amp;BP30,BP$4:BP$40,"&lt;&gt;"&amp;"")+COUNTIF(BP$4:BP30,BP30))</f>
        <v/>
      </c>
      <c r="BR30" s="55">
        <f>IF(ROW()-3&gt;COUNTIF(BP$4:BP$40,"&lt;&gt;"&amp;""),"",INDEX(BP$4:BP$40,MATCH(ROW()-3,BQ$4:BQ$40,0)))</f>
        <v/>
      </c>
      <c r="BS30">
        <f>BS29+IF(AND(BR30&lt;&gt;"",COUNTIF(BR$4:BR30,BR30)=1),1,0)</f>
        <v/>
      </c>
      <c r="BT30" s="55">
        <f>IF(ROW()-3&gt;MAX(BS$4:BS$40),"",INDEX(BR$4:BR$40,MATCH(ROW()-3,BS$4:BS$40,0)))</f>
        <v/>
      </c>
      <c r="BU30" s="55">
        <f>IF(AND($B$30:$I$30,$K$30:$AJ$30),IF('Final Calculation Sheet'!$H$30="","",'Final Calculation Sheet'!$H$30),"")</f>
        <v/>
      </c>
      <c r="BV30">
        <f>IF(BU30="","",COUNTIFS(BU$4:BU$40,"&lt;"&amp;BU30,BU$4:BU$40,"&lt;&gt;"&amp;"")+COUNTIF(BU$4:BU30,BU30))</f>
        <v/>
      </c>
      <c r="BW30" s="55">
        <f>IF(ROW()-3&gt;COUNTIF(BU$4:BU$40,"&lt;&gt;"&amp;""),"",INDEX(BU$4:BU$40,MATCH(ROW()-3,BV$4:BV$40,0)))</f>
        <v/>
      </c>
      <c r="BX30">
        <f>BX29+IF(AND(BW30&lt;&gt;"",COUNTIF(BW$4:BW30,BW30)=1),1,0)</f>
        <v/>
      </c>
      <c r="BY30" s="55">
        <f>IF(ROW()-3&gt;MAX(BX$4:BX$40),"",INDEX(BW$4:BW$40,MATCH(ROW()-3,BX$4:BX$40,0)))</f>
        <v/>
      </c>
      <c r="BZ30" s="55">
        <f>IF(AND($B$30:$J$30,$L$30:$AJ$30),IF('Final Calculation Sheet'!$I$30="","",'Final Calculation Sheet'!$I$30),"")</f>
        <v/>
      </c>
      <c r="CA30">
        <f>IF(BZ30="","",COUNTIFS(BZ$4:BZ$40,"&lt;"&amp;BZ30,BZ$4:BZ$40,"&lt;&gt;"&amp;"")+COUNTIF(BZ$4:BZ30,BZ30))</f>
        <v/>
      </c>
      <c r="CB30" s="55">
        <f>IF(ROW()-3&gt;COUNTIF(BZ$4:BZ$40,"&lt;&gt;"&amp;""),"",INDEX(BZ$4:BZ$40,MATCH(ROW()-3,CA$4:CA$40,0)))</f>
        <v/>
      </c>
      <c r="CC30">
        <f>CC29+IF(AND(CB30&lt;&gt;"",COUNTIF(CB$4:CB30,CB30)=1),1,0)</f>
        <v/>
      </c>
      <c r="CD30" s="55">
        <f>IF(ROW()-3&gt;MAX(CC$4:CC$40),"",INDEX(CB$4:CB$40,MATCH(ROW()-3,CC$4:CC$40,0)))</f>
        <v/>
      </c>
      <c r="CE30" s="55">
        <f>IF(AND($B$30:$K$30,$M$30:$AJ$30),IF('Final Calculation Sheet'!$J$30="","",'Final Calculation Sheet'!$J$30),"")</f>
        <v/>
      </c>
      <c r="CF30">
        <f>IF(CE30="","",COUNTIFS(CE$4:CE$40,"&lt;"&amp;CE30,CE$4:CE$40,"&lt;&gt;"&amp;"")+COUNTIF(CE$4:CE30,CE30))</f>
        <v/>
      </c>
      <c r="CG30" s="55">
        <f>IF(ROW()-3&gt;COUNTIF(CE$4:CE$40,"&lt;&gt;"&amp;""),"",INDEX(CE$4:CE$40,MATCH(ROW()-3,CF$4:CF$40,0)))</f>
        <v/>
      </c>
      <c r="CH30">
        <f>CH29+IF(AND(CG30&lt;&gt;"",COUNTIF(CG$4:CG30,CG30)=1),1,0)</f>
        <v/>
      </c>
      <c r="CI30" s="55">
        <f>IF(ROW()-3&gt;MAX(CH$4:CH$40),"",INDEX(CG$4:CG$40,MATCH(ROW()-3,CH$4:CH$40,0)))</f>
        <v/>
      </c>
      <c r="CJ30" s="55">
        <f>IF(AND($B$30:$L$30,$N$30:$AJ$30),IF('Final Calculation Sheet'!$K$30="","",'Final Calculation Sheet'!$K$30),"")</f>
        <v/>
      </c>
      <c r="CK30">
        <f>IF(CJ30="","",COUNTIFS(CJ$4:CJ$40,"&lt;"&amp;CJ30,CJ$4:CJ$40,"&lt;&gt;"&amp;"")+COUNTIF(CJ$4:CJ30,CJ30))</f>
        <v/>
      </c>
      <c r="CL30" s="55">
        <f>IF(ROW()-3&gt;COUNTIF(CJ$4:CJ$40,"&lt;&gt;"&amp;""),"",INDEX(CJ$4:CJ$40,MATCH(ROW()-3,CK$4:CK$40,0)))</f>
        <v/>
      </c>
      <c r="CM30">
        <f>CM29+IF(AND(CL30&lt;&gt;"",COUNTIF(CL$4:CL30,CL30)=1),1,0)</f>
        <v/>
      </c>
      <c r="CN30" s="55">
        <f>IF(ROW()-3&gt;MAX(CM$4:CM$40),"",INDEX(CL$4:CL$40,MATCH(ROW()-3,CM$4:CM$40,0)))</f>
        <v/>
      </c>
      <c r="CO30" s="55">
        <f>IF(AND($B$30:$M$30,$O$30:$AJ$30),IF('Final Calculation Sheet'!$L$30="","",'Final Calculation Sheet'!$L$30),"")</f>
        <v/>
      </c>
      <c r="CP30">
        <f>IF(CO30="","",COUNTIFS(CO$4:CO$40,"&lt;"&amp;CO30,CO$4:CO$40,"&lt;&gt;"&amp;"")+COUNTIF(CO$4:CO30,CO30))</f>
        <v/>
      </c>
      <c r="CQ30" s="55">
        <f>IF(ROW()-3&gt;COUNTIF(CO$4:CO$40,"&lt;&gt;"&amp;""),"",INDEX(CO$4:CO$40,MATCH(ROW()-3,CP$4:CP$40,0)))</f>
        <v/>
      </c>
      <c r="CR30">
        <f>CR29+IF(AND(CQ30&lt;&gt;"",COUNTIF(CQ$4:CQ30,CQ30)=1),1,0)</f>
        <v/>
      </c>
      <c r="CS30" s="55">
        <f>IF(ROW()-3&gt;MAX(CR$4:CR$40),"",INDEX(CQ$4:CQ$40,MATCH(ROW()-3,CR$4:CR$40,0)))</f>
        <v/>
      </c>
      <c r="CT30" s="55">
        <f>IF(AND($B$30:$N$30,$P$30:$AJ$30),IF('Final Calculation Sheet'!$M$30="","",'Final Calculation Sheet'!$M$30),"")</f>
        <v/>
      </c>
      <c r="CU30">
        <f>IF(CT30="","",COUNTIFS(CT$4:CT$40,"&lt;"&amp;CT30,CT$4:CT$40,"&lt;&gt;"&amp;"")+COUNTIF(CT$4:CT30,CT30))</f>
        <v/>
      </c>
      <c r="CV30" s="55">
        <f>IF(ROW()-3&gt;COUNTIF(CT$4:CT$40,"&lt;&gt;"&amp;""),"",INDEX(CT$4:CT$40,MATCH(ROW()-3,CU$4:CU$40,0)))</f>
        <v/>
      </c>
      <c r="CW30">
        <f>CW29+IF(AND(CV30&lt;&gt;"",COUNTIF(CV$4:CV30,CV30)=1),1,0)</f>
        <v/>
      </c>
      <c r="CX30" s="55">
        <f>IF(ROW()-3&gt;MAX(CW$4:CW$40),"",INDEX(CV$4:CV$40,MATCH(ROW()-3,CW$4:CW$40,0)))</f>
        <v/>
      </c>
      <c r="CY30" s="138">
        <f>IF(AND($B$30:$O$30,$Q$30:$AJ$30),IF('Final Calculation Sheet'!$N$30="","",'Final Calculation Sheet'!$N$30),"")</f>
        <v/>
      </c>
      <c r="CZ30">
        <f>IF(CY30="","",COUNTIFS(CY$4:CY$40,"&lt;"&amp;CY30,CY$4:CY$40,"&lt;&gt;"&amp;"")+COUNTIF(CY$4:CY30,CY30))</f>
        <v/>
      </c>
      <c r="DA30" s="138">
        <f>IF(ROW()-3&gt;COUNTIF(CY$4:CY$40,"&lt;&gt;"&amp;""),"",INDEX(CY$4:CY$40,MATCH(ROW()-3,CZ$4:CZ$40,0)))</f>
        <v/>
      </c>
      <c r="DB30">
        <f>DB29+IF(AND(DA30&lt;&gt;"",COUNTIF(DA$4:DA30,DA30)=1),1,0)</f>
        <v/>
      </c>
      <c r="DC30" s="138">
        <f>IF(ROW()-3&gt;MAX(DB$4:DB$40),"",INDEX(DA$4:DA$40,MATCH(ROW()-3,DB$4:DB$40,0)))</f>
        <v/>
      </c>
      <c r="DD30" s="55">
        <f>IF(AND($B$30:$P$30,$R$30:$AJ$30),IF('Final Calculation Sheet'!$O$30="","",'Final Calculation Sheet'!$O$30),"")</f>
        <v/>
      </c>
      <c r="DE30">
        <f>IF(DD30="","",COUNTIFS(DD$4:DD$40,"&lt;"&amp;DD30,DD$4:DD$40,"&lt;&gt;"&amp;"")+COUNTIF(DD$4:DD30,DD30))</f>
        <v/>
      </c>
      <c r="DF30" s="55">
        <f>IF(ROW()-3&gt;COUNTIF(DD$4:DD$40,"&lt;&gt;"&amp;""),"",INDEX(DD$4:DD$40,MATCH(ROW()-3,DE$4:DE$40,0)))</f>
        <v/>
      </c>
      <c r="DG30">
        <f>DG29+IF(AND(DF30&lt;&gt;"",COUNTIF(DF$4:DF30,DF30)=1),1,0)</f>
        <v/>
      </c>
      <c r="DH30" s="55">
        <f>IF(ROW()-3&gt;MAX(DG$4:DG$40),"",INDEX(DF$4:DF$40,MATCH(ROW()-3,DG$4:DG$40,0)))</f>
        <v/>
      </c>
      <c r="DI30" s="55">
        <f>IF(AND($B$30:$Q$30,$S$30:$AJ$30),IF('Final Calculation Sheet'!$P$30="","",'Final Calculation Sheet'!$P$30),"")</f>
        <v/>
      </c>
      <c r="DJ30">
        <f>IF(DI30="","",COUNTIFS(DI$4:DI$40,"&lt;"&amp;DI30,DI$4:DI$40,"&lt;&gt;"&amp;"")+COUNTIF(DI$4:DI30,DI30))</f>
        <v/>
      </c>
      <c r="DK30" s="55">
        <f>IF(ROW()-3&gt;COUNTIF(DI$4:DI$40,"&lt;&gt;"&amp;""),"",INDEX(DI$4:DI$40,MATCH(ROW()-3,DJ$4:DJ$40,0)))</f>
        <v/>
      </c>
      <c r="DL30">
        <f>DL29+IF(AND(DK30&lt;&gt;"",COUNTIF(DK$4:DK30,DK30)=1),1,0)</f>
        <v/>
      </c>
      <c r="DM30" s="55">
        <f>IF(ROW()-3&gt;MAX(DL$4:DL$40),"",INDEX(DK$4:DK$40,MATCH(ROW()-3,DL$4:DL$40,0)))</f>
        <v/>
      </c>
      <c r="DN30" s="139">
        <f>IF(AND($B$30:$R$30,$T$30:$AJ$30),IF('Final Calculation Sheet'!$Q$30="","",'Final Calculation Sheet'!$Q$30),"")</f>
        <v/>
      </c>
      <c r="DO30">
        <f>IF(DN30="","",COUNTIFS(DN$4:DN$40,"&lt;"&amp;DN30,DN$4:DN$40,"&lt;&gt;"&amp;"")+COUNTIF(DN$4:DN30,DN30))</f>
        <v/>
      </c>
      <c r="DP30" s="139">
        <f>IF(ROW()-3&gt;COUNTIF(DN$4:DN$40,"&lt;&gt;"&amp;""),"",INDEX(DN$4:DN$40,MATCH(ROW()-3,DO$4:DO$40,0)))</f>
        <v/>
      </c>
      <c r="DQ30">
        <f>DQ29+IF(AND(DP30&lt;&gt;"",COUNTIF(DP$4:DP30,DP30)=1),1,0)</f>
        <v/>
      </c>
      <c r="DR30" s="139">
        <f>IF(ROW()-3&gt;MAX(DQ$4:DQ$40),"",INDEX(DP$4:DP$40,MATCH(ROW()-3,DQ$4:DQ$40,0)))</f>
        <v/>
      </c>
      <c r="DS30" s="55">
        <f>IF(AND($B$30:$S$30,$U$30:$AJ$30),IF('Final Calculation Sheet'!$R$30="","",'Final Calculation Sheet'!$R$30),"")</f>
        <v/>
      </c>
      <c r="DT30">
        <f>IF(DS30="","",COUNTIFS(DS$4:DS$40,"&lt;"&amp;DS30,DS$4:DS$40,"&lt;&gt;"&amp;"")+COUNTIF(DS$4:DS30,DS30))</f>
        <v/>
      </c>
      <c r="DU30" s="55">
        <f>IF(ROW()-3&gt;COUNTIF(DS$4:DS$40,"&lt;&gt;"&amp;""),"",INDEX(DS$4:DS$40,MATCH(ROW()-3,DT$4:DT$40,0)))</f>
        <v/>
      </c>
      <c r="DV30">
        <f>DV29+IF(AND(DU30&lt;&gt;"",COUNTIF(DU$4:DU30,DU30)=1),1,0)</f>
        <v/>
      </c>
      <c r="DW30" s="55">
        <f>IF(ROW()-3&gt;MAX(DV$4:DV$40),"",INDEX(DU$4:DU$40,MATCH(ROW()-3,DV$4:DV$40,0)))</f>
        <v/>
      </c>
      <c r="DX30" s="55">
        <f>IF(AND($B$30:$T$30,$V$30:$AJ$30),IF('Final Calculation Sheet'!$S$30="","",'Final Calculation Sheet'!$S$30),"")</f>
        <v/>
      </c>
      <c r="DY30">
        <f>IF(DX30="","",COUNTIFS(DX$4:DX$40,"&lt;"&amp;DX30,DX$4:DX$40,"&lt;&gt;"&amp;"")+COUNTIF(DX$4:DX30,DX30))</f>
        <v/>
      </c>
      <c r="DZ30" s="55">
        <f>IF(ROW()-3&gt;COUNTIF(DX$4:DX$40,"&lt;&gt;"&amp;""),"",INDEX(DX$4:DX$40,MATCH(ROW()-3,DY$4:DY$40,0)))</f>
        <v/>
      </c>
      <c r="EA30">
        <f>EA29+IF(AND(DZ30&lt;&gt;"",COUNTIF(DZ$4:DZ30,DZ30)=1),1,0)</f>
        <v/>
      </c>
      <c r="EB30" s="55">
        <f>IF(ROW()-3&gt;MAX(EA$4:EA$40),"",INDEX(DZ$4:DZ$40,MATCH(ROW()-3,EA$4:EA$40,0)))</f>
        <v/>
      </c>
      <c r="EC30" s="55">
        <f>IF(AND($B$30:$U$30,$W$30:$AJ$30),IF('Final Calculation Sheet'!$T$30="","",'Final Calculation Sheet'!$T$30),"")</f>
        <v/>
      </c>
      <c r="ED30">
        <f>IF(EC30="","",COUNTIFS(EC$4:EC$40,"&lt;"&amp;EC30,EC$4:EC$40,"&lt;&gt;"&amp;"")+COUNTIF(EC$4:EC30,EC30))</f>
        <v/>
      </c>
      <c r="EE30" s="55">
        <f>IF(ROW()-3&gt;COUNTIF(EC$4:EC$40,"&lt;&gt;"&amp;""),"",INDEX(EC$4:EC$40,MATCH(ROW()-3,ED$4:ED$40,0)))</f>
        <v/>
      </c>
      <c r="EF30">
        <f>EF29+IF(AND(EE30&lt;&gt;"",COUNTIF(EE$4:EE30,EE30)=1),1,0)</f>
        <v/>
      </c>
      <c r="EG30" s="55">
        <f>IF(ROW()-3&gt;MAX(EF$4:EF$40),"",INDEX(EE$4:EE$40,MATCH(ROW()-3,EF$4:EF$40,0)))</f>
        <v/>
      </c>
      <c r="EH30" s="140">
        <f>IF(AND($B$30:$V$30,$X$30:$AJ$30),IF('Final Calculation Sheet'!$U$30="","",'Final Calculation Sheet'!$U$30),"")</f>
        <v/>
      </c>
      <c r="EI30">
        <f>IF(EH30="","",COUNTIFS(EH$4:EH$40,"&lt;"&amp;EH30,EH$4:EH$40,"&lt;&gt;"&amp;"")+COUNTIF(EH$4:EH30,EH30))</f>
        <v/>
      </c>
      <c r="EJ30" s="140">
        <f>IF(ROW()-3&gt;COUNTIF(EH$4:EH$40,"&lt;&gt;"&amp;""),"",INDEX(EH$4:EH$40,MATCH(ROW()-3,EI$4:EI$40,0)))</f>
        <v/>
      </c>
      <c r="EK30">
        <f>EK29+IF(AND(EJ30&lt;&gt;"",COUNTIF(EJ$4:EJ30,EJ30)=1),1,0)</f>
        <v/>
      </c>
      <c r="EL30" s="140">
        <f>IF(ROW()-3&gt;MAX(EK$4:EK$40),"",INDEX(EJ$4:EJ$40,MATCH(ROW()-3,EK$4:EK$40,0)))</f>
        <v/>
      </c>
      <c r="EM30">
        <f>IF(AND($B$30:$W$30,$Y$30:$AJ$30),IF('Final Calculation Sheet'!$V$30="","",'Final Calculation Sheet'!$V$30),"")</f>
        <v/>
      </c>
      <c r="EN30">
        <f>IF(EM30="","",COUNTIFS(EM$4:EM$40,"&lt;"&amp;EM30,EM$4:EM$40,"&lt;&gt;"&amp;"")+COUNTIF(EM$4:EM30,EM30))</f>
        <v/>
      </c>
      <c r="EO30">
        <f>IF(ROW()-3&gt;COUNTIF(EM$4:EM$40,"&lt;&gt;"&amp;""),"",INDEX(EM$4:EM$40,MATCH(ROW()-3,EN$4:EN$40,0)))</f>
        <v/>
      </c>
      <c r="EP30">
        <f>EP29+IF(AND(EO30&lt;&gt;"",COUNTIF(EO$4:EO30,EO30)=1),1,0)</f>
        <v/>
      </c>
      <c r="EQ30">
        <f>IF(ROW()-3&gt;MAX(EP$4:EP$40),"",INDEX(EO$4:EO$40,MATCH(ROW()-3,EP$4:EP$40,0)))</f>
        <v/>
      </c>
      <c r="ER30" s="55">
        <f>IF(AND($B$30:$X$30,$Z$30:$AJ$30),IF('Final Calculation Sheet'!$W$30="","",'Final Calculation Sheet'!$W$30),"")</f>
        <v/>
      </c>
      <c r="ES30">
        <f>IF(ER30="","",COUNTIFS(ER$4:ER$40,"&lt;"&amp;ER30,ER$4:ER$40,"&lt;&gt;"&amp;"")+COUNTIF(ER$4:ER30,ER30))</f>
        <v/>
      </c>
      <c r="ET30" s="55">
        <f>IF(ROW()-3&gt;COUNTIF(ER$4:ER$40,"&lt;&gt;"&amp;""),"",INDEX(ER$4:ER$40,MATCH(ROW()-3,ES$4:ES$40,0)))</f>
        <v/>
      </c>
      <c r="EU30">
        <f>EU29+IF(AND(ET30&lt;&gt;"",COUNTIF(ET$4:ET30,ET30)=1),1,0)</f>
        <v/>
      </c>
      <c r="EV30" s="55">
        <f>IF(ROW()-3&gt;MAX(EU$4:EU$40),"",INDEX(ET$4:ET$40,MATCH(ROW()-3,EU$4:EU$40,0)))</f>
        <v/>
      </c>
      <c r="EW30" s="55">
        <f>IF(AND($B$30:$Y$30,$AA$30:$AJ$30),IF('Final Calculation Sheet'!$X$30="","",'Final Calculation Sheet'!$X$30),"")</f>
        <v/>
      </c>
      <c r="EX30">
        <f>IF(EW30="","",COUNTIFS(EW$4:EW$40,"&lt;"&amp;EW30,EW$4:EW$40,"&lt;&gt;"&amp;"")+COUNTIF(EW$4:EW30,EW30))</f>
        <v/>
      </c>
      <c r="EY30" s="55">
        <f>IF(ROW()-3&gt;COUNTIF(EW$4:EW$40,"&lt;&gt;"&amp;""),"",INDEX(EW$4:EW$40,MATCH(ROW()-3,EX$4:EX$40,0)))</f>
        <v/>
      </c>
      <c r="EZ30">
        <f>EZ29+IF(AND(EY30&lt;&gt;"",COUNTIF(EY$4:EY30,EY30)=1),1,0)</f>
        <v/>
      </c>
      <c r="FA30">
        <f>IF(ROW()-3&gt;MAX(EZ$4:EZ$40),"",INDEX(EY$4:EY$40,MATCH(ROW()-3,EZ$4:EZ$40,0)))</f>
        <v/>
      </c>
      <c r="FB30">
        <f>IF(AND($B$30:$Z$30,$AB$30:$AJ$30),IF('Final Calculation Sheet'!$Y$30="","",'Final Calculation Sheet'!$Y$30),"")</f>
        <v/>
      </c>
      <c r="FC30">
        <f>IF(FB30="","",COUNTIFS(FB$4:FB$40,"&lt;"&amp;FB30,FB$4:FB$40,"&lt;&gt;"&amp;"")+COUNTIF(FB$4:FB30,FB30))</f>
        <v/>
      </c>
      <c r="FD30">
        <f>IF(ROW()-3&gt;COUNTIF(FB$4:FB$40,"&lt;&gt;"&amp;""),"",INDEX(FB$4:FB$40,MATCH(ROW()-3,FC$4:FC$40,0)))</f>
        <v/>
      </c>
      <c r="FE30">
        <f>FE29+IF(AND(FD30&lt;&gt;"",COUNTIF(FD$4:FD30,FD30)=1),1,0)</f>
        <v/>
      </c>
      <c r="FF30">
        <f>IF(ROW()-3&gt;MAX(FE$4:FE$40),"",INDEX(FD$4:FD$40,MATCH(ROW()-3,FE$4:FE$40,0)))</f>
        <v/>
      </c>
      <c r="FG30" s="55">
        <f>IF(AND($B$30:$AA$30,$AC$30:$AJ$30),IF('Final Calculation Sheet'!$Z$30="","",'Final Calculation Sheet'!$Z$30),"")</f>
        <v/>
      </c>
      <c r="FH30">
        <f>IF(FG30="","",COUNTIFS(FG$4:FG$40,"&lt;"&amp;FG30,FG$4:FG$40,"&lt;&gt;"&amp;"")+COUNTIF(FG$4:FG30,FG30))</f>
        <v/>
      </c>
      <c r="FI30" s="55">
        <f>IF(ROW()-3&gt;COUNTIF(FG$4:FG$40,"&lt;&gt;"&amp;""),"",INDEX(FG$4:FG$40,MATCH(ROW()-3,FH$4:FH$40,0)))</f>
        <v/>
      </c>
      <c r="FJ30">
        <f>FJ29+IF(AND(FI30&lt;&gt;"",COUNTIF(FI$4:FI30,FI30)=1),1,0)</f>
        <v/>
      </c>
      <c r="FK30" s="55">
        <f>IF(ROW()-3&gt;MAX(FJ$4:FJ$40),"",INDEX(FI$4:FI$40,MATCH(ROW()-3,FJ$4:FJ$40,0)))</f>
        <v/>
      </c>
      <c r="FL30">
        <f>IF(AND($B$30:$AB$30,$AD$30:$AJ$30),IF('Final Calculation Sheet'!$AA$30="","",'Final Calculation Sheet'!$AA$30),"")</f>
        <v/>
      </c>
      <c r="FM30">
        <f>IF(FL30="","",COUNTIFS(FL$4:FL$40,"&lt;"&amp;FL30,FL$4:FL$40,"&lt;&gt;"&amp;"")+COUNTIF(FL$4:FL30,FL30))</f>
        <v/>
      </c>
      <c r="FN30">
        <f>IF(ROW()-3&gt;COUNTIF(FL$4:FL$40,"&lt;&gt;"&amp;""),"",INDEX(FL$4:FL$40,MATCH(ROW()-3,FM$4:FM$40,0)))</f>
        <v/>
      </c>
      <c r="FO30">
        <f>FO29+IF(AND(FN30&lt;&gt;"",COUNTIF(FN$4:FN30,FN30)=1),1,0)</f>
        <v/>
      </c>
      <c r="FP30">
        <f>IF(ROW()-3&gt;MAX(FO$4:FO$40),"",INDEX(FN$4:FN$40,MATCH(ROW()-3,FO$4:FO$40,0)))</f>
        <v/>
      </c>
      <c r="FQ30">
        <f>IF(AND($B$30:$AC$30,$AE$30:$AJ$30),IF('Final Calculation Sheet'!$AB$30="","",'Final Calculation Sheet'!$AB$30),"")</f>
        <v/>
      </c>
      <c r="FR30">
        <f>IF(FQ30="","",COUNTIFS(FQ$4:FQ$40,"&lt;"&amp;FQ30,FQ$4:FQ$40,"&lt;&gt;"&amp;"")+COUNTIF(FQ$4:FQ30,FQ30))</f>
        <v/>
      </c>
      <c r="FS30">
        <f>IF(ROW()-3&gt;COUNTIF(FQ$4:FQ$40,"&lt;&gt;"&amp;""),"",INDEX(FQ$4:FQ$40,MATCH(ROW()-3,FR$4:FR$40,0)))</f>
        <v/>
      </c>
      <c r="FT30">
        <f>FT29+IF(AND(FS30&lt;&gt;"",COUNTIF(FS$4:FS30,FS30)=1),1,0)</f>
        <v/>
      </c>
      <c r="FU30">
        <f>IF(ROW()-3&gt;MAX(FT$4:FT$40),"",INDEX(FS$4:FS$40,MATCH(ROW()-3,FT$4:FT$40,0)))</f>
        <v/>
      </c>
      <c r="FV30" s="55">
        <f>IF(AND($B$30:$AD$30,$AF$30:$AJ$30),IF('Final Calculation Sheet'!$AC$30="","",'Final Calculation Sheet'!$AC$30),"")</f>
        <v/>
      </c>
      <c r="FW30">
        <f>IF(FV30="","",COUNTIFS(FV$4:FV$40,"&lt;"&amp;FV30,FV$4:FV$40,"&lt;&gt;"&amp;"")+COUNTIF(FV$4:FV30,FV30))</f>
        <v/>
      </c>
      <c r="FX30" s="55">
        <f>IF(ROW()-3&gt;COUNTIF(FV$4:FV$40,"&lt;&gt;"&amp;""),"",INDEX(FV$4:FV$40,MATCH(ROW()-3,FW$4:FW$40,0)))</f>
        <v/>
      </c>
      <c r="FY30">
        <f>FY29+IF(AND(FX30&lt;&gt;"",COUNTIF(FX$4:FX30,FX30)=1),1,0)</f>
        <v/>
      </c>
      <c r="FZ30" s="55">
        <f>IF(ROW()-3&gt;MAX(FY$4:FY$40),"",INDEX(FX$4:FX$40,MATCH(ROW()-3,FY$4:FY$40,0)))</f>
        <v/>
      </c>
      <c r="GA30" s="55">
        <f>IF(AND($B$30:$AE$30,$AG$30:$AJ$30),IF('Final Calculation Sheet'!$AD$30="","",'Final Calculation Sheet'!$AD$30),"")</f>
        <v/>
      </c>
      <c r="GB30">
        <f>IF(GA30="","",COUNTIFS(GA$4:GA$40,"&lt;"&amp;GA30,GA$4:GA$40,"&lt;&gt;"&amp;"")+COUNTIF(GA$4:GA30,GA30))</f>
        <v/>
      </c>
      <c r="GC30" s="55">
        <f>IF(ROW()-3&gt;COUNTIF(GA$4:GA$40,"&lt;&gt;"&amp;""),"",INDEX(GA$4:GA$40,MATCH(ROW()-3,GB$4:GB$40,0)))</f>
        <v/>
      </c>
      <c r="GD30">
        <f>GD29+IF(AND(GC30&lt;&gt;"",COUNTIF(GC$4:GC30,GC30)=1),1,0)</f>
        <v/>
      </c>
      <c r="GE30" s="55">
        <f>IF(ROW()-3&gt;MAX(GD$4:GD$40),"",INDEX(GC$4:GC$40,MATCH(ROW()-3,GD$4:GD$40,0)))</f>
        <v/>
      </c>
      <c r="GF30">
        <f>IF(AND($B$30:$AF$30,$AH$30:$AJ$30),IF('Final Calculation Sheet'!$AE$30="","",'Final Calculation Sheet'!$AE$30),"")</f>
        <v/>
      </c>
      <c r="GG30">
        <f>IF(GF30="","",COUNTIFS(GF$4:GF$40,"&lt;"&amp;GF30,GF$4:GF$40,"&lt;&gt;"&amp;"")+COUNTIF(GF$4:GF30,GF30))</f>
        <v/>
      </c>
      <c r="GH30">
        <f>IF(ROW()-3&gt;COUNTIF(GF$4:GF$40,"&lt;&gt;"&amp;""),"",INDEX(GF$4:GF$40,MATCH(ROW()-3,GG$4:GG$40,0)))</f>
        <v/>
      </c>
      <c r="GI30">
        <f>GI29+IF(AND(GH30&lt;&gt;"",COUNTIF(GH$4:GH30,GH30)=1),1,0)</f>
        <v/>
      </c>
      <c r="GJ30">
        <f>IF(ROW()-3&gt;MAX(GI$4:GI$40),"",INDEX(GH$4:GH$40,MATCH(ROW()-3,GI$4:GI$40,0)))</f>
        <v/>
      </c>
      <c r="GK30" s="141">
        <f>IF(AND($B$30:$AG$30,$AI$30:$AJ$30),IF('Final Calculation Sheet'!$AF$30="","",'Final Calculation Sheet'!$AF$30),"")</f>
        <v/>
      </c>
      <c r="GL30">
        <f>IF(GK30="","",COUNTIFS(GK$4:GK$40,"&lt;"&amp;GK30,GK$4:GK$40,"&lt;&gt;"&amp;"")+COUNTIF(GK$4:GK30,GK30))</f>
        <v/>
      </c>
      <c r="GM30" s="141">
        <f>IF(ROW()-3&gt;COUNTIF(GK$4:GK$40,"&lt;&gt;"&amp;""),"",INDEX(GK$4:GK$40,MATCH(ROW()-3,GL$4:GL$40,0)))</f>
        <v/>
      </c>
      <c r="GN30">
        <f>GN29+IF(AND(GM30&lt;&gt;"",COUNTIF(GM$4:GM30,GM30)=1),1,0)</f>
        <v/>
      </c>
      <c r="GO30">
        <f>IF(ROW()-3&gt;MAX(GN$4:GN$40),"",INDEX(GM$4:GM$40,MATCH(ROW()-3,GN$4:GN$40,0)))</f>
        <v/>
      </c>
      <c r="GP30">
        <f>IF(AND($B$30:$AH$30,$AJ$30:$AJ$30),IF('Final Calculation Sheet'!$AG$30="","",'Final Calculation Sheet'!$AG$30),"")</f>
        <v/>
      </c>
      <c r="GQ30">
        <f>IF(GP30="","",COUNTIFS(GP$4:GP$40,"&lt;"&amp;GP30,GP$4:GP$40,"&lt;&gt;"&amp;"")+COUNTIF(GP$4:GP30,GP30))</f>
        <v/>
      </c>
      <c r="GR30">
        <f>IF(ROW()-3&gt;COUNTIF(GP$4:GP$40,"&lt;&gt;"&amp;""),"",INDEX(GP$4:GP$40,MATCH(ROW()-3,GQ$4:GQ$40,0)))</f>
        <v/>
      </c>
      <c r="GS30">
        <f>GS29+IF(AND(GR30&lt;&gt;"",COUNTIF(GR$4:GR30,GR30)=1),1,0)</f>
        <v/>
      </c>
      <c r="GT30">
        <f>IF(ROW()-3&gt;MAX(GS$4:GS$40),"",INDEX(GR$4:GR$40,MATCH(ROW()-3,GS$4:GS$40,0)))</f>
        <v/>
      </c>
    </row>
    <row r="31">
      <c r="A31" t="inlineStr">
        <is>
          <t>Final row 31</t>
        </is>
      </c>
      <c r="B31" t="b">
        <v>1</v>
      </c>
      <c r="C31">
        <f>IF($C$3=FALSE,TRUE,IF(OR(UPPER(TRIM($C$2))="(BLANK)",UPPER(TRIM($C$2))="BLANK",AND($C$2&lt;&gt;"",TRIM($C$2)="")),(IF('Final Calculation Sheet'!$F$31="","",'Final Calculation Sheet'!$F$31))="",IF(OR(UPPER(TRIM($C$2))="(NONBLANK)",UPPER(TRIM($C$2))="NONBLANK",TRIM($C$2)="&lt;&gt;"),(IF('Final Calculation Sheet'!$F$31="","",'Final Calculation Sheet'!$F$31))&lt;&gt;"",UPPER(TRIM((IF('Final Calculation Sheet'!$F$31="","",'Final Calculation Sheet'!$F$31))&amp;""))=UPPER(TRIM($C$2&amp;"")))))</f>
        <v/>
      </c>
      <c r="D31">
        <f>IF($D$3=FALSE,TRUE,IF(OR(UPPER(TRIM($D$2))="(BLANK)",UPPER(TRIM($D$2))="BLANK",AND($D$2&lt;&gt;"",TRIM($D$2)="")),(IF('Final Calculation Sheet'!$G$31="","",'Final Calculation Sheet'!$G$31))="",IF(OR(UPPER(TRIM($D$2))="(NONBLANK)",UPPER(TRIM($D$2))="NONBLANK",TRIM($D$2)="&lt;&gt;"),(IF('Final Calculation Sheet'!$G$31="","",'Final Calculation Sheet'!$G$31))&lt;&gt;"",UPPER(TRIM((IF('Final Calculation Sheet'!$G$31="","",'Final Calculation Sheet'!$G$31))&amp;""))=UPPER(TRIM($D$2&amp;"")))))</f>
        <v/>
      </c>
      <c r="E31">
        <f>IF($E$3=FALSE,TRUE,IF(OR(UPPER(TRIM($E$2))="(BLANK)",UPPER(TRIM($E$2))="BLANK",AND($E$2&lt;&gt;"",TRIM($E$2)="")),(IF('Final Calculation Sheet'!$B$31="","",'Final Calculation Sheet'!$B$31))="",IF(OR(UPPER(TRIM($E$2))="(NONBLANK)",UPPER(TRIM($E$2))="NONBLANK",TRIM($E$2)="&lt;&gt;"),(IF('Final Calculation Sheet'!$B$31="","",'Final Calculation Sheet'!$B$31))&lt;&gt;"",UPPER(TRIM((IF('Final Calculation Sheet'!$B$31="","",'Final Calculation Sheet'!$B$31))&amp;""))=UPPER(TRIM($E$2&amp;"")))))</f>
        <v/>
      </c>
      <c r="F31">
        <f>IF($F$3=FALSE,TRUE,IF(OR(UPPER(TRIM($F$2))="(BLANK)",UPPER(TRIM($F$2))="BLANK",AND($F$2&lt;&gt;"",TRIM($F$2)="")),(IF('Final Calculation Sheet'!$D$31="","",'Final Calculation Sheet'!$D$31))="",IF(OR(UPPER(TRIM($F$2))="(NONBLANK)",UPPER(TRIM($F$2))="NONBLANK",TRIM($F$2)="&lt;&gt;"),(IF('Final Calculation Sheet'!$D$31="","",'Final Calculation Sheet'!$D$31))&lt;&gt;"",UPPER(TRIM((IF('Final Calculation Sheet'!$D$31="","",'Final Calculation Sheet'!$D$31))&amp;""))=UPPER(TRIM($F$2&amp;"")))))</f>
        <v/>
      </c>
      <c r="G31">
        <f>IF($G$3=FALSE,TRUE,IF(OR(UPPER(TRIM($G$2))="(BLANK)",UPPER(TRIM($G$2))="BLANK",AND($G$2&lt;&gt;"",TRIM($G$2)="")),(IF('Final Calculation Sheet'!$A$31="","",'Final Calculation Sheet'!$A$31))="",IF(OR(UPPER(TRIM($G$2))="(NONBLANK)",UPPER(TRIM($G$2))="NONBLANK",TRIM($G$2)="&lt;&gt;"),(IF('Final Calculation Sheet'!$A$31="","",'Final Calculation Sheet'!$A$31))&lt;&gt;"",UPPER(TRIM((IF('Final Calculation Sheet'!$A$31="","",'Final Calculation Sheet'!$A$31))&amp;""))=UPPER(TRIM($G$2&amp;"")))))</f>
        <v/>
      </c>
      <c r="H31">
        <f>IF($H$3=FALSE,TRUE,IF(OR(UPPER(TRIM($H$2))="(BLANK)",UPPER(TRIM($H$2))="BLANK",AND($H$2&lt;&gt;"",TRIM($H$2)="")),(IF('Final Calculation Sheet'!$E$31="","",'Final Calculation Sheet'!$E$31))="",IF(OR(UPPER(TRIM($H$2))="(NONBLANK)",UPPER(TRIM($H$2))="NONBLANK",TRIM($H$2)="&lt;&gt;"),(IF('Final Calculation Sheet'!$E$31="","",'Final Calculation Sheet'!$E$31))&lt;&gt;"",UPPER(TRIM((IF('Final Calculation Sheet'!$E$31="","",'Final Calculation Sheet'!$E$31))&amp;""))=UPPER(TRIM($H$2&amp;"")))))</f>
        <v/>
      </c>
      <c r="I31">
        <f>IF($I$3=FALSE,TRUE,IF(OR(UPPER(TRIM($I$2))="(BLANK)",UPPER(TRIM($I$2))="BLANK",AND($I$2&lt;&gt;"",TRIM($I$2)="")),(IF('Final Calculation Sheet'!$C$31="","",'Final Calculation Sheet'!$C$31))="",IF(OR(UPPER(TRIM($I$2))="(NONBLANK)",UPPER(TRIM($I$2))="NONBLANK",TRIM($I$2)="&lt;&gt;"),(IF('Final Calculation Sheet'!$C$31="","",'Final Calculation Sheet'!$C$31))&lt;&gt;"",UPPER(TRIM((IF('Final Calculation Sheet'!$C$31="","",'Final Calculation Sheet'!$C$31))&amp;""))=UPPER(TRIM($I$2&amp;"")))))</f>
        <v/>
      </c>
      <c r="J31">
        <f>IF($J$3=FALSE,TRUE,IF(OR(UPPER(TRIM($J$2))="(BLANK)",UPPER(TRIM($J$2))="BLANK",AND($J$2&lt;&gt;"",TRIM($J$2)="")),(IF('Final Calculation Sheet'!$H$31="","",'Final Calculation Sheet'!$H$31))="",IF(OR(UPPER(TRIM($J$2))="(NONBLANK)",UPPER(TRIM($J$2))="NONBLANK",TRIM($J$2)="&lt;&gt;"),(IF('Final Calculation Sheet'!$H$31="","",'Final Calculation Sheet'!$H$31))&lt;&gt;"",UPPER(TRIM((IF('Final Calculation Sheet'!$H$31="","",'Final Calculation Sheet'!$H$31))&amp;""))=UPPER(TRIM($J$2&amp;"")))))</f>
        <v/>
      </c>
      <c r="K31">
        <f>IF($K$3=FALSE,TRUE,IF(OR(UPPER(TRIM($K$2))="(BLANK)",UPPER(TRIM($K$2))="BLANK",AND($K$2&lt;&gt;"",TRIM($K$2)="")),(IF('Final Calculation Sheet'!$I$31="","",'Final Calculation Sheet'!$I$31))="",IF(OR(UPPER(TRIM($K$2))="(NONBLANK)",UPPER(TRIM($K$2))="NONBLANK",TRIM($K$2)="&lt;&gt;"),(IF('Final Calculation Sheet'!$I$31="","",'Final Calculation Sheet'!$I$31))&lt;&gt;"",UPPER(TRIM((IF('Final Calculation Sheet'!$I$31="","",'Final Calculation Sheet'!$I$31))&amp;""))=UPPER(TRIM($K$2&amp;"")))))</f>
        <v/>
      </c>
      <c r="L31">
        <f>IF($L$3=FALSE,TRUE,IF(OR(UPPER(TRIM($L$2))="(BLANK)",UPPER(TRIM($L$2))="BLANK",AND($L$2&lt;&gt;"",TRIM($L$2)="")),(IF('Final Calculation Sheet'!$J$31="","",'Final Calculation Sheet'!$J$31))="",IF(OR(UPPER(TRIM($L$2))="(NONBLANK)",UPPER(TRIM($L$2))="NONBLANK",TRIM($L$2)="&lt;&gt;"),(IF('Final Calculation Sheet'!$J$31="","",'Final Calculation Sheet'!$J$31))&lt;&gt;"",UPPER(TRIM((IF('Final Calculation Sheet'!$J$31="","",'Final Calculation Sheet'!$J$31))&amp;""))=UPPER(TRIM($L$2&amp;"")))))</f>
        <v/>
      </c>
      <c r="M31">
        <f>IF($M$3=FALSE,TRUE,IF(OR(UPPER(TRIM($M$2))="(BLANK)",UPPER(TRIM($M$2))="BLANK",AND($M$2&lt;&gt;"",TRIM($M$2)="")),(IF('Final Calculation Sheet'!$K$31="","",'Final Calculation Sheet'!$K$31))="",IF(OR(UPPER(TRIM($M$2))="(NONBLANK)",UPPER(TRIM($M$2))="NONBLANK",TRIM($M$2)="&lt;&gt;"),(IF('Final Calculation Sheet'!$K$31="","",'Final Calculation Sheet'!$K$31))&lt;&gt;"",UPPER(TRIM((IF('Final Calculation Sheet'!$K$31="","",'Final Calculation Sheet'!$K$31))&amp;""))=UPPER(TRIM($M$2&amp;"")))))</f>
        <v/>
      </c>
      <c r="N31">
        <f>IF($N$3=FALSE,TRUE,IF(OR(UPPER(TRIM($N$2))="(BLANK)",UPPER(TRIM($N$2))="BLANK",AND($N$2&lt;&gt;"",TRIM($N$2)="")),(IF('Final Calculation Sheet'!$L$31="","",'Final Calculation Sheet'!$L$31))="",IF(OR(UPPER(TRIM($N$2))="(NONBLANK)",UPPER(TRIM($N$2))="NONBLANK",TRIM($N$2)="&lt;&gt;"),(IF('Final Calculation Sheet'!$L$31="","",'Final Calculation Sheet'!$L$31))&lt;&gt;"",UPPER(TRIM((IF('Final Calculation Sheet'!$L$31="","",'Final Calculation Sheet'!$L$31))&amp;""))=UPPER(TRIM($N$2&amp;"")))))</f>
        <v/>
      </c>
      <c r="O31">
        <f>IF($O$3=FALSE,TRUE,IF(OR(UPPER(TRIM($O$2))="(BLANK)",UPPER(TRIM($O$2))="BLANK",AND($O$2&lt;&gt;"",TRIM($O$2)="")),(IF('Final Calculation Sheet'!$M$31="","",'Final Calculation Sheet'!$M$31))="",IF(OR(UPPER(TRIM($O$2))="(NONBLANK)",UPPER(TRIM($O$2))="NONBLANK",TRIM($O$2)="&lt;&gt;"),(IF('Final Calculation Sheet'!$M$31="","",'Final Calculation Sheet'!$M$31))&lt;&gt;"",UPPER(TRIM((IF('Final Calculation Sheet'!$M$31="","",'Final Calculation Sheet'!$M$31))&amp;""))=UPPER(TRIM($O$2&amp;"")))))</f>
        <v/>
      </c>
      <c r="P31">
        <f>IF($P$3=FALSE,TRUE,IF(OR(UPPER(TRIM($P$2))="(BLANK)",UPPER(TRIM($P$2))="BLANK",AND($P$2&lt;&gt;"",TRIM($P$2)="")),(IF('Final Calculation Sheet'!$N$31="","",'Final Calculation Sheet'!$N$31))="",IF(OR(UPPER(TRIM($P$2))="(NONBLANK)",UPPER(TRIM($P$2))="NONBLANK",TRIM($P$2)="&lt;&gt;"),(IF('Final Calculation Sheet'!$N$31="","",'Final Calculation Sheet'!$N$31))&lt;&gt;"",UPPER(TRIM((IF('Final Calculation Sheet'!$N$31="","",'Final Calculation Sheet'!$N$31))&amp;""))=UPPER(TRIM($P$2&amp;"")))))</f>
        <v/>
      </c>
      <c r="Q31">
        <f>IF($Q$3=FALSE,TRUE,IF(OR(UPPER(TRIM($Q$2))="(BLANK)",UPPER(TRIM($Q$2))="BLANK",AND($Q$2&lt;&gt;"",TRIM($Q$2)="")),(IF('Final Calculation Sheet'!$O$31="","",'Final Calculation Sheet'!$O$31))="",IF(OR(UPPER(TRIM($Q$2))="(NONBLANK)",UPPER(TRIM($Q$2))="NONBLANK",TRIM($Q$2)="&lt;&gt;"),(IF('Final Calculation Sheet'!$O$31="","",'Final Calculation Sheet'!$O$31))&lt;&gt;"",UPPER(TRIM((IF('Final Calculation Sheet'!$O$31="","",'Final Calculation Sheet'!$O$31))&amp;""))=UPPER(TRIM($Q$2&amp;"")))))</f>
        <v/>
      </c>
      <c r="R31">
        <f>IF($R$3=FALSE,TRUE,IF(OR(UPPER(TRIM($R$2))="(BLANK)",UPPER(TRIM($R$2))="BLANK",AND($R$2&lt;&gt;"",TRIM($R$2)="")),(IF('Final Calculation Sheet'!$P$31="","",'Final Calculation Sheet'!$P$31))="",IF(OR(UPPER(TRIM($R$2))="(NONBLANK)",UPPER(TRIM($R$2))="NONBLANK",TRIM($R$2)="&lt;&gt;"),(IF('Final Calculation Sheet'!$P$31="","",'Final Calculation Sheet'!$P$31))&lt;&gt;"",UPPER(TRIM((IF('Final Calculation Sheet'!$P$31="","",'Final Calculation Sheet'!$P$31))&amp;""))=UPPER(TRIM($R$2&amp;"")))))</f>
        <v/>
      </c>
      <c r="S31">
        <f>IF($S$3=FALSE,TRUE,IF(OR(UPPER(TRIM($S$2))="(BLANK)",UPPER(TRIM($S$2))="BLANK",AND($S$2&lt;&gt;"",TRIM($S$2)="")),(IF('Final Calculation Sheet'!$Q$31="","",'Final Calculation Sheet'!$Q$31))="",IF(OR(UPPER(TRIM($S$2))="(NONBLANK)",UPPER(TRIM($S$2))="NONBLANK",TRIM($S$2)="&lt;&gt;"),(IF('Final Calculation Sheet'!$Q$31="","",'Final Calculation Sheet'!$Q$31))&lt;&gt;"",UPPER(TRIM((IF('Final Calculation Sheet'!$Q$31="","",'Final Calculation Sheet'!$Q$31))&amp;""))=UPPER(TRIM($S$2&amp;"")))))</f>
        <v/>
      </c>
      <c r="T31">
        <f>IF($T$3=FALSE,TRUE,IF(OR(UPPER(TRIM($T$2))="(BLANK)",UPPER(TRIM($T$2))="BLANK",AND($T$2&lt;&gt;"",TRIM($T$2)="")),(IF('Final Calculation Sheet'!$R$31="","",'Final Calculation Sheet'!$R$31))="",IF(OR(UPPER(TRIM($T$2))="(NONBLANK)",UPPER(TRIM($T$2))="NONBLANK",TRIM($T$2)="&lt;&gt;"),(IF('Final Calculation Sheet'!$R$31="","",'Final Calculation Sheet'!$R$31))&lt;&gt;"",UPPER(TRIM((IF('Final Calculation Sheet'!$R$31="","",'Final Calculation Sheet'!$R$31))&amp;""))=UPPER(TRIM($T$2&amp;"")))))</f>
        <v/>
      </c>
      <c r="U31">
        <f>IF($U$3=FALSE,TRUE,IF(OR(UPPER(TRIM($U$2))="(BLANK)",UPPER(TRIM($U$2))="BLANK",AND($U$2&lt;&gt;"",TRIM($U$2)="")),(IF('Final Calculation Sheet'!$S$31="","",'Final Calculation Sheet'!$S$31))="",IF(OR(UPPER(TRIM($U$2))="(NONBLANK)",UPPER(TRIM($U$2))="NONBLANK",TRIM($U$2)="&lt;&gt;"),(IF('Final Calculation Sheet'!$S$31="","",'Final Calculation Sheet'!$S$31))&lt;&gt;"",UPPER(TRIM((IF('Final Calculation Sheet'!$S$31="","",'Final Calculation Sheet'!$S$31))&amp;""))=UPPER(TRIM($U$2&amp;"")))))</f>
        <v/>
      </c>
      <c r="V31">
        <f>IF($V$3=FALSE,TRUE,IF(OR(UPPER(TRIM($V$2))="(BLANK)",UPPER(TRIM($V$2))="BLANK",AND($V$2&lt;&gt;"",TRIM($V$2)="")),(IF('Final Calculation Sheet'!$T$31="","",'Final Calculation Sheet'!$T$31))="",IF(OR(UPPER(TRIM($V$2))="(NONBLANK)",UPPER(TRIM($V$2))="NONBLANK",TRIM($V$2)="&lt;&gt;"),(IF('Final Calculation Sheet'!$T$31="","",'Final Calculation Sheet'!$T$31))&lt;&gt;"",UPPER(TRIM((IF('Final Calculation Sheet'!$T$31="","",'Final Calculation Sheet'!$T$31))&amp;""))=UPPER(TRIM($V$2&amp;"")))))</f>
        <v/>
      </c>
      <c r="W31">
        <f>IF($W$3=FALSE,TRUE,IF(OR(UPPER(TRIM($W$2))="(BLANK)",UPPER(TRIM($W$2))="BLANK",AND($W$2&lt;&gt;"",TRIM($W$2)="")),(IF('Final Calculation Sheet'!$U$31="","",'Final Calculation Sheet'!$U$31))="",IF(OR(UPPER(TRIM($W$2))="(NONBLANK)",UPPER(TRIM($W$2))="NONBLANK",TRIM($W$2)="&lt;&gt;"),(IF('Final Calculation Sheet'!$U$31="","",'Final Calculation Sheet'!$U$31))&lt;&gt;"",UPPER(TRIM((IF('Final Calculation Sheet'!$U$31="","",'Final Calculation Sheet'!$U$31))&amp;""))=UPPER(TRIM($W$2&amp;"")))))</f>
        <v/>
      </c>
      <c r="X31">
        <f>IF($X$3=FALSE,TRUE,IF(OR(UPPER(TRIM($X$2))="(BLANK)",UPPER(TRIM($X$2))="BLANK",AND($X$2&lt;&gt;"",TRIM($X$2)="")),(IF('Final Calculation Sheet'!$V$31="","",'Final Calculation Sheet'!$V$31))="",IF(OR(UPPER(TRIM($X$2))="(NONBLANK)",UPPER(TRIM($X$2))="NONBLANK",TRIM($X$2)="&lt;&gt;"),(IF('Final Calculation Sheet'!$V$31="","",'Final Calculation Sheet'!$V$31))&lt;&gt;"",UPPER(TRIM((IF('Final Calculation Sheet'!$V$31="","",'Final Calculation Sheet'!$V$31))&amp;""))=UPPER(TRIM($X$2&amp;"")))))</f>
        <v/>
      </c>
      <c r="Y31">
        <f>IF($Y$3=FALSE,TRUE,IF(OR(UPPER(TRIM($Y$2))="(BLANK)",UPPER(TRIM($Y$2))="BLANK",AND($Y$2&lt;&gt;"",TRIM($Y$2)="")),(IF('Final Calculation Sheet'!$W$31="","",'Final Calculation Sheet'!$W$31))="",IF(OR(UPPER(TRIM($Y$2))="(NONBLANK)",UPPER(TRIM($Y$2))="NONBLANK",TRIM($Y$2)="&lt;&gt;"),(IF('Final Calculation Sheet'!$W$31="","",'Final Calculation Sheet'!$W$31))&lt;&gt;"",UPPER(TRIM((IF('Final Calculation Sheet'!$W$31="","",'Final Calculation Sheet'!$W$31))&amp;""))=UPPER(TRIM($Y$2&amp;"")))))</f>
        <v/>
      </c>
      <c r="Z31">
        <f>IF($Z$3=FALSE,TRUE,IF(OR(UPPER(TRIM($Z$2))="(BLANK)",UPPER(TRIM($Z$2))="BLANK",AND($Z$2&lt;&gt;"",TRIM($Z$2)="")),(IF('Final Calculation Sheet'!$X$31="","",'Final Calculation Sheet'!$X$31))="",IF(OR(UPPER(TRIM($Z$2))="(NONBLANK)",UPPER(TRIM($Z$2))="NONBLANK",TRIM($Z$2)="&lt;&gt;"),(IF('Final Calculation Sheet'!$X$31="","",'Final Calculation Sheet'!$X$31))&lt;&gt;"",UPPER(TRIM((IF('Final Calculation Sheet'!$X$31="","",'Final Calculation Sheet'!$X$31))&amp;""))=UPPER(TRIM($Z$2&amp;"")))))</f>
        <v/>
      </c>
      <c r="AA31">
        <f>IF($AA$3=FALSE,TRUE,IF(OR(UPPER(TRIM($AA$2))="(BLANK)",UPPER(TRIM($AA$2))="BLANK",AND($AA$2&lt;&gt;"",TRIM($AA$2)="")),(IF('Final Calculation Sheet'!$Y$31="","",'Final Calculation Sheet'!$Y$31))="",IF(OR(UPPER(TRIM($AA$2))="(NONBLANK)",UPPER(TRIM($AA$2))="NONBLANK",TRIM($AA$2)="&lt;&gt;"),(IF('Final Calculation Sheet'!$Y$31="","",'Final Calculation Sheet'!$Y$31))&lt;&gt;"",UPPER(TRIM((IF('Final Calculation Sheet'!$Y$31="","",'Final Calculation Sheet'!$Y$31))&amp;""))=UPPER(TRIM($AA$2&amp;"")))))</f>
        <v/>
      </c>
      <c r="AB31">
        <f>IF($AB$3=FALSE,TRUE,IF(OR(UPPER(TRIM($AB$2))="(BLANK)",UPPER(TRIM($AB$2))="BLANK",AND($AB$2&lt;&gt;"",TRIM($AB$2)="")),(IF('Final Calculation Sheet'!$Z$31="","",'Final Calculation Sheet'!$Z$31))="",IF(OR(UPPER(TRIM($AB$2))="(NONBLANK)",UPPER(TRIM($AB$2))="NONBLANK",TRIM($AB$2)="&lt;&gt;"),(IF('Final Calculation Sheet'!$Z$31="","",'Final Calculation Sheet'!$Z$31))&lt;&gt;"",UPPER(TRIM((IF('Final Calculation Sheet'!$Z$31="","",'Final Calculation Sheet'!$Z$31))&amp;""))=UPPER(TRIM($AB$2&amp;"")))))</f>
        <v/>
      </c>
      <c r="AC31">
        <f>IF($AC$3=FALSE,TRUE,IF(OR(UPPER(TRIM($AC$2))="(BLANK)",UPPER(TRIM($AC$2))="BLANK",AND($AC$2&lt;&gt;"",TRIM($AC$2)="")),(IF('Final Calculation Sheet'!$AA$31="","",'Final Calculation Sheet'!$AA$31))="",IF(OR(UPPER(TRIM($AC$2))="(NONBLANK)",UPPER(TRIM($AC$2))="NONBLANK",TRIM($AC$2)="&lt;&gt;"),(IF('Final Calculation Sheet'!$AA$31="","",'Final Calculation Sheet'!$AA$31))&lt;&gt;"",UPPER(TRIM((IF('Final Calculation Sheet'!$AA$31="","",'Final Calculation Sheet'!$AA$31))&amp;""))=UPPER(TRIM($AC$2&amp;"")))))</f>
        <v/>
      </c>
      <c r="AD31">
        <f>IF($AD$3=FALSE,TRUE,IF(OR(UPPER(TRIM($AD$2))="(BLANK)",UPPER(TRIM($AD$2))="BLANK",AND($AD$2&lt;&gt;"",TRIM($AD$2)="")),(IF('Final Calculation Sheet'!$AB$31="","",'Final Calculation Sheet'!$AB$31))="",IF(OR(UPPER(TRIM($AD$2))="(NONBLANK)",UPPER(TRIM($AD$2))="NONBLANK",TRIM($AD$2)="&lt;&gt;"),(IF('Final Calculation Sheet'!$AB$31="","",'Final Calculation Sheet'!$AB$31))&lt;&gt;"",UPPER(TRIM((IF('Final Calculation Sheet'!$AB$31="","",'Final Calculation Sheet'!$AB$31))&amp;""))=UPPER(TRIM($AD$2&amp;"")))))</f>
        <v/>
      </c>
      <c r="AE31">
        <f>IF($AE$3=FALSE,TRUE,IF(OR(UPPER(TRIM($AE$2))="(BLANK)",UPPER(TRIM($AE$2))="BLANK",AND($AE$2&lt;&gt;"",TRIM($AE$2)="")),(IF('Final Calculation Sheet'!$AC$31="","",'Final Calculation Sheet'!$AC$31))="",IF(OR(UPPER(TRIM($AE$2))="(NONBLANK)",UPPER(TRIM($AE$2))="NONBLANK",TRIM($AE$2)="&lt;&gt;"),(IF('Final Calculation Sheet'!$AC$31="","",'Final Calculation Sheet'!$AC$31))&lt;&gt;"",UPPER(TRIM((IF('Final Calculation Sheet'!$AC$31="","",'Final Calculation Sheet'!$AC$31))&amp;""))=UPPER(TRIM($AE$2&amp;"")))))</f>
        <v/>
      </c>
      <c r="AF31">
        <f>IF($AF$3=FALSE,TRUE,IF(OR(UPPER(TRIM($AF$2))="(BLANK)",UPPER(TRIM($AF$2))="BLANK",AND($AF$2&lt;&gt;"",TRIM($AF$2)="")),(IF('Final Calculation Sheet'!$AD$31="","",'Final Calculation Sheet'!$AD$31))="",IF(OR(UPPER(TRIM($AF$2))="(NONBLANK)",UPPER(TRIM($AF$2))="NONBLANK",TRIM($AF$2)="&lt;&gt;"),(IF('Final Calculation Sheet'!$AD$31="","",'Final Calculation Sheet'!$AD$31))&lt;&gt;"",UPPER(TRIM((IF('Final Calculation Sheet'!$AD$31="","",'Final Calculation Sheet'!$AD$31))&amp;""))=UPPER(TRIM($AF$2&amp;"")))))</f>
        <v/>
      </c>
      <c r="AG31">
        <f>IF($AG$3=FALSE,TRUE,IF(OR(UPPER(TRIM($AG$2))="(BLANK)",UPPER(TRIM($AG$2))="BLANK",AND($AG$2&lt;&gt;"",TRIM($AG$2)="")),(IF('Final Calculation Sheet'!$AE$31="","",'Final Calculation Sheet'!$AE$31))="",IF(OR(UPPER(TRIM($AG$2))="(NONBLANK)",UPPER(TRIM($AG$2))="NONBLANK",TRIM($AG$2)="&lt;&gt;"),(IF('Final Calculation Sheet'!$AE$31="","",'Final Calculation Sheet'!$AE$31))&lt;&gt;"",UPPER(TRIM((IF('Final Calculation Sheet'!$AE$31="","",'Final Calculation Sheet'!$AE$31))&amp;""))=UPPER(TRIM($AG$2&amp;"")))))</f>
        <v/>
      </c>
      <c r="AH31">
        <f>IF($AH$3=FALSE,TRUE,IF(OR(UPPER(TRIM($AH$2))="(BLANK)",UPPER(TRIM($AH$2))="BLANK",AND($AH$2&lt;&gt;"",TRIM($AH$2)="")),(IF('Final Calculation Sheet'!$AF$31="","",'Final Calculation Sheet'!$AF$31))="",IF(OR(UPPER(TRIM($AH$2))="(NONBLANK)",UPPER(TRIM($AH$2))="NONBLANK",TRIM($AH$2)="&lt;&gt;"),(IF('Final Calculation Sheet'!$AF$31="","",'Final Calculation Sheet'!$AF$31))&lt;&gt;"",UPPER(TRIM((IF('Final Calculation Sheet'!$AF$31="","",'Final Calculation Sheet'!$AF$31))&amp;""))=UPPER(TRIM($AH$2&amp;"")))))</f>
        <v/>
      </c>
      <c r="AI31">
        <f>IF($AI$3=FALSE,TRUE,IF(OR(UPPER(TRIM($AI$2))="(BLANK)",UPPER(TRIM($AI$2))="BLANK",AND($AI$2&lt;&gt;"",TRIM($AI$2)="")),(IF('Final Calculation Sheet'!$AG$31="","",'Final Calculation Sheet'!$AG$31))="",IF(OR(UPPER(TRIM($AI$2))="(NONBLANK)",UPPER(TRIM($AI$2))="NONBLANK",TRIM($AI$2)="&lt;&gt;"),(IF('Final Calculation Sheet'!$AG$31="","",'Final Calculation Sheet'!$AG$31))&lt;&gt;"",UPPER(TRIM((IF('Final Calculation Sheet'!$AG$31="","",'Final Calculation Sheet'!$AG$31))&amp;""))=UPPER(TRIM($AI$2&amp;"")))))</f>
        <v/>
      </c>
      <c r="AJ31">
        <f>IF($AJ$3=FALSE,TRUE,IF(OR(UPPER(TRIM($AJ$2))="(BLANK)",UPPER(TRIM($AJ$2))="BLANK",AND($AJ$2&lt;&gt;"",TRIM($AJ$2)="")),(IF('Final Calculation Sheet'!$AD$31="","",IF('Final Calculation Sheet'!$AD$31&lt;=5,"SETTLED","OUTSTANDING")))="",IF(OR(UPPER(TRIM($AJ$2))="(NONBLANK)",UPPER(TRIM($AJ$2))="NONBLANK",TRIM($AJ$2)="&lt;&gt;"),(IF('Final Calculation Sheet'!$AD$31="","",IF('Final Calculation Sheet'!$AD$31&lt;=5,"SETTLED","OUTSTANDING")))&lt;&gt;"",UPPER(TRIM((IF('Final Calculation Sheet'!$AD$31="","",IF('Final Calculation Sheet'!$AD$31&lt;=5,"SETTLED","OUTSTANDING")))&amp;""))=UPPER(TRIM($AJ$2&amp;"")))))</f>
        <v/>
      </c>
      <c r="AL31">
        <f>IF(AND($B$31,$D$31:$AJ$31),IF('Final Calculation Sheet'!$F$31="","",'Final Calculation Sheet'!$F$31),"")</f>
        <v/>
      </c>
      <c r="AM31">
        <f>IF(AL31="","",COUNTIFS(AL$4:AL$40,"&lt;"&amp;AL31,AL$4:AL$40,"&lt;&gt;"&amp;"")+COUNTIF(AL$4:AL31,AL31))</f>
        <v/>
      </c>
      <c r="AN31">
        <f>IF(ROW()-3&gt;COUNTIF(AL$4:AL$40,"&lt;&gt;"&amp;""),"",INDEX(AL$4:AL$40,MATCH(ROW()-3,AM$4:AM$40,0)))</f>
        <v/>
      </c>
      <c r="AO31">
        <f>AO30+IF(AND(AN31&lt;&gt;"",COUNTIF(AN$4:AN31,AN31)=1),1,0)</f>
        <v/>
      </c>
      <c r="AP31">
        <f>IF(ROW()-3&gt;MAX(AO$4:AO$40),"",INDEX(AN$4:AN$40,MATCH(ROW()-3,AO$4:AO$40,0)))</f>
        <v/>
      </c>
      <c r="AQ31">
        <f>IF(AND($B$31:$C$31,$E$31:$AJ$31),IF('Final Calculation Sheet'!$G$31="","",'Final Calculation Sheet'!$G$31),"")</f>
        <v/>
      </c>
      <c r="AR31">
        <f>IF(AQ31="","",COUNTIFS(AQ$4:AQ$40,"&lt;"&amp;AQ31,AQ$4:AQ$40,"&lt;&gt;"&amp;"")+COUNTIF(AQ$4:AQ31,AQ31))</f>
        <v/>
      </c>
      <c r="AS31">
        <f>IF(ROW()-3&gt;COUNTIF(AQ$4:AQ$40,"&lt;&gt;"&amp;""),"",INDEX(AQ$4:AQ$40,MATCH(ROW()-3,AR$4:AR$40,0)))</f>
        <v/>
      </c>
      <c r="AT31">
        <f>AT30+IF(AND(AS31&lt;&gt;"",COUNTIF(AS$4:AS31,AS31)=1),1,0)</f>
        <v/>
      </c>
      <c r="AU31">
        <f>IF(ROW()-3&gt;MAX(AT$4:AT$40),"",INDEX(AS$4:AS$40,MATCH(ROW()-3,AT$4:AT$40,0)))</f>
        <v/>
      </c>
      <c r="AV31">
        <f>IF(AND($B$31:$D$31,$F$31:$AJ$31),IF('Final Calculation Sheet'!$B$31="","",'Final Calculation Sheet'!$B$31),"")</f>
        <v/>
      </c>
      <c r="AW31">
        <f>IF(AV31="","",COUNTIFS(AV$4:AV$40,"&lt;"&amp;AV31,AV$4:AV$40,"&lt;&gt;"&amp;"")+COUNTIF(AV$4:AV31,AV31))</f>
        <v/>
      </c>
      <c r="AX31">
        <f>IF(ROW()-3&gt;COUNTIF(AV$4:AV$40,"&lt;&gt;"&amp;""),"",INDEX(AV$4:AV$40,MATCH(ROW()-3,AW$4:AW$40,0)))</f>
        <v/>
      </c>
      <c r="AY31">
        <f>AY30+IF(AND(AX31&lt;&gt;"",COUNTIF(AX$4:AX31,AX31)=1),1,0)</f>
        <v/>
      </c>
      <c r="AZ31">
        <f>IF(ROW()-3&gt;MAX(AY$4:AY$40),"",INDEX(AX$4:AX$40,MATCH(ROW()-3,AY$4:AY$40,0)))</f>
        <v/>
      </c>
      <c r="BA31">
        <f>IF(AND($B$31:$E$31,$G$31:$AJ$31),IF('Final Calculation Sheet'!$D$31="","",'Final Calculation Sheet'!$D$31),"")</f>
        <v/>
      </c>
      <c r="BB31">
        <f>IF(BA31="","",COUNTIFS(BA$4:BA$40,"&lt;"&amp;BA31,BA$4:BA$40,"&lt;&gt;"&amp;"")+COUNTIF(BA$4:BA31,BA31))</f>
        <v/>
      </c>
      <c r="BC31">
        <f>IF(ROW()-3&gt;COUNTIF(BA$4:BA$40,"&lt;&gt;"&amp;""),"",INDEX(BA$4:BA$40,MATCH(ROW()-3,BB$4:BB$40,0)))</f>
        <v/>
      </c>
      <c r="BD31">
        <f>BD30+IF(AND(BC31&lt;&gt;"",COUNTIF(BC$4:BC31,BC31)=1),1,0)</f>
        <v/>
      </c>
      <c r="BE31">
        <f>IF(ROW()-3&gt;MAX(BD$4:BD$40),"",INDEX(BC$4:BC$40,MATCH(ROW()-3,BD$4:BD$40,0)))</f>
        <v/>
      </c>
      <c r="BF31">
        <f>IF(AND($B$31:$F$31,$H$31:$AJ$31),IF('Final Calculation Sheet'!$A$31="","",'Final Calculation Sheet'!$A$31),"")</f>
        <v/>
      </c>
      <c r="BG31">
        <f>IF(BF31="","",COUNTIFS(BF$4:BF$40,"&lt;"&amp;BF31,BF$4:BF$40,"&lt;&gt;"&amp;"")+COUNTIF(BF$4:BF31,BF31))</f>
        <v/>
      </c>
      <c r="BH31">
        <f>IF(ROW()-3&gt;COUNTIF(BF$4:BF$40,"&lt;&gt;"&amp;""),"",INDEX(BF$4:BF$40,MATCH(ROW()-3,BG$4:BG$40,0)))</f>
        <v/>
      </c>
      <c r="BI31">
        <f>BI30+IF(AND(BH31&lt;&gt;"",COUNTIF(BH$4:BH31,BH31)=1),1,0)</f>
        <v/>
      </c>
      <c r="BJ31">
        <f>IF(ROW()-3&gt;MAX(BI$4:BI$40),"",INDEX(BH$4:BH$40,MATCH(ROW()-3,BI$4:BI$40,0)))</f>
        <v/>
      </c>
      <c r="BK31">
        <f>IF(AND($B$31:$G$31,$I$31:$AJ$31),IF('Final Calculation Sheet'!$E$31="","",'Final Calculation Sheet'!$E$31),"")</f>
        <v/>
      </c>
      <c r="BL31">
        <f>IF(BK31="","",COUNTIFS(BK$4:BK$40,"&lt;"&amp;BK31,BK$4:BK$40,"&lt;&gt;"&amp;"")+COUNTIF(BK$4:BK31,BK31))</f>
        <v/>
      </c>
      <c r="BM31">
        <f>IF(ROW()-3&gt;COUNTIF(BK$4:BK$40,"&lt;&gt;"&amp;""),"",INDEX(BK$4:BK$40,MATCH(ROW()-3,BL$4:BL$40,0)))</f>
        <v/>
      </c>
      <c r="BN31">
        <f>BN30+IF(AND(BM31&lt;&gt;"",COUNTIF(BM$4:BM31,BM31)=1),1,0)</f>
        <v/>
      </c>
      <c r="BO31">
        <f>IF(ROW()-3&gt;MAX(BN$4:BN$40),"",INDEX(BM$4:BM$40,MATCH(ROW()-3,BN$4:BN$40,0)))</f>
        <v/>
      </c>
      <c r="BP31" s="55">
        <f>IF(AND($B$31:$H$31,$J$31:$AJ$31),IF('Final Calculation Sheet'!$C$31="","",'Final Calculation Sheet'!$C$31),"")</f>
        <v/>
      </c>
      <c r="BQ31">
        <f>IF(BP31="","",COUNTIFS(BP$4:BP$40,"&lt;"&amp;BP31,BP$4:BP$40,"&lt;&gt;"&amp;"")+COUNTIF(BP$4:BP31,BP31))</f>
        <v/>
      </c>
      <c r="BR31" s="55">
        <f>IF(ROW()-3&gt;COUNTIF(BP$4:BP$40,"&lt;&gt;"&amp;""),"",INDEX(BP$4:BP$40,MATCH(ROW()-3,BQ$4:BQ$40,0)))</f>
        <v/>
      </c>
      <c r="BS31">
        <f>BS30+IF(AND(BR31&lt;&gt;"",COUNTIF(BR$4:BR31,BR31)=1),1,0)</f>
        <v/>
      </c>
      <c r="BT31" s="55">
        <f>IF(ROW()-3&gt;MAX(BS$4:BS$40),"",INDEX(BR$4:BR$40,MATCH(ROW()-3,BS$4:BS$40,0)))</f>
        <v/>
      </c>
      <c r="BU31" s="55">
        <f>IF(AND($B$31:$I$31,$K$31:$AJ$31),IF('Final Calculation Sheet'!$H$31="","",'Final Calculation Sheet'!$H$31),"")</f>
        <v/>
      </c>
      <c r="BV31">
        <f>IF(BU31="","",COUNTIFS(BU$4:BU$40,"&lt;"&amp;BU31,BU$4:BU$40,"&lt;&gt;"&amp;"")+COUNTIF(BU$4:BU31,BU31))</f>
        <v/>
      </c>
      <c r="BW31" s="55">
        <f>IF(ROW()-3&gt;COUNTIF(BU$4:BU$40,"&lt;&gt;"&amp;""),"",INDEX(BU$4:BU$40,MATCH(ROW()-3,BV$4:BV$40,0)))</f>
        <v/>
      </c>
      <c r="BX31">
        <f>BX30+IF(AND(BW31&lt;&gt;"",COUNTIF(BW$4:BW31,BW31)=1),1,0)</f>
        <v/>
      </c>
      <c r="BY31" s="55">
        <f>IF(ROW()-3&gt;MAX(BX$4:BX$40),"",INDEX(BW$4:BW$40,MATCH(ROW()-3,BX$4:BX$40,0)))</f>
        <v/>
      </c>
      <c r="BZ31" s="55">
        <f>IF(AND($B$31:$J$31,$L$31:$AJ$31),IF('Final Calculation Sheet'!$I$31="","",'Final Calculation Sheet'!$I$31),"")</f>
        <v/>
      </c>
      <c r="CA31">
        <f>IF(BZ31="","",COUNTIFS(BZ$4:BZ$40,"&lt;"&amp;BZ31,BZ$4:BZ$40,"&lt;&gt;"&amp;"")+COUNTIF(BZ$4:BZ31,BZ31))</f>
        <v/>
      </c>
      <c r="CB31" s="55">
        <f>IF(ROW()-3&gt;COUNTIF(BZ$4:BZ$40,"&lt;&gt;"&amp;""),"",INDEX(BZ$4:BZ$40,MATCH(ROW()-3,CA$4:CA$40,0)))</f>
        <v/>
      </c>
      <c r="CC31">
        <f>CC30+IF(AND(CB31&lt;&gt;"",COUNTIF(CB$4:CB31,CB31)=1),1,0)</f>
        <v/>
      </c>
      <c r="CD31" s="55">
        <f>IF(ROW()-3&gt;MAX(CC$4:CC$40),"",INDEX(CB$4:CB$40,MATCH(ROW()-3,CC$4:CC$40,0)))</f>
        <v/>
      </c>
      <c r="CE31" s="55">
        <f>IF(AND($B$31:$K$31,$M$31:$AJ$31),IF('Final Calculation Sheet'!$J$31="","",'Final Calculation Sheet'!$J$31),"")</f>
        <v/>
      </c>
      <c r="CF31">
        <f>IF(CE31="","",COUNTIFS(CE$4:CE$40,"&lt;"&amp;CE31,CE$4:CE$40,"&lt;&gt;"&amp;"")+COUNTIF(CE$4:CE31,CE31))</f>
        <v/>
      </c>
      <c r="CG31" s="55">
        <f>IF(ROW()-3&gt;COUNTIF(CE$4:CE$40,"&lt;&gt;"&amp;""),"",INDEX(CE$4:CE$40,MATCH(ROW()-3,CF$4:CF$40,0)))</f>
        <v/>
      </c>
      <c r="CH31">
        <f>CH30+IF(AND(CG31&lt;&gt;"",COUNTIF(CG$4:CG31,CG31)=1),1,0)</f>
        <v/>
      </c>
      <c r="CI31" s="55">
        <f>IF(ROW()-3&gt;MAX(CH$4:CH$40),"",INDEX(CG$4:CG$40,MATCH(ROW()-3,CH$4:CH$40,0)))</f>
        <v/>
      </c>
      <c r="CJ31" s="55">
        <f>IF(AND($B$31:$L$31,$N$31:$AJ$31),IF('Final Calculation Sheet'!$K$31="","",'Final Calculation Sheet'!$K$31),"")</f>
        <v/>
      </c>
      <c r="CK31">
        <f>IF(CJ31="","",COUNTIFS(CJ$4:CJ$40,"&lt;"&amp;CJ31,CJ$4:CJ$40,"&lt;&gt;"&amp;"")+COUNTIF(CJ$4:CJ31,CJ31))</f>
        <v/>
      </c>
      <c r="CL31" s="55">
        <f>IF(ROW()-3&gt;COUNTIF(CJ$4:CJ$40,"&lt;&gt;"&amp;""),"",INDEX(CJ$4:CJ$40,MATCH(ROW()-3,CK$4:CK$40,0)))</f>
        <v/>
      </c>
      <c r="CM31">
        <f>CM30+IF(AND(CL31&lt;&gt;"",COUNTIF(CL$4:CL31,CL31)=1),1,0)</f>
        <v/>
      </c>
      <c r="CN31" s="55">
        <f>IF(ROW()-3&gt;MAX(CM$4:CM$40),"",INDEX(CL$4:CL$40,MATCH(ROW()-3,CM$4:CM$40,0)))</f>
        <v/>
      </c>
      <c r="CO31" s="55">
        <f>IF(AND($B$31:$M$31,$O$31:$AJ$31),IF('Final Calculation Sheet'!$L$31="","",'Final Calculation Sheet'!$L$31),"")</f>
        <v/>
      </c>
      <c r="CP31">
        <f>IF(CO31="","",COUNTIFS(CO$4:CO$40,"&lt;"&amp;CO31,CO$4:CO$40,"&lt;&gt;"&amp;"")+COUNTIF(CO$4:CO31,CO31))</f>
        <v/>
      </c>
      <c r="CQ31" s="55">
        <f>IF(ROW()-3&gt;COUNTIF(CO$4:CO$40,"&lt;&gt;"&amp;""),"",INDEX(CO$4:CO$40,MATCH(ROW()-3,CP$4:CP$40,0)))</f>
        <v/>
      </c>
      <c r="CR31">
        <f>CR30+IF(AND(CQ31&lt;&gt;"",COUNTIF(CQ$4:CQ31,CQ31)=1),1,0)</f>
        <v/>
      </c>
      <c r="CS31" s="55">
        <f>IF(ROW()-3&gt;MAX(CR$4:CR$40),"",INDEX(CQ$4:CQ$40,MATCH(ROW()-3,CR$4:CR$40,0)))</f>
        <v/>
      </c>
      <c r="CT31" s="55">
        <f>IF(AND($B$31:$N$31,$P$31:$AJ$31),IF('Final Calculation Sheet'!$M$31="","",'Final Calculation Sheet'!$M$31),"")</f>
        <v/>
      </c>
      <c r="CU31">
        <f>IF(CT31="","",COUNTIFS(CT$4:CT$40,"&lt;"&amp;CT31,CT$4:CT$40,"&lt;&gt;"&amp;"")+COUNTIF(CT$4:CT31,CT31))</f>
        <v/>
      </c>
      <c r="CV31" s="55">
        <f>IF(ROW()-3&gt;COUNTIF(CT$4:CT$40,"&lt;&gt;"&amp;""),"",INDEX(CT$4:CT$40,MATCH(ROW()-3,CU$4:CU$40,0)))</f>
        <v/>
      </c>
      <c r="CW31">
        <f>CW30+IF(AND(CV31&lt;&gt;"",COUNTIF(CV$4:CV31,CV31)=1),1,0)</f>
        <v/>
      </c>
      <c r="CX31" s="55">
        <f>IF(ROW()-3&gt;MAX(CW$4:CW$40),"",INDEX(CV$4:CV$40,MATCH(ROW()-3,CW$4:CW$40,0)))</f>
        <v/>
      </c>
      <c r="CY31" s="138">
        <f>IF(AND($B$31:$O$31,$Q$31:$AJ$31),IF('Final Calculation Sheet'!$N$31="","",'Final Calculation Sheet'!$N$31),"")</f>
        <v/>
      </c>
      <c r="CZ31">
        <f>IF(CY31="","",COUNTIFS(CY$4:CY$40,"&lt;"&amp;CY31,CY$4:CY$40,"&lt;&gt;"&amp;"")+COUNTIF(CY$4:CY31,CY31))</f>
        <v/>
      </c>
      <c r="DA31" s="138">
        <f>IF(ROW()-3&gt;COUNTIF(CY$4:CY$40,"&lt;&gt;"&amp;""),"",INDEX(CY$4:CY$40,MATCH(ROW()-3,CZ$4:CZ$40,0)))</f>
        <v/>
      </c>
      <c r="DB31">
        <f>DB30+IF(AND(DA31&lt;&gt;"",COUNTIF(DA$4:DA31,DA31)=1),1,0)</f>
        <v/>
      </c>
      <c r="DC31" s="138">
        <f>IF(ROW()-3&gt;MAX(DB$4:DB$40),"",INDEX(DA$4:DA$40,MATCH(ROW()-3,DB$4:DB$40,0)))</f>
        <v/>
      </c>
      <c r="DD31" s="55">
        <f>IF(AND($B$31:$P$31,$R$31:$AJ$31),IF('Final Calculation Sheet'!$O$31="","",'Final Calculation Sheet'!$O$31),"")</f>
        <v/>
      </c>
      <c r="DE31">
        <f>IF(DD31="","",COUNTIFS(DD$4:DD$40,"&lt;"&amp;DD31,DD$4:DD$40,"&lt;&gt;"&amp;"")+COUNTIF(DD$4:DD31,DD31))</f>
        <v/>
      </c>
      <c r="DF31" s="55">
        <f>IF(ROW()-3&gt;COUNTIF(DD$4:DD$40,"&lt;&gt;"&amp;""),"",INDEX(DD$4:DD$40,MATCH(ROW()-3,DE$4:DE$40,0)))</f>
        <v/>
      </c>
      <c r="DG31">
        <f>DG30+IF(AND(DF31&lt;&gt;"",COUNTIF(DF$4:DF31,DF31)=1),1,0)</f>
        <v/>
      </c>
      <c r="DH31" s="55">
        <f>IF(ROW()-3&gt;MAX(DG$4:DG$40),"",INDEX(DF$4:DF$40,MATCH(ROW()-3,DG$4:DG$40,0)))</f>
        <v/>
      </c>
      <c r="DI31" s="55">
        <f>IF(AND($B$31:$Q$31,$S$31:$AJ$31),IF('Final Calculation Sheet'!$P$31="","",'Final Calculation Sheet'!$P$31),"")</f>
        <v/>
      </c>
      <c r="DJ31">
        <f>IF(DI31="","",COUNTIFS(DI$4:DI$40,"&lt;"&amp;DI31,DI$4:DI$40,"&lt;&gt;"&amp;"")+COUNTIF(DI$4:DI31,DI31))</f>
        <v/>
      </c>
      <c r="DK31" s="55">
        <f>IF(ROW()-3&gt;COUNTIF(DI$4:DI$40,"&lt;&gt;"&amp;""),"",INDEX(DI$4:DI$40,MATCH(ROW()-3,DJ$4:DJ$40,0)))</f>
        <v/>
      </c>
      <c r="DL31">
        <f>DL30+IF(AND(DK31&lt;&gt;"",COUNTIF(DK$4:DK31,DK31)=1),1,0)</f>
        <v/>
      </c>
      <c r="DM31" s="55">
        <f>IF(ROW()-3&gt;MAX(DL$4:DL$40),"",INDEX(DK$4:DK$40,MATCH(ROW()-3,DL$4:DL$40,0)))</f>
        <v/>
      </c>
      <c r="DN31" s="139">
        <f>IF(AND($B$31:$R$31,$T$31:$AJ$31),IF('Final Calculation Sheet'!$Q$31="","",'Final Calculation Sheet'!$Q$31),"")</f>
        <v/>
      </c>
      <c r="DO31">
        <f>IF(DN31="","",COUNTIFS(DN$4:DN$40,"&lt;"&amp;DN31,DN$4:DN$40,"&lt;&gt;"&amp;"")+COUNTIF(DN$4:DN31,DN31))</f>
        <v/>
      </c>
      <c r="DP31" s="139">
        <f>IF(ROW()-3&gt;COUNTIF(DN$4:DN$40,"&lt;&gt;"&amp;""),"",INDEX(DN$4:DN$40,MATCH(ROW()-3,DO$4:DO$40,0)))</f>
        <v/>
      </c>
      <c r="DQ31">
        <f>DQ30+IF(AND(DP31&lt;&gt;"",COUNTIF(DP$4:DP31,DP31)=1),1,0)</f>
        <v/>
      </c>
      <c r="DR31" s="139">
        <f>IF(ROW()-3&gt;MAX(DQ$4:DQ$40),"",INDEX(DP$4:DP$40,MATCH(ROW()-3,DQ$4:DQ$40,0)))</f>
        <v/>
      </c>
      <c r="DS31" s="55">
        <f>IF(AND($B$31:$S$31,$U$31:$AJ$31),IF('Final Calculation Sheet'!$R$31="","",'Final Calculation Sheet'!$R$31),"")</f>
        <v/>
      </c>
      <c r="DT31">
        <f>IF(DS31="","",COUNTIFS(DS$4:DS$40,"&lt;"&amp;DS31,DS$4:DS$40,"&lt;&gt;"&amp;"")+COUNTIF(DS$4:DS31,DS31))</f>
        <v/>
      </c>
      <c r="DU31" s="55">
        <f>IF(ROW()-3&gt;COUNTIF(DS$4:DS$40,"&lt;&gt;"&amp;""),"",INDEX(DS$4:DS$40,MATCH(ROW()-3,DT$4:DT$40,0)))</f>
        <v/>
      </c>
      <c r="DV31">
        <f>DV30+IF(AND(DU31&lt;&gt;"",COUNTIF(DU$4:DU31,DU31)=1),1,0)</f>
        <v/>
      </c>
      <c r="DW31" s="55">
        <f>IF(ROW()-3&gt;MAX(DV$4:DV$40),"",INDEX(DU$4:DU$40,MATCH(ROW()-3,DV$4:DV$40,0)))</f>
        <v/>
      </c>
      <c r="DX31" s="55">
        <f>IF(AND($B$31:$T$31,$V$31:$AJ$31),IF('Final Calculation Sheet'!$S$31="","",'Final Calculation Sheet'!$S$31),"")</f>
        <v/>
      </c>
      <c r="DY31">
        <f>IF(DX31="","",COUNTIFS(DX$4:DX$40,"&lt;"&amp;DX31,DX$4:DX$40,"&lt;&gt;"&amp;"")+COUNTIF(DX$4:DX31,DX31))</f>
        <v/>
      </c>
      <c r="DZ31" s="55">
        <f>IF(ROW()-3&gt;COUNTIF(DX$4:DX$40,"&lt;&gt;"&amp;""),"",INDEX(DX$4:DX$40,MATCH(ROW()-3,DY$4:DY$40,0)))</f>
        <v/>
      </c>
      <c r="EA31">
        <f>EA30+IF(AND(DZ31&lt;&gt;"",COUNTIF(DZ$4:DZ31,DZ31)=1),1,0)</f>
        <v/>
      </c>
      <c r="EB31" s="55">
        <f>IF(ROW()-3&gt;MAX(EA$4:EA$40),"",INDEX(DZ$4:DZ$40,MATCH(ROW()-3,EA$4:EA$40,0)))</f>
        <v/>
      </c>
      <c r="EC31" s="55">
        <f>IF(AND($B$31:$U$31,$W$31:$AJ$31),IF('Final Calculation Sheet'!$T$31="","",'Final Calculation Sheet'!$T$31),"")</f>
        <v/>
      </c>
      <c r="ED31">
        <f>IF(EC31="","",COUNTIFS(EC$4:EC$40,"&lt;"&amp;EC31,EC$4:EC$40,"&lt;&gt;"&amp;"")+COUNTIF(EC$4:EC31,EC31))</f>
        <v/>
      </c>
      <c r="EE31" s="55">
        <f>IF(ROW()-3&gt;COUNTIF(EC$4:EC$40,"&lt;&gt;"&amp;""),"",INDEX(EC$4:EC$40,MATCH(ROW()-3,ED$4:ED$40,0)))</f>
        <v/>
      </c>
      <c r="EF31">
        <f>EF30+IF(AND(EE31&lt;&gt;"",COUNTIF(EE$4:EE31,EE31)=1),1,0)</f>
        <v/>
      </c>
      <c r="EG31" s="55">
        <f>IF(ROW()-3&gt;MAX(EF$4:EF$40),"",INDEX(EE$4:EE$40,MATCH(ROW()-3,EF$4:EF$40,0)))</f>
        <v/>
      </c>
      <c r="EH31" s="140">
        <f>IF(AND($B$31:$V$31,$X$31:$AJ$31),IF('Final Calculation Sheet'!$U$31="","",'Final Calculation Sheet'!$U$31),"")</f>
        <v/>
      </c>
      <c r="EI31">
        <f>IF(EH31="","",COUNTIFS(EH$4:EH$40,"&lt;"&amp;EH31,EH$4:EH$40,"&lt;&gt;"&amp;"")+COUNTIF(EH$4:EH31,EH31))</f>
        <v/>
      </c>
      <c r="EJ31" s="140">
        <f>IF(ROW()-3&gt;COUNTIF(EH$4:EH$40,"&lt;&gt;"&amp;""),"",INDEX(EH$4:EH$40,MATCH(ROW()-3,EI$4:EI$40,0)))</f>
        <v/>
      </c>
      <c r="EK31">
        <f>EK30+IF(AND(EJ31&lt;&gt;"",COUNTIF(EJ$4:EJ31,EJ31)=1),1,0)</f>
        <v/>
      </c>
      <c r="EL31" s="140">
        <f>IF(ROW()-3&gt;MAX(EK$4:EK$40),"",INDEX(EJ$4:EJ$40,MATCH(ROW()-3,EK$4:EK$40,0)))</f>
        <v/>
      </c>
      <c r="EM31">
        <f>IF(AND($B$31:$W$31,$Y$31:$AJ$31),IF('Final Calculation Sheet'!$V$31="","",'Final Calculation Sheet'!$V$31),"")</f>
        <v/>
      </c>
      <c r="EN31">
        <f>IF(EM31="","",COUNTIFS(EM$4:EM$40,"&lt;"&amp;EM31,EM$4:EM$40,"&lt;&gt;"&amp;"")+COUNTIF(EM$4:EM31,EM31))</f>
        <v/>
      </c>
      <c r="EO31">
        <f>IF(ROW()-3&gt;COUNTIF(EM$4:EM$40,"&lt;&gt;"&amp;""),"",INDEX(EM$4:EM$40,MATCH(ROW()-3,EN$4:EN$40,0)))</f>
        <v/>
      </c>
      <c r="EP31">
        <f>EP30+IF(AND(EO31&lt;&gt;"",COUNTIF(EO$4:EO31,EO31)=1),1,0)</f>
        <v/>
      </c>
      <c r="EQ31">
        <f>IF(ROW()-3&gt;MAX(EP$4:EP$40),"",INDEX(EO$4:EO$40,MATCH(ROW()-3,EP$4:EP$40,0)))</f>
        <v/>
      </c>
      <c r="ER31" s="55">
        <f>IF(AND($B$31:$X$31,$Z$31:$AJ$31),IF('Final Calculation Sheet'!$W$31="","",'Final Calculation Sheet'!$W$31),"")</f>
        <v/>
      </c>
      <c r="ES31">
        <f>IF(ER31="","",COUNTIFS(ER$4:ER$40,"&lt;"&amp;ER31,ER$4:ER$40,"&lt;&gt;"&amp;"")+COUNTIF(ER$4:ER31,ER31))</f>
        <v/>
      </c>
      <c r="ET31" s="55">
        <f>IF(ROW()-3&gt;COUNTIF(ER$4:ER$40,"&lt;&gt;"&amp;""),"",INDEX(ER$4:ER$40,MATCH(ROW()-3,ES$4:ES$40,0)))</f>
        <v/>
      </c>
      <c r="EU31">
        <f>EU30+IF(AND(ET31&lt;&gt;"",COUNTIF(ET$4:ET31,ET31)=1),1,0)</f>
        <v/>
      </c>
      <c r="EV31" s="55">
        <f>IF(ROW()-3&gt;MAX(EU$4:EU$40),"",INDEX(ET$4:ET$40,MATCH(ROW()-3,EU$4:EU$40,0)))</f>
        <v/>
      </c>
      <c r="EW31" s="55">
        <f>IF(AND($B$31:$Y$31,$AA$31:$AJ$31),IF('Final Calculation Sheet'!$X$31="","",'Final Calculation Sheet'!$X$31),"")</f>
        <v/>
      </c>
      <c r="EX31">
        <f>IF(EW31="","",COUNTIFS(EW$4:EW$40,"&lt;"&amp;EW31,EW$4:EW$40,"&lt;&gt;"&amp;"")+COUNTIF(EW$4:EW31,EW31))</f>
        <v/>
      </c>
      <c r="EY31" s="55">
        <f>IF(ROW()-3&gt;COUNTIF(EW$4:EW$40,"&lt;&gt;"&amp;""),"",INDEX(EW$4:EW$40,MATCH(ROW()-3,EX$4:EX$40,0)))</f>
        <v/>
      </c>
      <c r="EZ31">
        <f>EZ30+IF(AND(EY31&lt;&gt;"",COUNTIF(EY$4:EY31,EY31)=1),1,0)</f>
        <v/>
      </c>
      <c r="FA31">
        <f>IF(ROW()-3&gt;MAX(EZ$4:EZ$40),"",INDEX(EY$4:EY$40,MATCH(ROW()-3,EZ$4:EZ$40,0)))</f>
        <v/>
      </c>
      <c r="FB31">
        <f>IF(AND($B$31:$Z$31,$AB$31:$AJ$31),IF('Final Calculation Sheet'!$Y$31="","",'Final Calculation Sheet'!$Y$31),"")</f>
        <v/>
      </c>
      <c r="FC31">
        <f>IF(FB31="","",COUNTIFS(FB$4:FB$40,"&lt;"&amp;FB31,FB$4:FB$40,"&lt;&gt;"&amp;"")+COUNTIF(FB$4:FB31,FB31))</f>
        <v/>
      </c>
      <c r="FD31">
        <f>IF(ROW()-3&gt;COUNTIF(FB$4:FB$40,"&lt;&gt;"&amp;""),"",INDEX(FB$4:FB$40,MATCH(ROW()-3,FC$4:FC$40,0)))</f>
        <v/>
      </c>
      <c r="FE31">
        <f>FE30+IF(AND(FD31&lt;&gt;"",COUNTIF(FD$4:FD31,FD31)=1),1,0)</f>
        <v/>
      </c>
      <c r="FF31">
        <f>IF(ROW()-3&gt;MAX(FE$4:FE$40),"",INDEX(FD$4:FD$40,MATCH(ROW()-3,FE$4:FE$40,0)))</f>
        <v/>
      </c>
      <c r="FG31" s="55">
        <f>IF(AND($B$31:$AA$31,$AC$31:$AJ$31),IF('Final Calculation Sheet'!$Z$31="","",'Final Calculation Sheet'!$Z$31),"")</f>
        <v/>
      </c>
      <c r="FH31">
        <f>IF(FG31="","",COUNTIFS(FG$4:FG$40,"&lt;"&amp;FG31,FG$4:FG$40,"&lt;&gt;"&amp;"")+COUNTIF(FG$4:FG31,FG31))</f>
        <v/>
      </c>
      <c r="FI31" s="55">
        <f>IF(ROW()-3&gt;COUNTIF(FG$4:FG$40,"&lt;&gt;"&amp;""),"",INDEX(FG$4:FG$40,MATCH(ROW()-3,FH$4:FH$40,0)))</f>
        <v/>
      </c>
      <c r="FJ31">
        <f>FJ30+IF(AND(FI31&lt;&gt;"",COUNTIF(FI$4:FI31,FI31)=1),1,0)</f>
        <v/>
      </c>
      <c r="FK31" s="55">
        <f>IF(ROW()-3&gt;MAX(FJ$4:FJ$40),"",INDEX(FI$4:FI$40,MATCH(ROW()-3,FJ$4:FJ$40,0)))</f>
        <v/>
      </c>
      <c r="FL31">
        <f>IF(AND($B$31:$AB$31,$AD$31:$AJ$31),IF('Final Calculation Sheet'!$AA$31="","",'Final Calculation Sheet'!$AA$31),"")</f>
        <v/>
      </c>
      <c r="FM31">
        <f>IF(FL31="","",COUNTIFS(FL$4:FL$40,"&lt;"&amp;FL31,FL$4:FL$40,"&lt;&gt;"&amp;"")+COUNTIF(FL$4:FL31,FL31))</f>
        <v/>
      </c>
      <c r="FN31">
        <f>IF(ROW()-3&gt;COUNTIF(FL$4:FL$40,"&lt;&gt;"&amp;""),"",INDEX(FL$4:FL$40,MATCH(ROW()-3,FM$4:FM$40,0)))</f>
        <v/>
      </c>
      <c r="FO31">
        <f>FO30+IF(AND(FN31&lt;&gt;"",COUNTIF(FN$4:FN31,FN31)=1),1,0)</f>
        <v/>
      </c>
      <c r="FP31">
        <f>IF(ROW()-3&gt;MAX(FO$4:FO$40),"",INDEX(FN$4:FN$40,MATCH(ROW()-3,FO$4:FO$40,0)))</f>
        <v/>
      </c>
      <c r="FQ31">
        <f>IF(AND($B$31:$AC$31,$AE$31:$AJ$31),IF('Final Calculation Sheet'!$AB$31="","",'Final Calculation Sheet'!$AB$31),"")</f>
        <v/>
      </c>
      <c r="FR31">
        <f>IF(FQ31="","",COUNTIFS(FQ$4:FQ$40,"&lt;"&amp;FQ31,FQ$4:FQ$40,"&lt;&gt;"&amp;"")+COUNTIF(FQ$4:FQ31,FQ31))</f>
        <v/>
      </c>
      <c r="FS31">
        <f>IF(ROW()-3&gt;COUNTIF(FQ$4:FQ$40,"&lt;&gt;"&amp;""),"",INDEX(FQ$4:FQ$40,MATCH(ROW()-3,FR$4:FR$40,0)))</f>
        <v/>
      </c>
      <c r="FT31">
        <f>FT30+IF(AND(FS31&lt;&gt;"",COUNTIF(FS$4:FS31,FS31)=1),1,0)</f>
        <v/>
      </c>
      <c r="FU31">
        <f>IF(ROW()-3&gt;MAX(FT$4:FT$40),"",INDEX(FS$4:FS$40,MATCH(ROW()-3,FT$4:FT$40,0)))</f>
        <v/>
      </c>
      <c r="FV31" s="55">
        <f>IF(AND($B$31:$AD$31,$AF$31:$AJ$31),IF('Final Calculation Sheet'!$AC$31="","",'Final Calculation Sheet'!$AC$31),"")</f>
        <v/>
      </c>
      <c r="FW31">
        <f>IF(FV31="","",COUNTIFS(FV$4:FV$40,"&lt;"&amp;FV31,FV$4:FV$40,"&lt;&gt;"&amp;"")+COUNTIF(FV$4:FV31,FV31))</f>
        <v/>
      </c>
      <c r="FX31" s="55">
        <f>IF(ROW()-3&gt;COUNTIF(FV$4:FV$40,"&lt;&gt;"&amp;""),"",INDEX(FV$4:FV$40,MATCH(ROW()-3,FW$4:FW$40,0)))</f>
        <v/>
      </c>
      <c r="FY31">
        <f>FY30+IF(AND(FX31&lt;&gt;"",COUNTIF(FX$4:FX31,FX31)=1),1,0)</f>
        <v/>
      </c>
      <c r="FZ31" s="55">
        <f>IF(ROW()-3&gt;MAX(FY$4:FY$40),"",INDEX(FX$4:FX$40,MATCH(ROW()-3,FY$4:FY$40,0)))</f>
        <v/>
      </c>
      <c r="GA31" s="55">
        <f>IF(AND($B$31:$AE$31,$AG$31:$AJ$31),IF('Final Calculation Sheet'!$AD$31="","",'Final Calculation Sheet'!$AD$31),"")</f>
        <v/>
      </c>
      <c r="GB31">
        <f>IF(GA31="","",COUNTIFS(GA$4:GA$40,"&lt;"&amp;GA31,GA$4:GA$40,"&lt;&gt;"&amp;"")+COUNTIF(GA$4:GA31,GA31))</f>
        <v/>
      </c>
      <c r="GC31" s="55">
        <f>IF(ROW()-3&gt;COUNTIF(GA$4:GA$40,"&lt;&gt;"&amp;""),"",INDEX(GA$4:GA$40,MATCH(ROW()-3,GB$4:GB$40,0)))</f>
        <v/>
      </c>
      <c r="GD31">
        <f>GD30+IF(AND(GC31&lt;&gt;"",COUNTIF(GC$4:GC31,GC31)=1),1,0)</f>
        <v/>
      </c>
      <c r="GE31" s="55">
        <f>IF(ROW()-3&gt;MAX(GD$4:GD$40),"",INDEX(GC$4:GC$40,MATCH(ROW()-3,GD$4:GD$40,0)))</f>
        <v/>
      </c>
      <c r="GF31">
        <f>IF(AND($B$31:$AF$31,$AH$31:$AJ$31),IF('Final Calculation Sheet'!$AE$31="","",'Final Calculation Sheet'!$AE$31),"")</f>
        <v/>
      </c>
      <c r="GG31">
        <f>IF(GF31="","",COUNTIFS(GF$4:GF$40,"&lt;"&amp;GF31,GF$4:GF$40,"&lt;&gt;"&amp;"")+COUNTIF(GF$4:GF31,GF31))</f>
        <v/>
      </c>
      <c r="GH31">
        <f>IF(ROW()-3&gt;COUNTIF(GF$4:GF$40,"&lt;&gt;"&amp;""),"",INDEX(GF$4:GF$40,MATCH(ROW()-3,GG$4:GG$40,0)))</f>
        <v/>
      </c>
      <c r="GI31">
        <f>GI30+IF(AND(GH31&lt;&gt;"",COUNTIF(GH$4:GH31,GH31)=1),1,0)</f>
        <v/>
      </c>
      <c r="GJ31">
        <f>IF(ROW()-3&gt;MAX(GI$4:GI$40),"",INDEX(GH$4:GH$40,MATCH(ROW()-3,GI$4:GI$40,0)))</f>
        <v/>
      </c>
      <c r="GK31" s="141">
        <f>IF(AND($B$31:$AG$31,$AI$31:$AJ$31),IF('Final Calculation Sheet'!$AF$31="","",'Final Calculation Sheet'!$AF$31),"")</f>
        <v/>
      </c>
      <c r="GL31">
        <f>IF(GK31="","",COUNTIFS(GK$4:GK$40,"&lt;"&amp;GK31,GK$4:GK$40,"&lt;&gt;"&amp;"")+COUNTIF(GK$4:GK31,GK31))</f>
        <v/>
      </c>
      <c r="GM31" s="141">
        <f>IF(ROW()-3&gt;COUNTIF(GK$4:GK$40,"&lt;&gt;"&amp;""),"",INDEX(GK$4:GK$40,MATCH(ROW()-3,GL$4:GL$40,0)))</f>
        <v/>
      </c>
      <c r="GN31">
        <f>GN30+IF(AND(GM31&lt;&gt;"",COUNTIF(GM$4:GM31,GM31)=1),1,0)</f>
        <v/>
      </c>
      <c r="GO31">
        <f>IF(ROW()-3&gt;MAX(GN$4:GN$40),"",INDEX(GM$4:GM$40,MATCH(ROW()-3,GN$4:GN$40,0)))</f>
        <v/>
      </c>
      <c r="GP31">
        <f>IF(AND($B$31:$AH$31,$AJ$31:$AJ$31),IF('Final Calculation Sheet'!$AG$31="","",'Final Calculation Sheet'!$AG$31),"")</f>
        <v/>
      </c>
      <c r="GQ31">
        <f>IF(GP31="","",COUNTIFS(GP$4:GP$40,"&lt;"&amp;GP31,GP$4:GP$40,"&lt;&gt;"&amp;"")+COUNTIF(GP$4:GP31,GP31))</f>
        <v/>
      </c>
      <c r="GR31">
        <f>IF(ROW()-3&gt;COUNTIF(GP$4:GP$40,"&lt;&gt;"&amp;""),"",INDEX(GP$4:GP$40,MATCH(ROW()-3,GQ$4:GQ$40,0)))</f>
        <v/>
      </c>
      <c r="GS31">
        <f>GS30+IF(AND(GR31&lt;&gt;"",COUNTIF(GR$4:GR31,GR31)=1),1,0)</f>
        <v/>
      </c>
      <c r="GT31">
        <f>IF(ROW()-3&gt;MAX(GS$4:GS$40),"",INDEX(GR$4:GR$40,MATCH(ROW()-3,GS$4:GS$40,0)))</f>
        <v/>
      </c>
    </row>
    <row r="32">
      <c r="A32" t="inlineStr">
        <is>
          <t>Final row 32</t>
        </is>
      </c>
      <c r="B32" t="b">
        <v>1</v>
      </c>
      <c r="C32">
        <f>IF($C$3=FALSE,TRUE,IF(OR(UPPER(TRIM($C$2))="(BLANK)",UPPER(TRIM($C$2))="BLANK",AND($C$2&lt;&gt;"",TRIM($C$2)="")),(IF('Final Calculation Sheet'!$F$32="","",'Final Calculation Sheet'!$F$32))="",IF(OR(UPPER(TRIM($C$2))="(NONBLANK)",UPPER(TRIM($C$2))="NONBLANK",TRIM($C$2)="&lt;&gt;"),(IF('Final Calculation Sheet'!$F$32="","",'Final Calculation Sheet'!$F$32))&lt;&gt;"",UPPER(TRIM((IF('Final Calculation Sheet'!$F$32="","",'Final Calculation Sheet'!$F$32))&amp;""))=UPPER(TRIM($C$2&amp;"")))))</f>
        <v/>
      </c>
      <c r="D32">
        <f>IF($D$3=FALSE,TRUE,IF(OR(UPPER(TRIM($D$2))="(BLANK)",UPPER(TRIM($D$2))="BLANK",AND($D$2&lt;&gt;"",TRIM($D$2)="")),(IF('Final Calculation Sheet'!$G$32="","",'Final Calculation Sheet'!$G$32))="",IF(OR(UPPER(TRIM($D$2))="(NONBLANK)",UPPER(TRIM($D$2))="NONBLANK",TRIM($D$2)="&lt;&gt;"),(IF('Final Calculation Sheet'!$G$32="","",'Final Calculation Sheet'!$G$32))&lt;&gt;"",UPPER(TRIM((IF('Final Calculation Sheet'!$G$32="","",'Final Calculation Sheet'!$G$32))&amp;""))=UPPER(TRIM($D$2&amp;"")))))</f>
        <v/>
      </c>
      <c r="E32">
        <f>IF($E$3=FALSE,TRUE,IF(OR(UPPER(TRIM($E$2))="(BLANK)",UPPER(TRIM($E$2))="BLANK",AND($E$2&lt;&gt;"",TRIM($E$2)="")),(IF('Final Calculation Sheet'!$B$32="","",'Final Calculation Sheet'!$B$32))="",IF(OR(UPPER(TRIM($E$2))="(NONBLANK)",UPPER(TRIM($E$2))="NONBLANK",TRIM($E$2)="&lt;&gt;"),(IF('Final Calculation Sheet'!$B$32="","",'Final Calculation Sheet'!$B$32))&lt;&gt;"",UPPER(TRIM((IF('Final Calculation Sheet'!$B$32="","",'Final Calculation Sheet'!$B$32))&amp;""))=UPPER(TRIM($E$2&amp;"")))))</f>
        <v/>
      </c>
      <c r="F32">
        <f>IF($F$3=FALSE,TRUE,IF(OR(UPPER(TRIM($F$2))="(BLANK)",UPPER(TRIM($F$2))="BLANK",AND($F$2&lt;&gt;"",TRIM($F$2)="")),(IF('Final Calculation Sheet'!$D$32="","",'Final Calculation Sheet'!$D$32))="",IF(OR(UPPER(TRIM($F$2))="(NONBLANK)",UPPER(TRIM($F$2))="NONBLANK",TRIM($F$2)="&lt;&gt;"),(IF('Final Calculation Sheet'!$D$32="","",'Final Calculation Sheet'!$D$32))&lt;&gt;"",UPPER(TRIM((IF('Final Calculation Sheet'!$D$32="","",'Final Calculation Sheet'!$D$32))&amp;""))=UPPER(TRIM($F$2&amp;"")))))</f>
        <v/>
      </c>
      <c r="G32">
        <f>IF($G$3=FALSE,TRUE,IF(OR(UPPER(TRIM($G$2))="(BLANK)",UPPER(TRIM($G$2))="BLANK",AND($G$2&lt;&gt;"",TRIM($G$2)="")),(IF('Final Calculation Sheet'!$A$32="","",'Final Calculation Sheet'!$A$32))="",IF(OR(UPPER(TRIM($G$2))="(NONBLANK)",UPPER(TRIM($G$2))="NONBLANK",TRIM($G$2)="&lt;&gt;"),(IF('Final Calculation Sheet'!$A$32="","",'Final Calculation Sheet'!$A$32))&lt;&gt;"",UPPER(TRIM((IF('Final Calculation Sheet'!$A$32="","",'Final Calculation Sheet'!$A$32))&amp;""))=UPPER(TRIM($G$2&amp;"")))))</f>
        <v/>
      </c>
      <c r="H32">
        <f>IF($H$3=FALSE,TRUE,IF(OR(UPPER(TRIM($H$2))="(BLANK)",UPPER(TRIM($H$2))="BLANK",AND($H$2&lt;&gt;"",TRIM($H$2)="")),(IF('Final Calculation Sheet'!$E$32="","",'Final Calculation Sheet'!$E$32))="",IF(OR(UPPER(TRIM($H$2))="(NONBLANK)",UPPER(TRIM($H$2))="NONBLANK",TRIM($H$2)="&lt;&gt;"),(IF('Final Calculation Sheet'!$E$32="","",'Final Calculation Sheet'!$E$32))&lt;&gt;"",UPPER(TRIM((IF('Final Calculation Sheet'!$E$32="","",'Final Calculation Sheet'!$E$32))&amp;""))=UPPER(TRIM($H$2&amp;"")))))</f>
        <v/>
      </c>
      <c r="I32">
        <f>IF($I$3=FALSE,TRUE,IF(OR(UPPER(TRIM($I$2))="(BLANK)",UPPER(TRIM($I$2))="BLANK",AND($I$2&lt;&gt;"",TRIM($I$2)="")),(IF('Final Calculation Sheet'!$C$32="","",'Final Calculation Sheet'!$C$32))="",IF(OR(UPPER(TRIM($I$2))="(NONBLANK)",UPPER(TRIM($I$2))="NONBLANK",TRIM($I$2)="&lt;&gt;"),(IF('Final Calculation Sheet'!$C$32="","",'Final Calculation Sheet'!$C$32))&lt;&gt;"",UPPER(TRIM((IF('Final Calculation Sheet'!$C$32="","",'Final Calculation Sheet'!$C$32))&amp;""))=UPPER(TRIM($I$2&amp;"")))))</f>
        <v/>
      </c>
      <c r="J32">
        <f>IF($J$3=FALSE,TRUE,IF(OR(UPPER(TRIM($J$2))="(BLANK)",UPPER(TRIM($J$2))="BLANK",AND($J$2&lt;&gt;"",TRIM($J$2)="")),(IF('Final Calculation Sheet'!$H$32="","",'Final Calculation Sheet'!$H$32))="",IF(OR(UPPER(TRIM($J$2))="(NONBLANK)",UPPER(TRIM($J$2))="NONBLANK",TRIM($J$2)="&lt;&gt;"),(IF('Final Calculation Sheet'!$H$32="","",'Final Calculation Sheet'!$H$32))&lt;&gt;"",UPPER(TRIM((IF('Final Calculation Sheet'!$H$32="","",'Final Calculation Sheet'!$H$32))&amp;""))=UPPER(TRIM($J$2&amp;"")))))</f>
        <v/>
      </c>
      <c r="K32">
        <f>IF($K$3=FALSE,TRUE,IF(OR(UPPER(TRIM($K$2))="(BLANK)",UPPER(TRIM($K$2))="BLANK",AND($K$2&lt;&gt;"",TRIM($K$2)="")),(IF('Final Calculation Sheet'!$I$32="","",'Final Calculation Sheet'!$I$32))="",IF(OR(UPPER(TRIM($K$2))="(NONBLANK)",UPPER(TRIM($K$2))="NONBLANK",TRIM($K$2)="&lt;&gt;"),(IF('Final Calculation Sheet'!$I$32="","",'Final Calculation Sheet'!$I$32))&lt;&gt;"",UPPER(TRIM((IF('Final Calculation Sheet'!$I$32="","",'Final Calculation Sheet'!$I$32))&amp;""))=UPPER(TRIM($K$2&amp;"")))))</f>
        <v/>
      </c>
      <c r="L32">
        <f>IF($L$3=FALSE,TRUE,IF(OR(UPPER(TRIM($L$2))="(BLANK)",UPPER(TRIM($L$2))="BLANK",AND($L$2&lt;&gt;"",TRIM($L$2)="")),(IF('Final Calculation Sheet'!$J$32="","",'Final Calculation Sheet'!$J$32))="",IF(OR(UPPER(TRIM($L$2))="(NONBLANK)",UPPER(TRIM($L$2))="NONBLANK",TRIM($L$2)="&lt;&gt;"),(IF('Final Calculation Sheet'!$J$32="","",'Final Calculation Sheet'!$J$32))&lt;&gt;"",UPPER(TRIM((IF('Final Calculation Sheet'!$J$32="","",'Final Calculation Sheet'!$J$32))&amp;""))=UPPER(TRIM($L$2&amp;"")))))</f>
        <v/>
      </c>
      <c r="M32">
        <f>IF($M$3=FALSE,TRUE,IF(OR(UPPER(TRIM($M$2))="(BLANK)",UPPER(TRIM($M$2))="BLANK",AND($M$2&lt;&gt;"",TRIM($M$2)="")),(IF('Final Calculation Sheet'!$K$32="","",'Final Calculation Sheet'!$K$32))="",IF(OR(UPPER(TRIM($M$2))="(NONBLANK)",UPPER(TRIM($M$2))="NONBLANK",TRIM($M$2)="&lt;&gt;"),(IF('Final Calculation Sheet'!$K$32="","",'Final Calculation Sheet'!$K$32))&lt;&gt;"",UPPER(TRIM((IF('Final Calculation Sheet'!$K$32="","",'Final Calculation Sheet'!$K$32))&amp;""))=UPPER(TRIM($M$2&amp;"")))))</f>
        <v/>
      </c>
      <c r="N32">
        <f>IF($N$3=FALSE,TRUE,IF(OR(UPPER(TRIM($N$2))="(BLANK)",UPPER(TRIM($N$2))="BLANK",AND($N$2&lt;&gt;"",TRIM($N$2)="")),(IF('Final Calculation Sheet'!$L$32="","",'Final Calculation Sheet'!$L$32))="",IF(OR(UPPER(TRIM($N$2))="(NONBLANK)",UPPER(TRIM($N$2))="NONBLANK",TRIM($N$2)="&lt;&gt;"),(IF('Final Calculation Sheet'!$L$32="","",'Final Calculation Sheet'!$L$32))&lt;&gt;"",UPPER(TRIM((IF('Final Calculation Sheet'!$L$32="","",'Final Calculation Sheet'!$L$32))&amp;""))=UPPER(TRIM($N$2&amp;"")))))</f>
        <v/>
      </c>
      <c r="O32">
        <f>IF($O$3=FALSE,TRUE,IF(OR(UPPER(TRIM($O$2))="(BLANK)",UPPER(TRIM($O$2))="BLANK",AND($O$2&lt;&gt;"",TRIM($O$2)="")),(IF('Final Calculation Sheet'!$M$32="","",'Final Calculation Sheet'!$M$32))="",IF(OR(UPPER(TRIM($O$2))="(NONBLANK)",UPPER(TRIM($O$2))="NONBLANK",TRIM($O$2)="&lt;&gt;"),(IF('Final Calculation Sheet'!$M$32="","",'Final Calculation Sheet'!$M$32))&lt;&gt;"",UPPER(TRIM((IF('Final Calculation Sheet'!$M$32="","",'Final Calculation Sheet'!$M$32))&amp;""))=UPPER(TRIM($O$2&amp;"")))))</f>
        <v/>
      </c>
      <c r="P32">
        <f>IF($P$3=FALSE,TRUE,IF(OR(UPPER(TRIM($P$2))="(BLANK)",UPPER(TRIM($P$2))="BLANK",AND($P$2&lt;&gt;"",TRIM($P$2)="")),(IF('Final Calculation Sheet'!$N$32="","",'Final Calculation Sheet'!$N$32))="",IF(OR(UPPER(TRIM($P$2))="(NONBLANK)",UPPER(TRIM($P$2))="NONBLANK",TRIM($P$2)="&lt;&gt;"),(IF('Final Calculation Sheet'!$N$32="","",'Final Calculation Sheet'!$N$32))&lt;&gt;"",UPPER(TRIM((IF('Final Calculation Sheet'!$N$32="","",'Final Calculation Sheet'!$N$32))&amp;""))=UPPER(TRIM($P$2&amp;"")))))</f>
        <v/>
      </c>
      <c r="Q32">
        <f>IF($Q$3=FALSE,TRUE,IF(OR(UPPER(TRIM($Q$2))="(BLANK)",UPPER(TRIM($Q$2))="BLANK",AND($Q$2&lt;&gt;"",TRIM($Q$2)="")),(IF('Final Calculation Sheet'!$O$32="","",'Final Calculation Sheet'!$O$32))="",IF(OR(UPPER(TRIM($Q$2))="(NONBLANK)",UPPER(TRIM($Q$2))="NONBLANK",TRIM($Q$2)="&lt;&gt;"),(IF('Final Calculation Sheet'!$O$32="","",'Final Calculation Sheet'!$O$32))&lt;&gt;"",UPPER(TRIM((IF('Final Calculation Sheet'!$O$32="","",'Final Calculation Sheet'!$O$32))&amp;""))=UPPER(TRIM($Q$2&amp;"")))))</f>
        <v/>
      </c>
      <c r="R32">
        <f>IF($R$3=FALSE,TRUE,IF(OR(UPPER(TRIM($R$2))="(BLANK)",UPPER(TRIM($R$2))="BLANK",AND($R$2&lt;&gt;"",TRIM($R$2)="")),(IF('Final Calculation Sheet'!$P$32="","",'Final Calculation Sheet'!$P$32))="",IF(OR(UPPER(TRIM($R$2))="(NONBLANK)",UPPER(TRIM($R$2))="NONBLANK",TRIM($R$2)="&lt;&gt;"),(IF('Final Calculation Sheet'!$P$32="","",'Final Calculation Sheet'!$P$32))&lt;&gt;"",UPPER(TRIM((IF('Final Calculation Sheet'!$P$32="","",'Final Calculation Sheet'!$P$32))&amp;""))=UPPER(TRIM($R$2&amp;"")))))</f>
        <v/>
      </c>
      <c r="S32">
        <f>IF($S$3=FALSE,TRUE,IF(OR(UPPER(TRIM($S$2))="(BLANK)",UPPER(TRIM($S$2))="BLANK",AND($S$2&lt;&gt;"",TRIM($S$2)="")),(IF('Final Calculation Sheet'!$Q$32="","",'Final Calculation Sheet'!$Q$32))="",IF(OR(UPPER(TRIM($S$2))="(NONBLANK)",UPPER(TRIM($S$2))="NONBLANK",TRIM($S$2)="&lt;&gt;"),(IF('Final Calculation Sheet'!$Q$32="","",'Final Calculation Sheet'!$Q$32))&lt;&gt;"",UPPER(TRIM((IF('Final Calculation Sheet'!$Q$32="","",'Final Calculation Sheet'!$Q$32))&amp;""))=UPPER(TRIM($S$2&amp;"")))))</f>
        <v/>
      </c>
      <c r="T32">
        <f>IF($T$3=FALSE,TRUE,IF(OR(UPPER(TRIM($T$2))="(BLANK)",UPPER(TRIM($T$2))="BLANK",AND($T$2&lt;&gt;"",TRIM($T$2)="")),(IF('Final Calculation Sheet'!$R$32="","",'Final Calculation Sheet'!$R$32))="",IF(OR(UPPER(TRIM($T$2))="(NONBLANK)",UPPER(TRIM($T$2))="NONBLANK",TRIM($T$2)="&lt;&gt;"),(IF('Final Calculation Sheet'!$R$32="","",'Final Calculation Sheet'!$R$32))&lt;&gt;"",UPPER(TRIM((IF('Final Calculation Sheet'!$R$32="","",'Final Calculation Sheet'!$R$32))&amp;""))=UPPER(TRIM($T$2&amp;"")))))</f>
        <v/>
      </c>
      <c r="U32">
        <f>IF($U$3=FALSE,TRUE,IF(OR(UPPER(TRIM($U$2))="(BLANK)",UPPER(TRIM($U$2))="BLANK",AND($U$2&lt;&gt;"",TRIM($U$2)="")),(IF('Final Calculation Sheet'!$S$32="","",'Final Calculation Sheet'!$S$32))="",IF(OR(UPPER(TRIM($U$2))="(NONBLANK)",UPPER(TRIM($U$2))="NONBLANK",TRIM($U$2)="&lt;&gt;"),(IF('Final Calculation Sheet'!$S$32="","",'Final Calculation Sheet'!$S$32))&lt;&gt;"",UPPER(TRIM((IF('Final Calculation Sheet'!$S$32="","",'Final Calculation Sheet'!$S$32))&amp;""))=UPPER(TRIM($U$2&amp;"")))))</f>
        <v/>
      </c>
      <c r="V32">
        <f>IF($V$3=FALSE,TRUE,IF(OR(UPPER(TRIM($V$2))="(BLANK)",UPPER(TRIM($V$2))="BLANK",AND($V$2&lt;&gt;"",TRIM($V$2)="")),(IF('Final Calculation Sheet'!$T$32="","",'Final Calculation Sheet'!$T$32))="",IF(OR(UPPER(TRIM($V$2))="(NONBLANK)",UPPER(TRIM($V$2))="NONBLANK",TRIM($V$2)="&lt;&gt;"),(IF('Final Calculation Sheet'!$T$32="","",'Final Calculation Sheet'!$T$32))&lt;&gt;"",UPPER(TRIM((IF('Final Calculation Sheet'!$T$32="","",'Final Calculation Sheet'!$T$32))&amp;""))=UPPER(TRIM($V$2&amp;"")))))</f>
        <v/>
      </c>
      <c r="W32">
        <f>IF($W$3=FALSE,TRUE,IF(OR(UPPER(TRIM($W$2))="(BLANK)",UPPER(TRIM($W$2))="BLANK",AND($W$2&lt;&gt;"",TRIM($W$2)="")),(IF('Final Calculation Sheet'!$U$32="","",'Final Calculation Sheet'!$U$32))="",IF(OR(UPPER(TRIM($W$2))="(NONBLANK)",UPPER(TRIM($W$2))="NONBLANK",TRIM($W$2)="&lt;&gt;"),(IF('Final Calculation Sheet'!$U$32="","",'Final Calculation Sheet'!$U$32))&lt;&gt;"",UPPER(TRIM((IF('Final Calculation Sheet'!$U$32="","",'Final Calculation Sheet'!$U$32))&amp;""))=UPPER(TRIM($W$2&amp;"")))))</f>
        <v/>
      </c>
      <c r="X32">
        <f>IF($X$3=FALSE,TRUE,IF(OR(UPPER(TRIM($X$2))="(BLANK)",UPPER(TRIM($X$2))="BLANK",AND($X$2&lt;&gt;"",TRIM($X$2)="")),(IF('Final Calculation Sheet'!$V$32="","",'Final Calculation Sheet'!$V$32))="",IF(OR(UPPER(TRIM($X$2))="(NONBLANK)",UPPER(TRIM($X$2))="NONBLANK",TRIM($X$2)="&lt;&gt;"),(IF('Final Calculation Sheet'!$V$32="","",'Final Calculation Sheet'!$V$32))&lt;&gt;"",UPPER(TRIM((IF('Final Calculation Sheet'!$V$32="","",'Final Calculation Sheet'!$V$32))&amp;""))=UPPER(TRIM($X$2&amp;"")))))</f>
        <v/>
      </c>
      <c r="Y32">
        <f>IF($Y$3=FALSE,TRUE,IF(OR(UPPER(TRIM($Y$2))="(BLANK)",UPPER(TRIM($Y$2))="BLANK",AND($Y$2&lt;&gt;"",TRIM($Y$2)="")),(IF('Final Calculation Sheet'!$W$32="","",'Final Calculation Sheet'!$W$32))="",IF(OR(UPPER(TRIM($Y$2))="(NONBLANK)",UPPER(TRIM($Y$2))="NONBLANK",TRIM($Y$2)="&lt;&gt;"),(IF('Final Calculation Sheet'!$W$32="","",'Final Calculation Sheet'!$W$32))&lt;&gt;"",UPPER(TRIM((IF('Final Calculation Sheet'!$W$32="","",'Final Calculation Sheet'!$W$32))&amp;""))=UPPER(TRIM($Y$2&amp;"")))))</f>
        <v/>
      </c>
      <c r="Z32">
        <f>IF($Z$3=FALSE,TRUE,IF(OR(UPPER(TRIM($Z$2))="(BLANK)",UPPER(TRIM($Z$2))="BLANK",AND($Z$2&lt;&gt;"",TRIM($Z$2)="")),(IF('Final Calculation Sheet'!$X$32="","",'Final Calculation Sheet'!$X$32))="",IF(OR(UPPER(TRIM($Z$2))="(NONBLANK)",UPPER(TRIM($Z$2))="NONBLANK",TRIM($Z$2)="&lt;&gt;"),(IF('Final Calculation Sheet'!$X$32="","",'Final Calculation Sheet'!$X$32))&lt;&gt;"",UPPER(TRIM((IF('Final Calculation Sheet'!$X$32="","",'Final Calculation Sheet'!$X$32))&amp;""))=UPPER(TRIM($Z$2&amp;"")))))</f>
        <v/>
      </c>
      <c r="AA32">
        <f>IF($AA$3=FALSE,TRUE,IF(OR(UPPER(TRIM($AA$2))="(BLANK)",UPPER(TRIM($AA$2))="BLANK",AND($AA$2&lt;&gt;"",TRIM($AA$2)="")),(IF('Final Calculation Sheet'!$Y$32="","",'Final Calculation Sheet'!$Y$32))="",IF(OR(UPPER(TRIM($AA$2))="(NONBLANK)",UPPER(TRIM($AA$2))="NONBLANK",TRIM($AA$2)="&lt;&gt;"),(IF('Final Calculation Sheet'!$Y$32="","",'Final Calculation Sheet'!$Y$32))&lt;&gt;"",UPPER(TRIM((IF('Final Calculation Sheet'!$Y$32="","",'Final Calculation Sheet'!$Y$32))&amp;""))=UPPER(TRIM($AA$2&amp;"")))))</f>
        <v/>
      </c>
      <c r="AB32">
        <f>IF($AB$3=FALSE,TRUE,IF(OR(UPPER(TRIM($AB$2))="(BLANK)",UPPER(TRIM($AB$2))="BLANK",AND($AB$2&lt;&gt;"",TRIM($AB$2)="")),(IF('Final Calculation Sheet'!$Z$32="","",'Final Calculation Sheet'!$Z$32))="",IF(OR(UPPER(TRIM($AB$2))="(NONBLANK)",UPPER(TRIM($AB$2))="NONBLANK",TRIM($AB$2)="&lt;&gt;"),(IF('Final Calculation Sheet'!$Z$32="","",'Final Calculation Sheet'!$Z$32))&lt;&gt;"",UPPER(TRIM((IF('Final Calculation Sheet'!$Z$32="","",'Final Calculation Sheet'!$Z$32))&amp;""))=UPPER(TRIM($AB$2&amp;"")))))</f>
        <v/>
      </c>
      <c r="AC32">
        <f>IF($AC$3=FALSE,TRUE,IF(OR(UPPER(TRIM($AC$2))="(BLANK)",UPPER(TRIM($AC$2))="BLANK",AND($AC$2&lt;&gt;"",TRIM($AC$2)="")),(IF('Final Calculation Sheet'!$AA$32="","",'Final Calculation Sheet'!$AA$32))="",IF(OR(UPPER(TRIM($AC$2))="(NONBLANK)",UPPER(TRIM($AC$2))="NONBLANK",TRIM($AC$2)="&lt;&gt;"),(IF('Final Calculation Sheet'!$AA$32="","",'Final Calculation Sheet'!$AA$32))&lt;&gt;"",UPPER(TRIM((IF('Final Calculation Sheet'!$AA$32="","",'Final Calculation Sheet'!$AA$32))&amp;""))=UPPER(TRIM($AC$2&amp;"")))))</f>
        <v/>
      </c>
      <c r="AD32">
        <f>IF($AD$3=FALSE,TRUE,IF(OR(UPPER(TRIM($AD$2))="(BLANK)",UPPER(TRIM($AD$2))="BLANK",AND($AD$2&lt;&gt;"",TRIM($AD$2)="")),(IF('Final Calculation Sheet'!$AB$32="","",'Final Calculation Sheet'!$AB$32))="",IF(OR(UPPER(TRIM($AD$2))="(NONBLANK)",UPPER(TRIM($AD$2))="NONBLANK",TRIM($AD$2)="&lt;&gt;"),(IF('Final Calculation Sheet'!$AB$32="","",'Final Calculation Sheet'!$AB$32))&lt;&gt;"",UPPER(TRIM((IF('Final Calculation Sheet'!$AB$32="","",'Final Calculation Sheet'!$AB$32))&amp;""))=UPPER(TRIM($AD$2&amp;"")))))</f>
        <v/>
      </c>
      <c r="AE32">
        <f>IF($AE$3=FALSE,TRUE,IF(OR(UPPER(TRIM($AE$2))="(BLANK)",UPPER(TRIM($AE$2))="BLANK",AND($AE$2&lt;&gt;"",TRIM($AE$2)="")),(IF('Final Calculation Sheet'!$AC$32="","",'Final Calculation Sheet'!$AC$32))="",IF(OR(UPPER(TRIM($AE$2))="(NONBLANK)",UPPER(TRIM($AE$2))="NONBLANK",TRIM($AE$2)="&lt;&gt;"),(IF('Final Calculation Sheet'!$AC$32="","",'Final Calculation Sheet'!$AC$32))&lt;&gt;"",UPPER(TRIM((IF('Final Calculation Sheet'!$AC$32="","",'Final Calculation Sheet'!$AC$32))&amp;""))=UPPER(TRIM($AE$2&amp;"")))))</f>
        <v/>
      </c>
      <c r="AF32">
        <f>IF($AF$3=FALSE,TRUE,IF(OR(UPPER(TRIM($AF$2))="(BLANK)",UPPER(TRIM($AF$2))="BLANK",AND($AF$2&lt;&gt;"",TRIM($AF$2)="")),(IF('Final Calculation Sheet'!$AD$32="","",'Final Calculation Sheet'!$AD$32))="",IF(OR(UPPER(TRIM($AF$2))="(NONBLANK)",UPPER(TRIM($AF$2))="NONBLANK",TRIM($AF$2)="&lt;&gt;"),(IF('Final Calculation Sheet'!$AD$32="","",'Final Calculation Sheet'!$AD$32))&lt;&gt;"",UPPER(TRIM((IF('Final Calculation Sheet'!$AD$32="","",'Final Calculation Sheet'!$AD$32))&amp;""))=UPPER(TRIM($AF$2&amp;"")))))</f>
        <v/>
      </c>
      <c r="AG32">
        <f>IF($AG$3=FALSE,TRUE,IF(OR(UPPER(TRIM($AG$2))="(BLANK)",UPPER(TRIM($AG$2))="BLANK",AND($AG$2&lt;&gt;"",TRIM($AG$2)="")),(IF('Final Calculation Sheet'!$AE$32="","",'Final Calculation Sheet'!$AE$32))="",IF(OR(UPPER(TRIM($AG$2))="(NONBLANK)",UPPER(TRIM($AG$2))="NONBLANK",TRIM($AG$2)="&lt;&gt;"),(IF('Final Calculation Sheet'!$AE$32="","",'Final Calculation Sheet'!$AE$32))&lt;&gt;"",UPPER(TRIM((IF('Final Calculation Sheet'!$AE$32="","",'Final Calculation Sheet'!$AE$32))&amp;""))=UPPER(TRIM($AG$2&amp;"")))))</f>
        <v/>
      </c>
      <c r="AH32">
        <f>IF($AH$3=FALSE,TRUE,IF(OR(UPPER(TRIM($AH$2))="(BLANK)",UPPER(TRIM($AH$2))="BLANK",AND($AH$2&lt;&gt;"",TRIM($AH$2)="")),(IF('Final Calculation Sheet'!$AF$32="","",'Final Calculation Sheet'!$AF$32))="",IF(OR(UPPER(TRIM($AH$2))="(NONBLANK)",UPPER(TRIM($AH$2))="NONBLANK",TRIM($AH$2)="&lt;&gt;"),(IF('Final Calculation Sheet'!$AF$32="","",'Final Calculation Sheet'!$AF$32))&lt;&gt;"",UPPER(TRIM((IF('Final Calculation Sheet'!$AF$32="","",'Final Calculation Sheet'!$AF$32))&amp;""))=UPPER(TRIM($AH$2&amp;"")))))</f>
        <v/>
      </c>
      <c r="AI32">
        <f>IF($AI$3=FALSE,TRUE,IF(OR(UPPER(TRIM($AI$2))="(BLANK)",UPPER(TRIM($AI$2))="BLANK",AND($AI$2&lt;&gt;"",TRIM($AI$2)="")),(IF('Final Calculation Sheet'!$AG$32="","",'Final Calculation Sheet'!$AG$32))="",IF(OR(UPPER(TRIM($AI$2))="(NONBLANK)",UPPER(TRIM($AI$2))="NONBLANK",TRIM($AI$2)="&lt;&gt;"),(IF('Final Calculation Sheet'!$AG$32="","",'Final Calculation Sheet'!$AG$32))&lt;&gt;"",UPPER(TRIM((IF('Final Calculation Sheet'!$AG$32="","",'Final Calculation Sheet'!$AG$32))&amp;""))=UPPER(TRIM($AI$2&amp;"")))))</f>
        <v/>
      </c>
      <c r="AJ32">
        <f>IF($AJ$3=FALSE,TRUE,IF(OR(UPPER(TRIM($AJ$2))="(BLANK)",UPPER(TRIM($AJ$2))="BLANK",AND($AJ$2&lt;&gt;"",TRIM($AJ$2)="")),(IF('Final Calculation Sheet'!$AD$32="","",IF('Final Calculation Sheet'!$AD$32&lt;=5,"SETTLED","OUTSTANDING")))="",IF(OR(UPPER(TRIM($AJ$2))="(NONBLANK)",UPPER(TRIM($AJ$2))="NONBLANK",TRIM($AJ$2)="&lt;&gt;"),(IF('Final Calculation Sheet'!$AD$32="","",IF('Final Calculation Sheet'!$AD$32&lt;=5,"SETTLED","OUTSTANDING")))&lt;&gt;"",UPPER(TRIM((IF('Final Calculation Sheet'!$AD$32="","",IF('Final Calculation Sheet'!$AD$32&lt;=5,"SETTLED","OUTSTANDING")))&amp;""))=UPPER(TRIM($AJ$2&amp;"")))))</f>
        <v/>
      </c>
      <c r="AL32">
        <f>IF(AND($B$32,$D$32:$AJ$32),IF('Final Calculation Sheet'!$F$32="","",'Final Calculation Sheet'!$F$32),"")</f>
        <v/>
      </c>
      <c r="AM32">
        <f>IF(AL32="","",COUNTIFS(AL$4:AL$40,"&lt;"&amp;AL32,AL$4:AL$40,"&lt;&gt;"&amp;"")+COUNTIF(AL$4:AL32,AL32))</f>
        <v/>
      </c>
      <c r="AN32">
        <f>IF(ROW()-3&gt;COUNTIF(AL$4:AL$40,"&lt;&gt;"&amp;""),"",INDEX(AL$4:AL$40,MATCH(ROW()-3,AM$4:AM$40,0)))</f>
        <v/>
      </c>
      <c r="AO32">
        <f>AO31+IF(AND(AN32&lt;&gt;"",COUNTIF(AN$4:AN32,AN32)=1),1,0)</f>
        <v/>
      </c>
      <c r="AP32">
        <f>IF(ROW()-3&gt;MAX(AO$4:AO$40),"",INDEX(AN$4:AN$40,MATCH(ROW()-3,AO$4:AO$40,0)))</f>
        <v/>
      </c>
      <c r="AQ32">
        <f>IF(AND($B$32:$C$32,$E$32:$AJ$32),IF('Final Calculation Sheet'!$G$32="","",'Final Calculation Sheet'!$G$32),"")</f>
        <v/>
      </c>
      <c r="AR32">
        <f>IF(AQ32="","",COUNTIFS(AQ$4:AQ$40,"&lt;"&amp;AQ32,AQ$4:AQ$40,"&lt;&gt;"&amp;"")+COUNTIF(AQ$4:AQ32,AQ32))</f>
        <v/>
      </c>
      <c r="AS32">
        <f>IF(ROW()-3&gt;COUNTIF(AQ$4:AQ$40,"&lt;&gt;"&amp;""),"",INDEX(AQ$4:AQ$40,MATCH(ROW()-3,AR$4:AR$40,0)))</f>
        <v/>
      </c>
      <c r="AT32">
        <f>AT31+IF(AND(AS32&lt;&gt;"",COUNTIF(AS$4:AS32,AS32)=1),1,0)</f>
        <v/>
      </c>
      <c r="AU32">
        <f>IF(ROW()-3&gt;MAX(AT$4:AT$40),"",INDEX(AS$4:AS$40,MATCH(ROW()-3,AT$4:AT$40,0)))</f>
        <v/>
      </c>
      <c r="AV32">
        <f>IF(AND($B$32:$D$32,$F$32:$AJ$32),IF('Final Calculation Sheet'!$B$32="","",'Final Calculation Sheet'!$B$32),"")</f>
        <v/>
      </c>
      <c r="AW32">
        <f>IF(AV32="","",COUNTIFS(AV$4:AV$40,"&lt;"&amp;AV32,AV$4:AV$40,"&lt;&gt;"&amp;"")+COUNTIF(AV$4:AV32,AV32))</f>
        <v/>
      </c>
      <c r="AX32">
        <f>IF(ROW()-3&gt;COUNTIF(AV$4:AV$40,"&lt;&gt;"&amp;""),"",INDEX(AV$4:AV$40,MATCH(ROW()-3,AW$4:AW$40,0)))</f>
        <v/>
      </c>
      <c r="AY32">
        <f>AY31+IF(AND(AX32&lt;&gt;"",COUNTIF(AX$4:AX32,AX32)=1),1,0)</f>
        <v/>
      </c>
      <c r="AZ32">
        <f>IF(ROW()-3&gt;MAX(AY$4:AY$40),"",INDEX(AX$4:AX$40,MATCH(ROW()-3,AY$4:AY$40,0)))</f>
        <v/>
      </c>
      <c r="BA32">
        <f>IF(AND($B$32:$E$32,$G$32:$AJ$32),IF('Final Calculation Sheet'!$D$32="","",'Final Calculation Sheet'!$D$32),"")</f>
        <v/>
      </c>
      <c r="BB32">
        <f>IF(BA32="","",COUNTIFS(BA$4:BA$40,"&lt;"&amp;BA32,BA$4:BA$40,"&lt;&gt;"&amp;"")+COUNTIF(BA$4:BA32,BA32))</f>
        <v/>
      </c>
      <c r="BC32">
        <f>IF(ROW()-3&gt;COUNTIF(BA$4:BA$40,"&lt;&gt;"&amp;""),"",INDEX(BA$4:BA$40,MATCH(ROW()-3,BB$4:BB$40,0)))</f>
        <v/>
      </c>
      <c r="BD32">
        <f>BD31+IF(AND(BC32&lt;&gt;"",COUNTIF(BC$4:BC32,BC32)=1),1,0)</f>
        <v/>
      </c>
      <c r="BE32">
        <f>IF(ROW()-3&gt;MAX(BD$4:BD$40),"",INDEX(BC$4:BC$40,MATCH(ROW()-3,BD$4:BD$40,0)))</f>
        <v/>
      </c>
      <c r="BF32">
        <f>IF(AND($B$32:$F$32,$H$32:$AJ$32),IF('Final Calculation Sheet'!$A$32="","",'Final Calculation Sheet'!$A$32),"")</f>
        <v/>
      </c>
      <c r="BG32">
        <f>IF(BF32="","",COUNTIFS(BF$4:BF$40,"&lt;"&amp;BF32,BF$4:BF$40,"&lt;&gt;"&amp;"")+COUNTIF(BF$4:BF32,BF32))</f>
        <v/>
      </c>
      <c r="BH32">
        <f>IF(ROW()-3&gt;COUNTIF(BF$4:BF$40,"&lt;&gt;"&amp;""),"",INDEX(BF$4:BF$40,MATCH(ROW()-3,BG$4:BG$40,0)))</f>
        <v/>
      </c>
      <c r="BI32">
        <f>BI31+IF(AND(BH32&lt;&gt;"",COUNTIF(BH$4:BH32,BH32)=1),1,0)</f>
        <v/>
      </c>
      <c r="BJ32">
        <f>IF(ROW()-3&gt;MAX(BI$4:BI$40),"",INDEX(BH$4:BH$40,MATCH(ROW()-3,BI$4:BI$40,0)))</f>
        <v/>
      </c>
      <c r="BK32">
        <f>IF(AND($B$32:$G$32,$I$32:$AJ$32),IF('Final Calculation Sheet'!$E$32="","",'Final Calculation Sheet'!$E$32),"")</f>
        <v/>
      </c>
      <c r="BL32">
        <f>IF(BK32="","",COUNTIFS(BK$4:BK$40,"&lt;"&amp;BK32,BK$4:BK$40,"&lt;&gt;"&amp;"")+COUNTIF(BK$4:BK32,BK32))</f>
        <v/>
      </c>
      <c r="BM32">
        <f>IF(ROW()-3&gt;COUNTIF(BK$4:BK$40,"&lt;&gt;"&amp;""),"",INDEX(BK$4:BK$40,MATCH(ROW()-3,BL$4:BL$40,0)))</f>
        <v/>
      </c>
      <c r="BN32">
        <f>BN31+IF(AND(BM32&lt;&gt;"",COUNTIF(BM$4:BM32,BM32)=1),1,0)</f>
        <v/>
      </c>
      <c r="BO32">
        <f>IF(ROW()-3&gt;MAX(BN$4:BN$40),"",INDEX(BM$4:BM$40,MATCH(ROW()-3,BN$4:BN$40,0)))</f>
        <v/>
      </c>
      <c r="BP32" s="55">
        <f>IF(AND($B$32:$H$32,$J$32:$AJ$32),IF('Final Calculation Sheet'!$C$32="","",'Final Calculation Sheet'!$C$32),"")</f>
        <v/>
      </c>
      <c r="BQ32">
        <f>IF(BP32="","",COUNTIFS(BP$4:BP$40,"&lt;"&amp;BP32,BP$4:BP$40,"&lt;&gt;"&amp;"")+COUNTIF(BP$4:BP32,BP32))</f>
        <v/>
      </c>
      <c r="BR32" s="55">
        <f>IF(ROW()-3&gt;COUNTIF(BP$4:BP$40,"&lt;&gt;"&amp;""),"",INDEX(BP$4:BP$40,MATCH(ROW()-3,BQ$4:BQ$40,0)))</f>
        <v/>
      </c>
      <c r="BS32">
        <f>BS31+IF(AND(BR32&lt;&gt;"",COUNTIF(BR$4:BR32,BR32)=1),1,0)</f>
        <v/>
      </c>
      <c r="BT32" s="55">
        <f>IF(ROW()-3&gt;MAX(BS$4:BS$40),"",INDEX(BR$4:BR$40,MATCH(ROW()-3,BS$4:BS$40,0)))</f>
        <v/>
      </c>
      <c r="BU32" s="55">
        <f>IF(AND($B$32:$I$32,$K$32:$AJ$32),IF('Final Calculation Sheet'!$H$32="","",'Final Calculation Sheet'!$H$32),"")</f>
        <v/>
      </c>
      <c r="BV32">
        <f>IF(BU32="","",COUNTIFS(BU$4:BU$40,"&lt;"&amp;BU32,BU$4:BU$40,"&lt;&gt;"&amp;"")+COUNTIF(BU$4:BU32,BU32))</f>
        <v/>
      </c>
      <c r="BW32" s="55">
        <f>IF(ROW()-3&gt;COUNTIF(BU$4:BU$40,"&lt;&gt;"&amp;""),"",INDEX(BU$4:BU$40,MATCH(ROW()-3,BV$4:BV$40,0)))</f>
        <v/>
      </c>
      <c r="BX32">
        <f>BX31+IF(AND(BW32&lt;&gt;"",COUNTIF(BW$4:BW32,BW32)=1),1,0)</f>
        <v/>
      </c>
      <c r="BY32" s="55">
        <f>IF(ROW()-3&gt;MAX(BX$4:BX$40),"",INDEX(BW$4:BW$40,MATCH(ROW()-3,BX$4:BX$40,0)))</f>
        <v/>
      </c>
      <c r="BZ32" s="55">
        <f>IF(AND($B$32:$J$32,$L$32:$AJ$32),IF('Final Calculation Sheet'!$I$32="","",'Final Calculation Sheet'!$I$32),"")</f>
        <v/>
      </c>
      <c r="CA32">
        <f>IF(BZ32="","",COUNTIFS(BZ$4:BZ$40,"&lt;"&amp;BZ32,BZ$4:BZ$40,"&lt;&gt;"&amp;"")+COUNTIF(BZ$4:BZ32,BZ32))</f>
        <v/>
      </c>
      <c r="CB32" s="55">
        <f>IF(ROW()-3&gt;COUNTIF(BZ$4:BZ$40,"&lt;&gt;"&amp;""),"",INDEX(BZ$4:BZ$40,MATCH(ROW()-3,CA$4:CA$40,0)))</f>
        <v/>
      </c>
      <c r="CC32">
        <f>CC31+IF(AND(CB32&lt;&gt;"",COUNTIF(CB$4:CB32,CB32)=1),1,0)</f>
        <v/>
      </c>
      <c r="CD32" s="55">
        <f>IF(ROW()-3&gt;MAX(CC$4:CC$40),"",INDEX(CB$4:CB$40,MATCH(ROW()-3,CC$4:CC$40,0)))</f>
        <v/>
      </c>
      <c r="CE32" s="55">
        <f>IF(AND($B$32:$K$32,$M$32:$AJ$32),IF('Final Calculation Sheet'!$J$32="","",'Final Calculation Sheet'!$J$32),"")</f>
        <v/>
      </c>
      <c r="CF32">
        <f>IF(CE32="","",COUNTIFS(CE$4:CE$40,"&lt;"&amp;CE32,CE$4:CE$40,"&lt;&gt;"&amp;"")+COUNTIF(CE$4:CE32,CE32))</f>
        <v/>
      </c>
      <c r="CG32" s="55">
        <f>IF(ROW()-3&gt;COUNTIF(CE$4:CE$40,"&lt;&gt;"&amp;""),"",INDEX(CE$4:CE$40,MATCH(ROW()-3,CF$4:CF$40,0)))</f>
        <v/>
      </c>
      <c r="CH32">
        <f>CH31+IF(AND(CG32&lt;&gt;"",COUNTIF(CG$4:CG32,CG32)=1),1,0)</f>
        <v/>
      </c>
      <c r="CI32" s="55">
        <f>IF(ROW()-3&gt;MAX(CH$4:CH$40),"",INDEX(CG$4:CG$40,MATCH(ROW()-3,CH$4:CH$40,0)))</f>
        <v/>
      </c>
      <c r="CJ32" s="55">
        <f>IF(AND($B$32:$L$32,$N$32:$AJ$32),IF('Final Calculation Sheet'!$K$32="","",'Final Calculation Sheet'!$K$32),"")</f>
        <v/>
      </c>
      <c r="CK32">
        <f>IF(CJ32="","",COUNTIFS(CJ$4:CJ$40,"&lt;"&amp;CJ32,CJ$4:CJ$40,"&lt;&gt;"&amp;"")+COUNTIF(CJ$4:CJ32,CJ32))</f>
        <v/>
      </c>
      <c r="CL32" s="55">
        <f>IF(ROW()-3&gt;COUNTIF(CJ$4:CJ$40,"&lt;&gt;"&amp;""),"",INDEX(CJ$4:CJ$40,MATCH(ROW()-3,CK$4:CK$40,0)))</f>
        <v/>
      </c>
      <c r="CM32">
        <f>CM31+IF(AND(CL32&lt;&gt;"",COUNTIF(CL$4:CL32,CL32)=1),1,0)</f>
        <v/>
      </c>
      <c r="CN32" s="55">
        <f>IF(ROW()-3&gt;MAX(CM$4:CM$40),"",INDEX(CL$4:CL$40,MATCH(ROW()-3,CM$4:CM$40,0)))</f>
        <v/>
      </c>
      <c r="CO32" s="55">
        <f>IF(AND($B$32:$M$32,$O$32:$AJ$32),IF('Final Calculation Sheet'!$L$32="","",'Final Calculation Sheet'!$L$32),"")</f>
        <v/>
      </c>
      <c r="CP32">
        <f>IF(CO32="","",COUNTIFS(CO$4:CO$40,"&lt;"&amp;CO32,CO$4:CO$40,"&lt;&gt;"&amp;"")+COUNTIF(CO$4:CO32,CO32))</f>
        <v/>
      </c>
      <c r="CQ32" s="55">
        <f>IF(ROW()-3&gt;COUNTIF(CO$4:CO$40,"&lt;&gt;"&amp;""),"",INDEX(CO$4:CO$40,MATCH(ROW()-3,CP$4:CP$40,0)))</f>
        <v/>
      </c>
      <c r="CR32">
        <f>CR31+IF(AND(CQ32&lt;&gt;"",COUNTIF(CQ$4:CQ32,CQ32)=1),1,0)</f>
        <v/>
      </c>
      <c r="CS32" s="55">
        <f>IF(ROW()-3&gt;MAX(CR$4:CR$40),"",INDEX(CQ$4:CQ$40,MATCH(ROW()-3,CR$4:CR$40,0)))</f>
        <v/>
      </c>
      <c r="CT32" s="55">
        <f>IF(AND($B$32:$N$32,$P$32:$AJ$32),IF('Final Calculation Sheet'!$M$32="","",'Final Calculation Sheet'!$M$32),"")</f>
        <v/>
      </c>
      <c r="CU32">
        <f>IF(CT32="","",COUNTIFS(CT$4:CT$40,"&lt;"&amp;CT32,CT$4:CT$40,"&lt;&gt;"&amp;"")+COUNTIF(CT$4:CT32,CT32))</f>
        <v/>
      </c>
      <c r="CV32" s="55">
        <f>IF(ROW()-3&gt;COUNTIF(CT$4:CT$40,"&lt;&gt;"&amp;""),"",INDEX(CT$4:CT$40,MATCH(ROW()-3,CU$4:CU$40,0)))</f>
        <v/>
      </c>
      <c r="CW32">
        <f>CW31+IF(AND(CV32&lt;&gt;"",COUNTIF(CV$4:CV32,CV32)=1),1,0)</f>
        <v/>
      </c>
      <c r="CX32" s="55">
        <f>IF(ROW()-3&gt;MAX(CW$4:CW$40),"",INDEX(CV$4:CV$40,MATCH(ROW()-3,CW$4:CW$40,0)))</f>
        <v/>
      </c>
      <c r="CY32" s="138">
        <f>IF(AND($B$32:$O$32,$Q$32:$AJ$32),IF('Final Calculation Sheet'!$N$32="","",'Final Calculation Sheet'!$N$32),"")</f>
        <v/>
      </c>
      <c r="CZ32">
        <f>IF(CY32="","",COUNTIFS(CY$4:CY$40,"&lt;"&amp;CY32,CY$4:CY$40,"&lt;&gt;"&amp;"")+COUNTIF(CY$4:CY32,CY32))</f>
        <v/>
      </c>
      <c r="DA32" s="138">
        <f>IF(ROW()-3&gt;COUNTIF(CY$4:CY$40,"&lt;&gt;"&amp;""),"",INDEX(CY$4:CY$40,MATCH(ROW()-3,CZ$4:CZ$40,0)))</f>
        <v/>
      </c>
      <c r="DB32">
        <f>DB31+IF(AND(DA32&lt;&gt;"",COUNTIF(DA$4:DA32,DA32)=1),1,0)</f>
        <v/>
      </c>
      <c r="DC32" s="138">
        <f>IF(ROW()-3&gt;MAX(DB$4:DB$40),"",INDEX(DA$4:DA$40,MATCH(ROW()-3,DB$4:DB$40,0)))</f>
        <v/>
      </c>
      <c r="DD32" s="55">
        <f>IF(AND($B$32:$P$32,$R$32:$AJ$32),IF('Final Calculation Sheet'!$O$32="","",'Final Calculation Sheet'!$O$32),"")</f>
        <v/>
      </c>
      <c r="DE32">
        <f>IF(DD32="","",COUNTIFS(DD$4:DD$40,"&lt;"&amp;DD32,DD$4:DD$40,"&lt;&gt;"&amp;"")+COUNTIF(DD$4:DD32,DD32))</f>
        <v/>
      </c>
      <c r="DF32" s="55">
        <f>IF(ROW()-3&gt;COUNTIF(DD$4:DD$40,"&lt;&gt;"&amp;""),"",INDEX(DD$4:DD$40,MATCH(ROW()-3,DE$4:DE$40,0)))</f>
        <v/>
      </c>
      <c r="DG32">
        <f>DG31+IF(AND(DF32&lt;&gt;"",COUNTIF(DF$4:DF32,DF32)=1),1,0)</f>
        <v/>
      </c>
      <c r="DH32" s="55">
        <f>IF(ROW()-3&gt;MAX(DG$4:DG$40),"",INDEX(DF$4:DF$40,MATCH(ROW()-3,DG$4:DG$40,0)))</f>
        <v/>
      </c>
      <c r="DI32" s="55">
        <f>IF(AND($B$32:$Q$32,$S$32:$AJ$32),IF('Final Calculation Sheet'!$P$32="","",'Final Calculation Sheet'!$P$32),"")</f>
        <v/>
      </c>
      <c r="DJ32">
        <f>IF(DI32="","",COUNTIFS(DI$4:DI$40,"&lt;"&amp;DI32,DI$4:DI$40,"&lt;&gt;"&amp;"")+COUNTIF(DI$4:DI32,DI32))</f>
        <v/>
      </c>
      <c r="DK32" s="55">
        <f>IF(ROW()-3&gt;COUNTIF(DI$4:DI$40,"&lt;&gt;"&amp;""),"",INDEX(DI$4:DI$40,MATCH(ROW()-3,DJ$4:DJ$40,0)))</f>
        <v/>
      </c>
      <c r="DL32">
        <f>DL31+IF(AND(DK32&lt;&gt;"",COUNTIF(DK$4:DK32,DK32)=1),1,0)</f>
        <v/>
      </c>
      <c r="DM32" s="55">
        <f>IF(ROW()-3&gt;MAX(DL$4:DL$40),"",INDEX(DK$4:DK$40,MATCH(ROW()-3,DL$4:DL$40,0)))</f>
        <v/>
      </c>
      <c r="DN32" s="139">
        <f>IF(AND($B$32:$R$32,$T$32:$AJ$32),IF('Final Calculation Sheet'!$Q$32="","",'Final Calculation Sheet'!$Q$32),"")</f>
        <v/>
      </c>
      <c r="DO32">
        <f>IF(DN32="","",COUNTIFS(DN$4:DN$40,"&lt;"&amp;DN32,DN$4:DN$40,"&lt;&gt;"&amp;"")+COUNTIF(DN$4:DN32,DN32))</f>
        <v/>
      </c>
      <c r="DP32" s="139">
        <f>IF(ROW()-3&gt;COUNTIF(DN$4:DN$40,"&lt;&gt;"&amp;""),"",INDEX(DN$4:DN$40,MATCH(ROW()-3,DO$4:DO$40,0)))</f>
        <v/>
      </c>
      <c r="DQ32">
        <f>DQ31+IF(AND(DP32&lt;&gt;"",COUNTIF(DP$4:DP32,DP32)=1),1,0)</f>
        <v/>
      </c>
      <c r="DR32" s="139">
        <f>IF(ROW()-3&gt;MAX(DQ$4:DQ$40),"",INDEX(DP$4:DP$40,MATCH(ROW()-3,DQ$4:DQ$40,0)))</f>
        <v/>
      </c>
      <c r="DS32" s="55">
        <f>IF(AND($B$32:$S$32,$U$32:$AJ$32),IF('Final Calculation Sheet'!$R$32="","",'Final Calculation Sheet'!$R$32),"")</f>
        <v/>
      </c>
      <c r="DT32">
        <f>IF(DS32="","",COUNTIFS(DS$4:DS$40,"&lt;"&amp;DS32,DS$4:DS$40,"&lt;&gt;"&amp;"")+COUNTIF(DS$4:DS32,DS32))</f>
        <v/>
      </c>
      <c r="DU32" s="55">
        <f>IF(ROW()-3&gt;COUNTIF(DS$4:DS$40,"&lt;&gt;"&amp;""),"",INDEX(DS$4:DS$40,MATCH(ROW()-3,DT$4:DT$40,0)))</f>
        <v/>
      </c>
      <c r="DV32">
        <f>DV31+IF(AND(DU32&lt;&gt;"",COUNTIF(DU$4:DU32,DU32)=1),1,0)</f>
        <v/>
      </c>
      <c r="DW32" s="55">
        <f>IF(ROW()-3&gt;MAX(DV$4:DV$40),"",INDEX(DU$4:DU$40,MATCH(ROW()-3,DV$4:DV$40,0)))</f>
        <v/>
      </c>
      <c r="DX32" s="55">
        <f>IF(AND($B$32:$T$32,$V$32:$AJ$32),IF('Final Calculation Sheet'!$S$32="","",'Final Calculation Sheet'!$S$32),"")</f>
        <v/>
      </c>
      <c r="DY32">
        <f>IF(DX32="","",COUNTIFS(DX$4:DX$40,"&lt;"&amp;DX32,DX$4:DX$40,"&lt;&gt;"&amp;"")+COUNTIF(DX$4:DX32,DX32))</f>
        <v/>
      </c>
      <c r="DZ32" s="55">
        <f>IF(ROW()-3&gt;COUNTIF(DX$4:DX$40,"&lt;&gt;"&amp;""),"",INDEX(DX$4:DX$40,MATCH(ROW()-3,DY$4:DY$40,0)))</f>
        <v/>
      </c>
      <c r="EA32">
        <f>EA31+IF(AND(DZ32&lt;&gt;"",COUNTIF(DZ$4:DZ32,DZ32)=1),1,0)</f>
        <v/>
      </c>
      <c r="EB32" s="55">
        <f>IF(ROW()-3&gt;MAX(EA$4:EA$40),"",INDEX(DZ$4:DZ$40,MATCH(ROW()-3,EA$4:EA$40,0)))</f>
        <v/>
      </c>
      <c r="EC32" s="55">
        <f>IF(AND($B$32:$U$32,$W$32:$AJ$32),IF('Final Calculation Sheet'!$T$32="","",'Final Calculation Sheet'!$T$32),"")</f>
        <v/>
      </c>
      <c r="ED32">
        <f>IF(EC32="","",COUNTIFS(EC$4:EC$40,"&lt;"&amp;EC32,EC$4:EC$40,"&lt;&gt;"&amp;"")+COUNTIF(EC$4:EC32,EC32))</f>
        <v/>
      </c>
      <c r="EE32" s="55">
        <f>IF(ROW()-3&gt;COUNTIF(EC$4:EC$40,"&lt;&gt;"&amp;""),"",INDEX(EC$4:EC$40,MATCH(ROW()-3,ED$4:ED$40,0)))</f>
        <v/>
      </c>
      <c r="EF32">
        <f>EF31+IF(AND(EE32&lt;&gt;"",COUNTIF(EE$4:EE32,EE32)=1),1,0)</f>
        <v/>
      </c>
      <c r="EG32" s="55">
        <f>IF(ROW()-3&gt;MAX(EF$4:EF$40),"",INDEX(EE$4:EE$40,MATCH(ROW()-3,EF$4:EF$40,0)))</f>
        <v/>
      </c>
      <c r="EH32" s="140">
        <f>IF(AND($B$32:$V$32,$X$32:$AJ$32),IF('Final Calculation Sheet'!$U$32="","",'Final Calculation Sheet'!$U$32),"")</f>
        <v/>
      </c>
      <c r="EI32">
        <f>IF(EH32="","",COUNTIFS(EH$4:EH$40,"&lt;"&amp;EH32,EH$4:EH$40,"&lt;&gt;"&amp;"")+COUNTIF(EH$4:EH32,EH32))</f>
        <v/>
      </c>
      <c r="EJ32" s="140">
        <f>IF(ROW()-3&gt;COUNTIF(EH$4:EH$40,"&lt;&gt;"&amp;""),"",INDEX(EH$4:EH$40,MATCH(ROW()-3,EI$4:EI$40,0)))</f>
        <v/>
      </c>
      <c r="EK32">
        <f>EK31+IF(AND(EJ32&lt;&gt;"",COUNTIF(EJ$4:EJ32,EJ32)=1),1,0)</f>
        <v/>
      </c>
      <c r="EL32" s="140">
        <f>IF(ROW()-3&gt;MAX(EK$4:EK$40),"",INDEX(EJ$4:EJ$40,MATCH(ROW()-3,EK$4:EK$40,0)))</f>
        <v/>
      </c>
      <c r="EM32">
        <f>IF(AND($B$32:$W$32,$Y$32:$AJ$32),IF('Final Calculation Sheet'!$V$32="","",'Final Calculation Sheet'!$V$32),"")</f>
        <v/>
      </c>
      <c r="EN32">
        <f>IF(EM32="","",COUNTIFS(EM$4:EM$40,"&lt;"&amp;EM32,EM$4:EM$40,"&lt;&gt;"&amp;"")+COUNTIF(EM$4:EM32,EM32))</f>
        <v/>
      </c>
      <c r="EO32">
        <f>IF(ROW()-3&gt;COUNTIF(EM$4:EM$40,"&lt;&gt;"&amp;""),"",INDEX(EM$4:EM$40,MATCH(ROW()-3,EN$4:EN$40,0)))</f>
        <v/>
      </c>
      <c r="EP32">
        <f>EP31+IF(AND(EO32&lt;&gt;"",COUNTIF(EO$4:EO32,EO32)=1),1,0)</f>
        <v/>
      </c>
      <c r="EQ32">
        <f>IF(ROW()-3&gt;MAX(EP$4:EP$40),"",INDEX(EO$4:EO$40,MATCH(ROW()-3,EP$4:EP$40,0)))</f>
        <v/>
      </c>
      <c r="ER32" s="55">
        <f>IF(AND($B$32:$X$32,$Z$32:$AJ$32),IF('Final Calculation Sheet'!$W$32="","",'Final Calculation Sheet'!$W$32),"")</f>
        <v/>
      </c>
      <c r="ES32">
        <f>IF(ER32="","",COUNTIFS(ER$4:ER$40,"&lt;"&amp;ER32,ER$4:ER$40,"&lt;&gt;"&amp;"")+COUNTIF(ER$4:ER32,ER32))</f>
        <v/>
      </c>
      <c r="ET32" s="55">
        <f>IF(ROW()-3&gt;COUNTIF(ER$4:ER$40,"&lt;&gt;"&amp;""),"",INDEX(ER$4:ER$40,MATCH(ROW()-3,ES$4:ES$40,0)))</f>
        <v/>
      </c>
      <c r="EU32">
        <f>EU31+IF(AND(ET32&lt;&gt;"",COUNTIF(ET$4:ET32,ET32)=1),1,0)</f>
        <v/>
      </c>
      <c r="EV32" s="55">
        <f>IF(ROW()-3&gt;MAX(EU$4:EU$40),"",INDEX(ET$4:ET$40,MATCH(ROW()-3,EU$4:EU$40,0)))</f>
        <v/>
      </c>
      <c r="EW32" s="55">
        <f>IF(AND($B$32:$Y$32,$AA$32:$AJ$32),IF('Final Calculation Sheet'!$X$32="","",'Final Calculation Sheet'!$X$32),"")</f>
        <v/>
      </c>
      <c r="EX32">
        <f>IF(EW32="","",COUNTIFS(EW$4:EW$40,"&lt;"&amp;EW32,EW$4:EW$40,"&lt;&gt;"&amp;"")+COUNTIF(EW$4:EW32,EW32))</f>
        <v/>
      </c>
      <c r="EY32" s="55">
        <f>IF(ROW()-3&gt;COUNTIF(EW$4:EW$40,"&lt;&gt;"&amp;""),"",INDEX(EW$4:EW$40,MATCH(ROW()-3,EX$4:EX$40,0)))</f>
        <v/>
      </c>
      <c r="EZ32">
        <f>EZ31+IF(AND(EY32&lt;&gt;"",COUNTIF(EY$4:EY32,EY32)=1),1,0)</f>
        <v/>
      </c>
      <c r="FA32">
        <f>IF(ROW()-3&gt;MAX(EZ$4:EZ$40),"",INDEX(EY$4:EY$40,MATCH(ROW()-3,EZ$4:EZ$40,0)))</f>
        <v/>
      </c>
      <c r="FB32">
        <f>IF(AND($B$32:$Z$32,$AB$32:$AJ$32),IF('Final Calculation Sheet'!$Y$32="","",'Final Calculation Sheet'!$Y$32),"")</f>
        <v/>
      </c>
      <c r="FC32">
        <f>IF(FB32="","",COUNTIFS(FB$4:FB$40,"&lt;"&amp;FB32,FB$4:FB$40,"&lt;&gt;"&amp;"")+COUNTIF(FB$4:FB32,FB32))</f>
        <v/>
      </c>
      <c r="FD32">
        <f>IF(ROW()-3&gt;COUNTIF(FB$4:FB$40,"&lt;&gt;"&amp;""),"",INDEX(FB$4:FB$40,MATCH(ROW()-3,FC$4:FC$40,0)))</f>
        <v/>
      </c>
      <c r="FE32">
        <f>FE31+IF(AND(FD32&lt;&gt;"",COUNTIF(FD$4:FD32,FD32)=1),1,0)</f>
        <v/>
      </c>
      <c r="FF32">
        <f>IF(ROW()-3&gt;MAX(FE$4:FE$40),"",INDEX(FD$4:FD$40,MATCH(ROW()-3,FE$4:FE$40,0)))</f>
        <v/>
      </c>
      <c r="FG32" s="55">
        <f>IF(AND($B$32:$AA$32,$AC$32:$AJ$32),IF('Final Calculation Sheet'!$Z$32="","",'Final Calculation Sheet'!$Z$32),"")</f>
        <v/>
      </c>
      <c r="FH32">
        <f>IF(FG32="","",COUNTIFS(FG$4:FG$40,"&lt;"&amp;FG32,FG$4:FG$40,"&lt;&gt;"&amp;"")+COUNTIF(FG$4:FG32,FG32))</f>
        <v/>
      </c>
      <c r="FI32" s="55">
        <f>IF(ROW()-3&gt;COUNTIF(FG$4:FG$40,"&lt;&gt;"&amp;""),"",INDEX(FG$4:FG$40,MATCH(ROW()-3,FH$4:FH$40,0)))</f>
        <v/>
      </c>
      <c r="FJ32">
        <f>FJ31+IF(AND(FI32&lt;&gt;"",COUNTIF(FI$4:FI32,FI32)=1),1,0)</f>
        <v/>
      </c>
      <c r="FK32" s="55">
        <f>IF(ROW()-3&gt;MAX(FJ$4:FJ$40),"",INDEX(FI$4:FI$40,MATCH(ROW()-3,FJ$4:FJ$40,0)))</f>
        <v/>
      </c>
      <c r="FL32">
        <f>IF(AND($B$32:$AB$32,$AD$32:$AJ$32),IF('Final Calculation Sheet'!$AA$32="","",'Final Calculation Sheet'!$AA$32),"")</f>
        <v/>
      </c>
      <c r="FM32">
        <f>IF(FL32="","",COUNTIFS(FL$4:FL$40,"&lt;"&amp;FL32,FL$4:FL$40,"&lt;&gt;"&amp;"")+COUNTIF(FL$4:FL32,FL32))</f>
        <v/>
      </c>
      <c r="FN32">
        <f>IF(ROW()-3&gt;COUNTIF(FL$4:FL$40,"&lt;&gt;"&amp;""),"",INDEX(FL$4:FL$40,MATCH(ROW()-3,FM$4:FM$40,0)))</f>
        <v/>
      </c>
      <c r="FO32">
        <f>FO31+IF(AND(FN32&lt;&gt;"",COUNTIF(FN$4:FN32,FN32)=1),1,0)</f>
        <v/>
      </c>
      <c r="FP32">
        <f>IF(ROW()-3&gt;MAX(FO$4:FO$40),"",INDEX(FN$4:FN$40,MATCH(ROW()-3,FO$4:FO$40,0)))</f>
        <v/>
      </c>
      <c r="FQ32">
        <f>IF(AND($B$32:$AC$32,$AE$32:$AJ$32),IF('Final Calculation Sheet'!$AB$32="","",'Final Calculation Sheet'!$AB$32),"")</f>
        <v/>
      </c>
      <c r="FR32">
        <f>IF(FQ32="","",COUNTIFS(FQ$4:FQ$40,"&lt;"&amp;FQ32,FQ$4:FQ$40,"&lt;&gt;"&amp;"")+COUNTIF(FQ$4:FQ32,FQ32))</f>
        <v/>
      </c>
      <c r="FS32">
        <f>IF(ROW()-3&gt;COUNTIF(FQ$4:FQ$40,"&lt;&gt;"&amp;""),"",INDEX(FQ$4:FQ$40,MATCH(ROW()-3,FR$4:FR$40,0)))</f>
        <v/>
      </c>
      <c r="FT32">
        <f>FT31+IF(AND(FS32&lt;&gt;"",COUNTIF(FS$4:FS32,FS32)=1),1,0)</f>
        <v/>
      </c>
      <c r="FU32">
        <f>IF(ROW()-3&gt;MAX(FT$4:FT$40),"",INDEX(FS$4:FS$40,MATCH(ROW()-3,FT$4:FT$40,0)))</f>
        <v/>
      </c>
      <c r="FV32" s="55">
        <f>IF(AND($B$32:$AD$32,$AF$32:$AJ$32),IF('Final Calculation Sheet'!$AC$32="","",'Final Calculation Sheet'!$AC$32),"")</f>
        <v/>
      </c>
      <c r="FW32">
        <f>IF(FV32="","",COUNTIFS(FV$4:FV$40,"&lt;"&amp;FV32,FV$4:FV$40,"&lt;&gt;"&amp;"")+COUNTIF(FV$4:FV32,FV32))</f>
        <v/>
      </c>
      <c r="FX32" s="55">
        <f>IF(ROW()-3&gt;COUNTIF(FV$4:FV$40,"&lt;&gt;"&amp;""),"",INDEX(FV$4:FV$40,MATCH(ROW()-3,FW$4:FW$40,0)))</f>
        <v/>
      </c>
      <c r="FY32">
        <f>FY31+IF(AND(FX32&lt;&gt;"",COUNTIF(FX$4:FX32,FX32)=1),1,0)</f>
        <v/>
      </c>
      <c r="FZ32" s="55">
        <f>IF(ROW()-3&gt;MAX(FY$4:FY$40),"",INDEX(FX$4:FX$40,MATCH(ROW()-3,FY$4:FY$40,0)))</f>
        <v/>
      </c>
      <c r="GA32" s="55">
        <f>IF(AND($B$32:$AE$32,$AG$32:$AJ$32),IF('Final Calculation Sheet'!$AD$32="","",'Final Calculation Sheet'!$AD$32),"")</f>
        <v/>
      </c>
      <c r="GB32">
        <f>IF(GA32="","",COUNTIFS(GA$4:GA$40,"&lt;"&amp;GA32,GA$4:GA$40,"&lt;&gt;"&amp;"")+COUNTIF(GA$4:GA32,GA32))</f>
        <v/>
      </c>
      <c r="GC32" s="55">
        <f>IF(ROW()-3&gt;COUNTIF(GA$4:GA$40,"&lt;&gt;"&amp;""),"",INDEX(GA$4:GA$40,MATCH(ROW()-3,GB$4:GB$40,0)))</f>
        <v/>
      </c>
      <c r="GD32">
        <f>GD31+IF(AND(GC32&lt;&gt;"",COUNTIF(GC$4:GC32,GC32)=1),1,0)</f>
        <v/>
      </c>
      <c r="GE32" s="55">
        <f>IF(ROW()-3&gt;MAX(GD$4:GD$40),"",INDEX(GC$4:GC$40,MATCH(ROW()-3,GD$4:GD$40,0)))</f>
        <v/>
      </c>
      <c r="GF32">
        <f>IF(AND($B$32:$AF$32,$AH$32:$AJ$32),IF('Final Calculation Sheet'!$AE$32="","",'Final Calculation Sheet'!$AE$32),"")</f>
        <v/>
      </c>
      <c r="GG32">
        <f>IF(GF32="","",COUNTIFS(GF$4:GF$40,"&lt;"&amp;GF32,GF$4:GF$40,"&lt;&gt;"&amp;"")+COUNTIF(GF$4:GF32,GF32))</f>
        <v/>
      </c>
      <c r="GH32">
        <f>IF(ROW()-3&gt;COUNTIF(GF$4:GF$40,"&lt;&gt;"&amp;""),"",INDEX(GF$4:GF$40,MATCH(ROW()-3,GG$4:GG$40,0)))</f>
        <v/>
      </c>
      <c r="GI32">
        <f>GI31+IF(AND(GH32&lt;&gt;"",COUNTIF(GH$4:GH32,GH32)=1),1,0)</f>
        <v/>
      </c>
      <c r="GJ32">
        <f>IF(ROW()-3&gt;MAX(GI$4:GI$40),"",INDEX(GH$4:GH$40,MATCH(ROW()-3,GI$4:GI$40,0)))</f>
        <v/>
      </c>
      <c r="GK32" s="141">
        <f>IF(AND($B$32:$AG$32,$AI$32:$AJ$32),IF('Final Calculation Sheet'!$AF$32="","",'Final Calculation Sheet'!$AF$32),"")</f>
        <v/>
      </c>
      <c r="GL32">
        <f>IF(GK32="","",COUNTIFS(GK$4:GK$40,"&lt;"&amp;GK32,GK$4:GK$40,"&lt;&gt;"&amp;"")+COUNTIF(GK$4:GK32,GK32))</f>
        <v/>
      </c>
      <c r="GM32" s="141">
        <f>IF(ROW()-3&gt;COUNTIF(GK$4:GK$40,"&lt;&gt;"&amp;""),"",INDEX(GK$4:GK$40,MATCH(ROW()-3,GL$4:GL$40,0)))</f>
        <v/>
      </c>
      <c r="GN32">
        <f>GN31+IF(AND(GM32&lt;&gt;"",COUNTIF(GM$4:GM32,GM32)=1),1,0)</f>
        <v/>
      </c>
      <c r="GO32">
        <f>IF(ROW()-3&gt;MAX(GN$4:GN$40),"",INDEX(GM$4:GM$40,MATCH(ROW()-3,GN$4:GN$40,0)))</f>
        <v/>
      </c>
      <c r="GP32">
        <f>IF(AND($B$32:$AH$32,$AJ$32:$AJ$32),IF('Final Calculation Sheet'!$AG$32="","",'Final Calculation Sheet'!$AG$32),"")</f>
        <v/>
      </c>
      <c r="GQ32">
        <f>IF(GP32="","",COUNTIFS(GP$4:GP$40,"&lt;"&amp;GP32,GP$4:GP$40,"&lt;&gt;"&amp;"")+COUNTIF(GP$4:GP32,GP32))</f>
        <v/>
      </c>
      <c r="GR32">
        <f>IF(ROW()-3&gt;COUNTIF(GP$4:GP$40,"&lt;&gt;"&amp;""),"",INDEX(GP$4:GP$40,MATCH(ROW()-3,GQ$4:GQ$40,0)))</f>
        <v/>
      </c>
      <c r="GS32">
        <f>GS31+IF(AND(GR32&lt;&gt;"",COUNTIF(GR$4:GR32,GR32)=1),1,0)</f>
        <v/>
      </c>
      <c r="GT32">
        <f>IF(ROW()-3&gt;MAX(GS$4:GS$40),"",INDEX(GR$4:GR$40,MATCH(ROW()-3,GS$4:GS$40,0)))</f>
        <v/>
      </c>
    </row>
    <row r="33">
      <c r="A33" t="inlineStr">
        <is>
          <t>Final row 33</t>
        </is>
      </c>
      <c r="B33" t="b">
        <v>1</v>
      </c>
      <c r="C33">
        <f>IF($C$3=FALSE,TRUE,IF(OR(UPPER(TRIM($C$2))="(BLANK)",UPPER(TRIM($C$2))="BLANK",AND($C$2&lt;&gt;"",TRIM($C$2)="")),(IF('Final Calculation Sheet'!$F$33="","",'Final Calculation Sheet'!$F$33))="",IF(OR(UPPER(TRIM($C$2))="(NONBLANK)",UPPER(TRIM($C$2))="NONBLANK",TRIM($C$2)="&lt;&gt;"),(IF('Final Calculation Sheet'!$F$33="","",'Final Calculation Sheet'!$F$33))&lt;&gt;"",UPPER(TRIM((IF('Final Calculation Sheet'!$F$33="","",'Final Calculation Sheet'!$F$33))&amp;""))=UPPER(TRIM($C$2&amp;"")))))</f>
        <v/>
      </c>
      <c r="D33">
        <f>IF($D$3=FALSE,TRUE,IF(OR(UPPER(TRIM($D$2))="(BLANK)",UPPER(TRIM($D$2))="BLANK",AND($D$2&lt;&gt;"",TRIM($D$2)="")),(IF('Final Calculation Sheet'!$G$33="","",'Final Calculation Sheet'!$G$33))="",IF(OR(UPPER(TRIM($D$2))="(NONBLANK)",UPPER(TRIM($D$2))="NONBLANK",TRIM($D$2)="&lt;&gt;"),(IF('Final Calculation Sheet'!$G$33="","",'Final Calculation Sheet'!$G$33))&lt;&gt;"",UPPER(TRIM((IF('Final Calculation Sheet'!$G$33="","",'Final Calculation Sheet'!$G$33))&amp;""))=UPPER(TRIM($D$2&amp;"")))))</f>
        <v/>
      </c>
      <c r="E33">
        <f>IF($E$3=FALSE,TRUE,IF(OR(UPPER(TRIM($E$2))="(BLANK)",UPPER(TRIM($E$2))="BLANK",AND($E$2&lt;&gt;"",TRIM($E$2)="")),(IF('Final Calculation Sheet'!$B$33="","",'Final Calculation Sheet'!$B$33))="",IF(OR(UPPER(TRIM($E$2))="(NONBLANK)",UPPER(TRIM($E$2))="NONBLANK",TRIM($E$2)="&lt;&gt;"),(IF('Final Calculation Sheet'!$B$33="","",'Final Calculation Sheet'!$B$33))&lt;&gt;"",UPPER(TRIM((IF('Final Calculation Sheet'!$B$33="","",'Final Calculation Sheet'!$B$33))&amp;""))=UPPER(TRIM($E$2&amp;"")))))</f>
        <v/>
      </c>
      <c r="F33">
        <f>IF($F$3=FALSE,TRUE,IF(OR(UPPER(TRIM($F$2))="(BLANK)",UPPER(TRIM($F$2))="BLANK",AND($F$2&lt;&gt;"",TRIM($F$2)="")),(IF('Final Calculation Sheet'!$D$33="","",'Final Calculation Sheet'!$D$33))="",IF(OR(UPPER(TRIM($F$2))="(NONBLANK)",UPPER(TRIM($F$2))="NONBLANK",TRIM($F$2)="&lt;&gt;"),(IF('Final Calculation Sheet'!$D$33="","",'Final Calculation Sheet'!$D$33))&lt;&gt;"",UPPER(TRIM((IF('Final Calculation Sheet'!$D$33="","",'Final Calculation Sheet'!$D$33))&amp;""))=UPPER(TRIM($F$2&amp;"")))))</f>
        <v/>
      </c>
      <c r="G33">
        <f>IF($G$3=FALSE,TRUE,IF(OR(UPPER(TRIM($G$2))="(BLANK)",UPPER(TRIM($G$2))="BLANK",AND($G$2&lt;&gt;"",TRIM($G$2)="")),(IF('Final Calculation Sheet'!$A$33="","",'Final Calculation Sheet'!$A$33))="",IF(OR(UPPER(TRIM($G$2))="(NONBLANK)",UPPER(TRIM($G$2))="NONBLANK",TRIM($G$2)="&lt;&gt;"),(IF('Final Calculation Sheet'!$A$33="","",'Final Calculation Sheet'!$A$33))&lt;&gt;"",UPPER(TRIM((IF('Final Calculation Sheet'!$A$33="","",'Final Calculation Sheet'!$A$33))&amp;""))=UPPER(TRIM($G$2&amp;"")))))</f>
        <v/>
      </c>
      <c r="H33">
        <f>IF($H$3=FALSE,TRUE,IF(OR(UPPER(TRIM($H$2))="(BLANK)",UPPER(TRIM($H$2))="BLANK",AND($H$2&lt;&gt;"",TRIM($H$2)="")),(IF('Final Calculation Sheet'!$E$33="","",'Final Calculation Sheet'!$E$33))="",IF(OR(UPPER(TRIM($H$2))="(NONBLANK)",UPPER(TRIM($H$2))="NONBLANK",TRIM($H$2)="&lt;&gt;"),(IF('Final Calculation Sheet'!$E$33="","",'Final Calculation Sheet'!$E$33))&lt;&gt;"",UPPER(TRIM((IF('Final Calculation Sheet'!$E$33="","",'Final Calculation Sheet'!$E$33))&amp;""))=UPPER(TRIM($H$2&amp;"")))))</f>
        <v/>
      </c>
      <c r="I33">
        <f>IF($I$3=FALSE,TRUE,IF(OR(UPPER(TRIM($I$2))="(BLANK)",UPPER(TRIM($I$2))="BLANK",AND($I$2&lt;&gt;"",TRIM($I$2)="")),(IF('Final Calculation Sheet'!$C$33="","",'Final Calculation Sheet'!$C$33))="",IF(OR(UPPER(TRIM($I$2))="(NONBLANK)",UPPER(TRIM($I$2))="NONBLANK",TRIM($I$2)="&lt;&gt;"),(IF('Final Calculation Sheet'!$C$33="","",'Final Calculation Sheet'!$C$33))&lt;&gt;"",UPPER(TRIM((IF('Final Calculation Sheet'!$C$33="","",'Final Calculation Sheet'!$C$33))&amp;""))=UPPER(TRIM($I$2&amp;"")))))</f>
        <v/>
      </c>
      <c r="J33">
        <f>IF($J$3=FALSE,TRUE,IF(OR(UPPER(TRIM($J$2))="(BLANK)",UPPER(TRIM($J$2))="BLANK",AND($J$2&lt;&gt;"",TRIM($J$2)="")),(IF('Final Calculation Sheet'!$H$33="","",'Final Calculation Sheet'!$H$33))="",IF(OR(UPPER(TRIM($J$2))="(NONBLANK)",UPPER(TRIM($J$2))="NONBLANK",TRIM($J$2)="&lt;&gt;"),(IF('Final Calculation Sheet'!$H$33="","",'Final Calculation Sheet'!$H$33))&lt;&gt;"",UPPER(TRIM((IF('Final Calculation Sheet'!$H$33="","",'Final Calculation Sheet'!$H$33))&amp;""))=UPPER(TRIM($J$2&amp;"")))))</f>
        <v/>
      </c>
      <c r="K33">
        <f>IF($K$3=FALSE,TRUE,IF(OR(UPPER(TRIM($K$2))="(BLANK)",UPPER(TRIM($K$2))="BLANK",AND($K$2&lt;&gt;"",TRIM($K$2)="")),(IF('Final Calculation Sheet'!$I$33="","",'Final Calculation Sheet'!$I$33))="",IF(OR(UPPER(TRIM($K$2))="(NONBLANK)",UPPER(TRIM($K$2))="NONBLANK",TRIM($K$2)="&lt;&gt;"),(IF('Final Calculation Sheet'!$I$33="","",'Final Calculation Sheet'!$I$33))&lt;&gt;"",UPPER(TRIM((IF('Final Calculation Sheet'!$I$33="","",'Final Calculation Sheet'!$I$33))&amp;""))=UPPER(TRIM($K$2&amp;"")))))</f>
        <v/>
      </c>
      <c r="L33">
        <f>IF($L$3=FALSE,TRUE,IF(OR(UPPER(TRIM($L$2))="(BLANK)",UPPER(TRIM($L$2))="BLANK",AND($L$2&lt;&gt;"",TRIM($L$2)="")),(IF('Final Calculation Sheet'!$J$33="","",'Final Calculation Sheet'!$J$33))="",IF(OR(UPPER(TRIM($L$2))="(NONBLANK)",UPPER(TRIM($L$2))="NONBLANK",TRIM($L$2)="&lt;&gt;"),(IF('Final Calculation Sheet'!$J$33="","",'Final Calculation Sheet'!$J$33))&lt;&gt;"",UPPER(TRIM((IF('Final Calculation Sheet'!$J$33="","",'Final Calculation Sheet'!$J$33))&amp;""))=UPPER(TRIM($L$2&amp;"")))))</f>
        <v/>
      </c>
      <c r="M33">
        <f>IF($M$3=FALSE,TRUE,IF(OR(UPPER(TRIM($M$2))="(BLANK)",UPPER(TRIM($M$2))="BLANK",AND($M$2&lt;&gt;"",TRIM($M$2)="")),(IF('Final Calculation Sheet'!$K$33="","",'Final Calculation Sheet'!$K$33))="",IF(OR(UPPER(TRIM($M$2))="(NONBLANK)",UPPER(TRIM($M$2))="NONBLANK",TRIM($M$2)="&lt;&gt;"),(IF('Final Calculation Sheet'!$K$33="","",'Final Calculation Sheet'!$K$33))&lt;&gt;"",UPPER(TRIM((IF('Final Calculation Sheet'!$K$33="","",'Final Calculation Sheet'!$K$33))&amp;""))=UPPER(TRIM($M$2&amp;"")))))</f>
        <v/>
      </c>
      <c r="N33">
        <f>IF($N$3=FALSE,TRUE,IF(OR(UPPER(TRIM($N$2))="(BLANK)",UPPER(TRIM($N$2))="BLANK",AND($N$2&lt;&gt;"",TRIM($N$2)="")),(IF('Final Calculation Sheet'!$L$33="","",'Final Calculation Sheet'!$L$33))="",IF(OR(UPPER(TRIM($N$2))="(NONBLANK)",UPPER(TRIM($N$2))="NONBLANK",TRIM($N$2)="&lt;&gt;"),(IF('Final Calculation Sheet'!$L$33="","",'Final Calculation Sheet'!$L$33))&lt;&gt;"",UPPER(TRIM((IF('Final Calculation Sheet'!$L$33="","",'Final Calculation Sheet'!$L$33))&amp;""))=UPPER(TRIM($N$2&amp;"")))))</f>
        <v/>
      </c>
      <c r="O33">
        <f>IF($O$3=FALSE,TRUE,IF(OR(UPPER(TRIM($O$2))="(BLANK)",UPPER(TRIM($O$2))="BLANK",AND($O$2&lt;&gt;"",TRIM($O$2)="")),(IF('Final Calculation Sheet'!$M$33="","",'Final Calculation Sheet'!$M$33))="",IF(OR(UPPER(TRIM($O$2))="(NONBLANK)",UPPER(TRIM($O$2))="NONBLANK",TRIM($O$2)="&lt;&gt;"),(IF('Final Calculation Sheet'!$M$33="","",'Final Calculation Sheet'!$M$33))&lt;&gt;"",UPPER(TRIM((IF('Final Calculation Sheet'!$M$33="","",'Final Calculation Sheet'!$M$33))&amp;""))=UPPER(TRIM($O$2&amp;"")))))</f>
        <v/>
      </c>
      <c r="P33">
        <f>IF($P$3=FALSE,TRUE,IF(OR(UPPER(TRIM($P$2))="(BLANK)",UPPER(TRIM($P$2))="BLANK",AND($P$2&lt;&gt;"",TRIM($P$2)="")),(IF('Final Calculation Sheet'!$N$33="","",'Final Calculation Sheet'!$N$33))="",IF(OR(UPPER(TRIM($P$2))="(NONBLANK)",UPPER(TRIM($P$2))="NONBLANK",TRIM($P$2)="&lt;&gt;"),(IF('Final Calculation Sheet'!$N$33="","",'Final Calculation Sheet'!$N$33))&lt;&gt;"",UPPER(TRIM((IF('Final Calculation Sheet'!$N$33="","",'Final Calculation Sheet'!$N$33))&amp;""))=UPPER(TRIM($P$2&amp;"")))))</f>
        <v/>
      </c>
      <c r="Q33">
        <f>IF($Q$3=FALSE,TRUE,IF(OR(UPPER(TRIM($Q$2))="(BLANK)",UPPER(TRIM($Q$2))="BLANK",AND($Q$2&lt;&gt;"",TRIM($Q$2)="")),(IF('Final Calculation Sheet'!$O$33="","",'Final Calculation Sheet'!$O$33))="",IF(OR(UPPER(TRIM($Q$2))="(NONBLANK)",UPPER(TRIM($Q$2))="NONBLANK",TRIM($Q$2)="&lt;&gt;"),(IF('Final Calculation Sheet'!$O$33="","",'Final Calculation Sheet'!$O$33))&lt;&gt;"",UPPER(TRIM((IF('Final Calculation Sheet'!$O$33="","",'Final Calculation Sheet'!$O$33))&amp;""))=UPPER(TRIM($Q$2&amp;"")))))</f>
        <v/>
      </c>
      <c r="R33">
        <f>IF($R$3=FALSE,TRUE,IF(OR(UPPER(TRIM($R$2))="(BLANK)",UPPER(TRIM($R$2))="BLANK",AND($R$2&lt;&gt;"",TRIM($R$2)="")),(IF('Final Calculation Sheet'!$P$33="","",'Final Calculation Sheet'!$P$33))="",IF(OR(UPPER(TRIM($R$2))="(NONBLANK)",UPPER(TRIM($R$2))="NONBLANK",TRIM($R$2)="&lt;&gt;"),(IF('Final Calculation Sheet'!$P$33="","",'Final Calculation Sheet'!$P$33))&lt;&gt;"",UPPER(TRIM((IF('Final Calculation Sheet'!$P$33="","",'Final Calculation Sheet'!$P$33))&amp;""))=UPPER(TRIM($R$2&amp;"")))))</f>
        <v/>
      </c>
      <c r="S33">
        <f>IF($S$3=FALSE,TRUE,IF(OR(UPPER(TRIM($S$2))="(BLANK)",UPPER(TRIM($S$2))="BLANK",AND($S$2&lt;&gt;"",TRIM($S$2)="")),(IF('Final Calculation Sheet'!$Q$33="","",'Final Calculation Sheet'!$Q$33))="",IF(OR(UPPER(TRIM($S$2))="(NONBLANK)",UPPER(TRIM($S$2))="NONBLANK",TRIM($S$2)="&lt;&gt;"),(IF('Final Calculation Sheet'!$Q$33="","",'Final Calculation Sheet'!$Q$33))&lt;&gt;"",UPPER(TRIM((IF('Final Calculation Sheet'!$Q$33="","",'Final Calculation Sheet'!$Q$33))&amp;""))=UPPER(TRIM($S$2&amp;"")))))</f>
        <v/>
      </c>
      <c r="T33">
        <f>IF($T$3=FALSE,TRUE,IF(OR(UPPER(TRIM($T$2))="(BLANK)",UPPER(TRIM($T$2))="BLANK",AND($T$2&lt;&gt;"",TRIM($T$2)="")),(IF('Final Calculation Sheet'!$R$33="","",'Final Calculation Sheet'!$R$33))="",IF(OR(UPPER(TRIM($T$2))="(NONBLANK)",UPPER(TRIM($T$2))="NONBLANK",TRIM($T$2)="&lt;&gt;"),(IF('Final Calculation Sheet'!$R$33="","",'Final Calculation Sheet'!$R$33))&lt;&gt;"",UPPER(TRIM((IF('Final Calculation Sheet'!$R$33="","",'Final Calculation Sheet'!$R$33))&amp;""))=UPPER(TRIM($T$2&amp;"")))))</f>
        <v/>
      </c>
      <c r="U33">
        <f>IF($U$3=FALSE,TRUE,IF(OR(UPPER(TRIM($U$2))="(BLANK)",UPPER(TRIM($U$2))="BLANK",AND($U$2&lt;&gt;"",TRIM($U$2)="")),(IF('Final Calculation Sheet'!$S$33="","",'Final Calculation Sheet'!$S$33))="",IF(OR(UPPER(TRIM($U$2))="(NONBLANK)",UPPER(TRIM($U$2))="NONBLANK",TRIM($U$2)="&lt;&gt;"),(IF('Final Calculation Sheet'!$S$33="","",'Final Calculation Sheet'!$S$33))&lt;&gt;"",UPPER(TRIM((IF('Final Calculation Sheet'!$S$33="","",'Final Calculation Sheet'!$S$33))&amp;""))=UPPER(TRIM($U$2&amp;"")))))</f>
        <v/>
      </c>
      <c r="V33">
        <f>IF($V$3=FALSE,TRUE,IF(OR(UPPER(TRIM($V$2))="(BLANK)",UPPER(TRIM($V$2))="BLANK",AND($V$2&lt;&gt;"",TRIM($V$2)="")),(IF('Final Calculation Sheet'!$T$33="","",'Final Calculation Sheet'!$T$33))="",IF(OR(UPPER(TRIM($V$2))="(NONBLANK)",UPPER(TRIM($V$2))="NONBLANK",TRIM($V$2)="&lt;&gt;"),(IF('Final Calculation Sheet'!$T$33="","",'Final Calculation Sheet'!$T$33))&lt;&gt;"",UPPER(TRIM((IF('Final Calculation Sheet'!$T$33="","",'Final Calculation Sheet'!$T$33))&amp;""))=UPPER(TRIM($V$2&amp;"")))))</f>
        <v/>
      </c>
      <c r="W33">
        <f>IF($W$3=FALSE,TRUE,IF(OR(UPPER(TRIM($W$2))="(BLANK)",UPPER(TRIM($W$2))="BLANK",AND($W$2&lt;&gt;"",TRIM($W$2)="")),(IF('Final Calculation Sheet'!$U$33="","",'Final Calculation Sheet'!$U$33))="",IF(OR(UPPER(TRIM($W$2))="(NONBLANK)",UPPER(TRIM($W$2))="NONBLANK",TRIM($W$2)="&lt;&gt;"),(IF('Final Calculation Sheet'!$U$33="","",'Final Calculation Sheet'!$U$33))&lt;&gt;"",UPPER(TRIM((IF('Final Calculation Sheet'!$U$33="","",'Final Calculation Sheet'!$U$33))&amp;""))=UPPER(TRIM($W$2&amp;"")))))</f>
        <v/>
      </c>
      <c r="X33">
        <f>IF($X$3=FALSE,TRUE,IF(OR(UPPER(TRIM($X$2))="(BLANK)",UPPER(TRIM($X$2))="BLANK",AND($X$2&lt;&gt;"",TRIM($X$2)="")),(IF('Final Calculation Sheet'!$V$33="","",'Final Calculation Sheet'!$V$33))="",IF(OR(UPPER(TRIM($X$2))="(NONBLANK)",UPPER(TRIM($X$2))="NONBLANK",TRIM($X$2)="&lt;&gt;"),(IF('Final Calculation Sheet'!$V$33="","",'Final Calculation Sheet'!$V$33))&lt;&gt;"",UPPER(TRIM((IF('Final Calculation Sheet'!$V$33="","",'Final Calculation Sheet'!$V$33))&amp;""))=UPPER(TRIM($X$2&amp;"")))))</f>
        <v/>
      </c>
      <c r="Y33">
        <f>IF($Y$3=FALSE,TRUE,IF(OR(UPPER(TRIM($Y$2))="(BLANK)",UPPER(TRIM($Y$2))="BLANK",AND($Y$2&lt;&gt;"",TRIM($Y$2)="")),(IF('Final Calculation Sheet'!$W$33="","",'Final Calculation Sheet'!$W$33))="",IF(OR(UPPER(TRIM($Y$2))="(NONBLANK)",UPPER(TRIM($Y$2))="NONBLANK",TRIM($Y$2)="&lt;&gt;"),(IF('Final Calculation Sheet'!$W$33="","",'Final Calculation Sheet'!$W$33))&lt;&gt;"",UPPER(TRIM((IF('Final Calculation Sheet'!$W$33="","",'Final Calculation Sheet'!$W$33))&amp;""))=UPPER(TRIM($Y$2&amp;"")))))</f>
        <v/>
      </c>
      <c r="Z33">
        <f>IF($Z$3=FALSE,TRUE,IF(OR(UPPER(TRIM($Z$2))="(BLANK)",UPPER(TRIM($Z$2))="BLANK",AND($Z$2&lt;&gt;"",TRIM($Z$2)="")),(IF('Final Calculation Sheet'!$X$33="","",'Final Calculation Sheet'!$X$33))="",IF(OR(UPPER(TRIM($Z$2))="(NONBLANK)",UPPER(TRIM($Z$2))="NONBLANK",TRIM($Z$2)="&lt;&gt;"),(IF('Final Calculation Sheet'!$X$33="","",'Final Calculation Sheet'!$X$33))&lt;&gt;"",UPPER(TRIM((IF('Final Calculation Sheet'!$X$33="","",'Final Calculation Sheet'!$X$33))&amp;""))=UPPER(TRIM($Z$2&amp;"")))))</f>
        <v/>
      </c>
      <c r="AA33">
        <f>IF($AA$3=FALSE,TRUE,IF(OR(UPPER(TRIM($AA$2))="(BLANK)",UPPER(TRIM($AA$2))="BLANK",AND($AA$2&lt;&gt;"",TRIM($AA$2)="")),(IF('Final Calculation Sheet'!$Y$33="","",'Final Calculation Sheet'!$Y$33))="",IF(OR(UPPER(TRIM($AA$2))="(NONBLANK)",UPPER(TRIM($AA$2))="NONBLANK",TRIM($AA$2)="&lt;&gt;"),(IF('Final Calculation Sheet'!$Y$33="","",'Final Calculation Sheet'!$Y$33))&lt;&gt;"",UPPER(TRIM((IF('Final Calculation Sheet'!$Y$33="","",'Final Calculation Sheet'!$Y$33))&amp;""))=UPPER(TRIM($AA$2&amp;"")))))</f>
        <v/>
      </c>
      <c r="AB33">
        <f>IF($AB$3=FALSE,TRUE,IF(OR(UPPER(TRIM($AB$2))="(BLANK)",UPPER(TRIM($AB$2))="BLANK",AND($AB$2&lt;&gt;"",TRIM($AB$2)="")),(IF('Final Calculation Sheet'!$Z$33="","",'Final Calculation Sheet'!$Z$33))="",IF(OR(UPPER(TRIM($AB$2))="(NONBLANK)",UPPER(TRIM($AB$2))="NONBLANK",TRIM($AB$2)="&lt;&gt;"),(IF('Final Calculation Sheet'!$Z$33="","",'Final Calculation Sheet'!$Z$33))&lt;&gt;"",UPPER(TRIM((IF('Final Calculation Sheet'!$Z$33="","",'Final Calculation Sheet'!$Z$33))&amp;""))=UPPER(TRIM($AB$2&amp;"")))))</f>
        <v/>
      </c>
      <c r="AC33">
        <f>IF($AC$3=FALSE,TRUE,IF(OR(UPPER(TRIM($AC$2))="(BLANK)",UPPER(TRIM($AC$2))="BLANK",AND($AC$2&lt;&gt;"",TRIM($AC$2)="")),(IF('Final Calculation Sheet'!$AA$33="","",'Final Calculation Sheet'!$AA$33))="",IF(OR(UPPER(TRIM($AC$2))="(NONBLANK)",UPPER(TRIM($AC$2))="NONBLANK",TRIM($AC$2)="&lt;&gt;"),(IF('Final Calculation Sheet'!$AA$33="","",'Final Calculation Sheet'!$AA$33))&lt;&gt;"",UPPER(TRIM((IF('Final Calculation Sheet'!$AA$33="","",'Final Calculation Sheet'!$AA$33))&amp;""))=UPPER(TRIM($AC$2&amp;"")))))</f>
        <v/>
      </c>
      <c r="AD33">
        <f>IF($AD$3=FALSE,TRUE,IF(OR(UPPER(TRIM($AD$2))="(BLANK)",UPPER(TRIM($AD$2))="BLANK",AND($AD$2&lt;&gt;"",TRIM($AD$2)="")),(IF('Final Calculation Sheet'!$AB$33="","",'Final Calculation Sheet'!$AB$33))="",IF(OR(UPPER(TRIM($AD$2))="(NONBLANK)",UPPER(TRIM($AD$2))="NONBLANK",TRIM($AD$2)="&lt;&gt;"),(IF('Final Calculation Sheet'!$AB$33="","",'Final Calculation Sheet'!$AB$33))&lt;&gt;"",UPPER(TRIM((IF('Final Calculation Sheet'!$AB$33="","",'Final Calculation Sheet'!$AB$33))&amp;""))=UPPER(TRIM($AD$2&amp;"")))))</f>
        <v/>
      </c>
      <c r="AE33">
        <f>IF($AE$3=FALSE,TRUE,IF(OR(UPPER(TRIM($AE$2))="(BLANK)",UPPER(TRIM($AE$2))="BLANK",AND($AE$2&lt;&gt;"",TRIM($AE$2)="")),(IF('Final Calculation Sheet'!$AC$33="","",'Final Calculation Sheet'!$AC$33))="",IF(OR(UPPER(TRIM($AE$2))="(NONBLANK)",UPPER(TRIM($AE$2))="NONBLANK",TRIM($AE$2)="&lt;&gt;"),(IF('Final Calculation Sheet'!$AC$33="","",'Final Calculation Sheet'!$AC$33))&lt;&gt;"",UPPER(TRIM((IF('Final Calculation Sheet'!$AC$33="","",'Final Calculation Sheet'!$AC$33))&amp;""))=UPPER(TRIM($AE$2&amp;"")))))</f>
        <v/>
      </c>
      <c r="AF33">
        <f>IF($AF$3=FALSE,TRUE,IF(OR(UPPER(TRIM($AF$2))="(BLANK)",UPPER(TRIM($AF$2))="BLANK",AND($AF$2&lt;&gt;"",TRIM($AF$2)="")),(IF('Final Calculation Sheet'!$AD$33="","",'Final Calculation Sheet'!$AD$33))="",IF(OR(UPPER(TRIM($AF$2))="(NONBLANK)",UPPER(TRIM($AF$2))="NONBLANK",TRIM($AF$2)="&lt;&gt;"),(IF('Final Calculation Sheet'!$AD$33="","",'Final Calculation Sheet'!$AD$33))&lt;&gt;"",UPPER(TRIM((IF('Final Calculation Sheet'!$AD$33="","",'Final Calculation Sheet'!$AD$33))&amp;""))=UPPER(TRIM($AF$2&amp;"")))))</f>
        <v/>
      </c>
      <c r="AG33">
        <f>IF($AG$3=FALSE,TRUE,IF(OR(UPPER(TRIM($AG$2))="(BLANK)",UPPER(TRIM($AG$2))="BLANK",AND($AG$2&lt;&gt;"",TRIM($AG$2)="")),(IF('Final Calculation Sheet'!$AE$33="","",'Final Calculation Sheet'!$AE$33))="",IF(OR(UPPER(TRIM($AG$2))="(NONBLANK)",UPPER(TRIM($AG$2))="NONBLANK",TRIM($AG$2)="&lt;&gt;"),(IF('Final Calculation Sheet'!$AE$33="","",'Final Calculation Sheet'!$AE$33))&lt;&gt;"",UPPER(TRIM((IF('Final Calculation Sheet'!$AE$33="","",'Final Calculation Sheet'!$AE$33))&amp;""))=UPPER(TRIM($AG$2&amp;"")))))</f>
        <v/>
      </c>
      <c r="AH33">
        <f>IF($AH$3=FALSE,TRUE,IF(OR(UPPER(TRIM($AH$2))="(BLANK)",UPPER(TRIM($AH$2))="BLANK",AND($AH$2&lt;&gt;"",TRIM($AH$2)="")),(IF('Final Calculation Sheet'!$AF$33="","",'Final Calculation Sheet'!$AF$33))="",IF(OR(UPPER(TRIM($AH$2))="(NONBLANK)",UPPER(TRIM($AH$2))="NONBLANK",TRIM($AH$2)="&lt;&gt;"),(IF('Final Calculation Sheet'!$AF$33="","",'Final Calculation Sheet'!$AF$33))&lt;&gt;"",UPPER(TRIM((IF('Final Calculation Sheet'!$AF$33="","",'Final Calculation Sheet'!$AF$33))&amp;""))=UPPER(TRIM($AH$2&amp;"")))))</f>
        <v/>
      </c>
      <c r="AI33">
        <f>IF($AI$3=FALSE,TRUE,IF(OR(UPPER(TRIM($AI$2))="(BLANK)",UPPER(TRIM($AI$2))="BLANK",AND($AI$2&lt;&gt;"",TRIM($AI$2)="")),(IF('Final Calculation Sheet'!$AG$33="","",'Final Calculation Sheet'!$AG$33))="",IF(OR(UPPER(TRIM($AI$2))="(NONBLANK)",UPPER(TRIM($AI$2))="NONBLANK",TRIM($AI$2)="&lt;&gt;"),(IF('Final Calculation Sheet'!$AG$33="","",'Final Calculation Sheet'!$AG$33))&lt;&gt;"",UPPER(TRIM((IF('Final Calculation Sheet'!$AG$33="","",'Final Calculation Sheet'!$AG$33))&amp;""))=UPPER(TRIM($AI$2&amp;"")))))</f>
        <v/>
      </c>
      <c r="AJ33">
        <f>IF($AJ$3=FALSE,TRUE,IF(OR(UPPER(TRIM($AJ$2))="(BLANK)",UPPER(TRIM($AJ$2))="BLANK",AND($AJ$2&lt;&gt;"",TRIM($AJ$2)="")),(IF('Final Calculation Sheet'!$AD$33="","",IF('Final Calculation Sheet'!$AD$33&lt;=5,"SETTLED","OUTSTANDING")))="",IF(OR(UPPER(TRIM($AJ$2))="(NONBLANK)",UPPER(TRIM($AJ$2))="NONBLANK",TRIM($AJ$2)="&lt;&gt;"),(IF('Final Calculation Sheet'!$AD$33="","",IF('Final Calculation Sheet'!$AD$33&lt;=5,"SETTLED","OUTSTANDING")))&lt;&gt;"",UPPER(TRIM((IF('Final Calculation Sheet'!$AD$33="","",IF('Final Calculation Sheet'!$AD$33&lt;=5,"SETTLED","OUTSTANDING")))&amp;""))=UPPER(TRIM($AJ$2&amp;"")))))</f>
        <v/>
      </c>
      <c r="AL33">
        <f>IF(AND($B$33,$D$33:$AJ$33),IF('Final Calculation Sheet'!$F$33="","",'Final Calculation Sheet'!$F$33),"")</f>
        <v/>
      </c>
      <c r="AM33">
        <f>IF(AL33="","",COUNTIFS(AL$4:AL$40,"&lt;"&amp;AL33,AL$4:AL$40,"&lt;&gt;"&amp;"")+COUNTIF(AL$4:AL33,AL33))</f>
        <v/>
      </c>
      <c r="AN33">
        <f>IF(ROW()-3&gt;COUNTIF(AL$4:AL$40,"&lt;&gt;"&amp;""),"",INDEX(AL$4:AL$40,MATCH(ROW()-3,AM$4:AM$40,0)))</f>
        <v/>
      </c>
      <c r="AO33">
        <f>AO32+IF(AND(AN33&lt;&gt;"",COUNTIF(AN$4:AN33,AN33)=1),1,0)</f>
        <v/>
      </c>
      <c r="AP33">
        <f>IF(ROW()-3&gt;MAX(AO$4:AO$40),"",INDEX(AN$4:AN$40,MATCH(ROW()-3,AO$4:AO$40,0)))</f>
        <v/>
      </c>
      <c r="AQ33">
        <f>IF(AND($B$33:$C$33,$E$33:$AJ$33),IF('Final Calculation Sheet'!$G$33="","",'Final Calculation Sheet'!$G$33),"")</f>
        <v/>
      </c>
      <c r="AR33">
        <f>IF(AQ33="","",COUNTIFS(AQ$4:AQ$40,"&lt;"&amp;AQ33,AQ$4:AQ$40,"&lt;&gt;"&amp;"")+COUNTIF(AQ$4:AQ33,AQ33))</f>
        <v/>
      </c>
      <c r="AS33">
        <f>IF(ROW()-3&gt;COUNTIF(AQ$4:AQ$40,"&lt;&gt;"&amp;""),"",INDEX(AQ$4:AQ$40,MATCH(ROW()-3,AR$4:AR$40,0)))</f>
        <v/>
      </c>
      <c r="AT33">
        <f>AT32+IF(AND(AS33&lt;&gt;"",COUNTIF(AS$4:AS33,AS33)=1),1,0)</f>
        <v/>
      </c>
      <c r="AU33">
        <f>IF(ROW()-3&gt;MAX(AT$4:AT$40),"",INDEX(AS$4:AS$40,MATCH(ROW()-3,AT$4:AT$40,0)))</f>
        <v/>
      </c>
      <c r="AV33">
        <f>IF(AND($B$33:$D$33,$F$33:$AJ$33),IF('Final Calculation Sheet'!$B$33="","",'Final Calculation Sheet'!$B$33),"")</f>
        <v/>
      </c>
      <c r="AW33">
        <f>IF(AV33="","",COUNTIFS(AV$4:AV$40,"&lt;"&amp;AV33,AV$4:AV$40,"&lt;&gt;"&amp;"")+COUNTIF(AV$4:AV33,AV33))</f>
        <v/>
      </c>
      <c r="AX33">
        <f>IF(ROW()-3&gt;COUNTIF(AV$4:AV$40,"&lt;&gt;"&amp;""),"",INDEX(AV$4:AV$40,MATCH(ROW()-3,AW$4:AW$40,0)))</f>
        <v/>
      </c>
      <c r="AY33">
        <f>AY32+IF(AND(AX33&lt;&gt;"",COUNTIF(AX$4:AX33,AX33)=1),1,0)</f>
        <v/>
      </c>
      <c r="AZ33">
        <f>IF(ROW()-3&gt;MAX(AY$4:AY$40),"",INDEX(AX$4:AX$40,MATCH(ROW()-3,AY$4:AY$40,0)))</f>
        <v/>
      </c>
      <c r="BA33">
        <f>IF(AND($B$33:$E$33,$G$33:$AJ$33),IF('Final Calculation Sheet'!$D$33="","",'Final Calculation Sheet'!$D$33),"")</f>
        <v/>
      </c>
      <c r="BB33">
        <f>IF(BA33="","",COUNTIFS(BA$4:BA$40,"&lt;"&amp;BA33,BA$4:BA$40,"&lt;&gt;"&amp;"")+COUNTIF(BA$4:BA33,BA33))</f>
        <v/>
      </c>
      <c r="BC33">
        <f>IF(ROW()-3&gt;COUNTIF(BA$4:BA$40,"&lt;&gt;"&amp;""),"",INDEX(BA$4:BA$40,MATCH(ROW()-3,BB$4:BB$40,0)))</f>
        <v/>
      </c>
      <c r="BD33">
        <f>BD32+IF(AND(BC33&lt;&gt;"",COUNTIF(BC$4:BC33,BC33)=1),1,0)</f>
        <v/>
      </c>
      <c r="BE33">
        <f>IF(ROW()-3&gt;MAX(BD$4:BD$40),"",INDEX(BC$4:BC$40,MATCH(ROW()-3,BD$4:BD$40,0)))</f>
        <v/>
      </c>
      <c r="BF33">
        <f>IF(AND($B$33:$F$33,$H$33:$AJ$33),IF('Final Calculation Sheet'!$A$33="","",'Final Calculation Sheet'!$A$33),"")</f>
        <v/>
      </c>
      <c r="BG33">
        <f>IF(BF33="","",COUNTIFS(BF$4:BF$40,"&lt;"&amp;BF33,BF$4:BF$40,"&lt;&gt;"&amp;"")+COUNTIF(BF$4:BF33,BF33))</f>
        <v/>
      </c>
      <c r="BH33">
        <f>IF(ROW()-3&gt;COUNTIF(BF$4:BF$40,"&lt;&gt;"&amp;""),"",INDEX(BF$4:BF$40,MATCH(ROW()-3,BG$4:BG$40,0)))</f>
        <v/>
      </c>
      <c r="BI33">
        <f>BI32+IF(AND(BH33&lt;&gt;"",COUNTIF(BH$4:BH33,BH33)=1),1,0)</f>
        <v/>
      </c>
      <c r="BJ33">
        <f>IF(ROW()-3&gt;MAX(BI$4:BI$40),"",INDEX(BH$4:BH$40,MATCH(ROW()-3,BI$4:BI$40,0)))</f>
        <v/>
      </c>
      <c r="BK33">
        <f>IF(AND($B$33:$G$33,$I$33:$AJ$33),IF('Final Calculation Sheet'!$E$33="","",'Final Calculation Sheet'!$E$33),"")</f>
        <v/>
      </c>
      <c r="BL33">
        <f>IF(BK33="","",COUNTIFS(BK$4:BK$40,"&lt;"&amp;BK33,BK$4:BK$40,"&lt;&gt;"&amp;"")+COUNTIF(BK$4:BK33,BK33))</f>
        <v/>
      </c>
      <c r="BM33">
        <f>IF(ROW()-3&gt;COUNTIF(BK$4:BK$40,"&lt;&gt;"&amp;""),"",INDEX(BK$4:BK$40,MATCH(ROW()-3,BL$4:BL$40,0)))</f>
        <v/>
      </c>
      <c r="BN33">
        <f>BN32+IF(AND(BM33&lt;&gt;"",COUNTIF(BM$4:BM33,BM33)=1),1,0)</f>
        <v/>
      </c>
      <c r="BO33">
        <f>IF(ROW()-3&gt;MAX(BN$4:BN$40),"",INDEX(BM$4:BM$40,MATCH(ROW()-3,BN$4:BN$40,0)))</f>
        <v/>
      </c>
      <c r="BP33" s="55">
        <f>IF(AND($B$33:$H$33,$J$33:$AJ$33),IF('Final Calculation Sheet'!$C$33="","",'Final Calculation Sheet'!$C$33),"")</f>
        <v/>
      </c>
      <c r="BQ33">
        <f>IF(BP33="","",COUNTIFS(BP$4:BP$40,"&lt;"&amp;BP33,BP$4:BP$40,"&lt;&gt;"&amp;"")+COUNTIF(BP$4:BP33,BP33))</f>
        <v/>
      </c>
      <c r="BR33" s="55">
        <f>IF(ROW()-3&gt;COUNTIF(BP$4:BP$40,"&lt;&gt;"&amp;""),"",INDEX(BP$4:BP$40,MATCH(ROW()-3,BQ$4:BQ$40,0)))</f>
        <v/>
      </c>
      <c r="BS33">
        <f>BS32+IF(AND(BR33&lt;&gt;"",COUNTIF(BR$4:BR33,BR33)=1),1,0)</f>
        <v/>
      </c>
      <c r="BT33" s="55">
        <f>IF(ROW()-3&gt;MAX(BS$4:BS$40),"",INDEX(BR$4:BR$40,MATCH(ROW()-3,BS$4:BS$40,0)))</f>
        <v/>
      </c>
      <c r="BU33" s="55">
        <f>IF(AND($B$33:$I$33,$K$33:$AJ$33),IF('Final Calculation Sheet'!$H$33="","",'Final Calculation Sheet'!$H$33),"")</f>
        <v/>
      </c>
      <c r="BV33">
        <f>IF(BU33="","",COUNTIFS(BU$4:BU$40,"&lt;"&amp;BU33,BU$4:BU$40,"&lt;&gt;"&amp;"")+COUNTIF(BU$4:BU33,BU33))</f>
        <v/>
      </c>
      <c r="BW33" s="55">
        <f>IF(ROW()-3&gt;COUNTIF(BU$4:BU$40,"&lt;&gt;"&amp;""),"",INDEX(BU$4:BU$40,MATCH(ROW()-3,BV$4:BV$40,0)))</f>
        <v/>
      </c>
      <c r="BX33">
        <f>BX32+IF(AND(BW33&lt;&gt;"",COUNTIF(BW$4:BW33,BW33)=1),1,0)</f>
        <v/>
      </c>
      <c r="BY33" s="55">
        <f>IF(ROW()-3&gt;MAX(BX$4:BX$40),"",INDEX(BW$4:BW$40,MATCH(ROW()-3,BX$4:BX$40,0)))</f>
        <v/>
      </c>
      <c r="BZ33" s="55">
        <f>IF(AND($B$33:$J$33,$L$33:$AJ$33),IF('Final Calculation Sheet'!$I$33="","",'Final Calculation Sheet'!$I$33),"")</f>
        <v/>
      </c>
      <c r="CA33">
        <f>IF(BZ33="","",COUNTIFS(BZ$4:BZ$40,"&lt;"&amp;BZ33,BZ$4:BZ$40,"&lt;&gt;"&amp;"")+COUNTIF(BZ$4:BZ33,BZ33))</f>
        <v/>
      </c>
      <c r="CB33" s="55">
        <f>IF(ROW()-3&gt;COUNTIF(BZ$4:BZ$40,"&lt;&gt;"&amp;""),"",INDEX(BZ$4:BZ$40,MATCH(ROW()-3,CA$4:CA$40,0)))</f>
        <v/>
      </c>
      <c r="CC33">
        <f>CC32+IF(AND(CB33&lt;&gt;"",COUNTIF(CB$4:CB33,CB33)=1),1,0)</f>
        <v/>
      </c>
      <c r="CD33" s="55">
        <f>IF(ROW()-3&gt;MAX(CC$4:CC$40),"",INDEX(CB$4:CB$40,MATCH(ROW()-3,CC$4:CC$40,0)))</f>
        <v/>
      </c>
      <c r="CE33" s="55">
        <f>IF(AND($B$33:$K$33,$M$33:$AJ$33),IF('Final Calculation Sheet'!$J$33="","",'Final Calculation Sheet'!$J$33),"")</f>
        <v/>
      </c>
      <c r="CF33">
        <f>IF(CE33="","",COUNTIFS(CE$4:CE$40,"&lt;"&amp;CE33,CE$4:CE$40,"&lt;&gt;"&amp;"")+COUNTIF(CE$4:CE33,CE33))</f>
        <v/>
      </c>
      <c r="CG33" s="55">
        <f>IF(ROW()-3&gt;COUNTIF(CE$4:CE$40,"&lt;&gt;"&amp;""),"",INDEX(CE$4:CE$40,MATCH(ROW()-3,CF$4:CF$40,0)))</f>
        <v/>
      </c>
      <c r="CH33">
        <f>CH32+IF(AND(CG33&lt;&gt;"",COUNTIF(CG$4:CG33,CG33)=1),1,0)</f>
        <v/>
      </c>
      <c r="CI33" s="55">
        <f>IF(ROW()-3&gt;MAX(CH$4:CH$40),"",INDEX(CG$4:CG$40,MATCH(ROW()-3,CH$4:CH$40,0)))</f>
        <v/>
      </c>
      <c r="CJ33" s="55">
        <f>IF(AND($B$33:$L$33,$N$33:$AJ$33),IF('Final Calculation Sheet'!$K$33="","",'Final Calculation Sheet'!$K$33),"")</f>
        <v/>
      </c>
      <c r="CK33">
        <f>IF(CJ33="","",COUNTIFS(CJ$4:CJ$40,"&lt;"&amp;CJ33,CJ$4:CJ$40,"&lt;&gt;"&amp;"")+COUNTIF(CJ$4:CJ33,CJ33))</f>
        <v/>
      </c>
      <c r="CL33" s="55">
        <f>IF(ROW()-3&gt;COUNTIF(CJ$4:CJ$40,"&lt;&gt;"&amp;""),"",INDEX(CJ$4:CJ$40,MATCH(ROW()-3,CK$4:CK$40,0)))</f>
        <v/>
      </c>
      <c r="CM33">
        <f>CM32+IF(AND(CL33&lt;&gt;"",COUNTIF(CL$4:CL33,CL33)=1),1,0)</f>
        <v/>
      </c>
      <c r="CN33" s="55">
        <f>IF(ROW()-3&gt;MAX(CM$4:CM$40),"",INDEX(CL$4:CL$40,MATCH(ROW()-3,CM$4:CM$40,0)))</f>
        <v/>
      </c>
      <c r="CO33" s="55">
        <f>IF(AND($B$33:$M$33,$O$33:$AJ$33),IF('Final Calculation Sheet'!$L$33="","",'Final Calculation Sheet'!$L$33),"")</f>
        <v/>
      </c>
      <c r="CP33">
        <f>IF(CO33="","",COUNTIFS(CO$4:CO$40,"&lt;"&amp;CO33,CO$4:CO$40,"&lt;&gt;"&amp;"")+COUNTIF(CO$4:CO33,CO33))</f>
        <v/>
      </c>
      <c r="CQ33" s="55">
        <f>IF(ROW()-3&gt;COUNTIF(CO$4:CO$40,"&lt;&gt;"&amp;""),"",INDEX(CO$4:CO$40,MATCH(ROW()-3,CP$4:CP$40,0)))</f>
        <v/>
      </c>
      <c r="CR33">
        <f>CR32+IF(AND(CQ33&lt;&gt;"",COUNTIF(CQ$4:CQ33,CQ33)=1),1,0)</f>
        <v/>
      </c>
      <c r="CS33" s="55">
        <f>IF(ROW()-3&gt;MAX(CR$4:CR$40),"",INDEX(CQ$4:CQ$40,MATCH(ROW()-3,CR$4:CR$40,0)))</f>
        <v/>
      </c>
      <c r="CT33" s="55">
        <f>IF(AND($B$33:$N$33,$P$33:$AJ$33),IF('Final Calculation Sheet'!$M$33="","",'Final Calculation Sheet'!$M$33),"")</f>
        <v/>
      </c>
      <c r="CU33">
        <f>IF(CT33="","",COUNTIFS(CT$4:CT$40,"&lt;"&amp;CT33,CT$4:CT$40,"&lt;&gt;"&amp;"")+COUNTIF(CT$4:CT33,CT33))</f>
        <v/>
      </c>
      <c r="CV33" s="55">
        <f>IF(ROW()-3&gt;COUNTIF(CT$4:CT$40,"&lt;&gt;"&amp;""),"",INDEX(CT$4:CT$40,MATCH(ROW()-3,CU$4:CU$40,0)))</f>
        <v/>
      </c>
      <c r="CW33">
        <f>CW32+IF(AND(CV33&lt;&gt;"",COUNTIF(CV$4:CV33,CV33)=1),1,0)</f>
        <v/>
      </c>
      <c r="CX33" s="55">
        <f>IF(ROW()-3&gt;MAX(CW$4:CW$40),"",INDEX(CV$4:CV$40,MATCH(ROW()-3,CW$4:CW$40,0)))</f>
        <v/>
      </c>
      <c r="CY33" s="138">
        <f>IF(AND($B$33:$O$33,$Q$33:$AJ$33),IF('Final Calculation Sheet'!$N$33="","",'Final Calculation Sheet'!$N$33),"")</f>
        <v/>
      </c>
      <c r="CZ33">
        <f>IF(CY33="","",COUNTIFS(CY$4:CY$40,"&lt;"&amp;CY33,CY$4:CY$40,"&lt;&gt;"&amp;"")+COUNTIF(CY$4:CY33,CY33))</f>
        <v/>
      </c>
      <c r="DA33" s="138">
        <f>IF(ROW()-3&gt;COUNTIF(CY$4:CY$40,"&lt;&gt;"&amp;""),"",INDEX(CY$4:CY$40,MATCH(ROW()-3,CZ$4:CZ$40,0)))</f>
        <v/>
      </c>
      <c r="DB33">
        <f>DB32+IF(AND(DA33&lt;&gt;"",COUNTIF(DA$4:DA33,DA33)=1),1,0)</f>
        <v/>
      </c>
      <c r="DC33" s="138">
        <f>IF(ROW()-3&gt;MAX(DB$4:DB$40),"",INDEX(DA$4:DA$40,MATCH(ROW()-3,DB$4:DB$40,0)))</f>
        <v/>
      </c>
      <c r="DD33" s="55">
        <f>IF(AND($B$33:$P$33,$R$33:$AJ$33),IF('Final Calculation Sheet'!$O$33="","",'Final Calculation Sheet'!$O$33),"")</f>
        <v/>
      </c>
      <c r="DE33">
        <f>IF(DD33="","",COUNTIFS(DD$4:DD$40,"&lt;"&amp;DD33,DD$4:DD$40,"&lt;&gt;"&amp;"")+COUNTIF(DD$4:DD33,DD33))</f>
        <v/>
      </c>
      <c r="DF33" s="55">
        <f>IF(ROW()-3&gt;COUNTIF(DD$4:DD$40,"&lt;&gt;"&amp;""),"",INDEX(DD$4:DD$40,MATCH(ROW()-3,DE$4:DE$40,0)))</f>
        <v/>
      </c>
      <c r="DG33">
        <f>DG32+IF(AND(DF33&lt;&gt;"",COUNTIF(DF$4:DF33,DF33)=1),1,0)</f>
        <v/>
      </c>
      <c r="DH33" s="55">
        <f>IF(ROW()-3&gt;MAX(DG$4:DG$40),"",INDEX(DF$4:DF$40,MATCH(ROW()-3,DG$4:DG$40,0)))</f>
        <v/>
      </c>
      <c r="DI33" s="55">
        <f>IF(AND($B$33:$Q$33,$S$33:$AJ$33),IF('Final Calculation Sheet'!$P$33="","",'Final Calculation Sheet'!$P$33),"")</f>
        <v/>
      </c>
      <c r="DJ33">
        <f>IF(DI33="","",COUNTIFS(DI$4:DI$40,"&lt;"&amp;DI33,DI$4:DI$40,"&lt;&gt;"&amp;"")+COUNTIF(DI$4:DI33,DI33))</f>
        <v/>
      </c>
      <c r="DK33" s="55">
        <f>IF(ROW()-3&gt;COUNTIF(DI$4:DI$40,"&lt;&gt;"&amp;""),"",INDEX(DI$4:DI$40,MATCH(ROW()-3,DJ$4:DJ$40,0)))</f>
        <v/>
      </c>
      <c r="DL33">
        <f>DL32+IF(AND(DK33&lt;&gt;"",COUNTIF(DK$4:DK33,DK33)=1),1,0)</f>
        <v/>
      </c>
      <c r="DM33" s="55">
        <f>IF(ROW()-3&gt;MAX(DL$4:DL$40),"",INDEX(DK$4:DK$40,MATCH(ROW()-3,DL$4:DL$40,0)))</f>
        <v/>
      </c>
      <c r="DN33" s="139">
        <f>IF(AND($B$33:$R$33,$T$33:$AJ$33),IF('Final Calculation Sheet'!$Q$33="","",'Final Calculation Sheet'!$Q$33),"")</f>
        <v/>
      </c>
      <c r="DO33">
        <f>IF(DN33="","",COUNTIFS(DN$4:DN$40,"&lt;"&amp;DN33,DN$4:DN$40,"&lt;&gt;"&amp;"")+COUNTIF(DN$4:DN33,DN33))</f>
        <v/>
      </c>
      <c r="DP33" s="139">
        <f>IF(ROW()-3&gt;COUNTIF(DN$4:DN$40,"&lt;&gt;"&amp;""),"",INDEX(DN$4:DN$40,MATCH(ROW()-3,DO$4:DO$40,0)))</f>
        <v/>
      </c>
      <c r="DQ33">
        <f>DQ32+IF(AND(DP33&lt;&gt;"",COUNTIF(DP$4:DP33,DP33)=1),1,0)</f>
        <v/>
      </c>
      <c r="DR33" s="139">
        <f>IF(ROW()-3&gt;MAX(DQ$4:DQ$40),"",INDEX(DP$4:DP$40,MATCH(ROW()-3,DQ$4:DQ$40,0)))</f>
        <v/>
      </c>
      <c r="DS33" s="55">
        <f>IF(AND($B$33:$S$33,$U$33:$AJ$33),IF('Final Calculation Sheet'!$R$33="","",'Final Calculation Sheet'!$R$33),"")</f>
        <v/>
      </c>
      <c r="DT33">
        <f>IF(DS33="","",COUNTIFS(DS$4:DS$40,"&lt;"&amp;DS33,DS$4:DS$40,"&lt;&gt;"&amp;"")+COUNTIF(DS$4:DS33,DS33))</f>
        <v/>
      </c>
      <c r="DU33" s="55">
        <f>IF(ROW()-3&gt;COUNTIF(DS$4:DS$40,"&lt;&gt;"&amp;""),"",INDEX(DS$4:DS$40,MATCH(ROW()-3,DT$4:DT$40,0)))</f>
        <v/>
      </c>
      <c r="DV33">
        <f>DV32+IF(AND(DU33&lt;&gt;"",COUNTIF(DU$4:DU33,DU33)=1),1,0)</f>
        <v/>
      </c>
      <c r="DW33" s="55">
        <f>IF(ROW()-3&gt;MAX(DV$4:DV$40),"",INDEX(DU$4:DU$40,MATCH(ROW()-3,DV$4:DV$40,0)))</f>
        <v/>
      </c>
      <c r="DX33" s="55">
        <f>IF(AND($B$33:$T$33,$V$33:$AJ$33),IF('Final Calculation Sheet'!$S$33="","",'Final Calculation Sheet'!$S$33),"")</f>
        <v/>
      </c>
      <c r="DY33">
        <f>IF(DX33="","",COUNTIFS(DX$4:DX$40,"&lt;"&amp;DX33,DX$4:DX$40,"&lt;&gt;"&amp;"")+COUNTIF(DX$4:DX33,DX33))</f>
        <v/>
      </c>
      <c r="DZ33" s="55">
        <f>IF(ROW()-3&gt;COUNTIF(DX$4:DX$40,"&lt;&gt;"&amp;""),"",INDEX(DX$4:DX$40,MATCH(ROW()-3,DY$4:DY$40,0)))</f>
        <v/>
      </c>
      <c r="EA33">
        <f>EA32+IF(AND(DZ33&lt;&gt;"",COUNTIF(DZ$4:DZ33,DZ33)=1),1,0)</f>
        <v/>
      </c>
      <c r="EB33" s="55">
        <f>IF(ROW()-3&gt;MAX(EA$4:EA$40),"",INDEX(DZ$4:DZ$40,MATCH(ROW()-3,EA$4:EA$40,0)))</f>
        <v/>
      </c>
      <c r="EC33" s="55">
        <f>IF(AND($B$33:$U$33,$W$33:$AJ$33),IF('Final Calculation Sheet'!$T$33="","",'Final Calculation Sheet'!$T$33),"")</f>
        <v/>
      </c>
      <c r="ED33">
        <f>IF(EC33="","",COUNTIFS(EC$4:EC$40,"&lt;"&amp;EC33,EC$4:EC$40,"&lt;&gt;"&amp;"")+COUNTIF(EC$4:EC33,EC33))</f>
        <v/>
      </c>
      <c r="EE33" s="55">
        <f>IF(ROW()-3&gt;COUNTIF(EC$4:EC$40,"&lt;&gt;"&amp;""),"",INDEX(EC$4:EC$40,MATCH(ROW()-3,ED$4:ED$40,0)))</f>
        <v/>
      </c>
      <c r="EF33">
        <f>EF32+IF(AND(EE33&lt;&gt;"",COUNTIF(EE$4:EE33,EE33)=1),1,0)</f>
        <v/>
      </c>
      <c r="EG33" s="55">
        <f>IF(ROW()-3&gt;MAX(EF$4:EF$40),"",INDEX(EE$4:EE$40,MATCH(ROW()-3,EF$4:EF$40,0)))</f>
        <v/>
      </c>
      <c r="EH33" s="140">
        <f>IF(AND($B$33:$V$33,$X$33:$AJ$33),IF('Final Calculation Sheet'!$U$33="","",'Final Calculation Sheet'!$U$33),"")</f>
        <v/>
      </c>
      <c r="EI33">
        <f>IF(EH33="","",COUNTIFS(EH$4:EH$40,"&lt;"&amp;EH33,EH$4:EH$40,"&lt;&gt;"&amp;"")+COUNTIF(EH$4:EH33,EH33))</f>
        <v/>
      </c>
      <c r="EJ33" s="140">
        <f>IF(ROW()-3&gt;COUNTIF(EH$4:EH$40,"&lt;&gt;"&amp;""),"",INDEX(EH$4:EH$40,MATCH(ROW()-3,EI$4:EI$40,0)))</f>
        <v/>
      </c>
      <c r="EK33">
        <f>EK32+IF(AND(EJ33&lt;&gt;"",COUNTIF(EJ$4:EJ33,EJ33)=1),1,0)</f>
        <v/>
      </c>
      <c r="EL33" s="140">
        <f>IF(ROW()-3&gt;MAX(EK$4:EK$40),"",INDEX(EJ$4:EJ$40,MATCH(ROW()-3,EK$4:EK$40,0)))</f>
        <v/>
      </c>
      <c r="EM33">
        <f>IF(AND($B$33:$W$33,$Y$33:$AJ$33),IF('Final Calculation Sheet'!$V$33="","",'Final Calculation Sheet'!$V$33),"")</f>
        <v/>
      </c>
      <c r="EN33">
        <f>IF(EM33="","",COUNTIFS(EM$4:EM$40,"&lt;"&amp;EM33,EM$4:EM$40,"&lt;&gt;"&amp;"")+COUNTIF(EM$4:EM33,EM33))</f>
        <v/>
      </c>
      <c r="EO33">
        <f>IF(ROW()-3&gt;COUNTIF(EM$4:EM$40,"&lt;&gt;"&amp;""),"",INDEX(EM$4:EM$40,MATCH(ROW()-3,EN$4:EN$40,0)))</f>
        <v/>
      </c>
      <c r="EP33">
        <f>EP32+IF(AND(EO33&lt;&gt;"",COUNTIF(EO$4:EO33,EO33)=1),1,0)</f>
        <v/>
      </c>
      <c r="EQ33">
        <f>IF(ROW()-3&gt;MAX(EP$4:EP$40),"",INDEX(EO$4:EO$40,MATCH(ROW()-3,EP$4:EP$40,0)))</f>
        <v/>
      </c>
      <c r="ER33" s="55">
        <f>IF(AND($B$33:$X$33,$Z$33:$AJ$33),IF('Final Calculation Sheet'!$W$33="","",'Final Calculation Sheet'!$W$33),"")</f>
        <v/>
      </c>
      <c r="ES33">
        <f>IF(ER33="","",COUNTIFS(ER$4:ER$40,"&lt;"&amp;ER33,ER$4:ER$40,"&lt;&gt;"&amp;"")+COUNTIF(ER$4:ER33,ER33))</f>
        <v/>
      </c>
      <c r="ET33" s="55">
        <f>IF(ROW()-3&gt;COUNTIF(ER$4:ER$40,"&lt;&gt;"&amp;""),"",INDEX(ER$4:ER$40,MATCH(ROW()-3,ES$4:ES$40,0)))</f>
        <v/>
      </c>
      <c r="EU33">
        <f>EU32+IF(AND(ET33&lt;&gt;"",COUNTIF(ET$4:ET33,ET33)=1),1,0)</f>
        <v/>
      </c>
      <c r="EV33" s="55">
        <f>IF(ROW()-3&gt;MAX(EU$4:EU$40),"",INDEX(ET$4:ET$40,MATCH(ROW()-3,EU$4:EU$40,0)))</f>
        <v/>
      </c>
      <c r="EW33" s="55">
        <f>IF(AND($B$33:$Y$33,$AA$33:$AJ$33),IF('Final Calculation Sheet'!$X$33="","",'Final Calculation Sheet'!$X$33),"")</f>
        <v/>
      </c>
      <c r="EX33">
        <f>IF(EW33="","",COUNTIFS(EW$4:EW$40,"&lt;"&amp;EW33,EW$4:EW$40,"&lt;&gt;"&amp;"")+COUNTIF(EW$4:EW33,EW33))</f>
        <v/>
      </c>
      <c r="EY33" s="55">
        <f>IF(ROW()-3&gt;COUNTIF(EW$4:EW$40,"&lt;&gt;"&amp;""),"",INDEX(EW$4:EW$40,MATCH(ROW()-3,EX$4:EX$40,0)))</f>
        <v/>
      </c>
      <c r="EZ33">
        <f>EZ32+IF(AND(EY33&lt;&gt;"",COUNTIF(EY$4:EY33,EY33)=1),1,0)</f>
        <v/>
      </c>
      <c r="FA33">
        <f>IF(ROW()-3&gt;MAX(EZ$4:EZ$40),"",INDEX(EY$4:EY$40,MATCH(ROW()-3,EZ$4:EZ$40,0)))</f>
        <v/>
      </c>
      <c r="FB33">
        <f>IF(AND($B$33:$Z$33,$AB$33:$AJ$33),IF('Final Calculation Sheet'!$Y$33="","",'Final Calculation Sheet'!$Y$33),"")</f>
        <v/>
      </c>
      <c r="FC33">
        <f>IF(FB33="","",COUNTIFS(FB$4:FB$40,"&lt;"&amp;FB33,FB$4:FB$40,"&lt;&gt;"&amp;"")+COUNTIF(FB$4:FB33,FB33))</f>
        <v/>
      </c>
      <c r="FD33">
        <f>IF(ROW()-3&gt;COUNTIF(FB$4:FB$40,"&lt;&gt;"&amp;""),"",INDEX(FB$4:FB$40,MATCH(ROW()-3,FC$4:FC$40,0)))</f>
        <v/>
      </c>
      <c r="FE33">
        <f>FE32+IF(AND(FD33&lt;&gt;"",COUNTIF(FD$4:FD33,FD33)=1),1,0)</f>
        <v/>
      </c>
      <c r="FF33">
        <f>IF(ROW()-3&gt;MAX(FE$4:FE$40),"",INDEX(FD$4:FD$40,MATCH(ROW()-3,FE$4:FE$40,0)))</f>
        <v/>
      </c>
      <c r="FG33" s="55">
        <f>IF(AND($B$33:$AA$33,$AC$33:$AJ$33),IF('Final Calculation Sheet'!$Z$33="","",'Final Calculation Sheet'!$Z$33),"")</f>
        <v/>
      </c>
      <c r="FH33">
        <f>IF(FG33="","",COUNTIFS(FG$4:FG$40,"&lt;"&amp;FG33,FG$4:FG$40,"&lt;&gt;"&amp;"")+COUNTIF(FG$4:FG33,FG33))</f>
        <v/>
      </c>
      <c r="FI33" s="55">
        <f>IF(ROW()-3&gt;COUNTIF(FG$4:FG$40,"&lt;&gt;"&amp;""),"",INDEX(FG$4:FG$40,MATCH(ROW()-3,FH$4:FH$40,0)))</f>
        <v/>
      </c>
      <c r="FJ33">
        <f>FJ32+IF(AND(FI33&lt;&gt;"",COUNTIF(FI$4:FI33,FI33)=1),1,0)</f>
        <v/>
      </c>
      <c r="FK33" s="55">
        <f>IF(ROW()-3&gt;MAX(FJ$4:FJ$40),"",INDEX(FI$4:FI$40,MATCH(ROW()-3,FJ$4:FJ$40,0)))</f>
        <v/>
      </c>
      <c r="FL33">
        <f>IF(AND($B$33:$AB$33,$AD$33:$AJ$33),IF('Final Calculation Sheet'!$AA$33="","",'Final Calculation Sheet'!$AA$33),"")</f>
        <v/>
      </c>
      <c r="FM33">
        <f>IF(FL33="","",COUNTIFS(FL$4:FL$40,"&lt;"&amp;FL33,FL$4:FL$40,"&lt;&gt;"&amp;"")+COUNTIF(FL$4:FL33,FL33))</f>
        <v/>
      </c>
      <c r="FN33">
        <f>IF(ROW()-3&gt;COUNTIF(FL$4:FL$40,"&lt;&gt;"&amp;""),"",INDEX(FL$4:FL$40,MATCH(ROW()-3,FM$4:FM$40,0)))</f>
        <v/>
      </c>
      <c r="FO33">
        <f>FO32+IF(AND(FN33&lt;&gt;"",COUNTIF(FN$4:FN33,FN33)=1),1,0)</f>
        <v/>
      </c>
      <c r="FP33">
        <f>IF(ROW()-3&gt;MAX(FO$4:FO$40),"",INDEX(FN$4:FN$40,MATCH(ROW()-3,FO$4:FO$40,0)))</f>
        <v/>
      </c>
      <c r="FQ33">
        <f>IF(AND($B$33:$AC$33,$AE$33:$AJ$33),IF('Final Calculation Sheet'!$AB$33="","",'Final Calculation Sheet'!$AB$33),"")</f>
        <v/>
      </c>
      <c r="FR33">
        <f>IF(FQ33="","",COUNTIFS(FQ$4:FQ$40,"&lt;"&amp;FQ33,FQ$4:FQ$40,"&lt;&gt;"&amp;"")+COUNTIF(FQ$4:FQ33,FQ33))</f>
        <v/>
      </c>
      <c r="FS33">
        <f>IF(ROW()-3&gt;COUNTIF(FQ$4:FQ$40,"&lt;&gt;"&amp;""),"",INDEX(FQ$4:FQ$40,MATCH(ROW()-3,FR$4:FR$40,0)))</f>
        <v/>
      </c>
      <c r="FT33">
        <f>FT32+IF(AND(FS33&lt;&gt;"",COUNTIF(FS$4:FS33,FS33)=1),1,0)</f>
        <v/>
      </c>
      <c r="FU33">
        <f>IF(ROW()-3&gt;MAX(FT$4:FT$40),"",INDEX(FS$4:FS$40,MATCH(ROW()-3,FT$4:FT$40,0)))</f>
        <v/>
      </c>
      <c r="FV33" s="55">
        <f>IF(AND($B$33:$AD$33,$AF$33:$AJ$33),IF('Final Calculation Sheet'!$AC$33="","",'Final Calculation Sheet'!$AC$33),"")</f>
        <v/>
      </c>
      <c r="FW33">
        <f>IF(FV33="","",COUNTIFS(FV$4:FV$40,"&lt;"&amp;FV33,FV$4:FV$40,"&lt;&gt;"&amp;"")+COUNTIF(FV$4:FV33,FV33))</f>
        <v/>
      </c>
      <c r="FX33" s="55">
        <f>IF(ROW()-3&gt;COUNTIF(FV$4:FV$40,"&lt;&gt;"&amp;""),"",INDEX(FV$4:FV$40,MATCH(ROW()-3,FW$4:FW$40,0)))</f>
        <v/>
      </c>
      <c r="FY33">
        <f>FY32+IF(AND(FX33&lt;&gt;"",COUNTIF(FX$4:FX33,FX33)=1),1,0)</f>
        <v/>
      </c>
      <c r="FZ33" s="55">
        <f>IF(ROW()-3&gt;MAX(FY$4:FY$40),"",INDEX(FX$4:FX$40,MATCH(ROW()-3,FY$4:FY$40,0)))</f>
        <v/>
      </c>
      <c r="GA33" s="55">
        <f>IF(AND($B$33:$AE$33,$AG$33:$AJ$33),IF('Final Calculation Sheet'!$AD$33="","",'Final Calculation Sheet'!$AD$33),"")</f>
        <v/>
      </c>
      <c r="GB33">
        <f>IF(GA33="","",COUNTIFS(GA$4:GA$40,"&lt;"&amp;GA33,GA$4:GA$40,"&lt;&gt;"&amp;"")+COUNTIF(GA$4:GA33,GA33))</f>
        <v/>
      </c>
      <c r="GC33" s="55">
        <f>IF(ROW()-3&gt;COUNTIF(GA$4:GA$40,"&lt;&gt;"&amp;""),"",INDEX(GA$4:GA$40,MATCH(ROW()-3,GB$4:GB$40,0)))</f>
        <v/>
      </c>
      <c r="GD33">
        <f>GD32+IF(AND(GC33&lt;&gt;"",COUNTIF(GC$4:GC33,GC33)=1),1,0)</f>
        <v/>
      </c>
      <c r="GE33" s="55">
        <f>IF(ROW()-3&gt;MAX(GD$4:GD$40),"",INDEX(GC$4:GC$40,MATCH(ROW()-3,GD$4:GD$40,0)))</f>
        <v/>
      </c>
      <c r="GF33">
        <f>IF(AND($B$33:$AF$33,$AH$33:$AJ$33),IF('Final Calculation Sheet'!$AE$33="","",'Final Calculation Sheet'!$AE$33),"")</f>
        <v/>
      </c>
      <c r="GG33">
        <f>IF(GF33="","",COUNTIFS(GF$4:GF$40,"&lt;"&amp;GF33,GF$4:GF$40,"&lt;&gt;"&amp;"")+COUNTIF(GF$4:GF33,GF33))</f>
        <v/>
      </c>
      <c r="GH33">
        <f>IF(ROW()-3&gt;COUNTIF(GF$4:GF$40,"&lt;&gt;"&amp;""),"",INDEX(GF$4:GF$40,MATCH(ROW()-3,GG$4:GG$40,0)))</f>
        <v/>
      </c>
      <c r="GI33">
        <f>GI32+IF(AND(GH33&lt;&gt;"",COUNTIF(GH$4:GH33,GH33)=1),1,0)</f>
        <v/>
      </c>
      <c r="GJ33">
        <f>IF(ROW()-3&gt;MAX(GI$4:GI$40),"",INDEX(GH$4:GH$40,MATCH(ROW()-3,GI$4:GI$40,0)))</f>
        <v/>
      </c>
      <c r="GK33" s="141">
        <f>IF(AND($B$33:$AG$33,$AI$33:$AJ$33),IF('Final Calculation Sheet'!$AF$33="","",'Final Calculation Sheet'!$AF$33),"")</f>
        <v/>
      </c>
      <c r="GL33">
        <f>IF(GK33="","",COUNTIFS(GK$4:GK$40,"&lt;"&amp;GK33,GK$4:GK$40,"&lt;&gt;"&amp;"")+COUNTIF(GK$4:GK33,GK33))</f>
        <v/>
      </c>
      <c r="GM33" s="141">
        <f>IF(ROW()-3&gt;COUNTIF(GK$4:GK$40,"&lt;&gt;"&amp;""),"",INDEX(GK$4:GK$40,MATCH(ROW()-3,GL$4:GL$40,0)))</f>
        <v/>
      </c>
      <c r="GN33">
        <f>GN32+IF(AND(GM33&lt;&gt;"",COUNTIF(GM$4:GM33,GM33)=1),1,0)</f>
        <v/>
      </c>
      <c r="GO33">
        <f>IF(ROW()-3&gt;MAX(GN$4:GN$40),"",INDEX(GM$4:GM$40,MATCH(ROW()-3,GN$4:GN$40,0)))</f>
        <v/>
      </c>
      <c r="GP33">
        <f>IF(AND($B$33:$AH$33,$AJ$33:$AJ$33),IF('Final Calculation Sheet'!$AG$33="","",'Final Calculation Sheet'!$AG$33),"")</f>
        <v/>
      </c>
      <c r="GQ33">
        <f>IF(GP33="","",COUNTIFS(GP$4:GP$40,"&lt;"&amp;GP33,GP$4:GP$40,"&lt;&gt;"&amp;"")+COUNTIF(GP$4:GP33,GP33))</f>
        <v/>
      </c>
      <c r="GR33">
        <f>IF(ROW()-3&gt;COUNTIF(GP$4:GP$40,"&lt;&gt;"&amp;""),"",INDEX(GP$4:GP$40,MATCH(ROW()-3,GQ$4:GQ$40,0)))</f>
        <v/>
      </c>
      <c r="GS33">
        <f>GS32+IF(AND(GR33&lt;&gt;"",COUNTIF(GR$4:GR33,GR33)=1),1,0)</f>
        <v/>
      </c>
      <c r="GT33">
        <f>IF(ROW()-3&gt;MAX(GS$4:GS$40),"",INDEX(GR$4:GR$40,MATCH(ROW()-3,GS$4:GS$40,0)))</f>
        <v/>
      </c>
    </row>
    <row r="34">
      <c r="A34" t="inlineStr">
        <is>
          <t>Final row 34</t>
        </is>
      </c>
      <c r="B34" t="b">
        <v>1</v>
      </c>
      <c r="C34">
        <f>IF($C$3=FALSE,TRUE,IF(OR(UPPER(TRIM($C$2))="(BLANK)",UPPER(TRIM($C$2))="BLANK",AND($C$2&lt;&gt;"",TRIM($C$2)="")),(IF('Final Calculation Sheet'!$F$34="","",'Final Calculation Sheet'!$F$34))="",IF(OR(UPPER(TRIM($C$2))="(NONBLANK)",UPPER(TRIM($C$2))="NONBLANK",TRIM($C$2)="&lt;&gt;"),(IF('Final Calculation Sheet'!$F$34="","",'Final Calculation Sheet'!$F$34))&lt;&gt;"",UPPER(TRIM((IF('Final Calculation Sheet'!$F$34="","",'Final Calculation Sheet'!$F$34))&amp;""))=UPPER(TRIM($C$2&amp;"")))))</f>
        <v/>
      </c>
      <c r="D34">
        <f>IF($D$3=FALSE,TRUE,IF(OR(UPPER(TRIM($D$2))="(BLANK)",UPPER(TRIM($D$2))="BLANK",AND($D$2&lt;&gt;"",TRIM($D$2)="")),(IF('Final Calculation Sheet'!$G$34="","",'Final Calculation Sheet'!$G$34))="",IF(OR(UPPER(TRIM($D$2))="(NONBLANK)",UPPER(TRIM($D$2))="NONBLANK",TRIM($D$2)="&lt;&gt;"),(IF('Final Calculation Sheet'!$G$34="","",'Final Calculation Sheet'!$G$34))&lt;&gt;"",UPPER(TRIM((IF('Final Calculation Sheet'!$G$34="","",'Final Calculation Sheet'!$G$34))&amp;""))=UPPER(TRIM($D$2&amp;"")))))</f>
        <v/>
      </c>
      <c r="E34">
        <f>IF($E$3=FALSE,TRUE,IF(OR(UPPER(TRIM($E$2))="(BLANK)",UPPER(TRIM($E$2))="BLANK",AND($E$2&lt;&gt;"",TRIM($E$2)="")),(IF('Final Calculation Sheet'!$B$34="","",'Final Calculation Sheet'!$B$34))="",IF(OR(UPPER(TRIM($E$2))="(NONBLANK)",UPPER(TRIM($E$2))="NONBLANK",TRIM($E$2)="&lt;&gt;"),(IF('Final Calculation Sheet'!$B$34="","",'Final Calculation Sheet'!$B$34))&lt;&gt;"",UPPER(TRIM((IF('Final Calculation Sheet'!$B$34="","",'Final Calculation Sheet'!$B$34))&amp;""))=UPPER(TRIM($E$2&amp;"")))))</f>
        <v/>
      </c>
      <c r="F34">
        <f>IF($F$3=FALSE,TRUE,IF(OR(UPPER(TRIM($F$2))="(BLANK)",UPPER(TRIM($F$2))="BLANK",AND($F$2&lt;&gt;"",TRIM($F$2)="")),(IF('Final Calculation Sheet'!$D$34="","",'Final Calculation Sheet'!$D$34))="",IF(OR(UPPER(TRIM($F$2))="(NONBLANK)",UPPER(TRIM($F$2))="NONBLANK",TRIM($F$2)="&lt;&gt;"),(IF('Final Calculation Sheet'!$D$34="","",'Final Calculation Sheet'!$D$34))&lt;&gt;"",UPPER(TRIM((IF('Final Calculation Sheet'!$D$34="","",'Final Calculation Sheet'!$D$34))&amp;""))=UPPER(TRIM($F$2&amp;"")))))</f>
        <v/>
      </c>
      <c r="G34">
        <f>IF($G$3=FALSE,TRUE,IF(OR(UPPER(TRIM($G$2))="(BLANK)",UPPER(TRIM($G$2))="BLANK",AND($G$2&lt;&gt;"",TRIM($G$2)="")),(IF('Final Calculation Sheet'!$A$34="","",'Final Calculation Sheet'!$A$34))="",IF(OR(UPPER(TRIM($G$2))="(NONBLANK)",UPPER(TRIM($G$2))="NONBLANK",TRIM($G$2)="&lt;&gt;"),(IF('Final Calculation Sheet'!$A$34="","",'Final Calculation Sheet'!$A$34))&lt;&gt;"",UPPER(TRIM((IF('Final Calculation Sheet'!$A$34="","",'Final Calculation Sheet'!$A$34))&amp;""))=UPPER(TRIM($G$2&amp;"")))))</f>
        <v/>
      </c>
      <c r="H34">
        <f>IF($H$3=FALSE,TRUE,IF(OR(UPPER(TRIM($H$2))="(BLANK)",UPPER(TRIM($H$2))="BLANK",AND($H$2&lt;&gt;"",TRIM($H$2)="")),(IF('Final Calculation Sheet'!$E$34="","",'Final Calculation Sheet'!$E$34))="",IF(OR(UPPER(TRIM($H$2))="(NONBLANK)",UPPER(TRIM($H$2))="NONBLANK",TRIM($H$2)="&lt;&gt;"),(IF('Final Calculation Sheet'!$E$34="","",'Final Calculation Sheet'!$E$34))&lt;&gt;"",UPPER(TRIM((IF('Final Calculation Sheet'!$E$34="","",'Final Calculation Sheet'!$E$34))&amp;""))=UPPER(TRIM($H$2&amp;"")))))</f>
        <v/>
      </c>
      <c r="I34">
        <f>IF($I$3=FALSE,TRUE,IF(OR(UPPER(TRIM($I$2))="(BLANK)",UPPER(TRIM($I$2))="BLANK",AND($I$2&lt;&gt;"",TRIM($I$2)="")),(IF('Final Calculation Sheet'!$C$34="","",'Final Calculation Sheet'!$C$34))="",IF(OR(UPPER(TRIM($I$2))="(NONBLANK)",UPPER(TRIM($I$2))="NONBLANK",TRIM($I$2)="&lt;&gt;"),(IF('Final Calculation Sheet'!$C$34="","",'Final Calculation Sheet'!$C$34))&lt;&gt;"",UPPER(TRIM((IF('Final Calculation Sheet'!$C$34="","",'Final Calculation Sheet'!$C$34))&amp;""))=UPPER(TRIM($I$2&amp;"")))))</f>
        <v/>
      </c>
      <c r="J34">
        <f>IF($J$3=FALSE,TRUE,IF(OR(UPPER(TRIM($J$2))="(BLANK)",UPPER(TRIM($J$2))="BLANK",AND($J$2&lt;&gt;"",TRIM($J$2)="")),(IF('Final Calculation Sheet'!$H$34="","",'Final Calculation Sheet'!$H$34))="",IF(OR(UPPER(TRIM($J$2))="(NONBLANK)",UPPER(TRIM($J$2))="NONBLANK",TRIM($J$2)="&lt;&gt;"),(IF('Final Calculation Sheet'!$H$34="","",'Final Calculation Sheet'!$H$34))&lt;&gt;"",UPPER(TRIM((IF('Final Calculation Sheet'!$H$34="","",'Final Calculation Sheet'!$H$34))&amp;""))=UPPER(TRIM($J$2&amp;"")))))</f>
        <v/>
      </c>
      <c r="K34">
        <f>IF($K$3=FALSE,TRUE,IF(OR(UPPER(TRIM($K$2))="(BLANK)",UPPER(TRIM($K$2))="BLANK",AND($K$2&lt;&gt;"",TRIM($K$2)="")),(IF('Final Calculation Sheet'!$I$34="","",'Final Calculation Sheet'!$I$34))="",IF(OR(UPPER(TRIM($K$2))="(NONBLANK)",UPPER(TRIM($K$2))="NONBLANK",TRIM($K$2)="&lt;&gt;"),(IF('Final Calculation Sheet'!$I$34="","",'Final Calculation Sheet'!$I$34))&lt;&gt;"",UPPER(TRIM((IF('Final Calculation Sheet'!$I$34="","",'Final Calculation Sheet'!$I$34))&amp;""))=UPPER(TRIM($K$2&amp;"")))))</f>
        <v/>
      </c>
      <c r="L34">
        <f>IF($L$3=FALSE,TRUE,IF(OR(UPPER(TRIM($L$2))="(BLANK)",UPPER(TRIM($L$2))="BLANK",AND($L$2&lt;&gt;"",TRIM($L$2)="")),(IF('Final Calculation Sheet'!$J$34="","",'Final Calculation Sheet'!$J$34))="",IF(OR(UPPER(TRIM($L$2))="(NONBLANK)",UPPER(TRIM($L$2))="NONBLANK",TRIM($L$2)="&lt;&gt;"),(IF('Final Calculation Sheet'!$J$34="","",'Final Calculation Sheet'!$J$34))&lt;&gt;"",UPPER(TRIM((IF('Final Calculation Sheet'!$J$34="","",'Final Calculation Sheet'!$J$34))&amp;""))=UPPER(TRIM($L$2&amp;"")))))</f>
        <v/>
      </c>
      <c r="M34">
        <f>IF($M$3=FALSE,TRUE,IF(OR(UPPER(TRIM($M$2))="(BLANK)",UPPER(TRIM($M$2))="BLANK",AND($M$2&lt;&gt;"",TRIM($M$2)="")),(IF('Final Calculation Sheet'!$K$34="","",'Final Calculation Sheet'!$K$34))="",IF(OR(UPPER(TRIM($M$2))="(NONBLANK)",UPPER(TRIM($M$2))="NONBLANK",TRIM($M$2)="&lt;&gt;"),(IF('Final Calculation Sheet'!$K$34="","",'Final Calculation Sheet'!$K$34))&lt;&gt;"",UPPER(TRIM((IF('Final Calculation Sheet'!$K$34="","",'Final Calculation Sheet'!$K$34))&amp;""))=UPPER(TRIM($M$2&amp;"")))))</f>
        <v/>
      </c>
      <c r="N34">
        <f>IF($N$3=FALSE,TRUE,IF(OR(UPPER(TRIM($N$2))="(BLANK)",UPPER(TRIM($N$2))="BLANK",AND($N$2&lt;&gt;"",TRIM($N$2)="")),(IF('Final Calculation Sheet'!$L$34="","",'Final Calculation Sheet'!$L$34))="",IF(OR(UPPER(TRIM($N$2))="(NONBLANK)",UPPER(TRIM($N$2))="NONBLANK",TRIM($N$2)="&lt;&gt;"),(IF('Final Calculation Sheet'!$L$34="","",'Final Calculation Sheet'!$L$34))&lt;&gt;"",UPPER(TRIM((IF('Final Calculation Sheet'!$L$34="","",'Final Calculation Sheet'!$L$34))&amp;""))=UPPER(TRIM($N$2&amp;"")))))</f>
        <v/>
      </c>
      <c r="O34">
        <f>IF($O$3=FALSE,TRUE,IF(OR(UPPER(TRIM($O$2))="(BLANK)",UPPER(TRIM($O$2))="BLANK",AND($O$2&lt;&gt;"",TRIM($O$2)="")),(IF('Final Calculation Sheet'!$M$34="","",'Final Calculation Sheet'!$M$34))="",IF(OR(UPPER(TRIM($O$2))="(NONBLANK)",UPPER(TRIM($O$2))="NONBLANK",TRIM($O$2)="&lt;&gt;"),(IF('Final Calculation Sheet'!$M$34="","",'Final Calculation Sheet'!$M$34))&lt;&gt;"",UPPER(TRIM((IF('Final Calculation Sheet'!$M$34="","",'Final Calculation Sheet'!$M$34))&amp;""))=UPPER(TRIM($O$2&amp;"")))))</f>
        <v/>
      </c>
      <c r="P34">
        <f>IF($P$3=FALSE,TRUE,IF(OR(UPPER(TRIM($P$2))="(BLANK)",UPPER(TRIM($P$2))="BLANK",AND($P$2&lt;&gt;"",TRIM($P$2)="")),(IF('Final Calculation Sheet'!$N$34="","",'Final Calculation Sheet'!$N$34))="",IF(OR(UPPER(TRIM($P$2))="(NONBLANK)",UPPER(TRIM($P$2))="NONBLANK",TRIM($P$2)="&lt;&gt;"),(IF('Final Calculation Sheet'!$N$34="","",'Final Calculation Sheet'!$N$34))&lt;&gt;"",UPPER(TRIM((IF('Final Calculation Sheet'!$N$34="","",'Final Calculation Sheet'!$N$34))&amp;""))=UPPER(TRIM($P$2&amp;"")))))</f>
        <v/>
      </c>
      <c r="Q34">
        <f>IF($Q$3=FALSE,TRUE,IF(OR(UPPER(TRIM($Q$2))="(BLANK)",UPPER(TRIM($Q$2))="BLANK",AND($Q$2&lt;&gt;"",TRIM($Q$2)="")),(IF('Final Calculation Sheet'!$O$34="","",'Final Calculation Sheet'!$O$34))="",IF(OR(UPPER(TRIM($Q$2))="(NONBLANK)",UPPER(TRIM($Q$2))="NONBLANK",TRIM($Q$2)="&lt;&gt;"),(IF('Final Calculation Sheet'!$O$34="","",'Final Calculation Sheet'!$O$34))&lt;&gt;"",UPPER(TRIM((IF('Final Calculation Sheet'!$O$34="","",'Final Calculation Sheet'!$O$34))&amp;""))=UPPER(TRIM($Q$2&amp;"")))))</f>
        <v/>
      </c>
      <c r="R34">
        <f>IF($R$3=FALSE,TRUE,IF(OR(UPPER(TRIM($R$2))="(BLANK)",UPPER(TRIM($R$2))="BLANK",AND($R$2&lt;&gt;"",TRIM($R$2)="")),(IF('Final Calculation Sheet'!$P$34="","",'Final Calculation Sheet'!$P$34))="",IF(OR(UPPER(TRIM($R$2))="(NONBLANK)",UPPER(TRIM($R$2))="NONBLANK",TRIM($R$2)="&lt;&gt;"),(IF('Final Calculation Sheet'!$P$34="","",'Final Calculation Sheet'!$P$34))&lt;&gt;"",UPPER(TRIM((IF('Final Calculation Sheet'!$P$34="","",'Final Calculation Sheet'!$P$34))&amp;""))=UPPER(TRIM($R$2&amp;"")))))</f>
        <v/>
      </c>
      <c r="S34">
        <f>IF($S$3=FALSE,TRUE,IF(OR(UPPER(TRIM($S$2))="(BLANK)",UPPER(TRIM($S$2))="BLANK",AND($S$2&lt;&gt;"",TRIM($S$2)="")),(IF('Final Calculation Sheet'!$Q$34="","",'Final Calculation Sheet'!$Q$34))="",IF(OR(UPPER(TRIM($S$2))="(NONBLANK)",UPPER(TRIM($S$2))="NONBLANK",TRIM($S$2)="&lt;&gt;"),(IF('Final Calculation Sheet'!$Q$34="","",'Final Calculation Sheet'!$Q$34))&lt;&gt;"",UPPER(TRIM((IF('Final Calculation Sheet'!$Q$34="","",'Final Calculation Sheet'!$Q$34))&amp;""))=UPPER(TRIM($S$2&amp;"")))))</f>
        <v/>
      </c>
      <c r="T34">
        <f>IF($T$3=FALSE,TRUE,IF(OR(UPPER(TRIM($T$2))="(BLANK)",UPPER(TRIM($T$2))="BLANK",AND($T$2&lt;&gt;"",TRIM($T$2)="")),(IF('Final Calculation Sheet'!$R$34="","",'Final Calculation Sheet'!$R$34))="",IF(OR(UPPER(TRIM($T$2))="(NONBLANK)",UPPER(TRIM($T$2))="NONBLANK",TRIM($T$2)="&lt;&gt;"),(IF('Final Calculation Sheet'!$R$34="","",'Final Calculation Sheet'!$R$34))&lt;&gt;"",UPPER(TRIM((IF('Final Calculation Sheet'!$R$34="","",'Final Calculation Sheet'!$R$34))&amp;""))=UPPER(TRIM($T$2&amp;"")))))</f>
        <v/>
      </c>
      <c r="U34">
        <f>IF($U$3=FALSE,TRUE,IF(OR(UPPER(TRIM($U$2))="(BLANK)",UPPER(TRIM($U$2))="BLANK",AND($U$2&lt;&gt;"",TRIM($U$2)="")),(IF('Final Calculation Sheet'!$S$34="","",'Final Calculation Sheet'!$S$34))="",IF(OR(UPPER(TRIM($U$2))="(NONBLANK)",UPPER(TRIM($U$2))="NONBLANK",TRIM($U$2)="&lt;&gt;"),(IF('Final Calculation Sheet'!$S$34="","",'Final Calculation Sheet'!$S$34))&lt;&gt;"",UPPER(TRIM((IF('Final Calculation Sheet'!$S$34="","",'Final Calculation Sheet'!$S$34))&amp;""))=UPPER(TRIM($U$2&amp;"")))))</f>
        <v/>
      </c>
      <c r="V34">
        <f>IF($V$3=FALSE,TRUE,IF(OR(UPPER(TRIM($V$2))="(BLANK)",UPPER(TRIM($V$2))="BLANK",AND($V$2&lt;&gt;"",TRIM($V$2)="")),(IF('Final Calculation Sheet'!$T$34="","",'Final Calculation Sheet'!$T$34))="",IF(OR(UPPER(TRIM($V$2))="(NONBLANK)",UPPER(TRIM($V$2))="NONBLANK",TRIM($V$2)="&lt;&gt;"),(IF('Final Calculation Sheet'!$T$34="","",'Final Calculation Sheet'!$T$34))&lt;&gt;"",UPPER(TRIM((IF('Final Calculation Sheet'!$T$34="","",'Final Calculation Sheet'!$T$34))&amp;""))=UPPER(TRIM($V$2&amp;"")))))</f>
        <v/>
      </c>
      <c r="W34">
        <f>IF($W$3=FALSE,TRUE,IF(OR(UPPER(TRIM($W$2))="(BLANK)",UPPER(TRIM($W$2))="BLANK",AND($W$2&lt;&gt;"",TRIM($W$2)="")),(IF('Final Calculation Sheet'!$U$34="","",'Final Calculation Sheet'!$U$34))="",IF(OR(UPPER(TRIM($W$2))="(NONBLANK)",UPPER(TRIM($W$2))="NONBLANK",TRIM($W$2)="&lt;&gt;"),(IF('Final Calculation Sheet'!$U$34="","",'Final Calculation Sheet'!$U$34))&lt;&gt;"",UPPER(TRIM((IF('Final Calculation Sheet'!$U$34="","",'Final Calculation Sheet'!$U$34))&amp;""))=UPPER(TRIM($W$2&amp;"")))))</f>
        <v/>
      </c>
      <c r="X34">
        <f>IF($X$3=FALSE,TRUE,IF(OR(UPPER(TRIM($X$2))="(BLANK)",UPPER(TRIM($X$2))="BLANK",AND($X$2&lt;&gt;"",TRIM($X$2)="")),(IF('Final Calculation Sheet'!$V$34="","",'Final Calculation Sheet'!$V$34))="",IF(OR(UPPER(TRIM($X$2))="(NONBLANK)",UPPER(TRIM($X$2))="NONBLANK",TRIM($X$2)="&lt;&gt;"),(IF('Final Calculation Sheet'!$V$34="","",'Final Calculation Sheet'!$V$34))&lt;&gt;"",UPPER(TRIM((IF('Final Calculation Sheet'!$V$34="","",'Final Calculation Sheet'!$V$34))&amp;""))=UPPER(TRIM($X$2&amp;"")))))</f>
        <v/>
      </c>
      <c r="Y34">
        <f>IF($Y$3=FALSE,TRUE,IF(OR(UPPER(TRIM($Y$2))="(BLANK)",UPPER(TRIM($Y$2))="BLANK",AND($Y$2&lt;&gt;"",TRIM($Y$2)="")),(IF('Final Calculation Sheet'!$W$34="","",'Final Calculation Sheet'!$W$34))="",IF(OR(UPPER(TRIM($Y$2))="(NONBLANK)",UPPER(TRIM($Y$2))="NONBLANK",TRIM($Y$2)="&lt;&gt;"),(IF('Final Calculation Sheet'!$W$34="","",'Final Calculation Sheet'!$W$34))&lt;&gt;"",UPPER(TRIM((IF('Final Calculation Sheet'!$W$34="","",'Final Calculation Sheet'!$W$34))&amp;""))=UPPER(TRIM($Y$2&amp;"")))))</f>
        <v/>
      </c>
      <c r="Z34">
        <f>IF($Z$3=FALSE,TRUE,IF(OR(UPPER(TRIM($Z$2))="(BLANK)",UPPER(TRIM($Z$2))="BLANK",AND($Z$2&lt;&gt;"",TRIM($Z$2)="")),(IF('Final Calculation Sheet'!$X$34="","",'Final Calculation Sheet'!$X$34))="",IF(OR(UPPER(TRIM($Z$2))="(NONBLANK)",UPPER(TRIM($Z$2))="NONBLANK",TRIM($Z$2)="&lt;&gt;"),(IF('Final Calculation Sheet'!$X$34="","",'Final Calculation Sheet'!$X$34))&lt;&gt;"",UPPER(TRIM((IF('Final Calculation Sheet'!$X$34="","",'Final Calculation Sheet'!$X$34))&amp;""))=UPPER(TRIM($Z$2&amp;"")))))</f>
        <v/>
      </c>
      <c r="AA34">
        <f>IF($AA$3=FALSE,TRUE,IF(OR(UPPER(TRIM($AA$2))="(BLANK)",UPPER(TRIM($AA$2))="BLANK",AND($AA$2&lt;&gt;"",TRIM($AA$2)="")),(IF('Final Calculation Sheet'!$Y$34="","",'Final Calculation Sheet'!$Y$34))="",IF(OR(UPPER(TRIM($AA$2))="(NONBLANK)",UPPER(TRIM($AA$2))="NONBLANK",TRIM($AA$2)="&lt;&gt;"),(IF('Final Calculation Sheet'!$Y$34="","",'Final Calculation Sheet'!$Y$34))&lt;&gt;"",UPPER(TRIM((IF('Final Calculation Sheet'!$Y$34="","",'Final Calculation Sheet'!$Y$34))&amp;""))=UPPER(TRIM($AA$2&amp;"")))))</f>
        <v/>
      </c>
      <c r="AB34">
        <f>IF($AB$3=FALSE,TRUE,IF(OR(UPPER(TRIM($AB$2))="(BLANK)",UPPER(TRIM($AB$2))="BLANK",AND($AB$2&lt;&gt;"",TRIM($AB$2)="")),(IF('Final Calculation Sheet'!$Z$34="","",'Final Calculation Sheet'!$Z$34))="",IF(OR(UPPER(TRIM($AB$2))="(NONBLANK)",UPPER(TRIM($AB$2))="NONBLANK",TRIM($AB$2)="&lt;&gt;"),(IF('Final Calculation Sheet'!$Z$34="","",'Final Calculation Sheet'!$Z$34))&lt;&gt;"",UPPER(TRIM((IF('Final Calculation Sheet'!$Z$34="","",'Final Calculation Sheet'!$Z$34))&amp;""))=UPPER(TRIM($AB$2&amp;"")))))</f>
        <v/>
      </c>
      <c r="AC34">
        <f>IF($AC$3=FALSE,TRUE,IF(OR(UPPER(TRIM($AC$2))="(BLANK)",UPPER(TRIM($AC$2))="BLANK",AND($AC$2&lt;&gt;"",TRIM($AC$2)="")),(IF('Final Calculation Sheet'!$AA$34="","",'Final Calculation Sheet'!$AA$34))="",IF(OR(UPPER(TRIM($AC$2))="(NONBLANK)",UPPER(TRIM($AC$2))="NONBLANK",TRIM($AC$2)="&lt;&gt;"),(IF('Final Calculation Sheet'!$AA$34="","",'Final Calculation Sheet'!$AA$34))&lt;&gt;"",UPPER(TRIM((IF('Final Calculation Sheet'!$AA$34="","",'Final Calculation Sheet'!$AA$34))&amp;""))=UPPER(TRIM($AC$2&amp;"")))))</f>
        <v/>
      </c>
      <c r="AD34">
        <f>IF($AD$3=FALSE,TRUE,IF(OR(UPPER(TRIM($AD$2))="(BLANK)",UPPER(TRIM($AD$2))="BLANK",AND($AD$2&lt;&gt;"",TRIM($AD$2)="")),(IF('Final Calculation Sheet'!$AB$34="","",'Final Calculation Sheet'!$AB$34))="",IF(OR(UPPER(TRIM($AD$2))="(NONBLANK)",UPPER(TRIM($AD$2))="NONBLANK",TRIM($AD$2)="&lt;&gt;"),(IF('Final Calculation Sheet'!$AB$34="","",'Final Calculation Sheet'!$AB$34))&lt;&gt;"",UPPER(TRIM((IF('Final Calculation Sheet'!$AB$34="","",'Final Calculation Sheet'!$AB$34))&amp;""))=UPPER(TRIM($AD$2&amp;"")))))</f>
        <v/>
      </c>
      <c r="AE34">
        <f>IF($AE$3=FALSE,TRUE,IF(OR(UPPER(TRIM($AE$2))="(BLANK)",UPPER(TRIM($AE$2))="BLANK",AND($AE$2&lt;&gt;"",TRIM($AE$2)="")),(IF('Final Calculation Sheet'!$AC$34="","",'Final Calculation Sheet'!$AC$34))="",IF(OR(UPPER(TRIM($AE$2))="(NONBLANK)",UPPER(TRIM($AE$2))="NONBLANK",TRIM($AE$2)="&lt;&gt;"),(IF('Final Calculation Sheet'!$AC$34="","",'Final Calculation Sheet'!$AC$34))&lt;&gt;"",UPPER(TRIM((IF('Final Calculation Sheet'!$AC$34="","",'Final Calculation Sheet'!$AC$34))&amp;""))=UPPER(TRIM($AE$2&amp;"")))))</f>
        <v/>
      </c>
      <c r="AF34">
        <f>IF($AF$3=FALSE,TRUE,IF(OR(UPPER(TRIM($AF$2))="(BLANK)",UPPER(TRIM($AF$2))="BLANK",AND($AF$2&lt;&gt;"",TRIM($AF$2)="")),(IF('Final Calculation Sheet'!$AD$34="","",'Final Calculation Sheet'!$AD$34))="",IF(OR(UPPER(TRIM($AF$2))="(NONBLANK)",UPPER(TRIM($AF$2))="NONBLANK",TRIM($AF$2)="&lt;&gt;"),(IF('Final Calculation Sheet'!$AD$34="","",'Final Calculation Sheet'!$AD$34))&lt;&gt;"",UPPER(TRIM((IF('Final Calculation Sheet'!$AD$34="","",'Final Calculation Sheet'!$AD$34))&amp;""))=UPPER(TRIM($AF$2&amp;"")))))</f>
        <v/>
      </c>
      <c r="AG34">
        <f>IF($AG$3=FALSE,TRUE,IF(OR(UPPER(TRIM($AG$2))="(BLANK)",UPPER(TRIM($AG$2))="BLANK",AND($AG$2&lt;&gt;"",TRIM($AG$2)="")),(IF('Final Calculation Sheet'!$AE$34="","",'Final Calculation Sheet'!$AE$34))="",IF(OR(UPPER(TRIM($AG$2))="(NONBLANK)",UPPER(TRIM($AG$2))="NONBLANK",TRIM($AG$2)="&lt;&gt;"),(IF('Final Calculation Sheet'!$AE$34="","",'Final Calculation Sheet'!$AE$34))&lt;&gt;"",UPPER(TRIM((IF('Final Calculation Sheet'!$AE$34="","",'Final Calculation Sheet'!$AE$34))&amp;""))=UPPER(TRIM($AG$2&amp;"")))))</f>
        <v/>
      </c>
      <c r="AH34">
        <f>IF($AH$3=FALSE,TRUE,IF(OR(UPPER(TRIM($AH$2))="(BLANK)",UPPER(TRIM($AH$2))="BLANK",AND($AH$2&lt;&gt;"",TRIM($AH$2)="")),(IF('Final Calculation Sheet'!$AF$34="","",'Final Calculation Sheet'!$AF$34))="",IF(OR(UPPER(TRIM($AH$2))="(NONBLANK)",UPPER(TRIM($AH$2))="NONBLANK",TRIM($AH$2)="&lt;&gt;"),(IF('Final Calculation Sheet'!$AF$34="","",'Final Calculation Sheet'!$AF$34))&lt;&gt;"",UPPER(TRIM((IF('Final Calculation Sheet'!$AF$34="","",'Final Calculation Sheet'!$AF$34))&amp;""))=UPPER(TRIM($AH$2&amp;"")))))</f>
        <v/>
      </c>
      <c r="AI34">
        <f>IF($AI$3=FALSE,TRUE,IF(OR(UPPER(TRIM($AI$2))="(BLANK)",UPPER(TRIM($AI$2))="BLANK",AND($AI$2&lt;&gt;"",TRIM($AI$2)="")),(IF('Final Calculation Sheet'!$AG$34="","",'Final Calculation Sheet'!$AG$34))="",IF(OR(UPPER(TRIM($AI$2))="(NONBLANK)",UPPER(TRIM($AI$2))="NONBLANK",TRIM($AI$2)="&lt;&gt;"),(IF('Final Calculation Sheet'!$AG$34="","",'Final Calculation Sheet'!$AG$34))&lt;&gt;"",UPPER(TRIM((IF('Final Calculation Sheet'!$AG$34="","",'Final Calculation Sheet'!$AG$34))&amp;""))=UPPER(TRIM($AI$2&amp;"")))))</f>
        <v/>
      </c>
      <c r="AJ34">
        <f>IF($AJ$3=FALSE,TRUE,IF(OR(UPPER(TRIM($AJ$2))="(BLANK)",UPPER(TRIM($AJ$2))="BLANK",AND($AJ$2&lt;&gt;"",TRIM($AJ$2)="")),(IF('Final Calculation Sheet'!$AD$34="","",IF('Final Calculation Sheet'!$AD$34&lt;=5,"SETTLED","OUTSTANDING")))="",IF(OR(UPPER(TRIM($AJ$2))="(NONBLANK)",UPPER(TRIM($AJ$2))="NONBLANK",TRIM($AJ$2)="&lt;&gt;"),(IF('Final Calculation Sheet'!$AD$34="","",IF('Final Calculation Sheet'!$AD$34&lt;=5,"SETTLED","OUTSTANDING")))&lt;&gt;"",UPPER(TRIM((IF('Final Calculation Sheet'!$AD$34="","",IF('Final Calculation Sheet'!$AD$34&lt;=5,"SETTLED","OUTSTANDING")))&amp;""))=UPPER(TRIM($AJ$2&amp;"")))))</f>
        <v/>
      </c>
      <c r="AL34">
        <f>IF(AND($B$34,$D$34:$AJ$34),IF('Final Calculation Sheet'!$F$34="","",'Final Calculation Sheet'!$F$34),"")</f>
        <v/>
      </c>
      <c r="AM34">
        <f>IF(AL34="","",COUNTIFS(AL$4:AL$40,"&lt;"&amp;AL34,AL$4:AL$40,"&lt;&gt;"&amp;"")+COUNTIF(AL$4:AL34,AL34))</f>
        <v/>
      </c>
      <c r="AN34">
        <f>IF(ROW()-3&gt;COUNTIF(AL$4:AL$40,"&lt;&gt;"&amp;""),"",INDEX(AL$4:AL$40,MATCH(ROW()-3,AM$4:AM$40,0)))</f>
        <v/>
      </c>
      <c r="AO34">
        <f>AO33+IF(AND(AN34&lt;&gt;"",COUNTIF(AN$4:AN34,AN34)=1),1,0)</f>
        <v/>
      </c>
      <c r="AP34">
        <f>IF(ROW()-3&gt;MAX(AO$4:AO$40),"",INDEX(AN$4:AN$40,MATCH(ROW()-3,AO$4:AO$40,0)))</f>
        <v/>
      </c>
      <c r="AQ34">
        <f>IF(AND($B$34:$C$34,$E$34:$AJ$34),IF('Final Calculation Sheet'!$G$34="","",'Final Calculation Sheet'!$G$34),"")</f>
        <v/>
      </c>
      <c r="AR34">
        <f>IF(AQ34="","",COUNTIFS(AQ$4:AQ$40,"&lt;"&amp;AQ34,AQ$4:AQ$40,"&lt;&gt;"&amp;"")+COUNTIF(AQ$4:AQ34,AQ34))</f>
        <v/>
      </c>
      <c r="AS34">
        <f>IF(ROW()-3&gt;COUNTIF(AQ$4:AQ$40,"&lt;&gt;"&amp;""),"",INDEX(AQ$4:AQ$40,MATCH(ROW()-3,AR$4:AR$40,0)))</f>
        <v/>
      </c>
      <c r="AT34">
        <f>AT33+IF(AND(AS34&lt;&gt;"",COUNTIF(AS$4:AS34,AS34)=1),1,0)</f>
        <v/>
      </c>
      <c r="AU34">
        <f>IF(ROW()-3&gt;MAX(AT$4:AT$40),"",INDEX(AS$4:AS$40,MATCH(ROW()-3,AT$4:AT$40,0)))</f>
        <v/>
      </c>
      <c r="AV34">
        <f>IF(AND($B$34:$D$34,$F$34:$AJ$34),IF('Final Calculation Sheet'!$B$34="","",'Final Calculation Sheet'!$B$34),"")</f>
        <v/>
      </c>
      <c r="AW34">
        <f>IF(AV34="","",COUNTIFS(AV$4:AV$40,"&lt;"&amp;AV34,AV$4:AV$40,"&lt;&gt;"&amp;"")+COUNTIF(AV$4:AV34,AV34))</f>
        <v/>
      </c>
      <c r="AX34">
        <f>IF(ROW()-3&gt;COUNTIF(AV$4:AV$40,"&lt;&gt;"&amp;""),"",INDEX(AV$4:AV$40,MATCH(ROW()-3,AW$4:AW$40,0)))</f>
        <v/>
      </c>
      <c r="AY34">
        <f>AY33+IF(AND(AX34&lt;&gt;"",COUNTIF(AX$4:AX34,AX34)=1),1,0)</f>
        <v/>
      </c>
      <c r="AZ34">
        <f>IF(ROW()-3&gt;MAX(AY$4:AY$40),"",INDEX(AX$4:AX$40,MATCH(ROW()-3,AY$4:AY$40,0)))</f>
        <v/>
      </c>
      <c r="BA34">
        <f>IF(AND($B$34:$E$34,$G$34:$AJ$34),IF('Final Calculation Sheet'!$D$34="","",'Final Calculation Sheet'!$D$34),"")</f>
        <v/>
      </c>
      <c r="BB34">
        <f>IF(BA34="","",COUNTIFS(BA$4:BA$40,"&lt;"&amp;BA34,BA$4:BA$40,"&lt;&gt;"&amp;"")+COUNTIF(BA$4:BA34,BA34))</f>
        <v/>
      </c>
      <c r="BC34">
        <f>IF(ROW()-3&gt;COUNTIF(BA$4:BA$40,"&lt;&gt;"&amp;""),"",INDEX(BA$4:BA$40,MATCH(ROW()-3,BB$4:BB$40,0)))</f>
        <v/>
      </c>
      <c r="BD34">
        <f>BD33+IF(AND(BC34&lt;&gt;"",COUNTIF(BC$4:BC34,BC34)=1),1,0)</f>
        <v/>
      </c>
      <c r="BE34">
        <f>IF(ROW()-3&gt;MAX(BD$4:BD$40),"",INDEX(BC$4:BC$40,MATCH(ROW()-3,BD$4:BD$40,0)))</f>
        <v/>
      </c>
      <c r="BF34">
        <f>IF(AND($B$34:$F$34,$H$34:$AJ$34),IF('Final Calculation Sheet'!$A$34="","",'Final Calculation Sheet'!$A$34),"")</f>
        <v/>
      </c>
      <c r="BG34">
        <f>IF(BF34="","",COUNTIFS(BF$4:BF$40,"&lt;"&amp;BF34,BF$4:BF$40,"&lt;&gt;"&amp;"")+COUNTIF(BF$4:BF34,BF34))</f>
        <v/>
      </c>
      <c r="BH34">
        <f>IF(ROW()-3&gt;COUNTIF(BF$4:BF$40,"&lt;&gt;"&amp;""),"",INDEX(BF$4:BF$40,MATCH(ROW()-3,BG$4:BG$40,0)))</f>
        <v/>
      </c>
      <c r="BI34">
        <f>BI33+IF(AND(BH34&lt;&gt;"",COUNTIF(BH$4:BH34,BH34)=1),1,0)</f>
        <v/>
      </c>
      <c r="BJ34">
        <f>IF(ROW()-3&gt;MAX(BI$4:BI$40),"",INDEX(BH$4:BH$40,MATCH(ROW()-3,BI$4:BI$40,0)))</f>
        <v/>
      </c>
      <c r="BK34">
        <f>IF(AND($B$34:$G$34,$I$34:$AJ$34),IF('Final Calculation Sheet'!$E$34="","",'Final Calculation Sheet'!$E$34),"")</f>
        <v/>
      </c>
      <c r="BL34">
        <f>IF(BK34="","",COUNTIFS(BK$4:BK$40,"&lt;"&amp;BK34,BK$4:BK$40,"&lt;&gt;"&amp;"")+COUNTIF(BK$4:BK34,BK34))</f>
        <v/>
      </c>
      <c r="BM34">
        <f>IF(ROW()-3&gt;COUNTIF(BK$4:BK$40,"&lt;&gt;"&amp;""),"",INDEX(BK$4:BK$40,MATCH(ROW()-3,BL$4:BL$40,0)))</f>
        <v/>
      </c>
      <c r="BN34">
        <f>BN33+IF(AND(BM34&lt;&gt;"",COUNTIF(BM$4:BM34,BM34)=1),1,0)</f>
        <v/>
      </c>
      <c r="BO34">
        <f>IF(ROW()-3&gt;MAX(BN$4:BN$40),"",INDEX(BM$4:BM$40,MATCH(ROW()-3,BN$4:BN$40,0)))</f>
        <v/>
      </c>
      <c r="BP34" s="55">
        <f>IF(AND($B$34:$H$34,$J$34:$AJ$34),IF('Final Calculation Sheet'!$C$34="","",'Final Calculation Sheet'!$C$34),"")</f>
        <v/>
      </c>
      <c r="BQ34">
        <f>IF(BP34="","",COUNTIFS(BP$4:BP$40,"&lt;"&amp;BP34,BP$4:BP$40,"&lt;&gt;"&amp;"")+COUNTIF(BP$4:BP34,BP34))</f>
        <v/>
      </c>
      <c r="BR34" s="55">
        <f>IF(ROW()-3&gt;COUNTIF(BP$4:BP$40,"&lt;&gt;"&amp;""),"",INDEX(BP$4:BP$40,MATCH(ROW()-3,BQ$4:BQ$40,0)))</f>
        <v/>
      </c>
      <c r="BS34">
        <f>BS33+IF(AND(BR34&lt;&gt;"",COUNTIF(BR$4:BR34,BR34)=1),1,0)</f>
        <v/>
      </c>
      <c r="BT34" s="55">
        <f>IF(ROW()-3&gt;MAX(BS$4:BS$40),"",INDEX(BR$4:BR$40,MATCH(ROW()-3,BS$4:BS$40,0)))</f>
        <v/>
      </c>
      <c r="BU34" s="55">
        <f>IF(AND($B$34:$I$34,$K$34:$AJ$34),IF('Final Calculation Sheet'!$H$34="","",'Final Calculation Sheet'!$H$34),"")</f>
        <v/>
      </c>
      <c r="BV34">
        <f>IF(BU34="","",COUNTIFS(BU$4:BU$40,"&lt;"&amp;BU34,BU$4:BU$40,"&lt;&gt;"&amp;"")+COUNTIF(BU$4:BU34,BU34))</f>
        <v/>
      </c>
      <c r="BW34" s="55">
        <f>IF(ROW()-3&gt;COUNTIF(BU$4:BU$40,"&lt;&gt;"&amp;""),"",INDEX(BU$4:BU$40,MATCH(ROW()-3,BV$4:BV$40,0)))</f>
        <v/>
      </c>
      <c r="BX34">
        <f>BX33+IF(AND(BW34&lt;&gt;"",COUNTIF(BW$4:BW34,BW34)=1),1,0)</f>
        <v/>
      </c>
      <c r="BY34" s="55">
        <f>IF(ROW()-3&gt;MAX(BX$4:BX$40),"",INDEX(BW$4:BW$40,MATCH(ROW()-3,BX$4:BX$40,0)))</f>
        <v/>
      </c>
      <c r="BZ34" s="55">
        <f>IF(AND($B$34:$J$34,$L$34:$AJ$34),IF('Final Calculation Sheet'!$I$34="","",'Final Calculation Sheet'!$I$34),"")</f>
        <v/>
      </c>
      <c r="CA34">
        <f>IF(BZ34="","",COUNTIFS(BZ$4:BZ$40,"&lt;"&amp;BZ34,BZ$4:BZ$40,"&lt;&gt;"&amp;"")+COUNTIF(BZ$4:BZ34,BZ34))</f>
        <v/>
      </c>
      <c r="CB34" s="55">
        <f>IF(ROW()-3&gt;COUNTIF(BZ$4:BZ$40,"&lt;&gt;"&amp;""),"",INDEX(BZ$4:BZ$40,MATCH(ROW()-3,CA$4:CA$40,0)))</f>
        <v/>
      </c>
      <c r="CC34">
        <f>CC33+IF(AND(CB34&lt;&gt;"",COUNTIF(CB$4:CB34,CB34)=1),1,0)</f>
        <v/>
      </c>
      <c r="CD34" s="55">
        <f>IF(ROW()-3&gt;MAX(CC$4:CC$40),"",INDEX(CB$4:CB$40,MATCH(ROW()-3,CC$4:CC$40,0)))</f>
        <v/>
      </c>
      <c r="CE34" s="55">
        <f>IF(AND($B$34:$K$34,$M$34:$AJ$34),IF('Final Calculation Sheet'!$J$34="","",'Final Calculation Sheet'!$J$34),"")</f>
        <v/>
      </c>
      <c r="CF34">
        <f>IF(CE34="","",COUNTIFS(CE$4:CE$40,"&lt;"&amp;CE34,CE$4:CE$40,"&lt;&gt;"&amp;"")+COUNTIF(CE$4:CE34,CE34))</f>
        <v/>
      </c>
      <c r="CG34" s="55">
        <f>IF(ROW()-3&gt;COUNTIF(CE$4:CE$40,"&lt;&gt;"&amp;""),"",INDEX(CE$4:CE$40,MATCH(ROW()-3,CF$4:CF$40,0)))</f>
        <v/>
      </c>
      <c r="CH34">
        <f>CH33+IF(AND(CG34&lt;&gt;"",COUNTIF(CG$4:CG34,CG34)=1),1,0)</f>
        <v/>
      </c>
      <c r="CI34" s="55">
        <f>IF(ROW()-3&gt;MAX(CH$4:CH$40),"",INDEX(CG$4:CG$40,MATCH(ROW()-3,CH$4:CH$40,0)))</f>
        <v/>
      </c>
      <c r="CJ34" s="55">
        <f>IF(AND($B$34:$L$34,$N$34:$AJ$34),IF('Final Calculation Sheet'!$K$34="","",'Final Calculation Sheet'!$K$34),"")</f>
        <v/>
      </c>
      <c r="CK34">
        <f>IF(CJ34="","",COUNTIFS(CJ$4:CJ$40,"&lt;"&amp;CJ34,CJ$4:CJ$40,"&lt;&gt;"&amp;"")+COUNTIF(CJ$4:CJ34,CJ34))</f>
        <v/>
      </c>
      <c r="CL34" s="55">
        <f>IF(ROW()-3&gt;COUNTIF(CJ$4:CJ$40,"&lt;&gt;"&amp;""),"",INDEX(CJ$4:CJ$40,MATCH(ROW()-3,CK$4:CK$40,0)))</f>
        <v/>
      </c>
      <c r="CM34">
        <f>CM33+IF(AND(CL34&lt;&gt;"",COUNTIF(CL$4:CL34,CL34)=1),1,0)</f>
        <v/>
      </c>
      <c r="CN34" s="55">
        <f>IF(ROW()-3&gt;MAX(CM$4:CM$40),"",INDEX(CL$4:CL$40,MATCH(ROW()-3,CM$4:CM$40,0)))</f>
        <v/>
      </c>
      <c r="CO34" s="55">
        <f>IF(AND($B$34:$M$34,$O$34:$AJ$34),IF('Final Calculation Sheet'!$L$34="","",'Final Calculation Sheet'!$L$34),"")</f>
        <v/>
      </c>
      <c r="CP34">
        <f>IF(CO34="","",COUNTIFS(CO$4:CO$40,"&lt;"&amp;CO34,CO$4:CO$40,"&lt;&gt;"&amp;"")+COUNTIF(CO$4:CO34,CO34))</f>
        <v/>
      </c>
      <c r="CQ34" s="55">
        <f>IF(ROW()-3&gt;COUNTIF(CO$4:CO$40,"&lt;&gt;"&amp;""),"",INDEX(CO$4:CO$40,MATCH(ROW()-3,CP$4:CP$40,0)))</f>
        <v/>
      </c>
      <c r="CR34">
        <f>CR33+IF(AND(CQ34&lt;&gt;"",COUNTIF(CQ$4:CQ34,CQ34)=1),1,0)</f>
        <v/>
      </c>
      <c r="CS34" s="55">
        <f>IF(ROW()-3&gt;MAX(CR$4:CR$40),"",INDEX(CQ$4:CQ$40,MATCH(ROW()-3,CR$4:CR$40,0)))</f>
        <v/>
      </c>
      <c r="CT34" s="55">
        <f>IF(AND($B$34:$N$34,$P$34:$AJ$34),IF('Final Calculation Sheet'!$M$34="","",'Final Calculation Sheet'!$M$34),"")</f>
        <v/>
      </c>
      <c r="CU34">
        <f>IF(CT34="","",COUNTIFS(CT$4:CT$40,"&lt;"&amp;CT34,CT$4:CT$40,"&lt;&gt;"&amp;"")+COUNTIF(CT$4:CT34,CT34))</f>
        <v/>
      </c>
      <c r="CV34" s="55">
        <f>IF(ROW()-3&gt;COUNTIF(CT$4:CT$40,"&lt;&gt;"&amp;""),"",INDEX(CT$4:CT$40,MATCH(ROW()-3,CU$4:CU$40,0)))</f>
        <v/>
      </c>
      <c r="CW34">
        <f>CW33+IF(AND(CV34&lt;&gt;"",COUNTIF(CV$4:CV34,CV34)=1),1,0)</f>
        <v/>
      </c>
      <c r="CX34" s="55">
        <f>IF(ROW()-3&gt;MAX(CW$4:CW$40),"",INDEX(CV$4:CV$40,MATCH(ROW()-3,CW$4:CW$40,0)))</f>
        <v/>
      </c>
      <c r="CY34" s="138">
        <f>IF(AND($B$34:$O$34,$Q$34:$AJ$34),IF('Final Calculation Sheet'!$N$34="","",'Final Calculation Sheet'!$N$34),"")</f>
        <v/>
      </c>
      <c r="CZ34">
        <f>IF(CY34="","",COUNTIFS(CY$4:CY$40,"&lt;"&amp;CY34,CY$4:CY$40,"&lt;&gt;"&amp;"")+COUNTIF(CY$4:CY34,CY34))</f>
        <v/>
      </c>
      <c r="DA34" s="138">
        <f>IF(ROW()-3&gt;COUNTIF(CY$4:CY$40,"&lt;&gt;"&amp;""),"",INDEX(CY$4:CY$40,MATCH(ROW()-3,CZ$4:CZ$40,0)))</f>
        <v/>
      </c>
      <c r="DB34">
        <f>DB33+IF(AND(DA34&lt;&gt;"",COUNTIF(DA$4:DA34,DA34)=1),1,0)</f>
        <v/>
      </c>
      <c r="DC34" s="138">
        <f>IF(ROW()-3&gt;MAX(DB$4:DB$40),"",INDEX(DA$4:DA$40,MATCH(ROW()-3,DB$4:DB$40,0)))</f>
        <v/>
      </c>
      <c r="DD34" s="55">
        <f>IF(AND($B$34:$P$34,$R$34:$AJ$34),IF('Final Calculation Sheet'!$O$34="","",'Final Calculation Sheet'!$O$34),"")</f>
        <v/>
      </c>
      <c r="DE34">
        <f>IF(DD34="","",COUNTIFS(DD$4:DD$40,"&lt;"&amp;DD34,DD$4:DD$40,"&lt;&gt;"&amp;"")+COUNTIF(DD$4:DD34,DD34))</f>
        <v/>
      </c>
      <c r="DF34" s="55">
        <f>IF(ROW()-3&gt;COUNTIF(DD$4:DD$40,"&lt;&gt;"&amp;""),"",INDEX(DD$4:DD$40,MATCH(ROW()-3,DE$4:DE$40,0)))</f>
        <v/>
      </c>
      <c r="DG34">
        <f>DG33+IF(AND(DF34&lt;&gt;"",COUNTIF(DF$4:DF34,DF34)=1),1,0)</f>
        <v/>
      </c>
      <c r="DH34" s="55">
        <f>IF(ROW()-3&gt;MAX(DG$4:DG$40),"",INDEX(DF$4:DF$40,MATCH(ROW()-3,DG$4:DG$40,0)))</f>
        <v/>
      </c>
      <c r="DI34" s="55">
        <f>IF(AND($B$34:$Q$34,$S$34:$AJ$34),IF('Final Calculation Sheet'!$P$34="","",'Final Calculation Sheet'!$P$34),"")</f>
        <v/>
      </c>
      <c r="DJ34">
        <f>IF(DI34="","",COUNTIFS(DI$4:DI$40,"&lt;"&amp;DI34,DI$4:DI$40,"&lt;&gt;"&amp;"")+COUNTIF(DI$4:DI34,DI34))</f>
        <v/>
      </c>
      <c r="DK34" s="55">
        <f>IF(ROW()-3&gt;COUNTIF(DI$4:DI$40,"&lt;&gt;"&amp;""),"",INDEX(DI$4:DI$40,MATCH(ROW()-3,DJ$4:DJ$40,0)))</f>
        <v/>
      </c>
      <c r="DL34">
        <f>DL33+IF(AND(DK34&lt;&gt;"",COUNTIF(DK$4:DK34,DK34)=1),1,0)</f>
        <v/>
      </c>
      <c r="DM34" s="55">
        <f>IF(ROW()-3&gt;MAX(DL$4:DL$40),"",INDEX(DK$4:DK$40,MATCH(ROW()-3,DL$4:DL$40,0)))</f>
        <v/>
      </c>
      <c r="DN34" s="139">
        <f>IF(AND($B$34:$R$34,$T$34:$AJ$34),IF('Final Calculation Sheet'!$Q$34="","",'Final Calculation Sheet'!$Q$34),"")</f>
        <v/>
      </c>
      <c r="DO34">
        <f>IF(DN34="","",COUNTIFS(DN$4:DN$40,"&lt;"&amp;DN34,DN$4:DN$40,"&lt;&gt;"&amp;"")+COUNTIF(DN$4:DN34,DN34))</f>
        <v/>
      </c>
      <c r="DP34" s="139">
        <f>IF(ROW()-3&gt;COUNTIF(DN$4:DN$40,"&lt;&gt;"&amp;""),"",INDEX(DN$4:DN$40,MATCH(ROW()-3,DO$4:DO$40,0)))</f>
        <v/>
      </c>
      <c r="DQ34">
        <f>DQ33+IF(AND(DP34&lt;&gt;"",COUNTIF(DP$4:DP34,DP34)=1),1,0)</f>
        <v/>
      </c>
      <c r="DR34" s="139">
        <f>IF(ROW()-3&gt;MAX(DQ$4:DQ$40),"",INDEX(DP$4:DP$40,MATCH(ROW()-3,DQ$4:DQ$40,0)))</f>
        <v/>
      </c>
      <c r="DS34" s="55">
        <f>IF(AND($B$34:$S$34,$U$34:$AJ$34),IF('Final Calculation Sheet'!$R$34="","",'Final Calculation Sheet'!$R$34),"")</f>
        <v/>
      </c>
      <c r="DT34">
        <f>IF(DS34="","",COUNTIFS(DS$4:DS$40,"&lt;"&amp;DS34,DS$4:DS$40,"&lt;&gt;"&amp;"")+COUNTIF(DS$4:DS34,DS34))</f>
        <v/>
      </c>
      <c r="DU34" s="55">
        <f>IF(ROW()-3&gt;COUNTIF(DS$4:DS$40,"&lt;&gt;"&amp;""),"",INDEX(DS$4:DS$40,MATCH(ROW()-3,DT$4:DT$40,0)))</f>
        <v/>
      </c>
      <c r="DV34">
        <f>DV33+IF(AND(DU34&lt;&gt;"",COUNTIF(DU$4:DU34,DU34)=1),1,0)</f>
        <v/>
      </c>
      <c r="DW34" s="55">
        <f>IF(ROW()-3&gt;MAX(DV$4:DV$40),"",INDEX(DU$4:DU$40,MATCH(ROW()-3,DV$4:DV$40,0)))</f>
        <v/>
      </c>
      <c r="DX34" s="55">
        <f>IF(AND($B$34:$T$34,$V$34:$AJ$34),IF('Final Calculation Sheet'!$S$34="","",'Final Calculation Sheet'!$S$34),"")</f>
        <v/>
      </c>
      <c r="DY34">
        <f>IF(DX34="","",COUNTIFS(DX$4:DX$40,"&lt;"&amp;DX34,DX$4:DX$40,"&lt;&gt;"&amp;"")+COUNTIF(DX$4:DX34,DX34))</f>
        <v/>
      </c>
      <c r="DZ34" s="55">
        <f>IF(ROW()-3&gt;COUNTIF(DX$4:DX$40,"&lt;&gt;"&amp;""),"",INDEX(DX$4:DX$40,MATCH(ROW()-3,DY$4:DY$40,0)))</f>
        <v/>
      </c>
      <c r="EA34">
        <f>EA33+IF(AND(DZ34&lt;&gt;"",COUNTIF(DZ$4:DZ34,DZ34)=1),1,0)</f>
        <v/>
      </c>
      <c r="EB34" s="55">
        <f>IF(ROW()-3&gt;MAX(EA$4:EA$40),"",INDEX(DZ$4:DZ$40,MATCH(ROW()-3,EA$4:EA$40,0)))</f>
        <v/>
      </c>
      <c r="EC34" s="55">
        <f>IF(AND($B$34:$U$34,$W$34:$AJ$34),IF('Final Calculation Sheet'!$T$34="","",'Final Calculation Sheet'!$T$34),"")</f>
        <v/>
      </c>
      <c r="ED34">
        <f>IF(EC34="","",COUNTIFS(EC$4:EC$40,"&lt;"&amp;EC34,EC$4:EC$40,"&lt;&gt;"&amp;"")+COUNTIF(EC$4:EC34,EC34))</f>
        <v/>
      </c>
      <c r="EE34" s="55">
        <f>IF(ROW()-3&gt;COUNTIF(EC$4:EC$40,"&lt;&gt;"&amp;""),"",INDEX(EC$4:EC$40,MATCH(ROW()-3,ED$4:ED$40,0)))</f>
        <v/>
      </c>
      <c r="EF34">
        <f>EF33+IF(AND(EE34&lt;&gt;"",COUNTIF(EE$4:EE34,EE34)=1),1,0)</f>
        <v/>
      </c>
      <c r="EG34" s="55">
        <f>IF(ROW()-3&gt;MAX(EF$4:EF$40),"",INDEX(EE$4:EE$40,MATCH(ROW()-3,EF$4:EF$40,0)))</f>
        <v/>
      </c>
      <c r="EH34" s="140">
        <f>IF(AND($B$34:$V$34,$X$34:$AJ$34),IF('Final Calculation Sheet'!$U$34="","",'Final Calculation Sheet'!$U$34),"")</f>
        <v/>
      </c>
      <c r="EI34">
        <f>IF(EH34="","",COUNTIFS(EH$4:EH$40,"&lt;"&amp;EH34,EH$4:EH$40,"&lt;&gt;"&amp;"")+COUNTIF(EH$4:EH34,EH34))</f>
        <v/>
      </c>
      <c r="EJ34" s="140">
        <f>IF(ROW()-3&gt;COUNTIF(EH$4:EH$40,"&lt;&gt;"&amp;""),"",INDEX(EH$4:EH$40,MATCH(ROW()-3,EI$4:EI$40,0)))</f>
        <v/>
      </c>
      <c r="EK34">
        <f>EK33+IF(AND(EJ34&lt;&gt;"",COUNTIF(EJ$4:EJ34,EJ34)=1),1,0)</f>
        <v/>
      </c>
      <c r="EL34" s="140">
        <f>IF(ROW()-3&gt;MAX(EK$4:EK$40),"",INDEX(EJ$4:EJ$40,MATCH(ROW()-3,EK$4:EK$40,0)))</f>
        <v/>
      </c>
      <c r="EM34">
        <f>IF(AND($B$34:$W$34,$Y$34:$AJ$34),IF('Final Calculation Sheet'!$V$34="","",'Final Calculation Sheet'!$V$34),"")</f>
        <v/>
      </c>
      <c r="EN34">
        <f>IF(EM34="","",COUNTIFS(EM$4:EM$40,"&lt;"&amp;EM34,EM$4:EM$40,"&lt;&gt;"&amp;"")+COUNTIF(EM$4:EM34,EM34))</f>
        <v/>
      </c>
      <c r="EO34">
        <f>IF(ROW()-3&gt;COUNTIF(EM$4:EM$40,"&lt;&gt;"&amp;""),"",INDEX(EM$4:EM$40,MATCH(ROW()-3,EN$4:EN$40,0)))</f>
        <v/>
      </c>
      <c r="EP34">
        <f>EP33+IF(AND(EO34&lt;&gt;"",COUNTIF(EO$4:EO34,EO34)=1),1,0)</f>
        <v/>
      </c>
      <c r="EQ34">
        <f>IF(ROW()-3&gt;MAX(EP$4:EP$40),"",INDEX(EO$4:EO$40,MATCH(ROW()-3,EP$4:EP$40,0)))</f>
        <v/>
      </c>
      <c r="ER34" s="55">
        <f>IF(AND($B$34:$X$34,$Z$34:$AJ$34),IF('Final Calculation Sheet'!$W$34="","",'Final Calculation Sheet'!$W$34),"")</f>
        <v/>
      </c>
      <c r="ES34">
        <f>IF(ER34="","",COUNTIFS(ER$4:ER$40,"&lt;"&amp;ER34,ER$4:ER$40,"&lt;&gt;"&amp;"")+COUNTIF(ER$4:ER34,ER34))</f>
        <v/>
      </c>
      <c r="ET34" s="55">
        <f>IF(ROW()-3&gt;COUNTIF(ER$4:ER$40,"&lt;&gt;"&amp;""),"",INDEX(ER$4:ER$40,MATCH(ROW()-3,ES$4:ES$40,0)))</f>
        <v/>
      </c>
      <c r="EU34">
        <f>EU33+IF(AND(ET34&lt;&gt;"",COUNTIF(ET$4:ET34,ET34)=1),1,0)</f>
        <v/>
      </c>
      <c r="EV34" s="55">
        <f>IF(ROW()-3&gt;MAX(EU$4:EU$40),"",INDEX(ET$4:ET$40,MATCH(ROW()-3,EU$4:EU$40,0)))</f>
        <v/>
      </c>
      <c r="EW34" s="55">
        <f>IF(AND($B$34:$Y$34,$AA$34:$AJ$34),IF('Final Calculation Sheet'!$X$34="","",'Final Calculation Sheet'!$X$34),"")</f>
        <v/>
      </c>
      <c r="EX34">
        <f>IF(EW34="","",COUNTIFS(EW$4:EW$40,"&lt;"&amp;EW34,EW$4:EW$40,"&lt;&gt;"&amp;"")+COUNTIF(EW$4:EW34,EW34))</f>
        <v/>
      </c>
      <c r="EY34" s="55">
        <f>IF(ROW()-3&gt;COUNTIF(EW$4:EW$40,"&lt;&gt;"&amp;""),"",INDEX(EW$4:EW$40,MATCH(ROW()-3,EX$4:EX$40,0)))</f>
        <v/>
      </c>
      <c r="EZ34">
        <f>EZ33+IF(AND(EY34&lt;&gt;"",COUNTIF(EY$4:EY34,EY34)=1),1,0)</f>
        <v/>
      </c>
      <c r="FA34">
        <f>IF(ROW()-3&gt;MAX(EZ$4:EZ$40),"",INDEX(EY$4:EY$40,MATCH(ROW()-3,EZ$4:EZ$40,0)))</f>
        <v/>
      </c>
      <c r="FB34">
        <f>IF(AND($B$34:$Z$34,$AB$34:$AJ$34),IF('Final Calculation Sheet'!$Y$34="","",'Final Calculation Sheet'!$Y$34),"")</f>
        <v/>
      </c>
      <c r="FC34">
        <f>IF(FB34="","",COUNTIFS(FB$4:FB$40,"&lt;"&amp;FB34,FB$4:FB$40,"&lt;&gt;"&amp;"")+COUNTIF(FB$4:FB34,FB34))</f>
        <v/>
      </c>
      <c r="FD34">
        <f>IF(ROW()-3&gt;COUNTIF(FB$4:FB$40,"&lt;&gt;"&amp;""),"",INDEX(FB$4:FB$40,MATCH(ROW()-3,FC$4:FC$40,0)))</f>
        <v/>
      </c>
      <c r="FE34">
        <f>FE33+IF(AND(FD34&lt;&gt;"",COUNTIF(FD$4:FD34,FD34)=1),1,0)</f>
        <v/>
      </c>
      <c r="FF34">
        <f>IF(ROW()-3&gt;MAX(FE$4:FE$40),"",INDEX(FD$4:FD$40,MATCH(ROW()-3,FE$4:FE$40,0)))</f>
        <v/>
      </c>
      <c r="FG34" s="55">
        <f>IF(AND($B$34:$AA$34,$AC$34:$AJ$34),IF('Final Calculation Sheet'!$Z$34="","",'Final Calculation Sheet'!$Z$34),"")</f>
        <v/>
      </c>
      <c r="FH34">
        <f>IF(FG34="","",COUNTIFS(FG$4:FG$40,"&lt;"&amp;FG34,FG$4:FG$40,"&lt;&gt;"&amp;"")+COUNTIF(FG$4:FG34,FG34))</f>
        <v/>
      </c>
      <c r="FI34" s="55">
        <f>IF(ROW()-3&gt;COUNTIF(FG$4:FG$40,"&lt;&gt;"&amp;""),"",INDEX(FG$4:FG$40,MATCH(ROW()-3,FH$4:FH$40,0)))</f>
        <v/>
      </c>
      <c r="FJ34">
        <f>FJ33+IF(AND(FI34&lt;&gt;"",COUNTIF(FI$4:FI34,FI34)=1),1,0)</f>
        <v/>
      </c>
      <c r="FK34" s="55">
        <f>IF(ROW()-3&gt;MAX(FJ$4:FJ$40),"",INDEX(FI$4:FI$40,MATCH(ROW()-3,FJ$4:FJ$40,0)))</f>
        <v/>
      </c>
      <c r="FL34">
        <f>IF(AND($B$34:$AB$34,$AD$34:$AJ$34),IF('Final Calculation Sheet'!$AA$34="","",'Final Calculation Sheet'!$AA$34),"")</f>
        <v/>
      </c>
      <c r="FM34">
        <f>IF(FL34="","",COUNTIFS(FL$4:FL$40,"&lt;"&amp;FL34,FL$4:FL$40,"&lt;&gt;"&amp;"")+COUNTIF(FL$4:FL34,FL34))</f>
        <v/>
      </c>
      <c r="FN34">
        <f>IF(ROW()-3&gt;COUNTIF(FL$4:FL$40,"&lt;&gt;"&amp;""),"",INDEX(FL$4:FL$40,MATCH(ROW()-3,FM$4:FM$40,0)))</f>
        <v/>
      </c>
      <c r="FO34">
        <f>FO33+IF(AND(FN34&lt;&gt;"",COUNTIF(FN$4:FN34,FN34)=1),1,0)</f>
        <v/>
      </c>
      <c r="FP34">
        <f>IF(ROW()-3&gt;MAX(FO$4:FO$40),"",INDEX(FN$4:FN$40,MATCH(ROW()-3,FO$4:FO$40,0)))</f>
        <v/>
      </c>
      <c r="FQ34">
        <f>IF(AND($B$34:$AC$34,$AE$34:$AJ$34),IF('Final Calculation Sheet'!$AB$34="","",'Final Calculation Sheet'!$AB$34),"")</f>
        <v/>
      </c>
      <c r="FR34">
        <f>IF(FQ34="","",COUNTIFS(FQ$4:FQ$40,"&lt;"&amp;FQ34,FQ$4:FQ$40,"&lt;&gt;"&amp;"")+COUNTIF(FQ$4:FQ34,FQ34))</f>
        <v/>
      </c>
      <c r="FS34">
        <f>IF(ROW()-3&gt;COUNTIF(FQ$4:FQ$40,"&lt;&gt;"&amp;""),"",INDEX(FQ$4:FQ$40,MATCH(ROW()-3,FR$4:FR$40,0)))</f>
        <v/>
      </c>
      <c r="FT34">
        <f>FT33+IF(AND(FS34&lt;&gt;"",COUNTIF(FS$4:FS34,FS34)=1),1,0)</f>
        <v/>
      </c>
      <c r="FU34">
        <f>IF(ROW()-3&gt;MAX(FT$4:FT$40),"",INDEX(FS$4:FS$40,MATCH(ROW()-3,FT$4:FT$40,0)))</f>
        <v/>
      </c>
      <c r="FV34" s="55">
        <f>IF(AND($B$34:$AD$34,$AF$34:$AJ$34),IF('Final Calculation Sheet'!$AC$34="","",'Final Calculation Sheet'!$AC$34),"")</f>
        <v/>
      </c>
      <c r="FW34">
        <f>IF(FV34="","",COUNTIFS(FV$4:FV$40,"&lt;"&amp;FV34,FV$4:FV$40,"&lt;&gt;"&amp;"")+COUNTIF(FV$4:FV34,FV34))</f>
        <v/>
      </c>
      <c r="FX34" s="55">
        <f>IF(ROW()-3&gt;COUNTIF(FV$4:FV$40,"&lt;&gt;"&amp;""),"",INDEX(FV$4:FV$40,MATCH(ROW()-3,FW$4:FW$40,0)))</f>
        <v/>
      </c>
      <c r="FY34">
        <f>FY33+IF(AND(FX34&lt;&gt;"",COUNTIF(FX$4:FX34,FX34)=1),1,0)</f>
        <v/>
      </c>
      <c r="FZ34" s="55">
        <f>IF(ROW()-3&gt;MAX(FY$4:FY$40),"",INDEX(FX$4:FX$40,MATCH(ROW()-3,FY$4:FY$40,0)))</f>
        <v/>
      </c>
      <c r="GA34" s="55">
        <f>IF(AND($B$34:$AE$34,$AG$34:$AJ$34),IF('Final Calculation Sheet'!$AD$34="","",'Final Calculation Sheet'!$AD$34),"")</f>
        <v/>
      </c>
      <c r="GB34">
        <f>IF(GA34="","",COUNTIFS(GA$4:GA$40,"&lt;"&amp;GA34,GA$4:GA$40,"&lt;&gt;"&amp;"")+COUNTIF(GA$4:GA34,GA34))</f>
        <v/>
      </c>
      <c r="GC34" s="55">
        <f>IF(ROW()-3&gt;COUNTIF(GA$4:GA$40,"&lt;&gt;"&amp;""),"",INDEX(GA$4:GA$40,MATCH(ROW()-3,GB$4:GB$40,0)))</f>
        <v/>
      </c>
      <c r="GD34">
        <f>GD33+IF(AND(GC34&lt;&gt;"",COUNTIF(GC$4:GC34,GC34)=1),1,0)</f>
        <v/>
      </c>
      <c r="GE34" s="55">
        <f>IF(ROW()-3&gt;MAX(GD$4:GD$40),"",INDEX(GC$4:GC$40,MATCH(ROW()-3,GD$4:GD$40,0)))</f>
        <v/>
      </c>
      <c r="GF34">
        <f>IF(AND($B$34:$AF$34,$AH$34:$AJ$34),IF('Final Calculation Sheet'!$AE$34="","",'Final Calculation Sheet'!$AE$34),"")</f>
        <v/>
      </c>
      <c r="GG34">
        <f>IF(GF34="","",COUNTIFS(GF$4:GF$40,"&lt;"&amp;GF34,GF$4:GF$40,"&lt;&gt;"&amp;"")+COUNTIF(GF$4:GF34,GF34))</f>
        <v/>
      </c>
      <c r="GH34">
        <f>IF(ROW()-3&gt;COUNTIF(GF$4:GF$40,"&lt;&gt;"&amp;""),"",INDEX(GF$4:GF$40,MATCH(ROW()-3,GG$4:GG$40,0)))</f>
        <v/>
      </c>
      <c r="GI34">
        <f>GI33+IF(AND(GH34&lt;&gt;"",COUNTIF(GH$4:GH34,GH34)=1),1,0)</f>
        <v/>
      </c>
      <c r="GJ34">
        <f>IF(ROW()-3&gt;MAX(GI$4:GI$40),"",INDEX(GH$4:GH$40,MATCH(ROW()-3,GI$4:GI$40,0)))</f>
        <v/>
      </c>
      <c r="GK34" s="141">
        <f>IF(AND($B$34:$AG$34,$AI$34:$AJ$34),IF('Final Calculation Sheet'!$AF$34="","",'Final Calculation Sheet'!$AF$34),"")</f>
        <v/>
      </c>
      <c r="GL34">
        <f>IF(GK34="","",COUNTIFS(GK$4:GK$40,"&lt;"&amp;GK34,GK$4:GK$40,"&lt;&gt;"&amp;"")+COUNTIF(GK$4:GK34,GK34))</f>
        <v/>
      </c>
      <c r="GM34" s="141">
        <f>IF(ROW()-3&gt;COUNTIF(GK$4:GK$40,"&lt;&gt;"&amp;""),"",INDEX(GK$4:GK$40,MATCH(ROW()-3,GL$4:GL$40,0)))</f>
        <v/>
      </c>
      <c r="GN34">
        <f>GN33+IF(AND(GM34&lt;&gt;"",COUNTIF(GM$4:GM34,GM34)=1),1,0)</f>
        <v/>
      </c>
      <c r="GO34">
        <f>IF(ROW()-3&gt;MAX(GN$4:GN$40),"",INDEX(GM$4:GM$40,MATCH(ROW()-3,GN$4:GN$40,0)))</f>
        <v/>
      </c>
      <c r="GP34">
        <f>IF(AND($B$34:$AH$34,$AJ$34:$AJ$34),IF('Final Calculation Sheet'!$AG$34="","",'Final Calculation Sheet'!$AG$34),"")</f>
        <v/>
      </c>
      <c r="GQ34">
        <f>IF(GP34="","",COUNTIFS(GP$4:GP$40,"&lt;"&amp;GP34,GP$4:GP$40,"&lt;&gt;"&amp;"")+COUNTIF(GP$4:GP34,GP34))</f>
        <v/>
      </c>
      <c r="GR34">
        <f>IF(ROW()-3&gt;COUNTIF(GP$4:GP$40,"&lt;&gt;"&amp;""),"",INDEX(GP$4:GP$40,MATCH(ROW()-3,GQ$4:GQ$40,0)))</f>
        <v/>
      </c>
      <c r="GS34">
        <f>GS33+IF(AND(GR34&lt;&gt;"",COUNTIF(GR$4:GR34,GR34)=1),1,0)</f>
        <v/>
      </c>
      <c r="GT34">
        <f>IF(ROW()-3&gt;MAX(GS$4:GS$40),"",INDEX(GR$4:GR$40,MATCH(ROW()-3,GS$4:GS$40,0)))</f>
        <v/>
      </c>
    </row>
    <row r="35">
      <c r="A35" t="inlineStr">
        <is>
          <t>Final row 35</t>
        </is>
      </c>
      <c r="B35" t="b">
        <v>1</v>
      </c>
      <c r="C35">
        <f>IF($C$3=FALSE,TRUE,IF(OR(UPPER(TRIM($C$2))="(BLANK)",UPPER(TRIM($C$2))="BLANK",AND($C$2&lt;&gt;"",TRIM($C$2)="")),(IF('Final Calculation Sheet'!$F$35="","",'Final Calculation Sheet'!$F$35))="",IF(OR(UPPER(TRIM($C$2))="(NONBLANK)",UPPER(TRIM($C$2))="NONBLANK",TRIM($C$2)="&lt;&gt;"),(IF('Final Calculation Sheet'!$F$35="","",'Final Calculation Sheet'!$F$35))&lt;&gt;"",UPPER(TRIM((IF('Final Calculation Sheet'!$F$35="","",'Final Calculation Sheet'!$F$35))&amp;""))=UPPER(TRIM($C$2&amp;"")))))</f>
        <v/>
      </c>
      <c r="D35">
        <f>IF($D$3=FALSE,TRUE,IF(OR(UPPER(TRIM($D$2))="(BLANK)",UPPER(TRIM($D$2))="BLANK",AND($D$2&lt;&gt;"",TRIM($D$2)="")),(IF('Final Calculation Sheet'!$G$35="","",'Final Calculation Sheet'!$G$35))="",IF(OR(UPPER(TRIM($D$2))="(NONBLANK)",UPPER(TRIM($D$2))="NONBLANK",TRIM($D$2)="&lt;&gt;"),(IF('Final Calculation Sheet'!$G$35="","",'Final Calculation Sheet'!$G$35))&lt;&gt;"",UPPER(TRIM((IF('Final Calculation Sheet'!$G$35="","",'Final Calculation Sheet'!$G$35))&amp;""))=UPPER(TRIM($D$2&amp;"")))))</f>
        <v/>
      </c>
      <c r="E35">
        <f>IF($E$3=FALSE,TRUE,IF(OR(UPPER(TRIM($E$2))="(BLANK)",UPPER(TRIM($E$2))="BLANK",AND($E$2&lt;&gt;"",TRIM($E$2)="")),(IF('Final Calculation Sheet'!$B$35="","",'Final Calculation Sheet'!$B$35))="",IF(OR(UPPER(TRIM($E$2))="(NONBLANK)",UPPER(TRIM($E$2))="NONBLANK",TRIM($E$2)="&lt;&gt;"),(IF('Final Calculation Sheet'!$B$35="","",'Final Calculation Sheet'!$B$35))&lt;&gt;"",UPPER(TRIM((IF('Final Calculation Sheet'!$B$35="","",'Final Calculation Sheet'!$B$35))&amp;""))=UPPER(TRIM($E$2&amp;"")))))</f>
        <v/>
      </c>
      <c r="F35">
        <f>IF($F$3=FALSE,TRUE,IF(OR(UPPER(TRIM($F$2))="(BLANK)",UPPER(TRIM($F$2))="BLANK",AND($F$2&lt;&gt;"",TRIM($F$2)="")),(IF('Final Calculation Sheet'!$D$35="","",'Final Calculation Sheet'!$D$35))="",IF(OR(UPPER(TRIM($F$2))="(NONBLANK)",UPPER(TRIM($F$2))="NONBLANK",TRIM($F$2)="&lt;&gt;"),(IF('Final Calculation Sheet'!$D$35="","",'Final Calculation Sheet'!$D$35))&lt;&gt;"",UPPER(TRIM((IF('Final Calculation Sheet'!$D$35="","",'Final Calculation Sheet'!$D$35))&amp;""))=UPPER(TRIM($F$2&amp;"")))))</f>
        <v/>
      </c>
      <c r="G35">
        <f>IF($G$3=FALSE,TRUE,IF(OR(UPPER(TRIM($G$2))="(BLANK)",UPPER(TRIM($G$2))="BLANK",AND($G$2&lt;&gt;"",TRIM($G$2)="")),(IF('Final Calculation Sheet'!$A$35="","",'Final Calculation Sheet'!$A$35))="",IF(OR(UPPER(TRIM($G$2))="(NONBLANK)",UPPER(TRIM($G$2))="NONBLANK",TRIM($G$2)="&lt;&gt;"),(IF('Final Calculation Sheet'!$A$35="","",'Final Calculation Sheet'!$A$35))&lt;&gt;"",UPPER(TRIM((IF('Final Calculation Sheet'!$A$35="","",'Final Calculation Sheet'!$A$35))&amp;""))=UPPER(TRIM($G$2&amp;"")))))</f>
        <v/>
      </c>
      <c r="H35">
        <f>IF($H$3=FALSE,TRUE,IF(OR(UPPER(TRIM($H$2))="(BLANK)",UPPER(TRIM($H$2))="BLANK",AND($H$2&lt;&gt;"",TRIM($H$2)="")),(IF('Final Calculation Sheet'!$E$35="","",'Final Calculation Sheet'!$E$35))="",IF(OR(UPPER(TRIM($H$2))="(NONBLANK)",UPPER(TRIM($H$2))="NONBLANK",TRIM($H$2)="&lt;&gt;"),(IF('Final Calculation Sheet'!$E$35="","",'Final Calculation Sheet'!$E$35))&lt;&gt;"",UPPER(TRIM((IF('Final Calculation Sheet'!$E$35="","",'Final Calculation Sheet'!$E$35))&amp;""))=UPPER(TRIM($H$2&amp;"")))))</f>
        <v/>
      </c>
      <c r="I35">
        <f>IF($I$3=FALSE,TRUE,IF(OR(UPPER(TRIM($I$2))="(BLANK)",UPPER(TRIM($I$2))="BLANK",AND($I$2&lt;&gt;"",TRIM($I$2)="")),(IF('Final Calculation Sheet'!$C$35="","",'Final Calculation Sheet'!$C$35))="",IF(OR(UPPER(TRIM($I$2))="(NONBLANK)",UPPER(TRIM($I$2))="NONBLANK",TRIM($I$2)="&lt;&gt;"),(IF('Final Calculation Sheet'!$C$35="","",'Final Calculation Sheet'!$C$35))&lt;&gt;"",UPPER(TRIM((IF('Final Calculation Sheet'!$C$35="","",'Final Calculation Sheet'!$C$35))&amp;""))=UPPER(TRIM($I$2&amp;"")))))</f>
        <v/>
      </c>
      <c r="J35">
        <f>IF($J$3=FALSE,TRUE,IF(OR(UPPER(TRIM($J$2))="(BLANK)",UPPER(TRIM($J$2))="BLANK",AND($J$2&lt;&gt;"",TRIM($J$2)="")),(IF('Final Calculation Sheet'!$H$35="","",'Final Calculation Sheet'!$H$35))="",IF(OR(UPPER(TRIM($J$2))="(NONBLANK)",UPPER(TRIM($J$2))="NONBLANK",TRIM($J$2)="&lt;&gt;"),(IF('Final Calculation Sheet'!$H$35="","",'Final Calculation Sheet'!$H$35))&lt;&gt;"",UPPER(TRIM((IF('Final Calculation Sheet'!$H$35="","",'Final Calculation Sheet'!$H$35))&amp;""))=UPPER(TRIM($J$2&amp;"")))))</f>
        <v/>
      </c>
      <c r="K35">
        <f>IF($K$3=FALSE,TRUE,IF(OR(UPPER(TRIM($K$2))="(BLANK)",UPPER(TRIM($K$2))="BLANK",AND($K$2&lt;&gt;"",TRIM($K$2)="")),(IF('Final Calculation Sheet'!$I$35="","",'Final Calculation Sheet'!$I$35))="",IF(OR(UPPER(TRIM($K$2))="(NONBLANK)",UPPER(TRIM($K$2))="NONBLANK",TRIM($K$2)="&lt;&gt;"),(IF('Final Calculation Sheet'!$I$35="","",'Final Calculation Sheet'!$I$35))&lt;&gt;"",UPPER(TRIM((IF('Final Calculation Sheet'!$I$35="","",'Final Calculation Sheet'!$I$35))&amp;""))=UPPER(TRIM($K$2&amp;"")))))</f>
        <v/>
      </c>
      <c r="L35">
        <f>IF($L$3=FALSE,TRUE,IF(OR(UPPER(TRIM($L$2))="(BLANK)",UPPER(TRIM($L$2))="BLANK",AND($L$2&lt;&gt;"",TRIM($L$2)="")),(IF('Final Calculation Sheet'!$J$35="","",'Final Calculation Sheet'!$J$35))="",IF(OR(UPPER(TRIM($L$2))="(NONBLANK)",UPPER(TRIM($L$2))="NONBLANK",TRIM($L$2)="&lt;&gt;"),(IF('Final Calculation Sheet'!$J$35="","",'Final Calculation Sheet'!$J$35))&lt;&gt;"",UPPER(TRIM((IF('Final Calculation Sheet'!$J$35="","",'Final Calculation Sheet'!$J$35))&amp;""))=UPPER(TRIM($L$2&amp;"")))))</f>
        <v/>
      </c>
      <c r="M35">
        <f>IF($M$3=FALSE,TRUE,IF(OR(UPPER(TRIM($M$2))="(BLANK)",UPPER(TRIM($M$2))="BLANK",AND($M$2&lt;&gt;"",TRIM($M$2)="")),(IF('Final Calculation Sheet'!$K$35="","",'Final Calculation Sheet'!$K$35))="",IF(OR(UPPER(TRIM($M$2))="(NONBLANK)",UPPER(TRIM($M$2))="NONBLANK",TRIM($M$2)="&lt;&gt;"),(IF('Final Calculation Sheet'!$K$35="","",'Final Calculation Sheet'!$K$35))&lt;&gt;"",UPPER(TRIM((IF('Final Calculation Sheet'!$K$35="","",'Final Calculation Sheet'!$K$35))&amp;""))=UPPER(TRIM($M$2&amp;"")))))</f>
        <v/>
      </c>
      <c r="N35">
        <f>IF($N$3=FALSE,TRUE,IF(OR(UPPER(TRIM($N$2))="(BLANK)",UPPER(TRIM($N$2))="BLANK",AND($N$2&lt;&gt;"",TRIM($N$2)="")),(IF('Final Calculation Sheet'!$L$35="","",'Final Calculation Sheet'!$L$35))="",IF(OR(UPPER(TRIM($N$2))="(NONBLANK)",UPPER(TRIM($N$2))="NONBLANK",TRIM($N$2)="&lt;&gt;"),(IF('Final Calculation Sheet'!$L$35="","",'Final Calculation Sheet'!$L$35))&lt;&gt;"",UPPER(TRIM((IF('Final Calculation Sheet'!$L$35="","",'Final Calculation Sheet'!$L$35))&amp;""))=UPPER(TRIM($N$2&amp;"")))))</f>
        <v/>
      </c>
      <c r="O35">
        <f>IF($O$3=FALSE,TRUE,IF(OR(UPPER(TRIM($O$2))="(BLANK)",UPPER(TRIM($O$2))="BLANK",AND($O$2&lt;&gt;"",TRIM($O$2)="")),(IF('Final Calculation Sheet'!$M$35="","",'Final Calculation Sheet'!$M$35))="",IF(OR(UPPER(TRIM($O$2))="(NONBLANK)",UPPER(TRIM($O$2))="NONBLANK",TRIM($O$2)="&lt;&gt;"),(IF('Final Calculation Sheet'!$M$35="","",'Final Calculation Sheet'!$M$35))&lt;&gt;"",UPPER(TRIM((IF('Final Calculation Sheet'!$M$35="","",'Final Calculation Sheet'!$M$35))&amp;""))=UPPER(TRIM($O$2&amp;"")))))</f>
        <v/>
      </c>
      <c r="P35">
        <f>IF($P$3=FALSE,TRUE,IF(OR(UPPER(TRIM($P$2))="(BLANK)",UPPER(TRIM($P$2))="BLANK",AND($P$2&lt;&gt;"",TRIM($P$2)="")),(IF('Final Calculation Sheet'!$N$35="","",'Final Calculation Sheet'!$N$35))="",IF(OR(UPPER(TRIM($P$2))="(NONBLANK)",UPPER(TRIM($P$2))="NONBLANK",TRIM($P$2)="&lt;&gt;"),(IF('Final Calculation Sheet'!$N$35="","",'Final Calculation Sheet'!$N$35))&lt;&gt;"",UPPER(TRIM((IF('Final Calculation Sheet'!$N$35="","",'Final Calculation Sheet'!$N$35))&amp;""))=UPPER(TRIM($P$2&amp;"")))))</f>
        <v/>
      </c>
      <c r="Q35">
        <f>IF($Q$3=FALSE,TRUE,IF(OR(UPPER(TRIM($Q$2))="(BLANK)",UPPER(TRIM($Q$2))="BLANK",AND($Q$2&lt;&gt;"",TRIM($Q$2)="")),(IF('Final Calculation Sheet'!$O$35="","",'Final Calculation Sheet'!$O$35))="",IF(OR(UPPER(TRIM($Q$2))="(NONBLANK)",UPPER(TRIM($Q$2))="NONBLANK",TRIM($Q$2)="&lt;&gt;"),(IF('Final Calculation Sheet'!$O$35="","",'Final Calculation Sheet'!$O$35))&lt;&gt;"",UPPER(TRIM((IF('Final Calculation Sheet'!$O$35="","",'Final Calculation Sheet'!$O$35))&amp;""))=UPPER(TRIM($Q$2&amp;"")))))</f>
        <v/>
      </c>
      <c r="R35">
        <f>IF($R$3=FALSE,TRUE,IF(OR(UPPER(TRIM($R$2))="(BLANK)",UPPER(TRIM($R$2))="BLANK",AND($R$2&lt;&gt;"",TRIM($R$2)="")),(IF('Final Calculation Sheet'!$P$35="","",'Final Calculation Sheet'!$P$35))="",IF(OR(UPPER(TRIM($R$2))="(NONBLANK)",UPPER(TRIM($R$2))="NONBLANK",TRIM($R$2)="&lt;&gt;"),(IF('Final Calculation Sheet'!$P$35="","",'Final Calculation Sheet'!$P$35))&lt;&gt;"",UPPER(TRIM((IF('Final Calculation Sheet'!$P$35="","",'Final Calculation Sheet'!$P$35))&amp;""))=UPPER(TRIM($R$2&amp;"")))))</f>
        <v/>
      </c>
      <c r="S35">
        <f>IF($S$3=FALSE,TRUE,IF(OR(UPPER(TRIM($S$2))="(BLANK)",UPPER(TRIM($S$2))="BLANK",AND($S$2&lt;&gt;"",TRIM($S$2)="")),(IF('Final Calculation Sheet'!$Q$35="","",'Final Calculation Sheet'!$Q$35))="",IF(OR(UPPER(TRIM($S$2))="(NONBLANK)",UPPER(TRIM($S$2))="NONBLANK",TRIM($S$2)="&lt;&gt;"),(IF('Final Calculation Sheet'!$Q$35="","",'Final Calculation Sheet'!$Q$35))&lt;&gt;"",UPPER(TRIM((IF('Final Calculation Sheet'!$Q$35="","",'Final Calculation Sheet'!$Q$35))&amp;""))=UPPER(TRIM($S$2&amp;"")))))</f>
        <v/>
      </c>
      <c r="T35">
        <f>IF($T$3=FALSE,TRUE,IF(OR(UPPER(TRIM($T$2))="(BLANK)",UPPER(TRIM($T$2))="BLANK",AND($T$2&lt;&gt;"",TRIM($T$2)="")),(IF('Final Calculation Sheet'!$R$35="","",'Final Calculation Sheet'!$R$35))="",IF(OR(UPPER(TRIM($T$2))="(NONBLANK)",UPPER(TRIM($T$2))="NONBLANK",TRIM($T$2)="&lt;&gt;"),(IF('Final Calculation Sheet'!$R$35="","",'Final Calculation Sheet'!$R$35))&lt;&gt;"",UPPER(TRIM((IF('Final Calculation Sheet'!$R$35="","",'Final Calculation Sheet'!$R$35))&amp;""))=UPPER(TRIM($T$2&amp;"")))))</f>
        <v/>
      </c>
      <c r="U35">
        <f>IF($U$3=FALSE,TRUE,IF(OR(UPPER(TRIM($U$2))="(BLANK)",UPPER(TRIM($U$2))="BLANK",AND($U$2&lt;&gt;"",TRIM($U$2)="")),(IF('Final Calculation Sheet'!$S$35="","",'Final Calculation Sheet'!$S$35))="",IF(OR(UPPER(TRIM($U$2))="(NONBLANK)",UPPER(TRIM($U$2))="NONBLANK",TRIM($U$2)="&lt;&gt;"),(IF('Final Calculation Sheet'!$S$35="","",'Final Calculation Sheet'!$S$35))&lt;&gt;"",UPPER(TRIM((IF('Final Calculation Sheet'!$S$35="","",'Final Calculation Sheet'!$S$35))&amp;""))=UPPER(TRIM($U$2&amp;"")))))</f>
        <v/>
      </c>
      <c r="V35">
        <f>IF($V$3=FALSE,TRUE,IF(OR(UPPER(TRIM($V$2))="(BLANK)",UPPER(TRIM($V$2))="BLANK",AND($V$2&lt;&gt;"",TRIM($V$2)="")),(IF('Final Calculation Sheet'!$T$35="","",'Final Calculation Sheet'!$T$35))="",IF(OR(UPPER(TRIM($V$2))="(NONBLANK)",UPPER(TRIM($V$2))="NONBLANK",TRIM($V$2)="&lt;&gt;"),(IF('Final Calculation Sheet'!$T$35="","",'Final Calculation Sheet'!$T$35))&lt;&gt;"",UPPER(TRIM((IF('Final Calculation Sheet'!$T$35="","",'Final Calculation Sheet'!$T$35))&amp;""))=UPPER(TRIM($V$2&amp;"")))))</f>
        <v/>
      </c>
      <c r="W35">
        <f>IF($W$3=FALSE,TRUE,IF(OR(UPPER(TRIM($W$2))="(BLANK)",UPPER(TRIM($W$2))="BLANK",AND($W$2&lt;&gt;"",TRIM($W$2)="")),(IF('Final Calculation Sheet'!$U$35="","",'Final Calculation Sheet'!$U$35))="",IF(OR(UPPER(TRIM($W$2))="(NONBLANK)",UPPER(TRIM($W$2))="NONBLANK",TRIM($W$2)="&lt;&gt;"),(IF('Final Calculation Sheet'!$U$35="","",'Final Calculation Sheet'!$U$35))&lt;&gt;"",UPPER(TRIM((IF('Final Calculation Sheet'!$U$35="","",'Final Calculation Sheet'!$U$35))&amp;""))=UPPER(TRIM($W$2&amp;"")))))</f>
        <v/>
      </c>
      <c r="X35">
        <f>IF($X$3=FALSE,TRUE,IF(OR(UPPER(TRIM($X$2))="(BLANK)",UPPER(TRIM($X$2))="BLANK",AND($X$2&lt;&gt;"",TRIM($X$2)="")),(IF('Final Calculation Sheet'!$V$35="","",'Final Calculation Sheet'!$V$35))="",IF(OR(UPPER(TRIM($X$2))="(NONBLANK)",UPPER(TRIM($X$2))="NONBLANK",TRIM($X$2)="&lt;&gt;"),(IF('Final Calculation Sheet'!$V$35="","",'Final Calculation Sheet'!$V$35))&lt;&gt;"",UPPER(TRIM((IF('Final Calculation Sheet'!$V$35="","",'Final Calculation Sheet'!$V$35))&amp;""))=UPPER(TRIM($X$2&amp;"")))))</f>
        <v/>
      </c>
      <c r="Y35">
        <f>IF($Y$3=FALSE,TRUE,IF(OR(UPPER(TRIM($Y$2))="(BLANK)",UPPER(TRIM($Y$2))="BLANK",AND($Y$2&lt;&gt;"",TRIM($Y$2)="")),(IF('Final Calculation Sheet'!$W$35="","",'Final Calculation Sheet'!$W$35))="",IF(OR(UPPER(TRIM($Y$2))="(NONBLANK)",UPPER(TRIM($Y$2))="NONBLANK",TRIM($Y$2)="&lt;&gt;"),(IF('Final Calculation Sheet'!$W$35="","",'Final Calculation Sheet'!$W$35))&lt;&gt;"",UPPER(TRIM((IF('Final Calculation Sheet'!$W$35="","",'Final Calculation Sheet'!$W$35))&amp;""))=UPPER(TRIM($Y$2&amp;"")))))</f>
        <v/>
      </c>
      <c r="Z35">
        <f>IF($Z$3=FALSE,TRUE,IF(OR(UPPER(TRIM($Z$2))="(BLANK)",UPPER(TRIM($Z$2))="BLANK",AND($Z$2&lt;&gt;"",TRIM($Z$2)="")),(IF('Final Calculation Sheet'!$X$35="","",'Final Calculation Sheet'!$X$35))="",IF(OR(UPPER(TRIM($Z$2))="(NONBLANK)",UPPER(TRIM($Z$2))="NONBLANK",TRIM($Z$2)="&lt;&gt;"),(IF('Final Calculation Sheet'!$X$35="","",'Final Calculation Sheet'!$X$35))&lt;&gt;"",UPPER(TRIM((IF('Final Calculation Sheet'!$X$35="","",'Final Calculation Sheet'!$X$35))&amp;""))=UPPER(TRIM($Z$2&amp;"")))))</f>
        <v/>
      </c>
      <c r="AA35">
        <f>IF($AA$3=FALSE,TRUE,IF(OR(UPPER(TRIM($AA$2))="(BLANK)",UPPER(TRIM($AA$2))="BLANK",AND($AA$2&lt;&gt;"",TRIM($AA$2)="")),(IF('Final Calculation Sheet'!$Y$35="","",'Final Calculation Sheet'!$Y$35))="",IF(OR(UPPER(TRIM($AA$2))="(NONBLANK)",UPPER(TRIM($AA$2))="NONBLANK",TRIM($AA$2)="&lt;&gt;"),(IF('Final Calculation Sheet'!$Y$35="","",'Final Calculation Sheet'!$Y$35))&lt;&gt;"",UPPER(TRIM((IF('Final Calculation Sheet'!$Y$35="","",'Final Calculation Sheet'!$Y$35))&amp;""))=UPPER(TRIM($AA$2&amp;"")))))</f>
        <v/>
      </c>
      <c r="AB35">
        <f>IF($AB$3=FALSE,TRUE,IF(OR(UPPER(TRIM($AB$2))="(BLANK)",UPPER(TRIM($AB$2))="BLANK",AND($AB$2&lt;&gt;"",TRIM($AB$2)="")),(IF('Final Calculation Sheet'!$Z$35="","",'Final Calculation Sheet'!$Z$35))="",IF(OR(UPPER(TRIM($AB$2))="(NONBLANK)",UPPER(TRIM($AB$2))="NONBLANK",TRIM($AB$2)="&lt;&gt;"),(IF('Final Calculation Sheet'!$Z$35="","",'Final Calculation Sheet'!$Z$35))&lt;&gt;"",UPPER(TRIM((IF('Final Calculation Sheet'!$Z$35="","",'Final Calculation Sheet'!$Z$35))&amp;""))=UPPER(TRIM($AB$2&amp;"")))))</f>
        <v/>
      </c>
      <c r="AC35">
        <f>IF($AC$3=FALSE,TRUE,IF(OR(UPPER(TRIM($AC$2))="(BLANK)",UPPER(TRIM($AC$2))="BLANK",AND($AC$2&lt;&gt;"",TRIM($AC$2)="")),(IF('Final Calculation Sheet'!$AA$35="","",'Final Calculation Sheet'!$AA$35))="",IF(OR(UPPER(TRIM($AC$2))="(NONBLANK)",UPPER(TRIM($AC$2))="NONBLANK",TRIM($AC$2)="&lt;&gt;"),(IF('Final Calculation Sheet'!$AA$35="","",'Final Calculation Sheet'!$AA$35))&lt;&gt;"",UPPER(TRIM((IF('Final Calculation Sheet'!$AA$35="","",'Final Calculation Sheet'!$AA$35))&amp;""))=UPPER(TRIM($AC$2&amp;"")))))</f>
        <v/>
      </c>
      <c r="AD35">
        <f>IF($AD$3=FALSE,TRUE,IF(OR(UPPER(TRIM($AD$2))="(BLANK)",UPPER(TRIM($AD$2))="BLANK",AND($AD$2&lt;&gt;"",TRIM($AD$2)="")),(IF('Final Calculation Sheet'!$AB$35="","",'Final Calculation Sheet'!$AB$35))="",IF(OR(UPPER(TRIM($AD$2))="(NONBLANK)",UPPER(TRIM($AD$2))="NONBLANK",TRIM($AD$2)="&lt;&gt;"),(IF('Final Calculation Sheet'!$AB$35="","",'Final Calculation Sheet'!$AB$35))&lt;&gt;"",UPPER(TRIM((IF('Final Calculation Sheet'!$AB$35="","",'Final Calculation Sheet'!$AB$35))&amp;""))=UPPER(TRIM($AD$2&amp;"")))))</f>
        <v/>
      </c>
      <c r="AE35">
        <f>IF($AE$3=FALSE,TRUE,IF(OR(UPPER(TRIM($AE$2))="(BLANK)",UPPER(TRIM($AE$2))="BLANK",AND($AE$2&lt;&gt;"",TRIM($AE$2)="")),(IF('Final Calculation Sheet'!$AC$35="","",'Final Calculation Sheet'!$AC$35))="",IF(OR(UPPER(TRIM($AE$2))="(NONBLANK)",UPPER(TRIM($AE$2))="NONBLANK",TRIM($AE$2)="&lt;&gt;"),(IF('Final Calculation Sheet'!$AC$35="","",'Final Calculation Sheet'!$AC$35))&lt;&gt;"",UPPER(TRIM((IF('Final Calculation Sheet'!$AC$35="","",'Final Calculation Sheet'!$AC$35))&amp;""))=UPPER(TRIM($AE$2&amp;"")))))</f>
        <v/>
      </c>
      <c r="AF35">
        <f>IF($AF$3=FALSE,TRUE,IF(OR(UPPER(TRIM($AF$2))="(BLANK)",UPPER(TRIM($AF$2))="BLANK",AND($AF$2&lt;&gt;"",TRIM($AF$2)="")),(IF('Final Calculation Sheet'!$AD$35="","",'Final Calculation Sheet'!$AD$35))="",IF(OR(UPPER(TRIM($AF$2))="(NONBLANK)",UPPER(TRIM($AF$2))="NONBLANK",TRIM($AF$2)="&lt;&gt;"),(IF('Final Calculation Sheet'!$AD$35="","",'Final Calculation Sheet'!$AD$35))&lt;&gt;"",UPPER(TRIM((IF('Final Calculation Sheet'!$AD$35="","",'Final Calculation Sheet'!$AD$35))&amp;""))=UPPER(TRIM($AF$2&amp;"")))))</f>
        <v/>
      </c>
      <c r="AG35">
        <f>IF($AG$3=FALSE,TRUE,IF(OR(UPPER(TRIM($AG$2))="(BLANK)",UPPER(TRIM($AG$2))="BLANK",AND($AG$2&lt;&gt;"",TRIM($AG$2)="")),(IF('Final Calculation Sheet'!$AE$35="","",'Final Calculation Sheet'!$AE$35))="",IF(OR(UPPER(TRIM($AG$2))="(NONBLANK)",UPPER(TRIM($AG$2))="NONBLANK",TRIM($AG$2)="&lt;&gt;"),(IF('Final Calculation Sheet'!$AE$35="","",'Final Calculation Sheet'!$AE$35))&lt;&gt;"",UPPER(TRIM((IF('Final Calculation Sheet'!$AE$35="","",'Final Calculation Sheet'!$AE$35))&amp;""))=UPPER(TRIM($AG$2&amp;"")))))</f>
        <v/>
      </c>
      <c r="AH35">
        <f>IF($AH$3=FALSE,TRUE,IF(OR(UPPER(TRIM($AH$2))="(BLANK)",UPPER(TRIM($AH$2))="BLANK",AND($AH$2&lt;&gt;"",TRIM($AH$2)="")),(IF('Final Calculation Sheet'!$AF$35="","",'Final Calculation Sheet'!$AF$35))="",IF(OR(UPPER(TRIM($AH$2))="(NONBLANK)",UPPER(TRIM($AH$2))="NONBLANK",TRIM($AH$2)="&lt;&gt;"),(IF('Final Calculation Sheet'!$AF$35="","",'Final Calculation Sheet'!$AF$35))&lt;&gt;"",UPPER(TRIM((IF('Final Calculation Sheet'!$AF$35="","",'Final Calculation Sheet'!$AF$35))&amp;""))=UPPER(TRIM($AH$2&amp;"")))))</f>
        <v/>
      </c>
      <c r="AI35">
        <f>IF($AI$3=FALSE,TRUE,IF(OR(UPPER(TRIM($AI$2))="(BLANK)",UPPER(TRIM($AI$2))="BLANK",AND($AI$2&lt;&gt;"",TRIM($AI$2)="")),(IF('Final Calculation Sheet'!$AG$35="","",'Final Calculation Sheet'!$AG$35))="",IF(OR(UPPER(TRIM($AI$2))="(NONBLANK)",UPPER(TRIM($AI$2))="NONBLANK",TRIM($AI$2)="&lt;&gt;"),(IF('Final Calculation Sheet'!$AG$35="","",'Final Calculation Sheet'!$AG$35))&lt;&gt;"",UPPER(TRIM((IF('Final Calculation Sheet'!$AG$35="","",'Final Calculation Sheet'!$AG$35))&amp;""))=UPPER(TRIM($AI$2&amp;"")))))</f>
        <v/>
      </c>
      <c r="AJ35">
        <f>IF($AJ$3=FALSE,TRUE,IF(OR(UPPER(TRIM($AJ$2))="(BLANK)",UPPER(TRIM($AJ$2))="BLANK",AND($AJ$2&lt;&gt;"",TRIM($AJ$2)="")),(IF('Final Calculation Sheet'!$AD$35="","",IF('Final Calculation Sheet'!$AD$35&lt;=5,"SETTLED","OUTSTANDING")))="",IF(OR(UPPER(TRIM($AJ$2))="(NONBLANK)",UPPER(TRIM($AJ$2))="NONBLANK",TRIM($AJ$2)="&lt;&gt;"),(IF('Final Calculation Sheet'!$AD$35="","",IF('Final Calculation Sheet'!$AD$35&lt;=5,"SETTLED","OUTSTANDING")))&lt;&gt;"",UPPER(TRIM((IF('Final Calculation Sheet'!$AD$35="","",IF('Final Calculation Sheet'!$AD$35&lt;=5,"SETTLED","OUTSTANDING")))&amp;""))=UPPER(TRIM($AJ$2&amp;"")))))</f>
        <v/>
      </c>
      <c r="AL35">
        <f>IF(AND($B$35,$D$35:$AJ$35),IF('Final Calculation Sheet'!$F$35="","",'Final Calculation Sheet'!$F$35),"")</f>
        <v/>
      </c>
      <c r="AM35">
        <f>IF(AL35="","",COUNTIFS(AL$4:AL$40,"&lt;"&amp;AL35,AL$4:AL$40,"&lt;&gt;"&amp;"")+COUNTIF(AL$4:AL35,AL35))</f>
        <v/>
      </c>
      <c r="AN35">
        <f>IF(ROW()-3&gt;COUNTIF(AL$4:AL$40,"&lt;&gt;"&amp;""),"",INDEX(AL$4:AL$40,MATCH(ROW()-3,AM$4:AM$40,0)))</f>
        <v/>
      </c>
      <c r="AO35">
        <f>AO34+IF(AND(AN35&lt;&gt;"",COUNTIF(AN$4:AN35,AN35)=1),1,0)</f>
        <v/>
      </c>
      <c r="AP35">
        <f>IF(ROW()-3&gt;MAX(AO$4:AO$40),"",INDEX(AN$4:AN$40,MATCH(ROW()-3,AO$4:AO$40,0)))</f>
        <v/>
      </c>
      <c r="AQ35">
        <f>IF(AND($B$35:$C$35,$E$35:$AJ$35),IF('Final Calculation Sheet'!$G$35="","",'Final Calculation Sheet'!$G$35),"")</f>
        <v/>
      </c>
      <c r="AR35">
        <f>IF(AQ35="","",COUNTIFS(AQ$4:AQ$40,"&lt;"&amp;AQ35,AQ$4:AQ$40,"&lt;&gt;"&amp;"")+COUNTIF(AQ$4:AQ35,AQ35))</f>
        <v/>
      </c>
      <c r="AS35">
        <f>IF(ROW()-3&gt;COUNTIF(AQ$4:AQ$40,"&lt;&gt;"&amp;""),"",INDEX(AQ$4:AQ$40,MATCH(ROW()-3,AR$4:AR$40,0)))</f>
        <v/>
      </c>
      <c r="AT35">
        <f>AT34+IF(AND(AS35&lt;&gt;"",COUNTIF(AS$4:AS35,AS35)=1),1,0)</f>
        <v/>
      </c>
      <c r="AU35">
        <f>IF(ROW()-3&gt;MAX(AT$4:AT$40),"",INDEX(AS$4:AS$40,MATCH(ROW()-3,AT$4:AT$40,0)))</f>
        <v/>
      </c>
      <c r="AV35">
        <f>IF(AND($B$35:$D$35,$F$35:$AJ$35),IF('Final Calculation Sheet'!$B$35="","",'Final Calculation Sheet'!$B$35),"")</f>
        <v/>
      </c>
      <c r="AW35">
        <f>IF(AV35="","",COUNTIFS(AV$4:AV$40,"&lt;"&amp;AV35,AV$4:AV$40,"&lt;&gt;"&amp;"")+COUNTIF(AV$4:AV35,AV35))</f>
        <v/>
      </c>
      <c r="AX35">
        <f>IF(ROW()-3&gt;COUNTIF(AV$4:AV$40,"&lt;&gt;"&amp;""),"",INDEX(AV$4:AV$40,MATCH(ROW()-3,AW$4:AW$40,0)))</f>
        <v/>
      </c>
      <c r="AY35">
        <f>AY34+IF(AND(AX35&lt;&gt;"",COUNTIF(AX$4:AX35,AX35)=1),1,0)</f>
        <v/>
      </c>
      <c r="AZ35">
        <f>IF(ROW()-3&gt;MAX(AY$4:AY$40),"",INDEX(AX$4:AX$40,MATCH(ROW()-3,AY$4:AY$40,0)))</f>
        <v/>
      </c>
      <c r="BA35">
        <f>IF(AND($B$35:$E$35,$G$35:$AJ$35),IF('Final Calculation Sheet'!$D$35="","",'Final Calculation Sheet'!$D$35),"")</f>
        <v/>
      </c>
      <c r="BB35">
        <f>IF(BA35="","",COUNTIFS(BA$4:BA$40,"&lt;"&amp;BA35,BA$4:BA$40,"&lt;&gt;"&amp;"")+COUNTIF(BA$4:BA35,BA35))</f>
        <v/>
      </c>
      <c r="BC35">
        <f>IF(ROW()-3&gt;COUNTIF(BA$4:BA$40,"&lt;&gt;"&amp;""),"",INDEX(BA$4:BA$40,MATCH(ROW()-3,BB$4:BB$40,0)))</f>
        <v/>
      </c>
      <c r="BD35">
        <f>BD34+IF(AND(BC35&lt;&gt;"",COUNTIF(BC$4:BC35,BC35)=1),1,0)</f>
        <v/>
      </c>
      <c r="BE35">
        <f>IF(ROW()-3&gt;MAX(BD$4:BD$40),"",INDEX(BC$4:BC$40,MATCH(ROW()-3,BD$4:BD$40,0)))</f>
        <v/>
      </c>
      <c r="BF35">
        <f>IF(AND($B$35:$F$35,$H$35:$AJ$35),IF('Final Calculation Sheet'!$A$35="","",'Final Calculation Sheet'!$A$35),"")</f>
        <v/>
      </c>
      <c r="BG35">
        <f>IF(BF35="","",COUNTIFS(BF$4:BF$40,"&lt;"&amp;BF35,BF$4:BF$40,"&lt;&gt;"&amp;"")+COUNTIF(BF$4:BF35,BF35))</f>
        <v/>
      </c>
      <c r="BH35">
        <f>IF(ROW()-3&gt;COUNTIF(BF$4:BF$40,"&lt;&gt;"&amp;""),"",INDEX(BF$4:BF$40,MATCH(ROW()-3,BG$4:BG$40,0)))</f>
        <v/>
      </c>
      <c r="BI35">
        <f>BI34+IF(AND(BH35&lt;&gt;"",COUNTIF(BH$4:BH35,BH35)=1),1,0)</f>
        <v/>
      </c>
      <c r="BJ35">
        <f>IF(ROW()-3&gt;MAX(BI$4:BI$40),"",INDEX(BH$4:BH$40,MATCH(ROW()-3,BI$4:BI$40,0)))</f>
        <v/>
      </c>
      <c r="BK35">
        <f>IF(AND($B$35:$G$35,$I$35:$AJ$35),IF('Final Calculation Sheet'!$E$35="","",'Final Calculation Sheet'!$E$35),"")</f>
        <v/>
      </c>
      <c r="BL35">
        <f>IF(BK35="","",COUNTIFS(BK$4:BK$40,"&lt;"&amp;BK35,BK$4:BK$40,"&lt;&gt;"&amp;"")+COUNTIF(BK$4:BK35,BK35))</f>
        <v/>
      </c>
      <c r="BM35">
        <f>IF(ROW()-3&gt;COUNTIF(BK$4:BK$40,"&lt;&gt;"&amp;""),"",INDEX(BK$4:BK$40,MATCH(ROW()-3,BL$4:BL$40,0)))</f>
        <v/>
      </c>
      <c r="BN35">
        <f>BN34+IF(AND(BM35&lt;&gt;"",COUNTIF(BM$4:BM35,BM35)=1),1,0)</f>
        <v/>
      </c>
      <c r="BO35">
        <f>IF(ROW()-3&gt;MAX(BN$4:BN$40),"",INDEX(BM$4:BM$40,MATCH(ROW()-3,BN$4:BN$40,0)))</f>
        <v/>
      </c>
      <c r="BP35" s="55">
        <f>IF(AND($B$35:$H$35,$J$35:$AJ$35),IF('Final Calculation Sheet'!$C$35="","",'Final Calculation Sheet'!$C$35),"")</f>
        <v/>
      </c>
      <c r="BQ35">
        <f>IF(BP35="","",COUNTIFS(BP$4:BP$40,"&lt;"&amp;BP35,BP$4:BP$40,"&lt;&gt;"&amp;"")+COUNTIF(BP$4:BP35,BP35))</f>
        <v/>
      </c>
      <c r="BR35" s="55">
        <f>IF(ROW()-3&gt;COUNTIF(BP$4:BP$40,"&lt;&gt;"&amp;""),"",INDEX(BP$4:BP$40,MATCH(ROW()-3,BQ$4:BQ$40,0)))</f>
        <v/>
      </c>
      <c r="BS35">
        <f>BS34+IF(AND(BR35&lt;&gt;"",COUNTIF(BR$4:BR35,BR35)=1),1,0)</f>
        <v/>
      </c>
      <c r="BT35" s="55">
        <f>IF(ROW()-3&gt;MAX(BS$4:BS$40),"",INDEX(BR$4:BR$40,MATCH(ROW()-3,BS$4:BS$40,0)))</f>
        <v/>
      </c>
      <c r="BU35" s="55">
        <f>IF(AND($B$35:$I$35,$K$35:$AJ$35),IF('Final Calculation Sheet'!$H$35="","",'Final Calculation Sheet'!$H$35),"")</f>
        <v/>
      </c>
      <c r="BV35">
        <f>IF(BU35="","",COUNTIFS(BU$4:BU$40,"&lt;"&amp;BU35,BU$4:BU$40,"&lt;&gt;"&amp;"")+COUNTIF(BU$4:BU35,BU35))</f>
        <v/>
      </c>
      <c r="BW35" s="55">
        <f>IF(ROW()-3&gt;COUNTIF(BU$4:BU$40,"&lt;&gt;"&amp;""),"",INDEX(BU$4:BU$40,MATCH(ROW()-3,BV$4:BV$40,0)))</f>
        <v/>
      </c>
      <c r="BX35">
        <f>BX34+IF(AND(BW35&lt;&gt;"",COUNTIF(BW$4:BW35,BW35)=1),1,0)</f>
        <v/>
      </c>
      <c r="BY35" s="55">
        <f>IF(ROW()-3&gt;MAX(BX$4:BX$40),"",INDEX(BW$4:BW$40,MATCH(ROW()-3,BX$4:BX$40,0)))</f>
        <v/>
      </c>
      <c r="BZ35" s="55">
        <f>IF(AND($B$35:$J$35,$L$35:$AJ$35),IF('Final Calculation Sheet'!$I$35="","",'Final Calculation Sheet'!$I$35),"")</f>
        <v/>
      </c>
      <c r="CA35">
        <f>IF(BZ35="","",COUNTIFS(BZ$4:BZ$40,"&lt;"&amp;BZ35,BZ$4:BZ$40,"&lt;&gt;"&amp;"")+COUNTIF(BZ$4:BZ35,BZ35))</f>
        <v/>
      </c>
      <c r="CB35" s="55">
        <f>IF(ROW()-3&gt;COUNTIF(BZ$4:BZ$40,"&lt;&gt;"&amp;""),"",INDEX(BZ$4:BZ$40,MATCH(ROW()-3,CA$4:CA$40,0)))</f>
        <v/>
      </c>
      <c r="CC35">
        <f>CC34+IF(AND(CB35&lt;&gt;"",COUNTIF(CB$4:CB35,CB35)=1),1,0)</f>
        <v/>
      </c>
      <c r="CD35" s="55">
        <f>IF(ROW()-3&gt;MAX(CC$4:CC$40),"",INDEX(CB$4:CB$40,MATCH(ROW()-3,CC$4:CC$40,0)))</f>
        <v/>
      </c>
      <c r="CE35" s="55">
        <f>IF(AND($B$35:$K$35,$M$35:$AJ$35),IF('Final Calculation Sheet'!$J$35="","",'Final Calculation Sheet'!$J$35),"")</f>
        <v/>
      </c>
      <c r="CF35">
        <f>IF(CE35="","",COUNTIFS(CE$4:CE$40,"&lt;"&amp;CE35,CE$4:CE$40,"&lt;&gt;"&amp;"")+COUNTIF(CE$4:CE35,CE35))</f>
        <v/>
      </c>
      <c r="CG35" s="55">
        <f>IF(ROW()-3&gt;COUNTIF(CE$4:CE$40,"&lt;&gt;"&amp;""),"",INDEX(CE$4:CE$40,MATCH(ROW()-3,CF$4:CF$40,0)))</f>
        <v/>
      </c>
      <c r="CH35">
        <f>CH34+IF(AND(CG35&lt;&gt;"",COUNTIF(CG$4:CG35,CG35)=1),1,0)</f>
        <v/>
      </c>
      <c r="CI35" s="55">
        <f>IF(ROW()-3&gt;MAX(CH$4:CH$40),"",INDEX(CG$4:CG$40,MATCH(ROW()-3,CH$4:CH$40,0)))</f>
        <v/>
      </c>
      <c r="CJ35" s="55">
        <f>IF(AND($B$35:$L$35,$N$35:$AJ$35),IF('Final Calculation Sheet'!$K$35="","",'Final Calculation Sheet'!$K$35),"")</f>
        <v/>
      </c>
      <c r="CK35">
        <f>IF(CJ35="","",COUNTIFS(CJ$4:CJ$40,"&lt;"&amp;CJ35,CJ$4:CJ$40,"&lt;&gt;"&amp;"")+COUNTIF(CJ$4:CJ35,CJ35))</f>
        <v/>
      </c>
      <c r="CL35" s="55">
        <f>IF(ROW()-3&gt;COUNTIF(CJ$4:CJ$40,"&lt;&gt;"&amp;""),"",INDEX(CJ$4:CJ$40,MATCH(ROW()-3,CK$4:CK$40,0)))</f>
        <v/>
      </c>
      <c r="CM35">
        <f>CM34+IF(AND(CL35&lt;&gt;"",COUNTIF(CL$4:CL35,CL35)=1),1,0)</f>
        <v/>
      </c>
      <c r="CN35" s="55">
        <f>IF(ROW()-3&gt;MAX(CM$4:CM$40),"",INDEX(CL$4:CL$40,MATCH(ROW()-3,CM$4:CM$40,0)))</f>
        <v/>
      </c>
      <c r="CO35" s="55">
        <f>IF(AND($B$35:$M$35,$O$35:$AJ$35),IF('Final Calculation Sheet'!$L$35="","",'Final Calculation Sheet'!$L$35),"")</f>
        <v/>
      </c>
      <c r="CP35">
        <f>IF(CO35="","",COUNTIFS(CO$4:CO$40,"&lt;"&amp;CO35,CO$4:CO$40,"&lt;&gt;"&amp;"")+COUNTIF(CO$4:CO35,CO35))</f>
        <v/>
      </c>
      <c r="CQ35" s="55">
        <f>IF(ROW()-3&gt;COUNTIF(CO$4:CO$40,"&lt;&gt;"&amp;""),"",INDEX(CO$4:CO$40,MATCH(ROW()-3,CP$4:CP$40,0)))</f>
        <v/>
      </c>
      <c r="CR35">
        <f>CR34+IF(AND(CQ35&lt;&gt;"",COUNTIF(CQ$4:CQ35,CQ35)=1),1,0)</f>
        <v/>
      </c>
      <c r="CS35" s="55">
        <f>IF(ROW()-3&gt;MAX(CR$4:CR$40),"",INDEX(CQ$4:CQ$40,MATCH(ROW()-3,CR$4:CR$40,0)))</f>
        <v/>
      </c>
      <c r="CT35" s="55">
        <f>IF(AND($B$35:$N$35,$P$35:$AJ$35),IF('Final Calculation Sheet'!$M$35="","",'Final Calculation Sheet'!$M$35),"")</f>
        <v/>
      </c>
      <c r="CU35">
        <f>IF(CT35="","",COUNTIFS(CT$4:CT$40,"&lt;"&amp;CT35,CT$4:CT$40,"&lt;&gt;"&amp;"")+COUNTIF(CT$4:CT35,CT35))</f>
        <v/>
      </c>
      <c r="CV35" s="55">
        <f>IF(ROW()-3&gt;COUNTIF(CT$4:CT$40,"&lt;&gt;"&amp;""),"",INDEX(CT$4:CT$40,MATCH(ROW()-3,CU$4:CU$40,0)))</f>
        <v/>
      </c>
      <c r="CW35">
        <f>CW34+IF(AND(CV35&lt;&gt;"",COUNTIF(CV$4:CV35,CV35)=1),1,0)</f>
        <v/>
      </c>
      <c r="CX35" s="55">
        <f>IF(ROW()-3&gt;MAX(CW$4:CW$40),"",INDEX(CV$4:CV$40,MATCH(ROW()-3,CW$4:CW$40,0)))</f>
        <v/>
      </c>
      <c r="CY35" s="138">
        <f>IF(AND($B$35:$O$35,$Q$35:$AJ$35),IF('Final Calculation Sheet'!$N$35="","",'Final Calculation Sheet'!$N$35),"")</f>
        <v/>
      </c>
      <c r="CZ35">
        <f>IF(CY35="","",COUNTIFS(CY$4:CY$40,"&lt;"&amp;CY35,CY$4:CY$40,"&lt;&gt;"&amp;"")+COUNTIF(CY$4:CY35,CY35))</f>
        <v/>
      </c>
      <c r="DA35" s="138">
        <f>IF(ROW()-3&gt;COUNTIF(CY$4:CY$40,"&lt;&gt;"&amp;""),"",INDEX(CY$4:CY$40,MATCH(ROW()-3,CZ$4:CZ$40,0)))</f>
        <v/>
      </c>
      <c r="DB35">
        <f>DB34+IF(AND(DA35&lt;&gt;"",COUNTIF(DA$4:DA35,DA35)=1),1,0)</f>
        <v/>
      </c>
      <c r="DC35" s="138">
        <f>IF(ROW()-3&gt;MAX(DB$4:DB$40),"",INDEX(DA$4:DA$40,MATCH(ROW()-3,DB$4:DB$40,0)))</f>
        <v/>
      </c>
      <c r="DD35" s="55">
        <f>IF(AND($B$35:$P$35,$R$35:$AJ$35),IF('Final Calculation Sheet'!$O$35="","",'Final Calculation Sheet'!$O$35),"")</f>
        <v/>
      </c>
      <c r="DE35">
        <f>IF(DD35="","",COUNTIFS(DD$4:DD$40,"&lt;"&amp;DD35,DD$4:DD$40,"&lt;&gt;"&amp;"")+COUNTIF(DD$4:DD35,DD35))</f>
        <v/>
      </c>
      <c r="DF35" s="55">
        <f>IF(ROW()-3&gt;COUNTIF(DD$4:DD$40,"&lt;&gt;"&amp;""),"",INDEX(DD$4:DD$40,MATCH(ROW()-3,DE$4:DE$40,0)))</f>
        <v/>
      </c>
      <c r="DG35">
        <f>DG34+IF(AND(DF35&lt;&gt;"",COUNTIF(DF$4:DF35,DF35)=1),1,0)</f>
        <v/>
      </c>
      <c r="DH35" s="55">
        <f>IF(ROW()-3&gt;MAX(DG$4:DG$40),"",INDEX(DF$4:DF$40,MATCH(ROW()-3,DG$4:DG$40,0)))</f>
        <v/>
      </c>
      <c r="DI35" s="55">
        <f>IF(AND($B$35:$Q$35,$S$35:$AJ$35),IF('Final Calculation Sheet'!$P$35="","",'Final Calculation Sheet'!$P$35),"")</f>
        <v/>
      </c>
      <c r="DJ35">
        <f>IF(DI35="","",COUNTIFS(DI$4:DI$40,"&lt;"&amp;DI35,DI$4:DI$40,"&lt;&gt;"&amp;"")+COUNTIF(DI$4:DI35,DI35))</f>
        <v/>
      </c>
      <c r="DK35" s="55">
        <f>IF(ROW()-3&gt;COUNTIF(DI$4:DI$40,"&lt;&gt;"&amp;""),"",INDEX(DI$4:DI$40,MATCH(ROW()-3,DJ$4:DJ$40,0)))</f>
        <v/>
      </c>
      <c r="DL35">
        <f>DL34+IF(AND(DK35&lt;&gt;"",COUNTIF(DK$4:DK35,DK35)=1),1,0)</f>
        <v/>
      </c>
      <c r="DM35" s="55">
        <f>IF(ROW()-3&gt;MAX(DL$4:DL$40),"",INDEX(DK$4:DK$40,MATCH(ROW()-3,DL$4:DL$40,0)))</f>
        <v/>
      </c>
      <c r="DN35" s="139">
        <f>IF(AND($B$35:$R$35,$T$35:$AJ$35),IF('Final Calculation Sheet'!$Q$35="","",'Final Calculation Sheet'!$Q$35),"")</f>
        <v/>
      </c>
      <c r="DO35">
        <f>IF(DN35="","",COUNTIFS(DN$4:DN$40,"&lt;"&amp;DN35,DN$4:DN$40,"&lt;&gt;"&amp;"")+COUNTIF(DN$4:DN35,DN35))</f>
        <v/>
      </c>
      <c r="DP35" s="139">
        <f>IF(ROW()-3&gt;COUNTIF(DN$4:DN$40,"&lt;&gt;"&amp;""),"",INDEX(DN$4:DN$40,MATCH(ROW()-3,DO$4:DO$40,0)))</f>
        <v/>
      </c>
      <c r="DQ35">
        <f>DQ34+IF(AND(DP35&lt;&gt;"",COUNTIF(DP$4:DP35,DP35)=1),1,0)</f>
        <v/>
      </c>
      <c r="DR35" s="139">
        <f>IF(ROW()-3&gt;MAX(DQ$4:DQ$40),"",INDEX(DP$4:DP$40,MATCH(ROW()-3,DQ$4:DQ$40,0)))</f>
        <v/>
      </c>
      <c r="DS35" s="55">
        <f>IF(AND($B$35:$S$35,$U$35:$AJ$35),IF('Final Calculation Sheet'!$R$35="","",'Final Calculation Sheet'!$R$35),"")</f>
        <v/>
      </c>
      <c r="DT35">
        <f>IF(DS35="","",COUNTIFS(DS$4:DS$40,"&lt;"&amp;DS35,DS$4:DS$40,"&lt;&gt;"&amp;"")+COUNTIF(DS$4:DS35,DS35))</f>
        <v/>
      </c>
      <c r="DU35" s="55">
        <f>IF(ROW()-3&gt;COUNTIF(DS$4:DS$40,"&lt;&gt;"&amp;""),"",INDEX(DS$4:DS$40,MATCH(ROW()-3,DT$4:DT$40,0)))</f>
        <v/>
      </c>
      <c r="DV35">
        <f>DV34+IF(AND(DU35&lt;&gt;"",COUNTIF(DU$4:DU35,DU35)=1),1,0)</f>
        <v/>
      </c>
      <c r="DW35" s="55">
        <f>IF(ROW()-3&gt;MAX(DV$4:DV$40),"",INDEX(DU$4:DU$40,MATCH(ROW()-3,DV$4:DV$40,0)))</f>
        <v/>
      </c>
      <c r="DX35" s="55">
        <f>IF(AND($B$35:$T$35,$V$35:$AJ$35),IF('Final Calculation Sheet'!$S$35="","",'Final Calculation Sheet'!$S$35),"")</f>
        <v/>
      </c>
      <c r="DY35">
        <f>IF(DX35="","",COUNTIFS(DX$4:DX$40,"&lt;"&amp;DX35,DX$4:DX$40,"&lt;&gt;"&amp;"")+COUNTIF(DX$4:DX35,DX35))</f>
        <v/>
      </c>
      <c r="DZ35" s="55">
        <f>IF(ROW()-3&gt;COUNTIF(DX$4:DX$40,"&lt;&gt;"&amp;""),"",INDEX(DX$4:DX$40,MATCH(ROW()-3,DY$4:DY$40,0)))</f>
        <v/>
      </c>
      <c r="EA35">
        <f>EA34+IF(AND(DZ35&lt;&gt;"",COUNTIF(DZ$4:DZ35,DZ35)=1),1,0)</f>
        <v/>
      </c>
      <c r="EB35" s="55">
        <f>IF(ROW()-3&gt;MAX(EA$4:EA$40),"",INDEX(DZ$4:DZ$40,MATCH(ROW()-3,EA$4:EA$40,0)))</f>
        <v/>
      </c>
      <c r="EC35" s="55">
        <f>IF(AND($B$35:$U$35,$W$35:$AJ$35),IF('Final Calculation Sheet'!$T$35="","",'Final Calculation Sheet'!$T$35),"")</f>
        <v/>
      </c>
      <c r="ED35">
        <f>IF(EC35="","",COUNTIFS(EC$4:EC$40,"&lt;"&amp;EC35,EC$4:EC$40,"&lt;&gt;"&amp;"")+COUNTIF(EC$4:EC35,EC35))</f>
        <v/>
      </c>
      <c r="EE35" s="55">
        <f>IF(ROW()-3&gt;COUNTIF(EC$4:EC$40,"&lt;&gt;"&amp;""),"",INDEX(EC$4:EC$40,MATCH(ROW()-3,ED$4:ED$40,0)))</f>
        <v/>
      </c>
      <c r="EF35">
        <f>EF34+IF(AND(EE35&lt;&gt;"",COUNTIF(EE$4:EE35,EE35)=1),1,0)</f>
        <v/>
      </c>
      <c r="EG35" s="55">
        <f>IF(ROW()-3&gt;MAX(EF$4:EF$40),"",INDEX(EE$4:EE$40,MATCH(ROW()-3,EF$4:EF$40,0)))</f>
        <v/>
      </c>
      <c r="EH35" s="140">
        <f>IF(AND($B$35:$V$35,$X$35:$AJ$35),IF('Final Calculation Sheet'!$U$35="","",'Final Calculation Sheet'!$U$35),"")</f>
        <v/>
      </c>
      <c r="EI35">
        <f>IF(EH35="","",COUNTIFS(EH$4:EH$40,"&lt;"&amp;EH35,EH$4:EH$40,"&lt;&gt;"&amp;"")+COUNTIF(EH$4:EH35,EH35))</f>
        <v/>
      </c>
      <c r="EJ35" s="140">
        <f>IF(ROW()-3&gt;COUNTIF(EH$4:EH$40,"&lt;&gt;"&amp;""),"",INDEX(EH$4:EH$40,MATCH(ROW()-3,EI$4:EI$40,0)))</f>
        <v/>
      </c>
      <c r="EK35">
        <f>EK34+IF(AND(EJ35&lt;&gt;"",COUNTIF(EJ$4:EJ35,EJ35)=1),1,0)</f>
        <v/>
      </c>
      <c r="EL35" s="140">
        <f>IF(ROW()-3&gt;MAX(EK$4:EK$40),"",INDEX(EJ$4:EJ$40,MATCH(ROW()-3,EK$4:EK$40,0)))</f>
        <v/>
      </c>
      <c r="EM35">
        <f>IF(AND($B$35:$W$35,$Y$35:$AJ$35),IF('Final Calculation Sheet'!$V$35="","",'Final Calculation Sheet'!$V$35),"")</f>
        <v/>
      </c>
      <c r="EN35">
        <f>IF(EM35="","",COUNTIFS(EM$4:EM$40,"&lt;"&amp;EM35,EM$4:EM$40,"&lt;&gt;"&amp;"")+COUNTIF(EM$4:EM35,EM35))</f>
        <v/>
      </c>
      <c r="EO35">
        <f>IF(ROW()-3&gt;COUNTIF(EM$4:EM$40,"&lt;&gt;"&amp;""),"",INDEX(EM$4:EM$40,MATCH(ROW()-3,EN$4:EN$40,0)))</f>
        <v/>
      </c>
      <c r="EP35">
        <f>EP34+IF(AND(EO35&lt;&gt;"",COUNTIF(EO$4:EO35,EO35)=1),1,0)</f>
        <v/>
      </c>
      <c r="EQ35">
        <f>IF(ROW()-3&gt;MAX(EP$4:EP$40),"",INDEX(EO$4:EO$40,MATCH(ROW()-3,EP$4:EP$40,0)))</f>
        <v/>
      </c>
      <c r="ER35" s="55">
        <f>IF(AND($B$35:$X$35,$Z$35:$AJ$35),IF('Final Calculation Sheet'!$W$35="","",'Final Calculation Sheet'!$W$35),"")</f>
        <v/>
      </c>
      <c r="ES35">
        <f>IF(ER35="","",COUNTIFS(ER$4:ER$40,"&lt;"&amp;ER35,ER$4:ER$40,"&lt;&gt;"&amp;"")+COUNTIF(ER$4:ER35,ER35))</f>
        <v/>
      </c>
      <c r="ET35" s="55">
        <f>IF(ROW()-3&gt;COUNTIF(ER$4:ER$40,"&lt;&gt;"&amp;""),"",INDEX(ER$4:ER$40,MATCH(ROW()-3,ES$4:ES$40,0)))</f>
        <v/>
      </c>
      <c r="EU35">
        <f>EU34+IF(AND(ET35&lt;&gt;"",COUNTIF(ET$4:ET35,ET35)=1),1,0)</f>
        <v/>
      </c>
      <c r="EV35" s="55">
        <f>IF(ROW()-3&gt;MAX(EU$4:EU$40),"",INDEX(ET$4:ET$40,MATCH(ROW()-3,EU$4:EU$40,0)))</f>
        <v/>
      </c>
      <c r="EW35" s="55">
        <f>IF(AND($B$35:$Y$35,$AA$35:$AJ$35),IF('Final Calculation Sheet'!$X$35="","",'Final Calculation Sheet'!$X$35),"")</f>
        <v/>
      </c>
      <c r="EX35">
        <f>IF(EW35="","",COUNTIFS(EW$4:EW$40,"&lt;"&amp;EW35,EW$4:EW$40,"&lt;&gt;"&amp;"")+COUNTIF(EW$4:EW35,EW35))</f>
        <v/>
      </c>
      <c r="EY35" s="55">
        <f>IF(ROW()-3&gt;COUNTIF(EW$4:EW$40,"&lt;&gt;"&amp;""),"",INDEX(EW$4:EW$40,MATCH(ROW()-3,EX$4:EX$40,0)))</f>
        <v/>
      </c>
      <c r="EZ35">
        <f>EZ34+IF(AND(EY35&lt;&gt;"",COUNTIF(EY$4:EY35,EY35)=1),1,0)</f>
        <v/>
      </c>
      <c r="FA35">
        <f>IF(ROW()-3&gt;MAX(EZ$4:EZ$40),"",INDEX(EY$4:EY$40,MATCH(ROW()-3,EZ$4:EZ$40,0)))</f>
        <v/>
      </c>
      <c r="FB35">
        <f>IF(AND($B$35:$Z$35,$AB$35:$AJ$35),IF('Final Calculation Sheet'!$Y$35="","",'Final Calculation Sheet'!$Y$35),"")</f>
        <v/>
      </c>
      <c r="FC35">
        <f>IF(FB35="","",COUNTIFS(FB$4:FB$40,"&lt;"&amp;FB35,FB$4:FB$40,"&lt;&gt;"&amp;"")+COUNTIF(FB$4:FB35,FB35))</f>
        <v/>
      </c>
      <c r="FD35">
        <f>IF(ROW()-3&gt;COUNTIF(FB$4:FB$40,"&lt;&gt;"&amp;""),"",INDEX(FB$4:FB$40,MATCH(ROW()-3,FC$4:FC$40,0)))</f>
        <v/>
      </c>
      <c r="FE35">
        <f>FE34+IF(AND(FD35&lt;&gt;"",COUNTIF(FD$4:FD35,FD35)=1),1,0)</f>
        <v/>
      </c>
      <c r="FF35">
        <f>IF(ROW()-3&gt;MAX(FE$4:FE$40),"",INDEX(FD$4:FD$40,MATCH(ROW()-3,FE$4:FE$40,0)))</f>
        <v/>
      </c>
      <c r="FG35" s="55">
        <f>IF(AND($B$35:$AA$35,$AC$35:$AJ$35),IF('Final Calculation Sheet'!$Z$35="","",'Final Calculation Sheet'!$Z$35),"")</f>
        <v/>
      </c>
      <c r="FH35">
        <f>IF(FG35="","",COUNTIFS(FG$4:FG$40,"&lt;"&amp;FG35,FG$4:FG$40,"&lt;&gt;"&amp;"")+COUNTIF(FG$4:FG35,FG35))</f>
        <v/>
      </c>
      <c r="FI35" s="55">
        <f>IF(ROW()-3&gt;COUNTIF(FG$4:FG$40,"&lt;&gt;"&amp;""),"",INDEX(FG$4:FG$40,MATCH(ROW()-3,FH$4:FH$40,0)))</f>
        <v/>
      </c>
      <c r="FJ35">
        <f>FJ34+IF(AND(FI35&lt;&gt;"",COUNTIF(FI$4:FI35,FI35)=1),1,0)</f>
        <v/>
      </c>
      <c r="FK35" s="55">
        <f>IF(ROW()-3&gt;MAX(FJ$4:FJ$40),"",INDEX(FI$4:FI$40,MATCH(ROW()-3,FJ$4:FJ$40,0)))</f>
        <v/>
      </c>
      <c r="FL35">
        <f>IF(AND($B$35:$AB$35,$AD$35:$AJ$35),IF('Final Calculation Sheet'!$AA$35="","",'Final Calculation Sheet'!$AA$35),"")</f>
        <v/>
      </c>
      <c r="FM35">
        <f>IF(FL35="","",COUNTIFS(FL$4:FL$40,"&lt;"&amp;FL35,FL$4:FL$40,"&lt;&gt;"&amp;"")+COUNTIF(FL$4:FL35,FL35))</f>
        <v/>
      </c>
      <c r="FN35">
        <f>IF(ROW()-3&gt;COUNTIF(FL$4:FL$40,"&lt;&gt;"&amp;""),"",INDEX(FL$4:FL$40,MATCH(ROW()-3,FM$4:FM$40,0)))</f>
        <v/>
      </c>
      <c r="FO35">
        <f>FO34+IF(AND(FN35&lt;&gt;"",COUNTIF(FN$4:FN35,FN35)=1),1,0)</f>
        <v/>
      </c>
      <c r="FP35">
        <f>IF(ROW()-3&gt;MAX(FO$4:FO$40),"",INDEX(FN$4:FN$40,MATCH(ROW()-3,FO$4:FO$40,0)))</f>
        <v/>
      </c>
      <c r="FQ35">
        <f>IF(AND($B$35:$AC$35,$AE$35:$AJ$35),IF('Final Calculation Sheet'!$AB$35="","",'Final Calculation Sheet'!$AB$35),"")</f>
        <v/>
      </c>
      <c r="FR35">
        <f>IF(FQ35="","",COUNTIFS(FQ$4:FQ$40,"&lt;"&amp;FQ35,FQ$4:FQ$40,"&lt;&gt;"&amp;"")+COUNTIF(FQ$4:FQ35,FQ35))</f>
        <v/>
      </c>
      <c r="FS35">
        <f>IF(ROW()-3&gt;COUNTIF(FQ$4:FQ$40,"&lt;&gt;"&amp;""),"",INDEX(FQ$4:FQ$40,MATCH(ROW()-3,FR$4:FR$40,0)))</f>
        <v/>
      </c>
      <c r="FT35">
        <f>FT34+IF(AND(FS35&lt;&gt;"",COUNTIF(FS$4:FS35,FS35)=1),1,0)</f>
        <v/>
      </c>
      <c r="FU35">
        <f>IF(ROW()-3&gt;MAX(FT$4:FT$40),"",INDEX(FS$4:FS$40,MATCH(ROW()-3,FT$4:FT$40,0)))</f>
        <v/>
      </c>
      <c r="FV35" s="55">
        <f>IF(AND($B$35:$AD$35,$AF$35:$AJ$35),IF('Final Calculation Sheet'!$AC$35="","",'Final Calculation Sheet'!$AC$35),"")</f>
        <v/>
      </c>
      <c r="FW35">
        <f>IF(FV35="","",COUNTIFS(FV$4:FV$40,"&lt;"&amp;FV35,FV$4:FV$40,"&lt;&gt;"&amp;"")+COUNTIF(FV$4:FV35,FV35))</f>
        <v/>
      </c>
      <c r="FX35" s="55">
        <f>IF(ROW()-3&gt;COUNTIF(FV$4:FV$40,"&lt;&gt;"&amp;""),"",INDEX(FV$4:FV$40,MATCH(ROW()-3,FW$4:FW$40,0)))</f>
        <v/>
      </c>
      <c r="FY35">
        <f>FY34+IF(AND(FX35&lt;&gt;"",COUNTIF(FX$4:FX35,FX35)=1),1,0)</f>
        <v/>
      </c>
      <c r="FZ35" s="55">
        <f>IF(ROW()-3&gt;MAX(FY$4:FY$40),"",INDEX(FX$4:FX$40,MATCH(ROW()-3,FY$4:FY$40,0)))</f>
        <v/>
      </c>
      <c r="GA35" s="55">
        <f>IF(AND($B$35:$AE$35,$AG$35:$AJ$35),IF('Final Calculation Sheet'!$AD$35="","",'Final Calculation Sheet'!$AD$35),"")</f>
        <v/>
      </c>
      <c r="GB35">
        <f>IF(GA35="","",COUNTIFS(GA$4:GA$40,"&lt;"&amp;GA35,GA$4:GA$40,"&lt;&gt;"&amp;"")+COUNTIF(GA$4:GA35,GA35))</f>
        <v/>
      </c>
      <c r="GC35" s="55">
        <f>IF(ROW()-3&gt;COUNTIF(GA$4:GA$40,"&lt;&gt;"&amp;""),"",INDEX(GA$4:GA$40,MATCH(ROW()-3,GB$4:GB$40,0)))</f>
        <v/>
      </c>
      <c r="GD35">
        <f>GD34+IF(AND(GC35&lt;&gt;"",COUNTIF(GC$4:GC35,GC35)=1),1,0)</f>
        <v/>
      </c>
      <c r="GE35" s="55">
        <f>IF(ROW()-3&gt;MAX(GD$4:GD$40),"",INDEX(GC$4:GC$40,MATCH(ROW()-3,GD$4:GD$40,0)))</f>
        <v/>
      </c>
      <c r="GF35">
        <f>IF(AND($B$35:$AF$35,$AH$35:$AJ$35),IF('Final Calculation Sheet'!$AE$35="","",'Final Calculation Sheet'!$AE$35),"")</f>
        <v/>
      </c>
      <c r="GG35">
        <f>IF(GF35="","",COUNTIFS(GF$4:GF$40,"&lt;"&amp;GF35,GF$4:GF$40,"&lt;&gt;"&amp;"")+COUNTIF(GF$4:GF35,GF35))</f>
        <v/>
      </c>
      <c r="GH35">
        <f>IF(ROW()-3&gt;COUNTIF(GF$4:GF$40,"&lt;&gt;"&amp;""),"",INDEX(GF$4:GF$40,MATCH(ROW()-3,GG$4:GG$40,0)))</f>
        <v/>
      </c>
      <c r="GI35">
        <f>GI34+IF(AND(GH35&lt;&gt;"",COUNTIF(GH$4:GH35,GH35)=1),1,0)</f>
        <v/>
      </c>
      <c r="GJ35">
        <f>IF(ROW()-3&gt;MAX(GI$4:GI$40),"",INDEX(GH$4:GH$40,MATCH(ROW()-3,GI$4:GI$40,0)))</f>
        <v/>
      </c>
      <c r="GK35" s="141">
        <f>IF(AND($B$35:$AG$35,$AI$35:$AJ$35),IF('Final Calculation Sheet'!$AF$35="","",'Final Calculation Sheet'!$AF$35),"")</f>
        <v/>
      </c>
      <c r="GL35">
        <f>IF(GK35="","",COUNTIFS(GK$4:GK$40,"&lt;"&amp;GK35,GK$4:GK$40,"&lt;&gt;"&amp;"")+COUNTIF(GK$4:GK35,GK35))</f>
        <v/>
      </c>
      <c r="GM35" s="141">
        <f>IF(ROW()-3&gt;COUNTIF(GK$4:GK$40,"&lt;&gt;"&amp;""),"",INDEX(GK$4:GK$40,MATCH(ROW()-3,GL$4:GL$40,0)))</f>
        <v/>
      </c>
      <c r="GN35">
        <f>GN34+IF(AND(GM35&lt;&gt;"",COUNTIF(GM$4:GM35,GM35)=1),1,0)</f>
        <v/>
      </c>
      <c r="GO35">
        <f>IF(ROW()-3&gt;MAX(GN$4:GN$40),"",INDEX(GM$4:GM$40,MATCH(ROW()-3,GN$4:GN$40,0)))</f>
        <v/>
      </c>
      <c r="GP35">
        <f>IF(AND($B$35:$AH$35,$AJ$35:$AJ$35),IF('Final Calculation Sheet'!$AG$35="","",'Final Calculation Sheet'!$AG$35),"")</f>
        <v/>
      </c>
      <c r="GQ35">
        <f>IF(GP35="","",COUNTIFS(GP$4:GP$40,"&lt;"&amp;GP35,GP$4:GP$40,"&lt;&gt;"&amp;"")+COUNTIF(GP$4:GP35,GP35))</f>
        <v/>
      </c>
      <c r="GR35">
        <f>IF(ROW()-3&gt;COUNTIF(GP$4:GP$40,"&lt;&gt;"&amp;""),"",INDEX(GP$4:GP$40,MATCH(ROW()-3,GQ$4:GQ$40,0)))</f>
        <v/>
      </c>
      <c r="GS35">
        <f>GS34+IF(AND(GR35&lt;&gt;"",COUNTIF(GR$4:GR35,GR35)=1),1,0)</f>
        <v/>
      </c>
      <c r="GT35">
        <f>IF(ROW()-3&gt;MAX(GS$4:GS$40),"",INDEX(GR$4:GR$40,MATCH(ROW()-3,GS$4:GS$40,0)))</f>
        <v/>
      </c>
    </row>
    <row r="36">
      <c r="A36" t="inlineStr">
        <is>
          <t>Final row 36</t>
        </is>
      </c>
      <c r="B36" t="b">
        <v>1</v>
      </c>
      <c r="C36">
        <f>IF($C$3=FALSE,TRUE,IF(OR(UPPER(TRIM($C$2))="(BLANK)",UPPER(TRIM($C$2))="BLANK",AND($C$2&lt;&gt;"",TRIM($C$2)="")),(IF('Final Calculation Sheet'!$F$36="","",'Final Calculation Sheet'!$F$36))="",IF(OR(UPPER(TRIM($C$2))="(NONBLANK)",UPPER(TRIM($C$2))="NONBLANK",TRIM($C$2)="&lt;&gt;"),(IF('Final Calculation Sheet'!$F$36="","",'Final Calculation Sheet'!$F$36))&lt;&gt;"",UPPER(TRIM((IF('Final Calculation Sheet'!$F$36="","",'Final Calculation Sheet'!$F$36))&amp;""))=UPPER(TRIM($C$2&amp;"")))))</f>
        <v/>
      </c>
      <c r="D36">
        <f>IF($D$3=FALSE,TRUE,IF(OR(UPPER(TRIM($D$2))="(BLANK)",UPPER(TRIM($D$2))="BLANK",AND($D$2&lt;&gt;"",TRIM($D$2)="")),(IF('Final Calculation Sheet'!$G$36="","",'Final Calculation Sheet'!$G$36))="",IF(OR(UPPER(TRIM($D$2))="(NONBLANK)",UPPER(TRIM($D$2))="NONBLANK",TRIM($D$2)="&lt;&gt;"),(IF('Final Calculation Sheet'!$G$36="","",'Final Calculation Sheet'!$G$36))&lt;&gt;"",UPPER(TRIM((IF('Final Calculation Sheet'!$G$36="","",'Final Calculation Sheet'!$G$36))&amp;""))=UPPER(TRIM($D$2&amp;"")))))</f>
        <v/>
      </c>
      <c r="E36">
        <f>IF($E$3=FALSE,TRUE,IF(OR(UPPER(TRIM($E$2))="(BLANK)",UPPER(TRIM($E$2))="BLANK",AND($E$2&lt;&gt;"",TRIM($E$2)="")),(IF('Final Calculation Sheet'!$B$36="","",'Final Calculation Sheet'!$B$36))="",IF(OR(UPPER(TRIM($E$2))="(NONBLANK)",UPPER(TRIM($E$2))="NONBLANK",TRIM($E$2)="&lt;&gt;"),(IF('Final Calculation Sheet'!$B$36="","",'Final Calculation Sheet'!$B$36))&lt;&gt;"",UPPER(TRIM((IF('Final Calculation Sheet'!$B$36="","",'Final Calculation Sheet'!$B$36))&amp;""))=UPPER(TRIM($E$2&amp;"")))))</f>
        <v/>
      </c>
      <c r="F36">
        <f>IF($F$3=FALSE,TRUE,IF(OR(UPPER(TRIM($F$2))="(BLANK)",UPPER(TRIM($F$2))="BLANK",AND($F$2&lt;&gt;"",TRIM($F$2)="")),(IF('Final Calculation Sheet'!$D$36="","",'Final Calculation Sheet'!$D$36))="",IF(OR(UPPER(TRIM($F$2))="(NONBLANK)",UPPER(TRIM($F$2))="NONBLANK",TRIM($F$2)="&lt;&gt;"),(IF('Final Calculation Sheet'!$D$36="","",'Final Calculation Sheet'!$D$36))&lt;&gt;"",UPPER(TRIM((IF('Final Calculation Sheet'!$D$36="","",'Final Calculation Sheet'!$D$36))&amp;""))=UPPER(TRIM($F$2&amp;"")))))</f>
        <v/>
      </c>
      <c r="G36">
        <f>IF($G$3=FALSE,TRUE,IF(OR(UPPER(TRIM($G$2))="(BLANK)",UPPER(TRIM($G$2))="BLANK",AND($G$2&lt;&gt;"",TRIM($G$2)="")),(IF('Final Calculation Sheet'!$A$36="","",'Final Calculation Sheet'!$A$36))="",IF(OR(UPPER(TRIM($G$2))="(NONBLANK)",UPPER(TRIM($G$2))="NONBLANK",TRIM($G$2)="&lt;&gt;"),(IF('Final Calculation Sheet'!$A$36="","",'Final Calculation Sheet'!$A$36))&lt;&gt;"",UPPER(TRIM((IF('Final Calculation Sheet'!$A$36="","",'Final Calculation Sheet'!$A$36))&amp;""))=UPPER(TRIM($G$2&amp;"")))))</f>
        <v/>
      </c>
      <c r="H36">
        <f>IF($H$3=FALSE,TRUE,IF(OR(UPPER(TRIM($H$2))="(BLANK)",UPPER(TRIM($H$2))="BLANK",AND($H$2&lt;&gt;"",TRIM($H$2)="")),(IF('Final Calculation Sheet'!$E$36="","",'Final Calculation Sheet'!$E$36))="",IF(OR(UPPER(TRIM($H$2))="(NONBLANK)",UPPER(TRIM($H$2))="NONBLANK",TRIM($H$2)="&lt;&gt;"),(IF('Final Calculation Sheet'!$E$36="","",'Final Calculation Sheet'!$E$36))&lt;&gt;"",UPPER(TRIM((IF('Final Calculation Sheet'!$E$36="","",'Final Calculation Sheet'!$E$36))&amp;""))=UPPER(TRIM($H$2&amp;"")))))</f>
        <v/>
      </c>
      <c r="I36">
        <f>IF($I$3=FALSE,TRUE,IF(OR(UPPER(TRIM($I$2))="(BLANK)",UPPER(TRIM($I$2))="BLANK",AND($I$2&lt;&gt;"",TRIM($I$2)="")),(IF('Final Calculation Sheet'!$C$36="","",'Final Calculation Sheet'!$C$36))="",IF(OR(UPPER(TRIM($I$2))="(NONBLANK)",UPPER(TRIM($I$2))="NONBLANK",TRIM($I$2)="&lt;&gt;"),(IF('Final Calculation Sheet'!$C$36="","",'Final Calculation Sheet'!$C$36))&lt;&gt;"",UPPER(TRIM((IF('Final Calculation Sheet'!$C$36="","",'Final Calculation Sheet'!$C$36))&amp;""))=UPPER(TRIM($I$2&amp;"")))))</f>
        <v/>
      </c>
      <c r="J36">
        <f>IF($J$3=FALSE,TRUE,IF(OR(UPPER(TRIM($J$2))="(BLANK)",UPPER(TRIM($J$2))="BLANK",AND($J$2&lt;&gt;"",TRIM($J$2)="")),(IF('Final Calculation Sheet'!$H$36="","",'Final Calculation Sheet'!$H$36))="",IF(OR(UPPER(TRIM($J$2))="(NONBLANK)",UPPER(TRIM($J$2))="NONBLANK",TRIM($J$2)="&lt;&gt;"),(IF('Final Calculation Sheet'!$H$36="","",'Final Calculation Sheet'!$H$36))&lt;&gt;"",UPPER(TRIM((IF('Final Calculation Sheet'!$H$36="","",'Final Calculation Sheet'!$H$36))&amp;""))=UPPER(TRIM($J$2&amp;"")))))</f>
        <v/>
      </c>
      <c r="K36">
        <f>IF($K$3=FALSE,TRUE,IF(OR(UPPER(TRIM($K$2))="(BLANK)",UPPER(TRIM($K$2))="BLANK",AND($K$2&lt;&gt;"",TRIM($K$2)="")),(IF('Final Calculation Sheet'!$I$36="","",'Final Calculation Sheet'!$I$36))="",IF(OR(UPPER(TRIM($K$2))="(NONBLANK)",UPPER(TRIM($K$2))="NONBLANK",TRIM($K$2)="&lt;&gt;"),(IF('Final Calculation Sheet'!$I$36="","",'Final Calculation Sheet'!$I$36))&lt;&gt;"",UPPER(TRIM((IF('Final Calculation Sheet'!$I$36="","",'Final Calculation Sheet'!$I$36))&amp;""))=UPPER(TRIM($K$2&amp;"")))))</f>
        <v/>
      </c>
      <c r="L36">
        <f>IF($L$3=FALSE,TRUE,IF(OR(UPPER(TRIM($L$2))="(BLANK)",UPPER(TRIM($L$2))="BLANK",AND($L$2&lt;&gt;"",TRIM($L$2)="")),(IF('Final Calculation Sheet'!$J$36="","",'Final Calculation Sheet'!$J$36))="",IF(OR(UPPER(TRIM($L$2))="(NONBLANK)",UPPER(TRIM($L$2))="NONBLANK",TRIM($L$2)="&lt;&gt;"),(IF('Final Calculation Sheet'!$J$36="","",'Final Calculation Sheet'!$J$36))&lt;&gt;"",UPPER(TRIM((IF('Final Calculation Sheet'!$J$36="","",'Final Calculation Sheet'!$J$36))&amp;""))=UPPER(TRIM($L$2&amp;"")))))</f>
        <v/>
      </c>
      <c r="M36">
        <f>IF($M$3=FALSE,TRUE,IF(OR(UPPER(TRIM($M$2))="(BLANK)",UPPER(TRIM($M$2))="BLANK",AND($M$2&lt;&gt;"",TRIM($M$2)="")),(IF('Final Calculation Sheet'!$K$36="","",'Final Calculation Sheet'!$K$36))="",IF(OR(UPPER(TRIM($M$2))="(NONBLANK)",UPPER(TRIM($M$2))="NONBLANK",TRIM($M$2)="&lt;&gt;"),(IF('Final Calculation Sheet'!$K$36="","",'Final Calculation Sheet'!$K$36))&lt;&gt;"",UPPER(TRIM((IF('Final Calculation Sheet'!$K$36="","",'Final Calculation Sheet'!$K$36))&amp;""))=UPPER(TRIM($M$2&amp;"")))))</f>
        <v/>
      </c>
      <c r="N36">
        <f>IF($N$3=FALSE,TRUE,IF(OR(UPPER(TRIM($N$2))="(BLANK)",UPPER(TRIM($N$2))="BLANK",AND($N$2&lt;&gt;"",TRIM($N$2)="")),(IF('Final Calculation Sheet'!$L$36="","",'Final Calculation Sheet'!$L$36))="",IF(OR(UPPER(TRIM($N$2))="(NONBLANK)",UPPER(TRIM($N$2))="NONBLANK",TRIM($N$2)="&lt;&gt;"),(IF('Final Calculation Sheet'!$L$36="","",'Final Calculation Sheet'!$L$36))&lt;&gt;"",UPPER(TRIM((IF('Final Calculation Sheet'!$L$36="","",'Final Calculation Sheet'!$L$36))&amp;""))=UPPER(TRIM($N$2&amp;"")))))</f>
        <v/>
      </c>
      <c r="O36">
        <f>IF($O$3=FALSE,TRUE,IF(OR(UPPER(TRIM($O$2))="(BLANK)",UPPER(TRIM($O$2))="BLANK",AND($O$2&lt;&gt;"",TRIM($O$2)="")),(IF('Final Calculation Sheet'!$M$36="","",'Final Calculation Sheet'!$M$36))="",IF(OR(UPPER(TRIM($O$2))="(NONBLANK)",UPPER(TRIM($O$2))="NONBLANK",TRIM($O$2)="&lt;&gt;"),(IF('Final Calculation Sheet'!$M$36="","",'Final Calculation Sheet'!$M$36))&lt;&gt;"",UPPER(TRIM((IF('Final Calculation Sheet'!$M$36="","",'Final Calculation Sheet'!$M$36))&amp;""))=UPPER(TRIM($O$2&amp;"")))))</f>
        <v/>
      </c>
      <c r="P36">
        <f>IF($P$3=FALSE,TRUE,IF(OR(UPPER(TRIM($P$2))="(BLANK)",UPPER(TRIM($P$2))="BLANK",AND($P$2&lt;&gt;"",TRIM($P$2)="")),(IF('Final Calculation Sheet'!$N$36="","",'Final Calculation Sheet'!$N$36))="",IF(OR(UPPER(TRIM($P$2))="(NONBLANK)",UPPER(TRIM($P$2))="NONBLANK",TRIM($P$2)="&lt;&gt;"),(IF('Final Calculation Sheet'!$N$36="","",'Final Calculation Sheet'!$N$36))&lt;&gt;"",UPPER(TRIM((IF('Final Calculation Sheet'!$N$36="","",'Final Calculation Sheet'!$N$36))&amp;""))=UPPER(TRIM($P$2&amp;"")))))</f>
        <v/>
      </c>
      <c r="Q36">
        <f>IF($Q$3=FALSE,TRUE,IF(OR(UPPER(TRIM($Q$2))="(BLANK)",UPPER(TRIM($Q$2))="BLANK",AND($Q$2&lt;&gt;"",TRIM($Q$2)="")),(IF('Final Calculation Sheet'!$O$36="","",'Final Calculation Sheet'!$O$36))="",IF(OR(UPPER(TRIM($Q$2))="(NONBLANK)",UPPER(TRIM($Q$2))="NONBLANK",TRIM($Q$2)="&lt;&gt;"),(IF('Final Calculation Sheet'!$O$36="","",'Final Calculation Sheet'!$O$36))&lt;&gt;"",UPPER(TRIM((IF('Final Calculation Sheet'!$O$36="","",'Final Calculation Sheet'!$O$36))&amp;""))=UPPER(TRIM($Q$2&amp;"")))))</f>
        <v/>
      </c>
      <c r="R36">
        <f>IF($R$3=FALSE,TRUE,IF(OR(UPPER(TRIM($R$2))="(BLANK)",UPPER(TRIM($R$2))="BLANK",AND($R$2&lt;&gt;"",TRIM($R$2)="")),(IF('Final Calculation Sheet'!$P$36="","",'Final Calculation Sheet'!$P$36))="",IF(OR(UPPER(TRIM($R$2))="(NONBLANK)",UPPER(TRIM($R$2))="NONBLANK",TRIM($R$2)="&lt;&gt;"),(IF('Final Calculation Sheet'!$P$36="","",'Final Calculation Sheet'!$P$36))&lt;&gt;"",UPPER(TRIM((IF('Final Calculation Sheet'!$P$36="","",'Final Calculation Sheet'!$P$36))&amp;""))=UPPER(TRIM($R$2&amp;"")))))</f>
        <v/>
      </c>
      <c r="S36">
        <f>IF($S$3=FALSE,TRUE,IF(OR(UPPER(TRIM($S$2))="(BLANK)",UPPER(TRIM($S$2))="BLANK",AND($S$2&lt;&gt;"",TRIM($S$2)="")),(IF('Final Calculation Sheet'!$Q$36="","",'Final Calculation Sheet'!$Q$36))="",IF(OR(UPPER(TRIM($S$2))="(NONBLANK)",UPPER(TRIM($S$2))="NONBLANK",TRIM($S$2)="&lt;&gt;"),(IF('Final Calculation Sheet'!$Q$36="","",'Final Calculation Sheet'!$Q$36))&lt;&gt;"",UPPER(TRIM((IF('Final Calculation Sheet'!$Q$36="","",'Final Calculation Sheet'!$Q$36))&amp;""))=UPPER(TRIM($S$2&amp;"")))))</f>
        <v/>
      </c>
      <c r="T36">
        <f>IF($T$3=FALSE,TRUE,IF(OR(UPPER(TRIM($T$2))="(BLANK)",UPPER(TRIM($T$2))="BLANK",AND($T$2&lt;&gt;"",TRIM($T$2)="")),(IF('Final Calculation Sheet'!$R$36="","",'Final Calculation Sheet'!$R$36))="",IF(OR(UPPER(TRIM($T$2))="(NONBLANK)",UPPER(TRIM($T$2))="NONBLANK",TRIM($T$2)="&lt;&gt;"),(IF('Final Calculation Sheet'!$R$36="","",'Final Calculation Sheet'!$R$36))&lt;&gt;"",UPPER(TRIM((IF('Final Calculation Sheet'!$R$36="","",'Final Calculation Sheet'!$R$36))&amp;""))=UPPER(TRIM($T$2&amp;"")))))</f>
        <v/>
      </c>
      <c r="U36">
        <f>IF($U$3=FALSE,TRUE,IF(OR(UPPER(TRIM($U$2))="(BLANK)",UPPER(TRIM($U$2))="BLANK",AND($U$2&lt;&gt;"",TRIM($U$2)="")),(IF('Final Calculation Sheet'!$S$36="","",'Final Calculation Sheet'!$S$36))="",IF(OR(UPPER(TRIM($U$2))="(NONBLANK)",UPPER(TRIM($U$2))="NONBLANK",TRIM($U$2)="&lt;&gt;"),(IF('Final Calculation Sheet'!$S$36="","",'Final Calculation Sheet'!$S$36))&lt;&gt;"",UPPER(TRIM((IF('Final Calculation Sheet'!$S$36="","",'Final Calculation Sheet'!$S$36))&amp;""))=UPPER(TRIM($U$2&amp;"")))))</f>
        <v/>
      </c>
      <c r="V36">
        <f>IF($V$3=FALSE,TRUE,IF(OR(UPPER(TRIM($V$2))="(BLANK)",UPPER(TRIM($V$2))="BLANK",AND($V$2&lt;&gt;"",TRIM($V$2)="")),(IF('Final Calculation Sheet'!$T$36="","",'Final Calculation Sheet'!$T$36))="",IF(OR(UPPER(TRIM($V$2))="(NONBLANK)",UPPER(TRIM($V$2))="NONBLANK",TRIM($V$2)="&lt;&gt;"),(IF('Final Calculation Sheet'!$T$36="","",'Final Calculation Sheet'!$T$36))&lt;&gt;"",UPPER(TRIM((IF('Final Calculation Sheet'!$T$36="","",'Final Calculation Sheet'!$T$36))&amp;""))=UPPER(TRIM($V$2&amp;"")))))</f>
        <v/>
      </c>
      <c r="W36">
        <f>IF($W$3=FALSE,TRUE,IF(OR(UPPER(TRIM($W$2))="(BLANK)",UPPER(TRIM($W$2))="BLANK",AND($W$2&lt;&gt;"",TRIM($W$2)="")),(IF('Final Calculation Sheet'!$U$36="","",'Final Calculation Sheet'!$U$36))="",IF(OR(UPPER(TRIM($W$2))="(NONBLANK)",UPPER(TRIM($W$2))="NONBLANK",TRIM($W$2)="&lt;&gt;"),(IF('Final Calculation Sheet'!$U$36="","",'Final Calculation Sheet'!$U$36))&lt;&gt;"",UPPER(TRIM((IF('Final Calculation Sheet'!$U$36="","",'Final Calculation Sheet'!$U$36))&amp;""))=UPPER(TRIM($W$2&amp;"")))))</f>
        <v/>
      </c>
      <c r="X36">
        <f>IF($X$3=FALSE,TRUE,IF(OR(UPPER(TRIM($X$2))="(BLANK)",UPPER(TRIM($X$2))="BLANK",AND($X$2&lt;&gt;"",TRIM($X$2)="")),(IF('Final Calculation Sheet'!$V$36="","",'Final Calculation Sheet'!$V$36))="",IF(OR(UPPER(TRIM($X$2))="(NONBLANK)",UPPER(TRIM($X$2))="NONBLANK",TRIM($X$2)="&lt;&gt;"),(IF('Final Calculation Sheet'!$V$36="","",'Final Calculation Sheet'!$V$36))&lt;&gt;"",UPPER(TRIM((IF('Final Calculation Sheet'!$V$36="","",'Final Calculation Sheet'!$V$36))&amp;""))=UPPER(TRIM($X$2&amp;"")))))</f>
        <v/>
      </c>
      <c r="Y36">
        <f>IF($Y$3=FALSE,TRUE,IF(OR(UPPER(TRIM($Y$2))="(BLANK)",UPPER(TRIM($Y$2))="BLANK",AND($Y$2&lt;&gt;"",TRIM($Y$2)="")),(IF('Final Calculation Sheet'!$W$36="","",'Final Calculation Sheet'!$W$36))="",IF(OR(UPPER(TRIM($Y$2))="(NONBLANK)",UPPER(TRIM($Y$2))="NONBLANK",TRIM($Y$2)="&lt;&gt;"),(IF('Final Calculation Sheet'!$W$36="","",'Final Calculation Sheet'!$W$36))&lt;&gt;"",UPPER(TRIM((IF('Final Calculation Sheet'!$W$36="","",'Final Calculation Sheet'!$W$36))&amp;""))=UPPER(TRIM($Y$2&amp;"")))))</f>
        <v/>
      </c>
      <c r="Z36">
        <f>IF($Z$3=FALSE,TRUE,IF(OR(UPPER(TRIM($Z$2))="(BLANK)",UPPER(TRIM($Z$2))="BLANK",AND($Z$2&lt;&gt;"",TRIM($Z$2)="")),(IF('Final Calculation Sheet'!$X$36="","",'Final Calculation Sheet'!$X$36))="",IF(OR(UPPER(TRIM($Z$2))="(NONBLANK)",UPPER(TRIM($Z$2))="NONBLANK",TRIM($Z$2)="&lt;&gt;"),(IF('Final Calculation Sheet'!$X$36="","",'Final Calculation Sheet'!$X$36))&lt;&gt;"",UPPER(TRIM((IF('Final Calculation Sheet'!$X$36="","",'Final Calculation Sheet'!$X$36))&amp;""))=UPPER(TRIM($Z$2&amp;"")))))</f>
        <v/>
      </c>
      <c r="AA36">
        <f>IF($AA$3=FALSE,TRUE,IF(OR(UPPER(TRIM($AA$2))="(BLANK)",UPPER(TRIM($AA$2))="BLANK",AND($AA$2&lt;&gt;"",TRIM($AA$2)="")),(IF('Final Calculation Sheet'!$Y$36="","",'Final Calculation Sheet'!$Y$36))="",IF(OR(UPPER(TRIM($AA$2))="(NONBLANK)",UPPER(TRIM($AA$2))="NONBLANK",TRIM($AA$2)="&lt;&gt;"),(IF('Final Calculation Sheet'!$Y$36="","",'Final Calculation Sheet'!$Y$36))&lt;&gt;"",UPPER(TRIM((IF('Final Calculation Sheet'!$Y$36="","",'Final Calculation Sheet'!$Y$36))&amp;""))=UPPER(TRIM($AA$2&amp;"")))))</f>
        <v/>
      </c>
      <c r="AB36">
        <f>IF($AB$3=FALSE,TRUE,IF(OR(UPPER(TRIM($AB$2))="(BLANK)",UPPER(TRIM($AB$2))="BLANK",AND($AB$2&lt;&gt;"",TRIM($AB$2)="")),(IF('Final Calculation Sheet'!$Z$36="","",'Final Calculation Sheet'!$Z$36))="",IF(OR(UPPER(TRIM($AB$2))="(NONBLANK)",UPPER(TRIM($AB$2))="NONBLANK",TRIM($AB$2)="&lt;&gt;"),(IF('Final Calculation Sheet'!$Z$36="","",'Final Calculation Sheet'!$Z$36))&lt;&gt;"",UPPER(TRIM((IF('Final Calculation Sheet'!$Z$36="","",'Final Calculation Sheet'!$Z$36))&amp;""))=UPPER(TRIM($AB$2&amp;"")))))</f>
        <v/>
      </c>
      <c r="AC36">
        <f>IF($AC$3=FALSE,TRUE,IF(OR(UPPER(TRIM($AC$2))="(BLANK)",UPPER(TRIM($AC$2))="BLANK",AND($AC$2&lt;&gt;"",TRIM($AC$2)="")),(IF('Final Calculation Sheet'!$AA$36="","",'Final Calculation Sheet'!$AA$36))="",IF(OR(UPPER(TRIM($AC$2))="(NONBLANK)",UPPER(TRIM($AC$2))="NONBLANK",TRIM($AC$2)="&lt;&gt;"),(IF('Final Calculation Sheet'!$AA$36="","",'Final Calculation Sheet'!$AA$36))&lt;&gt;"",UPPER(TRIM((IF('Final Calculation Sheet'!$AA$36="","",'Final Calculation Sheet'!$AA$36))&amp;""))=UPPER(TRIM($AC$2&amp;"")))))</f>
        <v/>
      </c>
      <c r="AD36">
        <f>IF($AD$3=FALSE,TRUE,IF(OR(UPPER(TRIM($AD$2))="(BLANK)",UPPER(TRIM($AD$2))="BLANK",AND($AD$2&lt;&gt;"",TRIM($AD$2)="")),(IF('Final Calculation Sheet'!$AB$36="","",'Final Calculation Sheet'!$AB$36))="",IF(OR(UPPER(TRIM($AD$2))="(NONBLANK)",UPPER(TRIM($AD$2))="NONBLANK",TRIM($AD$2)="&lt;&gt;"),(IF('Final Calculation Sheet'!$AB$36="","",'Final Calculation Sheet'!$AB$36))&lt;&gt;"",UPPER(TRIM((IF('Final Calculation Sheet'!$AB$36="","",'Final Calculation Sheet'!$AB$36))&amp;""))=UPPER(TRIM($AD$2&amp;"")))))</f>
        <v/>
      </c>
      <c r="AE36">
        <f>IF($AE$3=FALSE,TRUE,IF(OR(UPPER(TRIM($AE$2))="(BLANK)",UPPER(TRIM($AE$2))="BLANK",AND($AE$2&lt;&gt;"",TRIM($AE$2)="")),(IF('Final Calculation Sheet'!$AC$36="","",'Final Calculation Sheet'!$AC$36))="",IF(OR(UPPER(TRIM($AE$2))="(NONBLANK)",UPPER(TRIM($AE$2))="NONBLANK",TRIM($AE$2)="&lt;&gt;"),(IF('Final Calculation Sheet'!$AC$36="","",'Final Calculation Sheet'!$AC$36))&lt;&gt;"",UPPER(TRIM((IF('Final Calculation Sheet'!$AC$36="","",'Final Calculation Sheet'!$AC$36))&amp;""))=UPPER(TRIM($AE$2&amp;"")))))</f>
        <v/>
      </c>
      <c r="AF36">
        <f>IF($AF$3=FALSE,TRUE,IF(OR(UPPER(TRIM($AF$2))="(BLANK)",UPPER(TRIM($AF$2))="BLANK",AND($AF$2&lt;&gt;"",TRIM($AF$2)="")),(IF('Final Calculation Sheet'!$AD$36="","",'Final Calculation Sheet'!$AD$36))="",IF(OR(UPPER(TRIM($AF$2))="(NONBLANK)",UPPER(TRIM($AF$2))="NONBLANK",TRIM($AF$2)="&lt;&gt;"),(IF('Final Calculation Sheet'!$AD$36="","",'Final Calculation Sheet'!$AD$36))&lt;&gt;"",UPPER(TRIM((IF('Final Calculation Sheet'!$AD$36="","",'Final Calculation Sheet'!$AD$36))&amp;""))=UPPER(TRIM($AF$2&amp;"")))))</f>
        <v/>
      </c>
      <c r="AG36">
        <f>IF($AG$3=FALSE,TRUE,IF(OR(UPPER(TRIM($AG$2))="(BLANK)",UPPER(TRIM($AG$2))="BLANK",AND($AG$2&lt;&gt;"",TRIM($AG$2)="")),(IF('Final Calculation Sheet'!$AE$36="","",'Final Calculation Sheet'!$AE$36))="",IF(OR(UPPER(TRIM($AG$2))="(NONBLANK)",UPPER(TRIM($AG$2))="NONBLANK",TRIM($AG$2)="&lt;&gt;"),(IF('Final Calculation Sheet'!$AE$36="","",'Final Calculation Sheet'!$AE$36))&lt;&gt;"",UPPER(TRIM((IF('Final Calculation Sheet'!$AE$36="","",'Final Calculation Sheet'!$AE$36))&amp;""))=UPPER(TRIM($AG$2&amp;"")))))</f>
        <v/>
      </c>
      <c r="AH36">
        <f>IF($AH$3=FALSE,TRUE,IF(OR(UPPER(TRIM($AH$2))="(BLANK)",UPPER(TRIM($AH$2))="BLANK",AND($AH$2&lt;&gt;"",TRIM($AH$2)="")),(IF('Final Calculation Sheet'!$AF$36="","",'Final Calculation Sheet'!$AF$36))="",IF(OR(UPPER(TRIM($AH$2))="(NONBLANK)",UPPER(TRIM($AH$2))="NONBLANK",TRIM($AH$2)="&lt;&gt;"),(IF('Final Calculation Sheet'!$AF$36="","",'Final Calculation Sheet'!$AF$36))&lt;&gt;"",UPPER(TRIM((IF('Final Calculation Sheet'!$AF$36="","",'Final Calculation Sheet'!$AF$36))&amp;""))=UPPER(TRIM($AH$2&amp;"")))))</f>
        <v/>
      </c>
      <c r="AI36">
        <f>IF($AI$3=FALSE,TRUE,IF(OR(UPPER(TRIM($AI$2))="(BLANK)",UPPER(TRIM($AI$2))="BLANK",AND($AI$2&lt;&gt;"",TRIM($AI$2)="")),(IF('Final Calculation Sheet'!$AG$36="","",'Final Calculation Sheet'!$AG$36))="",IF(OR(UPPER(TRIM($AI$2))="(NONBLANK)",UPPER(TRIM($AI$2))="NONBLANK",TRIM($AI$2)="&lt;&gt;"),(IF('Final Calculation Sheet'!$AG$36="","",'Final Calculation Sheet'!$AG$36))&lt;&gt;"",UPPER(TRIM((IF('Final Calculation Sheet'!$AG$36="","",'Final Calculation Sheet'!$AG$36))&amp;""))=UPPER(TRIM($AI$2&amp;"")))))</f>
        <v/>
      </c>
      <c r="AJ36">
        <f>IF($AJ$3=FALSE,TRUE,IF(OR(UPPER(TRIM($AJ$2))="(BLANK)",UPPER(TRIM($AJ$2))="BLANK",AND($AJ$2&lt;&gt;"",TRIM($AJ$2)="")),(IF('Final Calculation Sheet'!$AD$36="","",IF('Final Calculation Sheet'!$AD$36&lt;=5,"SETTLED","OUTSTANDING")))="",IF(OR(UPPER(TRIM($AJ$2))="(NONBLANK)",UPPER(TRIM($AJ$2))="NONBLANK",TRIM($AJ$2)="&lt;&gt;"),(IF('Final Calculation Sheet'!$AD$36="","",IF('Final Calculation Sheet'!$AD$36&lt;=5,"SETTLED","OUTSTANDING")))&lt;&gt;"",UPPER(TRIM((IF('Final Calculation Sheet'!$AD$36="","",IF('Final Calculation Sheet'!$AD$36&lt;=5,"SETTLED","OUTSTANDING")))&amp;""))=UPPER(TRIM($AJ$2&amp;"")))))</f>
        <v/>
      </c>
      <c r="AL36">
        <f>IF(AND($B$36,$D$36:$AJ$36),IF('Final Calculation Sheet'!$F$36="","",'Final Calculation Sheet'!$F$36),"")</f>
        <v/>
      </c>
      <c r="AM36">
        <f>IF(AL36="","",COUNTIFS(AL$4:AL$40,"&lt;"&amp;AL36,AL$4:AL$40,"&lt;&gt;"&amp;"")+COUNTIF(AL$4:AL36,AL36))</f>
        <v/>
      </c>
      <c r="AN36">
        <f>IF(ROW()-3&gt;COUNTIF(AL$4:AL$40,"&lt;&gt;"&amp;""),"",INDEX(AL$4:AL$40,MATCH(ROW()-3,AM$4:AM$40,0)))</f>
        <v/>
      </c>
      <c r="AO36">
        <f>AO35+IF(AND(AN36&lt;&gt;"",COUNTIF(AN$4:AN36,AN36)=1),1,0)</f>
        <v/>
      </c>
      <c r="AP36">
        <f>IF(ROW()-3&gt;MAX(AO$4:AO$40),"",INDEX(AN$4:AN$40,MATCH(ROW()-3,AO$4:AO$40,0)))</f>
        <v/>
      </c>
      <c r="AQ36">
        <f>IF(AND($B$36:$C$36,$E$36:$AJ$36),IF('Final Calculation Sheet'!$G$36="","",'Final Calculation Sheet'!$G$36),"")</f>
        <v/>
      </c>
      <c r="AR36">
        <f>IF(AQ36="","",COUNTIFS(AQ$4:AQ$40,"&lt;"&amp;AQ36,AQ$4:AQ$40,"&lt;&gt;"&amp;"")+COUNTIF(AQ$4:AQ36,AQ36))</f>
        <v/>
      </c>
      <c r="AS36">
        <f>IF(ROW()-3&gt;COUNTIF(AQ$4:AQ$40,"&lt;&gt;"&amp;""),"",INDEX(AQ$4:AQ$40,MATCH(ROW()-3,AR$4:AR$40,0)))</f>
        <v/>
      </c>
      <c r="AT36">
        <f>AT35+IF(AND(AS36&lt;&gt;"",COUNTIF(AS$4:AS36,AS36)=1),1,0)</f>
        <v/>
      </c>
      <c r="AU36">
        <f>IF(ROW()-3&gt;MAX(AT$4:AT$40),"",INDEX(AS$4:AS$40,MATCH(ROW()-3,AT$4:AT$40,0)))</f>
        <v/>
      </c>
      <c r="AV36">
        <f>IF(AND($B$36:$D$36,$F$36:$AJ$36),IF('Final Calculation Sheet'!$B$36="","",'Final Calculation Sheet'!$B$36),"")</f>
        <v/>
      </c>
      <c r="AW36">
        <f>IF(AV36="","",COUNTIFS(AV$4:AV$40,"&lt;"&amp;AV36,AV$4:AV$40,"&lt;&gt;"&amp;"")+COUNTIF(AV$4:AV36,AV36))</f>
        <v/>
      </c>
      <c r="AX36">
        <f>IF(ROW()-3&gt;COUNTIF(AV$4:AV$40,"&lt;&gt;"&amp;""),"",INDEX(AV$4:AV$40,MATCH(ROW()-3,AW$4:AW$40,0)))</f>
        <v/>
      </c>
      <c r="AY36">
        <f>AY35+IF(AND(AX36&lt;&gt;"",COUNTIF(AX$4:AX36,AX36)=1),1,0)</f>
        <v/>
      </c>
      <c r="AZ36">
        <f>IF(ROW()-3&gt;MAX(AY$4:AY$40),"",INDEX(AX$4:AX$40,MATCH(ROW()-3,AY$4:AY$40,0)))</f>
        <v/>
      </c>
      <c r="BA36">
        <f>IF(AND($B$36:$E$36,$G$36:$AJ$36),IF('Final Calculation Sheet'!$D$36="","",'Final Calculation Sheet'!$D$36),"")</f>
        <v/>
      </c>
      <c r="BB36">
        <f>IF(BA36="","",COUNTIFS(BA$4:BA$40,"&lt;"&amp;BA36,BA$4:BA$40,"&lt;&gt;"&amp;"")+COUNTIF(BA$4:BA36,BA36))</f>
        <v/>
      </c>
      <c r="BC36">
        <f>IF(ROW()-3&gt;COUNTIF(BA$4:BA$40,"&lt;&gt;"&amp;""),"",INDEX(BA$4:BA$40,MATCH(ROW()-3,BB$4:BB$40,0)))</f>
        <v/>
      </c>
      <c r="BD36">
        <f>BD35+IF(AND(BC36&lt;&gt;"",COUNTIF(BC$4:BC36,BC36)=1),1,0)</f>
        <v/>
      </c>
      <c r="BE36">
        <f>IF(ROW()-3&gt;MAX(BD$4:BD$40),"",INDEX(BC$4:BC$40,MATCH(ROW()-3,BD$4:BD$40,0)))</f>
        <v/>
      </c>
      <c r="BF36">
        <f>IF(AND($B$36:$F$36,$H$36:$AJ$36),IF('Final Calculation Sheet'!$A$36="","",'Final Calculation Sheet'!$A$36),"")</f>
        <v/>
      </c>
      <c r="BG36">
        <f>IF(BF36="","",COUNTIFS(BF$4:BF$40,"&lt;"&amp;BF36,BF$4:BF$40,"&lt;&gt;"&amp;"")+COUNTIF(BF$4:BF36,BF36))</f>
        <v/>
      </c>
      <c r="BH36">
        <f>IF(ROW()-3&gt;COUNTIF(BF$4:BF$40,"&lt;&gt;"&amp;""),"",INDEX(BF$4:BF$40,MATCH(ROW()-3,BG$4:BG$40,0)))</f>
        <v/>
      </c>
      <c r="BI36">
        <f>BI35+IF(AND(BH36&lt;&gt;"",COUNTIF(BH$4:BH36,BH36)=1),1,0)</f>
        <v/>
      </c>
      <c r="BJ36">
        <f>IF(ROW()-3&gt;MAX(BI$4:BI$40),"",INDEX(BH$4:BH$40,MATCH(ROW()-3,BI$4:BI$40,0)))</f>
        <v/>
      </c>
      <c r="BK36">
        <f>IF(AND($B$36:$G$36,$I$36:$AJ$36),IF('Final Calculation Sheet'!$E$36="","",'Final Calculation Sheet'!$E$36),"")</f>
        <v/>
      </c>
      <c r="BL36">
        <f>IF(BK36="","",COUNTIFS(BK$4:BK$40,"&lt;"&amp;BK36,BK$4:BK$40,"&lt;&gt;"&amp;"")+COUNTIF(BK$4:BK36,BK36))</f>
        <v/>
      </c>
      <c r="BM36">
        <f>IF(ROW()-3&gt;COUNTIF(BK$4:BK$40,"&lt;&gt;"&amp;""),"",INDEX(BK$4:BK$40,MATCH(ROW()-3,BL$4:BL$40,0)))</f>
        <v/>
      </c>
      <c r="BN36">
        <f>BN35+IF(AND(BM36&lt;&gt;"",COUNTIF(BM$4:BM36,BM36)=1),1,0)</f>
        <v/>
      </c>
      <c r="BO36">
        <f>IF(ROW()-3&gt;MAX(BN$4:BN$40),"",INDEX(BM$4:BM$40,MATCH(ROW()-3,BN$4:BN$40,0)))</f>
        <v/>
      </c>
      <c r="BP36" s="55">
        <f>IF(AND($B$36:$H$36,$J$36:$AJ$36),IF('Final Calculation Sheet'!$C$36="","",'Final Calculation Sheet'!$C$36),"")</f>
        <v/>
      </c>
      <c r="BQ36">
        <f>IF(BP36="","",COUNTIFS(BP$4:BP$40,"&lt;"&amp;BP36,BP$4:BP$40,"&lt;&gt;"&amp;"")+COUNTIF(BP$4:BP36,BP36))</f>
        <v/>
      </c>
      <c r="BR36" s="55">
        <f>IF(ROW()-3&gt;COUNTIF(BP$4:BP$40,"&lt;&gt;"&amp;""),"",INDEX(BP$4:BP$40,MATCH(ROW()-3,BQ$4:BQ$40,0)))</f>
        <v/>
      </c>
      <c r="BS36">
        <f>BS35+IF(AND(BR36&lt;&gt;"",COUNTIF(BR$4:BR36,BR36)=1),1,0)</f>
        <v/>
      </c>
      <c r="BT36" s="55">
        <f>IF(ROW()-3&gt;MAX(BS$4:BS$40),"",INDEX(BR$4:BR$40,MATCH(ROW()-3,BS$4:BS$40,0)))</f>
        <v/>
      </c>
      <c r="BU36" s="55">
        <f>IF(AND($B$36:$I$36,$K$36:$AJ$36),IF('Final Calculation Sheet'!$H$36="","",'Final Calculation Sheet'!$H$36),"")</f>
        <v/>
      </c>
      <c r="BV36">
        <f>IF(BU36="","",COUNTIFS(BU$4:BU$40,"&lt;"&amp;BU36,BU$4:BU$40,"&lt;&gt;"&amp;"")+COUNTIF(BU$4:BU36,BU36))</f>
        <v/>
      </c>
      <c r="BW36" s="55">
        <f>IF(ROW()-3&gt;COUNTIF(BU$4:BU$40,"&lt;&gt;"&amp;""),"",INDEX(BU$4:BU$40,MATCH(ROW()-3,BV$4:BV$40,0)))</f>
        <v/>
      </c>
      <c r="BX36">
        <f>BX35+IF(AND(BW36&lt;&gt;"",COUNTIF(BW$4:BW36,BW36)=1),1,0)</f>
        <v/>
      </c>
      <c r="BY36" s="55">
        <f>IF(ROW()-3&gt;MAX(BX$4:BX$40),"",INDEX(BW$4:BW$40,MATCH(ROW()-3,BX$4:BX$40,0)))</f>
        <v/>
      </c>
      <c r="BZ36" s="55">
        <f>IF(AND($B$36:$J$36,$L$36:$AJ$36),IF('Final Calculation Sheet'!$I$36="","",'Final Calculation Sheet'!$I$36),"")</f>
        <v/>
      </c>
      <c r="CA36">
        <f>IF(BZ36="","",COUNTIFS(BZ$4:BZ$40,"&lt;"&amp;BZ36,BZ$4:BZ$40,"&lt;&gt;"&amp;"")+COUNTIF(BZ$4:BZ36,BZ36))</f>
        <v/>
      </c>
      <c r="CB36" s="55">
        <f>IF(ROW()-3&gt;COUNTIF(BZ$4:BZ$40,"&lt;&gt;"&amp;""),"",INDEX(BZ$4:BZ$40,MATCH(ROW()-3,CA$4:CA$40,0)))</f>
        <v/>
      </c>
      <c r="CC36">
        <f>CC35+IF(AND(CB36&lt;&gt;"",COUNTIF(CB$4:CB36,CB36)=1),1,0)</f>
        <v/>
      </c>
      <c r="CD36" s="55">
        <f>IF(ROW()-3&gt;MAX(CC$4:CC$40),"",INDEX(CB$4:CB$40,MATCH(ROW()-3,CC$4:CC$40,0)))</f>
        <v/>
      </c>
      <c r="CE36" s="55">
        <f>IF(AND($B$36:$K$36,$M$36:$AJ$36),IF('Final Calculation Sheet'!$J$36="","",'Final Calculation Sheet'!$J$36),"")</f>
        <v/>
      </c>
      <c r="CF36">
        <f>IF(CE36="","",COUNTIFS(CE$4:CE$40,"&lt;"&amp;CE36,CE$4:CE$40,"&lt;&gt;"&amp;"")+COUNTIF(CE$4:CE36,CE36))</f>
        <v/>
      </c>
      <c r="CG36" s="55">
        <f>IF(ROW()-3&gt;COUNTIF(CE$4:CE$40,"&lt;&gt;"&amp;""),"",INDEX(CE$4:CE$40,MATCH(ROW()-3,CF$4:CF$40,0)))</f>
        <v/>
      </c>
      <c r="CH36">
        <f>CH35+IF(AND(CG36&lt;&gt;"",COUNTIF(CG$4:CG36,CG36)=1),1,0)</f>
        <v/>
      </c>
      <c r="CI36" s="55">
        <f>IF(ROW()-3&gt;MAX(CH$4:CH$40),"",INDEX(CG$4:CG$40,MATCH(ROW()-3,CH$4:CH$40,0)))</f>
        <v/>
      </c>
      <c r="CJ36" s="55">
        <f>IF(AND($B$36:$L$36,$N$36:$AJ$36),IF('Final Calculation Sheet'!$K$36="","",'Final Calculation Sheet'!$K$36),"")</f>
        <v/>
      </c>
      <c r="CK36">
        <f>IF(CJ36="","",COUNTIFS(CJ$4:CJ$40,"&lt;"&amp;CJ36,CJ$4:CJ$40,"&lt;&gt;"&amp;"")+COUNTIF(CJ$4:CJ36,CJ36))</f>
        <v/>
      </c>
      <c r="CL36" s="55">
        <f>IF(ROW()-3&gt;COUNTIF(CJ$4:CJ$40,"&lt;&gt;"&amp;""),"",INDEX(CJ$4:CJ$40,MATCH(ROW()-3,CK$4:CK$40,0)))</f>
        <v/>
      </c>
      <c r="CM36">
        <f>CM35+IF(AND(CL36&lt;&gt;"",COUNTIF(CL$4:CL36,CL36)=1),1,0)</f>
        <v/>
      </c>
      <c r="CN36" s="55">
        <f>IF(ROW()-3&gt;MAX(CM$4:CM$40),"",INDEX(CL$4:CL$40,MATCH(ROW()-3,CM$4:CM$40,0)))</f>
        <v/>
      </c>
      <c r="CO36" s="55">
        <f>IF(AND($B$36:$M$36,$O$36:$AJ$36),IF('Final Calculation Sheet'!$L$36="","",'Final Calculation Sheet'!$L$36),"")</f>
        <v/>
      </c>
      <c r="CP36">
        <f>IF(CO36="","",COUNTIFS(CO$4:CO$40,"&lt;"&amp;CO36,CO$4:CO$40,"&lt;&gt;"&amp;"")+COUNTIF(CO$4:CO36,CO36))</f>
        <v/>
      </c>
      <c r="CQ36" s="55">
        <f>IF(ROW()-3&gt;COUNTIF(CO$4:CO$40,"&lt;&gt;"&amp;""),"",INDEX(CO$4:CO$40,MATCH(ROW()-3,CP$4:CP$40,0)))</f>
        <v/>
      </c>
      <c r="CR36">
        <f>CR35+IF(AND(CQ36&lt;&gt;"",COUNTIF(CQ$4:CQ36,CQ36)=1),1,0)</f>
        <v/>
      </c>
      <c r="CS36" s="55">
        <f>IF(ROW()-3&gt;MAX(CR$4:CR$40),"",INDEX(CQ$4:CQ$40,MATCH(ROW()-3,CR$4:CR$40,0)))</f>
        <v/>
      </c>
      <c r="CT36" s="55">
        <f>IF(AND($B$36:$N$36,$P$36:$AJ$36),IF('Final Calculation Sheet'!$M$36="","",'Final Calculation Sheet'!$M$36),"")</f>
        <v/>
      </c>
      <c r="CU36">
        <f>IF(CT36="","",COUNTIFS(CT$4:CT$40,"&lt;"&amp;CT36,CT$4:CT$40,"&lt;&gt;"&amp;"")+COUNTIF(CT$4:CT36,CT36))</f>
        <v/>
      </c>
      <c r="CV36" s="55">
        <f>IF(ROW()-3&gt;COUNTIF(CT$4:CT$40,"&lt;&gt;"&amp;""),"",INDEX(CT$4:CT$40,MATCH(ROW()-3,CU$4:CU$40,0)))</f>
        <v/>
      </c>
      <c r="CW36">
        <f>CW35+IF(AND(CV36&lt;&gt;"",COUNTIF(CV$4:CV36,CV36)=1),1,0)</f>
        <v/>
      </c>
      <c r="CX36" s="55">
        <f>IF(ROW()-3&gt;MAX(CW$4:CW$40),"",INDEX(CV$4:CV$40,MATCH(ROW()-3,CW$4:CW$40,0)))</f>
        <v/>
      </c>
      <c r="CY36" s="138">
        <f>IF(AND($B$36:$O$36,$Q$36:$AJ$36),IF('Final Calculation Sheet'!$N$36="","",'Final Calculation Sheet'!$N$36),"")</f>
        <v/>
      </c>
      <c r="CZ36">
        <f>IF(CY36="","",COUNTIFS(CY$4:CY$40,"&lt;"&amp;CY36,CY$4:CY$40,"&lt;&gt;"&amp;"")+COUNTIF(CY$4:CY36,CY36))</f>
        <v/>
      </c>
      <c r="DA36" s="138">
        <f>IF(ROW()-3&gt;COUNTIF(CY$4:CY$40,"&lt;&gt;"&amp;""),"",INDEX(CY$4:CY$40,MATCH(ROW()-3,CZ$4:CZ$40,0)))</f>
        <v/>
      </c>
      <c r="DB36">
        <f>DB35+IF(AND(DA36&lt;&gt;"",COUNTIF(DA$4:DA36,DA36)=1),1,0)</f>
        <v/>
      </c>
      <c r="DC36" s="138">
        <f>IF(ROW()-3&gt;MAX(DB$4:DB$40),"",INDEX(DA$4:DA$40,MATCH(ROW()-3,DB$4:DB$40,0)))</f>
        <v/>
      </c>
      <c r="DD36" s="55">
        <f>IF(AND($B$36:$P$36,$R$36:$AJ$36),IF('Final Calculation Sheet'!$O$36="","",'Final Calculation Sheet'!$O$36),"")</f>
        <v/>
      </c>
      <c r="DE36">
        <f>IF(DD36="","",COUNTIFS(DD$4:DD$40,"&lt;"&amp;DD36,DD$4:DD$40,"&lt;&gt;"&amp;"")+COUNTIF(DD$4:DD36,DD36))</f>
        <v/>
      </c>
      <c r="DF36" s="55">
        <f>IF(ROW()-3&gt;COUNTIF(DD$4:DD$40,"&lt;&gt;"&amp;""),"",INDEX(DD$4:DD$40,MATCH(ROW()-3,DE$4:DE$40,0)))</f>
        <v/>
      </c>
      <c r="DG36">
        <f>DG35+IF(AND(DF36&lt;&gt;"",COUNTIF(DF$4:DF36,DF36)=1),1,0)</f>
        <v/>
      </c>
      <c r="DH36" s="55">
        <f>IF(ROW()-3&gt;MAX(DG$4:DG$40),"",INDEX(DF$4:DF$40,MATCH(ROW()-3,DG$4:DG$40,0)))</f>
        <v/>
      </c>
      <c r="DI36" s="55">
        <f>IF(AND($B$36:$Q$36,$S$36:$AJ$36),IF('Final Calculation Sheet'!$P$36="","",'Final Calculation Sheet'!$P$36),"")</f>
        <v/>
      </c>
      <c r="DJ36">
        <f>IF(DI36="","",COUNTIFS(DI$4:DI$40,"&lt;"&amp;DI36,DI$4:DI$40,"&lt;&gt;"&amp;"")+COUNTIF(DI$4:DI36,DI36))</f>
        <v/>
      </c>
      <c r="DK36" s="55">
        <f>IF(ROW()-3&gt;COUNTIF(DI$4:DI$40,"&lt;&gt;"&amp;""),"",INDEX(DI$4:DI$40,MATCH(ROW()-3,DJ$4:DJ$40,0)))</f>
        <v/>
      </c>
      <c r="DL36">
        <f>DL35+IF(AND(DK36&lt;&gt;"",COUNTIF(DK$4:DK36,DK36)=1),1,0)</f>
        <v/>
      </c>
      <c r="DM36" s="55">
        <f>IF(ROW()-3&gt;MAX(DL$4:DL$40),"",INDEX(DK$4:DK$40,MATCH(ROW()-3,DL$4:DL$40,0)))</f>
        <v/>
      </c>
      <c r="DN36" s="139">
        <f>IF(AND($B$36:$R$36,$T$36:$AJ$36),IF('Final Calculation Sheet'!$Q$36="","",'Final Calculation Sheet'!$Q$36),"")</f>
        <v/>
      </c>
      <c r="DO36">
        <f>IF(DN36="","",COUNTIFS(DN$4:DN$40,"&lt;"&amp;DN36,DN$4:DN$40,"&lt;&gt;"&amp;"")+COUNTIF(DN$4:DN36,DN36))</f>
        <v/>
      </c>
      <c r="DP36" s="139">
        <f>IF(ROW()-3&gt;COUNTIF(DN$4:DN$40,"&lt;&gt;"&amp;""),"",INDEX(DN$4:DN$40,MATCH(ROW()-3,DO$4:DO$40,0)))</f>
        <v/>
      </c>
      <c r="DQ36">
        <f>DQ35+IF(AND(DP36&lt;&gt;"",COUNTIF(DP$4:DP36,DP36)=1),1,0)</f>
        <v/>
      </c>
      <c r="DR36" s="139">
        <f>IF(ROW()-3&gt;MAX(DQ$4:DQ$40),"",INDEX(DP$4:DP$40,MATCH(ROW()-3,DQ$4:DQ$40,0)))</f>
        <v/>
      </c>
      <c r="DS36" s="55">
        <f>IF(AND($B$36:$S$36,$U$36:$AJ$36),IF('Final Calculation Sheet'!$R$36="","",'Final Calculation Sheet'!$R$36),"")</f>
        <v/>
      </c>
      <c r="DT36">
        <f>IF(DS36="","",COUNTIFS(DS$4:DS$40,"&lt;"&amp;DS36,DS$4:DS$40,"&lt;&gt;"&amp;"")+COUNTIF(DS$4:DS36,DS36))</f>
        <v/>
      </c>
      <c r="DU36" s="55">
        <f>IF(ROW()-3&gt;COUNTIF(DS$4:DS$40,"&lt;&gt;"&amp;""),"",INDEX(DS$4:DS$40,MATCH(ROW()-3,DT$4:DT$40,0)))</f>
        <v/>
      </c>
      <c r="DV36">
        <f>DV35+IF(AND(DU36&lt;&gt;"",COUNTIF(DU$4:DU36,DU36)=1),1,0)</f>
        <v/>
      </c>
      <c r="DW36" s="55">
        <f>IF(ROW()-3&gt;MAX(DV$4:DV$40),"",INDEX(DU$4:DU$40,MATCH(ROW()-3,DV$4:DV$40,0)))</f>
        <v/>
      </c>
      <c r="DX36" s="55">
        <f>IF(AND($B$36:$T$36,$V$36:$AJ$36),IF('Final Calculation Sheet'!$S$36="","",'Final Calculation Sheet'!$S$36),"")</f>
        <v/>
      </c>
      <c r="DY36">
        <f>IF(DX36="","",COUNTIFS(DX$4:DX$40,"&lt;"&amp;DX36,DX$4:DX$40,"&lt;&gt;"&amp;"")+COUNTIF(DX$4:DX36,DX36))</f>
        <v/>
      </c>
      <c r="DZ36" s="55">
        <f>IF(ROW()-3&gt;COUNTIF(DX$4:DX$40,"&lt;&gt;"&amp;""),"",INDEX(DX$4:DX$40,MATCH(ROW()-3,DY$4:DY$40,0)))</f>
        <v/>
      </c>
      <c r="EA36">
        <f>EA35+IF(AND(DZ36&lt;&gt;"",COUNTIF(DZ$4:DZ36,DZ36)=1),1,0)</f>
        <v/>
      </c>
      <c r="EB36" s="55">
        <f>IF(ROW()-3&gt;MAX(EA$4:EA$40),"",INDEX(DZ$4:DZ$40,MATCH(ROW()-3,EA$4:EA$40,0)))</f>
        <v/>
      </c>
      <c r="EC36" s="55">
        <f>IF(AND($B$36:$U$36,$W$36:$AJ$36),IF('Final Calculation Sheet'!$T$36="","",'Final Calculation Sheet'!$T$36),"")</f>
        <v/>
      </c>
      <c r="ED36">
        <f>IF(EC36="","",COUNTIFS(EC$4:EC$40,"&lt;"&amp;EC36,EC$4:EC$40,"&lt;&gt;"&amp;"")+COUNTIF(EC$4:EC36,EC36))</f>
        <v/>
      </c>
      <c r="EE36" s="55">
        <f>IF(ROW()-3&gt;COUNTIF(EC$4:EC$40,"&lt;&gt;"&amp;""),"",INDEX(EC$4:EC$40,MATCH(ROW()-3,ED$4:ED$40,0)))</f>
        <v/>
      </c>
      <c r="EF36">
        <f>EF35+IF(AND(EE36&lt;&gt;"",COUNTIF(EE$4:EE36,EE36)=1),1,0)</f>
        <v/>
      </c>
      <c r="EG36" s="55">
        <f>IF(ROW()-3&gt;MAX(EF$4:EF$40),"",INDEX(EE$4:EE$40,MATCH(ROW()-3,EF$4:EF$40,0)))</f>
        <v/>
      </c>
      <c r="EH36" s="140">
        <f>IF(AND($B$36:$V$36,$X$36:$AJ$36),IF('Final Calculation Sheet'!$U$36="","",'Final Calculation Sheet'!$U$36),"")</f>
        <v/>
      </c>
      <c r="EI36">
        <f>IF(EH36="","",COUNTIFS(EH$4:EH$40,"&lt;"&amp;EH36,EH$4:EH$40,"&lt;&gt;"&amp;"")+COUNTIF(EH$4:EH36,EH36))</f>
        <v/>
      </c>
      <c r="EJ36" s="140">
        <f>IF(ROW()-3&gt;COUNTIF(EH$4:EH$40,"&lt;&gt;"&amp;""),"",INDEX(EH$4:EH$40,MATCH(ROW()-3,EI$4:EI$40,0)))</f>
        <v/>
      </c>
      <c r="EK36">
        <f>EK35+IF(AND(EJ36&lt;&gt;"",COUNTIF(EJ$4:EJ36,EJ36)=1),1,0)</f>
        <v/>
      </c>
      <c r="EL36" s="140">
        <f>IF(ROW()-3&gt;MAX(EK$4:EK$40),"",INDEX(EJ$4:EJ$40,MATCH(ROW()-3,EK$4:EK$40,0)))</f>
        <v/>
      </c>
      <c r="EM36">
        <f>IF(AND($B$36:$W$36,$Y$36:$AJ$36),IF('Final Calculation Sheet'!$V$36="","",'Final Calculation Sheet'!$V$36),"")</f>
        <v/>
      </c>
      <c r="EN36">
        <f>IF(EM36="","",COUNTIFS(EM$4:EM$40,"&lt;"&amp;EM36,EM$4:EM$40,"&lt;&gt;"&amp;"")+COUNTIF(EM$4:EM36,EM36))</f>
        <v/>
      </c>
      <c r="EO36">
        <f>IF(ROW()-3&gt;COUNTIF(EM$4:EM$40,"&lt;&gt;"&amp;""),"",INDEX(EM$4:EM$40,MATCH(ROW()-3,EN$4:EN$40,0)))</f>
        <v/>
      </c>
      <c r="EP36">
        <f>EP35+IF(AND(EO36&lt;&gt;"",COUNTIF(EO$4:EO36,EO36)=1),1,0)</f>
        <v/>
      </c>
      <c r="EQ36">
        <f>IF(ROW()-3&gt;MAX(EP$4:EP$40),"",INDEX(EO$4:EO$40,MATCH(ROW()-3,EP$4:EP$40,0)))</f>
        <v/>
      </c>
      <c r="ER36" s="55">
        <f>IF(AND($B$36:$X$36,$Z$36:$AJ$36),IF('Final Calculation Sheet'!$W$36="","",'Final Calculation Sheet'!$W$36),"")</f>
        <v/>
      </c>
      <c r="ES36">
        <f>IF(ER36="","",COUNTIFS(ER$4:ER$40,"&lt;"&amp;ER36,ER$4:ER$40,"&lt;&gt;"&amp;"")+COUNTIF(ER$4:ER36,ER36))</f>
        <v/>
      </c>
      <c r="ET36" s="55">
        <f>IF(ROW()-3&gt;COUNTIF(ER$4:ER$40,"&lt;&gt;"&amp;""),"",INDEX(ER$4:ER$40,MATCH(ROW()-3,ES$4:ES$40,0)))</f>
        <v/>
      </c>
      <c r="EU36">
        <f>EU35+IF(AND(ET36&lt;&gt;"",COUNTIF(ET$4:ET36,ET36)=1),1,0)</f>
        <v/>
      </c>
      <c r="EV36" s="55">
        <f>IF(ROW()-3&gt;MAX(EU$4:EU$40),"",INDEX(ET$4:ET$40,MATCH(ROW()-3,EU$4:EU$40,0)))</f>
        <v/>
      </c>
      <c r="EW36" s="55">
        <f>IF(AND($B$36:$Y$36,$AA$36:$AJ$36),IF('Final Calculation Sheet'!$X$36="","",'Final Calculation Sheet'!$X$36),"")</f>
        <v/>
      </c>
      <c r="EX36">
        <f>IF(EW36="","",COUNTIFS(EW$4:EW$40,"&lt;"&amp;EW36,EW$4:EW$40,"&lt;&gt;"&amp;"")+COUNTIF(EW$4:EW36,EW36))</f>
        <v/>
      </c>
      <c r="EY36" s="55">
        <f>IF(ROW()-3&gt;COUNTIF(EW$4:EW$40,"&lt;&gt;"&amp;""),"",INDEX(EW$4:EW$40,MATCH(ROW()-3,EX$4:EX$40,0)))</f>
        <v/>
      </c>
      <c r="EZ36">
        <f>EZ35+IF(AND(EY36&lt;&gt;"",COUNTIF(EY$4:EY36,EY36)=1),1,0)</f>
        <v/>
      </c>
      <c r="FA36">
        <f>IF(ROW()-3&gt;MAX(EZ$4:EZ$40),"",INDEX(EY$4:EY$40,MATCH(ROW()-3,EZ$4:EZ$40,0)))</f>
        <v/>
      </c>
      <c r="FB36">
        <f>IF(AND($B$36:$Z$36,$AB$36:$AJ$36),IF('Final Calculation Sheet'!$Y$36="","",'Final Calculation Sheet'!$Y$36),"")</f>
        <v/>
      </c>
      <c r="FC36">
        <f>IF(FB36="","",COUNTIFS(FB$4:FB$40,"&lt;"&amp;FB36,FB$4:FB$40,"&lt;&gt;"&amp;"")+COUNTIF(FB$4:FB36,FB36))</f>
        <v/>
      </c>
      <c r="FD36">
        <f>IF(ROW()-3&gt;COUNTIF(FB$4:FB$40,"&lt;&gt;"&amp;""),"",INDEX(FB$4:FB$40,MATCH(ROW()-3,FC$4:FC$40,0)))</f>
        <v/>
      </c>
      <c r="FE36">
        <f>FE35+IF(AND(FD36&lt;&gt;"",COUNTIF(FD$4:FD36,FD36)=1),1,0)</f>
        <v/>
      </c>
      <c r="FF36">
        <f>IF(ROW()-3&gt;MAX(FE$4:FE$40),"",INDEX(FD$4:FD$40,MATCH(ROW()-3,FE$4:FE$40,0)))</f>
        <v/>
      </c>
      <c r="FG36" s="55">
        <f>IF(AND($B$36:$AA$36,$AC$36:$AJ$36),IF('Final Calculation Sheet'!$Z$36="","",'Final Calculation Sheet'!$Z$36),"")</f>
        <v/>
      </c>
      <c r="FH36">
        <f>IF(FG36="","",COUNTIFS(FG$4:FG$40,"&lt;"&amp;FG36,FG$4:FG$40,"&lt;&gt;"&amp;"")+COUNTIF(FG$4:FG36,FG36))</f>
        <v/>
      </c>
      <c r="FI36" s="55">
        <f>IF(ROW()-3&gt;COUNTIF(FG$4:FG$40,"&lt;&gt;"&amp;""),"",INDEX(FG$4:FG$40,MATCH(ROW()-3,FH$4:FH$40,0)))</f>
        <v/>
      </c>
      <c r="FJ36">
        <f>FJ35+IF(AND(FI36&lt;&gt;"",COUNTIF(FI$4:FI36,FI36)=1),1,0)</f>
        <v/>
      </c>
      <c r="FK36" s="55">
        <f>IF(ROW()-3&gt;MAX(FJ$4:FJ$40),"",INDEX(FI$4:FI$40,MATCH(ROW()-3,FJ$4:FJ$40,0)))</f>
        <v/>
      </c>
      <c r="FL36">
        <f>IF(AND($B$36:$AB$36,$AD$36:$AJ$36),IF('Final Calculation Sheet'!$AA$36="","",'Final Calculation Sheet'!$AA$36),"")</f>
        <v/>
      </c>
      <c r="FM36">
        <f>IF(FL36="","",COUNTIFS(FL$4:FL$40,"&lt;"&amp;FL36,FL$4:FL$40,"&lt;&gt;"&amp;"")+COUNTIF(FL$4:FL36,FL36))</f>
        <v/>
      </c>
      <c r="FN36">
        <f>IF(ROW()-3&gt;COUNTIF(FL$4:FL$40,"&lt;&gt;"&amp;""),"",INDEX(FL$4:FL$40,MATCH(ROW()-3,FM$4:FM$40,0)))</f>
        <v/>
      </c>
      <c r="FO36">
        <f>FO35+IF(AND(FN36&lt;&gt;"",COUNTIF(FN$4:FN36,FN36)=1),1,0)</f>
        <v/>
      </c>
      <c r="FP36">
        <f>IF(ROW()-3&gt;MAX(FO$4:FO$40),"",INDEX(FN$4:FN$40,MATCH(ROW()-3,FO$4:FO$40,0)))</f>
        <v/>
      </c>
      <c r="FQ36">
        <f>IF(AND($B$36:$AC$36,$AE$36:$AJ$36),IF('Final Calculation Sheet'!$AB$36="","",'Final Calculation Sheet'!$AB$36),"")</f>
        <v/>
      </c>
      <c r="FR36">
        <f>IF(FQ36="","",COUNTIFS(FQ$4:FQ$40,"&lt;"&amp;FQ36,FQ$4:FQ$40,"&lt;&gt;"&amp;"")+COUNTIF(FQ$4:FQ36,FQ36))</f>
        <v/>
      </c>
      <c r="FS36">
        <f>IF(ROW()-3&gt;COUNTIF(FQ$4:FQ$40,"&lt;&gt;"&amp;""),"",INDEX(FQ$4:FQ$40,MATCH(ROW()-3,FR$4:FR$40,0)))</f>
        <v/>
      </c>
      <c r="FT36">
        <f>FT35+IF(AND(FS36&lt;&gt;"",COUNTIF(FS$4:FS36,FS36)=1),1,0)</f>
        <v/>
      </c>
      <c r="FU36">
        <f>IF(ROW()-3&gt;MAX(FT$4:FT$40),"",INDEX(FS$4:FS$40,MATCH(ROW()-3,FT$4:FT$40,0)))</f>
        <v/>
      </c>
      <c r="FV36" s="55">
        <f>IF(AND($B$36:$AD$36,$AF$36:$AJ$36),IF('Final Calculation Sheet'!$AC$36="","",'Final Calculation Sheet'!$AC$36),"")</f>
        <v/>
      </c>
      <c r="FW36">
        <f>IF(FV36="","",COUNTIFS(FV$4:FV$40,"&lt;"&amp;FV36,FV$4:FV$40,"&lt;&gt;"&amp;"")+COUNTIF(FV$4:FV36,FV36))</f>
        <v/>
      </c>
      <c r="FX36" s="55">
        <f>IF(ROW()-3&gt;COUNTIF(FV$4:FV$40,"&lt;&gt;"&amp;""),"",INDEX(FV$4:FV$40,MATCH(ROW()-3,FW$4:FW$40,0)))</f>
        <v/>
      </c>
      <c r="FY36">
        <f>FY35+IF(AND(FX36&lt;&gt;"",COUNTIF(FX$4:FX36,FX36)=1),1,0)</f>
        <v/>
      </c>
      <c r="FZ36" s="55">
        <f>IF(ROW()-3&gt;MAX(FY$4:FY$40),"",INDEX(FX$4:FX$40,MATCH(ROW()-3,FY$4:FY$40,0)))</f>
        <v/>
      </c>
      <c r="GA36" s="55">
        <f>IF(AND($B$36:$AE$36,$AG$36:$AJ$36),IF('Final Calculation Sheet'!$AD$36="","",'Final Calculation Sheet'!$AD$36),"")</f>
        <v/>
      </c>
      <c r="GB36">
        <f>IF(GA36="","",COUNTIFS(GA$4:GA$40,"&lt;"&amp;GA36,GA$4:GA$40,"&lt;&gt;"&amp;"")+COUNTIF(GA$4:GA36,GA36))</f>
        <v/>
      </c>
      <c r="GC36" s="55">
        <f>IF(ROW()-3&gt;COUNTIF(GA$4:GA$40,"&lt;&gt;"&amp;""),"",INDEX(GA$4:GA$40,MATCH(ROW()-3,GB$4:GB$40,0)))</f>
        <v/>
      </c>
      <c r="GD36">
        <f>GD35+IF(AND(GC36&lt;&gt;"",COUNTIF(GC$4:GC36,GC36)=1),1,0)</f>
        <v/>
      </c>
      <c r="GE36" s="55">
        <f>IF(ROW()-3&gt;MAX(GD$4:GD$40),"",INDEX(GC$4:GC$40,MATCH(ROW()-3,GD$4:GD$40,0)))</f>
        <v/>
      </c>
      <c r="GF36">
        <f>IF(AND($B$36:$AF$36,$AH$36:$AJ$36),IF('Final Calculation Sheet'!$AE$36="","",'Final Calculation Sheet'!$AE$36),"")</f>
        <v/>
      </c>
      <c r="GG36">
        <f>IF(GF36="","",COUNTIFS(GF$4:GF$40,"&lt;"&amp;GF36,GF$4:GF$40,"&lt;&gt;"&amp;"")+COUNTIF(GF$4:GF36,GF36))</f>
        <v/>
      </c>
      <c r="GH36">
        <f>IF(ROW()-3&gt;COUNTIF(GF$4:GF$40,"&lt;&gt;"&amp;""),"",INDEX(GF$4:GF$40,MATCH(ROW()-3,GG$4:GG$40,0)))</f>
        <v/>
      </c>
      <c r="GI36">
        <f>GI35+IF(AND(GH36&lt;&gt;"",COUNTIF(GH$4:GH36,GH36)=1),1,0)</f>
        <v/>
      </c>
      <c r="GJ36">
        <f>IF(ROW()-3&gt;MAX(GI$4:GI$40),"",INDEX(GH$4:GH$40,MATCH(ROW()-3,GI$4:GI$40,0)))</f>
        <v/>
      </c>
      <c r="GK36" s="141">
        <f>IF(AND($B$36:$AG$36,$AI$36:$AJ$36),IF('Final Calculation Sheet'!$AF$36="","",'Final Calculation Sheet'!$AF$36),"")</f>
        <v/>
      </c>
      <c r="GL36">
        <f>IF(GK36="","",COUNTIFS(GK$4:GK$40,"&lt;"&amp;GK36,GK$4:GK$40,"&lt;&gt;"&amp;"")+COUNTIF(GK$4:GK36,GK36))</f>
        <v/>
      </c>
      <c r="GM36" s="141">
        <f>IF(ROW()-3&gt;COUNTIF(GK$4:GK$40,"&lt;&gt;"&amp;""),"",INDEX(GK$4:GK$40,MATCH(ROW()-3,GL$4:GL$40,0)))</f>
        <v/>
      </c>
      <c r="GN36">
        <f>GN35+IF(AND(GM36&lt;&gt;"",COUNTIF(GM$4:GM36,GM36)=1),1,0)</f>
        <v/>
      </c>
      <c r="GO36">
        <f>IF(ROW()-3&gt;MAX(GN$4:GN$40),"",INDEX(GM$4:GM$40,MATCH(ROW()-3,GN$4:GN$40,0)))</f>
        <v/>
      </c>
      <c r="GP36">
        <f>IF(AND($B$36:$AH$36,$AJ$36:$AJ$36),IF('Final Calculation Sheet'!$AG$36="","",'Final Calculation Sheet'!$AG$36),"")</f>
        <v/>
      </c>
      <c r="GQ36">
        <f>IF(GP36="","",COUNTIFS(GP$4:GP$40,"&lt;"&amp;GP36,GP$4:GP$40,"&lt;&gt;"&amp;"")+COUNTIF(GP$4:GP36,GP36))</f>
        <v/>
      </c>
      <c r="GR36">
        <f>IF(ROW()-3&gt;COUNTIF(GP$4:GP$40,"&lt;&gt;"&amp;""),"",INDEX(GP$4:GP$40,MATCH(ROW()-3,GQ$4:GQ$40,0)))</f>
        <v/>
      </c>
      <c r="GS36">
        <f>GS35+IF(AND(GR36&lt;&gt;"",COUNTIF(GR$4:GR36,GR36)=1),1,0)</f>
        <v/>
      </c>
      <c r="GT36">
        <f>IF(ROW()-3&gt;MAX(GS$4:GS$40),"",INDEX(GR$4:GR$40,MATCH(ROW()-3,GS$4:GS$40,0)))</f>
        <v/>
      </c>
    </row>
    <row r="37">
      <c r="A37" t="inlineStr">
        <is>
          <t>Final row 37</t>
        </is>
      </c>
      <c r="B37" t="b">
        <v>1</v>
      </c>
      <c r="C37">
        <f>IF($C$3=FALSE,TRUE,IF(OR(UPPER(TRIM($C$2))="(BLANK)",UPPER(TRIM($C$2))="BLANK",AND($C$2&lt;&gt;"",TRIM($C$2)="")),(IF('Final Calculation Sheet'!$F$37="","",'Final Calculation Sheet'!$F$37))="",IF(OR(UPPER(TRIM($C$2))="(NONBLANK)",UPPER(TRIM($C$2))="NONBLANK",TRIM($C$2)="&lt;&gt;"),(IF('Final Calculation Sheet'!$F$37="","",'Final Calculation Sheet'!$F$37))&lt;&gt;"",UPPER(TRIM((IF('Final Calculation Sheet'!$F$37="","",'Final Calculation Sheet'!$F$37))&amp;""))=UPPER(TRIM($C$2&amp;"")))))</f>
        <v/>
      </c>
      <c r="D37">
        <f>IF($D$3=FALSE,TRUE,IF(OR(UPPER(TRIM($D$2))="(BLANK)",UPPER(TRIM($D$2))="BLANK",AND($D$2&lt;&gt;"",TRIM($D$2)="")),(IF('Final Calculation Sheet'!$G$37="","",'Final Calculation Sheet'!$G$37))="",IF(OR(UPPER(TRIM($D$2))="(NONBLANK)",UPPER(TRIM($D$2))="NONBLANK",TRIM($D$2)="&lt;&gt;"),(IF('Final Calculation Sheet'!$G$37="","",'Final Calculation Sheet'!$G$37))&lt;&gt;"",UPPER(TRIM((IF('Final Calculation Sheet'!$G$37="","",'Final Calculation Sheet'!$G$37))&amp;""))=UPPER(TRIM($D$2&amp;"")))))</f>
        <v/>
      </c>
      <c r="E37">
        <f>IF($E$3=FALSE,TRUE,IF(OR(UPPER(TRIM($E$2))="(BLANK)",UPPER(TRIM($E$2))="BLANK",AND($E$2&lt;&gt;"",TRIM($E$2)="")),(IF('Final Calculation Sheet'!$B$37="","",'Final Calculation Sheet'!$B$37))="",IF(OR(UPPER(TRIM($E$2))="(NONBLANK)",UPPER(TRIM($E$2))="NONBLANK",TRIM($E$2)="&lt;&gt;"),(IF('Final Calculation Sheet'!$B$37="","",'Final Calculation Sheet'!$B$37))&lt;&gt;"",UPPER(TRIM((IF('Final Calculation Sheet'!$B$37="","",'Final Calculation Sheet'!$B$37))&amp;""))=UPPER(TRIM($E$2&amp;"")))))</f>
        <v/>
      </c>
      <c r="F37">
        <f>IF($F$3=FALSE,TRUE,IF(OR(UPPER(TRIM($F$2))="(BLANK)",UPPER(TRIM($F$2))="BLANK",AND($F$2&lt;&gt;"",TRIM($F$2)="")),(IF('Final Calculation Sheet'!$D$37="","",'Final Calculation Sheet'!$D$37))="",IF(OR(UPPER(TRIM($F$2))="(NONBLANK)",UPPER(TRIM($F$2))="NONBLANK",TRIM($F$2)="&lt;&gt;"),(IF('Final Calculation Sheet'!$D$37="","",'Final Calculation Sheet'!$D$37))&lt;&gt;"",UPPER(TRIM((IF('Final Calculation Sheet'!$D$37="","",'Final Calculation Sheet'!$D$37))&amp;""))=UPPER(TRIM($F$2&amp;"")))))</f>
        <v/>
      </c>
      <c r="G37">
        <f>IF($G$3=FALSE,TRUE,IF(OR(UPPER(TRIM($G$2))="(BLANK)",UPPER(TRIM($G$2))="BLANK",AND($G$2&lt;&gt;"",TRIM($G$2)="")),(IF('Final Calculation Sheet'!$A$37="","",'Final Calculation Sheet'!$A$37))="",IF(OR(UPPER(TRIM($G$2))="(NONBLANK)",UPPER(TRIM($G$2))="NONBLANK",TRIM($G$2)="&lt;&gt;"),(IF('Final Calculation Sheet'!$A$37="","",'Final Calculation Sheet'!$A$37))&lt;&gt;"",UPPER(TRIM((IF('Final Calculation Sheet'!$A$37="","",'Final Calculation Sheet'!$A$37))&amp;""))=UPPER(TRIM($G$2&amp;"")))))</f>
        <v/>
      </c>
      <c r="H37">
        <f>IF($H$3=FALSE,TRUE,IF(OR(UPPER(TRIM($H$2))="(BLANK)",UPPER(TRIM($H$2))="BLANK",AND($H$2&lt;&gt;"",TRIM($H$2)="")),(IF('Final Calculation Sheet'!$E$37="","",'Final Calculation Sheet'!$E$37))="",IF(OR(UPPER(TRIM($H$2))="(NONBLANK)",UPPER(TRIM($H$2))="NONBLANK",TRIM($H$2)="&lt;&gt;"),(IF('Final Calculation Sheet'!$E$37="","",'Final Calculation Sheet'!$E$37))&lt;&gt;"",UPPER(TRIM((IF('Final Calculation Sheet'!$E$37="","",'Final Calculation Sheet'!$E$37))&amp;""))=UPPER(TRIM($H$2&amp;"")))))</f>
        <v/>
      </c>
      <c r="I37">
        <f>IF($I$3=FALSE,TRUE,IF(OR(UPPER(TRIM($I$2))="(BLANK)",UPPER(TRIM($I$2))="BLANK",AND($I$2&lt;&gt;"",TRIM($I$2)="")),(IF('Final Calculation Sheet'!$C$37="","",'Final Calculation Sheet'!$C$37))="",IF(OR(UPPER(TRIM($I$2))="(NONBLANK)",UPPER(TRIM($I$2))="NONBLANK",TRIM($I$2)="&lt;&gt;"),(IF('Final Calculation Sheet'!$C$37="","",'Final Calculation Sheet'!$C$37))&lt;&gt;"",UPPER(TRIM((IF('Final Calculation Sheet'!$C$37="","",'Final Calculation Sheet'!$C$37))&amp;""))=UPPER(TRIM($I$2&amp;"")))))</f>
        <v/>
      </c>
      <c r="J37">
        <f>IF($J$3=FALSE,TRUE,IF(OR(UPPER(TRIM($J$2))="(BLANK)",UPPER(TRIM($J$2))="BLANK",AND($J$2&lt;&gt;"",TRIM($J$2)="")),(IF('Final Calculation Sheet'!$H$37="","",'Final Calculation Sheet'!$H$37))="",IF(OR(UPPER(TRIM($J$2))="(NONBLANK)",UPPER(TRIM($J$2))="NONBLANK",TRIM($J$2)="&lt;&gt;"),(IF('Final Calculation Sheet'!$H$37="","",'Final Calculation Sheet'!$H$37))&lt;&gt;"",UPPER(TRIM((IF('Final Calculation Sheet'!$H$37="","",'Final Calculation Sheet'!$H$37))&amp;""))=UPPER(TRIM($J$2&amp;"")))))</f>
        <v/>
      </c>
      <c r="K37">
        <f>IF($K$3=FALSE,TRUE,IF(OR(UPPER(TRIM($K$2))="(BLANK)",UPPER(TRIM($K$2))="BLANK",AND($K$2&lt;&gt;"",TRIM($K$2)="")),(IF('Final Calculation Sheet'!$I$37="","",'Final Calculation Sheet'!$I$37))="",IF(OR(UPPER(TRIM($K$2))="(NONBLANK)",UPPER(TRIM($K$2))="NONBLANK",TRIM($K$2)="&lt;&gt;"),(IF('Final Calculation Sheet'!$I$37="","",'Final Calculation Sheet'!$I$37))&lt;&gt;"",UPPER(TRIM((IF('Final Calculation Sheet'!$I$37="","",'Final Calculation Sheet'!$I$37))&amp;""))=UPPER(TRIM($K$2&amp;"")))))</f>
        <v/>
      </c>
      <c r="L37">
        <f>IF($L$3=FALSE,TRUE,IF(OR(UPPER(TRIM($L$2))="(BLANK)",UPPER(TRIM($L$2))="BLANK",AND($L$2&lt;&gt;"",TRIM($L$2)="")),(IF('Final Calculation Sheet'!$J$37="","",'Final Calculation Sheet'!$J$37))="",IF(OR(UPPER(TRIM($L$2))="(NONBLANK)",UPPER(TRIM($L$2))="NONBLANK",TRIM($L$2)="&lt;&gt;"),(IF('Final Calculation Sheet'!$J$37="","",'Final Calculation Sheet'!$J$37))&lt;&gt;"",UPPER(TRIM((IF('Final Calculation Sheet'!$J$37="","",'Final Calculation Sheet'!$J$37))&amp;""))=UPPER(TRIM($L$2&amp;"")))))</f>
        <v/>
      </c>
      <c r="M37">
        <f>IF($M$3=FALSE,TRUE,IF(OR(UPPER(TRIM($M$2))="(BLANK)",UPPER(TRIM($M$2))="BLANK",AND($M$2&lt;&gt;"",TRIM($M$2)="")),(IF('Final Calculation Sheet'!$K$37="","",'Final Calculation Sheet'!$K$37))="",IF(OR(UPPER(TRIM($M$2))="(NONBLANK)",UPPER(TRIM($M$2))="NONBLANK",TRIM($M$2)="&lt;&gt;"),(IF('Final Calculation Sheet'!$K$37="","",'Final Calculation Sheet'!$K$37))&lt;&gt;"",UPPER(TRIM((IF('Final Calculation Sheet'!$K$37="","",'Final Calculation Sheet'!$K$37))&amp;""))=UPPER(TRIM($M$2&amp;"")))))</f>
        <v/>
      </c>
      <c r="N37">
        <f>IF($N$3=FALSE,TRUE,IF(OR(UPPER(TRIM($N$2))="(BLANK)",UPPER(TRIM($N$2))="BLANK",AND($N$2&lt;&gt;"",TRIM($N$2)="")),(IF('Final Calculation Sheet'!$L$37="","",'Final Calculation Sheet'!$L$37))="",IF(OR(UPPER(TRIM($N$2))="(NONBLANK)",UPPER(TRIM($N$2))="NONBLANK",TRIM($N$2)="&lt;&gt;"),(IF('Final Calculation Sheet'!$L$37="","",'Final Calculation Sheet'!$L$37))&lt;&gt;"",UPPER(TRIM((IF('Final Calculation Sheet'!$L$37="","",'Final Calculation Sheet'!$L$37))&amp;""))=UPPER(TRIM($N$2&amp;"")))))</f>
        <v/>
      </c>
      <c r="O37">
        <f>IF($O$3=FALSE,TRUE,IF(OR(UPPER(TRIM($O$2))="(BLANK)",UPPER(TRIM($O$2))="BLANK",AND($O$2&lt;&gt;"",TRIM($O$2)="")),(IF('Final Calculation Sheet'!$M$37="","",'Final Calculation Sheet'!$M$37))="",IF(OR(UPPER(TRIM($O$2))="(NONBLANK)",UPPER(TRIM($O$2))="NONBLANK",TRIM($O$2)="&lt;&gt;"),(IF('Final Calculation Sheet'!$M$37="","",'Final Calculation Sheet'!$M$37))&lt;&gt;"",UPPER(TRIM((IF('Final Calculation Sheet'!$M$37="","",'Final Calculation Sheet'!$M$37))&amp;""))=UPPER(TRIM($O$2&amp;"")))))</f>
        <v/>
      </c>
      <c r="P37">
        <f>IF($P$3=FALSE,TRUE,IF(OR(UPPER(TRIM($P$2))="(BLANK)",UPPER(TRIM($P$2))="BLANK",AND($P$2&lt;&gt;"",TRIM($P$2)="")),(IF('Final Calculation Sheet'!$N$37="","",'Final Calculation Sheet'!$N$37))="",IF(OR(UPPER(TRIM($P$2))="(NONBLANK)",UPPER(TRIM($P$2))="NONBLANK",TRIM($P$2)="&lt;&gt;"),(IF('Final Calculation Sheet'!$N$37="","",'Final Calculation Sheet'!$N$37))&lt;&gt;"",UPPER(TRIM((IF('Final Calculation Sheet'!$N$37="","",'Final Calculation Sheet'!$N$37))&amp;""))=UPPER(TRIM($P$2&amp;"")))))</f>
        <v/>
      </c>
      <c r="Q37">
        <f>IF($Q$3=FALSE,TRUE,IF(OR(UPPER(TRIM($Q$2))="(BLANK)",UPPER(TRIM($Q$2))="BLANK",AND($Q$2&lt;&gt;"",TRIM($Q$2)="")),(IF('Final Calculation Sheet'!$O$37="","",'Final Calculation Sheet'!$O$37))="",IF(OR(UPPER(TRIM($Q$2))="(NONBLANK)",UPPER(TRIM($Q$2))="NONBLANK",TRIM($Q$2)="&lt;&gt;"),(IF('Final Calculation Sheet'!$O$37="","",'Final Calculation Sheet'!$O$37))&lt;&gt;"",UPPER(TRIM((IF('Final Calculation Sheet'!$O$37="","",'Final Calculation Sheet'!$O$37))&amp;""))=UPPER(TRIM($Q$2&amp;"")))))</f>
        <v/>
      </c>
      <c r="R37">
        <f>IF($R$3=FALSE,TRUE,IF(OR(UPPER(TRIM($R$2))="(BLANK)",UPPER(TRIM($R$2))="BLANK",AND($R$2&lt;&gt;"",TRIM($R$2)="")),(IF('Final Calculation Sheet'!$P$37="","",'Final Calculation Sheet'!$P$37))="",IF(OR(UPPER(TRIM($R$2))="(NONBLANK)",UPPER(TRIM($R$2))="NONBLANK",TRIM($R$2)="&lt;&gt;"),(IF('Final Calculation Sheet'!$P$37="","",'Final Calculation Sheet'!$P$37))&lt;&gt;"",UPPER(TRIM((IF('Final Calculation Sheet'!$P$37="","",'Final Calculation Sheet'!$P$37))&amp;""))=UPPER(TRIM($R$2&amp;"")))))</f>
        <v/>
      </c>
      <c r="S37">
        <f>IF($S$3=FALSE,TRUE,IF(OR(UPPER(TRIM($S$2))="(BLANK)",UPPER(TRIM($S$2))="BLANK",AND($S$2&lt;&gt;"",TRIM($S$2)="")),(IF('Final Calculation Sheet'!$Q$37="","",'Final Calculation Sheet'!$Q$37))="",IF(OR(UPPER(TRIM($S$2))="(NONBLANK)",UPPER(TRIM($S$2))="NONBLANK",TRIM($S$2)="&lt;&gt;"),(IF('Final Calculation Sheet'!$Q$37="","",'Final Calculation Sheet'!$Q$37))&lt;&gt;"",UPPER(TRIM((IF('Final Calculation Sheet'!$Q$37="","",'Final Calculation Sheet'!$Q$37))&amp;""))=UPPER(TRIM($S$2&amp;"")))))</f>
        <v/>
      </c>
      <c r="T37">
        <f>IF($T$3=FALSE,TRUE,IF(OR(UPPER(TRIM($T$2))="(BLANK)",UPPER(TRIM($T$2))="BLANK",AND($T$2&lt;&gt;"",TRIM($T$2)="")),(IF('Final Calculation Sheet'!$R$37="","",'Final Calculation Sheet'!$R$37))="",IF(OR(UPPER(TRIM($T$2))="(NONBLANK)",UPPER(TRIM($T$2))="NONBLANK",TRIM($T$2)="&lt;&gt;"),(IF('Final Calculation Sheet'!$R$37="","",'Final Calculation Sheet'!$R$37))&lt;&gt;"",UPPER(TRIM((IF('Final Calculation Sheet'!$R$37="","",'Final Calculation Sheet'!$R$37))&amp;""))=UPPER(TRIM($T$2&amp;"")))))</f>
        <v/>
      </c>
      <c r="U37">
        <f>IF($U$3=FALSE,TRUE,IF(OR(UPPER(TRIM($U$2))="(BLANK)",UPPER(TRIM($U$2))="BLANK",AND($U$2&lt;&gt;"",TRIM($U$2)="")),(IF('Final Calculation Sheet'!$S$37="","",'Final Calculation Sheet'!$S$37))="",IF(OR(UPPER(TRIM($U$2))="(NONBLANK)",UPPER(TRIM($U$2))="NONBLANK",TRIM($U$2)="&lt;&gt;"),(IF('Final Calculation Sheet'!$S$37="","",'Final Calculation Sheet'!$S$37))&lt;&gt;"",UPPER(TRIM((IF('Final Calculation Sheet'!$S$37="","",'Final Calculation Sheet'!$S$37))&amp;""))=UPPER(TRIM($U$2&amp;"")))))</f>
        <v/>
      </c>
      <c r="V37">
        <f>IF($V$3=FALSE,TRUE,IF(OR(UPPER(TRIM($V$2))="(BLANK)",UPPER(TRIM($V$2))="BLANK",AND($V$2&lt;&gt;"",TRIM($V$2)="")),(IF('Final Calculation Sheet'!$T$37="","",'Final Calculation Sheet'!$T$37))="",IF(OR(UPPER(TRIM($V$2))="(NONBLANK)",UPPER(TRIM($V$2))="NONBLANK",TRIM($V$2)="&lt;&gt;"),(IF('Final Calculation Sheet'!$T$37="","",'Final Calculation Sheet'!$T$37))&lt;&gt;"",UPPER(TRIM((IF('Final Calculation Sheet'!$T$37="","",'Final Calculation Sheet'!$T$37))&amp;""))=UPPER(TRIM($V$2&amp;"")))))</f>
        <v/>
      </c>
      <c r="W37">
        <f>IF($W$3=FALSE,TRUE,IF(OR(UPPER(TRIM($W$2))="(BLANK)",UPPER(TRIM($W$2))="BLANK",AND($W$2&lt;&gt;"",TRIM($W$2)="")),(IF('Final Calculation Sheet'!$U$37="","",'Final Calculation Sheet'!$U$37))="",IF(OR(UPPER(TRIM($W$2))="(NONBLANK)",UPPER(TRIM($W$2))="NONBLANK",TRIM($W$2)="&lt;&gt;"),(IF('Final Calculation Sheet'!$U$37="","",'Final Calculation Sheet'!$U$37))&lt;&gt;"",UPPER(TRIM((IF('Final Calculation Sheet'!$U$37="","",'Final Calculation Sheet'!$U$37))&amp;""))=UPPER(TRIM($W$2&amp;"")))))</f>
        <v/>
      </c>
      <c r="X37">
        <f>IF($X$3=FALSE,TRUE,IF(OR(UPPER(TRIM($X$2))="(BLANK)",UPPER(TRIM($X$2))="BLANK",AND($X$2&lt;&gt;"",TRIM($X$2)="")),(IF('Final Calculation Sheet'!$V$37="","",'Final Calculation Sheet'!$V$37))="",IF(OR(UPPER(TRIM($X$2))="(NONBLANK)",UPPER(TRIM($X$2))="NONBLANK",TRIM($X$2)="&lt;&gt;"),(IF('Final Calculation Sheet'!$V$37="","",'Final Calculation Sheet'!$V$37))&lt;&gt;"",UPPER(TRIM((IF('Final Calculation Sheet'!$V$37="","",'Final Calculation Sheet'!$V$37))&amp;""))=UPPER(TRIM($X$2&amp;"")))))</f>
        <v/>
      </c>
      <c r="Y37">
        <f>IF($Y$3=FALSE,TRUE,IF(OR(UPPER(TRIM($Y$2))="(BLANK)",UPPER(TRIM($Y$2))="BLANK",AND($Y$2&lt;&gt;"",TRIM($Y$2)="")),(IF('Final Calculation Sheet'!$W$37="","",'Final Calculation Sheet'!$W$37))="",IF(OR(UPPER(TRIM($Y$2))="(NONBLANK)",UPPER(TRIM($Y$2))="NONBLANK",TRIM($Y$2)="&lt;&gt;"),(IF('Final Calculation Sheet'!$W$37="","",'Final Calculation Sheet'!$W$37))&lt;&gt;"",UPPER(TRIM((IF('Final Calculation Sheet'!$W$37="","",'Final Calculation Sheet'!$W$37))&amp;""))=UPPER(TRIM($Y$2&amp;"")))))</f>
        <v/>
      </c>
      <c r="Z37">
        <f>IF($Z$3=FALSE,TRUE,IF(OR(UPPER(TRIM($Z$2))="(BLANK)",UPPER(TRIM($Z$2))="BLANK",AND($Z$2&lt;&gt;"",TRIM($Z$2)="")),(IF('Final Calculation Sheet'!$X$37="","",'Final Calculation Sheet'!$X$37))="",IF(OR(UPPER(TRIM($Z$2))="(NONBLANK)",UPPER(TRIM($Z$2))="NONBLANK",TRIM($Z$2)="&lt;&gt;"),(IF('Final Calculation Sheet'!$X$37="","",'Final Calculation Sheet'!$X$37))&lt;&gt;"",UPPER(TRIM((IF('Final Calculation Sheet'!$X$37="","",'Final Calculation Sheet'!$X$37))&amp;""))=UPPER(TRIM($Z$2&amp;"")))))</f>
        <v/>
      </c>
      <c r="AA37">
        <f>IF($AA$3=FALSE,TRUE,IF(OR(UPPER(TRIM($AA$2))="(BLANK)",UPPER(TRIM($AA$2))="BLANK",AND($AA$2&lt;&gt;"",TRIM($AA$2)="")),(IF('Final Calculation Sheet'!$Y$37="","",'Final Calculation Sheet'!$Y$37))="",IF(OR(UPPER(TRIM($AA$2))="(NONBLANK)",UPPER(TRIM($AA$2))="NONBLANK",TRIM($AA$2)="&lt;&gt;"),(IF('Final Calculation Sheet'!$Y$37="","",'Final Calculation Sheet'!$Y$37))&lt;&gt;"",UPPER(TRIM((IF('Final Calculation Sheet'!$Y$37="","",'Final Calculation Sheet'!$Y$37))&amp;""))=UPPER(TRIM($AA$2&amp;"")))))</f>
        <v/>
      </c>
      <c r="AB37">
        <f>IF($AB$3=FALSE,TRUE,IF(OR(UPPER(TRIM($AB$2))="(BLANK)",UPPER(TRIM($AB$2))="BLANK",AND($AB$2&lt;&gt;"",TRIM($AB$2)="")),(IF('Final Calculation Sheet'!$Z$37="","",'Final Calculation Sheet'!$Z$37))="",IF(OR(UPPER(TRIM($AB$2))="(NONBLANK)",UPPER(TRIM($AB$2))="NONBLANK",TRIM($AB$2)="&lt;&gt;"),(IF('Final Calculation Sheet'!$Z$37="","",'Final Calculation Sheet'!$Z$37))&lt;&gt;"",UPPER(TRIM((IF('Final Calculation Sheet'!$Z$37="","",'Final Calculation Sheet'!$Z$37))&amp;""))=UPPER(TRIM($AB$2&amp;"")))))</f>
        <v/>
      </c>
      <c r="AC37">
        <f>IF($AC$3=FALSE,TRUE,IF(OR(UPPER(TRIM($AC$2))="(BLANK)",UPPER(TRIM($AC$2))="BLANK",AND($AC$2&lt;&gt;"",TRIM($AC$2)="")),(IF('Final Calculation Sheet'!$AA$37="","",'Final Calculation Sheet'!$AA$37))="",IF(OR(UPPER(TRIM($AC$2))="(NONBLANK)",UPPER(TRIM($AC$2))="NONBLANK",TRIM($AC$2)="&lt;&gt;"),(IF('Final Calculation Sheet'!$AA$37="","",'Final Calculation Sheet'!$AA$37))&lt;&gt;"",UPPER(TRIM((IF('Final Calculation Sheet'!$AA$37="","",'Final Calculation Sheet'!$AA$37))&amp;""))=UPPER(TRIM($AC$2&amp;"")))))</f>
        <v/>
      </c>
      <c r="AD37">
        <f>IF($AD$3=FALSE,TRUE,IF(OR(UPPER(TRIM($AD$2))="(BLANK)",UPPER(TRIM($AD$2))="BLANK",AND($AD$2&lt;&gt;"",TRIM($AD$2)="")),(IF('Final Calculation Sheet'!$AB$37="","",'Final Calculation Sheet'!$AB$37))="",IF(OR(UPPER(TRIM($AD$2))="(NONBLANK)",UPPER(TRIM($AD$2))="NONBLANK",TRIM($AD$2)="&lt;&gt;"),(IF('Final Calculation Sheet'!$AB$37="","",'Final Calculation Sheet'!$AB$37))&lt;&gt;"",UPPER(TRIM((IF('Final Calculation Sheet'!$AB$37="","",'Final Calculation Sheet'!$AB$37))&amp;""))=UPPER(TRIM($AD$2&amp;"")))))</f>
        <v/>
      </c>
      <c r="AE37">
        <f>IF($AE$3=FALSE,TRUE,IF(OR(UPPER(TRIM($AE$2))="(BLANK)",UPPER(TRIM($AE$2))="BLANK",AND($AE$2&lt;&gt;"",TRIM($AE$2)="")),(IF('Final Calculation Sheet'!$AC$37="","",'Final Calculation Sheet'!$AC$37))="",IF(OR(UPPER(TRIM($AE$2))="(NONBLANK)",UPPER(TRIM($AE$2))="NONBLANK",TRIM($AE$2)="&lt;&gt;"),(IF('Final Calculation Sheet'!$AC$37="","",'Final Calculation Sheet'!$AC$37))&lt;&gt;"",UPPER(TRIM((IF('Final Calculation Sheet'!$AC$37="","",'Final Calculation Sheet'!$AC$37))&amp;""))=UPPER(TRIM($AE$2&amp;"")))))</f>
        <v/>
      </c>
      <c r="AF37">
        <f>IF($AF$3=FALSE,TRUE,IF(OR(UPPER(TRIM($AF$2))="(BLANK)",UPPER(TRIM($AF$2))="BLANK",AND($AF$2&lt;&gt;"",TRIM($AF$2)="")),(IF('Final Calculation Sheet'!$AD$37="","",'Final Calculation Sheet'!$AD$37))="",IF(OR(UPPER(TRIM($AF$2))="(NONBLANK)",UPPER(TRIM($AF$2))="NONBLANK",TRIM($AF$2)="&lt;&gt;"),(IF('Final Calculation Sheet'!$AD$37="","",'Final Calculation Sheet'!$AD$37))&lt;&gt;"",UPPER(TRIM((IF('Final Calculation Sheet'!$AD$37="","",'Final Calculation Sheet'!$AD$37))&amp;""))=UPPER(TRIM($AF$2&amp;"")))))</f>
        <v/>
      </c>
      <c r="AG37">
        <f>IF($AG$3=FALSE,TRUE,IF(OR(UPPER(TRIM($AG$2))="(BLANK)",UPPER(TRIM($AG$2))="BLANK",AND($AG$2&lt;&gt;"",TRIM($AG$2)="")),(IF('Final Calculation Sheet'!$AE$37="","",'Final Calculation Sheet'!$AE$37))="",IF(OR(UPPER(TRIM($AG$2))="(NONBLANK)",UPPER(TRIM($AG$2))="NONBLANK",TRIM($AG$2)="&lt;&gt;"),(IF('Final Calculation Sheet'!$AE$37="","",'Final Calculation Sheet'!$AE$37))&lt;&gt;"",UPPER(TRIM((IF('Final Calculation Sheet'!$AE$37="","",'Final Calculation Sheet'!$AE$37))&amp;""))=UPPER(TRIM($AG$2&amp;"")))))</f>
        <v/>
      </c>
      <c r="AH37">
        <f>IF($AH$3=FALSE,TRUE,IF(OR(UPPER(TRIM($AH$2))="(BLANK)",UPPER(TRIM($AH$2))="BLANK",AND($AH$2&lt;&gt;"",TRIM($AH$2)="")),(IF('Final Calculation Sheet'!$AF$37="","",'Final Calculation Sheet'!$AF$37))="",IF(OR(UPPER(TRIM($AH$2))="(NONBLANK)",UPPER(TRIM($AH$2))="NONBLANK",TRIM($AH$2)="&lt;&gt;"),(IF('Final Calculation Sheet'!$AF$37="","",'Final Calculation Sheet'!$AF$37))&lt;&gt;"",UPPER(TRIM((IF('Final Calculation Sheet'!$AF$37="","",'Final Calculation Sheet'!$AF$37))&amp;""))=UPPER(TRIM($AH$2&amp;"")))))</f>
        <v/>
      </c>
      <c r="AI37">
        <f>IF($AI$3=FALSE,TRUE,IF(OR(UPPER(TRIM($AI$2))="(BLANK)",UPPER(TRIM($AI$2))="BLANK",AND($AI$2&lt;&gt;"",TRIM($AI$2)="")),(IF('Final Calculation Sheet'!$AG$37="","",'Final Calculation Sheet'!$AG$37))="",IF(OR(UPPER(TRIM($AI$2))="(NONBLANK)",UPPER(TRIM($AI$2))="NONBLANK",TRIM($AI$2)="&lt;&gt;"),(IF('Final Calculation Sheet'!$AG$37="","",'Final Calculation Sheet'!$AG$37))&lt;&gt;"",UPPER(TRIM((IF('Final Calculation Sheet'!$AG$37="","",'Final Calculation Sheet'!$AG$37))&amp;""))=UPPER(TRIM($AI$2&amp;"")))))</f>
        <v/>
      </c>
      <c r="AJ37">
        <f>IF($AJ$3=FALSE,TRUE,IF(OR(UPPER(TRIM($AJ$2))="(BLANK)",UPPER(TRIM($AJ$2))="BLANK",AND($AJ$2&lt;&gt;"",TRIM($AJ$2)="")),(IF('Final Calculation Sheet'!$AD$37="","",IF('Final Calculation Sheet'!$AD$37&lt;=5,"SETTLED","OUTSTANDING")))="",IF(OR(UPPER(TRIM($AJ$2))="(NONBLANK)",UPPER(TRIM($AJ$2))="NONBLANK",TRIM($AJ$2)="&lt;&gt;"),(IF('Final Calculation Sheet'!$AD$37="","",IF('Final Calculation Sheet'!$AD$37&lt;=5,"SETTLED","OUTSTANDING")))&lt;&gt;"",UPPER(TRIM((IF('Final Calculation Sheet'!$AD$37="","",IF('Final Calculation Sheet'!$AD$37&lt;=5,"SETTLED","OUTSTANDING")))&amp;""))=UPPER(TRIM($AJ$2&amp;"")))))</f>
        <v/>
      </c>
      <c r="AL37">
        <f>IF(AND($B$37,$D$37:$AJ$37),IF('Final Calculation Sheet'!$F$37="","",'Final Calculation Sheet'!$F$37),"")</f>
        <v/>
      </c>
      <c r="AM37">
        <f>IF(AL37="","",COUNTIFS(AL$4:AL$40,"&lt;"&amp;AL37,AL$4:AL$40,"&lt;&gt;"&amp;"")+COUNTIF(AL$4:AL37,AL37))</f>
        <v/>
      </c>
      <c r="AN37">
        <f>IF(ROW()-3&gt;COUNTIF(AL$4:AL$40,"&lt;&gt;"&amp;""),"",INDEX(AL$4:AL$40,MATCH(ROW()-3,AM$4:AM$40,0)))</f>
        <v/>
      </c>
      <c r="AO37">
        <f>AO36+IF(AND(AN37&lt;&gt;"",COUNTIF(AN$4:AN37,AN37)=1),1,0)</f>
        <v/>
      </c>
      <c r="AP37">
        <f>IF(ROW()-3&gt;MAX(AO$4:AO$40),"",INDEX(AN$4:AN$40,MATCH(ROW()-3,AO$4:AO$40,0)))</f>
        <v/>
      </c>
      <c r="AQ37">
        <f>IF(AND($B$37:$C$37,$E$37:$AJ$37),IF('Final Calculation Sheet'!$G$37="","",'Final Calculation Sheet'!$G$37),"")</f>
        <v/>
      </c>
      <c r="AR37">
        <f>IF(AQ37="","",COUNTIFS(AQ$4:AQ$40,"&lt;"&amp;AQ37,AQ$4:AQ$40,"&lt;&gt;"&amp;"")+COUNTIF(AQ$4:AQ37,AQ37))</f>
        <v/>
      </c>
      <c r="AS37">
        <f>IF(ROW()-3&gt;COUNTIF(AQ$4:AQ$40,"&lt;&gt;"&amp;""),"",INDEX(AQ$4:AQ$40,MATCH(ROW()-3,AR$4:AR$40,0)))</f>
        <v/>
      </c>
      <c r="AT37">
        <f>AT36+IF(AND(AS37&lt;&gt;"",COUNTIF(AS$4:AS37,AS37)=1),1,0)</f>
        <v/>
      </c>
      <c r="AU37">
        <f>IF(ROW()-3&gt;MAX(AT$4:AT$40),"",INDEX(AS$4:AS$40,MATCH(ROW()-3,AT$4:AT$40,0)))</f>
        <v/>
      </c>
      <c r="AV37">
        <f>IF(AND($B$37:$D$37,$F$37:$AJ$37),IF('Final Calculation Sheet'!$B$37="","",'Final Calculation Sheet'!$B$37),"")</f>
        <v/>
      </c>
      <c r="AW37">
        <f>IF(AV37="","",COUNTIFS(AV$4:AV$40,"&lt;"&amp;AV37,AV$4:AV$40,"&lt;&gt;"&amp;"")+COUNTIF(AV$4:AV37,AV37))</f>
        <v/>
      </c>
      <c r="AX37">
        <f>IF(ROW()-3&gt;COUNTIF(AV$4:AV$40,"&lt;&gt;"&amp;""),"",INDEX(AV$4:AV$40,MATCH(ROW()-3,AW$4:AW$40,0)))</f>
        <v/>
      </c>
      <c r="AY37">
        <f>AY36+IF(AND(AX37&lt;&gt;"",COUNTIF(AX$4:AX37,AX37)=1),1,0)</f>
        <v/>
      </c>
      <c r="AZ37">
        <f>IF(ROW()-3&gt;MAX(AY$4:AY$40),"",INDEX(AX$4:AX$40,MATCH(ROW()-3,AY$4:AY$40,0)))</f>
        <v/>
      </c>
      <c r="BA37">
        <f>IF(AND($B$37:$E$37,$G$37:$AJ$37),IF('Final Calculation Sheet'!$D$37="","",'Final Calculation Sheet'!$D$37),"")</f>
        <v/>
      </c>
      <c r="BB37">
        <f>IF(BA37="","",COUNTIFS(BA$4:BA$40,"&lt;"&amp;BA37,BA$4:BA$40,"&lt;&gt;"&amp;"")+COUNTIF(BA$4:BA37,BA37))</f>
        <v/>
      </c>
      <c r="BC37">
        <f>IF(ROW()-3&gt;COUNTIF(BA$4:BA$40,"&lt;&gt;"&amp;""),"",INDEX(BA$4:BA$40,MATCH(ROW()-3,BB$4:BB$40,0)))</f>
        <v/>
      </c>
      <c r="BD37">
        <f>BD36+IF(AND(BC37&lt;&gt;"",COUNTIF(BC$4:BC37,BC37)=1),1,0)</f>
        <v/>
      </c>
      <c r="BE37">
        <f>IF(ROW()-3&gt;MAX(BD$4:BD$40),"",INDEX(BC$4:BC$40,MATCH(ROW()-3,BD$4:BD$40,0)))</f>
        <v/>
      </c>
      <c r="BF37">
        <f>IF(AND($B$37:$F$37,$H$37:$AJ$37),IF('Final Calculation Sheet'!$A$37="","",'Final Calculation Sheet'!$A$37),"")</f>
        <v/>
      </c>
      <c r="BG37">
        <f>IF(BF37="","",COUNTIFS(BF$4:BF$40,"&lt;"&amp;BF37,BF$4:BF$40,"&lt;&gt;"&amp;"")+COUNTIF(BF$4:BF37,BF37))</f>
        <v/>
      </c>
      <c r="BH37">
        <f>IF(ROW()-3&gt;COUNTIF(BF$4:BF$40,"&lt;&gt;"&amp;""),"",INDEX(BF$4:BF$40,MATCH(ROW()-3,BG$4:BG$40,0)))</f>
        <v/>
      </c>
      <c r="BI37">
        <f>BI36+IF(AND(BH37&lt;&gt;"",COUNTIF(BH$4:BH37,BH37)=1),1,0)</f>
        <v/>
      </c>
      <c r="BJ37">
        <f>IF(ROW()-3&gt;MAX(BI$4:BI$40),"",INDEX(BH$4:BH$40,MATCH(ROW()-3,BI$4:BI$40,0)))</f>
        <v/>
      </c>
      <c r="BK37">
        <f>IF(AND($B$37:$G$37,$I$37:$AJ$37),IF('Final Calculation Sheet'!$E$37="","",'Final Calculation Sheet'!$E$37),"")</f>
        <v/>
      </c>
      <c r="BL37">
        <f>IF(BK37="","",COUNTIFS(BK$4:BK$40,"&lt;"&amp;BK37,BK$4:BK$40,"&lt;&gt;"&amp;"")+COUNTIF(BK$4:BK37,BK37))</f>
        <v/>
      </c>
      <c r="BM37">
        <f>IF(ROW()-3&gt;COUNTIF(BK$4:BK$40,"&lt;&gt;"&amp;""),"",INDEX(BK$4:BK$40,MATCH(ROW()-3,BL$4:BL$40,0)))</f>
        <v/>
      </c>
      <c r="BN37">
        <f>BN36+IF(AND(BM37&lt;&gt;"",COUNTIF(BM$4:BM37,BM37)=1),1,0)</f>
        <v/>
      </c>
      <c r="BO37">
        <f>IF(ROW()-3&gt;MAX(BN$4:BN$40),"",INDEX(BM$4:BM$40,MATCH(ROW()-3,BN$4:BN$40,0)))</f>
        <v/>
      </c>
      <c r="BP37" s="55">
        <f>IF(AND($B$37:$H$37,$J$37:$AJ$37),IF('Final Calculation Sheet'!$C$37="","",'Final Calculation Sheet'!$C$37),"")</f>
        <v/>
      </c>
      <c r="BQ37">
        <f>IF(BP37="","",COUNTIFS(BP$4:BP$40,"&lt;"&amp;BP37,BP$4:BP$40,"&lt;&gt;"&amp;"")+COUNTIF(BP$4:BP37,BP37))</f>
        <v/>
      </c>
      <c r="BR37" s="55">
        <f>IF(ROW()-3&gt;COUNTIF(BP$4:BP$40,"&lt;&gt;"&amp;""),"",INDEX(BP$4:BP$40,MATCH(ROW()-3,BQ$4:BQ$40,0)))</f>
        <v/>
      </c>
      <c r="BS37">
        <f>BS36+IF(AND(BR37&lt;&gt;"",COUNTIF(BR$4:BR37,BR37)=1),1,0)</f>
        <v/>
      </c>
      <c r="BT37" s="55">
        <f>IF(ROW()-3&gt;MAX(BS$4:BS$40),"",INDEX(BR$4:BR$40,MATCH(ROW()-3,BS$4:BS$40,0)))</f>
        <v/>
      </c>
      <c r="BU37" s="55">
        <f>IF(AND($B$37:$I$37,$K$37:$AJ$37),IF('Final Calculation Sheet'!$H$37="","",'Final Calculation Sheet'!$H$37),"")</f>
        <v/>
      </c>
      <c r="BV37">
        <f>IF(BU37="","",COUNTIFS(BU$4:BU$40,"&lt;"&amp;BU37,BU$4:BU$40,"&lt;&gt;"&amp;"")+COUNTIF(BU$4:BU37,BU37))</f>
        <v/>
      </c>
      <c r="BW37" s="55">
        <f>IF(ROW()-3&gt;COUNTIF(BU$4:BU$40,"&lt;&gt;"&amp;""),"",INDEX(BU$4:BU$40,MATCH(ROW()-3,BV$4:BV$40,0)))</f>
        <v/>
      </c>
      <c r="BX37">
        <f>BX36+IF(AND(BW37&lt;&gt;"",COUNTIF(BW$4:BW37,BW37)=1),1,0)</f>
        <v/>
      </c>
      <c r="BY37" s="55">
        <f>IF(ROW()-3&gt;MAX(BX$4:BX$40),"",INDEX(BW$4:BW$40,MATCH(ROW()-3,BX$4:BX$40,0)))</f>
        <v/>
      </c>
      <c r="BZ37" s="55">
        <f>IF(AND($B$37:$J$37,$L$37:$AJ$37),IF('Final Calculation Sheet'!$I$37="","",'Final Calculation Sheet'!$I$37),"")</f>
        <v/>
      </c>
      <c r="CA37">
        <f>IF(BZ37="","",COUNTIFS(BZ$4:BZ$40,"&lt;"&amp;BZ37,BZ$4:BZ$40,"&lt;&gt;"&amp;"")+COUNTIF(BZ$4:BZ37,BZ37))</f>
        <v/>
      </c>
      <c r="CB37" s="55">
        <f>IF(ROW()-3&gt;COUNTIF(BZ$4:BZ$40,"&lt;&gt;"&amp;""),"",INDEX(BZ$4:BZ$40,MATCH(ROW()-3,CA$4:CA$40,0)))</f>
        <v/>
      </c>
      <c r="CC37">
        <f>CC36+IF(AND(CB37&lt;&gt;"",COUNTIF(CB$4:CB37,CB37)=1),1,0)</f>
        <v/>
      </c>
      <c r="CD37" s="55">
        <f>IF(ROW()-3&gt;MAX(CC$4:CC$40),"",INDEX(CB$4:CB$40,MATCH(ROW()-3,CC$4:CC$40,0)))</f>
        <v/>
      </c>
      <c r="CE37" s="55">
        <f>IF(AND($B$37:$K$37,$M$37:$AJ$37),IF('Final Calculation Sheet'!$J$37="","",'Final Calculation Sheet'!$J$37),"")</f>
        <v/>
      </c>
      <c r="CF37">
        <f>IF(CE37="","",COUNTIFS(CE$4:CE$40,"&lt;"&amp;CE37,CE$4:CE$40,"&lt;&gt;"&amp;"")+COUNTIF(CE$4:CE37,CE37))</f>
        <v/>
      </c>
      <c r="CG37" s="55">
        <f>IF(ROW()-3&gt;COUNTIF(CE$4:CE$40,"&lt;&gt;"&amp;""),"",INDEX(CE$4:CE$40,MATCH(ROW()-3,CF$4:CF$40,0)))</f>
        <v/>
      </c>
      <c r="CH37">
        <f>CH36+IF(AND(CG37&lt;&gt;"",COUNTIF(CG$4:CG37,CG37)=1),1,0)</f>
        <v/>
      </c>
      <c r="CI37" s="55">
        <f>IF(ROW()-3&gt;MAX(CH$4:CH$40),"",INDEX(CG$4:CG$40,MATCH(ROW()-3,CH$4:CH$40,0)))</f>
        <v/>
      </c>
      <c r="CJ37" s="55">
        <f>IF(AND($B$37:$L$37,$N$37:$AJ$37),IF('Final Calculation Sheet'!$K$37="","",'Final Calculation Sheet'!$K$37),"")</f>
        <v/>
      </c>
      <c r="CK37">
        <f>IF(CJ37="","",COUNTIFS(CJ$4:CJ$40,"&lt;"&amp;CJ37,CJ$4:CJ$40,"&lt;&gt;"&amp;"")+COUNTIF(CJ$4:CJ37,CJ37))</f>
        <v/>
      </c>
      <c r="CL37" s="55">
        <f>IF(ROW()-3&gt;COUNTIF(CJ$4:CJ$40,"&lt;&gt;"&amp;""),"",INDEX(CJ$4:CJ$40,MATCH(ROW()-3,CK$4:CK$40,0)))</f>
        <v/>
      </c>
      <c r="CM37">
        <f>CM36+IF(AND(CL37&lt;&gt;"",COUNTIF(CL$4:CL37,CL37)=1),1,0)</f>
        <v/>
      </c>
      <c r="CN37" s="55">
        <f>IF(ROW()-3&gt;MAX(CM$4:CM$40),"",INDEX(CL$4:CL$40,MATCH(ROW()-3,CM$4:CM$40,0)))</f>
        <v/>
      </c>
      <c r="CO37" s="55">
        <f>IF(AND($B$37:$M$37,$O$37:$AJ$37),IF('Final Calculation Sheet'!$L$37="","",'Final Calculation Sheet'!$L$37),"")</f>
        <v/>
      </c>
      <c r="CP37">
        <f>IF(CO37="","",COUNTIFS(CO$4:CO$40,"&lt;"&amp;CO37,CO$4:CO$40,"&lt;&gt;"&amp;"")+COUNTIF(CO$4:CO37,CO37))</f>
        <v/>
      </c>
      <c r="CQ37" s="55">
        <f>IF(ROW()-3&gt;COUNTIF(CO$4:CO$40,"&lt;&gt;"&amp;""),"",INDEX(CO$4:CO$40,MATCH(ROW()-3,CP$4:CP$40,0)))</f>
        <v/>
      </c>
      <c r="CR37">
        <f>CR36+IF(AND(CQ37&lt;&gt;"",COUNTIF(CQ$4:CQ37,CQ37)=1),1,0)</f>
        <v/>
      </c>
      <c r="CS37" s="55">
        <f>IF(ROW()-3&gt;MAX(CR$4:CR$40),"",INDEX(CQ$4:CQ$40,MATCH(ROW()-3,CR$4:CR$40,0)))</f>
        <v/>
      </c>
      <c r="CT37" s="55">
        <f>IF(AND($B$37:$N$37,$P$37:$AJ$37),IF('Final Calculation Sheet'!$M$37="","",'Final Calculation Sheet'!$M$37),"")</f>
        <v/>
      </c>
      <c r="CU37">
        <f>IF(CT37="","",COUNTIFS(CT$4:CT$40,"&lt;"&amp;CT37,CT$4:CT$40,"&lt;&gt;"&amp;"")+COUNTIF(CT$4:CT37,CT37))</f>
        <v/>
      </c>
      <c r="CV37" s="55">
        <f>IF(ROW()-3&gt;COUNTIF(CT$4:CT$40,"&lt;&gt;"&amp;""),"",INDEX(CT$4:CT$40,MATCH(ROW()-3,CU$4:CU$40,0)))</f>
        <v/>
      </c>
      <c r="CW37">
        <f>CW36+IF(AND(CV37&lt;&gt;"",COUNTIF(CV$4:CV37,CV37)=1),1,0)</f>
        <v/>
      </c>
      <c r="CX37" s="55">
        <f>IF(ROW()-3&gt;MAX(CW$4:CW$40),"",INDEX(CV$4:CV$40,MATCH(ROW()-3,CW$4:CW$40,0)))</f>
        <v/>
      </c>
      <c r="CY37" s="138">
        <f>IF(AND($B$37:$O$37,$Q$37:$AJ$37),IF('Final Calculation Sheet'!$N$37="","",'Final Calculation Sheet'!$N$37),"")</f>
        <v/>
      </c>
      <c r="CZ37">
        <f>IF(CY37="","",COUNTIFS(CY$4:CY$40,"&lt;"&amp;CY37,CY$4:CY$40,"&lt;&gt;"&amp;"")+COUNTIF(CY$4:CY37,CY37))</f>
        <v/>
      </c>
      <c r="DA37" s="138">
        <f>IF(ROW()-3&gt;COUNTIF(CY$4:CY$40,"&lt;&gt;"&amp;""),"",INDEX(CY$4:CY$40,MATCH(ROW()-3,CZ$4:CZ$40,0)))</f>
        <v/>
      </c>
      <c r="DB37">
        <f>DB36+IF(AND(DA37&lt;&gt;"",COUNTIF(DA$4:DA37,DA37)=1),1,0)</f>
        <v/>
      </c>
      <c r="DC37" s="138">
        <f>IF(ROW()-3&gt;MAX(DB$4:DB$40),"",INDEX(DA$4:DA$40,MATCH(ROW()-3,DB$4:DB$40,0)))</f>
        <v/>
      </c>
      <c r="DD37" s="55">
        <f>IF(AND($B$37:$P$37,$R$37:$AJ$37),IF('Final Calculation Sheet'!$O$37="","",'Final Calculation Sheet'!$O$37),"")</f>
        <v/>
      </c>
      <c r="DE37">
        <f>IF(DD37="","",COUNTIFS(DD$4:DD$40,"&lt;"&amp;DD37,DD$4:DD$40,"&lt;&gt;"&amp;"")+COUNTIF(DD$4:DD37,DD37))</f>
        <v/>
      </c>
      <c r="DF37" s="55">
        <f>IF(ROW()-3&gt;COUNTIF(DD$4:DD$40,"&lt;&gt;"&amp;""),"",INDEX(DD$4:DD$40,MATCH(ROW()-3,DE$4:DE$40,0)))</f>
        <v/>
      </c>
      <c r="DG37">
        <f>DG36+IF(AND(DF37&lt;&gt;"",COUNTIF(DF$4:DF37,DF37)=1),1,0)</f>
        <v/>
      </c>
      <c r="DH37" s="55">
        <f>IF(ROW()-3&gt;MAX(DG$4:DG$40),"",INDEX(DF$4:DF$40,MATCH(ROW()-3,DG$4:DG$40,0)))</f>
        <v/>
      </c>
      <c r="DI37" s="55">
        <f>IF(AND($B$37:$Q$37,$S$37:$AJ$37),IF('Final Calculation Sheet'!$P$37="","",'Final Calculation Sheet'!$P$37),"")</f>
        <v/>
      </c>
      <c r="DJ37">
        <f>IF(DI37="","",COUNTIFS(DI$4:DI$40,"&lt;"&amp;DI37,DI$4:DI$40,"&lt;&gt;"&amp;"")+COUNTIF(DI$4:DI37,DI37))</f>
        <v/>
      </c>
      <c r="DK37" s="55">
        <f>IF(ROW()-3&gt;COUNTIF(DI$4:DI$40,"&lt;&gt;"&amp;""),"",INDEX(DI$4:DI$40,MATCH(ROW()-3,DJ$4:DJ$40,0)))</f>
        <v/>
      </c>
      <c r="DL37">
        <f>DL36+IF(AND(DK37&lt;&gt;"",COUNTIF(DK$4:DK37,DK37)=1),1,0)</f>
        <v/>
      </c>
      <c r="DM37" s="55">
        <f>IF(ROW()-3&gt;MAX(DL$4:DL$40),"",INDEX(DK$4:DK$40,MATCH(ROW()-3,DL$4:DL$40,0)))</f>
        <v/>
      </c>
      <c r="DN37" s="139">
        <f>IF(AND($B$37:$R$37,$T$37:$AJ$37),IF('Final Calculation Sheet'!$Q$37="","",'Final Calculation Sheet'!$Q$37),"")</f>
        <v/>
      </c>
      <c r="DO37">
        <f>IF(DN37="","",COUNTIFS(DN$4:DN$40,"&lt;"&amp;DN37,DN$4:DN$40,"&lt;&gt;"&amp;"")+COUNTIF(DN$4:DN37,DN37))</f>
        <v/>
      </c>
      <c r="DP37" s="139">
        <f>IF(ROW()-3&gt;COUNTIF(DN$4:DN$40,"&lt;&gt;"&amp;""),"",INDEX(DN$4:DN$40,MATCH(ROW()-3,DO$4:DO$40,0)))</f>
        <v/>
      </c>
      <c r="DQ37">
        <f>DQ36+IF(AND(DP37&lt;&gt;"",COUNTIF(DP$4:DP37,DP37)=1),1,0)</f>
        <v/>
      </c>
      <c r="DR37" s="139">
        <f>IF(ROW()-3&gt;MAX(DQ$4:DQ$40),"",INDEX(DP$4:DP$40,MATCH(ROW()-3,DQ$4:DQ$40,0)))</f>
        <v/>
      </c>
      <c r="DS37" s="55">
        <f>IF(AND($B$37:$S$37,$U$37:$AJ$37),IF('Final Calculation Sheet'!$R$37="","",'Final Calculation Sheet'!$R$37),"")</f>
        <v/>
      </c>
      <c r="DT37">
        <f>IF(DS37="","",COUNTIFS(DS$4:DS$40,"&lt;"&amp;DS37,DS$4:DS$40,"&lt;&gt;"&amp;"")+COUNTIF(DS$4:DS37,DS37))</f>
        <v/>
      </c>
      <c r="DU37" s="55">
        <f>IF(ROW()-3&gt;COUNTIF(DS$4:DS$40,"&lt;&gt;"&amp;""),"",INDEX(DS$4:DS$40,MATCH(ROW()-3,DT$4:DT$40,0)))</f>
        <v/>
      </c>
      <c r="DV37">
        <f>DV36+IF(AND(DU37&lt;&gt;"",COUNTIF(DU$4:DU37,DU37)=1),1,0)</f>
        <v/>
      </c>
      <c r="DW37" s="55">
        <f>IF(ROW()-3&gt;MAX(DV$4:DV$40),"",INDEX(DU$4:DU$40,MATCH(ROW()-3,DV$4:DV$40,0)))</f>
        <v/>
      </c>
      <c r="DX37" s="55">
        <f>IF(AND($B$37:$T$37,$V$37:$AJ$37),IF('Final Calculation Sheet'!$S$37="","",'Final Calculation Sheet'!$S$37),"")</f>
        <v/>
      </c>
      <c r="DY37">
        <f>IF(DX37="","",COUNTIFS(DX$4:DX$40,"&lt;"&amp;DX37,DX$4:DX$40,"&lt;&gt;"&amp;"")+COUNTIF(DX$4:DX37,DX37))</f>
        <v/>
      </c>
      <c r="DZ37" s="55">
        <f>IF(ROW()-3&gt;COUNTIF(DX$4:DX$40,"&lt;&gt;"&amp;""),"",INDEX(DX$4:DX$40,MATCH(ROW()-3,DY$4:DY$40,0)))</f>
        <v/>
      </c>
      <c r="EA37">
        <f>EA36+IF(AND(DZ37&lt;&gt;"",COUNTIF(DZ$4:DZ37,DZ37)=1),1,0)</f>
        <v/>
      </c>
      <c r="EB37" s="55">
        <f>IF(ROW()-3&gt;MAX(EA$4:EA$40),"",INDEX(DZ$4:DZ$40,MATCH(ROW()-3,EA$4:EA$40,0)))</f>
        <v/>
      </c>
      <c r="EC37" s="55">
        <f>IF(AND($B$37:$U$37,$W$37:$AJ$37),IF('Final Calculation Sheet'!$T$37="","",'Final Calculation Sheet'!$T$37),"")</f>
        <v/>
      </c>
      <c r="ED37">
        <f>IF(EC37="","",COUNTIFS(EC$4:EC$40,"&lt;"&amp;EC37,EC$4:EC$40,"&lt;&gt;"&amp;"")+COUNTIF(EC$4:EC37,EC37))</f>
        <v/>
      </c>
      <c r="EE37" s="55">
        <f>IF(ROW()-3&gt;COUNTIF(EC$4:EC$40,"&lt;&gt;"&amp;""),"",INDEX(EC$4:EC$40,MATCH(ROW()-3,ED$4:ED$40,0)))</f>
        <v/>
      </c>
      <c r="EF37">
        <f>EF36+IF(AND(EE37&lt;&gt;"",COUNTIF(EE$4:EE37,EE37)=1),1,0)</f>
        <v/>
      </c>
      <c r="EG37" s="55">
        <f>IF(ROW()-3&gt;MAX(EF$4:EF$40),"",INDEX(EE$4:EE$40,MATCH(ROW()-3,EF$4:EF$40,0)))</f>
        <v/>
      </c>
      <c r="EH37" s="140">
        <f>IF(AND($B$37:$V$37,$X$37:$AJ$37),IF('Final Calculation Sheet'!$U$37="","",'Final Calculation Sheet'!$U$37),"")</f>
        <v/>
      </c>
      <c r="EI37">
        <f>IF(EH37="","",COUNTIFS(EH$4:EH$40,"&lt;"&amp;EH37,EH$4:EH$40,"&lt;&gt;"&amp;"")+COUNTIF(EH$4:EH37,EH37))</f>
        <v/>
      </c>
      <c r="EJ37" s="140">
        <f>IF(ROW()-3&gt;COUNTIF(EH$4:EH$40,"&lt;&gt;"&amp;""),"",INDEX(EH$4:EH$40,MATCH(ROW()-3,EI$4:EI$40,0)))</f>
        <v/>
      </c>
      <c r="EK37">
        <f>EK36+IF(AND(EJ37&lt;&gt;"",COUNTIF(EJ$4:EJ37,EJ37)=1),1,0)</f>
        <v/>
      </c>
      <c r="EL37" s="140">
        <f>IF(ROW()-3&gt;MAX(EK$4:EK$40),"",INDEX(EJ$4:EJ$40,MATCH(ROW()-3,EK$4:EK$40,0)))</f>
        <v/>
      </c>
      <c r="EM37">
        <f>IF(AND($B$37:$W$37,$Y$37:$AJ$37),IF('Final Calculation Sheet'!$V$37="","",'Final Calculation Sheet'!$V$37),"")</f>
        <v/>
      </c>
      <c r="EN37">
        <f>IF(EM37="","",COUNTIFS(EM$4:EM$40,"&lt;"&amp;EM37,EM$4:EM$40,"&lt;&gt;"&amp;"")+COUNTIF(EM$4:EM37,EM37))</f>
        <v/>
      </c>
      <c r="EO37">
        <f>IF(ROW()-3&gt;COUNTIF(EM$4:EM$40,"&lt;&gt;"&amp;""),"",INDEX(EM$4:EM$40,MATCH(ROW()-3,EN$4:EN$40,0)))</f>
        <v/>
      </c>
      <c r="EP37">
        <f>EP36+IF(AND(EO37&lt;&gt;"",COUNTIF(EO$4:EO37,EO37)=1),1,0)</f>
        <v/>
      </c>
      <c r="EQ37">
        <f>IF(ROW()-3&gt;MAX(EP$4:EP$40),"",INDEX(EO$4:EO$40,MATCH(ROW()-3,EP$4:EP$40,0)))</f>
        <v/>
      </c>
      <c r="ER37" s="55">
        <f>IF(AND($B$37:$X$37,$Z$37:$AJ$37),IF('Final Calculation Sheet'!$W$37="","",'Final Calculation Sheet'!$W$37),"")</f>
        <v/>
      </c>
      <c r="ES37">
        <f>IF(ER37="","",COUNTIFS(ER$4:ER$40,"&lt;"&amp;ER37,ER$4:ER$40,"&lt;&gt;"&amp;"")+COUNTIF(ER$4:ER37,ER37))</f>
        <v/>
      </c>
      <c r="ET37" s="55">
        <f>IF(ROW()-3&gt;COUNTIF(ER$4:ER$40,"&lt;&gt;"&amp;""),"",INDEX(ER$4:ER$40,MATCH(ROW()-3,ES$4:ES$40,0)))</f>
        <v/>
      </c>
      <c r="EU37">
        <f>EU36+IF(AND(ET37&lt;&gt;"",COUNTIF(ET$4:ET37,ET37)=1),1,0)</f>
        <v/>
      </c>
      <c r="EV37" s="55">
        <f>IF(ROW()-3&gt;MAX(EU$4:EU$40),"",INDEX(ET$4:ET$40,MATCH(ROW()-3,EU$4:EU$40,0)))</f>
        <v/>
      </c>
      <c r="EW37" s="55">
        <f>IF(AND($B$37:$Y$37,$AA$37:$AJ$37),IF('Final Calculation Sheet'!$X$37="","",'Final Calculation Sheet'!$X$37),"")</f>
        <v/>
      </c>
      <c r="EX37">
        <f>IF(EW37="","",COUNTIFS(EW$4:EW$40,"&lt;"&amp;EW37,EW$4:EW$40,"&lt;&gt;"&amp;"")+COUNTIF(EW$4:EW37,EW37))</f>
        <v/>
      </c>
      <c r="EY37" s="55">
        <f>IF(ROW()-3&gt;COUNTIF(EW$4:EW$40,"&lt;&gt;"&amp;""),"",INDEX(EW$4:EW$40,MATCH(ROW()-3,EX$4:EX$40,0)))</f>
        <v/>
      </c>
      <c r="EZ37">
        <f>EZ36+IF(AND(EY37&lt;&gt;"",COUNTIF(EY$4:EY37,EY37)=1),1,0)</f>
        <v/>
      </c>
      <c r="FA37">
        <f>IF(ROW()-3&gt;MAX(EZ$4:EZ$40),"",INDEX(EY$4:EY$40,MATCH(ROW()-3,EZ$4:EZ$40,0)))</f>
        <v/>
      </c>
      <c r="FB37">
        <f>IF(AND($B$37:$Z$37,$AB$37:$AJ$37),IF('Final Calculation Sheet'!$Y$37="","",'Final Calculation Sheet'!$Y$37),"")</f>
        <v/>
      </c>
      <c r="FC37">
        <f>IF(FB37="","",COUNTIFS(FB$4:FB$40,"&lt;"&amp;FB37,FB$4:FB$40,"&lt;&gt;"&amp;"")+COUNTIF(FB$4:FB37,FB37))</f>
        <v/>
      </c>
      <c r="FD37">
        <f>IF(ROW()-3&gt;COUNTIF(FB$4:FB$40,"&lt;&gt;"&amp;""),"",INDEX(FB$4:FB$40,MATCH(ROW()-3,FC$4:FC$40,0)))</f>
        <v/>
      </c>
      <c r="FE37">
        <f>FE36+IF(AND(FD37&lt;&gt;"",COUNTIF(FD$4:FD37,FD37)=1),1,0)</f>
        <v/>
      </c>
      <c r="FF37">
        <f>IF(ROW()-3&gt;MAX(FE$4:FE$40),"",INDEX(FD$4:FD$40,MATCH(ROW()-3,FE$4:FE$40,0)))</f>
        <v/>
      </c>
      <c r="FG37" s="55">
        <f>IF(AND($B$37:$AA$37,$AC$37:$AJ$37),IF('Final Calculation Sheet'!$Z$37="","",'Final Calculation Sheet'!$Z$37),"")</f>
        <v/>
      </c>
      <c r="FH37">
        <f>IF(FG37="","",COUNTIFS(FG$4:FG$40,"&lt;"&amp;FG37,FG$4:FG$40,"&lt;&gt;"&amp;"")+COUNTIF(FG$4:FG37,FG37))</f>
        <v/>
      </c>
      <c r="FI37" s="55">
        <f>IF(ROW()-3&gt;COUNTIF(FG$4:FG$40,"&lt;&gt;"&amp;""),"",INDEX(FG$4:FG$40,MATCH(ROW()-3,FH$4:FH$40,0)))</f>
        <v/>
      </c>
      <c r="FJ37">
        <f>FJ36+IF(AND(FI37&lt;&gt;"",COUNTIF(FI$4:FI37,FI37)=1),1,0)</f>
        <v/>
      </c>
      <c r="FK37" s="55">
        <f>IF(ROW()-3&gt;MAX(FJ$4:FJ$40),"",INDEX(FI$4:FI$40,MATCH(ROW()-3,FJ$4:FJ$40,0)))</f>
        <v/>
      </c>
      <c r="FL37">
        <f>IF(AND($B$37:$AB$37,$AD$37:$AJ$37),IF('Final Calculation Sheet'!$AA$37="","",'Final Calculation Sheet'!$AA$37),"")</f>
        <v/>
      </c>
      <c r="FM37">
        <f>IF(FL37="","",COUNTIFS(FL$4:FL$40,"&lt;"&amp;FL37,FL$4:FL$40,"&lt;&gt;"&amp;"")+COUNTIF(FL$4:FL37,FL37))</f>
        <v/>
      </c>
      <c r="FN37">
        <f>IF(ROW()-3&gt;COUNTIF(FL$4:FL$40,"&lt;&gt;"&amp;""),"",INDEX(FL$4:FL$40,MATCH(ROW()-3,FM$4:FM$40,0)))</f>
        <v/>
      </c>
      <c r="FO37">
        <f>FO36+IF(AND(FN37&lt;&gt;"",COUNTIF(FN$4:FN37,FN37)=1),1,0)</f>
        <v/>
      </c>
      <c r="FP37">
        <f>IF(ROW()-3&gt;MAX(FO$4:FO$40),"",INDEX(FN$4:FN$40,MATCH(ROW()-3,FO$4:FO$40,0)))</f>
        <v/>
      </c>
      <c r="FQ37">
        <f>IF(AND($B$37:$AC$37,$AE$37:$AJ$37),IF('Final Calculation Sheet'!$AB$37="","",'Final Calculation Sheet'!$AB$37),"")</f>
        <v/>
      </c>
      <c r="FR37">
        <f>IF(FQ37="","",COUNTIFS(FQ$4:FQ$40,"&lt;"&amp;FQ37,FQ$4:FQ$40,"&lt;&gt;"&amp;"")+COUNTIF(FQ$4:FQ37,FQ37))</f>
        <v/>
      </c>
      <c r="FS37">
        <f>IF(ROW()-3&gt;COUNTIF(FQ$4:FQ$40,"&lt;&gt;"&amp;""),"",INDEX(FQ$4:FQ$40,MATCH(ROW()-3,FR$4:FR$40,0)))</f>
        <v/>
      </c>
      <c r="FT37">
        <f>FT36+IF(AND(FS37&lt;&gt;"",COUNTIF(FS$4:FS37,FS37)=1),1,0)</f>
        <v/>
      </c>
      <c r="FU37">
        <f>IF(ROW()-3&gt;MAX(FT$4:FT$40),"",INDEX(FS$4:FS$40,MATCH(ROW()-3,FT$4:FT$40,0)))</f>
        <v/>
      </c>
      <c r="FV37" s="55">
        <f>IF(AND($B$37:$AD$37,$AF$37:$AJ$37),IF('Final Calculation Sheet'!$AC$37="","",'Final Calculation Sheet'!$AC$37),"")</f>
        <v/>
      </c>
      <c r="FW37">
        <f>IF(FV37="","",COUNTIFS(FV$4:FV$40,"&lt;"&amp;FV37,FV$4:FV$40,"&lt;&gt;"&amp;"")+COUNTIF(FV$4:FV37,FV37))</f>
        <v/>
      </c>
      <c r="FX37" s="55">
        <f>IF(ROW()-3&gt;COUNTIF(FV$4:FV$40,"&lt;&gt;"&amp;""),"",INDEX(FV$4:FV$40,MATCH(ROW()-3,FW$4:FW$40,0)))</f>
        <v/>
      </c>
      <c r="FY37">
        <f>FY36+IF(AND(FX37&lt;&gt;"",COUNTIF(FX$4:FX37,FX37)=1),1,0)</f>
        <v/>
      </c>
      <c r="FZ37" s="55">
        <f>IF(ROW()-3&gt;MAX(FY$4:FY$40),"",INDEX(FX$4:FX$40,MATCH(ROW()-3,FY$4:FY$40,0)))</f>
        <v/>
      </c>
      <c r="GA37" s="55">
        <f>IF(AND($B$37:$AE$37,$AG$37:$AJ$37),IF('Final Calculation Sheet'!$AD$37="","",'Final Calculation Sheet'!$AD$37),"")</f>
        <v/>
      </c>
      <c r="GB37">
        <f>IF(GA37="","",COUNTIFS(GA$4:GA$40,"&lt;"&amp;GA37,GA$4:GA$40,"&lt;&gt;"&amp;"")+COUNTIF(GA$4:GA37,GA37))</f>
        <v/>
      </c>
      <c r="GC37" s="55">
        <f>IF(ROW()-3&gt;COUNTIF(GA$4:GA$40,"&lt;&gt;"&amp;""),"",INDEX(GA$4:GA$40,MATCH(ROW()-3,GB$4:GB$40,0)))</f>
        <v/>
      </c>
      <c r="GD37">
        <f>GD36+IF(AND(GC37&lt;&gt;"",COUNTIF(GC$4:GC37,GC37)=1),1,0)</f>
        <v/>
      </c>
      <c r="GE37" s="55">
        <f>IF(ROW()-3&gt;MAX(GD$4:GD$40),"",INDEX(GC$4:GC$40,MATCH(ROW()-3,GD$4:GD$40,0)))</f>
        <v/>
      </c>
      <c r="GF37">
        <f>IF(AND($B$37:$AF$37,$AH$37:$AJ$37),IF('Final Calculation Sheet'!$AE$37="","",'Final Calculation Sheet'!$AE$37),"")</f>
        <v/>
      </c>
      <c r="GG37">
        <f>IF(GF37="","",COUNTIFS(GF$4:GF$40,"&lt;"&amp;GF37,GF$4:GF$40,"&lt;&gt;"&amp;"")+COUNTIF(GF$4:GF37,GF37))</f>
        <v/>
      </c>
      <c r="GH37">
        <f>IF(ROW()-3&gt;COUNTIF(GF$4:GF$40,"&lt;&gt;"&amp;""),"",INDEX(GF$4:GF$40,MATCH(ROW()-3,GG$4:GG$40,0)))</f>
        <v/>
      </c>
      <c r="GI37">
        <f>GI36+IF(AND(GH37&lt;&gt;"",COUNTIF(GH$4:GH37,GH37)=1),1,0)</f>
        <v/>
      </c>
      <c r="GJ37">
        <f>IF(ROW()-3&gt;MAX(GI$4:GI$40),"",INDEX(GH$4:GH$40,MATCH(ROW()-3,GI$4:GI$40,0)))</f>
        <v/>
      </c>
      <c r="GK37" s="141">
        <f>IF(AND($B$37:$AG$37,$AI$37:$AJ$37),IF('Final Calculation Sheet'!$AF$37="","",'Final Calculation Sheet'!$AF$37),"")</f>
        <v/>
      </c>
      <c r="GL37">
        <f>IF(GK37="","",COUNTIFS(GK$4:GK$40,"&lt;"&amp;GK37,GK$4:GK$40,"&lt;&gt;"&amp;"")+COUNTIF(GK$4:GK37,GK37))</f>
        <v/>
      </c>
      <c r="GM37" s="141">
        <f>IF(ROW()-3&gt;COUNTIF(GK$4:GK$40,"&lt;&gt;"&amp;""),"",INDEX(GK$4:GK$40,MATCH(ROW()-3,GL$4:GL$40,0)))</f>
        <v/>
      </c>
      <c r="GN37">
        <f>GN36+IF(AND(GM37&lt;&gt;"",COUNTIF(GM$4:GM37,GM37)=1),1,0)</f>
        <v/>
      </c>
      <c r="GO37">
        <f>IF(ROW()-3&gt;MAX(GN$4:GN$40),"",INDEX(GM$4:GM$40,MATCH(ROW()-3,GN$4:GN$40,0)))</f>
        <v/>
      </c>
      <c r="GP37">
        <f>IF(AND($B$37:$AH$37,$AJ$37:$AJ$37),IF('Final Calculation Sheet'!$AG$37="","",'Final Calculation Sheet'!$AG$37),"")</f>
        <v/>
      </c>
      <c r="GQ37">
        <f>IF(GP37="","",COUNTIFS(GP$4:GP$40,"&lt;"&amp;GP37,GP$4:GP$40,"&lt;&gt;"&amp;"")+COUNTIF(GP$4:GP37,GP37))</f>
        <v/>
      </c>
      <c r="GR37">
        <f>IF(ROW()-3&gt;COUNTIF(GP$4:GP$40,"&lt;&gt;"&amp;""),"",INDEX(GP$4:GP$40,MATCH(ROW()-3,GQ$4:GQ$40,0)))</f>
        <v/>
      </c>
      <c r="GS37">
        <f>GS36+IF(AND(GR37&lt;&gt;"",COUNTIF(GR$4:GR37,GR37)=1),1,0)</f>
        <v/>
      </c>
      <c r="GT37">
        <f>IF(ROW()-3&gt;MAX(GS$4:GS$40),"",INDEX(GR$4:GR$40,MATCH(ROW()-3,GS$4:GS$40,0)))</f>
        <v/>
      </c>
    </row>
    <row r="38">
      <c r="A38" t="inlineStr">
        <is>
          <t>Final row 38</t>
        </is>
      </c>
      <c r="B38" t="b">
        <v>1</v>
      </c>
      <c r="C38">
        <f>IF($C$3=FALSE,TRUE,IF(OR(UPPER(TRIM($C$2))="(BLANK)",UPPER(TRIM($C$2))="BLANK",AND($C$2&lt;&gt;"",TRIM($C$2)="")),(IF('Final Calculation Sheet'!$F$38="","",'Final Calculation Sheet'!$F$38))="",IF(OR(UPPER(TRIM($C$2))="(NONBLANK)",UPPER(TRIM($C$2))="NONBLANK",TRIM($C$2)="&lt;&gt;"),(IF('Final Calculation Sheet'!$F$38="","",'Final Calculation Sheet'!$F$38))&lt;&gt;"",UPPER(TRIM((IF('Final Calculation Sheet'!$F$38="","",'Final Calculation Sheet'!$F$38))&amp;""))=UPPER(TRIM($C$2&amp;"")))))</f>
        <v/>
      </c>
      <c r="D38">
        <f>IF($D$3=FALSE,TRUE,IF(OR(UPPER(TRIM($D$2))="(BLANK)",UPPER(TRIM($D$2))="BLANK",AND($D$2&lt;&gt;"",TRIM($D$2)="")),(IF('Final Calculation Sheet'!$G$38="","",'Final Calculation Sheet'!$G$38))="",IF(OR(UPPER(TRIM($D$2))="(NONBLANK)",UPPER(TRIM($D$2))="NONBLANK",TRIM($D$2)="&lt;&gt;"),(IF('Final Calculation Sheet'!$G$38="","",'Final Calculation Sheet'!$G$38))&lt;&gt;"",UPPER(TRIM((IF('Final Calculation Sheet'!$G$38="","",'Final Calculation Sheet'!$G$38))&amp;""))=UPPER(TRIM($D$2&amp;"")))))</f>
        <v/>
      </c>
      <c r="E38">
        <f>IF($E$3=FALSE,TRUE,IF(OR(UPPER(TRIM($E$2))="(BLANK)",UPPER(TRIM($E$2))="BLANK",AND($E$2&lt;&gt;"",TRIM($E$2)="")),(IF('Final Calculation Sheet'!$B$38="","",'Final Calculation Sheet'!$B$38))="",IF(OR(UPPER(TRIM($E$2))="(NONBLANK)",UPPER(TRIM($E$2))="NONBLANK",TRIM($E$2)="&lt;&gt;"),(IF('Final Calculation Sheet'!$B$38="","",'Final Calculation Sheet'!$B$38))&lt;&gt;"",UPPER(TRIM((IF('Final Calculation Sheet'!$B$38="","",'Final Calculation Sheet'!$B$38))&amp;""))=UPPER(TRIM($E$2&amp;"")))))</f>
        <v/>
      </c>
      <c r="F38">
        <f>IF($F$3=FALSE,TRUE,IF(OR(UPPER(TRIM($F$2))="(BLANK)",UPPER(TRIM($F$2))="BLANK",AND($F$2&lt;&gt;"",TRIM($F$2)="")),(IF('Final Calculation Sheet'!$D$38="","",'Final Calculation Sheet'!$D$38))="",IF(OR(UPPER(TRIM($F$2))="(NONBLANK)",UPPER(TRIM($F$2))="NONBLANK",TRIM($F$2)="&lt;&gt;"),(IF('Final Calculation Sheet'!$D$38="","",'Final Calculation Sheet'!$D$38))&lt;&gt;"",UPPER(TRIM((IF('Final Calculation Sheet'!$D$38="","",'Final Calculation Sheet'!$D$38))&amp;""))=UPPER(TRIM($F$2&amp;"")))))</f>
        <v/>
      </c>
      <c r="G38">
        <f>IF($G$3=FALSE,TRUE,IF(OR(UPPER(TRIM($G$2))="(BLANK)",UPPER(TRIM($G$2))="BLANK",AND($G$2&lt;&gt;"",TRIM($G$2)="")),(IF('Final Calculation Sheet'!$A$38="","",'Final Calculation Sheet'!$A$38))="",IF(OR(UPPER(TRIM($G$2))="(NONBLANK)",UPPER(TRIM($G$2))="NONBLANK",TRIM($G$2)="&lt;&gt;"),(IF('Final Calculation Sheet'!$A$38="","",'Final Calculation Sheet'!$A$38))&lt;&gt;"",UPPER(TRIM((IF('Final Calculation Sheet'!$A$38="","",'Final Calculation Sheet'!$A$38))&amp;""))=UPPER(TRIM($G$2&amp;"")))))</f>
        <v/>
      </c>
      <c r="H38">
        <f>IF($H$3=FALSE,TRUE,IF(OR(UPPER(TRIM($H$2))="(BLANK)",UPPER(TRIM($H$2))="BLANK",AND($H$2&lt;&gt;"",TRIM($H$2)="")),(IF('Final Calculation Sheet'!$E$38="","",'Final Calculation Sheet'!$E$38))="",IF(OR(UPPER(TRIM($H$2))="(NONBLANK)",UPPER(TRIM($H$2))="NONBLANK",TRIM($H$2)="&lt;&gt;"),(IF('Final Calculation Sheet'!$E$38="","",'Final Calculation Sheet'!$E$38))&lt;&gt;"",UPPER(TRIM((IF('Final Calculation Sheet'!$E$38="","",'Final Calculation Sheet'!$E$38))&amp;""))=UPPER(TRIM($H$2&amp;"")))))</f>
        <v/>
      </c>
      <c r="I38">
        <f>IF($I$3=FALSE,TRUE,IF(OR(UPPER(TRIM($I$2))="(BLANK)",UPPER(TRIM($I$2))="BLANK",AND($I$2&lt;&gt;"",TRIM($I$2)="")),(IF('Final Calculation Sheet'!$C$38="","",'Final Calculation Sheet'!$C$38))="",IF(OR(UPPER(TRIM($I$2))="(NONBLANK)",UPPER(TRIM($I$2))="NONBLANK",TRIM($I$2)="&lt;&gt;"),(IF('Final Calculation Sheet'!$C$38="","",'Final Calculation Sheet'!$C$38))&lt;&gt;"",UPPER(TRIM((IF('Final Calculation Sheet'!$C$38="","",'Final Calculation Sheet'!$C$38))&amp;""))=UPPER(TRIM($I$2&amp;"")))))</f>
        <v/>
      </c>
      <c r="J38">
        <f>IF($J$3=FALSE,TRUE,IF(OR(UPPER(TRIM($J$2))="(BLANK)",UPPER(TRIM($J$2))="BLANK",AND($J$2&lt;&gt;"",TRIM($J$2)="")),(IF('Final Calculation Sheet'!$H$38="","",'Final Calculation Sheet'!$H$38))="",IF(OR(UPPER(TRIM($J$2))="(NONBLANK)",UPPER(TRIM($J$2))="NONBLANK",TRIM($J$2)="&lt;&gt;"),(IF('Final Calculation Sheet'!$H$38="","",'Final Calculation Sheet'!$H$38))&lt;&gt;"",UPPER(TRIM((IF('Final Calculation Sheet'!$H$38="","",'Final Calculation Sheet'!$H$38))&amp;""))=UPPER(TRIM($J$2&amp;"")))))</f>
        <v/>
      </c>
      <c r="K38">
        <f>IF($K$3=FALSE,TRUE,IF(OR(UPPER(TRIM($K$2))="(BLANK)",UPPER(TRIM($K$2))="BLANK",AND($K$2&lt;&gt;"",TRIM($K$2)="")),(IF('Final Calculation Sheet'!$I$38="","",'Final Calculation Sheet'!$I$38))="",IF(OR(UPPER(TRIM($K$2))="(NONBLANK)",UPPER(TRIM($K$2))="NONBLANK",TRIM($K$2)="&lt;&gt;"),(IF('Final Calculation Sheet'!$I$38="","",'Final Calculation Sheet'!$I$38))&lt;&gt;"",UPPER(TRIM((IF('Final Calculation Sheet'!$I$38="","",'Final Calculation Sheet'!$I$38))&amp;""))=UPPER(TRIM($K$2&amp;"")))))</f>
        <v/>
      </c>
      <c r="L38">
        <f>IF($L$3=FALSE,TRUE,IF(OR(UPPER(TRIM($L$2))="(BLANK)",UPPER(TRIM($L$2))="BLANK",AND($L$2&lt;&gt;"",TRIM($L$2)="")),(IF('Final Calculation Sheet'!$J$38="","",'Final Calculation Sheet'!$J$38))="",IF(OR(UPPER(TRIM($L$2))="(NONBLANK)",UPPER(TRIM($L$2))="NONBLANK",TRIM($L$2)="&lt;&gt;"),(IF('Final Calculation Sheet'!$J$38="","",'Final Calculation Sheet'!$J$38))&lt;&gt;"",UPPER(TRIM((IF('Final Calculation Sheet'!$J$38="","",'Final Calculation Sheet'!$J$38))&amp;""))=UPPER(TRIM($L$2&amp;"")))))</f>
        <v/>
      </c>
      <c r="M38">
        <f>IF($M$3=FALSE,TRUE,IF(OR(UPPER(TRIM($M$2))="(BLANK)",UPPER(TRIM($M$2))="BLANK",AND($M$2&lt;&gt;"",TRIM($M$2)="")),(IF('Final Calculation Sheet'!$K$38="","",'Final Calculation Sheet'!$K$38))="",IF(OR(UPPER(TRIM($M$2))="(NONBLANK)",UPPER(TRIM($M$2))="NONBLANK",TRIM($M$2)="&lt;&gt;"),(IF('Final Calculation Sheet'!$K$38="","",'Final Calculation Sheet'!$K$38))&lt;&gt;"",UPPER(TRIM((IF('Final Calculation Sheet'!$K$38="","",'Final Calculation Sheet'!$K$38))&amp;""))=UPPER(TRIM($M$2&amp;"")))))</f>
        <v/>
      </c>
      <c r="N38">
        <f>IF($N$3=FALSE,TRUE,IF(OR(UPPER(TRIM($N$2))="(BLANK)",UPPER(TRIM($N$2))="BLANK",AND($N$2&lt;&gt;"",TRIM($N$2)="")),(IF('Final Calculation Sheet'!$L$38="","",'Final Calculation Sheet'!$L$38))="",IF(OR(UPPER(TRIM($N$2))="(NONBLANK)",UPPER(TRIM($N$2))="NONBLANK",TRIM($N$2)="&lt;&gt;"),(IF('Final Calculation Sheet'!$L$38="","",'Final Calculation Sheet'!$L$38))&lt;&gt;"",UPPER(TRIM((IF('Final Calculation Sheet'!$L$38="","",'Final Calculation Sheet'!$L$38))&amp;""))=UPPER(TRIM($N$2&amp;"")))))</f>
        <v/>
      </c>
      <c r="O38">
        <f>IF($O$3=FALSE,TRUE,IF(OR(UPPER(TRIM($O$2))="(BLANK)",UPPER(TRIM($O$2))="BLANK",AND($O$2&lt;&gt;"",TRIM($O$2)="")),(IF('Final Calculation Sheet'!$M$38="","",'Final Calculation Sheet'!$M$38))="",IF(OR(UPPER(TRIM($O$2))="(NONBLANK)",UPPER(TRIM($O$2))="NONBLANK",TRIM($O$2)="&lt;&gt;"),(IF('Final Calculation Sheet'!$M$38="","",'Final Calculation Sheet'!$M$38))&lt;&gt;"",UPPER(TRIM((IF('Final Calculation Sheet'!$M$38="","",'Final Calculation Sheet'!$M$38))&amp;""))=UPPER(TRIM($O$2&amp;"")))))</f>
        <v/>
      </c>
      <c r="P38">
        <f>IF($P$3=FALSE,TRUE,IF(OR(UPPER(TRIM($P$2))="(BLANK)",UPPER(TRIM($P$2))="BLANK",AND($P$2&lt;&gt;"",TRIM($P$2)="")),(IF('Final Calculation Sheet'!$N$38="","",'Final Calculation Sheet'!$N$38))="",IF(OR(UPPER(TRIM($P$2))="(NONBLANK)",UPPER(TRIM($P$2))="NONBLANK",TRIM($P$2)="&lt;&gt;"),(IF('Final Calculation Sheet'!$N$38="","",'Final Calculation Sheet'!$N$38))&lt;&gt;"",UPPER(TRIM((IF('Final Calculation Sheet'!$N$38="","",'Final Calculation Sheet'!$N$38))&amp;""))=UPPER(TRIM($P$2&amp;"")))))</f>
        <v/>
      </c>
      <c r="Q38">
        <f>IF($Q$3=FALSE,TRUE,IF(OR(UPPER(TRIM($Q$2))="(BLANK)",UPPER(TRIM($Q$2))="BLANK",AND($Q$2&lt;&gt;"",TRIM($Q$2)="")),(IF('Final Calculation Sheet'!$O$38="","",'Final Calculation Sheet'!$O$38))="",IF(OR(UPPER(TRIM($Q$2))="(NONBLANK)",UPPER(TRIM($Q$2))="NONBLANK",TRIM($Q$2)="&lt;&gt;"),(IF('Final Calculation Sheet'!$O$38="","",'Final Calculation Sheet'!$O$38))&lt;&gt;"",UPPER(TRIM((IF('Final Calculation Sheet'!$O$38="","",'Final Calculation Sheet'!$O$38))&amp;""))=UPPER(TRIM($Q$2&amp;"")))))</f>
        <v/>
      </c>
      <c r="R38">
        <f>IF($R$3=FALSE,TRUE,IF(OR(UPPER(TRIM($R$2))="(BLANK)",UPPER(TRIM($R$2))="BLANK",AND($R$2&lt;&gt;"",TRIM($R$2)="")),(IF('Final Calculation Sheet'!$P$38="","",'Final Calculation Sheet'!$P$38))="",IF(OR(UPPER(TRIM($R$2))="(NONBLANK)",UPPER(TRIM($R$2))="NONBLANK",TRIM($R$2)="&lt;&gt;"),(IF('Final Calculation Sheet'!$P$38="","",'Final Calculation Sheet'!$P$38))&lt;&gt;"",UPPER(TRIM((IF('Final Calculation Sheet'!$P$38="","",'Final Calculation Sheet'!$P$38))&amp;""))=UPPER(TRIM($R$2&amp;"")))))</f>
        <v/>
      </c>
      <c r="S38">
        <f>IF($S$3=FALSE,TRUE,IF(OR(UPPER(TRIM($S$2))="(BLANK)",UPPER(TRIM($S$2))="BLANK",AND($S$2&lt;&gt;"",TRIM($S$2)="")),(IF('Final Calculation Sheet'!$Q$38="","",'Final Calculation Sheet'!$Q$38))="",IF(OR(UPPER(TRIM($S$2))="(NONBLANK)",UPPER(TRIM($S$2))="NONBLANK",TRIM($S$2)="&lt;&gt;"),(IF('Final Calculation Sheet'!$Q$38="","",'Final Calculation Sheet'!$Q$38))&lt;&gt;"",UPPER(TRIM((IF('Final Calculation Sheet'!$Q$38="","",'Final Calculation Sheet'!$Q$38))&amp;""))=UPPER(TRIM($S$2&amp;"")))))</f>
        <v/>
      </c>
      <c r="T38">
        <f>IF($T$3=FALSE,TRUE,IF(OR(UPPER(TRIM($T$2))="(BLANK)",UPPER(TRIM($T$2))="BLANK",AND($T$2&lt;&gt;"",TRIM($T$2)="")),(IF('Final Calculation Sheet'!$R$38="","",'Final Calculation Sheet'!$R$38))="",IF(OR(UPPER(TRIM($T$2))="(NONBLANK)",UPPER(TRIM($T$2))="NONBLANK",TRIM($T$2)="&lt;&gt;"),(IF('Final Calculation Sheet'!$R$38="","",'Final Calculation Sheet'!$R$38))&lt;&gt;"",UPPER(TRIM((IF('Final Calculation Sheet'!$R$38="","",'Final Calculation Sheet'!$R$38))&amp;""))=UPPER(TRIM($T$2&amp;"")))))</f>
        <v/>
      </c>
      <c r="U38">
        <f>IF($U$3=FALSE,TRUE,IF(OR(UPPER(TRIM($U$2))="(BLANK)",UPPER(TRIM($U$2))="BLANK",AND($U$2&lt;&gt;"",TRIM($U$2)="")),(IF('Final Calculation Sheet'!$S$38="","",'Final Calculation Sheet'!$S$38))="",IF(OR(UPPER(TRIM($U$2))="(NONBLANK)",UPPER(TRIM($U$2))="NONBLANK",TRIM($U$2)="&lt;&gt;"),(IF('Final Calculation Sheet'!$S$38="","",'Final Calculation Sheet'!$S$38))&lt;&gt;"",UPPER(TRIM((IF('Final Calculation Sheet'!$S$38="","",'Final Calculation Sheet'!$S$38))&amp;""))=UPPER(TRIM($U$2&amp;"")))))</f>
        <v/>
      </c>
      <c r="V38">
        <f>IF($V$3=FALSE,TRUE,IF(OR(UPPER(TRIM($V$2))="(BLANK)",UPPER(TRIM($V$2))="BLANK",AND($V$2&lt;&gt;"",TRIM($V$2)="")),(IF('Final Calculation Sheet'!$T$38="","",'Final Calculation Sheet'!$T$38))="",IF(OR(UPPER(TRIM($V$2))="(NONBLANK)",UPPER(TRIM($V$2))="NONBLANK",TRIM($V$2)="&lt;&gt;"),(IF('Final Calculation Sheet'!$T$38="","",'Final Calculation Sheet'!$T$38))&lt;&gt;"",UPPER(TRIM((IF('Final Calculation Sheet'!$T$38="","",'Final Calculation Sheet'!$T$38))&amp;""))=UPPER(TRIM($V$2&amp;"")))))</f>
        <v/>
      </c>
      <c r="W38">
        <f>IF($W$3=FALSE,TRUE,IF(OR(UPPER(TRIM($W$2))="(BLANK)",UPPER(TRIM($W$2))="BLANK",AND($W$2&lt;&gt;"",TRIM($W$2)="")),(IF('Final Calculation Sheet'!$U$38="","",'Final Calculation Sheet'!$U$38))="",IF(OR(UPPER(TRIM($W$2))="(NONBLANK)",UPPER(TRIM($W$2))="NONBLANK",TRIM($W$2)="&lt;&gt;"),(IF('Final Calculation Sheet'!$U$38="","",'Final Calculation Sheet'!$U$38))&lt;&gt;"",UPPER(TRIM((IF('Final Calculation Sheet'!$U$38="","",'Final Calculation Sheet'!$U$38))&amp;""))=UPPER(TRIM($W$2&amp;"")))))</f>
        <v/>
      </c>
      <c r="X38">
        <f>IF($X$3=FALSE,TRUE,IF(OR(UPPER(TRIM($X$2))="(BLANK)",UPPER(TRIM($X$2))="BLANK",AND($X$2&lt;&gt;"",TRIM($X$2)="")),(IF('Final Calculation Sheet'!$V$38="","",'Final Calculation Sheet'!$V$38))="",IF(OR(UPPER(TRIM($X$2))="(NONBLANK)",UPPER(TRIM($X$2))="NONBLANK",TRIM($X$2)="&lt;&gt;"),(IF('Final Calculation Sheet'!$V$38="","",'Final Calculation Sheet'!$V$38))&lt;&gt;"",UPPER(TRIM((IF('Final Calculation Sheet'!$V$38="","",'Final Calculation Sheet'!$V$38))&amp;""))=UPPER(TRIM($X$2&amp;"")))))</f>
        <v/>
      </c>
      <c r="Y38">
        <f>IF($Y$3=FALSE,TRUE,IF(OR(UPPER(TRIM($Y$2))="(BLANK)",UPPER(TRIM($Y$2))="BLANK",AND($Y$2&lt;&gt;"",TRIM($Y$2)="")),(IF('Final Calculation Sheet'!$W$38="","",'Final Calculation Sheet'!$W$38))="",IF(OR(UPPER(TRIM($Y$2))="(NONBLANK)",UPPER(TRIM($Y$2))="NONBLANK",TRIM($Y$2)="&lt;&gt;"),(IF('Final Calculation Sheet'!$W$38="","",'Final Calculation Sheet'!$W$38))&lt;&gt;"",UPPER(TRIM((IF('Final Calculation Sheet'!$W$38="","",'Final Calculation Sheet'!$W$38))&amp;""))=UPPER(TRIM($Y$2&amp;"")))))</f>
        <v/>
      </c>
      <c r="Z38">
        <f>IF($Z$3=FALSE,TRUE,IF(OR(UPPER(TRIM($Z$2))="(BLANK)",UPPER(TRIM($Z$2))="BLANK",AND($Z$2&lt;&gt;"",TRIM($Z$2)="")),(IF('Final Calculation Sheet'!$X$38="","",'Final Calculation Sheet'!$X$38))="",IF(OR(UPPER(TRIM($Z$2))="(NONBLANK)",UPPER(TRIM($Z$2))="NONBLANK",TRIM($Z$2)="&lt;&gt;"),(IF('Final Calculation Sheet'!$X$38="","",'Final Calculation Sheet'!$X$38))&lt;&gt;"",UPPER(TRIM((IF('Final Calculation Sheet'!$X$38="","",'Final Calculation Sheet'!$X$38))&amp;""))=UPPER(TRIM($Z$2&amp;"")))))</f>
        <v/>
      </c>
      <c r="AA38">
        <f>IF($AA$3=FALSE,TRUE,IF(OR(UPPER(TRIM($AA$2))="(BLANK)",UPPER(TRIM($AA$2))="BLANK",AND($AA$2&lt;&gt;"",TRIM($AA$2)="")),(IF('Final Calculation Sheet'!$Y$38="","",'Final Calculation Sheet'!$Y$38))="",IF(OR(UPPER(TRIM($AA$2))="(NONBLANK)",UPPER(TRIM($AA$2))="NONBLANK",TRIM($AA$2)="&lt;&gt;"),(IF('Final Calculation Sheet'!$Y$38="","",'Final Calculation Sheet'!$Y$38))&lt;&gt;"",UPPER(TRIM((IF('Final Calculation Sheet'!$Y$38="","",'Final Calculation Sheet'!$Y$38))&amp;""))=UPPER(TRIM($AA$2&amp;"")))))</f>
        <v/>
      </c>
      <c r="AB38">
        <f>IF($AB$3=FALSE,TRUE,IF(OR(UPPER(TRIM($AB$2))="(BLANK)",UPPER(TRIM($AB$2))="BLANK",AND($AB$2&lt;&gt;"",TRIM($AB$2)="")),(IF('Final Calculation Sheet'!$Z$38="","",'Final Calculation Sheet'!$Z$38))="",IF(OR(UPPER(TRIM($AB$2))="(NONBLANK)",UPPER(TRIM($AB$2))="NONBLANK",TRIM($AB$2)="&lt;&gt;"),(IF('Final Calculation Sheet'!$Z$38="","",'Final Calculation Sheet'!$Z$38))&lt;&gt;"",UPPER(TRIM((IF('Final Calculation Sheet'!$Z$38="","",'Final Calculation Sheet'!$Z$38))&amp;""))=UPPER(TRIM($AB$2&amp;"")))))</f>
        <v/>
      </c>
      <c r="AC38">
        <f>IF($AC$3=FALSE,TRUE,IF(OR(UPPER(TRIM($AC$2))="(BLANK)",UPPER(TRIM($AC$2))="BLANK",AND($AC$2&lt;&gt;"",TRIM($AC$2)="")),(IF('Final Calculation Sheet'!$AA$38="","",'Final Calculation Sheet'!$AA$38))="",IF(OR(UPPER(TRIM($AC$2))="(NONBLANK)",UPPER(TRIM($AC$2))="NONBLANK",TRIM($AC$2)="&lt;&gt;"),(IF('Final Calculation Sheet'!$AA$38="","",'Final Calculation Sheet'!$AA$38))&lt;&gt;"",UPPER(TRIM((IF('Final Calculation Sheet'!$AA$38="","",'Final Calculation Sheet'!$AA$38))&amp;""))=UPPER(TRIM($AC$2&amp;"")))))</f>
        <v/>
      </c>
      <c r="AD38">
        <f>IF($AD$3=FALSE,TRUE,IF(OR(UPPER(TRIM($AD$2))="(BLANK)",UPPER(TRIM($AD$2))="BLANK",AND($AD$2&lt;&gt;"",TRIM($AD$2)="")),(IF('Final Calculation Sheet'!$AB$38="","",'Final Calculation Sheet'!$AB$38))="",IF(OR(UPPER(TRIM($AD$2))="(NONBLANK)",UPPER(TRIM($AD$2))="NONBLANK",TRIM($AD$2)="&lt;&gt;"),(IF('Final Calculation Sheet'!$AB$38="","",'Final Calculation Sheet'!$AB$38))&lt;&gt;"",UPPER(TRIM((IF('Final Calculation Sheet'!$AB$38="","",'Final Calculation Sheet'!$AB$38))&amp;""))=UPPER(TRIM($AD$2&amp;"")))))</f>
        <v/>
      </c>
      <c r="AE38">
        <f>IF($AE$3=FALSE,TRUE,IF(OR(UPPER(TRIM($AE$2))="(BLANK)",UPPER(TRIM($AE$2))="BLANK",AND($AE$2&lt;&gt;"",TRIM($AE$2)="")),(IF('Final Calculation Sheet'!$AC$38="","",'Final Calculation Sheet'!$AC$38))="",IF(OR(UPPER(TRIM($AE$2))="(NONBLANK)",UPPER(TRIM($AE$2))="NONBLANK",TRIM($AE$2)="&lt;&gt;"),(IF('Final Calculation Sheet'!$AC$38="","",'Final Calculation Sheet'!$AC$38))&lt;&gt;"",UPPER(TRIM((IF('Final Calculation Sheet'!$AC$38="","",'Final Calculation Sheet'!$AC$38))&amp;""))=UPPER(TRIM($AE$2&amp;"")))))</f>
        <v/>
      </c>
      <c r="AF38">
        <f>IF($AF$3=FALSE,TRUE,IF(OR(UPPER(TRIM($AF$2))="(BLANK)",UPPER(TRIM($AF$2))="BLANK",AND($AF$2&lt;&gt;"",TRIM($AF$2)="")),(IF('Final Calculation Sheet'!$AD$38="","",'Final Calculation Sheet'!$AD$38))="",IF(OR(UPPER(TRIM($AF$2))="(NONBLANK)",UPPER(TRIM($AF$2))="NONBLANK",TRIM($AF$2)="&lt;&gt;"),(IF('Final Calculation Sheet'!$AD$38="","",'Final Calculation Sheet'!$AD$38))&lt;&gt;"",UPPER(TRIM((IF('Final Calculation Sheet'!$AD$38="","",'Final Calculation Sheet'!$AD$38))&amp;""))=UPPER(TRIM($AF$2&amp;"")))))</f>
        <v/>
      </c>
      <c r="AG38">
        <f>IF($AG$3=FALSE,TRUE,IF(OR(UPPER(TRIM($AG$2))="(BLANK)",UPPER(TRIM($AG$2))="BLANK",AND($AG$2&lt;&gt;"",TRIM($AG$2)="")),(IF('Final Calculation Sheet'!$AE$38="","",'Final Calculation Sheet'!$AE$38))="",IF(OR(UPPER(TRIM($AG$2))="(NONBLANK)",UPPER(TRIM($AG$2))="NONBLANK",TRIM($AG$2)="&lt;&gt;"),(IF('Final Calculation Sheet'!$AE$38="","",'Final Calculation Sheet'!$AE$38))&lt;&gt;"",UPPER(TRIM((IF('Final Calculation Sheet'!$AE$38="","",'Final Calculation Sheet'!$AE$38))&amp;""))=UPPER(TRIM($AG$2&amp;"")))))</f>
        <v/>
      </c>
      <c r="AH38">
        <f>IF($AH$3=FALSE,TRUE,IF(OR(UPPER(TRIM($AH$2))="(BLANK)",UPPER(TRIM($AH$2))="BLANK",AND($AH$2&lt;&gt;"",TRIM($AH$2)="")),(IF('Final Calculation Sheet'!$AF$38="","",'Final Calculation Sheet'!$AF$38))="",IF(OR(UPPER(TRIM($AH$2))="(NONBLANK)",UPPER(TRIM($AH$2))="NONBLANK",TRIM($AH$2)="&lt;&gt;"),(IF('Final Calculation Sheet'!$AF$38="","",'Final Calculation Sheet'!$AF$38))&lt;&gt;"",UPPER(TRIM((IF('Final Calculation Sheet'!$AF$38="","",'Final Calculation Sheet'!$AF$38))&amp;""))=UPPER(TRIM($AH$2&amp;"")))))</f>
        <v/>
      </c>
      <c r="AI38">
        <f>IF($AI$3=FALSE,TRUE,IF(OR(UPPER(TRIM($AI$2))="(BLANK)",UPPER(TRIM($AI$2))="BLANK",AND($AI$2&lt;&gt;"",TRIM($AI$2)="")),(IF('Final Calculation Sheet'!$AG$38="","",'Final Calculation Sheet'!$AG$38))="",IF(OR(UPPER(TRIM($AI$2))="(NONBLANK)",UPPER(TRIM($AI$2))="NONBLANK",TRIM($AI$2)="&lt;&gt;"),(IF('Final Calculation Sheet'!$AG$38="","",'Final Calculation Sheet'!$AG$38))&lt;&gt;"",UPPER(TRIM((IF('Final Calculation Sheet'!$AG$38="","",'Final Calculation Sheet'!$AG$38))&amp;""))=UPPER(TRIM($AI$2&amp;"")))))</f>
        <v/>
      </c>
      <c r="AJ38">
        <f>IF($AJ$3=FALSE,TRUE,IF(OR(UPPER(TRIM($AJ$2))="(BLANK)",UPPER(TRIM($AJ$2))="BLANK",AND($AJ$2&lt;&gt;"",TRIM($AJ$2)="")),(IF('Final Calculation Sheet'!$AD$38="","",IF('Final Calculation Sheet'!$AD$38&lt;=5,"SETTLED","OUTSTANDING")))="",IF(OR(UPPER(TRIM($AJ$2))="(NONBLANK)",UPPER(TRIM($AJ$2))="NONBLANK",TRIM($AJ$2)="&lt;&gt;"),(IF('Final Calculation Sheet'!$AD$38="","",IF('Final Calculation Sheet'!$AD$38&lt;=5,"SETTLED","OUTSTANDING")))&lt;&gt;"",UPPER(TRIM((IF('Final Calculation Sheet'!$AD$38="","",IF('Final Calculation Sheet'!$AD$38&lt;=5,"SETTLED","OUTSTANDING")))&amp;""))=UPPER(TRIM($AJ$2&amp;"")))))</f>
        <v/>
      </c>
      <c r="AL38">
        <f>IF(AND($B$38,$D$38:$AJ$38),IF('Final Calculation Sheet'!$F$38="","",'Final Calculation Sheet'!$F$38),"")</f>
        <v/>
      </c>
      <c r="AM38">
        <f>IF(AL38="","",COUNTIFS(AL$4:AL$40,"&lt;"&amp;AL38,AL$4:AL$40,"&lt;&gt;"&amp;"")+COUNTIF(AL$4:AL38,AL38))</f>
        <v/>
      </c>
      <c r="AN38">
        <f>IF(ROW()-3&gt;COUNTIF(AL$4:AL$40,"&lt;&gt;"&amp;""),"",INDEX(AL$4:AL$40,MATCH(ROW()-3,AM$4:AM$40,0)))</f>
        <v/>
      </c>
      <c r="AO38">
        <f>AO37+IF(AND(AN38&lt;&gt;"",COUNTIF(AN$4:AN38,AN38)=1),1,0)</f>
        <v/>
      </c>
      <c r="AP38">
        <f>IF(ROW()-3&gt;MAX(AO$4:AO$40),"",INDEX(AN$4:AN$40,MATCH(ROW()-3,AO$4:AO$40,0)))</f>
        <v/>
      </c>
      <c r="AQ38">
        <f>IF(AND($B$38:$C$38,$E$38:$AJ$38),IF('Final Calculation Sheet'!$G$38="","",'Final Calculation Sheet'!$G$38),"")</f>
        <v/>
      </c>
      <c r="AR38">
        <f>IF(AQ38="","",COUNTIFS(AQ$4:AQ$40,"&lt;"&amp;AQ38,AQ$4:AQ$40,"&lt;&gt;"&amp;"")+COUNTIF(AQ$4:AQ38,AQ38))</f>
        <v/>
      </c>
      <c r="AS38">
        <f>IF(ROW()-3&gt;COUNTIF(AQ$4:AQ$40,"&lt;&gt;"&amp;""),"",INDEX(AQ$4:AQ$40,MATCH(ROW()-3,AR$4:AR$40,0)))</f>
        <v/>
      </c>
      <c r="AT38">
        <f>AT37+IF(AND(AS38&lt;&gt;"",COUNTIF(AS$4:AS38,AS38)=1),1,0)</f>
        <v/>
      </c>
      <c r="AU38">
        <f>IF(ROW()-3&gt;MAX(AT$4:AT$40),"",INDEX(AS$4:AS$40,MATCH(ROW()-3,AT$4:AT$40,0)))</f>
        <v/>
      </c>
      <c r="AV38">
        <f>IF(AND($B$38:$D$38,$F$38:$AJ$38),IF('Final Calculation Sheet'!$B$38="","",'Final Calculation Sheet'!$B$38),"")</f>
        <v/>
      </c>
      <c r="AW38">
        <f>IF(AV38="","",COUNTIFS(AV$4:AV$40,"&lt;"&amp;AV38,AV$4:AV$40,"&lt;&gt;"&amp;"")+COUNTIF(AV$4:AV38,AV38))</f>
        <v/>
      </c>
      <c r="AX38">
        <f>IF(ROW()-3&gt;COUNTIF(AV$4:AV$40,"&lt;&gt;"&amp;""),"",INDEX(AV$4:AV$40,MATCH(ROW()-3,AW$4:AW$40,0)))</f>
        <v/>
      </c>
      <c r="AY38">
        <f>AY37+IF(AND(AX38&lt;&gt;"",COUNTIF(AX$4:AX38,AX38)=1),1,0)</f>
        <v/>
      </c>
      <c r="AZ38">
        <f>IF(ROW()-3&gt;MAX(AY$4:AY$40),"",INDEX(AX$4:AX$40,MATCH(ROW()-3,AY$4:AY$40,0)))</f>
        <v/>
      </c>
      <c r="BA38">
        <f>IF(AND($B$38:$E$38,$G$38:$AJ$38),IF('Final Calculation Sheet'!$D$38="","",'Final Calculation Sheet'!$D$38),"")</f>
        <v/>
      </c>
      <c r="BB38">
        <f>IF(BA38="","",COUNTIFS(BA$4:BA$40,"&lt;"&amp;BA38,BA$4:BA$40,"&lt;&gt;"&amp;"")+COUNTIF(BA$4:BA38,BA38))</f>
        <v/>
      </c>
      <c r="BC38">
        <f>IF(ROW()-3&gt;COUNTIF(BA$4:BA$40,"&lt;&gt;"&amp;""),"",INDEX(BA$4:BA$40,MATCH(ROW()-3,BB$4:BB$40,0)))</f>
        <v/>
      </c>
      <c r="BD38">
        <f>BD37+IF(AND(BC38&lt;&gt;"",COUNTIF(BC$4:BC38,BC38)=1),1,0)</f>
        <v/>
      </c>
      <c r="BE38">
        <f>IF(ROW()-3&gt;MAX(BD$4:BD$40),"",INDEX(BC$4:BC$40,MATCH(ROW()-3,BD$4:BD$40,0)))</f>
        <v/>
      </c>
      <c r="BF38">
        <f>IF(AND($B$38:$F$38,$H$38:$AJ$38),IF('Final Calculation Sheet'!$A$38="","",'Final Calculation Sheet'!$A$38),"")</f>
        <v/>
      </c>
      <c r="BG38">
        <f>IF(BF38="","",COUNTIFS(BF$4:BF$40,"&lt;"&amp;BF38,BF$4:BF$40,"&lt;&gt;"&amp;"")+COUNTIF(BF$4:BF38,BF38))</f>
        <v/>
      </c>
      <c r="BH38">
        <f>IF(ROW()-3&gt;COUNTIF(BF$4:BF$40,"&lt;&gt;"&amp;""),"",INDEX(BF$4:BF$40,MATCH(ROW()-3,BG$4:BG$40,0)))</f>
        <v/>
      </c>
      <c r="BI38">
        <f>BI37+IF(AND(BH38&lt;&gt;"",COUNTIF(BH$4:BH38,BH38)=1),1,0)</f>
        <v/>
      </c>
      <c r="BJ38">
        <f>IF(ROW()-3&gt;MAX(BI$4:BI$40),"",INDEX(BH$4:BH$40,MATCH(ROW()-3,BI$4:BI$40,0)))</f>
        <v/>
      </c>
      <c r="BK38">
        <f>IF(AND($B$38:$G$38,$I$38:$AJ$38),IF('Final Calculation Sheet'!$E$38="","",'Final Calculation Sheet'!$E$38),"")</f>
        <v/>
      </c>
      <c r="BL38">
        <f>IF(BK38="","",COUNTIFS(BK$4:BK$40,"&lt;"&amp;BK38,BK$4:BK$40,"&lt;&gt;"&amp;"")+COUNTIF(BK$4:BK38,BK38))</f>
        <v/>
      </c>
      <c r="BM38">
        <f>IF(ROW()-3&gt;COUNTIF(BK$4:BK$40,"&lt;&gt;"&amp;""),"",INDEX(BK$4:BK$40,MATCH(ROW()-3,BL$4:BL$40,0)))</f>
        <v/>
      </c>
      <c r="BN38">
        <f>BN37+IF(AND(BM38&lt;&gt;"",COUNTIF(BM$4:BM38,BM38)=1),1,0)</f>
        <v/>
      </c>
      <c r="BO38">
        <f>IF(ROW()-3&gt;MAX(BN$4:BN$40),"",INDEX(BM$4:BM$40,MATCH(ROW()-3,BN$4:BN$40,0)))</f>
        <v/>
      </c>
      <c r="BP38" s="55">
        <f>IF(AND($B$38:$H$38,$J$38:$AJ$38),IF('Final Calculation Sheet'!$C$38="","",'Final Calculation Sheet'!$C$38),"")</f>
        <v/>
      </c>
      <c r="BQ38">
        <f>IF(BP38="","",COUNTIFS(BP$4:BP$40,"&lt;"&amp;BP38,BP$4:BP$40,"&lt;&gt;"&amp;"")+COUNTIF(BP$4:BP38,BP38))</f>
        <v/>
      </c>
      <c r="BR38" s="55">
        <f>IF(ROW()-3&gt;COUNTIF(BP$4:BP$40,"&lt;&gt;"&amp;""),"",INDEX(BP$4:BP$40,MATCH(ROW()-3,BQ$4:BQ$40,0)))</f>
        <v/>
      </c>
      <c r="BS38">
        <f>BS37+IF(AND(BR38&lt;&gt;"",COUNTIF(BR$4:BR38,BR38)=1),1,0)</f>
        <v/>
      </c>
      <c r="BT38" s="55">
        <f>IF(ROW()-3&gt;MAX(BS$4:BS$40),"",INDEX(BR$4:BR$40,MATCH(ROW()-3,BS$4:BS$40,0)))</f>
        <v/>
      </c>
      <c r="BU38" s="55">
        <f>IF(AND($B$38:$I$38,$K$38:$AJ$38),IF('Final Calculation Sheet'!$H$38="","",'Final Calculation Sheet'!$H$38),"")</f>
        <v/>
      </c>
      <c r="BV38">
        <f>IF(BU38="","",COUNTIFS(BU$4:BU$40,"&lt;"&amp;BU38,BU$4:BU$40,"&lt;&gt;"&amp;"")+COUNTIF(BU$4:BU38,BU38))</f>
        <v/>
      </c>
      <c r="BW38" s="55">
        <f>IF(ROW()-3&gt;COUNTIF(BU$4:BU$40,"&lt;&gt;"&amp;""),"",INDEX(BU$4:BU$40,MATCH(ROW()-3,BV$4:BV$40,0)))</f>
        <v/>
      </c>
      <c r="BX38">
        <f>BX37+IF(AND(BW38&lt;&gt;"",COUNTIF(BW$4:BW38,BW38)=1),1,0)</f>
        <v/>
      </c>
      <c r="BY38" s="55">
        <f>IF(ROW()-3&gt;MAX(BX$4:BX$40),"",INDEX(BW$4:BW$40,MATCH(ROW()-3,BX$4:BX$40,0)))</f>
        <v/>
      </c>
      <c r="BZ38" s="55">
        <f>IF(AND($B$38:$J$38,$L$38:$AJ$38),IF('Final Calculation Sheet'!$I$38="","",'Final Calculation Sheet'!$I$38),"")</f>
        <v/>
      </c>
      <c r="CA38">
        <f>IF(BZ38="","",COUNTIFS(BZ$4:BZ$40,"&lt;"&amp;BZ38,BZ$4:BZ$40,"&lt;&gt;"&amp;"")+COUNTIF(BZ$4:BZ38,BZ38))</f>
        <v/>
      </c>
      <c r="CB38" s="55">
        <f>IF(ROW()-3&gt;COUNTIF(BZ$4:BZ$40,"&lt;&gt;"&amp;""),"",INDEX(BZ$4:BZ$40,MATCH(ROW()-3,CA$4:CA$40,0)))</f>
        <v/>
      </c>
      <c r="CC38">
        <f>CC37+IF(AND(CB38&lt;&gt;"",COUNTIF(CB$4:CB38,CB38)=1),1,0)</f>
        <v/>
      </c>
      <c r="CD38" s="55">
        <f>IF(ROW()-3&gt;MAX(CC$4:CC$40),"",INDEX(CB$4:CB$40,MATCH(ROW()-3,CC$4:CC$40,0)))</f>
        <v/>
      </c>
      <c r="CE38" s="55">
        <f>IF(AND($B$38:$K$38,$M$38:$AJ$38),IF('Final Calculation Sheet'!$J$38="","",'Final Calculation Sheet'!$J$38),"")</f>
        <v/>
      </c>
      <c r="CF38">
        <f>IF(CE38="","",COUNTIFS(CE$4:CE$40,"&lt;"&amp;CE38,CE$4:CE$40,"&lt;&gt;"&amp;"")+COUNTIF(CE$4:CE38,CE38))</f>
        <v/>
      </c>
      <c r="CG38" s="55">
        <f>IF(ROW()-3&gt;COUNTIF(CE$4:CE$40,"&lt;&gt;"&amp;""),"",INDEX(CE$4:CE$40,MATCH(ROW()-3,CF$4:CF$40,0)))</f>
        <v/>
      </c>
      <c r="CH38">
        <f>CH37+IF(AND(CG38&lt;&gt;"",COUNTIF(CG$4:CG38,CG38)=1),1,0)</f>
        <v/>
      </c>
      <c r="CI38" s="55">
        <f>IF(ROW()-3&gt;MAX(CH$4:CH$40),"",INDEX(CG$4:CG$40,MATCH(ROW()-3,CH$4:CH$40,0)))</f>
        <v/>
      </c>
      <c r="CJ38" s="55">
        <f>IF(AND($B$38:$L$38,$N$38:$AJ$38),IF('Final Calculation Sheet'!$K$38="","",'Final Calculation Sheet'!$K$38),"")</f>
        <v/>
      </c>
      <c r="CK38">
        <f>IF(CJ38="","",COUNTIFS(CJ$4:CJ$40,"&lt;"&amp;CJ38,CJ$4:CJ$40,"&lt;&gt;"&amp;"")+COUNTIF(CJ$4:CJ38,CJ38))</f>
        <v/>
      </c>
      <c r="CL38" s="55">
        <f>IF(ROW()-3&gt;COUNTIF(CJ$4:CJ$40,"&lt;&gt;"&amp;""),"",INDEX(CJ$4:CJ$40,MATCH(ROW()-3,CK$4:CK$40,0)))</f>
        <v/>
      </c>
      <c r="CM38">
        <f>CM37+IF(AND(CL38&lt;&gt;"",COUNTIF(CL$4:CL38,CL38)=1),1,0)</f>
        <v/>
      </c>
      <c r="CN38" s="55">
        <f>IF(ROW()-3&gt;MAX(CM$4:CM$40),"",INDEX(CL$4:CL$40,MATCH(ROW()-3,CM$4:CM$40,0)))</f>
        <v/>
      </c>
      <c r="CO38" s="55">
        <f>IF(AND($B$38:$M$38,$O$38:$AJ$38),IF('Final Calculation Sheet'!$L$38="","",'Final Calculation Sheet'!$L$38),"")</f>
        <v/>
      </c>
      <c r="CP38">
        <f>IF(CO38="","",COUNTIFS(CO$4:CO$40,"&lt;"&amp;CO38,CO$4:CO$40,"&lt;&gt;"&amp;"")+COUNTIF(CO$4:CO38,CO38))</f>
        <v/>
      </c>
      <c r="CQ38" s="55">
        <f>IF(ROW()-3&gt;COUNTIF(CO$4:CO$40,"&lt;&gt;"&amp;""),"",INDEX(CO$4:CO$40,MATCH(ROW()-3,CP$4:CP$40,0)))</f>
        <v/>
      </c>
      <c r="CR38">
        <f>CR37+IF(AND(CQ38&lt;&gt;"",COUNTIF(CQ$4:CQ38,CQ38)=1),1,0)</f>
        <v/>
      </c>
      <c r="CS38" s="55">
        <f>IF(ROW()-3&gt;MAX(CR$4:CR$40),"",INDEX(CQ$4:CQ$40,MATCH(ROW()-3,CR$4:CR$40,0)))</f>
        <v/>
      </c>
      <c r="CT38" s="55">
        <f>IF(AND($B$38:$N$38,$P$38:$AJ$38),IF('Final Calculation Sheet'!$M$38="","",'Final Calculation Sheet'!$M$38),"")</f>
        <v/>
      </c>
      <c r="CU38">
        <f>IF(CT38="","",COUNTIFS(CT$4:CT$40,"&lt;"&amp;CT38,CT$4:CT$40,"&lt;&gt;"&amp;"")+COUNTIF(CT$4:CT38,CT38))</f>
        <v/>
      </c>
      <c r="CV38" s="55">
        <f>IF(ROW()-3&gt;COUNTIF(CT$4:CT$40,"&lt;&gt;"&amp;""),"",INDEX(CT$4:CT$40,MATCH(ROW()-3,CU$4:CU$40,0)))</f>
        <v/>
      </c>
      <c r="CW38">
        <f>CW37+IF(AND(CV38&lt;&gt;"",COUNTIF(CV$4:CV38,CV38)=1),1,0)</f>
        <v/>
      </c>
      <c r="CX38" s="55">
        <f>IF(ROW()-3&gt;MAX(CW$4:CW$40),"",INDEX(CV$4:CV$40,MATCH(ROW()-3,CW$4:CW$40,0)))</f>
        <v/>
      </c>
      <c r="CY38" s="138">
        <f>IF(AND($B$38:$O$38,$Q$38:$AJ$38),IF('Final Calculation Sheet'!$N$38="","",'Final Calculation Sheet'!$N$38),"")</f>
        <v/>
      </c>
      <c r="CZ38">
        <f>IF(CY38="","",COUNTIFS(CY$4:CY$40,"&lt;"&amp;CY38,CY$4:CY$40,"&lt;&gt;"&amp;"")+COUNTIF(CY$4:CY38,CY38))</f>
        <v/>
      </c>
      <c r="DA38" s="138">
        <f>IF(ROW()-3&gt;COUNTIF(CY$4:CY$40,"&lt;&gt;"&amp;""),"",INDEX(CY$4:CY$40,MATCH(ROW()-3,CZ$4:CZ$40,0)))</f>
        <v/>
      </c>
      <c r="DB38">
        <f>DB37+IF(AND(DA38&lt;&gt;"",COUNTIF(DA$4:DA38,DA38)=1),1,0)</f>
        <v/>
      </c>
      <c r="DC38" s="138">
        <f>IF(ROW()-3&gt;MAX(DB$4:DB$40),"",INDEX(DA$4:DA$40,MATCH(ROW()-3,DB$4:DB$40,0)))</f>
        <v/>
      </c>
      <c r="DD38" s="55">
        <f>IF(AND($B$38:$P$38,$R$38:$AJ$38),IF('Final Calculation Sheet'!$O$38="","",'Final Calculation Sheet'!$O$38),"")</f>
        <v/>
      </c>
      <c r="DE38">
        <f>IF(DD38="","",COUNTIFS(DD$4:DD$40,"&lt;"&amp;DD38,DD$4:DD$40,"&lt;&gt;"&amp;"")+COUNTIF(DD$4:DD38,DD38))</f>
        <v/>
      </c>
      <c r="DF38" s="55">
        <f>IF(ROW()-3&gt;COUNTIF(DD$4:DD$40,"&lt;&gt;"&amp;""),"",INDEX(DD$4:DD$40,MATCH(ROW()-3,DE$4:DE$40,0)))</f>
        <v/>
      </c>
      <c r="DG38">
        <f>DG37+IF(AND(DF38&lt;&gt;"",COUNTIF(DF$4:DF38,DF38)=1),1,0)</f>
        <v/>
      </c>
      <c r="DH38" s="55">
        <f>IF(ROW()-3&gt;MAX(DG$4:DG$40),"",INDEX(DF$4:DF$40,MATCH(ROW()-3,DG$4:DG$40,0)))</f>
        <v/>
      </c>
      <c r="DI38" s="55">
        <f>IF(AND($B$38:$Q$38,$S$38:$AJ$38),IF('Final Calculation Sheet'!$P$38="","",'Final Calculation Sheet'!$P$38),"")</f>
        <v/>
      </c>
      <c r="DJ38">
        <f>IF(DI38="","",COUNTIFS(DI$4:DI$40,"&lt;"&amp;DI38,DI$4:DI$40,"&lt;&gt;"&amp;"")+COUNTIF(DI$4:DI38,DI38))</f>
        <v/>
      </c>
      <c r="DK38" s="55">
        <f>IF(ROW()-3&gt;COUNTIF(DI$4:DI$40,"&lt;&gt;"&amp;""),"",INDEX(DI$4:DI$40,MATCH(ROW()-3,DJ$4:DJ$40,0)))</f>
        <v/>
      </c>
      <c r="DL38">
        <f>DL37+IF(AND(DK38&lt;&gt;"",COUNTIF(DK$4:DK38,DK38)=1),1,0)</f>
        <v/>
      </c>
      <c r="DM38" s="55">
        <f>IF(ROW()-3&gt;MAX(DL$4:DL$40),"",INDEX(DK$4:DK$40,MATCH(ROW()-3,DL$4:DL$40,0)))</f>
        <v/>
      </c>
      <c r="DN38" s="139">
        <f>IF(AND($B$38:$R$38,$T$38:$AJ$38),IF('Final Calculation Sheet'!$Q$38="","",'Final Calculation Sheet'!$Q$38),"")</f>
        <v/>
      </c>
      <c r="DO38">
        <f>IF(DN38="","",COUNTIFS(DN$4:DN$40,"&lt;"&amp;DN38,DN$4:DN$40,"&lt;&gt;"&amp;"")+COUNTIF(DN$4:DN38,DN38))</f>
        <v/>
      </c>
      <c r="DP38" s="139">
        <f>IF(ROW()-3&gt;COUNTIF(DN$4:DN$40,"&lt;&gt;"&amp;""),"",INDEX(DN$4:DN$40,MATCH(ROW()-3,DO$4:DO$40,0)))</f>
        <v/>
      </c>
      <c r="DQ38">
        <f>DQ37+IF(AND(DP38&lt;&gt;"",COUNTIF(DP$4:DP38,DP38)=1),1,0)</f>
        <v/>
      </c>
      <c r="DR38" s="139">
        <f>IF(ROW()-3&gt;MAX(DQ$4:DQ$40),"",INDEX(DP$4:DP$40,MATCH(ROW()-3,DQ$4:DQ$40,0)))</f>
        <v/>
      </c>
      <c r="DS38" s="55">
        <f>IF(AND($B$38:$S$38,$U$38:$AJ$38),IF('Final Calculation Sheet'!$R$38="","",'Final Calculation Sheet'!$R$38),"")</f>
        <v/>
      </c>
      <c r="DT38">
        <f>IF(DS38="","",COUNTIFS(DS$4:DS$40,"&lt;"&amp;DS38,DS$4:DS$40,"&lt;&gt;"&amp;"")+COUNTIF(DS$4:DS38,DS38))</f>
        <v/>
      </c>
      <c r="DU38" s="55">
        <f>IF(ROW()-3&gt;COUNTIF(DS$4:DS$40,"&lt;&gt;"&amp;""),"",INDEX(DS$4:DS$40,MATCH(ROW()-3,DT$4:DT$40,0)))</f>
        <v/>
      </c>
      <c r="DV38">
        <f>DV37+IF(AND(DU38&lt;&gt;"",COUNTIF(DU$4:DU38,DU38)=1),1,0)</f>
        <v/>
      </c>
      <c r="DW38" s="55">
        <f>IF(ROW()-3&gt;MAX(DV$4:DV$40),"",INDEX(DU$4:DU$40,MATCH(ROW()-3,DV$4:DV$40,0)))</f>
        <v/>
      </c>
      <c r="DX38" s="55">
        <f>IF(AND($B$38:$T$38,$V$38:$AJ$38),IF('Final Calculation Sheet'!$S$38="","",'Final Calculation Sheet'!$S$38),"")</f>
        <v/>
      </c>
      <c r="DY38">
        <f>IF(DX38="","",COUNTIFS(DX$4:DX$40,"&lt;"&amp;DX38,DX$4:DX$40,"&lt;&gt;"&amp;"")+COUNTIF(DX$4:DX38,DX38))</f>
        <v/>
      </c>
      <c r="DZ38" s="55">
        <f>IF(ROW()-3&gt;COUNTIF(DX$4:DX$40,"&lt;&gt;"&amp;""),"",INDEX(DX$4:DX$40,MATCH(ROW()-3,DY$4:DY$40,0)))</f>
        <v/>
      </c>
      <c r="EA38">
        <f>EA37+IF(AND(DZ38&lt;&gt;"",COUNTIF(DZ$4:DZ38,DZ38)=1),1,0)</f>
        <v/>
      </c>
      <c r="EB38" s="55">
        <f>IF(ROW()-3&gt;MAX(EA$4:EA$40),"",INDEX(DZ$4:DZ$40,MATCH(ROW()-3,EA$4:EA$40,0)))</f>
        <v/>
      </c>
      <c r="EC38" s="55">
        <f>IF(AND($B$38:$U$38,$W$38:$AJ$38),IF('Final Calculation Sheet'!$T$38="","",'Final Calculation Sheet'!$T$38),"")</f>
        <v/>
      </c>
      <c r="ED38">
        <f>IF(EC38="","",COUNTIFS(EC$4:EC$40,"&lt;"&amp;EC38,EC$4:EC$40,"&lt;&gt;"&amp;"")+COUNTIF(EC$4:EC38,EC38))</f>
        <v/>
      </c>
      <c r="EE38" s="55">
        <f>IF(ROW()-3&gt;COUNTIF(EC$4:EC$40,"&lt;&gt;"&amp;""),"",INDEX(EC$4:EC$40,MATCH(ROW()-3,ED$4:ED$40,0)))</f>
        <v/>
      </c>
      <c r="EF38">
        <f>EF37+IF(AND(EE38&lt;&gt;"",COUNTIF(EE$4:EE38,EE38)=1),1,0)</f>
        <v/>
      </c>
      <c r="EG38" s="55">
        <f>IF(ROW()-3&gt;MAX(EF$4:EF$40),"",INDEX(EE$4:EE$40,MATCH(ROW()-3,EF$4:EF$40,0)))</f>
        <v/>
      </c>
      <c r="EH38" s="140">
        <f>IF(AND($B$38:$V$38,$X$38:$AJ$38),IF('Final Calculation Sheet'!$U$38="","",'Final Calculation Sheet'!$U$38),"")</f>
        <v/>
      </c>
      <c r="EI38">
        <f>IF(EH38="","",COUNTIFS(EH$4:EH$40,"&lt;"&amp;EH38,EH$4:EH$40,"&lt;&gt;"&amp;"")+COUNTIF(EH$4:EH38,EH38))</f>
        <v/>
      </c>
      <c r="EJ38" s="140">
        <f>IF(ROW()-3&gt;COUNTIF(EH$4:EH$40,"&lt;&gt;"&amp;""),"",INDEX(EH$4:EH$40,MATCH(ROW()-3,EI$4:EI$40,0)))</f>
        <v/>
      </c>
      <c r="EK38">
        <f>EK37+IF(AND(EJ38&lt;&gt;"",COUNTIF(EJ$4:EJ38,EJ38)=1),1,0)</f>
        <v/>
      </c>
      <c r="EL38" s="140">
        <f>IF(ROW()-3&gt;MAX(EK$4:EK$40),"",INDEX(EJ$4:EJ$40,MATCH(ROW()-3,EK$4:EK$40,0)))</f>
        <v/>
      </c>
      <c r="EM38">
        <f>IF(AND($B$38:$W$38,$Y$38:$AJ$38),IF('Final Calculation Sheet'!$V$38="","",'Final Calculation Sheet'!$V$38),"")</f>
        <v/>
      </c>
      <c r="EN38">
        <f>IF(EM38="","",COUNTIFS(EM$4:EM$40,"&lt;"&amp;EM38,EM$4:EM$40,"&lt;&gt;"&amp;"")+COUNTIF(EM$4:EM38,EM38))</f>
        <v/>
      </c>
      <c r="EO38">
        <f>IF(ROW()-3&gt;COUNTIF(EM$4:EM$40,"&lt;&gt;"&amp;""),"",INDEX(EM$4:EM$40,MATCH(ROW()-3,EN$4:EN$40,0)))</f>
        <v/>
      </c>
      <c r="EP38">
        <f>EP37+IF(AND(EO38&lt;&gt;"",COUNTIF(EO$4:EO38,EO38)=1),1,0)</f>
        <v/>
      </c>
      <c r="EQ38">
        <f>IF(ROW()-3&gt;MAX(EP$4:EP$40),"",INDEX(EO$4:EO$40,MATCH(ROW()-3,EP$4:EP$40,0)))</f>
        <v/>
      </c>
      <c r="ER38" s="55">
        <f>IF(AND($B$38:$X$38,$Z$38:$AJ$38),IF('Final Calculation Sheet'!$W$38="","",'Final Calculation Sheet'!$W$38),"")</f>
        <v/>
      </c>
      <c r="ES38">
        <f>IF(ER38="","",COUNTIFS(ER$4:ER$40,"&lt;"&amp;ER38,ER$4:ER$40,"&lt;&gt;"&amp;"")+COUNTIF(ER$4:ER38,ER38))</f>
        <v/>
      </c>
      <c r="ET38" s="55">
        <f>IF(ROW()-3&gt;COUNTIF(ER$4:ER$40,"&lt;&gt;"&amp;""),"",INDEX(ER$4:ER$40,MATCH(ROW()-3,ES$4:ES$40,0)))</f>
        <v/>
      </c>
      <c r="EU38">
        <f>EU37+IF(AND(ET38&lt;&gt;"",COUNTIF(ET$4:ET38,ET38)=1),1,0)</f>
        <v/>
      </c>
      <c r="EV38" s="55">
        <f>IF(ROW()-3&gt;MAX(EU$4:EU$40),"",INDEX(ET$4:ET$40,MATCH(ROW()-3,EU$4:EU$40,0)))</f>
        <v/>
      </c>
      <c r="EW38" s="55">
        <f>IF(AND($B$38:$Y$38,$AA$38:$AJ$38),IF('Final Calculation Sheet'!$X$38="","",'Final Calculation Sheet'!$X$38),"")</f>
        <v/>
      </c>
      <c r="EX38">
        <f>IF(EW38="","",COUNTIFS(EW$4:EW$40,"&lt;"&amp;EW38,EW$4:EW$40,"&lt;&gt;"&amp;"")+COUNTIF(EW$4:EW38,EW38))</f>
        <v/>
      </c>
      <c r="EY38" s="55">
        <f>IF(ROW()-3&gt;COUNTIF(EW$4:EW$40,"&lt;&gt;"&amp;""),"",INDEX(EW$4:EW$40,MATCH(ROW()-3,EX$4:EX$40,0)))</f>
        <v/>
      </c>
      <c r="EZ38">
        <f>EZ37+IF(AND(EY38&lt;&gt;"",COUNTIF(EY$4:EY38,EY38)=1),1,0)</f>
        <v/>
      </c>
      <c r="FA38">
        <f>IF(ROW()-3&gt;MAX(EZ$4:EZ$40),"",INDEX(EY$4:EY$40,MATCH(ROW()-3,EZ$4:EZ$40,0)))</f>
        <v/>
      </c>
      <c r="FB38">
        <f>IF(AND($B$38:$Z$38,$AB$38:$AJ$38),IF('Final Calculation Sheet'!$Y$38="","",'Final Calculation Sheet'!$Y$38),"")</f>
        <v/>
      </c>
      <c r="FC38">
        <f>IF(FB38="","",COUNTIFS(FB$4:FB$40,"&lt;"&amp;FB38,FB$4:FB$40,"&lt;&gt;"&amp;"")+COUNTIF(FB$4:FB38,FB38))</f>
        <v/>
      </c>
      <c r="FD38">
        <f>IF(ROW()-3&gt;COUNTIF(FB$4:FB$40,"&lt;&gt;"&amp;""),"",INDEX(FB$4:FB$40,MATCH(ROW()-3,FC$4:FC$40,0)))</f>
        <v/>
      </c>
      <c r="FE38">
        <f>FE37+IF(AND(FD38&lt;&gt;"",COUNTIF(FD$4:FD38,FD38)=1),1,0)</f>
        <v/>
      </c>
      <c r="FF38">
        <f>IF(ROW()-3&gt;MAX(FE$4:FE$40),"",INDEX(FD$4:FD$40,MATCH(ROW()-3,FE$4:FE$40,0)))</f>
        <v/>
      </c>
      <c r="FG38" s="55">
        <f>IF(AND($B$38:$AA$38,$AC$38:$AJ$38),IF('Final Calculation Sheet'!$Z$38="","",'Final Calculation Sheet'!$Z$38),"")</f>
        <v/>
      </c>
      <c r="FH38">
        <f>IF(FG38="","",COUNTIFS(FG$4:FG$40,"&lt;"&amp;FG38,FG$4:FG$40,"&lt;&gt;"&amp;"")+COUNTIF(FG$4:FG38,FG38))</f>
        <v/>
      </c>
      <c r="FI38" s="55">
        <f>IF(ROW()-3&gt;COUNTIF(FG$4:FG$40,"&lt;&gt;"&amp;""),"",INDEX(FG$4:FG$40,MATCH(ROW()-3,FH$4:FH$40,0)))</f>
        <v/>
      </c>
      <c r="FJ38">
        <f>FJ37+IF(AND(FI38&lt;&gt;"",COUNTIF(FI$4:FI38,FI38)=1),1,0)</f>
        <v/>
      </c>
      <c r="FK38" s="55">
        <f>IF(ROW()-3&gt;MAX(FJ$4:FJ$40),"",INDEX(FI$4:FI$40,MATCH(ROW()-3,FJ$4:FJ$40,0)))</f>
        <v/>
      </c>
      <c r="FL38">
        <f>IF(AND($B$38:$AB$38,$AD$38:$AJ$38),IF('Final Calculation Sheet'!$AA$38="","",'Final Calculation Sheet'!$AA$38),"")</f>
        <v/>
      </c>
      <c r="FM38">
        <f>IF(FL38="","",COUNTIFS(FL$4:FL$40,"&lt;"&amp;FL38,FL$4:FL$40,"&lt;&gt;"&amp;"")+COUNTIF(FL$4:FL38,FL38))</f>
        <v/>
      </c>
      <c r="FN38">
        <f>IF(ROW()-3&gt;COUNTIF(FL$4:FL$40,"&lt;&gt;"&amp;""),"",INDEX(FL$4:FL$40,MATCH(ROW()-3,FM$4:FM$40,0)))</f>
        <v/>
      </c>
      <c r="FO38">
        <f>FO37+IF(AND(FN38&lt;&gt;"",COUNTIF(FN$4:FN38,FN38)=1),1,0)</f>
        <v/>
      </c>
      <c r="FP38">
        <f>IF(ROW()-3&gt;MAX(FO$4:FO$40),"",INDEX(FN$4:FN$40,MATCH(ROW()-3,FO$4:FO$40,0)))</f>
        <v/>
      </c>
      <c r="FQ38">
        <f>IF(AND($B$38:$AC$38,$AE$38:$AJ$38),IF('Final Calculation Sheet'!$AB$38="","",'Final Calculation Sheet'!$AB$38),"")</f>
        <v/>
      </c>
      <c r="FR38">
        <f>IF(FQ38="","",COUNTIFS(FQ$4:FQ$40,"&lt;"&amp;FQ38,FQ$4:FQ$40,"&lt;&gt;"&amp;"")+COUNTIF(FQ$4:FQ38,FQ38))</f>
        <v/>
      </c>
      <c r="FS38">
        <f>IF(ROW()-3&gt;COUNTIF(FQ$4:FQ$40,"&lt;&gt;"&amp;""),"",INDEX(FQ$4:FQ$40,MATCH(ROW()-3,FR$4:FR$40,0)))</f>
        <v/>
      </c>
      <c r="FT38">
        <f>FT37+IF(AND(FS38&lt;&gt;"",COUNTIF(FS$4:FS38,FS38)=1),1,0)</f>
        <v/>
      </c>
      <c r="FU38">
        <f>IF(ROW()-3&gt;MAX(FT$4:FT$40),"",INDEX(FS$4:FS$40,MATCH(ROW()-3,FT$4:FT$40,0)))</f>
        <v/>
      </c>
      <c r="FV38" s="55">
        <f>IF(AND($B$38:$AD$38,$AF$38:$AJ$38),IF('Final Calculation Sheet'!$AC$38="","",'Final Calculation Sheet'!$AC$38),"")</f>
        <v/>
      </c>
      <c r="FW38">
        <f>IF(FV38="","",COUNTIFS(FV$4:FV$40,"&lt;"&amp;FV38,FV$4:FV$40,"&lt;&gt;"&amp;"")+COUNTIF(FV$4:FV38,FV38))</f>
        <v/>
      </c>
      <c r="FX38" s="55">
        <f>IF(ROW()-3&gt;COUNTIF(FV$4:FV$40,"&lt;&gt;"&amp;""),"",INDEX(FV$4:FV$40,MATCH(ROW()-3,FW$4:FW$40,0)))</f>
        <v/>
      </c>
      <c r="FY38">
        <f>FY37+IF(AND(FX38&lt;&gt;"",COUNTIF(FX$4:FX38,FX38)=1),1,0)</f>
        <v/>
      </c>
      <c r="FZ38" s="55">
        <f>IF(ROW()-3&gt;MAX(FY$4:FY$40),"",INDEX(FX$4:FX$40,MATCH(ROW()-3,FY$4:FY$40,0)))</f>
        <v/>
      </c>
      <c r="GA38" s="55">
        <f>IF(AND($B$38:$AE$38,$AG$38:$AJ$38),IF('Final Calculation Sheet'!$AD$38="","",'Final Calculation Sheet'!$AD$38),"")</f>
        <v/>
      </c>
      <c r="GB38">
        <f>IF(GA38="","",COUNTIFS(GA$4:GA$40,"&lt;"&amp;GA38,GA$4:GA$40,"&lt;&gt;"&amp;"")+COUNTIF(GA$4:GA38,GA38))</f>
        <v/>
      </c>
      <c r="GC38" s="55">
        <f>IF(ROW()-3&gt;COUNTIF(GA$4:GA$40,"&lt;&gt;"&amp;""),"",INDEX(GA$4:GA$40,MATCH(ROW()-3,GB$4:GB$40,0)))</f>
        <v/>
      </c>
      <c r="GD38">
        <f>GD37+IF(AND(GC38&lt;&gt;"",COUNTIF(GC$4:GC38,GC38)=1),1,0)</f>
        <v/>
      </c>
      <c r="GE38" s="55">
        <f>IF(ROW()-3&gt;MAX(GD$4:GD$40),"",INDEX(GC$4:GC$40,MATCH(ROW()-3,GD$4:GD$40,0)))</f>
        <v/>
      </c>
      <c r="GF38">
        <f>IF(AND($B$38:$AF$38,$AH$38:$AJ$38),IF('Final Calculation Sheet'!$AE$38="","",'Final Calculation Sheet'!$AE$38),"")</f>
        <v/>
      </c>
      <c r="GG38">
        <f>IF(GF38="","",COUNTIFS(GF$4:GF$40,"&lt;"&amp;GF38,GF$4:GF$40,"&lt;&gt;"&amp;"")+COUNTIF(GF$4:GF38,GF38))</f>
        <v/>
      </c>
      <c r="GH38">
        <f>IF(ROW()-3&gt;COUNTIF(GF$4:GF$40,"&lt;&gt;"&amp;""),"",INDEX(GF$4:GF$40,MATCH(ROW()-3,GG$4:GG$40,0)))</f>
        <v/>
      </c>
      <c r="GI38">
        <f>GI37+IF(AND(GH38&lt;&gt;"",COUNTIF(GH$4:GH38,GH38)=1),1,0)</f>
        <v/>
      </c>
      <c r="GJ38">
        <f>IF(ROW()-3&gt;MAX(GI$4:GI$40),"",INDEX(GH$4:GH$40,MATCH(ROW()-3,GI$4:GI$40,0)))</f>
        <v/>
      </c>
      <c r="GK38" s="141">
        <f>IF(AND($B$38:$AG$38,$AI$38:$AJ$38),IF('Final Calculation Sheet'!$AF$38="","",'Final Calculation Sheet'!$AF$38),"")</f>
        <v/>
      </c>
      <c r="GL38">
        <f>IF(GK38="","",COUNTIFS(GK$4:GK$40,"&lt;"&amp;GK38,GK$4:GK$40,"&lt;&gt;"&amp;"")+COUNTIF(GK$4:GK38,GK38))</f>
        <v/>
      </c>
      <c r="GM38" s="141">
        <f>IF(ROW()-3&gt;COUNTIF(GK$4:GK$40,"&lt;&gt;"&amp;""),"",INDEX(GK$4:GK$40,MATCH(ROW()-3,GL$4:GL$40,0)))</f>
        <v/>
      </c>
      <c r="GN38">
        <f>GN37+IF(AND(GM38&lt;&gt;"",COUNTIF(GM$4:GM38,GM38)=1),1,0)</f>
        <v/>
      </c>
      <c r="GO38">
        <f>IF(ROW()-3&gt;MAX(GN$4:GN$40),"",INDEX(GM$4:GM$40,MATCH(ROW()-3,GN$4:GN$40,0)))</f>
        <v/>
      </c>
      <c r="GP38">
        <f>IF(AND($B$38:$AH$38,$AJ$38:$AJ$38),IF('Final Calculation Sheet'!$AG$38="","",'Final Calculation Sheet'!$AG$38),"")</f>
        <v/>
      </c>
      <c r="GQ38">
        <f>IF(GP38="","",COUNTIFS(GP$4:GP$40,"&lt;"&amp;GP38,GP$4:GP$40,"&lt;&gt;"&amp;"")+COUNTIF(GP$4:GP38,GP38))</f>
        <v/>
      </c>
      <c r="GR38">
        <f>IF(ROW()-3&gt;COUNTIF(GP$4:GP$40,"&lt;&gt;"&amp;""),"",INDEX(GP$4:GP$40,MATCH(ROW()-3,GQ$4:GQ$40,0)))</f>
        <v/>
      </c>
      <c r="GS38">
        <f>GS37+IF(AND(GR38&lt;&gt;"",COUNTIF(GR$4:GR38,GR38)=1),1,0)</f>
        <v/>
      </c>
      <c r="GT38">
        <f>IF(ROW()-3&gt;MAX(GS$4:GS$40),"",INDEX(GR$4:GR$40,MATCH(ROW()-3,GS$4:GS$40,0)))</f>
        <v/>
      </c>
    </row>
    <row r="39">
      <c r="A39" t="inlineStr">
        <is>
          <t>Final row 39</t>
        </is>
      </c>
      <c r="B39" t="b">
        <v>1</v>
      </c>
      <c r="C39">
        <f>IF($C$3=FALSE,TRUE,IF(OR(UPPER(TRIM($C$2))="(BLANK)",UPPER(TRIM($C$2))="BLANK",AND($C$2&lt;&gt;"",TRIM($C$2)="")),(IF('Final Calculation Sheet'!$F$39="","",'Final Calculation Sheet'!$F$39))="",IF(OR(UPPER(TRIM($C$2))="(NONBLANK)",UPPER(TRIM($C$2))="NONBLANK",TRIM($C$2)="&lt;&gt;"),(IF('Final Calculation Sheet'!$F$39="","",'Final Calculation Sheet'!$F$39))&lt;&gt;"",UPPER(TRIM((IF('Final Calculation Sheet'!$F$39="","",'Final Calculation Sheet'!$F$39))&amp;""))=UPPER(TRIM($C$2&amp;"")))))</f>
        <v/>
      </c>
      <c r="D39">
        <f>IF($D$3=FALSE,TRUE,IF(OR(UPPER(TRIM($D$2))="(BLANK)",UPPER(TRIM($D$2))="BLANK",AND($D$2&lt;&gt;"",TRIM($D$2)="")),(IF('Final Calculation Sheet'!$G$39="","",'Final Calculation Sheet'!$G$39))="",IF(OR(UPPER(TRIM($D$2))="(NONBLANK)",UPPER(TRIM($D$2))="NONBLANK",TRIM($D$2)="&lt;&gt;"),(IF('Final Calculation Sheet'!$G$39="","",'Final Calculation Sheet'!$G$39))&lt;&gt;"",UPPER(TRIM((IF('Final Calculation Sheet'!$G$39="","",'Final Calculation Sheet'!$G$39))&amp;""))=UPPER(TRIM($D$2&amp;"")))))</f>
        <v/>
      </c>
      <c r="E39">
        <f>IF($E$3=FALSE,TRUE,IF(OR(UPPER(TRIM($E$2))="(BLANK)",UPPER(TRIM($E$2))="BLANK",AND($E$2&lt;&gt;"",TRIM($E$2)="")),(IF('Final Calculation Sheet'!$B$39="","",'Final Calculation Sheet'!$B$39))="",IF(OR(UPPER(TRIM($E$2))="(NONBLANK)",UPPER(TRIM($E$2))="NONBLANK",TRIM($E$2)="&lt;&gt;"),(IF('Final Calculation Sheet'!$B$39="","",'Final Calculation Sheet'!$B$39))&lt;&gt;"",UPPER(TRIM((IF('Final Calculation Sheet'!$B$39="","",'Final Calculation Sheet'!$B$39))&amp;""))=UPPER(TRIM($E$2&amp;"")))))</f>
        <v/>
      </c>
      <c r="F39">
        <f>IF($F$3=FALSE,TRUE,IF(OR(UPPER(TRIM($F$2))="(BLANK)",UPPER(TRIM($F$2))="BLANK",AND($F$2&lt;&gt;"",TRIM($F$2)="")),(IF('Final Calculation Sheet'!$D$39="","",'Final Calculation Sheet'!$D$39))="",IF(OR(UPPER(TRIM($F$2))="(NONBLANK)",UPPER(TRIM($F$2))="NONBLANK",TRIM($F$2)="&lt;&gt;"),(IF('Final Calculation Sheet'!$D$39="","",'Final Calculation Sheet'!$D$39))&lt;&gt;"",UPPER(TRIM((IF('Final Calculation Sheet'!$D$39="","",'Final Calculation Sheet'!$D$39))&amp;""))=UPPER(TRIM($F$2&amp;"")))))</f>
        <v/>
      </c>
      <c r="G39">
        <f>IF($G$3=FALSE,TRUE,IF(OR(UPPER(TRIM($G$2))="(BLANK)",UPPER(TRIM($G$2))="BLANK",AND($G$2&lt;&gt;"",TRIM($G$2)="")),(IF('Final Calculation Sheet'!$A$39="","",'Final Calculation Sheet'!$A$39))="",IF(OR(UPPER(TRIM($G$2))="(NONBLANK)",UPPER(TRIM($G$2))="NONBLANK",TRIM($G$2)="&lt;&gt;"),(IF('Final Calculation Sheet'!$A$39="","",'Final Calculation Sheet'!$A$39))&lt;&gt;"",UPPER(TRIM((IF('Final Calculation Sheet'!$A$39="","",'Final Calculation Sheet'!$A$39))&amp;""))=UPPER(TRIM($G$2&amp;"")))))</f>
        <v/>
      </c>
      <c r="H39">
        <f>IF($H$3=FALSE,TRUE,IF(OR(UPPER(TRIM($H$2))="(BLANK)",UPPER(TRIM($H$2))="BLANK",AND($H$2&lt;&gt;"",TRIM($H$2)="")),(IF('Final Calculation Sheet'!$E$39="","",'Final Calculation Sheet'!$E$39))="",IF(OR(UPPER(TRIM($H$2))="(NONBLANK)",UPPER(TRIM($H$2))="NONBLANK",TRIM($H$2)="&lt;&gt;"),(IF('Final Calculation Sheet'!$E$39="","",'Final Calculation Sheet'!$E$39))&lt;&gt;"",UPPER(TRIM((IF('Final Calculation Sheet'!$E$39="","",'Final Calculation Sheet'!$E$39))&amp;""))=UPPER(TRIM($H$2&amp;"")))))</f>
        <v/>
      </c>
      <c r="I39">
        <f>IF($I$3=FALSE,TRUE,IF(OR(UPPER(TRIM($I$2))="(BLANK)",UPPER(TRIM($I$2))="BLANK",AND($I$2&lt;&gt;"",TRIM($I$2)="")),(IF('Final Calculation Sheet'!$C$39="","",'Final Calculation Sheet'!$C$39))="",IF(OR(UPPER(TRIM($I$2))="(NONBLANK)",UPPER(TRIM($I$2))="NONBLANK",TRIM($I$2)="&lt;&gt;"),(IF('Final Calculation Sheet'!$C$39="","",'Final Calculation Sheet'!$C$39))&lt;&gt;"",UPPER(TRIM((IF('Final Calculation Sheet'!$C$39="","",'Final Calculation Sheet'!$C$39))&amp;""))=UPPER(TRIM($I$2&amp;"")))))</f>
        <v/>
      </c>
      <c r="J39">
        <f>IF($J$3=FALSE,TRUE,IF(OR(UPPER(TRIM($J$2))="(BLANK)",UPPER(TRIM($J$2))="BLANK",AND($J$2&lt;&gt;"",TRIM($J$2)="")),(IF('Final Calculation Sheet'!$H$39="","",'Final Calculation Sheet'!$H$39))="",IF(OR(UPPER(TRIM($J$2))="(NONBLANK)",UPPER(TRIM($J$2))="NONBLANK",TRIM($J$2)="&lt;&gt;"),(IF('Final Calculation Sheet'!$H$39="","",'Final Calculation Sheet'!$H$39))&lt;&gt;"",UPPER(TRIM((IF('Final Calculation Sheet'!$H$39="","",'Final Calculation Sheet'!$H$39))&amp;""))=UPPER(TRIM($J$2&amp;"")))))</f>
        <v/>
      </c>
      <c r="K39">
        <f>IF($K$3=FALSE,TRUE,IF(OR(UPPER(TRIM($K$2))="(BLANK)",UPPER(TRIM($K$2))="BLANK",AND($K$2&lt;&gt;"",TRIM($K$2)="")),(IF('Final Calculation Sheet'!$I$39="","",'Final Calculation Sheet'!$I$39))="",IF(OR(UPPER(TRIM($K$2))="(NONBLANK)",UPPER(TRIM($K$2))="NONBLANK",TRIM($K$2)="&lt;&gt;"),(IF('Final Calculation Sheet'!$I$39="","",'Final Calculation Sheet'!$I$39))&lt;&gt;"",UPPER(TRIM((IF('Final Calculation Sheet'!$I$39="","",'Final Calculation Sheet'!$I$39))&amp;""))=UPPER(TRIM($K$2&amp;"")))))</f>
        <v/>
      </c>
      <c r="L39">
        <f>IF($L$3=FALSE,TRUE,IF(OR(UPPER(TRIM($L$2))="(BLANK)",UPPER(TRIM($L$2))="BLANK",AND($L$2&lt;&gt;"",TRIM($L$2)="")),(IF('Final Calculation Sheet'!$J$39="","",'Final Calculation Sheet'!$J$39))="",IF(OR(UPPER(TRIM($L$2))="(NONBLANK)",UPPER(TRIM($L$2))="NONBLANK",TRIM($L$2)="&lt;&gt;"),(IF('Final Calculation Sheet'!$J$39="","",'Final Calculation Sheet'!$J$39))&lt;&gt;"",UPPER(TRIM((IF('Final Calculation Sheet'!$J$39="","",'Final Calculation Sheet'!$J$39))&amp;""))=UPPER(TRIM($L$2&amp;"")))))</f>
        <v/>
      </c>
      <c r="M39">
        <f>IF($M$3=FALSE,TRUE,IF(OR(UPPER(TRIM($M$2))="(BLANK)",UPPER(TRIM($M$2))="BLANK",AND($M$2&lt;&gt;"",TRIM($M$2)="")),(IF('Final Calculation Sheet'!$K$39="","",'Final Calculation Sheet'!$K$39))="",IF(OR(UPPER(TRIM($M$2))="(NONBLANK)",UPPER(TRIM($M$2))="NONBLANK",TRIM($M$2)="&lt;&gt;"),(IF('Final Calculation Sheet'!$K$39="","",'Final Calculation Sheet'!$K$39))&lt;&gt;"",UPPER(TRIM((IF('Final Calculation Sheet'!$K$39="","",'Final Calculation Sheet'!$K$39))&amp;""))=UPPER(TRIM($M$2&amp;"")))))</f>
        <v/>
      </c>
      <c r="N39">
        <f>IF($N$3=FALSE,TRUE,IF(OR(UPPER(TRIM($N$2))="(BLANK)",UPPER(TRIM($N$2))="BLANK",AND($N$2&lt;&gt;"",TRIM($N$2)="")),(IF('Final Calculation Sheet'!$L$39="","",'Final Calculation Sheet'!$L$39))="",IF(OR(UPPER(TRIM($N$2))="(NONBLANK)",UPPER(TRIM($N$2))="NONBLANK",TRIM($N$2)="&lt;&gt;"),(IF('Final Calculation Sheet'!$L$39="","",'Final Calculation Sheet'!$L$39))&lt;&gt;"",UPPER(TRIM((IF('Final Calculation Sheet'!$L$39="","",'Final Calculation Sheet'!$L$39))&amp;""))=UPPER(TRIM($N$2&amp;"")))))</f>
        <v/>
      </c>
      <c r="O39">
        <f>IF($O$3=FALSE,TRUE,IF(OR(UPPER(TRIM($O$2))="(BLANK)",UPPER(TRIM($O$2))="BLANK",AND($O$2&lt;&gt;"",TRIM($O$2)="")),(IF('Final Calculation Sheet'!$M$39="","",'Final Calculation Sheet'!$M$39))="",IF(OR(UPPER(TRIM($O$2))="(NONBLANK)",UPPER(TRIM($O$2))="NONBLANK",TRIM($O$2)="&lt;&gt;"),(IF('Final Calculation Sheet'!$M$39="","",'Final Calculation Sheet'!$M$39))&lt;&gt;"",UPPER(TRIM((IF('Final Calculation Sheet'!$M$39="","",'Final Calculation Sheet'!$M$39))&amp;""))=UPPER(TRIM($O$2&amp;"")))))</f>
        <v/>
      </c>
      <c r="P39">
        <f>IF($P$3=FALSE,TRUE,IF(OR(UPPER(TRIM($P$2))="(BLANK)",UPPER(TRIM($P$2))="BLANK",AND($P$2&lt;&gt;"",TRIM($P$2)="")),(IF('Final Calculation Sheet'!$N$39="","",'Final Calculation Sheet'!$N$39))="",IF(OR(UPPER(TRIM($P$2))="(NONBLANK)",UPPER(TRIM($P$2))="NONBLANK",TRIM($P$2)="&lt;&gt;"),(IF('Final Calculation Sheet'!$N$39="","",'Final Calculation Sheet'!$N$39))&lt;&gt;"",UPPER(TRIM((IF('Final Calculation Sheet'!$N$39="","",'Final Calculation Sheet'!$N$39))&amp;""))=UPPER(TRIM($P$2&amp;"")))))</f>
        <v/>
      </c>
      <c r="Q39">
        <f>IF($Q$3=FALSE,TRUE,IF(OR(UPPER(TRIM($Q$2))="(BLANK)",UPPER(TRIM($Q$2))="BLANK",AND($Q$2&lt;&gt;"",TRIM($Q$2)="")),(IF('Final Calculation Sheet'!$O$39="","",'Final Calculation Sheet'!$O$39))="",IF(OR(UPPER(TRIM($Q$2))="(NONBLANK)",UPPER(TRIM($Q$2))="NONBLANK",TRIM($Q$2)="&lt;&gt;"),(IF('Final Calculation Sheet'!$O$39="","",'Final Calculation Sheet'!$O$39))&lt;&gt;"",UPPER(TRIM((IF('Final Calculation Sheet'!$O$39="","",'Final Calculation Sheet'!$O$39))&amp;""))=UPPER(TRIM($Q$2&amp;"")))))</f>
        <v/>
      </c>
      <c r="R39">
        <f>IF($R$3=FALSE,TRUE,IF(OR(UPPER(TRIM($R$2))="(BLANK)",UPPER(TRIM($R$2))="BLANK",AND($R$2&lt;&gt;"",TRIM($R$2)="")),(IF('Final Calculation Sheet'!$P$39="","",'Final Calculation Sheet'!$P$39))="",IF(OR(UPPER(TRIM($R$2))="(NONBLANK)",UPPER(TRIM($R$2))="NONBLANK",TRIM($R$2)="&lt;&gt;"),(IF('Final Calculation Sheet'!$P$39="","",'Final Calculation Sheet'!$P$39))&lt;&gt;"",UPPER(TRIM((IF('Final Calculation Sheet'!$P$39="","",'Final Calculation Sheet'!$P$39))&amp;""))=UPPER(TRIM($R$2&amp;"")))))</f>
        <v/>
      </c>
      <c r="S39">
        <f>IF($S$3=FALSE,TRUE,IF(OR(UPPER(TRIM($S$2))="(BLANK)",UPPER(TRIM($S$2))="BLANK",AND($S$2&lt;&gt;"",TRIM($S$2)="")),(IF('Final Calculation Sheet'!$Q$39="","",'Final Calculation Sheet'!$Q$39))="",IF(OR(UPPER(TRIM($S$2))="(NONBLANK)",UPPER(TRIM($S$2))="NONBLANK",TRIM($S$2)="&lt;&gt;"),(IF('Final Calculation Sheet'!$Q$39="","",'Final Calculation Sheet'!$Q$39))&lt;&gt;"",UPPER(TRIM((IF('Final Calculation Sheet'!$Q$39="","",'Final Calculation Sheet'!$Q$39))&amp;""))=UPPER(TRIM($S$2&amp;"")))))</f>
        <v/>
      </c>
      <c r="T39">
        <f>IF($T$3=FALSE,TRUE,IF(OR(UPPER(TRIM($T$2))="(BLANK)",UPPER(TRIM($T$2))="BLANK",AND($T$2&lt;&gt;"",TRIM($T$2)="")),(IF('Final Calculation Sheet'!$R$39="","",'Final Calculation Sheet'!$R$39))="",IF(OR(UPPER(TRIM($T$2))="(NONBLANK)",UPPER(TRIM($T$2))="NONBLANK",TRIM($T$2)="&lt;&gt;"),(IF('Final Calculation Sheet'!$R$39="","",'Final Calculation Sheet'!$R$39))&lt;&gt;"",UPPER(TRIM((IF('Final Calculation Sheet'!$R$39="","",'Final Calculation Sheet'!$R$39))&amp;""))=UPPER(TRIM($T$2&amp;"")))))</f>
        <v/>
      </c>
      <c r="U39">
        <f>IF($U$3=FALSE,TRUE,IF(OR(UPPER(TRIM($U$2))="(BLANK)",UPPER(TRIM($U$2))="BLANK",AND($U$2&lt;&gt;"",TRIM($U$2)="")),(IF('Final Calculation Sheet'!$S$39="","",'Final Calculation Sheet'!$S$39))="",IF(OR(UPPER(TRIM($U$2))="(NONBLANK)",UPPER(TRIM($U$2))="NONBLANK",TRIM($U$2)="&lt;&gt;"),(IF('Final Calculation Sheet'!$S$39="","",'Final Calculation Sheet'!$S$39))&lt;&gt;"",UPPER(TRIM((IF('Final Calculation Sheet'!$S$39="","",'Final Calculation Sheet'!$S$39))&amp;""))=UPPER(TRIM($U$2&amp;"")))))</f>
        <v/>
      </c>
      <c r="V39">
        <f>IF($V$3=FALSE,TRUE,IF(OR(UPPER(TRIM($V$2))="(BLANK)",UPPER(TRIM($V$2))="BLANK",AND($V$2&lt;&gt;"",TRIM($V$2)="")),(IF('Final Calculation Sheet'!$T$39="","",'Final Calculation Sheet'!$T$39))="",IF(OR(UPPER(TRIM($V$2))="(NONBLANK)",UPPER(TRIM($V$2))="NONBLANK",TRIM($V$2)="&lt;&gt;"),(IF('Final Calculation Sheet'!$T$39="","",'Final Calculation Sheet'!$T$39))&lt;&gt;"",UPPER(TRIM((IF('Final Calculation Sheet'!$T$39="","",'Final Calculation Sheet'!$T$39))&amp;""))=UPPER(TRIM($V$2&amp;"")))))</f>
        <v/>
      </c>
      <c r="W39">
        <f>IF($W$3=FALSE,TRUE,IF(OR(UPPER(TRIM($W$2))="(BLANK)",UPPER(TRIM($W$2))="BLANK",AND($W$2&lt;&gt;"",TRIM($W$2)="")),(IF('Final Calculation Sheet'!$U$39="","",'Final Calculation Sheet'!$U$39))="",IF(OR(UPPER(TRIM($W$2))="(NONBLANK)",UPPER(TRIM($W$2))="NONBLANK",TRIM($W$2)="&lt;&gt;"),(IF('Final Calculation Sheet'!$U$39="","",'Final Calculation Sheet'!$U$39))&lt;&gt;"",UPPER(TRIM((IF('Final Calculation Sheet'!$U$39="","",'Final Calculation Sheet'!$U$39))&amp;""))=UPPER(TRIM($W$2&amp;"")))))</f>
        <v/>
      </c>
      <c r="X39">
        <f>IF($X$3=FALSE,TRUE,IF(OR(UPPER(TRIM($X$2))="(BLANK)",UPPER(TRIM($X$2))="BLANK",AND($X$2&lt;&gt;"",TRIM($X$2)="")),(IF('Final Calculation Sheet'!$V$39="","",'Final Calculation Sheet'!$V$39))="",IF(OR(UPPER(TRIM($X$2))="(NONBLANK)",UPPER(TRIM($X$2))="NONBLANK",TRIM($X$2)="&lt;&gt;"),(IF('Final Calculation Sheet'!$V$39="","",'Final Calculation Sheet'!$V$39))&lt;&gt;"",UPPER(TRIM((IF('Final Calculation Sheet'!$V$39="","",'Final Calculation Sheet'!$V$39))&amp;""))=UPPER(TRIM($X$2&amp;"")))))</f>
        <v/>
      </c>
      <c r="Y39">
        <f>IF($Y$3=FALSE,TRUE,IF(OR(UPPER(TRIM($Y$2))="(BLANK)",UPPER(TRIM($Y$2))="BLANK",AND($Y$2&lt;&gt;"",TRIM($Y$2)="")),(IF('Final Calculation Sheet'!$W$39="","",'Final Calculation Sheet'!$W$39))="",IF(OR(UPPER(TRIM($Y$2))="(NONBLANK)",UPPER(TRIM($Y$2))="NONBLANK",TRIM($Y$2)="&lt;&gt;"),(IF('Final Calculation Sheet'!$W$39="","",'Final Calculation Sheet'!$W$39))&lt;&gt;"",UPPER(TRIM((IF('Final Calculation Sheet'!$W$39="","",'Final Calculation Sheet'!$W$39))&amp;""))=UPPER(TRIM($Y$2&amp;"")))))</f>
        <v/>
      </c>
      <c r="Z39">
        <f>IF($Z$3=FALSE,TRUE,IF(OR(UPPER(TRIM($Z$2))="(BLANK)",UPPER(TRIM($Z$2))="BLANK",AND($Z$2&lt;&gt;"",TRIM($Z$2)="")),(IF('Final Calculation Sheet'!$X$39="","",'Final Calculation Sheet'!$X$39))="",IF(OR(UPPER(TRIM($Z$2))="(NONBLANK)",UPPER(TRIM($Z$2))="NONBLANK",TRIM($Z$2)="&lt;&gt;"),(IF('Final Calculation Sheet'!$X$39="","",'Final Calculation Sheet'!$X$39))&lt;&gt;"",UPPER(TRIM((IF('Final Calculation Sheet'!$X$39="","",'Final Calculation Sheet'!$X$39))&amp;""))=UPPER(TRIM($Z$2&amp;"")))))</f>
        <v/>
      </c>
      <c r="AA39">
        <f>IF($AA$3=FALSE,TRUE,IF(OR(UPPER(TRIM($AA$2))="(BLANK)",UPPER(TRIM($AA$2))="BLANK",AND($AA$2&lt;&gt;"",TRIM($AA$2)="")),(IF('Final Calculation Sheet'!$Y$39="","",'Final Calculation Sheet'!$Y$39))="",IF(OR(UPPER(TRIM($AA$2))="(NONBLANK)",UPPER(TRIM($AA$2))="NONBLANK",TRIM($AA$2)="&lt;&gt;"),(IF('Final Calculation Sheet'!$Y$39="","",'Final Calculation Sheet'!$Y$39))&lt;&gt;"",UPPER(TRIM((IF('Final Calculation Sheet'!$Y$39="","",'Final Calculation Sheet'!$Y$39))&amp;""))=UPPER(TRIM($AA$2&amp;"")))))</f>
        <v/>
      </c>
      <c r="AB39">
        <f>IF($AB$3=FALSE,TRUE,IF(OR(UPPER(TRIM($AB$2))="(BLANK)",UPPER(TRIM($AB$2))="BLANK",AND($AB$2&lt;&gt;"",TRIM($AB$2)="")),(IF('Final Calculation Sheet'!$Z$39="","",'Final Calculation Sheet'!$Z$39))="",IF(OR(UPPER(TRIM($AB$2))="(NONBLANK)",UPPER(TRIM($AB$2))="NONBLANK",TRIM($AB$2)="&lt;&gt;"),(IF('Final Calculation Sheet'!$Z$39="","",'Final Calculation Sheet'!$Z$39))&lt;&gt;"",UPPER(TRIM((IF('Final Calculation Sheet'!$Z$39="","",'Final Calculation Sheet'!$Z$39))&amp;""))=UPPER(TRIM($AB$2&amp;"")))))</f>
        <v/>
      </c>
      <c r="AC39">
        <f>IF($AC$3=FALSE,TRUE,IF(OR(UPPER(TRIM($AC$2))="(BLANK)",UPPER(TRIM($AC$2))="BLANK",AND($AC$2&lt;&gt;"",TRIM($AC$2)="")),(IF('Final Calculation Sheet'!$AA$39="","",'Final Calculation Sheet'!$AA$39))="",IF(OR(UPPER(TRIM($AC$2))="(NONBLANK)",UPPER(TRIM($AC$2))="NONBLANK",TRIM($AC$2)="&lt;&gt;"),(IF('Final Calculation Sheet'!$AA$39="","",'Final Calculation Sheet'!$AA$39))&lt;&gt;"",UPPER(TRIM((IF('Final Calculation Sheet'!$AA$39="","",'Final Calculation Sheet'!$AA$39))&amp;""))=UPPER(TRIM($AC$2&amp;"")))))</f>
        <v/>
      </c>
      <c r="AD39">
        <f>IF($AD$3=FALSE,TRUE,IF(OR(UPPER(TRIM($AD$2))="(BLANK)",UPPER(TRIM($AD$2))="BLANK",AND($AD$2&lt;&gt;"",TRIM($AD$2)="")),(IF('Final Calculation Sheet'!$AB$39="","",'Final Calculation Sheet'!$AB$39))="",IF(OR(UPPER(TRIM($AD$2))="(NONBLANK)",UPPER(TRIM($AD$2))="NONBLANK",TRIM($AD$2)="&lt;&gt;"),(IF('Final Calculation Sheet'!$AB$39="","",'Final Calculation Sheet'!$AB$39))&lt;&gt;"",UPPER(TRIM((IF('Final Calculation Sheet'!$AB$39="","",'Final Calculation Sheet'!$AB$39))&amp;""))=UPPER(TRIM($AD$2&amp;"")))))</f>
        <v/>
      </c>
      <c r="AE39">
        <f>IF($AE$3=FALSE,TRUE,IF(OR(UPPER(TRIM($AE$2))="(BLANK)",UPPER(TRIM($AE$2))="BLANK",AND($AE$2&lt;&gt;"",TRIM($AE$2)="")),(IF('Final Calculation Sheet'!$AC$39="","",'Final Calculation Sheet'!$AC$39))="",IF(OR(UPPER(TRIM($AE$2))="(NONBLANK)",UPPER(TRIM($AE$2))="NONBLANK",TRIM($AE$2)="&lt;&gt;"),(IF('Final Calculation Sheet'!$AC$39="","",'Final Calculation Sheet'!$AC$39))&lt;&gt;"",UPPER(TRIM((IF('Final Calculation Sheet'!$AC$39="","",'Final Calculation Sheet'!$AC$39))&amp;""))=UPPER(TRIM($AE$2&amp;"")))))</f>
        <v/>
      </c>
      <c r="AF39">
        <f>IF($AF$3=FALSE,TRUE,IF(OR(UPPER(TRIM($AF$2))="(BLANK)",UPPER(TRIM($AF$2))="BLANK",AND($AF$2&lt;&gt;"",TRIM($AF$2)="")),(IF('Final Calculation Sheet'!$AD$39="","",'Final Calculation Sheet'!$AD$39))="",IF(OR(UPPER(TRIM($AF$2))="(NONBLANK)",UPPER(TRIM($AF$2))="NONBLANK",TRIM($AF$2)="&lt;&gt;"),(IF('Final Calculation Sheet'!$AD$39="","",'Final Calculation Sheet'!$AD$39))&lt;&gt;"",UPPER(TRIM((IF('Final Calculation Sheet'!$AD$39="","",'Final Calculation Sheet'!$AD$39))&amp;""))=UPPER(TRIM($AF$2&amp;"")))))</f>
        <v/>
      </c>
      <c r="AG39">
        <f>IF($AG$3=FALSE,TRUE,IF(OR(UPPER(TRIM($AG$2))="(BLANK)",UPPER(TRIM($AG$2))="BLANK",AND($AG$2&lt;&gt;"",TRIM($AG$2)="")),(IF('Final Calculation Sheet'!$AE$39="","",'Final Calculation Sheet'!$AE$39))="",IF(OR(UPPER(TRIM($AG$2))="(NONBLANK)",UPPER(TRIM($AG$2))="NONBLANK",TRIM($AG$2)="&lt;&gt;"),(IF('Final Calculation Sheet'!$AE$39="","",'Final Calculation Sheet'!$AE$39))&lt;&gt;"",UPPER(TRIM((IF('Final Calculation Sheet'!$AE$39="","",'Final Calculation Sheet'!$AE$39))&amp;""))=UPPER(TRIM($AG$2&amp;"")))))</f>
        <v/>
      </c>
      <c r="AH39">
        <f>IF($AH$3=FALSE,TRUE,IF(OR(UPPER(TRIM($AH$2))="(BLANK)",UPPER(TRIM($AH$2))="BLANK",AND($AH$2&lt;&gt;"",TRIM($AH$2)="")),(IF('Final Calculation Sheet'!$AF$39="","",'Final Calculation Sheet'!$AF$39))="",IF(OR(UPPER(TRIM($AH$2))="(NONBLANK)",UPPER(TRIM($AH$2))="NONBLANK",TRIM($AH$2)="&lt;&gt;"),(IF('Final Calculation Sheet'!$AF$39="","",'Final Calculation Sheet'!$AF$39))&lt;&gt;"",UPPER(TRIM((IF('Final Calculation Sheet'!$AF$39="","",'Final Calculation Sheet'!$AF$39))&amp;""))=UPPER(TRIM($AH$2&amp;"")))))</f>
        <v/>
      </c>
      <c r="AI39">
        <f>IF($AI$3=FALSE,TRUE,IF(OR(UPPER(TRIM($AI$2))="(BLANK)",UPPER(TRIM($AI$2))="BLANK",AND($AI$2&lt;&gt;"",TRIM($AI$2)="")),(IF('Final Calculation Sheet'!$AG$39="","",'Final Calculation Sheet'!$AG$39))="",IF(OR(UPPER(TRIM($AI$2))="(NONBLANK)",UPPER(TRIM($AI$2))="NONBLANK",TRIM($AI$2)="&lt;&gt;"),(IF('Final Calculation Sheet'!$AG$39="","",'Final Calculation Sheet'!$AG$39))&lt;&gt;"",UPPER(TRIM((IF('Final Calculation Sheet'!$AG$39="","",'Final Calculation Sheet'!$AG$39))&amp;""))=UPPER(TRIM($AI$2&amp;"")))))</f>
        <v/>
      </c>
      <c r="AJ39">
        <f>IF($AJ$3=FALSE,TRUE,IF(OR(UPPER(TRIM($AJ$2))="(BLANK)",UPPER(TRIM($AJ$2))="BLANK",AND($AJ$2&lt;&gt;"",TRIM($AJ$2)="")),(IF('Final Calculation Sheet'!$AD$39="","",IF('Final Calculation Sheet'!$AD$39&lt;=5,"SETTLED","OUTSTANDING")))="",IF(OR(UPPER(TRIM($AJ$2))="(NONBLANK)",UPPER(TRIM($AJ$2))="NONBLANK",TRIM($AJ$2)="&lt;&gt;"),(IF('Final Calculation Sheet'!$AD$39="","",IF('Final Calculation Sheet'!$AD$39&lt;=5,"SETTLED","OUTSTANDING")))&lt;&gt;"",UPPER(TRIM((IF('Final Calculation Sheet'!$AD$39="","",IF('Final Calculation Sheet'!$AD$39&lt;=5,"SETTLED","OUTSTANDING")))&amp;""))=UPPER(TRIM($AJ$2&amp;"")))))</f>
        <v/>
      </c>
      <c r="AL39">
        <f>IF(AND($B$39,$D$39:$AJ$39),IF('Final Calculation Sheet'!$F$39="","",'Final Calculation Sheet'!$F$39),"")</f>
        <v/>
      </c>
      <c r="AM39">
        <f>IF(AL39="","",COUNTIFS(AL$4:AL$40,"&lt;"&amp;AL39,AL$4:AL$40,"&lt;&gt;"&amp;"")+COUNTIF(AL$4:AL39,AL39))</f>
        <v/>
      </c>
      <c r="AN39">
        <f>IF(ROW()-3&gt;COUNTIF(AL$4:AL$40,"&lt;&gt;"&amp;""),"",INDEX(AL$4:AL$40,MATCH(ROW()-3,AM$4:AM$40,0)))</f>
        <v/>
      </c>
      <c r="AO39">
        <f>AO38+IF(AND(AN39&lt;&gt;"",COUNTIF(AN$4:AN39,AN39)=1),1,0)</f>
        <v/>
      </c>
      <c r="AP39">
        <f>IF(ROW()-3&gt;MAX(AO$4:AO$40),"",INDEX(AN$4:AN$40,MATCH(ROW()-3,AO$4:AO$40,0)))</f>
        <v/>
      </c>
      <c r="AQ39">
        <f>IF(AND($B$39:$C$39,$E$39:$AJ$39),IF('Final Calculation Sheet'!$G$39="","",'Final Calculation Sheet'!$G$39),"")</f>
        <v/>
      </c>
      <c r="AR39">
        <f>IF(AQ39="","",COUNTIFS(AQ$4:AQ$40,"&lt;"&amp;AQ39,AQ$4:AQ$40,"&lt;&gt;"&amp;"")+COUNTIF(AQ$4:AQ39,AQ39))</f>
        <v/>
      </c>
      <c r="AS39">
        <f>IF(ROW()-3&gt;COUNTIF(AQ$4:AQ$40,"&lt;&gt;"&amp;""),"",INDEX(AQ$4:AQ$40,MATCH(ROW()-3,AR$4:AR$40,0)))</f>
        <v/>
      </c>
      <c r="AT39">
        <f>AT38+IF(AND(AS39&lt;&gt;"",COUNTIF(AS$4:AS39,AS39)=1),1,0)</f>
        <v/>
      </c>
      <c r="AU39">
        <f>IF(ROW()-3&gt;MAX(AT$4:AT$40),"",INDEX(AS$4:AS$40,MATCH(ROW()-3,AT$4:AT$40,0)))</f>
        <v/>
      </c>
      <c r="AV39">
        <f>IF(AND($B$39:$D$39,$F$39:$AJ$39),IF('Final Calculation Sheet'!$B$39="","",'Final Calculation Sheet'!$B$39),"")</f>
        <v/>
      </c>
      <c r="AW39">
        <f>IF(AV39="","",COUNTIFS(AV$4:AV$40,"&lt;"&amp;AV39,AV$4:AV$40,"&lt;&gt;"&amp;"")+COUNTIF(AV$4:AV39,AV39))</f>
        <v/>
      </c>
      <c r="AX39">
        <f>IF(ROW()-3&gt;COUNTIF(AV$4:AV$40,"&lt;&gt;"&amp;""),"",INDEX(AV$4:AV$40,MATCH(ROW()-3,AW$4:AW$40,0)))</f>
        <v/>
      </c>
      <c r="AY39">
        <f>AY38+IF(AND(AX39&lt;&gt;"",COUNTIF(AX$4:AX39,AX39)=1),1,0)</f>
        <v/>
      </c>
      <c r="AZ39">
        <f>IF(ROW()-3&gt;MAX(AY$4:AY$40),"",INDEX(AX$4:AX$40,MATCH(ROW()-3,AY$4:AY$40,0)))</f>
        <v/>
      </c>
      <c r="BA39">
        <f>IF(AND($B$39:$E$39,$G$39:$AJ$39),IF('Final Calculation Sheet'!$D$39="","",'Final Calculation Sheet'!$D$39),"")</f>
        <v/>
      </c>
      <c r="BB39">
        <f>IF(BA39="","",COUNTIFS(BA$4:BA$40,"&lt;"&amp;BA39,BA$4:BA$40,"&lt;&gt;"&amp;"")+COUNTIF(BA$4:BA39,BA39))</f>
        <v/>
      </c>
      <c r="BC39">
        <f>IF(ROW()-3&gt;COUNTIF(BA$4:BA$40,"&lt;&gt;"&amp;""),"",INDEX(BA$4:BA$40,MATCH(ROW()-3,BB$4:BB$40,0)))</f>
        <v/>
      </c>
      <c r="BD39">
        <f>BD38+IF(AND(BC39&lt;&gt;"",COUNTIF(BC$4:BC39,BC39)=1),1,0)</f>
        <v/>
      </c>
      <c r="BE39">
        <f>IF(ROW()-3&gt;MAX(BD$4:BD$40),"",INDEX(BC$4:BC$40,MATCH(ROW()-3,BD$4:BD$40,0)))</f>
        <v/>
      </c>
      <c r="BF39">
        <f>IF(AND($B$39:$F$39,$H$39:$AJ$39),IF('Final Calculation Sheet'!$A$39="","",'Final Calculation Sheet'!$A$39),"")</f>
        <v/>
      </c>
      <c r="BG39">
        <f>IF(BF39="","",COUNTIFS(BF$4:BF$40,"&lt;"&amp;BF39,BF$4:BF$40,"&lt;&gt;"&amp;"")+COUNTIF(BF$4:BF39,BF39))</f>
        <v/>
      </c>
      <c r="BH39">
        <f>IF(ROW()-3&gt;COUNTIF(BF$4:BF$40,"&lt;&gt;"&amp;""),"",INDEX(BF$4:BF$40,MATCH(ROW()-3,BG$4:BG$40,0)))</f>
        <v/>
      </c>
      <c r="BI39">
        <f>BI38+IF(AND(BH39&lt;&gt;"",COUNTIF(BH$4:BH39,BH39)=1),1,0)</f>
        <v/>
      </c>
      <c r="BJ39">
        <f>IF(ROW()-3&gt;MAX(BI$4:BI$40),"",INDEX(BH$4:BH$40,MATCH(ROW()-3,BI$4:BI$40,0)))</f>
        <v/>
      </c>
      <c r="BK39">
        <f>IF(AND($B$39:$G$39,$I$39:$AJ$39),IF('Final Calculation Sheet'!$E$39="","",'Final Calculation Sheet'!$E$39),"")</f>
        <v/>
      </c>
      <c r="BL39">
        <f>IF(BK39="","",COUNTIFS(BK$4:BK$40,"&lt;"&amp;BK39,BK$4:BK$40,"&lt;&gt;"&amp;"")+COUNTIF(BK$4:BK39,BK39))</f>
        <v/>
      </c>
      <c r="BM39">
        <f>IF(ROW()-3&gt;COUNTIF(BK$4:BK$40,"&lt;&gt;"&amp;""),"",INDEX(BK$4:BK$40,MATCH(ROW()-3,BL$4:BL$40,0)))</f>
        <v/>
      </c>
      <c r="BN39">
        <f>BN38+IF(AND(BM39&lt;&gt;"",COUNTIF(BM$4:BM39,BM39)=1),1,0)</f>
        <v/>
      </c>
      <c r="BO39">
        <f>IF(ROW()-3&gt;MAX(BN$4:BN$40),"",INDEX(BM$4:BM$40,MATCH(ROW()-3,BN$4:BN$40,0)))</f>
        <v/>
      </c>
      <c r="BP39" s="55">
        <f>IF(AND($B$39:$H$39,$J$39:$AJ$39),IF('Final Calculation Sheet'!$C$39="","",'Final Calculation Sheet'!$C$39),"")</f>
        <v/>
      </c>
      <c r="BQ39">
        <f>IF(BP39="","",COUNTIFS(BP$4:BP$40,"&lt;"&amp;BP39,BP$4:BP$40,"&lt;&gt;"&amp;"")+COUNTIF(BP$4:BP39,BP39))</f>
        <v/>
      </c>
      <c r="BR39" s="55">
        <f>IF(ROW()-3&gt;COUNTIF(BP$4:BP$40,"&lt;&gt;"&amp;""),"",INDEX(BP$4:BP$40,MATCH(ROW()-3,BQ$4:BQ$40,0)))</f>
        <v/>
      </c>
      <c r="BS39">
        <f>BS38+IF(AND(BR39&lt;&gt;"",COUNTIF(BR$4:BR39,BR39)=1),1,0)</f>
        <v/>
      </c>
      <c r="BT39" s="55">
        <f>IF(ROW()-3&gt;MAX(BS$4:BS$40),"",INDEX(BR$4:BR$40,MATCH(ROW()-3,BS$4:BS$40,0)))</f>
        <v/>
      </c>
      <c r="BU39" s="55">
        <f>IF(AND($B$39:$I$39,$K$39:$AJ$39),IF('Final Calculation Sheet'!$H$39="","",'Final Calculation Sheet'!$H$39),"")</f>
        <v/>
      </c>
      <c r="BV39">
        <f>IF(BU39="","",COUNTIFS(BU$4:BU$40,"&lt;"&amp;BU39,BU$4:BU$40,"&lt;&gt;"&amp;"")+COUNTIF(BU$4:BU39,BU39))</f>
        <v/>
      </c>
      <c r="BW39" s="55">
        <f>IF(ROW()-3&gt;COUNTIF(BU$4:BU$40,"&lt;&gt;"&amp;""),"",INDEX(BU$4:BU$40,MATCH(ROW()-3,BV$4:BV$40,0)))</f>
        <v/>
      </c>
      <c r="BX39">
        <f>BX38+IF(AND(BW39&lt;&gt;"",COUNTIF(BW$4:BW39,BW39)=1),1,0)</f>
        <v/>
      </c>
      <c r="BY39" s="55">
        <f>IF(ROW()-3&gt;MAX(BX$4:BX$40),"",INDEX(BW$4:BW$40,MATCH(ROW()-3,BX$4:BX$40,0)))</f>
        <v/>
      </c>
      <c r="BZ39" s="55">
        <f>IF(AND($B$39:$J$39,$L$39:$AJ$39),IF('Final Calculation Sheet'!$I$39="","",'Final Calculation Sheet'!$I$39),"")</f>
        <v/>
      </c>
      <c r="CA39">
        <f>IF(BZ39="","",COUNTIFS(BZ$4:BZ$40,"&lt;"&amp;BZ39,BZ$4:BZ$40,"&lt;&gt;"&amp;"")+COUNTIF(BZ$4:BZ39,BZ39))</f>
        <v/>
      </c>
      <c r="CB39" s="55">
        <f>IF(ROW()-3&gt;COUNTIF(BZ$4:BZ$40,"&lt;&gt;"&amp;""),"",INDEX(BZ$4:BZ$40,MATCH(ROW()-3,CA$4:CA$40,0)))</f>
        <v/>
      </c>
      <c r="CC39">
        <f>CC38+IF(AND(CB39&lt;&gt;"",COUNTIF(CB$4:CB39,CB39)=1),1,0)</f>
        <v/>
      </c>
      <c r="CD39" s="55">
        <f>IF(ROW()-3&gt;MAX(CC$4:CC$40),"",INDEX(CB$4:CB$40,MATCH(ROW()-3,CC$4:CC$40,0)))</f>
        <v/>
      </c>
      <c r="CE39" s="55">
        <f>IF(AND($B$39:$K$39,$M$39:$AJ$39),IF('Final Calculation Sheet'!$J$39="","",'Final Calculation Sheet'!$J$39),"")</f>
        <v/>
      </c>
      <c r="CF39">
        <f>IF(CE39="","",COUNTIFS(CE$4:CE$40,"&lt;"&amp;CE39,CE$4:CE$40,"&lt;&gt;"&amp;"")+COUNTIF(CE$4:CE39,CE39))</f>
        <v/>
      </c>
      <c r="CG39" s="55">
        <f>IF(ROW()-3&gt;COUNTIF(CE$4:CE$40,"&lt;&gt;"&amp;""),"",INDEX(CE$4:CE$40,MATCH(ROW()-3,CF$4:CF$40,0)))</f>
        <v/>
      </c>
      <c r="CH39">
        <f>CH38+IF(AND(CG39&lt;&gt;"",COUNTIF(CG$4:CG39,CG39)=1),1,0)</f>
        <v/>
      </c>
      <c r="CI39" s="55">
        <f>IF(ROW()-3&gt;MAX(CH$4:CH$40),"",INDEX(CG$4:CG$40,MATCH(ROW()-3,CH$4:CH$40,0)))</f>
        <v/>
      </c>
      <c r="CJ39" s="55">
        <f>IF(AND($B$39:$L$39,$N$39:$AJ$39),IF('Final Calculation Sheet'!$K$39="","",'Final Calculation Sheet'!$K$39),"")</f>
        <v/>
      </c>
      <c r="CK39">
        <f>IF(CJ39="","",COUNTIFS(CJ$4:CJ$40,"&lt;"&amp;CJ39,CJ$4:CJ$40,"&lt;&gt;"&amp;"")+COUNTIF(CJ$4:CJ39,CJ39))</f>
        <v/>
      </c>
      <c r="CL39" s="55">
        <f>IF(ROW()-3&gt;COUNTIF(CJ$4:CJ$40,"&lt;&gt;"&amp;""),"",INDEX(CJ$4:CJ$40,MATCH(ROW()-3,CK$4:CK$40,0)))</f>
        <v/>
      </c>
      <c r="CM39">
        <f>CM38+IF(AND(CL39&lt;&gt;"",COUNTIF(CL$4:CL39,CL39)=1),1,0)</f>
        <v/>
      </c>
      <c r="CN39" s="55">
        <f>IF(ROW()-3&gt;MAX(CM$4:CM$40),"",INDEX(CL$4:CL$40,MATCH(ROW()-3,CM$4:CM$40,0)))</f>
        <v/>
      </c>
      <c r="CO39" s="55">
        <f>IF(AND($B$39:$M$39,$O$39:$AJ$39),IF('Final Calculation Sheet'!$L$39="","",'Final Calculation Sheet'!$L$39),"")</f>
        <v/>
      </c>
      <c r="CP39">
        <f>IF(CO39="","",COUNTIFS(CO$4:CO$40,"&lt;"&amp;CO39,CO$4:CO$40,"&lt;&gt;"&amp;"")+COUNTIF(CO$4:CO39,CO39))</f>
        <v/>
      </c>
      <c r="CQ39" s="55">
        <f>IF(ROW()-3&gt;COUNTIF(CO$4:CO$40,"&lt;&gt;"&amp;""),"",INDEX(CO$4:CO$40,MATCH(ROW()-3,CP$4:CP$40,0)))</f>
        <v/>
      </c>
      <c r="CR39">
        <f>CR38+IF(AND(CQ39&lt;&gt;"",COUNTIF(CQ$4:CQ39,CQ39)=1),1,0)</f>
        <v/>
      </c>
      <c r="CS39" s="55">
        <f>IF(ROW()-3&gt;MAX(CR$4:CR$40),"",INDEX(CQ$4:CQ$40,MATCH(ROW()-3,CR$4:CR$40,0)))</f>
        <v/>
      </c>
      <c r="CT39" s="55">
        <f>IF(AND($B$39:$N$39,$P$39:$AJ$39),IF('Final Calculation Sheet'!$M$39="","",'Final Calculation Sheet'!$M$39),"")</f>
        <v/>
      </c>
      <c r="CU39">
        <f>IF(CT39="","",COUNTIFS(CT$4:CT$40,"&lt;"&amp;CT39,CT$4:CT$40,"&lt;&gt;"&amp;"")+COUNTIF(CT$4:CT39,CT39))</f>
        <v/>
      </c>
      <c r="CV39" s="55">
        <f>IF(ROW()-3&gt;COUNTIF(CT$4:CT$40,"&lt;&gt;"&amp;""),"",INDEX(CT$4:CT$40,MATCH(ROW()-3,CU$4:CU$40,0)))</f>
        <v/>
      </c>
      <c r="CW39">
        <f>CW38+IF(AND(CV39&lt;&gt;"",COUNTIF(CV$4:CV39,CV39)=1),1,0)</f>
        <v/>
      </c>
      <c r="CX39" s="55">
        <f>IF(ROW()-3&gt;MAX(CW$4:CW$40),"",INDEX(CV$4:CV$40,MATCH(ROW()-3,CW$4:CW$40,0)))</f>
        <v/>
      </c>
      <c r="CY39" s="138">
        <f>IF(AND($B$39:$O$39,$Q$39:$AJ$39),IF('Final Calculation Sheet'!$N$39="","",'Final Calculation Sheet'!$N$39),"")</f>
        <v/>
      </c>
      <c r="CZ39">
        <f>IF(CY39="","",COUNTIFS(CY$4:CY$40,"&lt;"&amp;CY39,CY$4:CY$40,"&lt;&gt;"&amp;"")+COUNTIF(CY$4:CY39,CY39))</f>
        <v/>
      </c>
      <c r="DA39" s="138">
        <f>IF(ROW()-3&gt;COUNTIF(CY$4:CY$40,"&lt;&gt;"&amp;""),"",INDEX(CY$4:CY$40,MATCH(ROW()-3,CZ$4:CZ$40,0)))</f>
        <v/>
      </c>
      <c r="DB39">
        <f>DB38+IF(AND(DA39&lt;&gt;"",COUNTIF(DA$4:DA39,DA39)=1),1,0)</f>
        <v/>
      </c>
      <c r="DC39" s="138">
        <f>IF(ROW()-3&gt;MAX(DB$4:DB$40),"",INDEX(DA$4:DA$40,MATCH(ROW()-3,DB$4:DB$40,0)))</f>
        <v/>
      </c>
      <c r="DD39" s="55">
        <f>IF(AND($B$39:$P$39,$R$39:$AJ$39),IF('Final Calculation Sheet'!$O$39="","",'Final Calculation Sheet'!$O$39),"")</f>
        <v/>
      </c>
      <c r="DE39">
        <f>IF(DD39="","",COUNTIFS(DD$4:DD$40,"&lt;"&amp;DD39,DD$4:DD$40,"&lt;&gt;"&amp;"")+COUNTIF(DD$4:DD39,DD39))</f>
        <v/>
      </c>
      <c r="DF39" s="55">
        <f>IF(ROW()-3&gt;COUNTIF(DD$4:DD$40,"&lt;&gt;"&amp;""),"",INDEX(DD$4:DD$40,MATCH(ROW()-3,DE$4:DE$40,0)))</f>
        <v/>
      </c>
      <c r="DG39">
        <f>DG38+IF(AND(DF39&lt;&gt;"",COUNTIF(DF$4:DF39,DF39)=1),1,0)</f>
        <v/>
      </c>
      <c r="DH39" s="55">
        <f>IF(ROW()-3&gt;MAX(DG$4:DG$40),"",INDEX(DF$4:DF$40,MATCH(ROW()-3,DG$4:DG$40,0)))</f>
        <v/>
      </c>
      <c r="DI39" s="55">
        <f>IF(AND($B$39:$Q$39,$S$39:$AJ$39),IF('Final Calculation Sheet'!$P$39="","",'Final Calculation Sheet'!$P$39),"")</f>
        <v/>
      </c>
      <c r="DJ39">
        <f>IF(DI39="","",COUNTIFS(DI$4:DI$40,"&lt;"&amp;DI39,DI$4:DI$40,"&lt;&gt;"&amp;"")+COUNTIF(DI$4:DI39,DI39))</f>
        <v/>
      </c>
      <c r="DK39" s="55">
        <f>IF(ROW()-3&gt;COUNTIF(DI$4:DI$40,"&lt;&gt;"&amp;""),"",INDEX(DI$4:DI$40,MATCH(ROW()-3,DJ$4:DJ$40,0)))</f>
        <v/>
      </c>
      <c r="DL39">
        <f>DL38+IF(AND(DK39&lt;&gt;"",COUNTIF(DK$4:DK39,DK39)=1),1,0)</f>
        <v/>
      </c>
      <c r="DM39" s="55">
        <f>IF(ROW()-3&gt;MAX(DL$4:DL$40),"",INDEX(DK$4:DK$40,MATCH(ROW()-3,DL$4:DL$40,0)))</f>
        <v/>
      </c>
      <c r="DN39" s="139">
        <f>IF(AND($B$39:$R$39,$T$39:$AJ$39),IF('Final Calculation Sheet'!$Q$39="","",'Final Calculation Sheet'!$Q$39),"")</f>
        <v/>
      </c>
      <c r="DO39">
        <f>IF(DN39="","",COUNTIFS(DN$4:DN$40,"&lt;"&amp;DN39,DN$4:DN$40,"&lt;&gt;"&amp;"")+COUNTIF(DN$4:DN39,DN39))</f>
        <v/>
      </c>
      <c r="DP39" s="139">
        <f>IF(ROW()-3&gt;COUNTIF(DN$4:DN$40,"&lt;&gt;"&amp;""),"",INDEX(DN$4:DN$40,MATCH(ROW()-3,DO$4:DO$40,0)))</f>
        <v/>
      </c>
      <c r="DQ39">
        <f>DQ38+IF(AND(DP39&lt;&gt;"",COUNTIF(DP$4:DP39,DP39)=1),1,0)</f>
        <v/>
      </c>
      <c r="DR39" s="139">
        <f>IF(ROW()-3&gt;MAX(DQ$4:DQ$40),"",INDEX(DP$4:DP$40,MATCH(ROW()-3,DQ$4:DQ$40,0)))</f>
        <v/>
      </c>
      <c r="DS39" s="55">
        <f>IF(AND($B$39:$S$39,$U$39:$AJ$39),IF('Final Calculation Sheet'!$R$39="","",'Final Calculation Sheet'!$R$39),"")</f>
        <v/>
      </c>
      <c r="DT39">
        <f>IF(DS39="","",COUNTIFS(DS$4:DS$40,"&lt;"&amp;DS39,DS$4:DS$40,"&lt;&gt;"&amp;"")+COUNTIF(DS$4:DS39,DS39))</f>
        <v/>
      </c>
      <c r="DU39" s="55">
        <f>IF(ROW()-3&gt;COUNTIF(DS$4:DS$40,"&lt;&gt;"&amp;""),"",INDEX(DS$4:DS$40,MATCH(ROW()-3,DT$4:DT$40,0)))</f>
        <v/>
      </c>
      <c r="DV39">
        <f>DV38+IF(AND(DU39&lt;&gt;"",COUNTIF(DU$4:DU39,DU39)=1),1,0)</f>
        <v/>
      </c>
      <c r="DW39" s="55">
        <f>IF(ROW()-3&gt;MAX(DV$4:DV$40),"",INDEX(DU$4:DU$40,MATCH(ROW()-3,DV$4:DV$40,0)))</f>
        <v/>
      </c>
      <c r="DX39" s="55">
        <f>IF(AND($B$39:$T$39,$V$39:$AJ$39),IF('Final Calculation Sheet'!$S$39="","",'Final Calculation Sheet'!$S$39),"")</f>
        <v/>
      </c>
      <c r="DY39">
        <f>IF(DX39="","",COUNTIFS(DX$4:DX$40,"&lt;"&amp;DX39,DX$4:DX$40,"&lt;&gt;"&amp;"")+COUNTIF(DX$4:DX39,DX39))</f>
        <v/>
      </c>
      <c r="DZ39" s="55">
        <f>IF(ROW()-3&gt;COUNTIF(DX$4:DX$40,"&lt;&gt;"&amp;""),"",INDEX(DX$4:DX$40,MATCH(ROW()-3,DY$4:DY$40,0)))</f>
        <v/>
      </c>
      <c r="EA39">
        <f>EA38+IF(AND(DZ39&lt;&gt;"",COUNTIF(DZ$4:DZ39,DZ39)=1),1,0)</f>
        <v/>
      </c>
      <c r="EB39" s="55">
        <f>IF(ROW()-3&gt;MAX(EA$4:EA$40),"",INDEX(DZ$4:DZ$40,MATCH(ROW()-3,EA$4:EA$40,0)))</f>
        <v/>
      </c>
      <c r="EC39" s="55">
        <f>IF(AND($B$39:$U$39,$W$39:$AJ$39),IF('Final Calculation Sheet'!$T$39="","",'Final Calculation Sheet'!$T$39),"")</f>
        <v/>
      </c>
      <c r="ED39">
        <f>IF(EC39="","",COUNTIFS(EC$4:EC$40,"&lt;"&amp;EC39,EC$4:EC$40,"&lt;&gt;"&amp;"")+COUNTIF(EC$4:EC39,EC39))</f>
        <v/>
      </c>
      <c r="EE39" s="55">
        <f>IF(ROW()-3&gt;COUNTIF(EC$4:EC$40,"&lt;&gt;"&amp;""),"",INDEX(EC$4:EC$40,MATCH(ROW()-3,ED$4:ED$40,0)))</f>
        <v/>
      </c>
      <c r="EF39">
        <f>EF38+IF(AND(EE39&lt;&gt;"",COUNTIF(EE$4:EE39,EE39)=1),1,0)</f>
        <v/>
      </c>
      <c r="EG39" s="55">
        <f>IF(ROW()-3&gt;MAX(EF$4:EF$40),"",INDEX(EE$4:EE$40,MATCH(ROW()-3,EF$4:EF$40,0)))</f>
        <v/>
      </c>
      <c r="EH39" s="140">
        <f>IF(AND($B$39:$V$39,$X$39:$AJ$39),IF('Final Calculation Sheet'!$U$39="","",'Final Calculation Sheet'!$U$39),"")</f>
        <v/>
      </c>
      <c r="EI39">
        <f>IF(EH39="","",COUNTIFS(EH$4:EH$40,"&lt;"&amp;EH39,EH$4:EH$40,"&lt;&gt;"&amp;"")+COUNTIF(EH$4:EH39,EH39))</f>
        <v/>
      </c>
      <c r="EJ39" s="140">
        <f>IF(ROW()-3&gt;COUNTIF(EH$4:EH$40,"&lt;&gt;"&amp;""),"",INDEX(EH$4:EH$40,MATCH(ROW()-3,EI$4:EI$40,0)))</f>
        <v/>
      </c>
      <c r="EK39">
        <f>EK38+IF(AND(EJ39&lt;&gt;"",COUNTIF(EJ$4:EJ39,EJ39)=1),1,0)</f>
        <v/>
      </c>
      <c r="EL39" s="140">
        <f>IF(ROW()-3&gt;MAX(EK$4:EK$40),"",INDEX(EJ$4:EJ$40,MATCH(ROW()-3,EK$4:EK$40,0)))</f>
        <v/>
      </c>
      <c r="EM39">
        <f>IF(AND($B$39:$W$39,$Y$39:$AJ$39),IF('Final Calculation Sheet'!$V$39="","",'Final Calculation Sheet'!$V$39),"")</f>
        <v/>
      </c>
      <c r="EN39">
        <f>IF(EM39="","",COUNTIFS(EM$4:EM$40,"&lt;"&amp;EM39,EM$4:EM$40,"&lt;&gt;"&amp;"")+COUNTIF(EM$4:EM39,EM39))</f>
        <v/>
      </c>
      <c r="EO39">
        <f>IF(ROW()-3&gt;COUNTIF(EM$4:EM$40,"&lt;&gt;"&amp;""),"",INDEX(EM$4:EM$40,MATCH(ROW()-3,EN$4:EN$40,0)))</f>
        <v/>
      </c>
      <c r="EP39">
        <f>EP38+IF(AND(EO39&lt;&gt;"",COUNTIF(EO$4:EO39,EO39)=1),1,0)</f>
        <v/>
      </c>
      <c r="EQ39">
        <f>IF(ROW()-3&gt;MAX(EP$4:EP$40),"",INDEX(EO$4:EO$40,MATCH(ROW()-3,EP$4:EP$40,0)))</f>
        <v/>
      </c>
      <c r="ER39" s="55">
        <f>IF(AND($B$39:$X$39,$Z$39:$AJ$39),IF('Final Calculation Sheet'!$W$39="","",'Final Calculation Sheet'!$W$39),"")</f>
        <v/>
      </c>
      <c r="ES39">
        <f>IF(ER39="","",COUNTIFS(ER$4:ER$40,"&lt;"&amp;ER39,ER$4:ER$40,"&lt;&gt;"&amp;"")+COUNTIF(ER$4:ER39,ER39))</f>
        <v/>
      </c>
      <c r="ET39" s="55">
        <f>IF(ROW()-3&gt;COUNTIF(ER$4:ER$40,"&lt;&gt;"&amp;""),"",INDEX(ER$4:ER$40,MATCH(ROW()-3,ES$4:ES$40,0)))</f>
        <v/>
      </c>
      <c r="EU39">
        <f>EU38+IF(AND(ET39&lt;&gt;"",COUNTIF(ET$4:ET39,ET39)=1),1,0)</f>
        <v/>
      </c>
      <c r="EV39" s="55">
        <f>IF(ROW()-3&gt;MAX(EU$4:EU$40),"",INDEX(ET$4:ET$40,MATCH(ROW()-3,EU$4:EU$40,0)))</f>
        <v/>
      </c>
      <c r="EW39" s="55">
        <f>IF(AND($B$39:$Y$39,$AA$39:$AJ$39),IF('Final Calculation Sheet'!$X$39="","",'Final Calculation Sheet'!$X$39),"")</f>
        <v/>
      </c>
      <c r="EX39">
        <f>IF(EW39="","",COUNTIFS(EW$4:EW$40,"&lt;"&amp;EW39,EW$4:EW$40,"&lt;&gt;"&amp;"")+COUNTIF(EW$4:EW39,EW39))</f>
        <v/>
      </c>
      <c r="EY39" s="55">
        <f>IF(ROW()-3&gt;COUNTIF(EW$4:EW$40,"&lt;&gt;"&amp;""),"",INDEX(EW$4:EW$40,MATCH(ROW()-3,EX$4:EX$40,0)))</f>
        <v/>
      </c>
      <c r="EZ39">
        <f>EZ38+IF(AND(EY39&lt;&gt;"",COUNTIF(EY$4:EY39,EY39)=1),1,0)</f>
        <v/>
      </c>
      <c r="FA39">
        <f>IF(ROW()-3&gt;MAX(EZ$4:EZ$40),"",INDEX(EY$4:EY$40,MATCH(ROW()-3,EZ$4:EZ$40,0)))</f>
        <v/>
      </c>
      <c r="FB39">
        <f>IF(AND($B$39:$Z$39,$AB$39:$AJ$39),IF('Final Calculation Sheet'!$Y$39="","",'Final Calculation Sheet'!$Y$39),"")</f>
        <v/>
      </c>
      <c r="FC39">
        <f>IF(FB39="","",COUNTIFS(FB$4:FB$40,"&lt;"&amp;FB39,FB$4:FB$40,"&lt;&gt;"&amp;"")+COUNTIF(FB$4:FB39,FB39))</f>
        <v/>
      </c>
      <c r="FD39">
        <f>IF(ROW()-3&gt;COUNTIF(FB$4:FB$40,"&lt;&gt;"&amp;""),"",INDEX(FB$4:FB$40,MATCH(ROW()-3,FC$4:FC$40,0)))</f>
        <v/>
      </c>
      <c r="FE39">
        <f>FE38+IF(AND(FD39&lt;&gt;"",COUNTIF(FD$4:FD39,FD39)=1),1,0)</f>
        <v/>
      </c>
      <c r="FF39">
        <f>IF(ROW()-3&gt;MAX(FE$4:FE$40),"",INDEX(FD$4:FD$40,MATCH(ROW()-3,FE$4:FE$40,0)))</f>
        <v/>
      </c>
      <c r="FG39" s="55">
        <f>IF(AND($B$39:$AA$39,$AC$39:$AJ$39),IF('Final Calculation Sheet'!$Z$39="","",'Final Calculation Sheet'!$Z$39),"")</f>
        <v/>
      </c>
      <c r="FH39">
        <f>IF(FG39="","",COUNTIFS(FG$4:FG$40,"&lt;"&amp;FG39,FG$4:FG$40,"&lt;&gt;"&amp;"")+COUNTIF(FG$4:FG39,FG39))</f>
        <v/>
      </c>
      <c r="FI39" s="55">
        <f>IF(ROW()-3&gt;COUNTIF(FG$4:FG$40,"&lt;&gt;"&amp;""),"",INDEX(FG$4:FG$40,MATCH(ROW()-3,FH$4:FH$40,0)))</f>
        <v/>
      </c>
      <c r="FJ39">
        <f>FJ38+IF(AND(FI39&lt;&gt;"",COUNTIF(FI$4:FI39,FI39)=1),1,0)</f>
        <v/>
      </c>
      <c r="FK39" s="55">
        <f>IF(ROW()-3&gt;MAX(FJ$4:FJ$40),"",INDEX(FI$4:FI$40,MATCH(ROW()-3,FJ$4:FJ$40,0)))</f>
        <v/>
      </c>
      <c r="FL39">
        <f>IF(AND($B$39:$AB$39,$AD$39:$AJ$39),IF('Final Calculation Sheet'!$AA$39="","",'Final Calculation Sheet'!$AA$39),"")</f>
        <v/>
      </c>
      <c r="FM39">
        <f>IF(FL39="","",COUNTIFS(FL$4:FL$40,"&lt;"&amp;FL39,FL$4:FL$40,"&lt;&gt;"&amp;"")+COUNTIF(FL$4:FL39,FL39))</f>
        <v/>
      </c>
      <c r="FN39">
        <f>IF(ROW()-3&gt;COUNTIF(FL$4:FL$40,"&lt;&gt;"&amp;""),"",INDEX(FL$4:FL$40,MATCH(ROW()-3,FM$4:FM$40,0)))</f>
        <v/>
      </c>
      <c r="FO39">
        <f>FO38+IF(AND(FN39&lt;&gt;"",COUNTIF(FN$4:FN39,FN39)=1),1,0)</f>
        <v/>
      </c>
      <c r="FP39">
        <f>IF(ROW()-3&gt;MAX(FO$4:FO$40),"",INDEX(FN$4:FN$40,MATCH(ROW()-3,FO$4:FO$40,0)))</f>
        <v/>
      </c>
      <c r="FQ39">
        <f>IF(AND($B$39:$AC$39,$AE$39:$AJ$39),IF('Final Calculation Sheet'!$AB$39="","",'Final Calculation Sheet'!$AB$39),"")</f>
        <v/>
      </c>
      <c r="FR39">
        <f>IF(FQ39="","",COUNTIFS(FQ$4:FQ$40,"&lt;"&amp;FQ39,FQ$4:FQ$40,"&lt;&gt;"&amp;"")+COUNTIF(FQ$4:FQ39,FQ39))</f>
        <v/>
      </c>
      <c r="FS39">
        <f>IF(ROW()-3&gt;COUNTIF(FQ$4:FQ$40,"&lt;&gt;"&amp;""),"",INDEX(FQ$4:FQ$40,MATCH(ROW()-3,FR$4:FR$40,0)))</f>
        <v/>
      </c>
      <c r="FT39">
        <f>FT38+IF(AND(FS39&lt;&gt;"",COUNTIF(FS$4:FS39,FS39)=1),1,0)</f>
        <v/>
      </c>
      <c r="FU39">
        <f>IF(ROW()-3&gt;MAX(FT$4:FT$40),"",INDEX(FS$4:FS$40,MATCH(ROW()-3,FT$4:FT$40,0)))</f>
        <v/>
      </c>
      <c r="FV39" s="55">
        <f>IF(AND($B$39:$AD$39,$AF$39:$AJ$39),IF('Final Calculation Sheet'!$AC$39="","",'Final Calculation Sheet'!$AC$39),"")</f>
        <v/>
      </c>
      <c r="FW39">
        <f>IF(FV39="","",COUNTIFS(FV$4:FV$40,"&lt;"&amp;FV39,FV$4:FV$40,"&lt;&gt;"&amp;"")+COUNTIF(FV$4:FV39,FV39))</f>
        <v/>
      </c>
      <c r="FX39" s="55">
        <f>IF(ROW()-3&gt;COUNTIF(FV$4:FV$40,"&lt;&gt;"&amp;""),"",INDEX(FV$4:FV$40,MATCH(ROW()-3,FW$4:FW$40,0)))</f>
        <v/>
      </c>
      <c r="FY39">
        <f>FY38+IF(AND(FX39&lt;&gt;"",COUNTIF(FX$4:FX39,FX39)=1),1,0)</f>
        <v/>
      </c>
      <c r="FZ39" s="55">
        <f>IF(ROW()-3&gt;MAX(FY$4:FY$40),"",INDEX(FX$4:FX$40,MATCH(ROW()-3,FY$4:FY$40,0)))</f>
        <v/>
      </c>
      <c r="GA39" s="55">
        <f>IF(AND($B$39:$AE$39,$AG$39:$AJ$39),IF('Final Calculation Sheet'!$AD$39="","",'Final Calculation Sheet'!$AD$39),"")</f>
        <v/>
      </c>
      <c r="GB39">
        <f>IF(GA39="","",COUNTIFS(GA$4:GA$40,"&lt;"&amp;GA39,GA$4:GA$40,"&lt;&gt;"&amp;"")+COUNTIF(GA$4:GA39,GA39))</f>
        <v/>
      </c>
      <c r="GC39" s="55">
        <f>IF(ROW()-3&gt;COUNTIF(GA$4:GA$40,"&lt;&gt;"&amp;""),"",INDEX(GA$4:GA$40,MATCH(ROW()-3,GB$4:GB$40,0)))</f>
        <v/>
      </c>
      <c r="GD39">
        <f>GD38+IF(AND(GC39&lt;&gt;"",COUNTIF(GC$4:GC39,GC39)=1),1,0)</f>
        <v/>
      </c>
      <c r="GE39" s="55">
        <f>IF(ROW()-3&gt;MAX(GD$4:GD$40),"",INDEX(GC$4:GC$40,MATCH(ROW()-3,GD$4:GD$40,0)))</f>
        <v/>
      </c>
      <c r="GF39">
        <f>IF(AND($B$39:$AF$39,$AH$39:$AJ$39),IF('Final Calculation Sheet'!$AE$39="","",'Final Calculation Sheet'!$AE$39),"")</f>
        <v/>
      </c>
      <c r="GG39">
        <f>IF(GF39="","",COUNTIFS(GF$4:GF$40,"&lt;"&amp;GF39,GF$4:GF$40,"&lt;&gt;"&amp;"")+COUNTIF(GF$4:GF39,GF39))</f>
        <v/>
      </c>
      <c r="GH39">
        <f>IF(ROW()-3&gt;COUNTIF(GF$4:GF$40,"&lt;&gt;"&amp;""),"",INDEX(GF$4:GF$40,MATCH(ROW()-3,GG$4:GG$40,0)))</f>
        <v/>
      </c>
      <c r="GI39">
        <f>GI38+IF(AND(GH39&lt;&gt;"",COUNTIF(GH$4:GH39,GH39)=1),1,0)</f>
        <v/>
      </c>
      <c r="GJ39">
        <f>IF(ROW()-3&gt;MAX(GI$4:GI$40),"",INDEX(GH$4:GH$40,MATCH(ROW()-3,GI$4:GI$40,0)))</f>
        <v/>
      </c>
      <c r="GK39" s="141">
        <f>IF(AND($B$39:$AG$39,$AI$39:$AJ$39),IF('Final Calculation Sheet'!$AF$39="","",'Final Calculation Sheet'!$AF$39),"")</f>
        <v/>
      </c>
      <c r="GL39">
        <f>IF(GK39="","",COUNTIFS(GK$4:GK$40,"&lt;"&amp;GK39,GK$4:GK$40,"&lt;&gt;"&amp;"")+COUNTIF(GK$4:GK39,GK39))</f>
        <v/>
      </c>
      <c r="GM39" s="141">
        <f>IF(ROW()-3&gt;COUNTIF(GK$4:GK$40,"&lt;&gt;"&amp;""),"",INDEX(GK$4:GK$40,MATCH(ROW()-3,GL$4:GL$40,0)))</f>
        <v/>
      </c>
      <c r="GN39">
        <f>GN38+IF(AND(GM39&lt;&gt;"",COUNTIF(GM$4:GM39,GM39)=1),1,0)</f>
        <v/>
      </c>
      <c r="GO39">
        <f>IF(ROW()-3&gt;MAX(GN$4:GN$40),"",INDEX(GM$4:GM$40,MATCH(ROW()-3,GN$4:GN$40,0)))</f>
        <v/>
      </c>
      <c r="GP39">
        <f>IF(AND($B$39:$AH$39,$AJ$39:$AJ$39),IF('Final Calculation Sheet'!$AG$39="","",'Final Calculation Sheet'!$AG$39),"")</f>
        <v/>
      </c>
      <c r="GQ39">
        <f>IF(GP39="","",COUNTIFS(GP$4:GP$40,"&lt;"&amp;GP39,GP$4:GP$40,"&lt;&gt;"&amp;"")+COUNTIF(GP$4:GP39,GP39))</f>
        <v/>
      </c>
      <c r="GR39">
        <f>IF(ROW()-3&gt;COUNTIF(GP$4:GP$40,"&lt;&gt;"&amp;""),"",INDEX(GP$4:GP$40,MATCH(ROW()-3,GQ$4:GQ$40,0)))</f>
        <v/>
      </c>
      <c r="GS39">
        <f>GS38+IF(AND(GR39&lt;&gt;"",COUNTIF(GR$4:GR39,GR39)=1),1,0)</f>
        <v/>
      </c>
      <c r="GT39">
        <f>IF(ROW()-3&gt;MAX(GS$4:GS$40),"",INDEX(GR$4:GR$40,MATCH(ROW()-3,GS$4:GS$40,0)))</f>
        <v/>
      </c>
    </row>
    <row r="40">
      <c r="A40" t="inlineStr">
        <is>
          <t>Final row 40</t>
        </is>
      </c>
      <c r="B40" t="b">
        <v>1</v>
      </c>
      <c r="C40">
        <f>IF($C$3=FALSE,TRUE,IF(OR(UPPER(TRIM($C$2))="(BLANK)",UPPER(TRIM($C$2))="BLANK",AND($C$2&lt;&gt;"",TRIM($C$2)="")),(IF('Final Calculation Sheet'!$F$40="","",'Final Calculation Sheet'!$F$40))="",IF(OR(UPPER(TRIM($C$2))="(NONBLANK)",UPPER(TRIM($C$2))="NONBLANK",TRIM($C$2)="&lt;&gt;"),(IF('Final Calculation Sheet'!$F$40="","",'Final Calculation Sheet'!$F$40))&lt;&gt;"",UPPER(TRIM((IF('Final Calculation Sheet'!$F$40="","",'Final Calculation Sheet'!$F$40))&amp;""))=UPPER(TRIM($C$2&amp;"")))))</f>
        <v/>
      </c>
      <c r="D40">
        <f>IF($D$3=FALSE,TRUE,IF(OR(UPPER(TRIM($D$2))="(BLANK)",UPPER(TRIM($D$2))="BLANK",AND($D$2&lt;&gt;"",TRIM($D$2)="")),(IF('Final Calculation Sheet'!$G$40="","",'Final Calculation Sheet'!$G$40))="",IF(OR(UPPER(TRIM($D$2))="(NONBLANK)",UPPER(TRIM($D$2))="NONBLANK",TRIM($D$2)="&lt;&gt;"),(IF('Final Calculation Sheet'!$G$40="","",'Final Calculation Sheet'!$G$40))&lt;&gt;"",UPPER(TRIM((IF('Final Calculation Sheet'!$G$40="","",'Final Calculation Sheet'!$G$40))&amp;""))=UPPER(TRIM($D$2&amp;"")))))</f>
        <v/>
      </c>
      <c r="E40">
        <f>IF($E$3=FALSE,TRUE,IF(OR(UPPER(TRIM($E$2))="(BLANK)",UPPER(TRIM($E$2))="BLANK",AND($E$2&lt;&gt;"",TRIM($E$2)="")),(IF('Final Calculation Sheet'!$B$40="","",'Final Calculation Sheet'!$B$40))="",IF(OR(UPPER(TRIM($E$2))="(NONBLANK)",UPPER(TRIM($E$2))="NONBLANK",TRIM($E$2)="&lt;&gt;"),(IF('Final Calculation Sheet'!$B$40="","",'Final Calculation Sheet'!$B$40))&lt;&gt;"",UPPER(TRIM((IF('Final Calculation Sheet'!$B$40="","",'Final Calculation Sheet'!$B$40))&amp;""))=UPPER(TRIM($E$2&amp;"")))))</f>
        <v/>
      </c>
      <c r="F40">
        <f>IF($F$3=FALSE,TRUE,IF(OR(UPPER(TRIM($F$2))="(BLANK)",UPPER(TRIM($F$2))="BLANK",AND($F$2&lt;&gt;"",TRIM($F$2)="")),(IF('Final Calculation Sheet'!$D$40="","",'Final Calculation Sheet'!$D$40))="",IF(OR(UPPER(TRIM($F$2))="(NONBLANK)",UPPER(TRIM($F$2))="NONBLANK",TRIM($F$2)="&lt;&gt;"),(IF('Final Calculation Sheet'!$D$40="","",'Final Calculation Sheet'!$D$40))&lt;&gt;"",UPPER(TRIM((IF('Final Calculation Sheet'!$D$40="","",'Final Calculation Sheet'!$D$40))&amp;""))=UPPER(TRIM($F$2&amp;"")))))</f>
        <v/>
      </c>
      <c r="G40">
        <f>IF($G$3=FALSE,TRUE,IF(OR(UPPER(TRIM($G$2))="(BLANK)",UPPER(TRIM($G$2))="BLANK",AND($G$2&lt;&gt;"",TRIM($G$2)="")),(IF('Final Calculation Sheet'!$A$40="","",'Final Calculation Sheet'!$A$40))="",IF(OR(UPPER(TRIM($G$2))="(NONBLANK)",UPPER(TRIM($G$2))="NONBLANK",TRIM($G$2)="&lt;&gt;"),(IF('Final Calculation Sheet'!$A$40="","",'Final Calculation Sheet'!$A$40))&lt;&gt;"",UPPER(TRIM((IF('Final Calculation Sheet'!$A$40="","",'Final Calculation Sheet'!$A$40))&amp;""))=UPPER(TRIM($G$2&amp;"")))))</f>
        <v/>
      </c>
      <c r="H40">
        <f>IF($H$3=FALSE,TRUE,IF(OR(UPPER(TRIM($H$2))="(BLANK)",UPPER(TRIM($H$2))="BLANK",AND($H$2&lt;&gt;"",TRIM($H$2)="")),(IF('Final Calculation Sheet'!$E$40="","",'Final Calculation Sheet'!$E$40))="",IF(OR(UPPER(TRIM($H$2))="(NONBLANK)",UPPER(TRIM($H$2))="NONBLANK",TRIM($H$2)="&lt;&gt;"),(IF('Final Calculation Sheet'!$E$40="","",'Final Calculation Sheet'!$E$40))&lt;&gt;"",UPPER(TRIM((IF('Final Calculation Sheet'!$E$40="","",'Final Calculation Sheet'!$E$40))&amp;""))=UPPER(TRIM($H$2&amp;"")))))</f>
        <v/>
      </c>
      <c r="I40">
        <f>IF($I$3=FALSE,TRUE,IF(OR(UPPER(TRIM($I$2))="(BLANK)",UPPER(TRIM($I$2))="BLANK",AND($I$2&lt;&gt;"",TRIM($I$2)="")),(IF('Final Calculation Sheet'!$C$40="","",'Final Calculation Sheet'!$C$40))="",IF(OR(UPPER(TRIM($I$2))="(NONBLANK)",UPPER(TRIM($I$2))="NONBLANK",TRIM($I$2)="&lt;&gt;"),(IF('Final Calculation Sheet'!$C$40="","",'Final Calculation Sheet'!$C$40))&lt;&gt;"",UPPER(TRIM((IF('Final Calculation Sheet'!$C$40="","",'Final Calculation Sheet'!$C$40))&amp;""))=UPPER(TRIM($I$2&amp;"")))))</f>
        <v/>
      </c>
      <c r="J40">
        <f>IF($J$3=FALSE,TRUE,IF(OR(UPPER(TRIM($J$2))="(BLANK)",UPPER(TRIM($J$2))="BLANK",AND($J$2&lt;&gt;"",TRIM($J$2)="")),(IF('Final Calculation Sheet'!$H$40="","",'Final Calculation Sheet'!$H$40))="",IF(OR(UPPER(TRIM($J$2))="(NONBLANK)",UPPER(TRIM($J$2))="NONBLANK",TRIM($J$2)="&lt;&gt;"),(IF('Final Calculation Sheet'!$H$40="","",'Final Calculation Sheet'!$H$40))&lt;&gt;"",UPPER(TRIM((IF('Final Calculation Sheet'!$H$40="","",'Final Calculation Sheet'!$H$40))&amp;""))=UPPER(TRIM($J$2&amp;"")))))</f>
        <v/>
      </c>
      <c r="K40">
        <f>IF($K$3=FALSE,TRUE,IF(OR(UPPER(TRIM($K$2))="(BLANK)",UPPER(TRIM($K$2))="BLANK",AND($K$2&lt;&gt;"",TRIM($K$2)="")),(IF('Final Calculation Sheet'!$I$40="","",'Final Calculation Sheet'!$I$40))="",IF(OR(UPPER(TRIM($K$2))="(NONBLANK)",UPPER(TRIM($K$2))="NONBLANK",TRIM($K$2)="&lt;&gt;"),(IF('Final Calculation Sheet'!$I$40="","",'Final Calculation Sheet'!$I$40))&lt;&gt;"",UPPER(TRIM((IF('Final Calculation Sheet'!$I$40="","",'Final Calculation Sheet'!$I$40))&amp;""))=UPPER(TRIM($K$2&amp;"")))))</f>
        <v/>
      </c>
      <c r="L40">
        <f>IF($L$3=FALSE,TRUE,IF(OR(UPPER(TRIM($L$2))="(BLANK)",UPPER(TRIM($L$2))="BLANK",AND($L$2&lt;&gt;"",TRIM($L$2)="")),(IF('Final Calculation Sheet'!$J$40="","",'Final Calculation Sheet'!$J$40))="",IF(OR(UPPER(TRIM($L$2))="(NONBLANK)",UPPER(TRIM($L$2))="NONBLANK",TRIM($L$2)="&lt;&gt;"),(IF('Final Calculation Sheet'!$J$40="","",'Final Calculation Sheet'!$J$40))&lt;&gt;"",UPPER(TRIM((IF('Final Calculation Sheet'!$J$40="","",'Final Calculation Sheet'!$J$40))&amp;""))=UPPER(TRIM($L$2&amp;"")))))</f>
        <v/>
      </c>
      <c r="M40">
        <f>IF($M$3=FALSE,TRUE,IF(OR(UPPER(TRIM($M$2))="(BLANK)",UPPER(TRIM($M$2))="BLANK",AND($M$2&lt;&gt;"",TRIM($M$2)="")),(IF('Final Calculation Sheet'!$K$40="","",'Final Calculation Sheet'!$K$40))="",IF(OR(UPPER(TRIM($M$2))="(NONBLANK)",UPPER(TRIM($M$2))="NONBLANK",TRIM($M$2)="&lt;&gt;"),(IF('Final Calculation Sheet'!$K$40="","",'Final Calculation Sheet'!$K$40))&lt;&gt;"",UPPER(TRIM((IF('Final Calculation Sheet'!$K$40="","",'Final Calculation Sheet'!$K$40))&amp;""))=UPPER(TRIM($M$2&amp;"")))))</f>
        <v/>
      </c>
      <c r="N40">
        <f>IF($N$3=FALSE,TRUE,IF(OR(UPPER(TRIM($N$2))="(BLANK)",UPPER(TRIM($N$2))="BLANK",AND($N$2&lt;&gt;"",TRIM($N$2)="")),(IF('Final Calculation Sheet'!$L$40="","",'Final Calculation Sheet'!$L$40))="",IF(OR(UPPER(TRIM($N$2))="(NONBLANK)",UPPER(TRIM($N$2))="NONBLANK",TRIM($N$2)="&lt;&gt;"),(IF('Final Calculation Sheet'!$L$40="","",'Final Calculation Sheet'!$L$40))&lt;&gt;"",UPPER(TRIM((IF('Final Calculation Sheet'!$L$40="","",'Final Calculation Sheet'!$L$40))&amp;""))=UPPER(TRIM($N$2&amp;"")))))</f>
        <v/>
      </c>
      <c r="O40">
        <f>IF($O$3=FALSE,TRUE,IF(OR(UPPER(TRIM($O$2))="(BLANK)",UPPER(TRIM($O$2))="BLANK",AND($O$2&lt;&gt;"",TRIM($O$2)="")),(IF('Final Calculation Sheet'!$M$40="","",'Final Calculation Sheet'!$M$40))="",IF(OR(UPPER(TRIM($O$2))="(NONBLANK)",UPPER(TRIM($O$2))="NONBLANK",TRIM($O$2)="&lt;&gt;"),(IF('Final Calculation Sheet'!$M$40="","",'Final Calculation Sheet'!$M$40))&lt;&gt;"",UPPER(TRIM((IF('Final Calculation Sheet'!$M$40="","",'Final Calculation Sheet'!$M$40))&amp;""))=UPPER(TRIM($O$2&amp;"")))))</f>
        <v/>
      </c>
      <c r="P40">
        <f>IF($P$3=FALSE,TRUE,IF(OR(UPPER(TRIM($P$2))="(BLANK)",UPPER(TRIM($P$2))="BLANK",AND($P$2&lt;&gt;"",TRIM($P$2)="")),(IF('Final Calculation Sheet'!$N$40="","",'Final Calculation Sheet'!$N$40))="",IF(OR(UPPER(TRIM($P$2))="(NONBLANK)",UPPER(TRIM($P$2))="NONBLANK",TRIM($P$2)="&lt;&gt;"),(IF('Final Calculation Sheet'!$N$40="","",'Final Calculation Sheet'!$N$40))&lt;&gt;"",UPPER(TRIM((IF('Final Calculation Sheet'!$N$40="","",'Final Calculation Sheet'!$N$40))&amp;""))=UPPER(TRIM($P$2&amp;"")))))</f>
        <v/>
      </c>
      <c r="Q40">
        <f>IF($Q$3=FALSE,TRUE,IF(OR(UPPER(TRIM($Q$2))="(BLANK)",UPPER(TRIM($Q$2))="BLANK",AND($Q$2&lt;&gt;"",TRIM($Q$2)="")),(IF('Final Calculation Sheet'!$O$40="","",'Final Calculation Sheet'!$O$40))="",IF(OR(UPPER(TRIM($Q$2))="(NONBLANK)",UPPER(TRIM($Q$2))="NONBLANK",TRIM($Q$2)="&lt;&gt;"),(IF('Final Calculation Sheet'!$O$40="","",'Final Calculation Sheet'!$O$40))&lt;&gt;"",UPPER(TRIM((IF('Final Calculation Sheet'!$O$40="","",'Final Calculation Sheet'!$O$40))&amp;""))=UPPER(TRIM($Q$2&amp;"")))))</f>
        <v/>
      </c>
      <c r="R40">
        <f>IF($R$3=FALSE,TRUE,IF(OR(UPPER(TRIM($R$2))="(BLANK)",UPPER(TRIM($R$2))="BLANK",AND($R$2&lt;&gt;"",TRIM($R$2)="")),(IF('Final Calculation Sheet'!$P$40="","",'Final Calculation Sheet'!$P$40))="",IF(OR(UPPER(TRIM($R$2))="(NONBLANK)",UPPER(TRIM($R$2))="NONBLANK",TRIM($R$2)="&lt;&gt;"),(IF('Final Calculation Sheet'!$P$40="","",'Final Calculation Sheet'!$P$40))&lt;&gt;"",UPPER(TRIM((IF('Final Calculation Sheet'!$P$40="","",'Final Calculation Sheet'!$P$40))&amp;""))=UPPER(TRIM($R$2&amp;"")))))</f>
        <v/>
      </c>
      <c r="S40">
        <f>IF($S$3=FALSE,TRUE,IF(OR(UPPER(TRIM($S$2))="(BLANK)",UPPER(TRIM($S$2))="BLANK",AND($S$2&lt;&gt;"",TRIM($S$2)="")),(IF('Final Calculation Sheet'!$Q$40="","",'Final Calculation Sheet'!$Q$40))="",IF(OR(UPPER(TRIM($S$2))="(NONBLANK)",UPPER(TRIM($S$2))="NONBLANK",TRIM($S$2)="&lt;&gt;"),(IF('Final Calculation Sheet'!$Q$40="","",'Final Calculation Sheet'!$Q$40))&lt;&gt;"",UPPER(TRIM((IF('Final Calculation Sheet'!$Q$40="","",'Final Calculation Sheet'!$Q$40))&amp;""))=UPPER(TRIM($S$2&amp;"")))))</f>
        <v/>
      </c>
      <c r="T40">
        <f>IF($T$3=FALSE,TRUE,IF(OR(UPPER(TRIM($T$2))="(BLANK)",UPPER(TRIM($T$2))="BLANK",AND($T$2&lt;&gt;"",TRIM($T$2)="")),(IF('Final Calculation Sheet'!$R$40="","",'Final Calculation Sheet'!$R$40))="",IF(OR(UPPER(TRIM($T$2))="(NONBLANK)",UPPER(TRIM($T$2))="NONBLANK",TRIM($T$2)="&lt;&gt;"),(IF('Final Calculation Sheet'!$R$40="","",'Final Calculation Sheet'!$R$40))&lt;&gt;"",UPPER(TRIM((IF('Final Calculation Sheet'!$R$40="","",'Final Calculation Sheet'!$R$40))&amp;""))=UPPER(TRIM($T$2&amp;"")))))</f>
        <v/>
      </c>
      <c r="U40">
        <f>IF($U$3=FALSE,TRUE,IF(OR(UPPER(TRIM($U$2))="(BLANK)",UPPER(TRIM($U$2))="BLANK",AND($U$2&lt;&gt;"",TRIM($U$2)="")),(IF('Final Calculation Sheet'!$S$40="","",'Final Calculation Sheet'!$S$40))="",IF(OR(UPPER(TRIM($U$2))="(NONBLANK)",UPPER(TRIM($U$2))="NONBLANK",TRIM($U$2)="&lt;&gt;"),(IF('Final Calculation Sheet'!$S$40="","",'Final Calculation Sheet'!$S$40))&lt;&gt;"",UPPER(TRIM((IF('Final Calculation Sheet'!$S$40="","",'Final Calculation Sheet'!$S$40))&amp;""))=UPPER(TRIM($U$2&amp;"")))))</f>
        <v/>
      </c>
      <c r="V40">
        <f>IF($V$3=FALSE,TRUE,IF(OR(UPPER(TRIM($V$2))="(BLANK)",UPPER(TRIM($V$2))="BLANK",AND($V$2&lt;&gt;"",TRIM($V$2)="")),(IF('Final Calculation Sheet'!$T$40="","",'Final Calculation Sheet'!$T$40))="",IF(OR(UPPER(TRIM($V$2))="(NONBLANK)",UPPER(TRIM($V$2))="NONBLANK",TRIM($V$2)="&lt;&gt;"),(IF('Final Calculation Sheet'!$T$40="","",'Final Calculation Sheet'!$T$40))&lt;&gt;"",UPPER(TRIM((IF('Final Calculation Sheet'!$T$40="","",'Final Calculation Sheet'!$T$40))&amp;""))=UPPER(TRIM($V$2&amp;"")))))</f>
        <v/>
      </c>
      <c r="W40">
        <f>IF($W$3=FALSE,TRUE,IF(OR(UPPER(TRIM($W$2))="(BLANK)",UPPER(TRIM($W$2))="BLANK",AND($W$2&lt;&gt;"",TRIM($W$2)="")),(IF('Final Calculation Sheet'!$U$40="","",'Final Calculation Sheet'!$U$40))="",IF(OR(UPPER(TRIM($W$2))="(NONBLANK)",UPPER(TRIM($W$2))="NONBLANK",TRIM($W$2)="&lt;&gt;"),(IF('Final Calculation Sheet'!$U$40="","",'Final Calculation Sheet'!$U$40))&lt;&gt;"",UPPER(TRIM((IF('Final Calculation Sheet'!$U$40="","",'Final Calculation Sheet'!$U$40))&amp;""))=UPPER(TRIM($W$2&amp;"")))))</f>
        <v/>
      </c>
      <c r="X40">
        <f>IF($X$3=FALSE,TRUE,IF(OR(UPPER(TRIM($X$2))="(BLANK)",UPPER(TRIM($X$2))="BLANK",AND($X$2&lt;&gt;"",TRIM($X$2)="")),(IF('Final Calculation Sheet'!$V$40="","",'Final Calculation Sheet'!$V$40))="",IF(OR(UPPER(TRIM($X$2))="(NONBLANK)",UPPER(TRIM($X$2))="NONBLANK",TRIM($X$2)="&lt;&gt;"),(IF('Final Calculation Sheet'!$V$40="","",'Final Calculation Sheet'!$V$40))&lt;&gt;"",UPPER(TRIM((IF('Final Calculation Sheet'!$V$40="","",'Final Calculation Sheet'!$V$40))&amp;""))=UPPER(TRIM($X$2&amp;"")))))</f>
        <v/>
      </c>
      <c r="Y40">
        <f>IF($Y$3=FALSE,TRUE,IF(OR(UPPER(TRIM($Y$2))="(BLANK)",UPPER(TRIM($Y$2))="BLANK",AND($Y$2&lt;&gt;"",TRIM($Y$2)="")),(IF('Final Calculation Sheet'!$W$40="","",'Final Calculation Sheet'!$W$40))="",IF(OR(UPPER(TRIM($Y$2))="(NONBLANK)",UPPER(TRIM($Y$2))="NONBLANK",TRIM($Y$2)="&lt;&gt;"),(IF('Final Calculation Sheet'!$W$40="","",'Final Calculation Sheet'!$W$40))&lt;&gt;"",UPPER(TRIM((IF('Final Calculation Sheet'!$W$40="","",'Final Calculation Sheet'!$W$40))&amp;""))=UPPER(TRIM($Y$2&amp;"")))))</f>
        <v/>
      </c>
      <c r="Z40">
        <f>IF($Z$3=FALSE,TRUE,IF(OR(UPPER(TRIM($Z$2))="(BLANK)",UPPER(TRIM($Z$2))="BLANK",AND($Z$2&lt;&gt;"",TRIM($Z$2)="")),(IF('Final Calculation Sheet'!$X$40="","",'Final Calculation Sheet'!$X$40))="",IF(OR(UPPER(TRIM($Z$2))="(NONBLANK)",UPPER(TRIM($Z$2))="NONBLANK",TRIM($Z$2)="&lt;&gt;"),(IF('Final Calculation Sheet'!$X$40="","",'Final Calculation Sheet'!$X$40))&lt;&gt;"",UPPER(TRIM((IF('Final Calculation Sheet'!$X$40="","",'Final Calculation Sheet'!$X$40))&amp;""))=UPPER(TRIM($Z$2&amp;"")))))</f>
        <v/>
      </c>
      <c r="AA40">
        <f>IF($AA$3=FALSE,TRUE,IF(OR(UPPER(TRIM($AA$2))="(BLANK)",UPPER(TRIM($AA$2))="BLANK",AND($AA$2&lt;&gt;"",TRIM($AA$2)="")),(IF('Final Calculation Sheet'!$Y$40="","",'Final Calculation Sheet'!$Y$40))="",IF(OR(UPPER(TRIM($AA$2))="(NONBLANK)",UPPER(TRIM($AA$2))="NONBLANK",TRIM($AA$2)="&lt;&gt;"),(IF('Final Calculation Sheet'!$Y$40="","",'Final Calculation Sheet'!$Y$40))&lt;&gt;"",UPPER(TRIM((IF('Final Calculation Sheet'!$Y$40="","",'Final Calculation Sheet'!$Y$40))&amp;""))=UPPER(TRIM($AA$2&amp;"")))))</f>
        <v/>
      </c>
      <c r="AB40">
        <f>IF($AB$3=FALSE,TRUE,IF(OR(UPPER(TRIM($AB$2))="(BLANK)",UPPER(TRIM($AB$2))="BLANK",AND($AB$2&lt;&gt;"",TRIM($AB$2)="")),(IF('Final Calculation Sheet'!$Z$40="","",'Final Calculation Sheet'!$Z$40))="",IF(OR(UPPER(TRIM($AB$2))="(NONBLANK)",UPPER(TRIM($AB$2))="NONBLANK",TRIM($AB$2)="&lt;&gt;"),(IF('Final Calculation Sheet'!$Z$40="","",'Final Calculation Sheet'!$Z$40))&lt;&gt;"",UPPER(TRIM((IF('Final Calculation Sheet'!$Z$40="","",'Final Calculation Sheet'!$Z$40))&amp;""))=UPPER(TRIM($AB$2&amp;"")))))</f>
        <v/>
      </c>
      <c r="AC40">
        <f>IF($AC$3=FALSE,TRUE,IF(OR(UPPER(TRIM($AC$2))="(BLANK)",UPPER(TRIM($AC$2))="BLANK",AND($AC$2&lt;&gt;"",TRIM($AC$2)="")),(IF('Final Calculation Sheet'!$AA$40="","",'Final Calculation Sheet'!$AA$40))="",IF(OR(UPPER(TRIM($AC$2))="(NONBLANK)",UPPER(TRIM($AC$2))="NONBLANK",TRIM($AC$2)="&lt;&gt;"),(IF('Final Calculation Sheet'!$AA$40="","",'Final Calculation Sheet'!$AA$40))&lt;&gt;"",UPPER(TRIM((IF('Final Calculation Sheet'!$AA$40="","",'Final Calculation Sheet'!$AA$40))&amp;""))=UPPER(TRIM($AC$2&amp;"")))))</f>
        <v/>
      </c>
      <c r="AD40">
        <f>IF($AD$3=FALSE,TRUE,IF(OR(UPPER(TRIM($AD$2))="(BLANK)",UPPER(TRIM($AD$2))="BLANK",AND($AD$2&lt;&gt;"",TRIM($AD$2)="")),(IF('Final Calculation Sheet'!$AB$40="","",'Final Calculation Sheet'!$AB$40))="",IF(OR(UPPER(TRIM($AD$2))="(NONBLANK)",UPPER(TRIM($AD$2))="NONBLANK",TRIM($AD$2)="&lt;&gt;"),(IF('Final Calculation Sheet'!$AB$40="","",'Final Calculation Sheet'!$AB$40))&lt;&gt;"",UPPER(TRIM((IF('Final Calculation Sheet'!$AB$40="","",'Final Calculation Sheet'!$AB$40))&amp;""))=UPPER(TRIM($AD$2&amp;"")))))</f>
        <v/>
      </c>
      <c r="AE40">
        <f>IF($AE$3=FALSE,TRUE,IF(OR(UPPER(TRIM($AE$2))="(BLANK)",UPPER(TRIM($AE$2))="BLANK",AND($AE$2&lt;&gt;"",TRIM($AE$2)="")),(IF('Final Calculation Sheet'!$AC$40="","",'Final Calculation Sheet'!$AC$40))="",IF(OR(UPPER(TRIM($AE$2))="(NONBLANK)",UPPER(TRIM($AE$2))="NONBLANK",TRIM($AE$2)="&lt;&gt;"),(IF('Final Calculation Sheet'!$AC$40="","",'Final Calculation Sheet'!$AC$40))&lt;&gt;"",UPPER(TRIM((IF('Final Calculation Sheet'!$AC$40="","",'Final Calculation Sheet'!$AC$40))&amp;""))=UPPER(TRIM($AE$2&amp;"")))))</f>
        <v/>
      </c>
      <c r="AF40">
        <f>IF($AF$3=FALSE,TRUE,IF(OR(UPPER(TRIM($AF$2))="(BLANK)",UPPER(TRIM($AF$2))="BLANK",AND($AF$2&lt;&gt;"",TRIM($AF$2)="")),(IF('Final Calculation Sheet'!$AD$40="","",'Final Calculation Sheet'!$AD$40))="",IF(OR(UPPER(TRIM($AF$2))="(NONBLANK)",UPPER(TRIM($AF$2))="NONBLANK",TRIM($AF$2)="&lt;&gt;"),(IF('Final Calculation Sheet'!$AD$40="","",'Final Calculation Sheet'!$AD$40))&lt;&gt;"",UPPER(TRIM((IF('Final Calculation Sheet'!$AD$40="","",'Final Calculation Sheet'!$AD$40))&amp;""))=UPPER(TRIM($AF$2&amp;"")))))</f>
        <v/>
      </c>
      <c r="AG40">
        <f>IF($AG$3=FALSE,TRUE,IF(OR(UPPER(TRIM($AG$2))="(BLANK)",UPPER(TRIM($AG$2))="BLANK",AND($AG$2&lt;&gt;"",TRIM($AG$2)="")),(IF('Final Calculation Sheet'!$AE$40="","",'Final Calculation Sheet'!$AE$40))="",IF(OR(UPPER(TRIM($AG$2))="(NONBLANK)",UPPER(TRIM($AG$2))="NONBLANK",TRIM($AG$2)="&lt;&gt;"),(IF('Final Calculation Sheet'!$AE$40="","",'Final Calculation Sheet'!$AE$40))&lt;&gt;"",UPPER(TRIM((IF('Final Calculation Sheet'!$AE$40="","",'Final Calculation Sheet'!$AE$40))&amp;""))=UPPER(TRIM($AG$2&amp;"")))))</f>
        <v/>
      </c>
      <c r="AH40">
        <f>IF($AH$3=FALSE,TRUE,IF(OR(UPPER(TRIM($AH$2))="(BLANK)",UPPER(TRIM($AH$2))="BLANK",AND($AH$2&lt;&gt;"",TRIM($AH$2)="")),(IF('Final Calculation Sheet'!$AF$40="","",'Final Calculation Sheet'!$AF$40))="",IF(OR(UPPER(TRIM($AH$2))="(NONBLANK)",UPPER(TRIM($AH$2))="NONBLANK",TRIM($AH$2)="&lt;&gt;"),(IF('Final Calculation Sheet'!$AF$40="","",'Final Calculation Sheet'!$AF$40))&lt;&gt;"",UPPER(TRIM((IF('Final Calculation Sheet'!$AF$40="","",'Final Calculation Sheet'!$AF$40))&amp;""))=UPPER(TRIM($AH$2&amp;"")))))</f>
        <v/>
      </c>
      <c r="AI40">
        <f>IF($AI$3=FALSE,TRUE,IF(OR(UPPER(TRIM($AI$2))="(BLANK)",UPPER(TRIM($AI$2))="BLANK",AND($AI$2&lt;&gt;"",TRIM($AI$2)="")),(IF('Final Calculation Sheet'!$AG$40="","",'Final Calculation Sheet'!$AG$40))="",IF(OR(UPPER(TRIM($AI$2))="(NONBLANK)",UPPER(TRIM($AI$2))="NONBLANK",TRIM($AI$2)="&lt;&gt;"),(IF('Final Calculation Sheet'!$AG$40="","",'Final Calculation Sheet'!$AG$40))&lt;&gt;"",UPPER(TRIM((IF('Final Calculation Sheet'!$AG$40="","",'Final Calculation Sheet'!$AG$40))&amp;""))=UPPER(TRIM($AI$2&amp;"")))))</f>
        <v/>
      </c>
      <c r="AJ40">
        <f>IF($AJ$3=FALSE,TRUE,IF(OR(UPPER(TRIM($AJ$2))="(BLANK)",UPPER(TRIM($AJ$2))="BLANK",AND($AJ$2&lt;&gt;"",TRIM($AJ$2)="")),(IF('Final Calculation Sheet'!$AD$40="","",IF('Final Calculation Sheet'!$AD$40&lt;=5,"SETTLED","OUTSTANDING")))="",IF(OR(UPPER(TRIM($AJ$2))="(NONBLANK)",UPPER(TRIM($AJ$2))="NONBLANK",TRIM($AJ$2)="&lt;&gt;"),(IF('Final Calculation Sheet'!$AD$40="","",IF('Final Calculation Sheet'!$AD$40&lt;=5,"SETTLED","OUTSTANDING")))&lt;&gt;"",UPPER(TRIM((IF('Final Calculation Sheet'!$AD$40="","",IF('Final Calculation Sheet'!$AD$40&lt;=5,"SETTLED","OUTSTANDING")))&amp;""))=UPPER(TRIM($AJ$2&amp;"")))))</f>
        <v/>
      </c>
      <c r="AL40">
        <f>IF(AND($B$40,$D$40:$AJ$40),IF('Final Calculation Sheet'!$F$40="","",'Final Calculation Sheet'!$F$40),"")</f>
        <v/>
      </c>
      <c r="AM40">
        <f>IF(AL40="","",COUNTIFS(AL$4:AL$40,"&lt;"&amp;AL40,AL$4:AL$40,"&lt;&gt;"&amp;"")+COUNTIF(AL$4:AL40,AL40))</f>
        <v/>
      </c>
      <c r="AN40">
        <f>IF(ROW()-3&gt;COUNTIF(AL$4:AL$40,"&lt;&gt;"&amp;""),"",INDEX(AL$4:AL$40,MATCH(ROW()-3,AM$4:AM$40,0)))</f>
        <v/>
      </c>
      <c r="AO40">
        <f>AO39+IF(AND(AN40&lt;&gt;"",COUNTIF(AN$4:AN40,AN40)=1),1,0)</f>
        <v/>
      </c>
      <c r="AP40">
        <f>IF(ROW()-3&gt;MAX(AO$4:AO$40),"",INDEX(AN$4:AN$40,MATCH(ROW()-3,AO$4:AO$40,0)))</f>
        <v/>
      </c>
      <c r="AQ40">
        <f>IF(AND($B$40:$C$40,$E$40:$AJ$40),IF('Final Calculation Sheet'!$G$40="","",'Final Calculation Sheet'!$G$40),"")</f>
        <v/>
      </c>
      <c r="AR40">
        <f>IF(AQ40="","",COUNTIFS(AQ$4:AQ$40,"&lt;"&amp;AQ40,AQ$4:AQ$40,"&lt;&gt;"&amp;"")+COUNTIF(AQ$4:AQ40,AQ40))</f>
        <v/>
      </c>
      <c r="AS40">
        <f>IF(ROW()-3&gt;COUNTIF(AQ$4:AQ$40,"&lt;&gt;"&amp;""),"",INDEX(AQ$4:AQ$40,MATCH(ROW()-3,AR$4:AR$40,0)))</f>
        <v/>
      </c>
      <c r="AT40">
        <f>AT39+IF(AND(AS40&lt;&gt;"",COUNTIF(AS$4:AS40,AS40)=1),1,0)</f>
        <v/>
      </c>
      <c r="AU40">
        <f>IF(ROW()-3&gt;MAX(AT$4:AT$40),"",INDEX(AS$4:AS$40,MATCH(ROW()-3,AT$4:AT$40,0)))</f>
        <v/>
      </c>
      <c r="AV40">
        <f>IF(AND($B$40:$D$40,$F$40:$AJ$40),IF('Final Calculation Sheet'!$B$40="","",'Final Calculation Sheet'!$B$40),"")</f>
        <v/>
      </c>
      <c r="AW40">
        <f>IF(AV40="","",COUNTIFS(AV$4:AV$40,"&lt;"&amp;AV40,AV$4:AV$40,"&lt;&gt;"&amp;"")+COUNTIF(AV$4:AV40,AV40))</f>
        <v/>
      </c>
      <c r="AX40">
        <f>IF(ROW()-3&gt;COUNTIF(AV$4:AV$40,"&lt;&gt;"&amp;""),"",INDEX(AV$4:AV$40,MATCH(ROW()-3,AW$4:AW$40,0)))</f>
        <v/>
      </c>
      <c r="AY40">
        <f>AY39+IF(AND(AX40&lt;&gt;"",COUNTIF(AX$4:AX40,AX40)=1),1,0)</f>
        <v/>
      </c>
      <c r="AZ40">
        <f>IF(ROW()-3&gt;MAX(AY$4:AY$40),"",INDEX(AX$4:AX$40,MATCH(ROW()-3,AY$4:AY$40,0)))</f>
        <v/>
      </c>
      <c r="BA40">
        <f>IF(AND($B$40:$E$40,$G$40:$AJ$40),IF('Final Calculation Sheet'!$D$40="","",'Final Calculation Sheet'!$D$40),"")</f>
        <v/>
      </c>
      <c r="BB40">
        <f>IF(BA40="","",COUNTIFS(BA$4:BA$40,"&lt;"&amp;BA40,BA$4:BA$40,"&lt;&gt;"&amp;"")+COUNTIF(BA$4:BA40,BA40))</f>
        <v/>
      </c>
      <c r="BC40">
        <f>IF(ROW()-3&gt;COUNTIF(BA$4:BA$40,"&lt;&gt;"&amp;""),"",INDEX(BA$4:BA$40,MATCH(ROW()-3,BB$4:BB$40,0)))</f>
        <v/>
      </c>
      <c r="BD40">
        <f>BD39+IF(AND(BC40&lt;&gt;"",COUNTIF(BC$4:BC40,BC40)=1),1,0)</f>
        <v/>
      </c>
      <c r="BE40">
        <f>IF(ROW()-3&gt;MAX(BD$4:BD$40),"",INDEX(BC$4:BC$40,MATCH(ROW()-3,BD$4:BD$40,0)))</f>
        <v/>
      </c>
      <c r="BF40">
        <f>IF(AND($B$40:$F$40,$H$40:$AJ$40),IF('Final Calculation Sheet'!$A$40="","",'Final Calculation Sheet'!$A$40),"")</f>
        <v/>
      </c>
      <c r="BG40">
        <f>IF(BF40="","",COUNTIFS(BF$4:BF$40,"&lt;"&amp;BF40,BF$4:BF$40,"&lt;&gt;"&amp;"")+COUNTIF(BF$4:BF40,BF40))</f>
        <v/>
      </c>
      <c r="BH40">
        <f>IF(ROW()-3&gt;COUNTIF(BF$4:BF$40,"&lt;&gt;"&amp;""),"",INDEX(BF$4:BF$40,MATCH(ROW()-3,BG$4:BG$40,0)))</f>
        <v/>
      </c>
      <c r="BI40">
        <f>BI39+IF(AND(BH40&lt;&gt;"",COUNTIF(BH$4:BH40,BH40)=1),1,0)</f>
        <v/>
      </c>
      <c r="BJ40">
        <f>IF(ROW()-3&gt;MAX(BI$4:BI$40),"",INDEX(BH$4:BH$40,MATCH(ROW()-3,BI$4:BI$40,0)))</f>
        <v/>
      </c>
      <c r="BK40">
        <f>IF(AND($B$40:$G$40,$I$40:$AJ$40),IF('Final Calculation Sheet'!$E$40="","",'Final Calculation Sheet'!$E$40),"")</f>
        <v/>
      </c>
      <c r="BL40">
        <f>IF(BK40="","",COUNTIFS(BK$4:BK$40,"&lt;"&amp;BK40,BK$4:BK$40,"&lt;&gt;"&amp;"")+COUNTIF(BK$4:BK40,BK40))</f>
        <v/>
      </c>
      <c r="BM40">
        <f>IF(ROW()-3&gt;COUNTIF(BK$4:BK$40,"&lt;&gt;"&amp;""),"",INDEX(BK$4:BK$40,MATCH(ROW()-3,BL$4:BL$40,0)))</f>
        <v/>
      </c>
      <c r="BN40">
        <f>BN39+IF(AND(BM40&lt;&gt;"",COUNTIF(BM$4:BM40,BM40)=1),1,0)</f>
        <v/>
      </c>
      <c r="BO40">
        <f>IF(ROW()-3&gt;MAX(BN$4:BN$40),"",INDEX(BM$4:BM$40,MATCH(ROW()-3,BN$4:BN$40,0)))</f>
        <v/>
      </c>
      <c r="BP40" s="55">
        <f>IF(AND($B$40:$H$40,$J$40:$AJ$40),IF('Final Calculation Sheet'!$C$40="","",'Final Calculation Sheet'!$C$40),"")</f>
        <v/>
      </c>
      <c r="BQ40">
        <f>IF(BP40="","",COUNTIFS(BP$4:BP$40,"&lt;"&amp;BP40,BP$4:BP$40,"&lt;&gt;"&amp;"")+COUNTIF(BP$4:BP40,BP40))</f>
        <v/>
      </c>
      <c r="BR40" s="55">
        <f>IF(ROW()-3&gt;COUNTIF(BP$4:BP$40,"&lt;&gt;"&amp;""),"",INDEX(BP$4:BP$40,MATCH(ROW()-3,BQ$4:BQ$40,0)))</f>
        <v/>
      </c>
      <c r="BS40">
        <f>BS39+IF(AND(BR40&lt;&gt;"",COUNTIF(BR$4:BR40,BR40)=1),1,0)</f>
        <v/>
      </c>
      <c r="BT40" s="55">
        <f>IF(ROW()-3&gt;MAX(BS$4:BS$40),"",INDEX(BR$4:BR$40,MATCH(ROW()-3,BS$4:BS$40,0)))</f>
        <v/>
      </c>
      <c r="BU40" s="55">
        <f>IF(AND($B$40:$I$40,$K$40:$AJ$40),IF('Final Calculation Sheet'!$H$40="","",'Final Calculation Sheet'!$H$40),"")</f>
        <v/>
      </c>
      <c r="BV40">
        <f>IF(BU40="","",COUNTIFS(BU$4:BU$40,"&lt;"&amp;BU40,BU$4:BU$40,"&lt;&gt;"&amp;"")+COUNTIF(BU$4:BU40,BU40))</f>
        <v/>
      </c>
      <c r="BW40" s="55">
        <f>IF(ROW()-3&gt;COUNTIF(BU$4:BU$40,"&lt;&gt;"&amp;""),"",INDEX(BU$4:BU$40,MATCH(ROW()-3,BV$4:BV$40,0)))</f>
        <v/>
      </c>
      <c r="BX40">
        <f>BX39+IF(AND(BW40&lt;&gt;"",COUNTIF(BW$4:BW40,BW40)=1),1,0)</f>
        <v/>
      </c>
      <c r="BY40" s="55">
        <f>IF(ROW()-3&gt;MAX(BX$4:BX$40),"",INDEX(BW$4:BW$40,MATCH(ROW()-3,BX$4:BX$40,0)))</f>
        <v/>
      </c>
      <c r="BZ40" s="55">
        <f>IF(AND($B$40:$J$40,$L$40:$AJ$40),IF('Final Calculation Sheet'!$I$40="","",'Final Calculation Sheet'!$I$40),"")</f>
        <v/>
      </c>
      <c r="CA40">
        <f>IF(BZ40="","",COUNTIFS(BZ$4:BZ$40,"&lt;"&amp;BZ40,BZ$4:BZ$40,"&lt;&gt;"&amp;"")+COUNTIF(BZ$4:BZ40,BZ40))</f>
        <v/>
      </c>
      <c r="CB40" s="55">
        <f>IF(ROW()-3&gt;COUNTIF(BZ$4:BZ$40,"&lt;&gt;"&amp;""),"",INDEX(BZ$4:BZ$40,MATCH(ROW()-3,CA$4:CA$40,0)))</f>
        <v/>
      </c>
      <c r="CC40">
        <f>CC39+IF(AND(CB40&lt;&gt;"",COUNTIF(CB$4:CB40,CB40)=1),1,0)</f>
        <v/>
      </c>
      <c r="CD40" s="55">
        <f>IF(ROW()-3&gt;MAX(CC$4:CC$40),"",INDEX(CB$4:CB$40,MATCH(ROW()-3,CC$4:CC$40,0)))</f>
        <v/>
      </c>
      <c r="CE40" s="55">
        <f>IF(AND($B$40:$K$40,$M$40:$AJ$40),IF('Final Calculation Sheet'!$J$40="","",'Final Calculation Sheet'!$J$40),"")</f>
        <v/>
      </c>
      <c r="CF40">
        <f>IF(CE40="","",COUNTIFS(CE$4:CE$40,"&lt;"&amp;CE40,CE$4:CE$40,"&lt;&gt;"&amp;"")+COUNTIF(CE$4:CE40,CE40))</f>
        <v/>
      </c>
      <c r="CG40" s="55">
        <f>IF(ROW()-3&gt;COUNTIF(CE$4:CE$40,"&lt;&gt;"&amp;""),"",INDEX(CE$4:CE$40,MATCH(ROW()-3,CF$4:CF$40,0)))</f>
        <v/>
      </c>
      <c r="CH40">
        <f>CH39+IF(AND(CG40&lt;&gt;"",COUNTIF(CG$4:CG40,CG40)=1),1,0)</f>
        <v/>
      </c>
      <c r="CI40" s="55">
        <f>IF(ROW()-3&gt;MAX(CH$4:CH$40),"",INDEX(CG$4:CG$40,MATCH(ROW()-3,CH$4:CH$40,0)))</f>
        <v/>
      </c>
      <c r="CJ40" s="55">
        <f>IF(AND($B$40:$L$40,$N$40:$AJ$40),IF('Final Calculation Sheet'!$K$40="","",'Final Calculation Sheet'!$K$40),"")</f>
        <v/>
      </c>
      <c r="CK40">
        <f>IF(CJ40="","",COUNTIFS(CJ$4:CJ$40,"&lt;"&amp;CJ40,CJ$4:CJ$40,"&lt;&gt;"&amp;"")+COUNTIF(CJ$4:CJ40,CJ40))</f>
        <v/>
      </c>
      <c r="CL40" s="55">
        <f>IF(ROW()-3&gt;COUNTIF(CJ$4:CJ$40,"&lt;&gt;"&amp;""),"",INDEX(CJ$4:CJ$40,MATCH(ROW()-3,CK$4:CK$40,0)))</f>
        <v/>
      </c>
      <c r="CM40">
        <f>CM39+IF(AND(CL40&lt;&gt;"",COUNTIF(CL$4:CL40,CL40)=1),1,0)</f>
        <v/>
      </c>
      <c r="CN40" s="55">
        <f>IF(ROW()-3&gt;MAX(CM$4:CM$40),"",INDEX(CL$4:CL$40,MATCH(ROW()-3,CM$4:CM$40,0)))</f>
        <v/>
      </c>
      <c r="CO40" s="55">
        <f>IF(AND($B$40:$M$40,$O$40:$AJ$40),IF('Final Calculation Sheet'!$L$40="","",'Final Calculation Sheet'!$L$40),"")</f>
        <v/>
      </c>
      <c r="CP40">
        <f>IF(CO40="","",COUNTIFS(CO$4:CO$40,"&lt;"&amp;CO40,CO$4:CO$40,"&lt;&gt;"&amp;"")+COUNTIF(CO$4:CO40,CO40))</f>
        <v/>
      </c>
      <c r="CQ40" s="55">
        <f>IF(ROW()-3&gt;COUNTIF(CO$4:CO$40,"&lt;&gt;"&amp;""),"",INDEX(CO$4:CO$40,MATCH(ROW()-3,CP$4:CP$40,0)))</f>
        <v/>
      </c>
      <c r="CR40">
        <f>CR39+IF(AND(CQ40&lt;&gt;"",COUNTIF(CQ$4:CQ40,CQ40)=1),1,0)</f>
        <v/>
      </c>
      <c r="CS40" s="55">
        <f>IF(ROW()-3&gt;MAX(CR$4:CR$40),"",INDEX(CQ$4:CQ$40,MATCH(ROW()-3,CR$4:CR$40,0)))</f>
        <v/>
      </c>
      <c r="CT40" s="55">
        <f>IF(AND($B$40:$N$40,$P$40:$AJ$40),IF('Final Calculation Sheet'!$M$40="","",'Final Calculation Sheet'!$M$40),"")</f>
        <v/>
      </c>
      <c r="CU40">
        <f>IF(CT40="","",COUNTIFS(CT$4:CT$40,"&lt;"&amp;CT40,CT$4:CT$40,"&lt;&gt;"&amp;"")+COUNTIF(CT$4:CT40,CT40))</f>
        <v/>
      </c>
      <c r="CV40" s="55">
        <f>IF(ROW()-3&gt;COUNTIF(CT$4:CT$40,"&lt;&gt;"&amp;""),"",INDEX(CT$4:CT$40,MATCH(ROW()-3,CU$4:CU$40,0)))</f>
        <v/>
      </c>
      <c r="CW40">
        <f>CW39+IF(AND(CV40&lt;&gt;"",COUNTIF(CV$4:CV40,CV40)=1),1,0)</f>
        <v/>
      </c>
      <c r="CX40" s="55">
        <f>IF(ROW()-3&gt;MAX(CW$4:CW$40),"",INDEX(CV$4:CV$40,MATCH(ROW()-3,CW$4:CW$40,0)))</f>
        <v/>
      </c>
      <c r="CY40" s="138">
        <f>IF(AND($B$40:$O$40,$Q$40:$AJ$40),IF('Final Calculation Sheet'!$N$40="","",'Final Calculation Sheet'!$N$40),"")</f>
        <v/>
      </c>
      <c r="CZ40">
        <f>IF(CY40="","",COUNTIFS(CY$4:CY$40,"&lt;"&amp;CY40,CY$4:CY$40,"&lt;&gt;"&amp;"")+COUNTIF(CY$4:CY40,CY40))</f>
        <v/>
      </c>
      <c r="DA40" s="138">
        <f>IF(ROW()-3&gt;COUNTIF(CY$4:CY$40,"&lt;&gt;"&amp;""),"",INDEX(CY$4:CY$40,MATCH(ROW()-3,CZ$4:CZ$40,0)))</f>
        <v/>
      </c>
      <c r="DB40">
        <f>DB39+IF(AND(DA40&lt;&gt;"",COUNTIF(DA$4:DA40,DA40)=1),1,0)</f>
        <v/>
      </c>
      <c r="DC40" s="138">
        <f>IF(ROW()-3&gt;MAX(DB$4:DB$40),"",INDEX(DA$4:DA$40,MATCH(ROW()-3,DB$4:DB$40,0)))</f>
        <v/>
      </c>
      <c r="DD40" s="55">
        <f>IF(AND($B$40:$P$40,$R$40:$AJ$40),IF('Final Calculation Sheet'!$O$40="","",'Final Calculation Sheet'!$O$40),"")</f>
        <v/>
      </c>
      <c r="DE40">
        <f>IF(DD40="","",COUNTIFS(DD$4:DD$40,"&lt;"&amp;DD40,DD$4:DD$40,"&lt;&gt;"&amp;"")+COUNTIF(DD$4:DD40,DD40))</f>
        <v/>
      </c>
      <c r="DF40" s="55">
        <f>IF(ROW()-3&gt;COUNTIF(DD$4:DD$40,"&lt;&gt;"&amp;""),"",INDEX(DD$4:DD$40,MATCH(ROW()-3,DE$4:DE$40,0)))</f>
        <v/>
      </c>
      <c r="DG40">
        <f>DG39+IF(AND(DF40&lt;&gt;"",COUNTIF(DF$4:DF40,DF40)=1),1,0)</f>
        <v/>
      </c>
      <c r="DH40" s="55">
        <f>IF(ROW()-3&gt;MAX(DG$4:DG$40),"",INDEX(DF$4:DF$40,MATCH(ROW()-3,DG$4:DG$40,0)))</f>
        <v/>
      </c>
      <c r="DI40" s="55">
        <f>IF(AND($B$40:$Q$40,$S$40:$AJ$40),IF('Final Calculation Sheet'!$P$40="","",'Final Calculation Sheet'!$P$40),"")</f>
        <v/>
      </c>
      <c r="DJ40">
        <f>IF(DI40="","",COUNTIFS(DI$4:DI$40,"&lt;"&amp;DI40,DI$4:DI$40,"&lt;&gt;"&amp;"")+COUNTIF(DI$4:DI40,DI40))</f>
        <v/>
      </c>
      <c r="DK40" s="55">
        <f>IF(ROW()-3&gt;COUNTIF(DI$4:DI$40,"&lt;&gt;"&amp;""),"",INDEX(DI$4:DI$40,MATCH(ROW()-3,DJ$4:DJ$40,0)))</f>
        <v/>
      </c>
      <c r="DL40">
        <f>DL39+IF(AND(DK40&lt;&gt;"",COUNTIF(DK$4:DK40,DK40)=1),1,0)</f>
        <v/>
      </c>
      <c r="DM40" s="55">
        <f>IF(ROW()-3&gt;MAX(DL$4:DL$40),"",INDEX(DK$4:DK$40,MATCH(ROW()-3,DL$4:DL$40,0)))</f>
        <v/>
      </c>
      <c r="DN40" s="139">
        <f>IF(AND($B$40:$R$40,$T$40:$AJ$40),IF('Final Calculation Sheet'!$Q$40="","",'Final Calculation Sheet'!$Q$40),"")</f>
        <v/>
      </c>
      <c r="DO40">
        <f>IF(DN40="","",COUNTIFS(DN$4:DN$40,"&lt;"&amp;DN40,DN$4:DN$40,"&lt;&gt;"&amp;"")+COUNTIF(DN$4:DN40,DN40))</f>
        <v/>
      </c>
      <c r="DP40" s="139">
        <f>IF(ROW()-3&gt;COUNTIF(DN$4:DN$40,"&lt;&gt;"&amp;""),"",INDEX(DN$4:DN$40,MATCH(ROW()-3,DO$4:DO$40,0)))</f>
        <v/>
      </c>
      <c r="DQ40">
        <f>DQ39+IF(AND(DP40&lt;&gt;"",COUNTIF(DP$4:DP40,DP40)=1),1,0)</f>
        <v/>
      </c>
      <c r="DR40" s="139">
        <f>IF(ROW()-3&gt;MAX(DQ$4:DQ$40),"",INDEX(DP$4:DP$40,MATCH(ROW()-3,DQ$4:DQ$40,0)))</f>
        <v/>
      </c>
      <c r="DS40" s="55">
        <f>IF(AND($B$40:$S$40,$U$40:$AJ$40),IF('Final Calculation Sheet'!$R$40="","",'Final Calculation Sheet'!$R$40),"")</f>
        <v/>
      </c>
      <c r="DT40">
        <f>IF(DS40="","",COUNTIFS(DS$4:DS$40,"&lt;"&amp;DS40,DS$4:DS$40,"&lt;&gt;"&amp;"")+COUNTIF(DS$4:DS40,DS40))</f>
        <v/>
      </c>
      <c r="DU40" s="55">
        <f>IF(ROW()-3&gt;COUNTIF(DS$4:DS$40,"&lt;&gt;"&amp;""),"",INDEX(DS$4:DS$40,MATCH(ROW()-3,DT$4:DT$40,0)))</f>
        <v/>
      </c>
      <c r="DV40">
        <f>DV39+IF(AND(DU40&lt;&gt;"",COUNTIF(DU$4:DU40,DU40)=1),1,0)</f>
        <v/>
      </c>
      <c r="DW40" s="55">
        <f>IF(ROW()-3&gt;MAX(DV$4:DV$40),"",INDEX(DU$4:DU$40,MATCH(ROW()-3,DV$4:DV$40,0)))</f>
        <v/>
      </c>
      <c r="DX40" s="55">
        <f>IF(AND($B$40:$T$40,$V$40:$AJ$40),IF('Final Calculation Sheet'!$S$40="","",'Final Calculation Sheet'!$S$40),"")</f>
        <v/>
      </c>
      <c r="DY40">
        <f>IF(DX40="","",COUNTIFS(DX$4:DX$40,"&lt;"&amp;DX40,DX$4:DX$40,"&lt;&gt;"&amp;"")+COUNTIF(DX$4:DX40,DX40))</f>
        <v/>
      </c>
      <c r="DZ40" s="55">
        <f>IF(ROW()-3&gt;COUNTIF(DX$4:DX$40,"&lt;&gt;"&amp;""),"",INDEX(DX$4:DX$40,MATCH(ROW()-3,DY$4:DY$40,0)))</f>
        <v/>
      </c>
      <c r="EA40">
        <f>EA39+IF(AND(DZ40&lt;&gt;"",COUNTIF(DZ$4:DZ40,DZ40)=1),1,0)</f>
        <v/>
      </c>
      <c r="EB40" s="55">
        <f>IF(ROW()-3&gt;MAX(EA$4:EA$40),"",INDEX(DZ$4:DZ$40,MATCH(ROW()-3,EA$4:EA$40,0)))</f>
        <v/>
      </c>
      <c r="EC40" s="55">
        <f>IF(AND($B$40:$U$40,$W$40:$AJ$40),IF('Final Calculation Sheet'!$T$40="","",'Final Calculation Sheet'!$T$40),"")</f>
        <v/>
      </c>
      <c r="ED40">
        <f>IF(EC40="","",COUNTIFS(EC$4:EC$40,"&lt;"&amp;EC40,EC$4:EC$40,"&lt;&gt;"&amp;"")+COUNTIF(EC$4:EC40,EC40))</f>
        <v/>
      </c>
      <c r="EE40" s="55">
        <f>IF(ROW()-3&gt;COUNTIF(EC$4:EC$40,"&lt;&gt;"&amp;""),"",INDEX(EC$4:EC$40,MATCH(ROW()-3,ED$4:ED$40,0)))</f>
        <v/>
      </c>
      <c r="EF40">
        <f>EF39+IF(AND(EE40&lt;&gt;"",COUNTIF(EE$4:EE40,EE40)=1),1,0)</f>
        <v/>
      </c>
      <c r="EG40" s="55">
        <f>IF(ROW()-3&gt;MAX(EF$4:EF$40),"",INDEX(EE$4:EE$40,MATCH(ROW()-3,EF$4:EF$40,0)))</f>
        <v/>
      </c>
      <c r="EH40" s="140">
        <f>IF(AND($B$40:$V$40,$X$40:$AJ$40),IF('Final Calculation Sheet'!$U$40="","",'Final Calculation Sheet'!$U$40),"")</f>
        <v/>
      </c>
      <c r="EI40">
        <f>IF(EH40="","",COUNTIFS(EH$4:EH$40,"&lt;"&amp;EH40,EH$4:EH$40,"&lt;&gt;"&amp;"")+COUNTIF(EH$4:EH40,EH40))</f>
        <v/>
      </c>
      <c r="EJ40" s="140">
        <f>IF(ROW()-3&gt;COUNTIF(EH$4:EH$40,"&lt;&gt;"&amp;""),"",INDEX(EH$4:EH$40,MATCH(ROW()-3,EI$4:EI$40,0)))</f>
        <v/>
      </c>
      <c r="EK40">
        <f>EK39+IF(AND(EJ40&lt;&gt;"",COUNTIF(EJ$4:EJ40,EJ40)=1),1,0)</f>
        <v/>
      </c>
      <c r="EL40" s="140">
        <f>IF(ROW()-3&gt;MAX(EK$4:EK$40),"",INDEX(EJ$4:EJ$40,MATCH(ROW()-3,EK$4:EK$40,0)))</f>
        <v/>
      </c>
      <c r="EM40">
        <f>IF(AND($B$40:$W$40,$Y$40:$AJ$40),IF('Final Calculation Sheet'!$V$40="","",'Final Calculation Sheet'!$V$40),"")</f>
        <v/>
      </c>
      <c r="EN40">
        <f>IF(EM40="","",COUNTIFS(EM$4:EM$40,"&lt;"&amp;EM40,EM$4:EM$40,"&lt;&gt;"&amp;"")+COUNTIF(EM$4:EM40,EM40))</f>
        <v/>
      </c>
      <c r="EO40">
        <f>IF(ROW()-3&gt;COUNTIF(EM$4:EM$40,"&lt;&gt;"&amp;""),"",INDEX(EM$4:EM$40,MATCH(ROW()-3,EN$4:EN$40,0)))</f>
        <v/>
      </c>
      <c r="EP40">
        <f>EP39+IF(AND(EO40&lt;&gt;"",COUNTIF(EO$4:EO40,EO40)=1),1,0)</f>
        <v/>
      </c>
      <c r="EQ40">
        <f>IF(ROW()-3&gt;MAX(EP$4:EP$40),"",INDEX(EO$4:EO$40,MATCH(ROW()-3,EP$4:EP$40,0)))</f>
        <v/>
      </c>
      <c r="ER40" s="55">
        <f>IF(AND($B$40:$X$40,$Z$40:$AJ$40),IF('Final Calculation Sheet'!$W$40="","",'Final Calculation Sheet'!$W$40),"")</f>
        <v/>
      </c>
      <c r="ES40">
        <f>IF(ER40="","",COUNTIFS(ER$4:ER$40,"&lt;"&amp;ER40,ER$4:ER$40,"&lt;&gt;"&amp;"")+COUNTIF(ER$4:ER40,ER40))</f>
        <v/>
      </c>
      <c r="ET40" s="55">
        <f>IF(ROW()-3&gt;COUNTIF(ER$4:ER$40,"&lt;&gt;"&amp;""),"",INDEX(ER$4:ER$40,MATCH(ROW()-3,ES$4:ES$40,0)))</f>
        <v/>
      </c>
      <c r="EU40">
        <f>EU39+IF(AND(ET40&lt;&gt;"",COUNTIF(ET$4:ET40,ET40)=1),1,0)</f>
        <v/>
      </c>
      <c r="EV40" s="55">
        <f>IF(ROW()-3&gt;MAX(EU$4:EU$40),"",INDEX(ET$4:ET$40,MATCH(ROW()-3,EU$4:EU$40,0)))</f>
        <v/>
      </c>
      <c r="EW40" s="55">
        <f>IF(AND($B$40:$Y$40,$AA$40:$AJ$40),IF('Final Calculation Sheet'!$X$40="","",'Final Calculation Sheet'!$X$40),"")</f>
        <v/>
      </c>
      <c r="EX40">
        <f>IF(EW40="","",COUNTIFS(EW$4:EW$40,"&lt;"&amp;EW40,EW$4:EW$40,"&lt;&gt;"&amp;"")+COUNTIF(EW$4:EW40,EW40))</f>
        <v/>
      </c>
      <c r="EY40" s="55">
        <f>IF(ROW()-3&gt;COUNTIF(EW$4:EW$40,"&lt;&gt;"&amp;""),"",INDEX(EW$4:EW$40,MATCH(ROW()-3,EX$4:EX$40,0)))</f>
        <v/>
      </c>
      <c r="EZ40">
        <f>EZ39+IF(AND(EY40&lt;&gt;"",COUNTIF(EY$4:EY40,EY40)=1),1,0)</f>
        <v/>
      </c>
      <c r="FA40">
        <f>IF(ROW()-3&gt;MAX(EZ$4:EZ$40),"",INDEX(EY$4:EY$40,MATCH(ROW()-3,EZ$4:EZ$40,0)))</f>
        <v/>
      </c>
      <c r="FB40">
        <f>IF(AND($B$40:$Z$40,$AB$40:$AJ$40),IF('Final Calculation Sheet'!$Y$40="","",'Final Calculation Sheet'!$Y$40),"")</f>
        <v/>
      </c>
      <c r="FC40">
        <f>IF(FB40="","",COUNTIFS(FB$4:FB$40,"&lt;"&amp;FB40,FB$4:FB$40,"&lt;&gt;"&amp;"")+COUNTIF(FB$4:FB40,FB40))</f>
        <v/>
      </c>
      <c r="FD40">
        <f>IF(ROW()-3&gt;COUNTIF(FB$4:FB$40,"&lt;&gt;"&amp;""),"",INDEX(FB$4:FB$40,MATCH(ROW()-3,FC$4:FC$40,0)))</f>
        <v/>
      </c>
      <c r="FE40">
        <f>FE39+IF(AND(FD40&lt;&gt;"",COUNTIF(FD$4:FD40,FD40)=1),1,0)</f>
        <v/>
      </c>
      <c r="FF40">
        <f>IF(ROW()-3&gt;MAX(FE$4:FE$40),"",INDEX(FD$4:FD$40,MATCH(ROW()-3,FE$4:FE$40,0)))</f>
        <v/>
      </c>
      <c r="FG40" s="55">
        <f>IF(AND($B$40:$AA$40,$AC$40:$AJ$40),IF('Final Calculation Sheet'!$Z$40="","",'Final Calculation Sheet'!$Z$40),"")</f>
        <v/>
      </c>
      <c r="FH40">
        <f>IF(FG40="","",COUNTIFS(FG$4:FG$40,"&lt;"&amp;FG40,FG$4:FG$40,"&lt;&gt;"&amp;"")+COUNTIF(FG$4:FG40,FG40))</f>
        <v/>
      </c>
      <c r="FI40" s="55">
        <f>IF(ROW()-3&gt;COUNTIF(FG$4:FG$40,"&lt;&gt;"&amp;""),"",INDEX(FG$4:FG$40,MATCH(ROW()-3,FH$4:FH$40,0)))</f>
        <v/>
      </c>
      <c r="FJ40">
        <f>FJ39+IF(AND(FI40&lt;&gt;"",COUNTIF(FI$4:FI40,FI40)=1),1,0)</f>
        <v/>
      </c>
      <c r="FK40" s="55">
        <f>IF(ROW()-3&gt;MAX(FJ$4:FJ$40),"",INDEX(FI$4:FI$40,MATCH(ROW()-3,FJ$4:FJ$40,0)))</f>
        <v/>
      </c>
      <c r="FL40">
        <f>IF(AND($B$40:$AB$40,$AD$40:$AJ$40),IF('Final Calculation Sheet'!$AA$40="","",'Final Calculation Sheet'!$AA$40),"")</f>
        <v/>
      </c>
      <c r="FM40">
        <f>IF(FL40="","",COUNTIFS(FL$4:FL$40,"&lt;"&amp;FL40,FL$4:FL$40,"&lt;&gt;"&amp;"")+COUNTIF(FL$4:FL40,FL40))</f>
        <v/>
      </c>
      <c r="FN40">
        <f>IF(ROW()-3&gt;COUNTIF(FL$4:FL$40,"&lt;&gt;"&amp;""),"",INDEX(FL$4:FL$40,MATCH(ROW()-3,FM$4:FM$40,0)))</f>
        <v/>
      </c>
      <c r="FO40">
        <f>FO39+IF(AND(FN40&lt;&gt;"",COUNTIF(FN$4:FN40,FN40)=1),1,0)</f>
        <v/>
      </c>
      <c r="FP40">
        <f>IF(ROW()-3&gt;MAX(FO$4:FO$40),"",INDEX(FN$4:FN$40,MATCH(ROW()-3,FO$4:FO$40,0)))</f>
        <v/>
      </c>
      <c r="FQ40">
        <f>IF(AND($B$40:$AC$40,$AE$40:$AJ$40),IF('Final Calculation Sheet'!$AB$40="","",'Final Calculation Sheet'!$AB$40),"")</f>
        <v/>
      </c>
      <c r="FR40">
        <f>IF(FQ40="","",COUNTIFS(FQ$4:FQ$40,"&lt;"&amp;FQ40,FQ$4:FQ$40,"&lt;&gt;"&amp;"")+COUNTIF(FQ$4:FQ40,FQ40))</f>
        <v/>
      </c>
      <c r="FS40">
        <f>IF(ROW()-3&gt;COUNTIF(FQ$4:FQ$40,"&lt;&gt;"&amp;""),"",INDEX(FQ$4:FQ$40,MATCH(ROW()-3,FR$4:FR$40,0)))</f>
        <v/>
      </c>
      <c r="FT40">
        <f>FT39+IF(AND(FS40&lt;&gt;"",COUNTIF(FS$4:FS40,FS40)=1),1,0)</f>
        <v/>
      </c>
      <c r="FU40">
        <f>IF(ROW()-3&gt;MAX(FT$4:FT$40),"",INDEX(FS$4:FS$40,MATCH(ROW()-3,FT$4:FT$40,0)))</f>
        <v/>
      </c>
      <c r="FV40" s="55">
        <f>IF(AND($B$40:$AD$40,$AF$40:$AJ$40),IF('Final Calculation Sheet'!$AC$40="","",'Final Calculation Sheet'!$AC$40),"")</f>
        <v/>
      </c>
      <c r="FW40">
        <f>IF(FV40="","",COUNTIFS(FV$4:FV$40,"&lt;"&amp;FV40,FV$4:FV$40,"&lt;&gt;"&amp;"")+COUNTIF(FV$4:FV40,FV40))</f>
        <v/>
      </c>
      <c r="FX40" s="55">
        <f>IF(ROW()-3&gt;COUNTIF(FV$4:FV$40,"&lt;&gt;"&amp;""),"",INDEX(FV$4:FV$40,MATCH(ROW()-3,FW$4:FW$40,0)))</f>
        <v/>
      </c>
      <c r="FY40">
        <f>FY39+IF(AND(FX40&lt;&gt;"",COUNTIF(FX$4:FX40,FX40)=1),1,0)</f>
        <v/>
      </c>
      <c r="FZ40" s="55">
        <f>IF(ROW()-3&gt;MAX(FY$4:FY$40),"",INDEX(FX$4:FX$40,MATCH(ROW()-3,FY$4:FY$40,0)))</f>
        <v/>
      </c>
      <c r="GA40" s="55">
        <f>IF(AND($B$40:$AE$40,$AG$40:$AJ$40),IF('Final Calculation Sheet'!$AD$40="","",'Final Calculation Sheet'!$AD$40),"")</f>
        <v/>
      </c>
      <c r="GB40">
        <f>IF(GA40="","",COUNTIFS(GA$4:GA$40,"&lt;"&amp;GA40,GA$4:GA$40,"&lt;&gt;"&amp;"")+COUNTIF(GA$4:GA40,GA40))</f>
        <v/>
      </c>
      <c r="GC40" s="55">
        <f>IF(ROW()-3&gt;COUNTIF(GA$4:GA$40,"&lt;&gt;"&amp;""),"",INDEX(GA$4:GA$40,MATCH(ROW()-3,GB$4:GB$40,0)))</f>
        <v/>
      </c>
      <c r="GD40">
        <f>GD39+IF(AND(GC40&lt;&gt;"",COUNTIF(GC$4:GC40,GC40)=1),1,0)</f>
        <v/>
      </c>
      <c r="GE40" s="55">
        <f>IF(ROW()-3&gt;MAX(GD$4:GD$40),"",INDEX(GC$4:GC$40,MATCH(ROW()-3,GD$4:GD$40,0)))</f>
        <v/>
      </c>
      <c r="GF40">
        <f>IF(AND($B$40:$AF$40,$AH$40:$AJ$40),IF('Final Calculation Sheet'!$AE$40="","",'Final Calculation Sheet'!$AE$40),"")</f>
        <v/>
      </c>
      <c r="GG40">
        <f>IF(GF40="","",COUNTIFS(GF$4:GF$40,"&lt;"&amp;GF40,GF$4:GF$40,"&lt;&gt;"&amp;"")+COUNTIF(GF$4:GF40,GF40))</f>
        <v/>
      </c>
      <c r="GH40">
        <f>IF(ROW()-3&gt;COUNTIF(GF$4:GF$40,"&lt;&gt;"&amp;""),"",INDEX(GF$4:GF$40,MATCH(ROW()-3,GG$4:GG$40,0)))</f>
        <v/>
      </c>
      <c r="GI40">
        <f>GI39+IF(AND(GH40&lt;&gt;"",COUNTIF(GH$4:GH40,GH40)=1),1,0)</f>
        <v/>
      </c>
      <c r="GJ40">
        <f>IF(ROW()-3&gt;MAX(GI$4:GI$40),"",INDEX(GH$4:GH$40,MATCH(ROW()-3,GI$4:GI$40,0)))</f>
        <v/>
      </c>
      <c r="GK40" s="141">
        <f>IF(AND($B$40:$AG$40,$AI$40:$AJ$40),IF('Final Calculation Sheet'!$AF$40="","",'Final Calculation Sheet'!$AF$40),"")</f>
        <v/>
      </c>
      <c r="GL40">
        <f>IF(GK40="","",COUNTIFS(GK$4:GK$40,"&lt;"&amp;GK40,GK$4:GK$40,"&lt;&gt;"&amp;"")+COUNTIF(GK$4:GK40,GK40))</f>
        <v/>
      </c>
      <c r="GM40" s="141">
        <f>IF(ROW()-3&gt;COUNTIF(GK$4:GK$40,"&lt;&gt;"&amp;""),"",INDEX(GK$4:GK$40,MATCH(ROW()-3,GL$4:GL$40,0)))</f>
        <v/>
      </c>
      <c r="GN40">
        <f>GN39+IF(AND(GM40&lt;&gt;"",COUNTIF(GM$4:GM40,GM40)=1),1,0)</f>
        <v/>
      </c>
      <c r="GO40">
        <f>IF(ROW()-3&gt;MAX(GN$4:GN$40),"",INDEX(GM$4:GM$40,MATCH(ROW()-3,GN$4:GN$40,0)))</f>
        <v/>
      </c>
      <c r="GP40">
        <f>IF(AND($B$40:$AH$40,$AJ$40:$AJ$40),IF('Final Calculation Sheet'!$AG$40="","",'Final Calculation Sheet'!$AG$40),"")</f>
        <v/>
      </c>
      <c r="GQ40">
        <f>IF(GP40="","",COUNTIFS(GP$4:GP$40,"&lt;"&amp;GP40,GP$4:GP$40,"&lt;&gt;"&amp;"")+COUNTIF(GP$4:GP40,GP40))</f>
        <v/>
      </c>
      <c r="GR40">
        <f>IF(ROW()-3&gt;COUNTIF(GP$4:GP$40,"&lt;&gt;"&amp;""),"",INDEX(GP$4:GP$40,MATCH(ROW()-3,GQ$4:GQ$40,0)))</f>
        <v/>
      </c>
      <c r="GS40">
        <f>GS39+IF(AND(GR40&lt;&gt;"",COUNTIF(GR$4:GR40,GR40)=1),1,0)</f>
        <v/>
      </c>
      <c r="GT40">
        <f>IF(ROW()-3&gt;MAX(GS$4:GS$40),"",INDEX(GR$4:GR$40,MATCH(ROW()-3,GS$4:GS$40,0)))</f>
        <v/>
      </c>
    </row>
    <row r="41">
      <c r="A41" t="inlineStr">
        <is>
          <t>(blank) token row</t>
        </is>
      </c>
      <c r="AP41" t="inlineStr">
        <is>
          <t>(blank)</t>
        </is>
      </c>
      <c r="AU41" t="inlineStr">
        <is>
          <t>(blank)</t>
        </is>
      </c>
      <c r="AZ41" t="inlineStr">
        <is>
          <t>(blank)</t>
        </is>
      </c>
      <c r="BE41" t="inlineStr">
        <is>
          <t>(blank)</t>
        </is>
      </c>
      <c r="BJ41" t="inlineStr">
        <is>
          <t>(blank)</t>
        </is>
      </c>
      <c r="BO41" t="inlineStr">
        <is>
          <t>(blank)</t>
        </is>
      </c>
      <c r="BT41" t="inlineStr">
        <is>
          <t>(blank)</t>
        </is>
      </c>
      <c r="BY41" t="inlineStr">
        <is>
          <t>(blank)</t>
        </is>
      </c>
      <c r="CD41" t="inlineStr">
        <is>
          <t>(blank)</t>
        </is>
      </c>
      <c r="CI41" t="inlineStr">
        <is>
          <t>(blank)</t>
        </is>
      </c>
      <c r="CN41" t="inlineStr">
        <is>
          <t>(blank)</t>
        </is>
      </c>
      <c r="CS41" t="inlineStr">
        <is>
          <t>(blank)</t>
        </is>
      </c>
      <c r="CX41" t="inlineStr">
        <is>
          <t>(blank)</t>
        </is>
      </c>
      <c r="DC41" t="inlineStr">
        <is>
          <t>(blank)</t>
        </is>
      </c>
      <c r="DH41" t="inlineStr">
        <is>
          <t>(blank)</t>
        </is>
      </c>
      <c r="DM41" t="inlineStr">
        <is>
          <t>(blank)</t>
        </is>
      </c>
      <c r="DR41" t="inlineStr">
        <is>
          <t>(blank)</t>
        </is>
      </c>
      <c r="DW41" t="inlineStr">
        <is>
          <t>(blank)</t>
        </is>
      </c>
      <c r="EB41" t="inlineStr">
        <is>
          <t>(blank)</t>
        </is>
      </c>
      <c r="EG41" t="inlineStr">
        <is>
          <t>(blank)</t>
        </is>
      </c>
      <c r="EL41" t="inlineStr">
        <is>
          <t>(blank)</t>
        </is>
      </c>
      <c r="EQ41" t="inlineStr">
        <is>
          <t>(blank)</t>
        </is>
      </c>
      <c r="EV41" t="inlineStr">
        <is>
          <t>(blank)</t>
        </is>
      </c>
      <c r="FA41" t="inlineStr">
        <is>
          <t>(blank)</t>
        </is>
      </c>
      <c r="FF41" t="inlineStr">
        <is>
          <t>(blank)</t>
        </is>
      </c>
      <c r="FK41" t="inlineStr">
        <is>
          <t>(blank)</t>
        </is>
      </c>
      <c r="FP41" t="inlineStr">
        <is>
          <t>(blank)</t>
        </is>
      </c>
      <c r="FU41" t="inlineStr">
        <is>
          <t>(blank)</t>
        </is>
      </c>
      <c r="FZ41" t="inlineStr">
        <is>
          <t>(blank)</t>
        </is>
      </c>
      <c r="GE41" t="inlineStr">
        <is>
          <t>(blank)</t>
        </is>
      </c>
      <c r="GJ41" t="inlineStr">
        <is>
          <t>(blank)</t>
        </is>
      </c>
      <c r="GO41" t="inlineStr">
        <is>
          <t>(blank)</t>
        </is>
      </c>
      <c r="GT41" t="inlineStr">
        <is>
          <t>(blank)</t>
        </is>
      </c>
    </row>
    <row r="42">
      <c r="A42" t="inlineStr">
        <is>
          <t>(nonblank) token row</t>
        </is>
      </c>
      <c r="AP42" t="inlineStr">
        <is>
          <t>(nonblank)</t>
        </is>
      </c>
      <c r="AU42" t="inlineStr">
        <is>
          <t>(nonblank)</t>
        </is>
      </c>
      <c r="AZ42" t="inlineStr">
        <is>
          <t>(nonblank)</t>
        </is>
      </c>
      <c r="BE42" t="inlineStr">
        <is>
          <t>(nonblank)</t>
        </is>
      </c>
      <c r="BJ42" t="inlineStr">
        <is>
          <t>(nonblank)</t>
        </is>
      </c>
      <c r="BO42" t="inlineStr">
        <is>
          <t>(nonblank)</t>
        </is>
      </c>
      <c r="BT42" t="inlineStr">
        <is>
          <t>(nonblank)</t>
        </is>
      </c>
      <c r="BY42" t="inlineStr">
        <is>
          <t>(nonblank)</t>
        </is>
      </c>
      <c r="CD42" t="inlineStr">
        <is>
          <t>(nonblank)</t>
        </is>
      </c>
      <c r="CI42" t="inlineStr">
        <is>
          <t>(nonblank)</t>
        </is>
      </c>
      <c r="CN42" t="inlineStr">
        <is>
          <t>(nonblank)</t>
        </is>
      </c>
      <c r="CS42" t="inlineStr">
        <is>
          <t>(nonblank)</t>
        </is>
      </c>
      <c r="CX42" t="inlineStr">
        <is>
          <t>(nonblank)</t>
        </is>
      </c>
      <c r="DC42" t="inlineStr">
        <is>
          <t>(nonblank)</t>
        </is>
      </c>
      <c r="DH42" t="inlineStr">
        <is>
          <t>(nonblank)</t>
        </is>
      </c>
      <c r="DM42" t="inlineStr">
        <is>
          <t>(nonblank)</t>
        </is>
      </c>
      <c r="DR42" t="inlineStr">
        <is>
          <t>(nonblank)</t>
        </is>
      </c>
      <c r="DW42" t="inlineStr">
        <is>
          <t>(nonblank)</t>
        </is>
      </c>
      <c r="EB42" t="inlineStr">
        <is>
          <t>(nonblank)</t>
        </is>
      </c>
      <c r="EG42" t="inlineStr">
        <is>
          <t>(nonblank)</t>
        </is>
      </c>
      <c r="EL42" t="inlineStr">
        <is>
          <t>(nonblank)</t>
        </is>
      </c>
      <c r="EQ42" t="inlineStr">
        <is>
          <t>(nonblank)</t>
        </is>
      </c>
      <c r="EV42" t="inlineStr">
        <is>
          <t>(nonblank)</t>
        </is>
      </c>
      <c r="FA42" t="inlineStr">
        <is>
          <t>(nonblank)</t>
        </is>
      </c>
      <c r="FF42" t="inlineStr">
        <is>
          <t>(nonblank)</t>
        </is>
      </c>
      <c r="FK42" t="inlineStr">
        <is>
          <t>(nonblank)</t>
        </is>
      </c>
      <c r="FP42" t="inlineStr">
        <is>
          <t>(nonblank)</t>
        </is>
      </c>
      <c r="FU42" t="inlineStr">
        <is>
          <t>(nonblank)</t>
        </is>
      </c>
      <c r="FZ42" t="inlineStr">
        <is>
          <t>(nonblank)</t>
        </is>
      </c>
      <c r="GE42" t="inlineStr">
        <is>
          <t>(nonblank)</t>
        </is>
      </c>
      <c r="GJ42" t="inlineStr">
        <is>
          <t>(nonblank)</t>
        </is>
      </c>
      <c r="GO42" t="inlineStr">
        <is>
          <t>(nonblank)</t>
        </is>
      </c>
      <c r="GT42" t="inlineStr">
        <is>
          <t>(nonblank)</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2026-09-10T11:02:44Z</dcterms:modified>
  <cp:lastModifiedBy>S.M.C</cp:lastModifiedBy>
  <cp:revision>0</cp:revision>
</cp:coreProperties>
</file>